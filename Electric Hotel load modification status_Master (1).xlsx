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3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ivotTables/pivotTable4.xml" ContentType="application/vnd.openxmlformats-officedocument.spreadsheetml.pivot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ivotTables/pivotTable5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ivotTables/pivotTable6.xml" ContentType="application/vnd.openxmlformats-officedocument.spreadsheetml.pivot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iemensapc-my.sharepoint.com/personal/manu_garg_siemens_com/Documents/Electric Rolling Stock products/Hotel load Converter/HLC Modification/"/>
    </mc:Choice>
  </mc:AlternateContent>
  <xr:revisionPtr revIDLastSave="1485" documentId="6_{AFBC45A7-5754-4292-81A1-463185483141}" xr6:coauthVersionLast="47" xr6:coauthVersionMax="47" xr10:uidLastSave="{8E5F554B-AE20-425F-AB98-5EA19A8B950B}"/>
  <bookViews>
    <workbookView xWindow="-108" yWindow="-108" windowWidth="23256" windowHeight="12456" tabRatio="931" firstSheet="13" activeTab="13" xr2:uid="{00000000-000D-0000-FFFF-FFFF00000000}"/>
  </bookViews>
  <sheets>
    <sheet name="Updation Date" sheetId="12" r:id="rId1"/>
    <sheet name="Total summary" sheetId="33" r:id="rId2"/>
    <sheet name="Detail1" sheetId="34" state="hidden" r:id="rId3"/>
    <sheet name="Hyderabad" sheetId="20" r:id="rId4"/>
    <sheet name="Hyderabad Summary" sheetId="29" r:id="rId5"/>
    <sheet name="Detail2" sheetId="35" state="hidden" r:id="rId6"/>
    <sheet name="Chennai" sheetId="22" r:id="rId7"/>
    <sheet name="Chennai Summary" sheetId="27" r:id="rId8"/>
    <sheet name="Detail3" sheetId="37" state="hidden" r:id="rId9"/>
    <sheet name="Delhi" sheetId="21" r:id="rId10"/>
    <sheet name="Delhi Summary" sheetId="30" r:id="rId11"/>
    <sheet name="TKD" sheetId="36" state="hidden" r:id="rId12"/>
    <sheet name="Kolkatta" sheetId="17" r:id="rId13"/>
    <sheet name="Kolkata Summary" sheetId="31" r:id="rId14"/>
    <sheet name="summary for RDSO" sheetId="25" state="hidden" r:id="rId15"/>
    <sheet name="Modification sheet" sheetId="1" state="hidden" r:id="rId16"/>
    <sheet name="Sheet8" sheetId="11" state="hidden" r:id="rId17"/>
    <sheet name="Sheet5" sheetId="5" state="hidden" r:id="rId18"/>
    <sheet name="Mumbai" sheetId="19" r:id="rId19"/>
    <sheet name="Mumbai Summary" sheetId="32" r:id="rId20"/>
    <sheet name="Bangalore" sheetId="23" r:id="rId21"/>
    <sheet name="Bangalore Summary" sheetId="26" r:id="rId22"/>
  </sheets>
  <definedNames>
    <definedName name="_xlnm._FilterDatabase" localSheetId="20" hidden="1">Bangalore!$A$1:$AN$67</definedName>
    <definedName name="_xlnm._FilterDatabase" localSheetId="6" hidden="1">Chennai!$A$1:$AN$227</definedName>
    <definedName name="_xlnm._FilterDatabase" localSheetId="9" hidden="1">Delhi!$A$1:$AR$401</definedName>
    <definedName name="_xlnm._FilterDatabase" localSheetId="3" hidden="1">Hyderabad!$A$1:$AN$52</definedName>
    <definedName name="_xlnm._FilterDatabase" localSheetId="12" hidden="1">Kolkatta!$A$1:$AN$401</definedName>
    <definedName name="_xlnm._FilterDatabase" localSheetId="15" hidden="1">'Modification sheet'!$A$1:$AD$1133</definedName>
    <definedName name="_xlnm._FilterDatabase" localSheetId="18" hidden="1">Mumbai!$A$1:$AN$423</definedName>
    <definedName name="_xlnm._FilterDatabase" localSheetId="1" hidden="1">'Total summary'!$A$1:$V$32</definedName>
    <definedName name="_xlnm.Print_Area" localSheetId="15">'Modification sheet'!$A$1:$F$21</definedName>
  </definedNames>
  <calcPr calcId="191028" calcCompleted="0"/>
  <pivotCaches>
    <pivotCache cacheId="0" r:id="rId23"/>
    <pivotCache cacheId="11" r:id="rId24"/>
    <pivotCache cacheId="15" r:id="rId25"/>
    <pivotCache cacheId="19" r:id="rId26"/>
    <pivotCache cacheId="23" r:id="rId27"/>
    <pivotCache cacheId="27" r:id="rId28"/>
    <pivotCache cacheId="31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33" l="1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R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U29" i="33"/>
  <c r="U28" i="33"/>
  <c r="U27" i="33"/>
  <c r="U26" i="33"/>
  <c r="U24" i="33"/>
  <c r="U23" i="33"/>
  <c r="U22" i="33"/>
  <c r="U21" i="33"/>
  <c r="U20" i="33"/>
  <c r="U19" i="33"/>
  <c r="U18" i="33"/>
  <c r="U17" i="33"/>
  <c r="U16" i="33"/>
  <c r="U15" i="33"/>
  <c r="U13" i="33"/>
  <c r="U12" i="33"/>
  <c r="U11" i="33"/>
  <c r="U10" i="33"/>
  <c r="U9" i="33"/>
  <c r="U8" i="33"/>
  <c r="U7" i="33"/>
  <c r="U6" i="33"/>
  <c r="U5" i="33"/>
  <c r="U4" i="33"/>
  <c r="U3" i="33"/>
  <c r="U2" i="33"/>
  <c r="T29" i="33"/>
  <c r="T28" i="33"/>
  <c r="T27" i="33"/>
  <c r="T26" i="33"/>
  <c r="T24" i="33"/>
  <c r="T23" i="33"/>
  <c r="T22" i="33"/>
  <c r="T21" i="33"/>
  <c r="T20" i="33"/>
  <c r="T19" i="33"/>
  <c r="T18" i="33"/>
  <c r="T17" i="33"/>
  <c r="T16" i="33"/>
  <c r="T15" i="33"/>
  <c r="T13" i="33"/>
  <c r="T12" i="33"/>
  <c r="T11" i="33"/>
  <c r="T10" i="33"/>
  <c r="T9" i="33"/>
  <c r="T8" i="33"/>
  <c r="T7" i="33"/>
  <c r="T6" i="33"/>
  <c r="T5" i="33"/>
  <c r="T4" i="33"/>
  <c r="T3" i="33"/>
  <c r="T2" i="33"/>
  <c r="S29" i="33"/>
  <c r="S28" i="33"/>
  <c r="S27" i="33"/>
  <c r="S26" i="33"/>
  <c r="S24" i="33"/>
  <c r="S23" i="33"/>
  <c r="S22" i="33"/>
  <c r="S21" i="33"/>
  <c r="S20" i="33"/>
  <c r="S19" i="33"/>
  <c r="S18" i="33"/>
  <c r="S17" i="33"/>
  <c r="S16" i="33"/>
  <c r="S15" i="33"/>
  <c r="S13" i="33"/>
  <c r="S12" i="33"/>
  <c r="S11" i="33"/>
  <c r="S10" i="33"/>
  <c r="S9" i="33"/>
  <c r="S8" i="33"/>
  <c r="S7" i="33"/>
  <c r="S6" i="33"/>
  <c r="S5" i="33"/>
  <c r="S4" i="33"/>
  <c r="S3" i="33"/>
  <c r="S2" i="33"/>
  <c r="T1" i="33"/>
  <c r="S1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S32" i="33" l="1"/>
  <c r="U32" i="33"/>
  <c r="T32" i="33"/>
  <c r="R29" i="33"/>
  <c r="R28" i="33"/>
  <c r="R27" i="33"/>
  <c r="R26" i="33"/>
  <c r="R24" i="33"/>
  <c r="R23" i="33"/>
  <c r="R22" i="33"/>
  <c r="R21" i="33"/>
  <c r="R20" i="33"/>
  <c r="R19" i="33"/>
  <c r="R18" i="33"/>
  <c r="R17" i="33"/>
  <c r="R16" i="33"/>
  <c r="R15" i="33"/>
  <c r="R12" i="33"/>
  <c r="R11" i="33"/>
  <c r="R10" i="33"/>
  <c r="R9" i="33"/>
  <c r="R8" i="33"/>
  <c r="R7" i="33"/>
  <c r="R6" i="33"/>
  <c r="R5" i="33"/>
  <c r="R4" i="33"/>
  <c r="R3" i="33"/>
  <c r="R2" i="33"/>
  <c r="Q29" i="33"/>
  <c r="Q28" i="33"/>
  <c r="Q27" i="33"/>
  <c r="Q26" i="33"/>
  <c r="Q24" i="33"/>
  <c r="Q23" i="33"/>
  <c r="Q22" i="33"/>
  <c r="Q21" i="33"/>
  <c r="Q20" i="33"/>
  <c r="Q19" i="33"/>
  <c r="Q18" i="33"/>
  <c r="Q17" i="33"/>
  <c r="Q16" i="33"/>
  <c r="Q15" i="33"/>
  <c r="Q12" i="33"/>
  <c r="Q11" i="33"/>
  <c r="Q10" i="33"/>
  <c r="Q9" i="33"/>
  <c r="Q8" i="33"/>
  <c r="Q7" i="33"/>
  <c r="Q6" i="33"/>
  <c r="Q5" i="33"/>
  <c r="Q4" i="33"/>
  <c r="Q3" i="33"/>
  <c r="Q2" i="33"/>
  <c r="Q1" i="33"/>
  <c r="C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G36" i="25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9" i="33"/>
  <c r="A28" i="33"/>
  <c r="A27" i="33"/>
  <c r="A26" i="33"/>
  <c r="P24" i="33"/>
  <c r="P23" i="33"/>
  <c r="P22" i="33"/>
  <c r="P21" i="33"/>
  <c r="P20" i="33"/>
  <c r="P19" i="33"/>
  <c r="P18" i="33"/>
  <c r="P17" i="33"/>
  <c r="P16" i="33"/>
  <c r="P15" i="33"/>
  <c r="P11" i="33"/>
  <c r="P10" i="33"/>
  <c r="P9" i="33"/>
  <c r="P8" i="33"/>
  <c r="P7" i="33"/>
  <c r="P6" i="33"/>
  <c r="P5" i="33"/>
  <c r="P4" i="33"/>
  <c r="P3" i="33"/>
  <c r="P2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24" i="33"/>
  <c r="A23" i="33"/>
  <c r="A22" i="33"/>
  <c r="A21" i="33"/>
  <c r="A20" i="33"/>
  <c r="A19" i="33"/>
  <c r="A18" i="33"/>
  <c r="A17" i="33"/>
  <c r="A16" i="33"/>
  <c r="A15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11" i="33"/>
  <c r="A10" i="33"/>
  <c r="A9" i="33"/>
  <c r="A8" i="33"/>
  <c r="A7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6" i="33"/>
  <c r="A5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4" i="33"/>
  <c r="A3" i="33"/>
  <c r="O2" i="33"/>
  <c r="N2" i="33"/>
  <c r="M2" i="33"/>
  <c r="L2" i="33"/>
  <c r="K2" i="33"/>
  <c r="J2" i="33"/>
  <c r="I2" i="33"/>
  <c r="H2" i="33"/>
  <c r="G2" i="33"/>
  <c r="F2" i="33"/>
  <c r="E2" i="33"/>
  <c r="D2" i="33"/>
  <c r="B2" i="33"/>
  <c r="A2" i="33"/>
  <c r="U5" i="25"/>
  <c r="K30" i="25"/>
  <c r="J30" i="25"/>
  <c r="I27" i="25"/>
  <c r="I28" i="25"/>
  <c r="K6" i="25"/>
  <c r="K27" i="25"/>
  <c r="K28" i="25"/>
  <c r="J6" i="25"/>
  <c r="J27" i="25"/>
  <c r="J28" i="25"/>
  <c r="I6" i="25"/>
  <c r="D25" i="25"/>
  <c r="D26" i="25"/>
  <c r="C25" i="25"/>
  <c r="C26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25" i="25"/>
  <c r="E26" i="25"/>
  <c r="K12" i="11"/>
  <c r="K11" i="11"/>
  <c r="K10" i="11"/>
  <c r="K9" i="11"/>
  <c r="K8" i="11"/>
  <c r="K7" i="11"/>
  <c r="K6" i="11"/>
  <c r="K5" i="11"/>
  <c r="I12" i="11"/>
  <c r="L12" i="11"/>
  <c r="J12" i="11"/>
  <c r="F12" i="5"/>
  <c r="P32" i="33" l="1"/>
  <c r="D32" i="33"/>
  <c r="E32" i="33"/>
  <c r="G32" i="33"/>
  <c r="H32" i="33"/>
  <c r="I32" i="33"/>
  <c r="Q32" i="33"/>
  <c r="L32" i="33"/>
  <c r="R32" i="33"/>
  <c r="M32" i="33"/>
  <c r="N32" i="33"/>
  <c r="F32" i="33"/>
  <c r="J32" i="33"/>
  <c r="K32" i="33"/>
  <c r="B32" i="33"/>
  <c r="O32" i="33"/>
  <c r="C32" i="33"/>
  <c r="M386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tc={A89BC2AD-4C97-4B72-A095-AC48AC2A7C8E}</author>
    <author>tc={2B9C259F-5A55-4464-B47C-24512F9A9353}</author>
    <author>tc={1A16C970-FC49-4D78-8EE3-E95DF9F4499F}</author>
    <author>tc={468A7AFE-15D3-49A9-AD3F-AD691D878180}</author>
    <author>Author</author>
    <author>tc={6BC60C8F-9DB5-4387-B88C-23FEEBA464E5}</author>
    <author>tc={9A6F1DE9-D02D-42CF-A1D7-00715EEAFC30}</author>
    <author>tc={175FC5B5-4728-4568-8113-8F51558478EA}</author>
    <author>tc={F7B03655-4EDB-4E39-8D05-8C8EC10AE1F0}</author>
    <author>tc={41633D1A-F7D8-4661-B47C-1DF95EE5D4F2}</author>
    <author>tc={D8042A66-CD8D-4E1D-ABCC-AC4253A5F0C8}</author>
    <author>tc={2688E473-C869-4889-8421-5C29BE6177F1}</author>
  </authors>
  <commentList>
    <comment ref="B144" authorId="0" shapeId="0" xr:uid="{A89BC2AD-4C97-4B72-A095-AC48AC2A7C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Gaziabad to BNDM
</t>
      </text>
    </comment>
    <comment ref="B190" authorId="1" shapeId="0" xr:uid="{2B9C259F-5A55-4464-B47C-24512F9A93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GZB to GMO
</t>
      </text>
    </comment>
    <comment ref="B230" authorId="2" shapeId="0" xr:uid="{1A16C970-FC49-4D78-8EE3-E95DF9F4499F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 14/03/22</t>
      </text>
    </comment>
    <comment ref="B232" authorId="3" shapeId="0" xr:uid="{468A7AFE-15D3-49A9-AD3F-AD691D878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dt. 14/03/22
</t>
      </text>
    </comment>
    <comment ref="M394" authorId="4" shapeId="0" xr:uid="{C0835787-E072-48C1-A144-C47292173CDE}">
      <text>
        <r>
          <rPr>
            <b/>
            <sz val="9"/>
            <color indexed="81"/>
            <rFont val="Tahoma"/>
            <family val="2"/>
          </rPr>
          <t>1st 16-12-2020, 2nd 22-02-2021, 3rd 18-03-2021</t>
        </r>
      </text>
    </comment>
    <comment ref="B855" authorId="5" shapeId="0" xr:uid="{6BC60C8F-9DB5-4387-B88C-23FEEBA464E5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Gonda to Gaziabad dt 14/03/22</t>
      </text>
    </comment>
    <comment ref="B859" authorId="6" shapeId="0" xr:uid="{9A6F1DE9-D02D-42CF-A1D7-00715EEAFC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 from Vodadara to Gaziabad</t>
      </text>
    </comment>
    <comment ref="B861" authorId="7" shapeId="0" xr:uid="{175FC5B5-4728-4568-8113-8F515584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to RPM from Gonda shed dt 14/03/22.</t>
      </text>
    </comment>
    <comment ref="B968" authorId="8" shapeId="0" xr:uid="{F7B03655-4EDB-4E39-8D05-8C8EC10AE1F0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050" authorId="9" shapeId="0" xr:uid="{41633D1A-F7D8-4661-B47C-1DF95EE5D4F2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052" authorId="10" shapeId="0" xr:uid="{D8042A66-CD8D-4E1D-ABCC-AC4253A5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054" authorId="11" shapeId="0" xr:uid="{2688E473-C869-4889-8421-5C29BE6177F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tc={1831D0F6-BD81-47F1-B855-FF143BFB3F15}</author>
    <author>tc={78149561-857E-497A-8AB3-0B4429092A57}</author>
    <author>tc={15F79311-48DC-4568-8E63-79250725573A}</author>
    <author>tc={E54B2F47-43D6-4103-971C-CFCDB87ABF44}</author>
    <author>tc={D68E585D-8243-4FD7-A7BF-E3F0DA682166}</author>
    <author>Author</author>
    <author>tc={ECB6BD69-5352-419F-81E0-F57FB5233B19}</author>
    <author>tc={3B76A7B0-6D6D-4084-BA23-DBD8BC09D27A}</author>
    <author>tc={3DE9C28A-D018-45AB-A3AC-2497A6F51D1C}</author>
    <author>tc={31703A15-29CC-48B3-B422-3E32F1AB0537}</author>
    <author>tc={F57A1907-C63C-4B3A-88DC-57DABDF3A281}</author>
    <author>tc={0232B0BB-190C-417F-8357-5BBFBA5D561A}</author>
  </authors>
  <commentList>
    <comment ref="B130" authorId="0" shapeId="0" xr:uid="{1831D0F6-BD81-47F1-B855-FF143BFB3F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 14/03/22</t>
      </text>
    </comment>
    <comment ref="B132" authorId="1" shapeId="0" xr:uid="{78149561-857E-497A-8AB3-0B4429092A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dt. 14/03/22
</t>
      </text>
    </comment>
    <comment ref="B134" authorId="2" shapeId="0" xr:uid="{15F79311-48DC-4568-8E63-79250725573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to RPM from Gonda shed dt 14/03/22.</t>
      </text>
    </comment>
    <comment ref="B184" authorId="3" shapeId="0" xr:uid="{E54B2F47-43D6-4103-971C-CFCDB87ABF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Gaziabad to BNDM
</t>
      </text>
    </comment>
    <comment ref="B230" authorId="4" shapeId="0" xr:uid="{D68E585D-8243-4FD7-A7BF-E3F0DA6821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GZB to GMO
</t>
      </text>
    </comment>
    <comment ref="N484" authorId="5" shapeId="0" xr:uid="{5FC2C281-6FFA-4D2C-84BB-83148F76FA2C}">
      <text>
        <r>
          <rPr>
            <b/>
            <sz val="9"/>
            <color indexed="81"/>
            <rFont val="Tahoma"/>
            <family val="2"/>
          </rPr>
          <t>1st 16-12-2020, 2nd 22-02-2021, 3rd 18-03-2021</t>
        </r>
      </text>
    </comment>
    <comment ref="B945" authorId="6" shapeId="0" xr:uid="{ECB6BD69-5352-419F-81E0-F57FB5233B19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Gonda to Gaziabad dt 14/03/22</t>
      </text>
    </comment>
    <comment ref="B949" authorId="7" shapeId="0" xr:uid="{3B76A7B0-6D6D-4084-BA23-DBD8BC09D27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 from Vodadara to Gaziabad</t>
      </text>
    </comment>
    <comment ref="B1064" authorId="8" shapeId="0" xr:uid="{3DE9C28A-D018-45AB-A3AC-2497A6F51D1C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6" authorId="9" shapeId="0" xr:uid="{31703A15-29CC-48B3-B422-3E32F1AB0537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8" authorId="10" shapeId="0" xr:uid="{F57A1907-C63C-4B3A-88DC-57DABDF3A28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50" authorId="11" shapeId="0" xr:uid="{0232B0BB-190C-417F-8357-5BBFBA5D561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tc={D83ED4DE-9E07-4EE8-9E24-4E5639C4DA3A}</author>
    <author>tc={BBBBD04F-75F4-412E-B954-9863CF0F885C}</author>
    <author>tc={248B9DF9-7D08-4EA8-8763-F044466AAAAC}</author>
    <author>tc={C3F12C92-AC12-40B6-9269-8883401B2242}</author>
    <author>tc={65480D62-20E6-43E6-91D6-F0E06504E389}</author>
    <author>tc={F9BC625C-BE43-4678-9B50-AA62DBF416BC}</author>
    <author>tc={C774D473-1BD8-4141-A6FE-4327A41ED9FD}</author>
    <author>tc={CE546D83-BCC8-4597-9663-91FD09C034F8}</author>
    <author>tc={141150DC-EA13-4D9A-9395-0D651B2CD88C}</author>
    <author>tc={485BDF46-9469-4330-B97F-2F8652D8672A}</author>
  </authors>
  <commentList>
    <comment ref="B24" authorId="0" shapeId="0" xr:uid="{D83ED4DE-9E07-4EE8-9E24-4E5639C4DA3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To KYN.</t>
      </text>
    </comment>
    <comment ref="AB60" authorId="1" shapeId="0" xr:uid="{BBBBD04F-75F4-412E-B954-9863CF0F88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choke now EL19F0404R dt 30.12.24
</t>
      </text>
    </comment>
    <comment ref="AB65" authorId="2" shapeId="0" xr:uid="{248B9DF9-7D08-4EA8-8763-F044466AAA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choke EL18F06061R Failed on dt  8-Oct-24.
</t>
      </text>
    </comment>
    <comment ref="B178" authorId="3" shapeId="0" xr:uid="{C3F12C92-AC12-40B6-9269-8883401B2242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Gonda to Gaziabad dt 14/03/22</t>
      </text>
    </comment>
    <comment ref="B180" authorId="4" shapeId="0" xr:uid="{65480D62-20E6-43E6-91D6-F0E06504E389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 from Vodadara to Gaziabad</t>
      </text>
    </comment>
    <comment ref="B337" authorId="5" shapeId="0" xr:uid="{F9BC625C-BE43-4678-9B50-AA62DBF416B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Transferred to kyn</t>
      </text>
    </comment>
    <comment ref="B339" authorId="6" shapeId="0" xr:uid="{C774D473-1BD8-4141-A6FE-4327A41ED9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Trafo</t>
      </text>
    </comment>
    <comment ref="B341" authorId="7" shapeId="0" xr:uid="{CE546D83-BCC8-4597-9663-91FD09C034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tranfo</t>
      </text>
    </comment>
    <comment ref="B343" authorId="8" shapeId="0" xr:uid="{141150DC-EA13-4D9A-9395-0D651B2CD8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tranfo</t>
      </text>
    </comment>
    <comment ref="B345" authorId="9" shapeId="0" xr:uid="{485BDF46-9469-4330-B97F-2F8652D8672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Trafo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LENOVO</author>
    <author>Dutta, Anish (RC-IN SMO CS RS1)</author>
    <author>tc={5A71F1F1-C7DC-4BE0-9A10-938D5C10CDA7}</author>
    <author>tc={EB1BBF3C-F2B1-493A-969C-AB9D12D4CDFD}</author>
    <author>tc={F2A31BA6-C67F-48D3-9DB5-2F998C8CD2E4}</author>
  </authors>
  <commentList>
    <comment ref="B2" authorId="0" shapeId="0" xr:uid="{3ED3D627-292B-46A9-9C0B-49D62A2B27A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Transfer from Gajiyabad 08-06-22
</t>
        </r>
      </text>
    </comment>
    <comment ref="B34" authorId="0" shapeId="0" xr:uid="{FC53B0A5-881D-44C1-AE49-4907883FDE3F}">
      <text>
        <r>
          <rPr>
            <sz val="9"/>
            <color indexed="81"/>
            <rFont val="Tahoma"/>
            <family val="2"/>
          </rPr>
          <t xml:space="preserve">Below Both HLC Lifted on 07-Feb-22 from 30544 &amp; New HLC Was Commisioned &amp; old HLC SL NO &amp; D.O.C 24-May-22
1. STB9H0084HLCC
2. STB9H0089HLCC
</t>
        </r>
      </text>
    </comment>
    <comment ref="H42" authorId="0" shapeId="0" xr:uid="{CAD4DFBC-F5B6-429B-9750-BE060A11DF9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Trans from Kanpur
DOC at GMO 12-FEB-2021</t>
        </r>
      </text>
    </comment>
    <comment ref="AB60" authorId="0" shapeId="0" xr:uid="{37B89775-F11B-42B6-BF5A-9912F470DA3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modified choke,replace 08-07-21</t>
        </r>
      </text>
    </comment>
    <comment ref="AB62" authorId="0" shapeId="0" xr:uid="{79293818-E40F-4583-BDEF-475F04B0727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Modified choke, replace 28-06-21</t>
        </r>
      </text>
    </comment>
    <comment ref="AB63" authorId="0" shapeId="0" xr:uid="{489FE0E7-FAA7-4DF7-912D-7F93E1E29A10}">
      <text>
        <r>
          <rPr>
            <b/>
            <sz val="9"/>
            <color indexed="81"/>
            <rFont val="Tahoma"/>
            <family val="2"/>
          </rPr>
          <t>Windows User:
modified hlc, replace 12-11-21</t>
        </r>
      </text>
    </comment>
    <comment ref="AB80" authorId="0" shapeId="0" xr:uid="{6193CAE2-9166-44C0-9BD8-3520A27C1A5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modified ,replace 07-07-21
</t>
        </r>
      </text>
    </comment>
    <comment ref="B116" authorId="1" shapeId="0" xr:uid="{B0ECED18-C58A-4A8B-A5A7-CF1ADDA846AE}">
      <text>
        <r>
          <rPr>
            <sz val="9"/>
            <color indexed="81"/>
            <rFont val="Tahoma"/>
            <family val="2"/>
          </rPr>
          <t xml:space="preserve">Below Both HLC Lifted  from 30621  &amp; New HLC were fitted.  D.O.C is  06-June-23
Old Sr.no
1. STB7J0128HLCD 
2.STB9J0162HLCD
</t>
        </r>
      </text>
    </comment>
    <comment ref="AB120" authorId="0" shapeId="0" xr:uid="{2B138171-6EF8-4C8A-A06D-4B6ABE0F389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replace 12-02-21</t>
        </r>
      </text>
    </comment>
    <comment ref="AB162" authorId="0" shapeId="0" xr:uid="{D1E60FC2-09E8-44A9-B682-3C22AEF0300A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Replace on 04-09-20</t>
        </r>
      </text>
    </comment>
    <comment ref="AB165" authorId="0" shapeId="0" xr:uid="{FF6DD0A4-4405-4608-929A-8E7969E6B84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replace 21-01-20</t>
        </r>
      </text>
    </comment>
    <comment ref="AB168" authorId="0" shapeId="0" xr:uid="{6FEF484A-38D1-4698-AF6A-CEC9F15DB1D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choke modified 02-07-21
</t>
        </r>
      </text>
    </comment>
    <comment ref="AB188" authorId="0" shapeId="0" xr:uid="{6EB20230-D55C-44D8-8E68-75F7FC86332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modified choke replace 21-05-22</t>
        </r>
      </text>
    </comment>
    <comment ref="AB189" authorId="0" shapeId="0" xr:uid="{EB1868BA-C793-45D1-AAA7-AB77E643C44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modified choke replace 13-07-22</t>
        </r>
      </text>
    </comment>
    <comment ref="AB192" authorId="0" shapeId="0" xr:uid="{4D48FF13-5164-4067-B50C-668DB275983B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hlc modified replced 14-07-21</t>
        </r>
      </text>
    </comment>
    <comment ref="B198" authorId="2" shapeId="0" xr:uid="{08EBBEA9-55FB-430C-9578-38C865B759A3}">
      <text>
        <r>
          <rPr>
            <b/>
            <sz val="9"/>
            <color indexed="81"/>
            <rFont val="Tahoma"/>
            <family val="2"/>
          </rPr>
          <t>Dutta, Anish (RC-IN SMO CS RS1):</t>
        </r>
        <r>
          <rPr>
            <sz val="9"/>
            <color indexed="81"/>
            <rFont val="Tahoma"/>
            <family val="2"/>
          </rPr>
          <t xml:space="preserve">
Transfer to Gonda
</t>
        </r>
      </text>
    </comment>
    <comment ref="B199" authorId="2" shapeId="0" xr:uid="{DCDF15F9-5ACA-4A00-8E04-C56E0403EAA6}">
      <text>
        <r>
          <rPr>
            <b/>
            <sz val="9"/>
            <color indexed="81"/>
            <rFont val="Tahoma"/>
            <family val="2"/>
          </rPr>
          <t>Dutta, Anish (RC-IN SMO CS RS1):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00" authorId="0" shapeId="0" xr:uid="{ADAB01E1-5C34-4483-8946-D8CB24C25EE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modified choke,replaced 26-05-22</t>
        </r>
      </text>
    </comment>
    <comment ref="AB213" authorId="0" shapeId="0" xr:uid="{B866A779-09CD-4987-B1BD-56AB1809591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modified choke ,replce 14-07-22</t>
        </r>
      </text>
    </comment>
    <comment ref="B224" authorId="1" shapeId="0" xr:uid="{D7BDBFC7-BAB5-4E7F-9597-0D1195206D06}">
      <text>
        <r>
          <rPr>
            <b/>
            <sz val="9"/>
            <color indexed="81"/>
            <rFont val="Tahoma"/>
            <family val="2"/>
          </rPr>
          <t>Below Both HLC Lifted  from 30594  &amp; New HLC were fitted.  D.O.C is  23-June-23
Old Sr.no
1.STB7J0124HLCD
2.STB7J0125HLCD</t>
        </r>
      </text>
    </comment>
    <comment ref="AB232" authorId="0" shapeId="0" xr:uid="{C96EF411-0265-4F21-B02F-EB92A2B601E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modified choke,replace  03-05-22
</t>
        </r>
      </text>
    </comment>
    <comment ref="AB236" authorId="0" shapeId="0" xr:uid="{516A845A-452D-460F-8F20-F719C51120F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modified choke, replce 24-06-21</t>
        </r>
      </text>
    </comment>
    <comment ref="AB239" authorId="0" shapeId="0" xr:uid="{E3D7054E-B5C9-43DA-9F7C-ED656D4A4D2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modified choke ,replace 22-06-21</t>
        </r>
      </text>
    </comment>
    <comment ref="AB241" authorId="0" shapeId="0" xr:uid="{A4EAB558-020D-47EA-8F88-79A9C5322F7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Replace on 18-10-19</t>
        </r>
      </text>
    </comment>
    <comment ref="AB248" authorId="0" shapeId="0" xr:uid="{585F3F13-E963-4B83-BCBD-DC0AA6FC145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Both hlc modified, replace 11-08-21</t>
        </r>
      </text>
    </comment>
    <comment ref="B324" authorId="2" shapeId="0" xr:uid="{FE61F373-48C5-4F1B-A5B4-892D4BA9D602}">
      <text>
        <r>
          <rPr>
            <b/>
            <sz val="9"/>
            <color indexed="81"/>
            <rFont val="Tahoma"/>
            <family val="2"/>
          </rPr>
          <t>Dutta, Anish (RC-IN SMO CS RS1):</t>
        </r>
        <r>
          <rPr>
            <sz val="9"/>
            <color indexed="81"/>
            <rFont val="Tahoma"/>
            <family val="2"/>
          </rPr>
          <t xml:space="preserve">
Communication card found faulty on 15.04.25</t>
        </r>
      </text>
    </comment>
    <comment ref="B380" authorId="3" shapeId="0" xr:uid="{5A71F1F1-C7DC-4BE0-9A10-938D5C10CD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Transfered from GZB dt 30.08.24
</t>
      </text>
    </comment>
    <comment ref="B382" authorId="4" shapeId="0" xr:uid="{EB1BBF3C-F2B1-493A-969C-AB9D12D4CD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transfered from GZB Dt 30.08.24
</t>
      </text>
    </comment>
    <comment ref="B384" authorId="5" shapeId="0" xr:uid="{F2A31BA6-C67F-48D3-9DB5-2F998C8CD2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Transfered from GZB dt 30.08.24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tc={C8BA4253-400C-4F9D-92CF-9C59559D1172}</author>
    <author>tc={F928CFAE-6129-4F9A-B036-21482245DF97}</author>
    <author>tc={99FA1625-4D6E-4CBF-9332-37B7611F0CA6}</author>
    <author>tc={4ED26B40-E2DB-498B-8D6A-41161D138B02}</author>
    <author>Author</author>
    <author>tc={E8D49FE1-7CBD-4191-BE73-A387FEF376BB}</author>
    <author>tc={F9E5C96A-C83A-43FB-BBE5-6C1A59788848}</author>
    <author>tc={8B5C5D7E-63D9-4B80-B5DA-587C4302C157}</author>
    <author>tc={DC48B759-DD13-4122-AFE8-A971E14461AF}</author>
    <author>tc={97C03CC9-5FCD-44EE-BBDC-41F46E035B39}</author>
    <author>tc={EF4A0482-1DD4-4320-8458-13B39A0095B7}</author>
    <author>tc={7C7B38A9-5618-4654-9DA8-A4F309ECE7CC}</author>
  </authors>
  <commentList>
    <comment ref="B170" authorId="0" shapeId="0" xr:uid="{C8BA4253-400C-4F9D-92CF-9C59559D11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Gaziabad to BNDM
</t>
      </text>
    </comment>
    <comment ref="B216" authorId="1" shapeId="0" xr:uid="{F928CFAE-6129-4F9A-B036-21482245DF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GZB to GMO
</t>
      </text>
    </comment>
    <comment ref="B256" authorId="2" shapeId="0" xr:uid="{99FA1625-4D6E-4CBF-9332-37B7611F0C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 14/03/22</t>
      </text>
    </comment>
    <comment ref="B258" authorId="3" shapeId="0" xr:uid="{4ED26B40-E2DB-498B-8D6A-41161D138B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dt. 14/03/22
</t>
      </text>
    </comment>
    <comment ref="N474" authorId="4" shapeId="0" xr:uid="{1F1A042C-2DED-4DC4-96A6-11125A5A7312}">
      <text>
        <r>
          <rPr>
            <b/>
            <sz val="9"/>
            <color indexed="81"/>
            <rFont val="Tahoma"/>
            <family val="2"/>
          </rPr>
          <t>1st 16-12-2020, 2nd 22-02-2021, 3rd 18-03-2021</t>
        </r>
      </text>
    </comment>
    <comment ref="B935" authorId="5" shapeId="0" xr:uid="{E8D49FE1-7CBD-4191-BE73-A387FEF376BB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Gonda to Gaziabad dt 14/03/22</t>
      </text>
    </comment>
    <comment ref="B939" authorId="6" shapeId="0" xr:uid="{F9E5C96A-C83A-43FB-BBE5-6C1A597888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 from Vodadara to Gaziabad</t>
      </text>
    </comment>
    <comment ref="B941" authorId="7" shapeId="0" xr:uid="{8B5C5D7E-63D9-4B80-B5DA-587C4302C157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to RPM from Gonda shed dt 14/03/22.</t>
      </text>
    </comment>
    <comment ref="B1061" authorId="8" shapeId="0" xr:uid="{DC48B759-DD13-4122-AFE8-A971E14461AF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6" authorId="9" shapeId="0" xr:uid="{97C03CC9-5FCD-44EE-BBDC-41F46E035B39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8" authorId="10" shapeId="0" xr:uid="{EF4A0482-1DD4-4320-8458-13B39A0095B7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50" authorId="11" shapeId="0" xr:uid="{7C7B38A9-5618-4654-9DA8-A4F309ECE7CC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tc={8B407ECA-AEE2-4CD3-8CDE-03327278486D}</author>
    <author>tc={5DA37F06-ECD2-44AC-A3E1-7C497E31156E}</author>
    <author>tc={2B636422-F764-461D-818D-CE01EBB7F5E0}</author>
    <author>tc={76A2E718-EA1E-4D14-9255-B0E7DCAD4E67}</author>
  </authors>
  <commentList>
    <comment ref="B256" authorId="0" shapeId="0" xr:uid="{8B407ECA-AEE2-4CD3-8CDE-03327278486D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258" authorId="1" shapeId="0" xr:uid="{5DA37F06-ECD2-44AC-A3E1-7C497E31156E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260" authorId="2" shapeId="0" xr:uid="{2B636422-F764-461D-818D-CE01EBB7F5E0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262" authorId="3" shapeId="0" xr:uid="{76A2E718-EA1E-4D14-9255-B0E7DCAD4E67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tc={270B5795-42A0-4099-A692-72EE761D7181}</author>
    <author>tc={CACCE4A1-EABD-4D2C-A170-AA276D0CBE5D}</author>
    <author>tc={A7607225-076D-4942-A93A-84A56ECBCF1A}</author>
    <author>tc={0C52BD9E-8C74-42DD-AEAA-E86D7E31E8D1}</author>
    <author>Author</author>
    <author>tc={3BB09A0D-5E67-45BB-B054-B4213620E0FE}</author>
    <author>tc={B9730329-F225-4D65-ADE0-E43EC70928C2}</author>
    <author>tc={16763826-50C6-4EA0-B06F-D3E6953DC3D3}</author>
    <author>tc={00BEE91A-1FEB-4429-B611-93F092B75A51}</author>
    <author>tc={13AFB8B6-43E9-4D11-BE9D-3D414CBA79A7}</author>
    <author>tc={0D2220DB-29B1-4FEB-9FA0-040C241C6FD1}</author>
    <author>tc={56759973-CF4C-4948-AB11-A79B5E79BD14}</author>
  </authors>
  <commentList>
    <comment ref="B168" authorId="0" shapeId="0" xr:uid="{270B5795-42A0-4099-A692-72EE761D7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Gaziabad to BNDM
</t>
      </text>
    </comment>
    <comment ref="B214" authorId="1" shapeId="0" xr:uid="{CACCE4A1-EABD-4D2C-A170-AA276D0CBE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 from GZB to GMO
</t>
      </text>
    </comment>
    <comment ref="B254" authorId="2" shapeId="0" xr:uid="{A7607225-076D-4942-A93A-84A56ECBCF1A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 14/03/22</t>
      </text>
    </comment>
    <comment ref="B256" authorId="3" shapeId="0" xr:uid="{0C52BD9E-8C74-42DD-AEAA-E86D7E31E8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Loco transfered from Gonda to RPM dt. 14/03/22
</t>
      </text>
    </comment>
    <comment ref="N472" authorId="4" shapeId="0" xr:uid="{1CB6DE12-328A-4FE8-903B-2D5AF6143B45}">
      <text>
        <r>
          <rPr>
            <b/>
            <sz val="9"/>
            <color indexed="81"/>
            <rFont val="Tahoma"/>
            <family val="2"/>
          </rPr>
          <t>1st 16-12-2020, 2nd 22-02-2021, 3rd 18-03-2021</t>
        </r>
      </text>
    </comment>
    <comment ref="B933" authorId="5" shapeId="0" xr:uid="{3BB09A0D-5E67-45BB-B054-B4213620E0FE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transferred Gonda to Gaziabad dt 14/03/22</t>
      </text>
    </comment>
    <comment ref="B937" authorId="6" shapeId="0" xr:uid="{B9730329-F225-4D65-ADE0-E43EC70928C2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 from Vodadara to Gaziabad</t>
      </text>
    </comment>
    <comment ref="B939" authorId="7" shapeId="0" xr:uid="{16763826-50C6-4EA0-B06F-D3E6953DC3D3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to RPM from Gonda shed dt 14/03/22.</t>
      </text>
    </comment>
    <comment ref="B1059" authorId="8" shapeId="0" xr:uid="{00BEE91A-1FEB-4429-B611-93F092B75A5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4" authorId="9" shapeId="0" xr:uid="{13AFB8B6-43E9-4D11-BE9D-3D414CBA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6" authorId="10" shapeId="0" xr:uid="{0D2220DB-29B1-4FEB-9FA0-040C241C6FD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  <comment ref="B1148" authorId="11" shapeId="0" xr:uid="{56759973-CF4C-4948-AB11-A79B5E79BD14}">
      <text>
        <t>[Threaded comment]
Your version of Excel allows you to read this threaded comment; however, any edits to it will get removed if the file is opened in a newer version of Excel. Learn more: https://go.microsoft.com/fwlink/?linkid=870924
Comment:
    Loco transfered from Gonda to KYN dt 14/03/22</t>
      </text>
    </comment>
  </commentList>
</comments>
</file>

<file path=xl/sharedStrings.xml><?xml version="1.0" encoding="utf-8"?>
<sst xmlns="http://schemas.openxmlformats.org/spreadsheetml/2006/main" count="54864" uniqueCount="2710">
  <si>
    <t>Region</t>
  </si>
  <si>
    <t>Updated On
DATE</t>
  </si>
  <si>
    <t>DELHI</t>
  </si>
  <si>
    <t>MUMBAI</t>
  </si>
  <si>
    <t>KOLKATTA</t>
  </si>
  <si>
    <t>CHENNAI</t>
  </si>
  <si>
    <t>BANGALORE</t>
  </si>
  <si>
    <t>HYDERABAD</t>
  </si>
  <si>
    <t>received</t>
  </si>
  <si>
    <t>Shed</t>
  </si>
  <si>
    <t>BAN</t>
  </si>
  <si>
    <t>CHE</t>
  </si>
  <si>
    <t>HYD</t>
  </si>
  <si>
    <t>DEL</t>
  </si>
  <si>
    <t>KOL</t>
  </si>
  <si>
    <t>MUM</t>
  </si>
  <si>
    <t>Grand total</t>
  </si>
  <si>
    <t>Details for Removal of metal short link  from M9000 with wire - Base Shed: Raipuram</t>
  </si>
  <si>
    <t>S.No.</t>
  </si>
  <si>
    <t>Loco no.</t>
  </si>
  <si>
    <t>HLC</t>
  </si>
  <si>
    <t>Serial no. of HLC</t>
  </si>
  <si>
    <t>Base Shed</t>
  </si>
  <si>
    <t>Railway</t>
  </si>
  <si>
    <t>DOC</t>
  </si>
  <si>
    <t>serial no.</t>
  </si>
  <si>
    <t>Type of Text display</t>
  </si>
  <si>
    <t>Software version in Conv</t>
  </si>
  <si>
    <t>Software version in Conv
(Master) U7D2S04V.005
(Module) U7F2S240.005
*DATE*</t>
  </si>
  <si>
    <t>Software version of display</t>
  </si>
  <si>
    <t>Software version (UAT2Y44O.012) of display updation 
*DATE*</t>
  </si>
  <si>
    <t>Filter clean
*DATE*</t>
  </si>
  <si>
    <t>Filter Change
*DATE*</t>
  </si>
  <si>
    <t>Removal of metal shortlink  from M9000 with wire</t>
  </si>
  <si>
    <t>Replacement of 10 amp fuse with 20amp</t>
  </si>
  <si>
    <t>Shifting of wires on O/P contactor</t>
  </si>
  <si>
    <t>External earth fault wire modification</t>
  </si>
  <si>
    <t>Shifting of wires of output voltage available lamp</t>
  </si>
  <si>
    <t>Sealing of cable entry of panel</t>
  </si>
  <si>
    <t>Sealing of main fan plate (On which DC-DC converter installed)</t>
  </si>
  <si>
    <t>Mounting of 110 volt DC fan on PWR</t>
  </si>
  <si>
    <t>Air leakage status in duct at the back of the converter</t>
  </si>
  <si>
    <t>FG block removal from bottom of input choke</t>
  </si>
  <si>
    <t>Surge arrestor fitment</t>
  </si>
  <si>
    <t>Input choke change
(mention sr.no. of new choke_</t>
  </si>
  <si>
    <t>O/P choke change
(mention sr.no. of new choke_</t>
  </si>
  <si>
    <t>Control fuse 
6.5amp to 15amp
(Glass fuse)</t>
  </si>
  <si>
    <t>Display button</t>
  </si>
  <si>
    <t>DC link bus bar supporter</t>
  </si>
  <si>
    <t>Software version in Conv (171022)
(Master) W812N04V.005
(Module) W812N240.005
*DATE*</t>
  </si>
  <si>
    <t>New Software version (UAT2Y44O.012) of display updation 
*DATE*</t>
  </si>
  <si>
    <t>Sine Filter Capacitor washer fitment and tightness of connection
*DATE*</t>
  </si>
  <si>
    <t>ELR setting to check
(1amp /10 sec)</t>
  </si>
  <si>
    <t>Heat Sink Cleaning 
*Date*</t>
  </si>
  <si>
    <t>HLC-B</t>
  </si>
  <si>
    <t>STB2L0412HLCD</t>
  </si>
  <si>
    <t>Raipuram</t>
  </si>
  <si>
    <t>SR</t>
  </si>
  <si>
    <t>Nashik</t>
  </si>
  <si>
    <t>M-U7D2S04V.005,
MO-U7F2S240.005</t>
  </si>
  <si>
    <t>UAT2Y440.012</t>
  </si>
  <si>
    <t>Con-B done</t>
  </si>
  <si>
    <t>Conv-B DONE</t>
  </si>
  <si>
    <t>Done</t>
  </si>
  <si>
    <t>HLC-A</t>
  </si>
  <si>
    <t>STB8F0022HLDA</t>
  </si>
  <si>
    <t>Imported</t>
  </si>
  <si>
    <t>L3I2ZY72.008</t>
  </si>
  <si>
    <t>Conv-A DONE</t>
  </si>
  <si>
    <t>STB7H0068HLCC</t>
  </si>
  <si>
    <t>STB8J0137HLCD</t>
  </si>
  <si>
    <t>STB8F0046HLDA</t>
  </si>
  <si>
    <t>STB7H0071HLCC</t>
  </si>
  <si>
    <t>STB9J0157HLCD</t>
  </si>
  <si>
    <t>STBDP1384HLCD</t>
  </si>
  <si>
    <t>Done by NW</t>
  </si>
  <si>
    <t>STBDP1387HLCD</t>
  </si>
  <si>
    <t>STB9P1346HLCD</t>
  </si>
  <si>
    <t>STB9P1357HLCD</t>
  </si>
  <si>
    <t>STBDN1183HLCD</t>
  </si>
  <si>
    <t>STB9P1348HLCD</t>
  </si>
  <si>
    <t>STBDP1339HLCD</t>
  </si>
  <si>
    <t> </t>
  </si>
  <si>
    <t>STBDP1338HLCD</t>
  </si>
  <si>
    <t>STBDP1389HLCD</t>
  </si>
  <si>
    <t>STBDP1385HLCD</t>
  </si>
  <si>
    <t>STB9P1354HLCD</t>
  </si>
  <si>
    <t>STB9P1359HLCD</t>
  </si>
  <si>
    <t>STBDN1180HLCD</t>
  </si>
  <si>
    <t>STBOP1361HLCD</t>
  </si>
  <si>
    <t>STBDN1181HLCD</t>
  </si>
  <si>
    <t>NA</t>
  </si>
  <si>
    <t>STB9P1351HLCD</t>
  </si>
  <si>
    <t>STBDP1382HLCD</t>
  </si>
  <si>
    <t>STBDP1380HLCD</t>
  </si>
  <si>
    <t>STB3P1259HLCD</t>
  </si>
  <si>
    <t>STB3P1265HLCD</t>
  </si>
  <si>
    <t>STB4P1301HLCD</t>
  </si>
  <si>
    <t>STB4P1295HLCD</t>
  </si>
  <si>
    <t>STB3P1255HLCD</t>
  </si>
  <si>
    <t>STB3P1258HLCD</t>
  </si>
  <si>
    <t>STBDP1386HLCD</t>
  </si>
  <si>
    <t>STBDP1388HLCD</t>
  </si>
  <si>
    <t>STBDP1390HLCD</t>
  </si>
  <si>
    <t>STBDP1391HLCD</t>
  </si>
  <si>
    <t>STB2P1232HLCD</t>
  </si>
  <si>
    <t>STB2P1235HLCD</t>
  </si>
  <si>
    <t>STB2P1239HLCD</t>
  </si>
  <si>
    <t>STB2P1238HLCD</t>
  </si>
  <si>
    <t>STB9P1332HLCD</t>
  </si>
  <si>
    <t>STB9P1333HLCD</t>
  </si>
  <si>
    <t>STB4N1121HLCD</t>
  </si>
  <si>
    <t>STB4N1119HLCD</t>
  </si>
  <si>
    <t>STB4N1118HLCD</t>
  </si>
  <si>
    <t>STB4N1120HLCD</t>
  </si>
  <si>
    <t>STB4N1117HLCD</t>
  </si>
  <si>
    <t>STB4N1116HLCD</t>
  </si>
  <si>
    <t>STBNM1039</t>
  </si>
  <si>
    <t>STB8M0937HLCD</t>
  </si>
  <si>
    <t>STB8M0936HLCD</t>
  </si>
  <si>
    <t>STB5M0780HLCD</t>
  </si>
  <si>
    <t xml:space="preserve">Done </t>
  </si>
  <si>
    <t>STBDL0757HLCD</t>
  </si>
  <si>
    <t>STBDL0755HLCD</t>
  </si>
  <si>
    <t>STBOL0675HLCD</t>
  </si>
  <si>
    <t>STBOL0670HLCD</t>
  </si>
  <si>
    <t>STB0L0657HLCD</t>
  </si>
  <si>
    <t>STB0L0660HLCD</t>
  </si>
  <si>
    <t>STB8M0915HLCD</t>
  </si>
  <si>
    <t>STBOM1012HLCD</t>
  </si>
  <si>
    <t>STBDL0759HLCD</t>
  </si>
  <si>
    <t>STB8M0925HLCD</t>
  </si>
  <si>
    <t>STB7M0865HLCD</t>
  </si>
  <si>
    <t>STB7M0864HLCD</t>
  </si>
  <si>
    <t>STB6L0557HLCD</t>
  </si>
  <si>
    <t>EL17 G01 024 -R</t>
  </si>
  <si>
    <t>EL19D02007</t>
  </si>
  <si>
    <t>STB6L0574HLCD</t>
  </si>
  <si>
    <t>STB5L0509HLCD</t>
  </si>
  <si>
    <t>STB5L0515HLCD</t>
  </si>
  <si>
    <t>Conv -A Done</t>
  </si>
  <si>
    <t>STB5L0511HLCD</t>
  </si>
  <si>
    <t>STB5L0510HLCD</t>
  </si>
  <si>
    <t>STB5L0519HLCD</t>
  </si>
  <si>
    <t>STB5L0514HLCD</t>
  </si>
  <si>
    <t>STBNK0346HLCD</t>
  </si>
  <si>
    <t>STBNK0347HLCD</t>
  </si>
  <si>
    <t>STBDK0361HLCD</t>
  </si>
  <si>
    <t>STBDK0352HLCD</t>
  </si>
  <si>
    <t>STB4L0486HLCD</t>
  </si>
  <si>
    <t>STB4L0488HLCD</t>
  </si>
  <si>
    <t>EL19J04040</t>
  </si>
  <si>
    <t>STB4L0480HLCD</t>
  </si>
  <si>
    <t>STB4L0485HLCD</t>
  </si>
  <si>
    <t>STB3K0207HLCD</t>
  </si>
  <si>
    <t>STB3K0206HLCD</t>
  </si>
  <si>
    <t>EL18K03 026-R</t>
  </si>
  <si>
    <t>STB4L0492HLCD</t>
  </si>
  <si>
    <t>STBDF0047HLCA</t>
  </si>
  <si>
    <t>STBDF0048HLCA</t>
  </si>
  <si>
    <t>STB1F0042HLCB</t>
  </si>
  <si>
    <t>STB1N0037HLCB</t>
  </si>
  <si>
    <t>STB9F0030HLCB</t>
  </si>
  <si>
    <t>STB9F0029HLCB</t>
  </si>
  <si>
    <t>STB9H0083HLCC</t>
  </si>
  <si>
    <t>STB9H0082HLCC</t>
  </si>
  <si>
    <t>STB6J0110HLCD</t>
  </si>
  <si>
    <t>STB6J0113HLCD</t>
  </si>
  <si>
    <t>STB1L0380HLCD</t>
  </si>
  <si>
    <t>STB6K0255HLCD</t>
  </si>
  <si>
    <t>EL20L01030</t>
  </si>
  <si>
    <t>STB7K0265HLCD</t>
  </si>
  <si>
    <t>STB6K0254HLCD</t>
  </si>
  <si>
    <t>STB7K0264HLCD</t>
  </si>
  <si>
    <t>STB0K0317HLCD</t>
  </si>
  <si>
    <t>STB0K0316HLCD</t>
  </si>
  <si>
    <t>STB2L0413HLCD</t>
  </si>
  <si>
    <t>STB4L0470HLCD</t>
  </si>
  <si>
    <t>STB1L0497HLCD</t>
  </si>
  <si>
    <t>EL19H01007-R</t>
  </si>
  <si>
    <t>STB5L0496HLCD</t>
  </si>
  <si>
    <t>STB4L0471HLCD</t>
  </si>
  <si>
    <t>STB5L0502HLCD</t>
  </si>
  <si>
    <t>STB5L0503HLCD</t>
  </si>
  <si>
    <t>EL17 G01 012 -R</t>
  </si>
  <si>
    <t>STB5L0499HLCD</t>
  </si>
  <si>
    <t>STB1L0381HLCD</t>
  </si>
  <si>
    <r>
      <t>Software version in Conv
(Master) U7D2S04V.005
(Module) U7F2S240.005</t>
    </r>
    <r>
      <rPr>
        <b/>
        <strike/>
        <sz val="16"/>
        <color rgb="FFFF0000"/>
        <rFont val="Calibri"/>
        <family val="2"/>
      </rPr>
      <t xml:space="preserve">
*DATE*</t>
    </r>
  </si>
  <si>
    <r>
      <t>Software version (UAT2Y440.012) of display updation</t>
    </r>
    <r>
      <rPr>
        <b/>
        <strike/>
        <sz val="14"/>
        <color rgb="FFFF0000"/>
        <rFont val="Calibri"/>
        <family val="2"/>
      </rPr>
      <t xml:space="preserve">
*DATE*</t>
    </r>
  </si>
  <si>
    <r>
      <t>Filter clean</t>
    </r>
    <r>
      <rPr>
        <b/>
        <sz val="12"/>
        <color rgb="FFFF0000"/>
        <rFont val="Calibri"/>
        <family val="2"/>
      </rPr>
      <t xml:space="preserve">
*DATE*</t>
    </r>
  </si>
  <si>
    <r>
      <t>Filter Change</t>
    </r>
    <r>
      <rPr>
        <b/>
        <sz val="12"/>
        <color rgb="FFFF0000"/>
        <rFont val="Calibri"/>
        <family val="2"/>
      </rPr>
      <t xml:space="preserve">
*DATE*</t>
    </r>
  </si>
  <si>
    <t>Control fuse
6.5amp to 15amp
(Glass fuse)</t>
  </si>
  <si>
    <t>DC link bus bar
supporter</t>
  </si>
  <si>
    <r>
      <t xml:space="preserve">Software version in Conv (200622)
(Master) Y6U2N04V.006
(Module) Y6U2N240.005
</t>
    </r>
    <r>
      <rPr>
        <b/>
        <sz val="16"/>
        <color rgb="FFFF0000"/>
        <rFont val="Calibri"/>
        <family val="2"/>
        <scheme val="minor"/>
      </rPr>
      <t>*DATE*</t>
    </r>
  </si>
  <si>
    <r>
      <t>New Software version (UAT2Y44</t>
    </r>
    <r>
      <rPr>
        <b/>
        <sz val="12"/>
        <color rgb="FFFF0000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.012) of display updation 
</t>
    </r>
    <r>
      <rPr>
        <b/>
        <sz val="14"/>
        <color rgb="FFFF0000"/>
        <rFont val="Calibri"/>
        <family val="2"/>
        <scheme val="minor"/>
      </rPr>
      <t>*DATE*</t>
    </r>
  </si>
  <si>
    <r>
      <t xml:space="preserve">Sine Filter Capacitor washer fitment and tightness of connection
</t>
    </r>
    <r>
      <rPr>
        <b/>
        <sz val="12"/>
        <color rgb="FFFF0000"/>
        <rFont val="Calibri"/>
        <family val="2"/>
        <scheme val="minor"/>
      </rPr>
      <t>*DATE*</t>
    </r>
  </si>
  <si>
    <r>
      <rPr>
        <b/>
        <sz val="12"/>
        <rFont val="Calibri"/>
        <family val="2"/>
        <scheme val="minor"/>
      </rPr>
      <t>ELR setting to check</t>
    </r>
    <r>
      <rPr>
        <b/>
        <sz val="12"/>
        <color rgb="FFFF0000"/>
        <rFont val="Calibri"/>
        <family val="2"/>
        <scheme val="minor"/>
      </rPr>
      <t xml:space="preserve">
(1amp /10 sec)</t>
    </r>
  </si>
  <si>
    <t>I/P contactor SILICON washer</t>
  </si>
  <si>
    <t>Steel mesh on cyclonic filter on looc wall</t>
  </si>
  <si>
    <t>Installation of new type of communication card on display</t>
  </si>
  <si>
    <t>HMI software update by NW from panel</t>
  </si>
  <si>
    <t>STBOM1026</t>
  </si>
  <si>
    <t>STB5J0099HLCC</t>
  </si>
  <si>
    <t>Lallaguda</t>
  </si>
  <si>
    <t>SCR</t>
  </si>
  <si>
    <t>M-U7D2S04V.005,</t>
  </si>
  <si>
    <t>DONE</t>
  </si>
  <si>
    <t>25-07-2025</t>
  </si>
  <si>
    <t>25-07-2024</t>
  </si>
  <si>
    <t>18-11-2024</t>
  </si>
  <si>
    <t>STB5J0096HLCC</t>
  </si>
  <si>
    <t>STB7J0131HLCD</t>
  </si>
  <si>
    <t>13-07-2024</t>
  </si>
  <si>
    <t>15-07-2024</t>
  </si>
  <si>
    <t>18-06-2024</t>
  </si>
  <si>
    <t>STB7J0130HLCD</t>
  </si>
  <si>
    <t>STB5J0097HLCD</t>
  </si>
  <si>
    <t>22-07-2024</t>
  </si>
  <si>
    <t>24-07-2024</t>
  </si>
  <si>
    <t>STB5J0098HLCD</t>
  </si>
  <si>
    <t>STB8J0148HLCD</t>
  </si>
  <si>
    <t>BZA</t>
  </si>
  <si>
    <t>28-06-2024</t>
  </si>
  <si>
    <t>27-06-2024</t>
  </si>
  <si>
    <t>STB8J0149HLCD</t>
  </si>
  <si>
    <t>STB8J0150HLCD</t>
  </si>
  <si>
    <t>STB8J0151HLCD</t>
  </si>
  <si>
    <t>STB7J0120HLCD</t>
  </si>
  <si>
    <t>31-07-2024</t>
  </si>
  <si>
    <t>STB7J0121HLCD</t>
  </si>
  <si>
    <t>STB7J0129HLCD</t>
  </si>
  <si>
    <t>26-10-2024</t>
  </si>
  <si>
    <t>STB1J0156HLCD</t>
  </si>
  <si>
    <t>STB9J0159HLCD</t>
  </si>
  <si>
    <t>25-06-2024</t>
  </si>
  <si>
    <t>STB8J0136HLCD</t>
  </si>
  <si>
    <t>STB6J0118HLCD</t>
  </si>
  <si>
    <t>19-07-2024</t>
  </si>
  <si>
    <t>20-09-2024</t>
  </si>
  <si>
    <t>STB6J0108HLCD</t>
  </si>
  <si>
    <t>STB9J0164HLCD</t>
  </si>
  <si>
    <t>22-06-2024</t>
  </si>
  <si>
    <t>26-06-2024</t>
  </si>
  <si>
    <t>26-09-2024</t>
  </si>
  <si>
    <t>STB9J0165HLCD</t>
  </si>
  <si>
    <t>STB8J0143HLCD</t>
  </si>
  <si>
    <t>STB8J0142HLCD</t>
  </si>
  <si>
    <t>STB6J0119HLCD</t>
  </si>
  <si>
    <t>STB6J0109HLCD</t>
  </si>
  <si>
    <t>STB2K0180HLCD</t>
  </si>
  <si>
    <t>13-06-2024</t>
  </si>
  <si>
    <t>STB3K0196HLCD</t>
  </si>
  <si>
    <t>STB6K0258HLCD</t>
  </si>
  <si>
    <t>16-07-2024</t>
  </si>
  <si>
    <t>18-07-2024</t>
  </si>
  <si>
    <t>29-07-2024</t>
  </si>
  <si>
    <t>STB6K0259HLCD</t>
  </si>
  <si>
    <t>STBDL0742</t>
  </si>
  <si>
    <t>15-11-2024</t>
  </si>
  <si>
    <t>17-08-2024</t>
  </si>
  <si>
    <t>14-11-2024</t>
  </si>
  <si>
    <t>STBDL0740HLCD</t>
  </si>
  <si>
    <t>STBNL0711HLCD</t>
  </si>
  <si>
    <t>STB7L0608HLCD</t>
  </si>
  <si>
    <t>STBNL0716HLCD</t>
  </si>
  <si>
    <t>29-06-2024</t>
  </si>
  <si>
    <t>STB7L0595</t>
  </si>
  <si>
    <t>STB8M0910HLCD</t>
  </si>
  <si>
    <t>16-09-2024</t>
  </si>
  <si>
    <t>25-08-2024</t>
  </si>
  <si>
    <t>STB8M0911HLCD</t>
  </si>
  <si>
    <t>STB8M0959HLCD</t>
  </si>
  <si>
    <t>23-06-2024</t>
  </si>
  <si>
    <t>21-06-2024</t>
  </si>
  <si>
    <t>27-12-2024</t>
  </si>
  <si>
    <t>STB8M0958HLCD</t>
  </si>
  <si>
    <t>STB8M0928HLCD</t>
  </si>
  <si>
    <t>15-06-2024</t>
  </si>
  <si>
    <t>STB8M0929HLCD</t>
  </si>
  <si>
    <t>STB8M0918HLCD</t>
  </si>
  <si>
    <t>16-11-2024</t>
  </si>
  <si>
    <t>STB8M0919HLCD</t>
  </si>
  <si>
    <t>STB0L0677HLCD</t>
  </si>
  <si>
    <t>STB0L0676HLCD</t>
  </si>
  <si>
    <t>STB0L0663HLCD</t>
  </si>
  <si>
    <t>30-10-2024</t>
  </si>
  <si>
    <t>STB0L0664HLCD</t>
  </si>
  <si>
    <t>STBOL0653HLCD</t>
  </si>
  <si>
    <t>STBOL0654HLCD</t>
  </si>
  <si>
    <t>STB1M0772HLCD</t>
  </si>
  <si>
    <t>29-08-2024</t>
  </si>
  <si>
    <t>29-11-2024</t>
  </si>
  <si>
    <t>STB0L0658HLCD</t>
  </si>
  <si>
    <t>STBDL0762HLCD</t>
  </si>
  <si>
    <t>Done (ver-Nimesh)</t>
  </si>
  <si>
    <t>31-05-2024</t>
  </si>
  <si>
    <t>20-06-2024</t>
  </si>
  <si>
    <t>19-06-2024</t>
  </si>
  <si>
    <t>18-12-2024</t>
  </si>
  <si>
    <t>STBDL0765HLCD</t>
  </si>
  <si>
    <t>STB1M0777HLCD</t>
  </si>
  <si>
    <t>25-01-2025</t>
  </si>
  <si>
    <t>21-10-2024</t>
  </si>
  <si>
    <t>STBDL0763HLCD</t>
  </si>
  <si>
    <t>STB7M0856</t>
  </si>
  <si>
    <t>17-01-2025</t>
  </si>
  <si>
    <t>STB7M0857</t>
  </si>
  <si>
    <t>STB8M0940HLCD</t>
  </si>
  <si>
    <t>STB8M0941HLCD</t>
  </si>
  <si>
    <t>STB9M0988</t>
  </si>
  <si>
    <t>30-5-2021</t>
  </si>
  <si>
    <t>15-10-2024</t>
  </si>
  <si>
    <t>STBNM1049</t>
  </si>
  <si>
    <t>STB9M0997</t>
  </si>
  <si>
    <t>17-6-2021</t>
  </si>
  <si>
    <t>STB9M0989</t>
  </si>
  <si>
    <t>STB9M0994</t>
  </si>
  <si>
    <t>16-08-2024</t>
  </si>
  <si>
    <t>STB9M0990</t>
  </si>
  <si>
    <t>STBDM1061</t>
  </si>
  <si>
    <t>20-07-2024</t>
  </si>
  <si>
    <t>21-11-2024</t>
  </si>
  <si>
    <t>STB9M0991</t>
  </si>
  <si>
    <t>STB9M0996</t>
  </si>
  <si>
    <t>31-12-2024</t>
  </si>
  <si>
    <t>30-12-2024</t>
  </si>
  <si>
    <t>23-09-2024</t>
  </si>
  <si>
    <t>STB0M1027</t>
  </si>
  <si>
    <t>STBNM1048</t>
  </si>
  <si>
    <t>24-12-2024</t>
  </si>
  <si>
    <t>26-12-2024</t>
  </si>
  <si>
    <t>STBNN1166</t>
  </si>
  <si>
    <t>STBOM1018</t>
  </si>
  <si>
    <t>STB9M0995HLCD</t>
  </si>
  <si>
    <t>21-10-2021</t>
  </si>
  <si>
    <t>14-08-2024</t>
  </si>
  <si>
    <t>STB8M0898HLCD</t>
  </si>
  <si>
    <t>STB7M0894HLCD</t>
  </si>
  <si>
    <t>16-8-2021</t>
  </si>
  <si>
    <t>STB7M0895HLCD</t>
  </si>
  <si>
    <t>STBNM1042HLCD</t>
  </si>
  <si>
    <t>25-11-2024</t>
  </si>
  <si>
    <t>24-08-2024</t>
  </si>
  <si>
    <t>27-08-2024</t>
  </si>
  <si>
    <t>STBNM1043HLCD</t>
  </si>
  <si>
    <t>STB0M1025HLCD</t>
  </si>
  <si>
    <t>22-11-2024</t>
  </si>
  <si>
    <t>13-08-2024</t>
  </si>
  <si>
    <t>STB0M1024HLCD</t>
  </si>
  <si>
    <t>STB8M0951HLCD</t>
  </si>
  <si>
    <t>27-11-2024</t>
  </si>
  <si>
    <t>STB8M0914HLCD</t>
  </si>
  <si>
    <t>27-9-2021</t>
  </si>
  <si>
    <t>STBM0888HLCD</t>
  </si>
  <si>
    <t>STB8M0939HLCD</t>
  </si>
  <si>
    <t>26-3-2022</t>
  </si>
  <si>
    <t>STB8M0938HLCD</t>
  </si>
  <si>
    <t>STBNN1163HLCD</t>
  </si>
  <si>
    <t>23.5.25</t>
  </si>
  <si>
    <t>STBNN1162HLCD</t>
  </si>
  <si>
    <t>STBNN1160HLCD</t>
  </si>
  <si>
    <t>23-5-2022</t>
  </si>
  <si>
    <t>15.4.25</t>
  </si>
  <si>
    <t>STBNN1161HLCD</t>
  </si>
  <si>
    <t>NO</t>
  </si>
  <si>
    <t>N/A</t>
  </si>
  <si>
    <t>STBNN1167HLCD</t>
  </si>
  <si>
    <t>25-7-2022</t>
  </si>
  <si>
    <t>14-12-2024</t>
  </si>
  <si>
    <t>16-12-2024</t>
  </si>
  <si>
    <t>STB0M1021HLCD</t>
  </si>
  <si>
    <t>STB0M1020HLCD</t>
  </si>
  <si>
    <t>16-8-2022</t>
  </si>
  <si>
    <t>STBOM1019HLCD</t>
  </si>
  <si>
    <t>STBNN1164HLCD</t>
  </si>
  <si>
    <t>14-08-2022</t>
  </si>
  <si>
    <t>19-09-2024</t>
  </si>
  <si>
    <t>17-09-2024</t>
  </si>
  <si>
    <t>STBNN1165HLCD</t>
  </si>
  <si>
    <t>STB4P1283HLCD</t>
  </si>
  <si>
    <t>23-9-2022</t>
  </si>
  <si>
    <t>STB4P1282HLCD</t>
  </si>
  <si>
    <t>STB8R1527HLCD</t>
  </si>
  <si>
    <t>20-05-2024</t>
  </si>
  <si>
    <t>STB8R1526HLCD</t>
  </si>
  <si>
    <t>STB4P1307 HLCD</t>
  </si>
  <si>
    <t>28-02-2023</t>
  </si>
  <si>
    <t>STB5P1315 HLCD</t>
  </si>
  <si>
    <t>23-07-2024</t>
  </si>
  <si>
    <t>STB3R1417HLCD</t>
  </si>
  <si>
    <t>31-12-2023</t>
  </si>
  <si>
    <t>21.6.25</t>
  </si>
  <si>
    <t>STB4R1449HLCD</t>
  </si>
  <si>
    <t>STBR1546HLCD</t>
  </si>
  <si>
    <t>31-03-2024</t>
  </si>
  <si>
    <t>30-09-2024</t>
  </si>
  <si>
    <t>STBR1549HLCD</t>
  </si>
  <si>
    <t>STBNR1564HLCD</t>
  </si>
  <si>
    <t>30-04-2024</t>
  </si>
  <si>
    <t>STB9R1547HLCD</t>
  </si>
  <si>
    <t>STBNR1563HLCD</t>
  </si>
  <si>
    <t>STBNR1565HLCD</t>
  </si>
  <si>
    <t>STBNR1572HLCD</t>
  </si>
  <si>
    <t>18-09-2024</t>
  </si>
  <si>
    <t>STBNR1573HLCD</t>
  </si>
  <si>
    <t>STB9R1543HLCD</t>
  </si>
  <si>
    <t>STB9R1542HLCD</t>
  </si>
  <si>
    <t>STBNR1588HLCD</t>
  </si>
  <si>
    <t>STBNR1589HLCD</t>
  </si>
  <si>
    <t>STB9P1336HLCD</t>
  </si>
  <si>
    <t>10.5.25</t>
  </si>
  <si>
    <t>STB3P1254HLCD</t>
  </si>
  <si>
    <t>STB2R1406HLCD</t>
  </si>
  <si>
    <t>STB2R1405HLCD</t>
  </si>
  <si>
    <t>STB9P1337HLCD</t>
  </si>
  <si>
    <t>31-05-2023</t>
  </si>
  <si>
    <t>7.6.25</t>
  </si>
  <si>
    <t>6.6.25</t>
  </si>
  <si>
    <t>STB9P1247HLCD</t>
  </si>
  <si>
    <t>STB 5P 1329 HLCD</t>
  </si>
  <si>
    <t>STB 5P 1328 HLCD</t>
  </si>
  <si>
    <t>STB4R1442HLCD</t>
  </si>
  <si>
    <t>31-10-2023</t>
  </si>
  <si>
    <t>17-06-2024</t>
  </si>
  <si>
    <t>STB4R1437HLCD</t>
  </si>
  <si>
    <t>STB3R1428HLCD</t>
  </si>
  <si>
    <t>14.6.25</t>
  </si>
  <si>
    <t>STB3R1429HLCD</t>
  </si>
  <si>
    <t>STB5R1457HLCD</t>
  </si>
  <si>
    <t>STB5R1456HLCD</t>
  </si>
  <si>
    <t>STB5R1454HLCD</t>
  </si>
  <si>
    <t>STB5R1455HLCD</t>
  </si>
  <si>
    <t>STB6R1476HLCD</t>
  </si>
  <si>
    <t>STB6R1477HLCD</t>
  </si>
  <si>
    <t>STB5R1463HLCD</t>
  </si>
  <si>
    <t>30-11-2023</t>
  </si>
  <si>
    <t>19-08-2024</t>
  </si>
  <si>
    <t>STB6R1479HLCD</t>
  </si>
  <si>
    <t>STB6R1478HLCD</t>
  </si>
  <si>
    <t>24.6.25</t>
  </si>
  <si>
    <t>STB5R1462HLCD</t>
  </si>
  <si>
    <t>STB4R1446HLCD</t>
  </si>
  <si>
    <t>STB4R1447HLCD</t>
  </si>
  <si>
    <t>STB4R1441HLCD</t>
  </si>
  <si>
    <t>31-01-2024</t>
  </si>
  <si>
    <t>STB4R1440HLCD</t>
  </si>
  <si>
    <t>STB6R1475HLCD</t>
  </si>
  <si>
    <t>STB5R1466HLCD</t>
  </si>
  <si>
    <t>STB5R1448HLCD</t>
  </si>
  <si>
    <t>STB6R1416HLCD</t>
  </si>
  <si>
    <t>STB4R1433HLCD</t>
  </si>
  <si>
    <t>STB4R1445HLCD</t>
  </si>
  <si>
    <t>STB4R1439HLCD</t>
  </si>
  <si>
    <t>STB4R1438HLCD</t>
  </si>
  <si>
    <t>STB5R1469HLCD</t>
  </si>
  <si>
    <t>29-02-2024</t>
  </si>
  <si>
    <t>STB5R1468HLCD</t>
  </si>
  <si>
    <t>STB6R1482HLCD</t>
  </si>
  <si>
    <t>18.6.25</t>
  </si>
  <si>
    <t>STB6R1483HLCD</t>
  </si>
  <si>
    <t>STB8R1533HLCD</t>
  </si>
  <si>
    <t>STB8R1532HLCD</t>
  </si>
  <si>
    <t>STB9R1551HLCD</t>
  </si>
  <si>
    <t>24-06-2024</t>
  </si>
  <si>
    <t>STB9R1550HLCD</t>
  </si>
  <si>
    <t>STB9R1536HLCD</t>
  </si>
  <si>
    <t>STB9R1535HLCD</t>
  </si>
  <si>
    <t>STB3P1278HLCD</t>
  </si>
  <si>
    <t>STB3P1279HLCD</t>
  </si>
  <si>
    <t>STB1S1599HLCD</t>
  </si>
  <si>
    <t>STB1S1598HLCD</t>
  </si>
  <si>
    <t>(All)</t>
  </si>
  <si>
    <t>Row Labels</t>
  </si>
  <si>
    <t>Total Panel</t>
  </si>
  <si>
    <t xml:space="preserve"> Software version in Conv</t>
  </si>
  <si>
    <t>Software version of Text display</t>
  </si>
  <si>
    <t>Removal of metal short link  from M9000 with wire</t>
  </si>
  <si>
    <t>Replacement of 10 amp fuse with 20 amp</t>
  </si>
  <si>
    <t>Shifting of wires on O/P  contactor</t>
  </si>
  <si>
    <t>External earth fault wire</t>
  </si>
  <si>
    <t>Shifting of wire of output voltage available lamp</t>
  </si>
  <si>
    <t>Sealing of cable entry of  panel</t>
  </si>
  <si>
    <t>Sealing of main fan plate  (On which DC-DC converter installed)</t>
  </si>
  <si>
    <t>Input choke change</t>
  </si>
  <si>
    <t>Control fuse 
6.5amp to 15amp</t>
  </si>
  <si>
    <t>Display  button</t>
  </si>
  <si>
    <t>DC link bus bar  supporter</t>
  </si>
  <si>
    <t>Count of New Software version (UAT2Y44O.012) of display updation 
*DATE*</t>
  </si>
  <si>
    <t>Count of Sine Filter Capacitor washer fitment and tightness of connection
*DATE*</t>
  </si>
  <si>
    <t>Count of Software version in Conv (200622)
(Master) Y6U2N04V.006
(Module) Y6U2N240.005
*DATE*</t>
  </si>
  <si>
    <t>Count of Heat Sink Cleaning 
*Date*</t>
  </si>
  <si>
    <t>Count of I/P contactor SILICON washer</t>
  </si>
  <si>
    <t>Count of Steel mesh on cyclonic filter on looc wall</t>
  </si>
  <si>
    <t>(blank)</t>
  </si>
  <si>
    <t>Grand Total</t>
  </si>
  <si>
    <t>Details for Count of Software version in Conv (200622)
(Master) Y6U2N04V.006
(Module) Y6U2N240.005
*DATE* - Base Shed: Raipuram</t>
  </si>
  <si>
    <t>Software version in Conv (200622)
(Master) Y6U2N04V.006
(Module) Y6U2N240.005
*DATE*</t>
  </si>
  <si>
    <t>STB9P1345HLCD</t>
  </si>
  <si>
    <t>1amp/10 sec</t>
  </si>
  <si>
    <t>STB9P1356HLCD</t>
  </si>
  <si>
    <t>EL18K02045-R</t>
  </si>
  <si>
    <t>STB6R1487HLCD</t>
  </si>
  <si>
    <t>STB6R1490HLCD</t>
  </si>
  <si>
    <t>STB7R1492HLCD</t>
  </si>
  <si>
    <t>STB7R1493HLCD</t>
  </si>
  <si>
    <t>EL18B07009-R</t>
  </si>
  <si>
    <t>EL20L05038</t>
  </si>
  <si>
    <t>EL20L05040</t>
  </si>
  <si>
    <t>STB7R1508HLCD</t>
  </si>
  <si>
    <t>STB7R1509HLCD</t>
  </si>
  <si>
    <t>STB5R1453HLCD</t>
  </si>
  <si>
    <t>ST5R1452HLCD</t>
  </si>
  <si>
    <t>STB9P1344HLCD</t>
  </si>
  <si>
    <t>STB9P1350HLCD</t>
  </si>
  <si>
    <t>EL22B02001</t>
  </si>
  <si>
    <t>EL19H01015-R</t>
  </si>
  <si>
    <r>
      <t xml:space="preserve">Software version in Conv
(Master) U7D2S04V.005
(Module) U7F2S240.005
</t>
    </r>
    <r>
      <rPr>
        <b/>
        <strike/>
        <sz val="16"/>
        <color rgb="FFFF0000"/>
        <rFont val="Calibri"/>
        <family val="2"/>
        <scheme val="minor"/>
      </rPr>
      <t>*DATE*</t>
    </r>
  </si>
  <si>
    <r>
      <t>Software version (UAT2Y44</t>
    </r>
    <r>
      <rPr>
        <b/>
        <strike/>
        <sz val="12"/>
        <color rgb="FFFF0000"/>
        <rFont val="Calibri"/>
        <family val="2"/>
        <scheme val="minor"/>
      </rPr>
      <t>O</t>
    </r>
    <r>
      <rPr>
        <b/>
        <strike/>
        <sz val="12"/>
        <color theme="1"/>
        <rFont val="Calibri"/>
        <family val="2"/>
        <scheme val="minor"/>
      </rPr>
      <t xml:space="preserve">.012) of display updation 
</t>
    </r>
    <r>
      <rPr>
        <b/>
        <strike/>
        <sz val="14"/>
        <color rgb="FFFF0000"/>
        <rFont val="Calibri"/>
        <family val="2"/>
        <scheme val="minor"/>
      </rPr>
      <t>*DATE*</t>
    </r>
  </si>
  <si>
    <r>
      <t xml:space="preserve">Filter clean
</t>
    </r>
    <r>
      <rPr>
        <b/>
        <sz val="12"/>
        <color rgb="FFFF0000"/>
        <rFont val="Calibri"/>
        <family val="2"/>
        <scheme val="minor"/>
      </rPr>
      <t>*DATE*</t>
    </r>
  </si>
  <si>
    <r>
      <t xml:space="preserve">Filter Change
</t>
    </r>
    <r>
      <rPr>
        <b/>
        <sz val="12"/>
        <color rgb="FFFF0000"/>
        <rFont val="Calibri"/>
        <family val="2"/>
        <scheme val="minor"/>
      </rPr>
      <t>*DATE*</t>
    </r>
  </si>
  <si>
    <t>Old type mesh</t>
  </si>
  <si>
    <t>STBDK0360HLCD</t>
  </si>
  <si>
    <t>Erode</t>
  </si>
  <si>
    <t>STBDK0353HLCD</t>
  </si>
  <si>
    <t>STBNM1044HLCD</t>
  </si>
  <si>
    <t>1044</t>
  </si>
  <si>
    <t>STBNM1045HLCD</t>
  </si>
  <si>
    <t>1045</t>
  </si>
  <si>
    <t>STBDK0367HLCD</t>
  </si>
  <si>
    <t>STBNK0334HLCD</t>
  </si>
  <si>
    <t>STB2L0438HLCD</t>
  </si>
  <si>
    <t>STB0K0315HLCD</t>
  </si>
  <si>
    <t>STB2L0426 HLCD</t>
  </si>
  <si>
    <t>STB2L0419HLCD</t>
  </si>
  <si>
    <t>STB2L0423HLCD</t>
  </si>
  <si>
    <t>5/16/2022(EL19C01071-R)</t>
  </si>
  <si>
    <t>STB2L0442HLCD</t>
  </si>
  <si>
    <t>STB4L0454HLCD</t>
  </si>
  <si>
    <t>STB4L0455HLCD</t>
  </si>
  <si>
    <t>STB1L0386HLCD</t>
  </si>
  <si>
    <t>STB1L0387HLCD</t>
  </si>
  <si>
    <t>STB4L0469HLCD</t>
  </si>
  <si>
    <t>STB4L0468HLCD</t>
  </si>
  <si>
    <t>EL19J04159-R</t>
  </si>
  <si>
    <t>STB4K0211HLCD</t>
  </si>
  <si>
    <t>EL18J03033-R</t>
  </si>
  <si>
    <t>STB4K0213HLCD</t>
  </si>
  <si>
    <t>STB5L0500HLCD</t>
  </si>
  <si>
    <t>STB5L0501HLCD</t>
  </si>
  <si>
    <t>EL18J03036-R</t>
  </si>
  <si>
    <t>STB5L0507HLCD</t>
  </si>
  <si>
    <t>STB5L0506HLCD</t>
  </si>
  <si>
    <t>EL15G02007-R</t>
  </si>
  <si>
    <t>STB6L0542HLCD</t>
  </si>
  <si>
    <t>EL19J04141-R</t>
  </si>
  <si>
    <t>STB6L0543HLCD</t>
  </si>
  <si>
    <t>STBNL0709HLCD</t>
  </si>
  <si>
    <t>STBNL0690HLCD</t>
  </si>
  <si>
    <t>STBOL0679HLCD</t>
  </si>
  <si>
    <t>STBOL0678HLCD</t>
  </si>
  <si>
    <t>STBNL0683HLCD</t>
  </si>
  <si>
    <t>STBNL0682HLCD</t>
  </si>
  <si>
    <t>STBNL0680HLCD</t>
  </si>
  <si>
    <t>STBNL0681HLCD</t>
  </si>
  <si>
    <t>STBDL0724HLCD</t>
  </si>
  <si>
    <t>STBDL0725HLCD</t>
  </si>
  <si>
    <t>STBNL0723HLCD</t>
  </si>
  <si>
    <t>STBDL0728HLCD</t>
  </si>
  <si>
    <t>STBNL0695HLCD</t>
  </si>
  <si>
    <t>EL17D05030-R</t>
  </si>
  <si>
    <t>STBNL0691HLCD</t>
  </si>
  <si>
    <t>STBDL0746HLCD</t>
  </si>
  <si>
    <t>STBDL0733HLCD</t>
  </si>
  <si>
    <t>STBDL0749HLCD</t>
  </si>
  <si>
    <t>STBDL0731HLCD</t>
  </si>
  <si>
    <t>STB5M0828HLCD</t>
  </si>
  <si>
    <t>STB5M0829HLCD</t>
  </si>
  <si>
    <t>EL17G01005-R</t>
  </si>
  <si>
    <t>STB6M0852HLCD</t>
  </si>
  <si>
    <t>STB6M0853HLCD</t>
  </si>
  <si>
    <t>STB8M0943HLCD</t>
  </si>
  <si>
    <t>STB8M0942HLCD</t>
  </si>
  <si>
    <t>STB8M0904HLCD</t>
  </si>
  <si>
    <t>STB8M0905HLCD</t>
  </si>
  <si>
    <t>STB9M0970HLCD</t>
  </si>
  <si>
    <t>STB9M0971HLCD</t>
  </si>
  <si>
    <t>STB8M0950HLCD</t>
  </si>
  <si>
    <t>STBOM1001HLCD</t>
  </si>
  <si>
    <t>STB8M0906HLCD</t>
  </si>
  <si>
    <t>25.03.21</t>
  </si>
  <si>
    <t>STB8M0907HLCD</t>
  </si>
  <si>
    <t>STB0M1007HLCD</t>
  </si>
  <si>
    <t>19.04.21</t>
  </si>
  <si>
    <t>STB0M1013HLCD</t>
  </si>
  <si>
    <t>STBOL0666HLCD</t>
  </si>
  <si>
    <t>STBOL0652HLCD</t>
  </si>
  <si>
    <t>STBOL0669HLCD</t>
  </si>
  <si>
    <t>EL18B07014-R</t>
  </si>
  <si>
    <t>STB5L0529HLCD</t>
  </si>
  <si>
    <t>NA(Old type bus bar)</t>
  </si>
  <si>
    <t>NA(Existing  arrangement not feasible )</t>
  </si>
  <si>
    <t>STB4K0227HLCD</t>
  </si>
  <si>
    <t>EL16H03004-R</t>
  </si>
  <si>
    <t>STB5K0228HLCD</t>
  </si>
  <si>
    <t>Conv-B Done</t>
  </si>
  <si>
    <t>EL22A03 016</t>
  </si>
  <si>
    <t>STB1N1086HLCD</t>
  </si>
  <si>
    <t>1086</t>
  </si>
  <si>
    <t>STB1N1087HLCD</t>
  </si>
  <si>
    <t>1087</t>
  </si>
  <si>
    <t>STB1N1082HLCD</t>
  </si>
  <si>
    <t>1082</t>
  </si>
  <si>
    <t>STB1N1083HLCD</t>
  </si>
  <si>
    <t>1083</t>
  </si>
  <si>
    <t>STB2L0440HLCD</t>
  </si>
  <si>
    <t>STB2L0441HLCD</t>
  </si>
  <si>
    <t>Conv-A Done</t>
  </si>
  <si>
    <t>STBDM1064</t>
  </si>
  <si>
    <t>STBDM1065</t>
  </si>
  <si>
    <t>STBNN1174HLCD</t>
  </si>
  <si>
    <t>STBNN1175HLCD</t>
  </si>
  <si>
    <t>STBNN1176HLCD</t>
  </si>
  <si>
    <t>STBNN1177HLCD</t>
  </si>
  <si>
    <t>STBNM1050HLCD</t>
  </si>
  <si>
    <t>STBNM1051HLCD</t>
  </si>
  <si>
    <t>STB7M0872HLCD</t>
  </si>
  <si>
    <t>13.04.21</t>
  </si>
  <si>
    <t>STB7M0873HLCD</t>
  </si>
  <si>
    <t>STBDM1066HLCD</t>
  </si>
  <si>
    <t>STBDM1067HLCD</t>
  </si>
  <si>
    <t>STBDM1073HLCD</t>
  </si>
  <si>
    <t>EL20L01023</t>
  </si>
  <si>
    <t>8STBNN1178HLCD</t>
  </si>
  <si>
    <t>STBNN1179HLCD</t>
  </si>
  <si>
    <t>STB2P1236HLCD</t>
  </si>
  <si>
    <t>STB2P1221HLCD</t>
  </si>
  <si>
    <t>STB2P1202HLCD</t>
  </si>
  <si>
    <t>STB2P1208HLCD</t>
  </si>
  <si>
    <t>STB2P1218HLCD</t>
  </si>
  <si>
    <t>STB2P1219HLCD</t>
  </si>
  <si>
    <t>STB2P1225HLCD</t>
  </si>
  <si>
    <t>STB2P1209HLCD</t>
  </si>
  <si>
    <t>STB3P1245HLCD</t>
  </si>
  <si>
    <t>STB3P1244HLCD</t>
  </si>
  <si>
    <t>STB5P1316HLCD</t>
  </si>
  <si>
    <t>STB5P1317HLCD</t>
  </si>
  <si>
    <t>HLC A</t>
  </si>
  <si>
    <t>STB2S1625HLCD</t>
  </si>
  <si>
    <t>HLC B</t>
  </si>
  <si>
    <t>STB2S1626HLCD</t>
  </si>
  <si>
    <t>STB2S1624HLCD</t>
  </si>
  <si>
    <t>STB2S1628HLCD</t>
  </si>
  <si>
    <t>STB7R1500HLCD</t>
  </si>
  <si>
    <t>STB6R1486HLCD</t>
  </si>
  <si>
    <t>STB7R1501HLCD</t>
  </si>
  <si>
    <t>STB2S1627HLCD</t>
  </si>
  <si>
    <t>STB2S1629HLCD</t>
  </si>
  <si>
    <t>Details for Total Panel - Base Shed: Kanpur</t>
  </si>
  <si>
    <t>Steel mesh on cyclonic filter on loco wall</t>
  </si>
  <si>
    <t>STB7R1520 HLCD</t>
  </si>
  <si>
    <t>Kanpur</t>
  </si>
  <si>
    <t>NCR</t>
  </si>
  <si>
    <t>done</t>
  </si>
  <si>
    <t>STBNR1576HLCD</t>
  </si>
  <si>
    <t>STB2R1402HLCD</t>
  </si>
  <si>
    <t>14.09.2024</t>
  </si>
  <si>
    <t>STB2R1403HLCD</t>
  </si>
  <si>
    <t>STB3R1414HLCD</t>
  </si>
  <si>
    <t>STB3R1415HLCD</t>
  </si>
  <si>
    <t>STB3R1418HLCD</t>
  </si>
  <si>
    <t>07.09.2024</t>
  </si>
  <si>
    <t>STB3R1419HLCD</t>
  </si>
  <si>
    <t>STB2P1229HLCD</t>
  </si>
  <si>
    <t>STB2P1228HLCD</t>
  </si>
  <si>
    <t>HLC-2</t>
  </si>
  <si>
    <t>STB2P1212HLCD</t>
  </si>
  <si>
    <t>New Loco</t>
  </si>
  <si>
    <t>HLC-1</t>
  </si>
  <si>
    <t>STB2P1213HLCD</t>
  </si>
  <si>
    <t>STB OK0 294 HLCD</t>
  </si>
  <si>
    <t>U7D2S04V.005</t>
  </si>
  <si>
    <t>Done by Nw</t>
  </si>
  <si>
    <t>STB OK0 295 HLCD</t>
  </si>
  <si>
    <t>STB4L0487 HLCD</t>
  </si>
  <si>
    <t>26.07.2024</t>
  </si>
  <si>
    <t>10.09.2024</t>
  </si>
  <si>
    <t>STB5L0525 HLCD</t>
  </si>
  <si>
    <t>STB4L0489 HLCD</t>
  </si>
  <si>
    <t>EL21A01003</t>
  </si>
  <si>
    <t>Conv-B done</t>
  </si>
  <si>
    <t>13.09.2024</t>
  </si>
  <si>
    <t>STB4L0482 HLCD</t>
  </si>
  <si>
    <t>EL21A01005</t>
  </si>
  <si>
    <t xml:space="preserve">STB6M0835HLCD </t>
  </si>
  <si>
    <t>30.09.2024</t>
  </si>
  <si>
    <t>STB8M0946HLCD</t>
  </si>
  <si>
    <t>STB8M0947 HLCD</t>
  </si>
  <si>
    <t>23.07.2024</t>
  </si>
  <si>
    <t>22.07.2024</t>
  </si>
  <si>
    <t>STB6M0842 HLCD</t>
  </si>
  <si>
    <t>STB9M0973HLCD</t>
  </si>
  <si>
    <t>STB9M0972HLCD</t>
  </si>
  <si>
    <t>STB8M0932</t>
  </si>
  <si>
    <t>17.08.2024</t>
  </si>
  <si>
    <t>STB8M0933</t>
  </si>
  <si>
    <t>STB6M0840</t>
  </si>
  <si>
    <t>12.07.2024</t>
  </si>
  <si>
    <t>15.07.2024</t>
  </si>
  <si>
    <t>03.09.2024</t>
  </si>
  <si>
    <t>STB6M0847</t>
  </si>
  <si>
    <t>Conv-A done</t>
  </si>
  <si>
    <t>STB5M0809</t>
  </si>
  <si>
    <t>STB5M0808</t>
  </si>
  <si>
    <t>STBDL0758</t>
  </si>
  <si>
    <t>EL20L01014</t>
  </si>
  <si>
    <t>13.07.2024</t>
  </si>
  <si>
    <t>STB7N0710</t>
  </si>
  <si>
    <t>STBDL0753 HLCD</t>
  </si>
  <si>
    <t>M-U7D2S04V.005,
MO-U7F2S240.007</t>
  </si>
  <si>
    <t>STB7L0594 HLCD</t>
  </si>
  <si>
    <t>M-U7D2S04V.005,
MO-U7F2S240.006</t>
  </si>
  <si>
    <t>STB5L0517 HLCD</t>
  </si>
  <si>
    <t>U9S2Y440.011</t>
  </si>
  <si>
    <t>EL20L05004</t>
  </si>
  <si>
    <t>17.07.2024</t>
  </si>
  <si>
    <t>STB5L0516 HLCD</t>
  </si>
  <si>
    <t>EL20L05007</t>
  </si>
  <si>
    <t>16.06.2023</t>
  </si>
  <si>
    <t>STB5L0504 HLCD</t>
  </si>
  <si>
    <t>EL18B07023</t>
  </si>
  <si>
    <t>14.10.2024</t>
  </si>
  <si>
    <t>STB5L0505 HLCD</t>
  </si>
  <si>
    <t>EL18K02020</t>
  </si>
  <si>
    <t>STB4L0477 HLCD</t>
  </si>
  <si>
    <t>STB4L0476 HLCD</t>
  </si>
  <si>
    <t>STB4L0458 HLCD</t>
  </si>
  <si>
    <t>11.08.2024</t>
  </si>
  <si>
    <t>10.08.2024</t>
  </si>
  <si>
    <t>STB4L0459 HLCD</t>
  </si>
  <si>
    <t>STB2L0428 HLCD</t>
  </si>
  <si>
    <t>STB2L0434 HLCD</t>
  </si>
  <si>
    <t>STBNK0338 HLCD</t>
  </si>
  <si>
    <t>EL19B01014</t>
  </si>
  <si>
    <t>09.08.2024</t>
  </si>
  <si>
    <t>STBDK0364 HLCD</t>
  </si>
  <si>
    <t>EL18G03041</t>
  </si>
  <si>
    <t>STBNK0335 HLCD</t>
  </si>
  <si>
    <t>EL20L01020</t>
  </si>
  <si>
    <t>30.07.2024</t>
  </si>
  <si>
    <t>STBDK0366 HLCD</t>
  </si>
  <si>
    <t>EL20K03019</t>
  </si>
  <si>
    <t>STB1L0405 HLCD</t>
  </si>
  <si>
    <t>STB1L0404 HLCD</t>
  </si>
  <si>
    <t>STBOK0314 HLCD</t>
  </si>
  <si>
    <t>STBNK0337 HLCD</t>
  </si>
  <si>
    <t>EL19K01157</t>
  </si>
  <si>
    <t>STB2L0417 HLCD</t>
  </si>
  <si>
    <t>STB2L0416 HLCD</t>
  </si>
  <si>
    <t>STB1L0384 HLCD</t>
  </si>
  <si>
    <t>EL18B07 031-R</t>
  </si>
  <si>
    <t>STB1L0385 HLCD</t>
  </si>
  <si>
    <t>STBDK0354 HLCD</t>
  </si>
  <si>
    <t>EL20H01007</t>
  </si>
  <si>
    <t>06.08.2024</t>
  </si>
  <si>
    <t>STBNK0340 HLCD</t>
  </si>
  <si>
    <t>STBNK0326 HLCD</t>
  </si>
  <si>
    <t>EL20K03025</t>
  </si>
  <si>
    <t>STBDK0357 HLCD</t>
  </si>
  <si>
    <t>EL18K02025</t>
  </si>
  <si>
    <t>STB4K0212 HLCD</t>
  </si>
  <si>
    <t>EL19J04173</t>
  </si>
  <si>
    <t>STBOK0297 HLCD</t>
  </si>
  <si>
    <t>EL19I02036</t>
  </si>
  <si>
    <t>STBOK0301 HLCD</t>
  </si>
  <si>
    <t>EL20L01016</t>
  </si>
  <si>
    <t>STBOK0300 HLCD</t>
  </si>
  <si>
    <t>EL18G03030</t>
  </si>
  <si>
    <t>07.07.2024</t>
  </si>
  <si>
    <t>STB5K0239 HLCD</t>
  </si>
  <si>
    <t>28.07.2024</t>
  </si>
  <si>
    <t>STB5K0238 HLCD</t>
  </si>
  <si>
    <t>STB5K0232 HLCD</t>
  </si>
  <si>
    <t>12.08.2024</t>
  </si>
  <si>
    <t>15-12-2024</t>
  </si>
  <si>
    <t>STB7K0279 HLCD</t>
  </si>
  <si>
    <t>EL18B07020</t>
  </si>
  <si>
    <t>STBOK0299HLCD</t>
  </si>
  <si>
    <t>EL20L05020</t>
  </si>
  <si>
    <t>STBOK0298HLCD</t>
  </si>
  <si>
    <t>EL20K03027</t>
  </si>
  <si>
    <t>STB5K0231 HLCD</t>
  </si>
  <si>
    <t>EL19J04177</t>
  </si>
  <si>
    <t>STB8K0286 HLCD</t>
  </si>
  <si>
    <t>STB0M1004</t>
  </si>
  <si>
    <t>STB8M0962</t>
  </si>
  <si>
    <t>STB0M1005 HLCD</t>
  </si>
  <si>
    <t>09.10.2024</t>
  </si>
  <si>
    <t>07.10.2024</t>
  </si>
  <si>
    <t>STB8M0963 HLCD</t>
  </si>
  <si>
    <t>11.07.2024</t>
  </si>
  <si>
    <t>STB8M0897 HLCD</t>
  </si>
  <si>
    <t>08.10.2024</t>
  </si>
  <si>
    <t>STB8M0896 HLCD</t>
  </si>
  <si>
    <r>
      <rPr>
        <b/>
        <strike/>
        <sz val="12"/>
        <color rgb="FF000000"/>
        <rFont val="Calibri"/>
        <family val="2"/>
      </rPr>
      <t>Software version (UAT2Y44</t>
    </r>
    <r>
      <rPr>
        <b/>
        <strike/>
        <sz val="12"/>
        <color rgb="FFFF0000"/>
        <rFont val="Calibri"/>
        <family val="2"/>
      </rPr>
      <t>O</t>
    </r>
    <r>
      <rPr>
        <b/>
        <strike/>
        <sz val="12"/>
        <color rgb="FF000000"/>
        <rFont val="Calibri"/>
        <family val="2"/>
      </rPr>
      <t xml:space="preserve">.012) of display updation 
</t>
    </r>
    <r>
      <rPr>
        <b/>
        <strike/>
        <sz val="14"/>
        <color rgb="FFFF0000"/>
        <rFont val="Calibri"/>
        <family val="2"/>
      </rPr>
      <t>*DATE*</t>
    </r>
  </si>
  <si>
    <t>Ger-00001</t>
  </si>
  <si>
    <t>Gaziabad</t>
  </si>
  <si>
    <t>NR</t>
  </si>
  <si>
    <t>AMC</t>
  </si>
  <si>
    <t xml:space="preserve">imported </t>
  </si>
  <si>
    <t>4QC left only to clean</t>
  </si>
  <si>
    <t>Ger-00002</t>
  </si>
  <si>
    <t>Ger-00004</t>
  </si>
  <si>
    <t>12V000006</t>
  </si>
  <si>
    <t>12V000007</t>
  </si>
  <si>
    <t>Done without washer</t>
  </si>
  <si>
    <t>STBNF0036HLCB</t>
  </si>
  <si>
    <t>STB6F0008HLCB</t>
  </si>
  <si>
    <t>STB6F0009HLCB</t>
  </si>
  <si>
    <t>STB9F0035HLCA</t>
  </si>
  <si>
    <t>tighness done without washer (12-03-24)</t>
  </si>
  <si>
    <t>STB9F0034HLCA</t>
  </si>
  <si>
    <t>STBNF0038HLCA</t>
  </si>
  <si>
    <t>STBDF0045HLCA</t>
  </si>
  <si>
    <t>STB0H0091HLCC</t>
  </si>
  <si>
    <t>V1E1SZ56.000</t>
  </si>
  <si>
    <t>Tighness done without washer (28-feb-24)</t>
  </si>
  <si>
    <t>STB0H0090HLCC</t>
  </si>
  <si>
    <t>STBNK0331HLCD</t>
  </si>
  <si>
    <t>LUDHIANA</t>
  </si>
  <si>
    <t>HS Done at 12-MAr-25</t>
  </si>
  <si>
    <t>STBNK0324HLCD</t>
  </si>
  <si>
    <t>STBNK0348HLCD</t>
  </si>
  <si>
    <t>STBNK0325HLCD</t>
  </si>
  <si>
    <t>EL21C01015</t>
  </si>
  <si>
    <t>STB9J0163HLCD</t>
  </si>
  <si>
    <t>Tightness done(without washer)</t>
  </si>
  <si>
    <t>STB9J0161HLCD</t>
  </si>
  <si>
    <t>STBNK0349HLCD</t>
  </si>
  <si>
    <t>EL18F06044</t>
  </si>
  <si>
    <t>STBNK0330HLCD</t>
  </si>
  <si>
    <t>EL20L01027</t>
  </si>
  <si>
    <t>STBDK0383HLCD</t>
  </si>
  <si>
    <t>EL20I01028</t>
  </si>
  <si>
    <t>Tightness done without washer</t>
  </si>
  <si>
    <t>STBDK0382HLCD</t>
  </si>
  <si>
    <t>EL20L01037</t>
  </si>
  <si>
    <t>STBDK0372HLCD</t>
  </si>
  <si>
    <t>Tightness done ( without washer)</t>
  </si>
  <si>
    <t>STBDK0373HLCD</t>
  </si>
  <si>
    <t>STBDK0368HLCD</t>
  </si>
  <si>
    <t>tightness done (without washer)</t>
  </si>
  <si>
    <t>STBDK0359HLCD</t>
  </si>
  <si>
    <t>STB2L0425HLCD</t>
  </si>
  <si>
    <t xml:space="preserve">By Air </t>
  </si>
  <si>
    <t>STB2L0443HLCD</t>
  </si>
  <si>
    <t>Titgthness done without washer</t>
  </si>
  <si>
    <t>STB1L0402HLCD</t>
  </si>
  <si>
    <t>Tightness done( without washer)</t>
  </si>
  <si>
    <t>STB1L0403HLCD</t>
  </si>
  <si>
    <t>STB2L0421HLCD</t>
  </si>
  <si>
    <t>STB2L0420HLCD</t>
  </si>
  <si>
    <t>STB1L0388HLCD</t>
  </si>
  <si>
    <t>Tughlakabad</t>
  </si>
  <si>
    <t>WCR</t>
  </si>
  <si>
    <t>STB1L0389HLCD</t>
  </si>
  <si>
    <t>STBDK0376HLCD</t>
  </si>
  <si>
    <t>STBDK0377HLCD</t>
  </si>
  <si>
    <t>STB6L0581HLCD</t>
  </si>
  <si>
    <t>STB7L0610HLCD</t>
  </si>
  <si>
    <t>OK</t>
  </si>
  <si>
    <t>STB7L0642HLCD</t>
  </si>
  <si>
    <t>UAT2Y44O.012</t>
  </si>
  <si>
    <t>EL19C01074-R</t>
  </si>
  <si>
    <t>STB7L0643HLCD</t>
  </si>
  <si>
    <t>EL18K03011-R</t>
  </si>
  <si>
    <t>STBNL0694HLCD</t>
  </si>
  <si>
    <t>Tightness done (without washer)</t>
  </si>
  <si>
    <t>By air</t>
  </si>
  <si>
    <t>STBNL0699HLCD</t>
  </si>
  <si>
    <t>COnv-B DONE</t>
  </si>
  <si>
    <t>STBNL0692HLCD</t>
  </si>
  <si>
    <t>STBNL0705HLCD</t>
  </si>
  <si>
    <t>EL20L01013</t>
  </si>
  <si>
    <t>STBDL0743HLCD</t>
  </si>
  <si>
    <t>STBDL0737HLCD</t>
  </si>
  <si>
    <t>STB7L0609HLCD</t>
  </si>
  <si>
    <t>STB6L0580HLCD</t>
  </si>
  <si>
    <t>STB7L0599HLCD</t>
  </si>
  <si>
    <t>EL19F01037-R</t>
  </si>
  <si>
    <t>STBNL0715HLCD</t>
  </si>
  <si>
    <t>EL20J05003-R</t>
  </si>
  <si>
    <t>STB6M0838HLCD</t>
  </si>
  <si>
    <t>STB6M0836HLCD</t>
  </si>
  <si>
    <t>STB6M0850HLCD</t>
  </si>
  <si>
    <t>STB6M0851HLCD</t>
  </si>
  <si>
    <t>STB4K0219HLCD</t>
  </si>
  <si>
    <t>EL20L01039</t>
  </si>
  <si>
    <t>heatsink done 27-jun-24</t>
  </si>
  <si>
    <t>STB4K0218HLCD</t>
  </si>
  <si>
    <t>EL18J03031</t>
  </si>
  <si>
    <t>STB4K0220HLCD</t>
  </si>
  <si>
    <t>EL20L05025</t>
  </si>
  <si>
    <t>15-06-24</t>
  </si>
  <si>
    <t>STB4K0221HLCD</t>
  </si>
  <si>
    <t>EL18B07022</t>
  </si>
  <si>
    <t>Tighntness done without washer in both side</t>
  </si>
  <si>
    <t>STB4K0237HLCD</t>
  </si>
  <si>
    <t>EL18B07008-R</t>
  </si>
  <si>
    <t>STB4K0224HLCD</t>
  </si>
  <si>
    <t>EL19C01085-R</t>
  </si>
  <si>
    <t>STB6K0253HLCD</t>
  </si>
  <si>
    <t>EL20L05003</t>
  </si>
  <si>
    <t>STB6K0248HLCD</t>
  </si>
  <si>
    <t>EL19K01166</t>
  </si>
  <si>
    <t>STB10K0311HLCD</t>
  </si>
  <si>
    <t>Under AMC</t>
  </si>
  <si>
    <t>EL21C01016</t>
  </si>
  <si>
    <t>STB10K0308HLCD</t>
  </si>
  <si>
    <t>EL21A01001</t>
  </si>
  <si>
    <t>STB10K0312HLCD</t>
  </si>
  <si>
    <t>Conv- A DONE</t>
  </si>
  <si>
    <t>STB10K0313HLCD</t>
  </si>
  <si>
    <t>COnv- B DONE</t>
  </si>
  <si>
    <t>STBNK0332HLCD</t>
  </si>
  <si>
    <t>STBNK0342HLCD</t>
  </si>
  <si>
    <t>STBDL0768HLCD</t>
  </si>
  <si>
    <t>STBDL0769HLCD</t>
  </si>
  <si>
    <t>STB1M0774HLCD</t>
  </si>
  <si>
    <t>Cov-A Done</t>
  </si>
  <si>
    <t>STB1M0771HLCD</t>
  </si>
  <si>
    <t>Cov-B Done</t>
  </si>
  <si>
    <t>STB5M078HLCD</t>
  </si>
  <si>
    <t>Gonda</t>
  </si>
  <si>
    <t>NER</t>
  </si>
  <si>
    <t>13.07.24</t>
  </si>
  <si>
    <t>STB5M0778HLCD</t>
  </si>
  <si>
    <t>STB6J0112HLCD</t>
  </si>
  <si>
    <t>EL19J04175-R</t>
  </si>
  <si>
    <t>STB6J0115HLCD</t>
  </si>
  <si>
    <t>EL19F01046-R</t>
  </si>
  <si>
    <t>STB9J0152HLCD</t>
  </si>
  <si>
    <t>EL19F040008-R</t>
  </si>
  <si>
    <t>STB9J0146HLCD</t>
  </si>
  <si>
    <t>EL18F06038-R</t>
  </si>
  <si>
    <t>STB9J0166HLCD</t>
  </si>
  <si>
    <t>EL18C04007-R</t>
  </si>
  <si>
    <t>STB1J0165HLCD</t>
  </si>
  <si>
    <t>EL20L01023-R</t>
  </si>
  <si>
    <t>STBDK0378HLCD</t>
  </si>
  <si>
    <t>STBDK0379HLCD</t>
  </si>
  <si>
    <t>STB3K0198HLCD</t>
  </si>
  <si>
    <t>STB3K0197HLCD</t>
  </si>
  <si>
    <t>STB7L0640HLCD</t>
  </si>
  <si>
    <t>STB7L0641HLCD</t>
  </si>
  <si>
    <t>STBDL0730HLCD</t>
  </si>
  <si>
    <t>EL18F06067-R</t>
  </si>
  <si>
    <t>STBDL0747HLCD</t>
  </si>
  <si>
    <t>EL20D01014-R</t>
  </si>
  <si>
    <t>conv-B Done</t>
  </si>
  <si>
    <t>STBNL0717HLCD</t>
  </si>
  <si>
    <t>STB5M0782HLCD</t>
  </si>
  <si>
    <t>STB5M0831HLCD</t>
  </si>
  <si>
    <t>Conv-A don</t>
  </si>
  <si>
    <t>STB5M0783HLCD</t>
  </si>
  <si>
    <t>STB8M0922HLCD</t>
  </si>
  <si>
    <t>STB8M0923HLCD</t>
  </si>
  <si>
    <t>STB5K0236HLCD</t>
  </si>
  <si>
    <t>EL19D01030-R</t>
  </si>
  <si>
    <t>STB4K0223HLCD</t>
  </si>
  <si>
    <t>EL19J04155-R</t>
  </si>
  <si>
    <t>STB6K0251HLCD</t>
  </si>
  <si>
    <t>EL21C01022</t>
  </si>
  <si>
    <t>STB6K0249HLCD</t>
  </si>
  <si>
    <t>STB5L0520HLCD</t>
  </si>
  <si>
    <t>STB5L0522HLCD</t>
  </si>
  <si>
    <t>EL21C01020</t>
  </si>
  <si>
    <t>STBDM1070HLCD</t>
  </si>
  <si>
    <t>1070</t>
  </si>
  <si>
    <t>STBDM1071HLCD</t>
  </si>
  <si>
    <t>STB4N1126HLCD</t>
  </si>
  <si>
    <t>UAT2Y44O.013</t>
  </si>
  <si>
    <t>Con-A Done</t>
  </si>
  <si>
    <t>STB4N1127HLCD</t>
  </si>
  <si>
    <t>UAT2Y44O.014</t>
  </si>
  <si>
    <t>STB2L0432HLCD</t>
  </si>
  <si>
    <t>UAT2Y44O.015</t>
  </si>
  <si>
    <t>STB2L0433HLCD</t>
  </si>
  <si>
    <t>UAT2Y44O.016</t>
  </si>
  <si>
    <t>STB8M0908</t>
  </si>
  <si>
    <t>ELS GKP</t>
  </si>
  <si>
    <t>Conv-A done </t>
  </si>
  <si>
    <t>CONV-A DONE</t>
  </si>
  <si>
    <t xml:space="preserve"> tightned 25nm DONE 16-12-2023</t>
  </si>
  <si>
    <t>STB8M0822</t>
  </si>
  <si>
    <t xml:space="preserve">conv-B done </t>
  </si>
  <si>
    <t>CONV-B DONE</t>
  </si>
  <si>
    <t>Conv-B- DONE</t>
  </si>
  <si>
    <t xml:space="preserve"> 16-12-23</t>
  </si>
  <si>
    <t>STB0K0290HLCD</t>
  </si>
  <si>
    <t>U812Y440.010</t>
  </si>
  <si>
    <t>Already done</t>
  </si>
  <si>
    <t>STBDK0351HLCD</t>
  </si>
  <si>
    <t>STB4L0450HLCD</t>
  </si>
  <si>
    <t>STB4L0451HLCD</t>
  </si>
  <si>
    <t>By Air</t>
  </si>
  <si>
    <t>STB8M0926HLCD</t>
  </si>
  <si>
    <t>Conv- A done</t>
  </si>
  <si>
    <t>STB8M0944HLCD</t>
  </si>
  <si>
    <t>STBOM1031</t>
  </si>
  <si>
    <t xml:space="preserve"> 15-12-2023</t>
  </si>
  <si>
    <t>STBOM1033</t>
  </si>
  <si>
    <t xml:space="preserve"> 15-12-23</t>
  </si>
  <si>
    <t>STBDN1197HLCD</t>
  </si>
  <si>
    <t>U4J2S04V.005</t>
  </si>
  <si>
    <t>STBDN1194HLCD</t>
  </si>
  <si>
    <t>STB1N1101HLCD</t>
  </si>
  <si>
    <t>STB1N1094HLCD</t>
  </si>
  <si>
    <t>STB5N1149HLCD</t>
  </si>
  <si>
    <t xml:space="preserve">already available </t>
  </si>
  <si>
    <t>STB1N1096HLCD</t>
  </si>
  <si>
    <t>STB1N1097HLCD</t>
  </si>
  <si>
    <t>STBDM1080HLCD</t>
  </si>
  <si>
    <t>By Air 18-Aug-24</t>
  </si>
  <si>
    <t>STBDM1081HLCD</t>
  </si>
  <si>
    <t>STB5N1155HLCD</t>
  </si>
  <si>
    <t>STB5N1156HLCD</t>
  </si>
  <si>
    <t>STB1N1100HLCD</t>
  </si>
  <si>
    <t>STB1N1095HLCD</t>
  </si>
  <si>
    <t>STBDK0356HLCD</t>
  </si>
  <si>
    <t>STB2L0410HLCD</t>
  </si>
  <si>
    <t>1 no available</t>
  </si>
  <si>
    <t>STB5N1153HLCD</t>
  </si>
  <si>
    <t>03.04.25</t>
  </si>
  <si>
    <t>STB5N1154HLCD</t>
  </si>
  <si>
    <t>STB5N1148HLCD</t>
  </si>
  <si>
    <t>BGKT</t>
  </si>
  <si>
    <t>NWR</t>
  </si>
  <si>
    <t>27/12/2021</t>
  </si>
  <si>
    <t>DONE BY BGKT SHED</t>
  </si>
  <si>
    <t>STB5N1151HLCD</t>
  </si>
  <si>
    <t>27/12/0221</t>
  </si>
  <si>
    <t>STB5N1159HLCD</t>
  </si>
  <si>
    <t>STB5N1157HLCD</t>
  </si>
  <si>
    <t>STB5N1150HLCD</t>
  </si>
  <si>
    <t>STB5N1152HLCD</t>
  </si>
  <si>
    <t>STBDN1199HLCD</t>
  </si>
  <si>
    <t xml:space="preserve">Done With washer </t>
  </si>
  <si>
    <t>STBDN1195HLCD</t>
  </si>
  <si>
    <t xml:space="preserve">Done with Washer </t>
  </si>
  <si>
    <t>STB5M0823HLCD</t>
  </si>
  <si>
    <t>CONV-A-DONE</t>
  </si>
  <si>
    <t>STB8M0934HLCD</t>
  </si>
  <si>
    <t>CONV-B-DONE</t>
  </si>
  <si>
    <t>STBDN1201HLCD</t>
  </si>
  <si>
    <t>By air 27-Aug-24</t>
  </si>
  <si>
    <t>STBDN1200HLCD</t>
  </si>
  <si>
    <t>STB4N1125HLCD</t>
  </si>
  <si>
    <t>STB4N1124HLCD</t>
  </si>
  <si>
    <t>STB5N1130HLCD</t>
  </si>
  <si>
    <t>STB5N1131HLCD</t>
  </si>
  <si>
    <t>STBDN1187HLCD</t>
  </si>
  <si>
    <t>STB2P1241HLCD</t>
  </si>
  <si>
    <t>STB2P1226HLCD</t>
  </si>
  <si>
    <t>STB2P1227HLCD</t>
  </si>
  <si>
    <t>STB2P1240HLCD</t>
  </si>
  <si>
    <t>STBDN1186HLCD</t>
  </si>
  <si>
    <t>STB5P1318HLCD</t>
  </si>
  <si>
    <t>14.09.24</t>
  </si>
  <si>
    <t>STB5P1319HLCD</t>
  </si>
  <si>
    <t>STB4P1306HLCD</t>
  </si>
  <si>
    <t>21.11.24</t>
  </si>
  <si>
    <t>STB5P1314HLCD</t>
  </si>
  <si>
    <t>STB2P1223HLCD</t>
  </si>
  <si>
    <t>STB2P1222HLCD</t>
  </si>
  <si>
    <t>STB9P1341HLCD</t>
  </si>
  <si>
    <t>Not Required</t>
  </si>
  <si>
    <t>STB5P1327HLCD</t>
  </si>
  <si>
    <t>STB9P1340HLCD</t>
  </si>
  <si>
    <t>STB5P1326HLCD</t>
  </si>
  <si>
    <t>STB3P1251HLCD</t>
  </si>
  <si>
    <t>By Air 17-Sep-24</t>
  </si>
  <si>
    <t>STB3P1250HLCD</t>
  </si>
  <si>
    <t>by air 17-Sep-24</t>
  </si>
  <si>
    <t>already done</t>
  </si>
  <si>
    <t>Conv-A dONE</t>
  </si>
  <si>
    <t>STB8J0144HLCD</t>
  </si>
  <si>
    <t>STB8J0145HLCD</t>
  </si>
  <si>
    <t>STB8H0080HLCC</t>
  </si>
  <si>
    <t>conv-A done</t>
  </si>
  <si>
    <t>STB8H0078HLCC</t>
  </si>
  <si>
    <t>STB7H0066HLCC</t>
  </si>
  <si>
    <t>STB7H0067HLCC</t>
  </si>
  <si>
    <t>STB2P1216HLCD</t>
  </si>
  <si>
    <t>GONDA</t>
  </si>
  <si>
    <t>22.06.24</t>
  </si>
  <si>
    <t>STB2P1217HLCD</t>
  </si>
  <si>
    <t>STB3P1242HLCD</t>
  </si>
  <si>
    <t>26.06.24</t>
  </si>
  <si>
    <t>STB2P1230HLCD</t>
  </si>
  <si>
    <t>STB2R1409HLCD</t>
  </si>
  <si>
    <t>STB2R1408HLCD</t>
  </si>
  <si>
    <t>STB7M0859HLCD</t>
  </si>
  <si>
    <t>ER</t>
  </si>
  <si>
    <t>Already Done</t>
  </si>
  <si>
    <t>Already Done by HWH</t>
  </si>
  <si>
    <t>19.06.24</t>
  </si>
  <si>
    <t>STB7M0858HLCD</t>
  </si>
  <si>
    <t>STB4P1292HLCD</t>
  </si>
  <si>
    <t>21.08.24</t>
  </si>
  <si>
    <t>STB4P1293HLCD</t>
  </si>
  <si>
    <t>STB4P1308HLCD</t>
  </si>
  <si>
    <t>17.07.24</t>
  </si>
  <si>
    <t>STB4P1309HLCD</t>
  </si>
  <si>
    <t>STB5J0092HLCC</t>
  </si>
  <si>
    <t>SECR</t>
  </si>
  <si>
    <t>O/W</t>
  </si>
  <si>
    <t>Checked</t>
  </si>
  <si>
    <t>STB5J0093HLCC</t>
  </si>
  <si>
    <t>STB8J0138HLCD</t>
  </si>
  <si>
    <t>STB8J0140HLCD</t>
  </si>
  <si>
    <t>STB8J0135HLCD</t>
  </si>
  <si>
    <t>STB8J0134HLCD</t>
  </si>
  <si>
    <t>STB8J0147HLCD</t>
  </si>
  <si>
    <t>EL18F06049-R</t>
  </si>
  <si>
    <t>STB8J0153HLCD</t>
  </si>
  <si>
    <t>EL19J04046-R</t>
  </si>
  <si>
    <t>STBOM1028HLCD</t>
  </si>
  <si>
    <t>from NW</t>
  </si>
  <si>
    <t>STBDN1182HLCD</t>
  </si>
  <si>
    <t>STBOP1365HLCD</t>
  </si>
  <si>
    <t>STBOP1364HLCD</t>
  </si>
  <si>
    <t>STBDP1372HLCD</t>
  </si>
  <si>
    <t>STBDP1373HLCD</t>
  </si>
  <si>
    <t>STBDP1378HLCD</t>
  </si>
  <si>
    <t>STBDP1374HLCD</t>
  </si>
  <si>
    <t>STB3P1366HLCD</t>
  </si>
  <si>
    <t>STB3P1275HLCD</t>
  </si>
  <si>
    <t>STBDP1393HLCD</t>
  </si>
  <si>
    <t>STBDP1392HLCD</t>
  </si>
  <si>
    <t>STBDN1188HLCD</t>
  </si>
  <si>
    <t>STBDN1189HLCD</t>
  </si>
  <si>
    <t>STBOP1368HLCD</t>
  </si>
  <si>
    <t>STBOP1369HLCD</t>
  </si>
  <si>
    <t>STB3P1274HLCD</t>
  </si>
  <si>
    <t>7775KVA Xmer Not present</t>
  </si>
  <si>
    <t>STB0P1367HLCD</t>
  </si>
  <si>
    <t>STBOP1363HLCD</t>
  </si>
  <si>
    <t>STBDP1377HLCD</t>
  </si>
  <si>
    <t>STBDP1395HLCD</t>
  </si>
  <si>
    <t>STBDP1394HLCD</t>
  </si>
  <si>
    <t>STBDP1399HLCD</t>
  </si>
  <si>
    <t>STBDP1398HLCD</t>
  </si>
  <si>
    <t>STBDP1375HLCD</t>
  </si>
  <si>
    <t>STBDP1379HLCD</t>
  </si>
  <si>
    <t>STBOP1370HLCD</t>
  </si>
  <si>
    <t>STBOP1371HLCD</t>
  </si>
  <si>
    <t>STB4P1300HLCD</t>
  </si>
  <si>
    <t>FOUND OK</t>
  </si>
  <si>
    <t>STB4P1294HLCD</t>
  </si>
  <si>
    <t>STB4P1296HLCD</t>
  </si>
  <si>
    <t>STB4P1297HLCD</t>
  </si>
  <si>
    <t>STB4P1305HLCD</t>
  </si>
  <si>
    <t>STB4P1304HLCD</t>
  </si>
  <si>
    <t>STB4R1450HLCD</t>
  </si>
  <si>
    <t>17.12.2024</t>
  </si>
  <si>
    <t>STB4R1451HLCD</t>
  </si>
  <si>
    <t xml:space="preserve">Conv-B DONE
</t>
  </si>
  <si>
    <t>STB3P1252HLCD</t>
  </si>
  <si>
    <t>STB3P1253HLCD</t>
  </si>
  <si>
    <t>16.12.2024</t>
  </si>
  <si>
    <t>STB2P1234HLCD</t>
  </si>
  <si>
    <t>STB2P1233HLCD</t>
  </si>
  <si>
    <t>STB7R1521HLCD</t>
  </si>
  <si>
    <t>STBNR1577HLCD</t>
  </si>
  <si>
    <r>
      <rPr>
        <b/>
        <sz val="11"/>
        <color theme="1"/>
        <rFont val="Calibri"/>
        <family val="2"/>
        <scheme val="minor"/>
      </rPr>
      <t xml:space="preserve">Y5 </t>
    </r>
    <r>
      <rPr>
        <sz val="10"/>
        <color theme="1"/>
        <rFont val="Arial"/>
        <family val="2"/>
      </rPr>
      <t>22-06-2024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</si>
  <si>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Y5 </t>
    </r>
    <r>
      <rPr>
        <sz val="10"/>
        <color theme="1"/>
        <rFont val="Arial"/>
        <family val="2"/>
      </rPr>
      <t>22-06-2024</t>
    </r>
  </si>
  <si>
    <t>STB1S1608HLCD</t>
  </si>
  <si>
    <t>STB1S1609HLCD</t>
  </si>
  <si>
    <t>STBNR1586HLCD</t>
  </si>
  <si>
    <t>STBNR1587HLCD</t>
  </si>
  <si>
    <t>STB1S1610HLCD</t>
  </si>
  <si>
    <t>STB1S1611HLCD</t>
  </si>
  <si>
    <t>STB3P1248HLCD</t>
  </si>
  <si>
    <t>STB9P1342HLCD</t>
  </si>
  <si>
    <t>STBDN1198HLCD</t>
  </si>
  <si>
    <t>STBDN1196HLCD</t>
  </si>
  <si>
    <t>STB1S1616HLCD</t>
  </si>
  <si>
    <t>STB1S1617HLCD</t>
  </si>
  <si>
    <t>STB3P1257HLCD</t>
  </si>
  <si>
    <t>STB3P1263HLCD</t>
  </si>
  <si>
    <t>STB3P1262HLCD</t>
  </si>
  <si>
    <t>STB3P1260HLCD</t>
  </si>
  <si>
    <t>STB9P1343HLCD</t>
  </si>
  <si>
    <t>STB3P1246HLCD</t>
  </si>
  <si>
    <t>STB1S1607HLCD</t>
  </si>
  <si>
    <t>STB1S1606HLCD</t>
  </si>
  <si>
    <t>STB3P1261HLCD</t>
  </si>
  <si>
    <t>STB3P1256HLCD</t>
  </si>
  <si>
    <t>STB6R1489HLCD</t>
  </si>
  <si>
    <t>New comm</t>
  </si>
  <si>
    <t xml:space="preserve">new loco </t>
  </si>
  <si>
    <t>STB6R1488HLCD</t>
  </si>
  <si>
    <t>STB3R1422HLCD</t>
  </si>
  <si>
    <t>STB3R1423HLCD</t>
  </si>
  <si>
    <t xml:space="preserve">STB8R1535HLCD  </t>
  </si>
  <si>
    <t xml:space="preserve">STB8R1534HLCD </t>
  </si>
  <si>
    <t>TKD</t>
  </si>
  <si>
    <t>Con-A DONE</t>
  </si>
  <si>
    <t>26-08-2023</t>
  </si>
  <si>
    <t xml:space="preserve"> Y5 </t>
  </si>
  <si>
    <t>Y5</t>
  </si>
  <si>
    <t>EN60310</t>
  </si>
  <si>
    <t xml:space="preserve">DONE </t>
  </si>
  <si>
    <t>STBDR1583HLCD</t>
  </si>
  <si>
    <t>DONE BY NW</t>
  </si>
  <si>
    <t>Done By NW</t>
  </si>
  <si>
    <t>STBDR1582HLCD</t>
  </si>
  <si>
    <t>STB3S1676HLCD</t>
  </si>
  <si>
    <t>New comm.</t>
  </si>
  <si>
    <t>Dony by NW</t>
  </si>
  <si>
    <t>STB3S1677HLCD</t>
  </si>
  <si>
    <t>STB3S1668HLCD</t>
  </si>
  <si>
    <t>STB3S1669HLCD</t>
  </si>
  <si>
    <t>STB4S1697HLCD</t>
  </si>
  <si>
    <t>Ghaziabad</t>
  </si>
  <si>
    <t>New Comm</t>
  </si>
  <si>
    <t xml:space="preserve">Done by NW </t>
  </si>
  <si>
    <t>done by nw</t>
  </si>
  <si>
    <t xml:space="preserve">done </t>
  </si>
  <si>
    <t>done by NW</t>
  </si>
  <si>
    <t>STB4S1696HLCD</t>
  </si>
  <si>
    <t>Count of Steel mesh on cyclonic filter on loco wall</t>
  </si>
  <si>
    <t>updated 4-Oct-24</t>
  </si>
  <si>
    <t>New Software Y6</t>
  </si>
  <si>
    <t>HLC Outdoor Mesh</t>
  </si>
  <si>
    <t>Mounting Base under Sine Filter Capacitors</t>
  </si>
  <si>
    <t>f</t>
  </si>
  <si>
    <t>DONE AT ET</t>
  </si>
  <si>
    <r>
      <t xml:space="preserve">Software version in Conv
(Master) U7D2S04V.005
(Module) U7F2S240.005
</t>
    </r>
    <r>
      <rPr>
        <b/>
        <strike/>
        <sz val="16"/>
        <rFont val="Calibri"/>
        <family val="2"/>
        <scheme val="minor"/>
      </rPr>
      <t>*DATE*</t>
    </r>
  </si>
  <si>
    <r>
      <t xml:space="preserve">Software version (UAT2Y44O.012) of display updation 
</t>
    </r>
    <r>
      <rPr>
        <b/>
        <strike/>
        <sz val="14"/>
        <rFont val="Calibri"/>
        <family val="2"/>
        <scheme val="minor"/>
      </rPr>
      <t>*DATE*</t>
    </r>
  </si>
  <si>
    <t>Control fuse 
6.5amp to 15amp
(Glass fuse)
(Date)</t>
  </si>
  <si>
    <t>STB7F0012HLCB</t>
  </si>
  <si>
    <t>Tata</t>
  </si>
  <si>
    <t>SER</t>
  </si>
  <si>
    <t>Both side available</t>
  </si>
  <si>
    <t>N7</t>
  </si>
  <si>
    <t>STB70013HLCB</t>
  </si>
  <si>
    <t>STB9F0033HLCA</t>
  </si>
  <si>
    <t>Bandamunda</t>
  </si>
  <si>
    <t>RJ0D04.005</t>
  </si>
  <si>
    <t>Both Not Available</t>
  </si>
  <si>
    <t>20-01-24</t>
  </si>
  <si>
    <t>22.04.25</t>
  </si>
  <si>
    <t>STB9F0032HLCA</t>
  </si>
  <si>
    <t>20-01-2024</t>
  </si>
  <si>
    <t>STB8H0081HLCC</t>
  </si>
  <si>
    <t>STB8H0079HLCC</t>
  </si>
  <si>
    <t>STB7H0069HLCC</t>
  </si>
  <si>
    <t>17-10-24</t>
  </si>
  <si>
    <t>STB7H0070HLCC</t>
  </si>
  <si>
    <t>STBDM1062HLCD</t>
  </si>
  <si>
    <t>27/06/2024</t>
  </si>
  <si>
    <t>STBDM1063HLCD</t>
  </si>
  <si>
    <t>STB5L0495HLCD</t>
  </si>
  <si>
    <t>STB7L0617HLCD</t>
  </si>
  <si>
    <t>29/01/24</t>
  </si>
  <si>
    <t>22-07-24</t>
  </si>
  <si>
    <t>19-11-2024</t>
  </si>
  <si>
    <t>STB7L0616HLCD</t>
  </si>
  <si>
    <t>STB7L0618HLCD</t>
  </si>
  <si>
    <t>EL19H01006-R</t>
  </si>
  <si>
    <t>STB7L0619HLCD</t>
  </si>
  <si>
    <t>EL21C01025</t>
  </si>
  <si>
    <t>STB7L0624HLCD</t>
  </si>
  <si>
    <t>22-08-22</t>
  </si>
  <si>
    <t>STB7L0625HLCD</t>
  </si>
  <si>
    <t>STB7L0632HLCD</t>
  </si>
  <si>
    <t>21/06/24</t>
  </si>
  <si>
    <t>EL18J03042</t>
  </si>
  <si>
    <t>23-03-24</t>
  </si>
  <si>
    <t>24.05.25</t>
  </si>
  <si>
    <t>STB7L0637HLCD</t>
  </si>
  <si>
    <t>EL21D01-004</t>
  </si>
  <si>
    <t>STB7L0636HLCD</t>
  </si>
  <si>
    <t>22-01-24</t>
  </si>
  <si>
    <t>STB7L0633HLCD</t>
  </si>
  <si>
    <t>EL18F06060</t>
  </si>
  <si>
    <t>STBNK0322HLCD</t>
  </si>
  <si>
    <t>Bhilai</t>
  </si>
  <si>
    <t xml:space="preserve">Metal Short Link </t>
  </si>
  <si>
    <t>PWR side available</t>
  </si>
  <si>
    <t>15-05-25</t>
  </si>
  <si>
    <t>20-12-23</t>
  </si>
  <si>
    <t>STB1L0401HLCD</t>
  </si>
  <si>
    <t>STBNK0327HLCD</t>
  </si>
  <si>
    <t>Already DONE by NW</t>
  </si>
  <si>
    <t>29-5-25</t>
  </si>
  <si>
    <t>19-02-25</t>
  </si>
  <si>
    <t>21-09-24</t>
  </si>
  <si>
    <t>STB1L0409HLCD</t>
  </si>
  <si>
    <t>STB1L0406HLCD</t>
  </si>
  <si>
    <t>Done with wire</t>
  </si>
  <si>
    <t>21-5-25</t>
  </si>
  <si>
    <t>15-01-24</t>
  </si>
  <si>
    <t>STB1L0407HLCD</t>
  </si>
  <si>
    <t>18-01-25</t>
  </si>
  <si>
    <t>STBOL0662HLCD</t>
  </si>
  <si>
    <t>HWH</t>
  </si>
  <si>
    <t>Modified from BLW</t>
  </si>
  <si>
    <t>Not available</t>
  </si>
  <si>
    <t>EL18CG4008-R</t>
  </si>
  <si>
    <t>19-07-24</t>
  </si>
  <si>
    <t>29.05.24</t>
  </si>
  <si>
    <t>STBOL0650HLCD</t>
  </si>
  <si>
    <t>EL17G01035-R</t>
  </si>
  <si>
    <t>STB6H0065HLCC</t>
  </si>
  <si>
    <t>Gomoh</t>
  </si>
  <si>
    <t>ECR</t>
  </si>
  <si>
    <t>Q9J1Z04V.005</t>
  </si>
  <si>
    <t>21-08-24</t>
  </si>
  <si>
    <t>21-11-24</t>
  </si>
  <si>
    <t>STB6H0058HLCC</t>
  </si>
  <si>
    <t>20-11-24</t>
  </si>
  <si>
    <t>STB4N1122HLCD</t>
  </si>
  <si>
    <t>From NW</t>
  </si>
  <si>
    <t>17-07-24</t>
  </si>
  <si>
    <t>14.06.25</t>
  </si>
  <si>
    <t>STB4N1123HLCD</t>
  </si>
  <si>
    <t>29-03-2025</t>
  </si>
  <si>
    <t>28/03/25</t>
  </si>
  <si>
    <t>28-03-25</t>
  </si>
  <si>
    <t>STB6L0586HLCD</t>
  </si>
  <si>
    <t>Not done</t>
  </si>
  <si>
    <t>STB6L0571HLCD</t>
  </si>
  <si>
    <t xml:space="preserve">  EL18B07021-R</t>
  </si>
  <si>
    <t>STB7L0620HLCD</t>
  </si>
  <si>
    <t>22-09-24</t>
  </si>
  <si>
    <t>STB7L0621HLCD</t>
  </si>
  <si>
    <t>STBDL0735HLCD</t>
  </si>
  <si>
    <t>24/02/2025</t>
  </si>
  <si>
    <t>STB7L0613HLCD</t>
  </si>
  <si>
    <t>24/02/25</t>
  </si>
  <si>
    <t>STBNL0712HLCD</t>
  </si>
  <si>
    <t>26-12-24</t>
  </si>
  <si>
    <t>STB7M0892HLCD</t>
  </si>
  <si>
    <t>22/02/2025</t>
  </si>
  <si>
    <t>STB7M0893HLCD</t>
  </si>
  <si>
    <t>STB8M0902HLCD</t>
  </si>
  <si>
    <t>STB8M0967HLCD</t>
  </si>
  <si>
    <t>STB7M0863HLCD</t>
  </si>
  <si>
    <t>STB8M0930HLCD</t>
  </si>
  <si>
    <t>STB8M0912HLCD</t>
  </si>
  <si>
    <t>15.06.24</t>
  </si>
  <si>
    <t>STB8M0913HLCD</t>
  </si>
  <si>
    <t>STB8M0927HLCD</t>
  </si>
  <si>
    <t>STB8M0945HLCD</t>
  </si>
  <si>
    <t>STB7M0890HLCD</t>
  </si>
  <si>
    <t>28-08-24</t>
  </si>
  <si>
    <t>STB7M0891HLCD</t>
  </si>
  <si>
    <t>STB5L0535HLCD</t>
  </si>
  <si>
    <t>28-Fab-23</t>
  </si>
  <si>
    <t>STB5L0534HLCD</t>
  </si>
  <si>
    <t>STB5L0528HLCD</t>
  </si>
  <si>
    <t>EL21D01016</t>
  </si>
  <si>
    <t>22-08-24</t>
  </si>
  <si>
    <t>STBOL0659HLCD</t>
  </si>
  <si>
    <t>EL21D01 014</t>
  </si>
  <si>
    <t>STBOL0651HLCD</t>
  </si>
  <si>
    <t>EL20L05021</t>
  </si>
  <si>
    <t>24-07-24</t>
  </si>
  <si>
    <t>17/02/2025</t>
  </si>
  <si>
    <t>31-10-24</t>
  </si>
  <si>
    <t>STBOL0668HLCD</t>
  </si>
  <si>
    <t>EL18K03004R</t>
  </si>
  <si>
    <t>STBOK0292HLCD</t>
  </si>
  <si>
    <t xml:space="preserve">SPJ </t>
  </si>
  <si>
    <t xml:space="preserve"> Short link  Metal </t>
  </si>
  <si>
    <t xml:space="preserve"> done</t>
  </si>
  <si>
    <t>27-07-24</t>
  </si>
  <si>
    <t>STBOK0293HLCD</t>
  </si>
  <si>
    <t>STB4K0226HLCD</t>
  </si>
  <si>
    <t>STB5K0229HLCD</t>
  </si>
  <si>
    <t>STB8K0288HLCD</t>
  </si>
  <si>
    <t>21-11-23</t>
  </si>
  <si>
    <t>25-07-24</t>
  </si>
  <si>
    <t>16-05-2025</t>
  </si>
  <si>
    <t>STB8K0289HLCD</t>
  </si>
  <si>
    <t>STB8K0283HLCD</t>
  </si>
  <si>
    <t>EL18B07030-R</t>
  </si>
  <si>
    <t>14-08-24</t>
  </si>
  <si>
    <t>29-11-24</t>
  </si>
  <si>
    <t>STB6K0261HLCD</t>
  </si>
  <si>
    <t>STB8K0287HLCD</t>
  </si>
  <si>
    <t>STB5K0233HLCD</t>
  </si>
  <si>
    <t>STBOK0275HLCD</t>
  </si>
  <si>
    <t>16-07-24</t>
  </si>
  <si>
    <t>STB7K0274HLCD</t>
  </si>
  <si>
    <t>EL18B07029R</t>
  </si>
  <si>
    <t>STBOK0296HLCD</t>
  </si>
  <si>
    <t>Done on 12-7-20</t>
  </si>
  <si>
    <t>27-08-24</t>
  </si>
  <si>
    <t>26-03-25</t>
  </si>
  <si>
    <t>STB4K0210HLCD</t>
  </si>
  <si>
    <t>S7Q1G04V.005</t>
  </si>
  <si>
    <t>12-Oct-20 </t>
  </si>
  <si>
    <t>STB6L0541HLCD</t>
  </si>
  <si>
    <t>14-09-24</t>
  </si>
  <si>
    <t>13-09-24</t>
  </si>
  <si>
    <t>STB6L0551HLCD</t>
  </si>
  <si>
    <t>STB5L0540HLCD</t>
  </si>
  <si>
    <t>EL21D01-010</t>
  </si>
  <si>
    <t>28.10.24</t>
  </si>
  <si>
    <t>STB6L0547HLCD</t>
  </si>
  <si>
    <t>EL21D01-006</t>
  </si>
  <si>
    <t>STB6L0546HLCD</t>
  </si>
  <si>
    <t>T6</t>
  </si>
  <si>
    <t>STB6L0550HLCD</t>
  </si>
  <si>
    <t>STB6L0559HLCD</t>
  </si>
  <si>
    <t>STB6L0561HLCD</t>
  </si>
  <si>
    <t>STB7L0601HLCD</t>
  </si>
  <si>
    <t>30-09-24</t>
  </si>
  <si>
    <t>STB7L0602HLCD</t>
  </si>
  <si>
    <t>STB7L0639HLCD</t>
  </si>
  <si>
    <t>STB7L0638HLCD</t>
  </si>
  <si>
    <t>STB7L0605HLCD</t>
  </si>
  <si>
    <t>25-03-25</t>
  </si>
  <si>
    <t>STB6L0584HLCD</t>
  </si>
  <si>
    <t>STB7L0603HLCD</t>
  </si>
  <si>
    <t>Both side not available</t>
  </si>
  <si>
    <t>22-03-2025</t>
  </si>
  <si>
    <t>18.06.24</t>
  </si>
  <si>
    <t>STBDL0739HLCD</t>
  </si>
  <si>
    <t>STBDL0738HLCD</t>
  </si>
  <si>
    <t>STBDL0732HLCD</t>
  </si>
  <si>
    <t>STBDL0748HLCD</t>
  </si>
  <si>
    <t>STB5M0806HLCD</t>
  </si>
  <si>
    <t>EL19C01 015 -R</t>
  </si>
  <si>
    <t>29-06-24</t>
  </si>
  <si>
    <t>STB5M0830HLCD</t>
  </si>
  <si>
    <t>STB9M0982HLCD</t>
  </si>
  <si>
    <t>28-06-2025</t>
  </si>
  <si>
    <t>STBOM1000HLCD</t>
  </si>
  <si>
    <t>STB9M0983HLCD</t>
  </si>
  <si>
    <t>31-07-24</t>
  </si>
  <si>
    <t>STB8M0956HLCD</t>
  </si>
  <si>
    <t>STBOM1014HLCD</t>
  </si>
  <si>
    <t>STBOM1015HLCD</t>
  </si>
  <si>
    <t>STB7M0886HLCD</t>
  </si>
  <si>
    <t>EL19J04026 - R</t>
  </si>
  <si>
    <t>24-09-24</t>
  </si>
  <si>
    <t>STB7M0887HLCD</t>
  </si>
  <si>
    <t>STB5L0521HLCD</t>
  </si>
  <si>
    <t>25-10-24</t>
  </si>
  <si>
    <t>STB5L0524HLCD</t>
  </si>
  <si>
    <t>STB4L0481HLCD</t>
  </si>
  <si>
    <t>21-06-24</t>
  </si>
  <si>
    <t>20.04.24</t>
  </si>
  <si>
    <t>STB5L0523HLCD</t>
  </si>
  <si>
    <t>EL17J05005</t>
  </si>
  <si>
    <t>STB0L0674HLCD</t>
  </si>
  <si>
    <t>14-05-2025</t>
  </si>
  <si>
    <t>STB0L0673HLCD</t>
  </si>
  <si>
    <t>STBOL0661HLCD</t>
  </si>
  <si>
    <t>16-08-24</t>
  </si>
  <si>
    <t>STB0L0672HLCD</t>
  </si>
  <si>
    <t>15-07-24</t>
  </si>
  <si>
    <t>STB3P1266HLCD</t>
  </si>
  <si>
    <t>STB3P1267HLCD</t>
  </si>
  <si>
    <t>STBNK0333HLCD</t>
  </si>
  <si>
    <t>26-09-24</t>
  </si>
  <si>
    <t>16-04-2025</t>
  </si>
  <si>
    <t>STB1L0408HLCD</t>
  </si>
  <si>
    <t>STBDK0350HLCD</t>
  </si>
  <si>
    <t>EL17L04009</t>
  </si>
  <si>
    <t>26-07-24</t>
  </si>
  <si>
    <t>STBNK0339HLCD</t>
  </si>
  <si>
    <t>STBDK0362HLCD</t>
  </si>
  <si>
    <t>28-06-24</t>
  </si>
  <si>
    <t>20-06-2025</t>
  </si>
  <si>
    <t>20-06-25</t>
  </si>
  <si>
    <t>STBDK0363HLCD</t>
  </si>
  <si>
    <t>STBNK0344HLCD</t>
  </si>
  <si>
    <t>STBNK0345HLCD</t>
  </si>
  <si>
    <t>STB2L0431HLCD</t>
  </si>
  <si>
    <t>BJU</t>
  </si>
  <si>
    <t>24-03-2025</t>
  </si>
  <si>
    <t>13.06.25</t>
  </si>
  <si>
    <t>STB2L0430HLCD</t>
  </si>
  <si>
    <t>STB2L0435HLCD</t>
  </si>
  <si>
    <t>29-08-24</t>
  </si>
  <si>
    <t>20-03-2025</t>
  </si>
  <si>
    <t>STB2L0429HLCD</t>
  </si>
  <si>
    <t>STB2L0414HLCD</t>
  </si>
  <si>
    <t>21-05-25</t>
  </si>
  <si>
    <t>STB2L0415HLCD</t>
  </si>
  <si>
    <t>STB6M0855HLCD</t>
  </si>
  <si>
    <t>Already Available</t>
  </si>
  <si>
    <t>30-03-2025</t>
  </si>
  <si>
    <t>STB5M0792HLCD</t>
  </si>
  <si>
    <t>STB6F0011HLCA</t>
  </si>
  <si>
    <t>SDAH</t>
  </si>
  <si>
    <t>checked</t>
  </si>
  <si>
    <t>10.05.25</t>
  </si>
  <si>
    <t>13-03-24</t>
  </si>
  <si>
    <t>STB6F0010HLCA</t>
  </si>
  <si>
    <t>STB8F0019HLCB</t>
  </si>
  <si>
    <t>17-04-24</t>
  </si>
  <si>
    <t>STB9F0027HLCB</t>
  </si>
  <si>
    <t>STB7F0014HLCB</t>
  </si>
  <si>
    <t>30/05/2025</t>
  </si>
  <si>
    <t>24-04-24</t>
  </si>
  <si>
    <t>STB9F0026HLCB</t>
  </si>
  <si>
    <t>STB1H0052HLCB</t>
  </si>
  <si>
    <t>12.05.25</t>
  </si>
  <si>
    <t>24-03-24</t>
  </si>
  <si>
    <t>STB1H0051HLCB</t>
  </si>
  <si>
    <t>STB1H0053HLCB</t>
  </si>
  <si>
    <t>28-07-24</t>
  </si>
  <si>
    <t>18-06-2025</t>
  </si>
  <si>
    <t>STB1H0050HLCB</t>
  </si>
  <si>
    <t>STB3N1106HLCD</t>
  </si>
  <si>
    <t xml:space="preserve">Wire Short Link </t>
  </si>
  <si>
    <t>14-12-24</t>
  </si>
  <si>
    <t>STB3N1107HLCD</t>
  </si>
  <si>
    <t>STB3N1105HLCD</t>
  </si>
  <si>
    <t>29-07-24</t>
  </si>
  <si>
    <t>26-02-24</t>
  </si>
  <si>
    <t>STB3N1104HLCD</t>
  </si>
  <si>
    <t>STB9F0028HLCB</t>
  </si>
  <si>
    <t>STB9F0031HLCB</t>
  </si>
  <si>
    <t>STB1H0057HLCA</t>
  </si>
  <si>
    <t>STB1H0056HLCA</t>
  </si>
  <si>
    <t>STB8F0018HLCB</t>
  </si>
  <si>
    <t>STB8F0020HLCB</t>
  </si>
  <si>
    <t>STB7H0073HLCC</t>
  </si>
  <si>
    <t>13-07-24</t>
  </si>
  <si>
    <t>STB8H0075HLCC</t>
  </si>
  <si>
    <t>STB9M0993HLCD</t>
  </si>
  <si>
    <t>20-10-24</t>
  </si>
  <si>
    <t>STB9M0987HLCD</t>
  </si>
  <si>
    <t>24.01.25</t>
  </si>
  <si>
    <t>STB2K0183HLCD</t>
  </si>
  <si>
    <t>EL18A04 005-R</t>
  </si>
  <si>
    <t>17-06-2025</t>
  </si>
  <si>
    <t>Torque Done</t>
  </si>
  <si>
    <t>STB2K0181HLCD</t>
  </si>
  <si>
    <t>STB3K0195HLCD</t>
  </si>
  <si>
    <t>STB3K0194HLCD</t>
  </si>
  <si>
    <t>EL20L01024-R</t>
  </si>
  <si>
    <t>STB2K0186HLCD</t>
  </si>
  <si>
    <t>EL20H01017</t>
  </si>
  <si>
    <t>STB2K0189HLCD</t>
  </si>
  <si>
    <t>STB7K0269HLCD</t>
  </si>
  <si>
    <t>23-07-24</t>
  </si>
  <si>
    <t>22-10-24</t>
  </si>
  <si>
    <t>STB7K0268HLCD</t>
  </si>
  <si>
    <t>EL19F04 009</t>
  </si>
  <si>
    <t>STBDK0370HLCD</t>
  </si>
  <si>
    <t>18-11-24</t>
  </si>
  <si>
    <t>STBDK0371HLCD</t>
  </si>
  <si>
    <t>STB2L0411HLCD</t>
  </si>
  <si>
    <t>EL21C01-026</t>
  </si>
  <si>
    <t>STBNK0343HLCD</t>
  </si>
  <si>
    <t>EL21D01-007</t>
  </si>
  <si>
    <t>STB2L0446HLCD</t>
  </si>
  <si>
    <t>23-09-24</t>
  </si>
  <si>
    <t>STB2L0447HLCD</t>
  </si>
  <si>
    <t>STB2L0436HLCD</t>
  </si>
  <si>
    <t>19-09-24</t>
  </si>
  <si>
    <t>STB2L0448HLCD</t>
  </si>
  <si>
    <t>STB4L0464HLCD</t>
  </si>
  <si>
    <t>STB4L0465HLCD</t>
  </si>
  <si>
    <t>STB4L0452HLCD</t>
  </si>
  <si>
    <t>EL19J04196</t>
  </si>
  <si>
    <t>STB4L0453HLCD</t>
  </si>
  <si>
    <t>STB4L0467HLCD</t>
  </si>
  <si>
    <t>STB4L0461HLCD</t>
  </si>
  <si>
    <t>STB6L0553HLCD</t>
  </si>
  <si>
    <t>15.07.2025</t>
  </si>
  <si>
    <t>STB6L0552HLCD</t>
  </si>
  <si>
    <t>STB6L0577HLCD</t>
  </si>
  <si>
    <t>EL17D05016R</t>
  </si>
  <si>
    <t>STB7L0611HLCD</t>
  </si>
  <si>
    <t>21-02-25</t>
  </si>
  <si>
    <t>STB6L0570HLCD</t>
  </si>
  <si>
    <t>22.02.25</t>
  </si>
  <si>
    <t>STB7L0644HLCD</t>
  </si>
  <si>
    <t>21-02-2025</t>
  </si>
  <si>
    <t>28.05.24</t>
  </si>
  <si>
    <t>STB7L0645HLCD</t>
  </si>
  <si>
    <t>STBDL0741HLCD</t>
  </si>
  <si>
    <t>EL18B02014-R</t>
  </si>
  <si>
    <t>STB7L0612HLCD</t>
  </si>
  <si>
    <t>EL17J05012-R</t>
  </si>
  <si>
    <t>14.05.25</t>
  </si>
  <si>
    <t>STB5M0794HLCD</t>
  </si>
  <si>
    <t>23-02-25</t>
  </si>
  <si>
    <t>22-12-2024</t>
  </si>
  <si>
    <t>08.01.25</t>
  </si>
  <si>
    <t>STBNL0721HLCD</t>
  </si>
  <si>
    <t>STB5M0797HLCD</t>
  </si>
  <si>
    <t>EL21D01-009</t>
  </si>
  <si>
    <t>23.11.24</t>
  </si>
  <si>
    <t>STB5M0795HLCD</t>
  </si>
  <si>
    <t>Con-B Done</t>
  </si>
  <si>
    <t>EL21D01-012</t>
  </si>
  <si>
    <t>STB5M0796HLCD</t>
  </si>
  <si>
    <t>20-06-24</t>
  </si>
  <si>
    <t>STB5M0793HLCD</t>
  </si>
  <si>
    <t>STB5M0790HLCD</t>
  </si>
  <si>
    <t>STB5M0791HLCD</t>
  </si>
  <si>
    <t>STB5M0811HLCD</t>
  </si>
  <si>
    <t>EL21D01-005</t>
  </si>
  <si>
    <t>STB5M0810HLCD</t>
  </si>
  <si>
    <t>EL21C01-029</t>
  </si>
  <si>
    <t>STB6M0832HLCD</t>
  </si>
  <si>
    <t>STB6M833HLCD</t>
  </si>
  <si>
    <t>15.01.25</t>
  </si>
  <si>
    <t>STB8M0920HLCD</t>
  </si>
  <si>
    <t>18-07-24</t>
  </si>
  <si>
    <t>STB8M0921HLCD</t>
  </si>
  <si>
    <t>STB8M0952HLCD</t>
  </si>
  <si>
    <t>25-06-24</t>
  </si>
  <si>
    <t>22-11-24</t>
  </si>
  <si>
    <t>STB8M0953HLCD</t>
  </si>
  <si>
    <t>STBDL0754HLCD</t>
  </si>
  <si>
    <t>20-09-24</t>
  </si>
  <si>
    <t>21-03-25</t>
  </si>
  <si>
    <t>STBDL0760HLCD</t>
  </si>
  <si>
    <t>STB7M0870HLCD</t>
  </si>
  <si>
    <t>30-07-24</t>
  </si>
  <si>
    <t>28-03-2025</t>
  </si>
  <si>
    <t>10.11.24</t>
  </si>
  <si>
    <t>STB7M0871HLCD</t>
  </si>
  <si>
    <t>STB5L0539HLCD</t>
  </si>
  <si>
    <t>STB5L0536HLCD</t>
  </si>
  <si>
    <t>EU8C04013-R</t>
  </si>
  <si>
    <t>STB7L0590HLCD</t>
  </si>
  <si>
    <t>25.05.24</t>
  </si>
  <si>
    <t>STB7L0591HLCD</t>
  </si>
  <si>
    <t>STB3N1108HLCB</t>
  </si>
  <si>
    <t>STB3N1109HLCB</t>
  </si>
  <si>
    <t>STB0L0665HLCD</t>
  </si>
  <si>
    <t>EL19C01090-R</t>
  </si>
  <si>
    <t>30.05.24</t>
  </si>
  <si>
    <t>STBOL0667HLCD</t>
  </si>
  <si>
    <t>EL17G01040-R</t>
  </si>
  <si>
    <t>EL21A01 055</t>
  </si>
  <si>
    <t>STB9H0086HLCC</t>
  </si>
  <si>
    <t>25-03-2025</t>
  </si>
  <si>
    <t>STB9H0087HLCC</t>
  </si>
  <si>
    <t>STB1J0100HLCC</t>
  </si>
  <si>
    <t>Found Ok</t>
  </si>
  <si>
    <t>STB1J0101HLCC</t>
  </si>
  <si>
    <t>STBNN1168HLCD</t>
  </si>
  <si>
    <t>18-04-24</t>
  </si>
  <si>
    <t>28-10-24</t>
  </si>
  <si>
    <t>STBNN1170HLCD</t>
  </si>
  <si>
    <t>STB7J0122HLCD</t>
  </si>
  <si>
    <t>Siled with Silika gell</t>
  </si>
  <si>
    <t>STB7J0123HLCD</t>
  </si>
  <si>
    <t>STBOM1023HLCD</t>
  </si>
  <si>
    <t>14-10-24</t>
  </si>
  <si>
    <t>STBOM1022HLCD</t>
  </si>
  <si>
    <t>STB1K0179HLCD</t>
  </si>
  <si>
    <t>SRC</t>
  </si>
  <si>
    <t>31-08-24</t>
  </si>
  <si>
    <t>STB1K0178HLCD</t>
  </si>
  <si>
    <t>EL19F01 003-R</t>
  </si>
  <si>
    <t>STB1K0172HLCD</t>
  </si>
  <si>
    <t>STB1K0173HLCD</t>
  </si>
  <si>
    <t>STB3K0201HLCD</t>
  </si>
  <si>
    <t>26-11-24</t>
  </si>
  <si>
    <t>STB3K0191HLCD</t>
  </si>
  <si>
    <t>STB4K0225HLCD</t>
  </si>
  <si>
    <t>Found OK</t>
  </si>
  <si>
    <t>STB4K0222HLCD</t>
  </si>
  <si>
    <t>STB4K0217HLCD</t>
  </si>
  <si>
    <t>STB4K0215HLCD</t>
  </si>
  <si>
    <t>EL18F06060-R</t>
  </si>
  <si>
    <t>STB4K0216HLCD</t>
  </si>
  <si>
    <t>26-03-2025</t>
  </si>
  <si>
    <t>STB4K0214HLCD</t>
  </si>
  <si>
    <t>EL19G04 001</t>
  </si>
  <si>
    <t>STB0K0341HLCD</t>
  </si>
  <si>
    <t>STB0K0291HLCD</t>
  </si>
  <si>
    <t>STB2L0418HLCD</t>
  </si>
  <si>
    <t>18-09-24</t>
  </si>
  <si>
    <t>21-03-2025</t>
  </si>
  <si>
    <t>21/12/2024</t>
  </si>
  <si>
    <t>STB2L0439HLCD</t>
  </si>
  <si>
    <t>STB5L0518HLCD</t>
  </si>
  <si>
    <t>18-03-25</t>
  </si>
  <si>
    <t>STB5L0498HLCD</t>
  </si>
  <si>
    <t>18-03-2025</t>
  </si>
  <si>
    <t>STB4L0493HLCD</t>
  </si>
  <si>
    <t>EL21D01-015</t>
  </si>
  <si>
    <t>26/07/24</t>
  </si>
  <si>
    <t>14-03-25</t>
  </si>
  <si>
    <t>STB5L0508HLCD</t>
  </si>
  <si>
    <t>EL21L05-010</t>
  </si>
  <si>
    <t>STBDL0761HLCD</t>
  </si>
  <si>
    <t>12.06.24</t>
  </si>
  <si>
    <t>STB7M0868HLCD</t>
  </si>
  <si>
    <t>STBNM1030HLCD</t>
  </si>
  <si>
    <t>STB7M0869HLCD</t>
  </si>
  <si>
    <t>STB1L0390HLCD</t>
  </si>
  <si>
    <t>STB1L0397HLCD</t>
  </si>
  <si>
    <t>STB6L0588HLCD</t>
  </si>
  <si>
    <t>16-12-24</t>
  </si>
  <si>
    <t>STB6L0589HLCD</t>
  </si>
  <si>
    <t>STB5J0102HLCD</t>
  </si>
  <si>
    <t>28/08/24</t>
  </si>
  <si>
    <t>STB6J0114HLCD</t>
  </si>
  <si>
    <t>STB3K0202HLCD</t>
  </si>
  <si>
    <t xml:space="preserve"> ALREADY DONE</t>
  </si>
  <si>
    <t>ALREADY DONE</t>
  </si>
  <si>
    <t>STB3K0203HLCD</t>
  </si>
  <si>
    <t>STB3K0193HLCD</t>
  </si>
  <si>
    <t>STB3K0199HLCD</t>
  </si>
  <si>
    <t>EL18K02 028-R</t>
  </si>
  <si>
    <t>STB6L0587HLCD</t>
  </si>
  <si>
    <t>15-03-2025</t>
  </si>
  <si>
    <t>STB6L0573HLCD</t>
  </si>
  <si>
    <t>STB7L0647HLCD</t>
  </si>
  <si>
    <t>17-02-25</t>
  </si>
  <si>
    <t>STB7L0646HLCD</t>
  </si>
  <si>
    <t>STB7L0630HLCD</t>
  </si>
  <si>
    <t>27-03-2025</t>
  </si>
  <si>
    <t>25-06-202</t>
  </si>
  <si>
    <t>16-02-24</t>
  </si>
  <si>
    <t>STB7L0631HLCD</t>
  </si>
  <si>
    <t>17-03-2025</t>
  </si>
  <si>
    <t>STB6L0565HLCD</t>
  </si>
  <si>
    <t>EL19F04006</t>
  </si>
  <si>
    <t>STB8M0924HLCD</t>
  </si>
  <si>
    <t>25-09-24</t>
  </si>
  <si>
    <t>STB9M0975HLCD</t>
  </si>
  <si>
    <t>STBDM1078HLCD</t>
  </si>
  <si>
    <t>Waltier</t>
  </si>
  <si>
    <t>ECoR</t>
  </si>
  <si>
    <t>STBDM1075HLCD</t>
  </si>
  <si>
    <t>STBDM1079HLCD</t>
  </si>
  <si>
    <t>STBDM1074HLCD</t>
  </si>
  <si>
    <t>STBDM1077HLCD</t>
  </si>
  <si>
    <t>13-08-24</t>
  </si>
  <si>
    <t>13-11-24</t>
  </si>
  <si>
    <t>STBDM1076HLCD</t>
  </si>
  <si>
    <t>STB4N1111HLCD</t>
  </si>
  <si>
    <t>STB4N1113HLCD</t>
  </si>
  <si>
    <t>STB4N1114HLCD</t>
  </si>
  <si>
    <t>Already Modified</t>
  </si>
  <si>
    <t>STBDN1192HLCD</t>
  </si>
  <si>
    <t>STB4N1110HLCD</t>
  </si>
  <si>
    <t>27-07-2024</t>
  </si>
  <si>
    <t>STB4N1112HLCD</t>
  </si>
  <si>
    <t>STBDN1191HLCD</t>
  </si>
  <si>
    <t>STBDN1190HLCD</t>
  </si>
  <si>
    <t>STBDN1193HLCD</t>
  </si>
  <si>
    <t>STB4N1115HLCD</t>
  </si>
  <si>
    <t>STB7K0271HLCD</t>
  </si>
  <si>
    <t>Not Available</t>
  </si>
  <si>
    <t>STB7K0270HLCD</t>
  </si>
  <si>
    <t>STB7K0267HLCD</t>
  </si>
  <si>
    <t>STB7K0266HLCD</t>
  </si>
  <si>
    <t>EL19K01 171-R</t>
  </si>
  <si>
    <t>STB6K0263HLCD</t>
  </si>
  <si>
    <t>17-08-24</t>
  </si>
  <si>
    <t>STB6K0262HLCD</t>
  </si>
  <si>
    <t>EL15G01 030-R</t>
  </si>
  <si>
    <t>STBNK0328HLCD</t>
  </si>
  <si>
    <t>14.06.24</t>
  </si>
  <si>
    <t>STBNK0329HLCD</t>
  </si>
  <si>
    <t>STBNK0321HLCD</t>
  </si>
  <si>
    <t>STBNK0320HLCD</t>
  </si>
  <si>
    <t>STB2L0424HLCD</t>
  </si>
  <si>
    <t>S2G2N440.005</t>
  </si>
  <si>
    <t>STBDK0365HLCD</t>
  </si>
  <si>
    <t>STB2L0427HLCD</t>
  </si>
  <si>
    <t>18-10-24</t>
  </si>
  <si>
    <t>STB2L0422HLCD</t>
  </si>
  <si>
    <t>STB4L0478HLCD</t>
  </si>
  <si>
    <t>STB4L0479HLCD</t>
  </si>
  <si>
    <t>STB4L0456HLCD</t>
  </si>
  <si>
    <t>STB4L0457HLCD</t>
  </si>
  <si>
    <t>STB4L0490HLCD</t>
  </si>
  <si>
    <t>17-02-2025</t>
  </si>
  <si>
    <t>STB4L0491HLCD</t>
  </si>
  <si>
    <t>STB5M0812 HLCD</t>
  </si>
  <si>
    <t>NOT SUCCEEDED TO HEAVY TIGHT</t>
  </si>
  <si>
    <t>21-07-24</t>
  </si>
  <si>
    <t>STB5M0785 HLCD</t>
  </si>
  <si>
    <t>EL19H01018-R</t>
  </si>
  <si>
    <t>15-05-2025</t>
  </si>
  <si>
    <t>STB5M0814 HLCD</t>
  </si>
  <si>
    <t>15-10-24</t>
  </si>
  <si>
    <t>STB5M0815 HLCD</t>
  </si>
  <si>
    <t>STB7M0866 HLCD</t>
  </si>
  <si>
    <t>STB7M0867 HLCD</t>
  </si>
  <si>
    <t>STB5M0804 HLCD</t>
  </si>
  <si>
    <t>29-10-24</t>
  </si>
  <si>
    <t>STB5M0805 HLCD</t>
  </si>
  <si>
    <t>STB5L0537HLCD</t>
  </si>
  <si>
    <t>STB5L0530HLCD</t>
  </si>
  <si>
    <t>STB5L0531HLCD</t>
  </si>
  <si>
    <t>EL18C04005-R</t>
  </si>
  <si>
    <t>STB5L0533HLCD</t>
  </si>
  <si>
    <t>STBDL0767 HLCD</t>
  </si>
  <si>
    <t>EL17G01  021-R</t>
  </si>
  <si>
    <t>STBDL0766 HLCD</t>
  </si>
  <si>
    <t>STB1M0770HLCD</t>
  </si>
  <si>
    <t>EL19C01068-R</t>
  </si>
  <si>
    <t>30-10-24</t>
  </si>
  <si>
    <t>13.01.25</t>
  </si>
  <si>
    <t>STBDL0764HLCD</t>
  </si>
  <si>
    <t>STB1M0776 HLCD</t>
  </si>
  <si>
    <t>STB1M0775 HLCD</t>
  </si>
  <si>
    <t>STB1N1091HLCD</t>
  </si>
  <si>
    <t>STB1N1090HLCD</t>
  </si>
  <si>
    <t>STB1N1088HLCD</t>
  </si>
  <si>
    <t>29.01.25</t>
  </si>
  <si>
    <t>STB1N1089HLCD</t>
  </si>
  <si>
    <t>STB1N1093HLCD</t>
  </si>
  <si>
    <t>STB1N1092HLCD</t>
  </si>
  <si>
    <t>STB5N1134HLCD</t>
  </si>
  <si>
    <t>19-05-2025</t>
  </si>
  <si>
    <t>STB5N1135HLCD</t>
  </si>
  <si>
    <t>STBNN1171HLCD</t>
  </si>
  <si>
    <t>STBNN1169HLCD</t>
  </si>
  <si>
    <t>STBNN1172HLCD</t>
  </si>
  <si>
    <t>14-04-25</t>
  </si>
  <si>
    <t>STBNN1173HLCD</t>
  </si>
  <si>
    <t>15-04-25</t>
  </si>
  <si>
    <t>STB5N1158HLCD</t>
  </si>
  <si>
    <t>STB1N1149HLCD</t>
  </si>
  <si>
    <t>STB3P1271HLCD</t>
  </si>
  <si>
    <t>STB9P1352HLCD</t>
  </si>
  <si>
    <t>STB0M1029HLCD</t>
  </si>
  <si>
    <t>17-03-25</t>
  </si>
  <si>
    <t>STB9P1353HLCD</t>
  </si>
  <si>
    <t>STB2P1207HLCD</t>
  </si>
  <si>
    <t>STB2P1206HLCD</t>
  </si>
  <si>
    <t>STB2P1214HLCD</t>
  </si>
  <si>
    <t>22-01-25</t>
  </si>
  <si>
    <t>16-10-24</t>
  </si>
  <si>
    <t>STB2P1215HLCD</t>
  </si>
  <si>
    <t>STB3P1268HLCD</t>
  </si>
  <si>
    <t>28-05-25</t>
  </si>
  <si>
    <t>STB3P1269HLCD</t>
  </si>
  <si>
    <t>STB4P1284HLCD</t>
  </si>
  <si>
    <t xml:space="preserve">Modified </t>
  </si>
  <si>
    <t>STB4P1285HLCD</t>
  </si>
  <si>
    <t>STB4P1290HLCD</t>
  </si>
  <si>
    <t>19-11-24</t>
  </si>
  <si>
    <t>STB4P1287HLCD</t>
  </si>
  <si>
    <t>STB4P1286HLCD</t>
  </si>
  <si>
    <t>STB4P1291HLCD</t>
  </si>
  <si>
    <t>STB4R1444HLCD</t>
  </si>
  <si>
    <t>STB4R1432HLCD</t>
  </si>
  <si>
    <t>STB3P1381HLCD</t>
  </si>
  <si>
    <t>30-04-25</t>
  </si>
  <si>
    <t>STB3P1383HLCD</t>
  </si>
  <si>
    <t>STB7R1506HLCD</t>
  </si>
  <si>
    <t>24-06-24</t>
  </si>
  <si>
    <t>17-04-2025</t>
  </si>
  <si>
    <t>18-04-2025</t>
  </si>
  <si>
    <t>STB7R1507HLCD</t>
  </si>
  <si>
    <t>STB7R1518HLCD</t>
  </si>
  <si>
    <t>STB7R1519HLCD</t>
  </si>
  <si>
    <t>STBNR1571HLCD</t>
  </si>
  <si>
    <t>STBNR1545HLCD</t>
  </si>
  <si>
    <t>STB3R1421HLCD</t>
  </si>
  <si>
    <t>Nasik</t>
  </si>
  <si>
    <t>STB3R1420HLCD</t>
  </si>
  <si>
    <t>STB5R1470HLCD</t>
  </si>
  <si>
    <t>STB5R1471HLCD</t>
  </si>
  <si>
    <t>STB9P1347HLCD</t>
  </si>
  <si>
    <t>STB9P1358HLCD</t>
  </si>
  <si>
    <t>STB9P1355HLCD</t>
  </si>
  <si>
    <t>STB9P1349HLCD</t>
  </si>
  <si>
    <t>STBNR1584HLCD</t>
  </si>
  <si>
    <t>SGUJ</t>
  </si>
  <si>
    <t>NFR</t>
  </si>
  <si>
    <t>Torq. done</t>
  </si>
  <si>
    <t>21/06/25</t>
  </si>
  <si>
    <t>STBNR1585HLCD</t>
  </si>
  <si>
    <t>STB4R1436HLCD</t>
  </si>
  <si>
    <t>STB4R1443HLCD</t>
  </si>
  <si>
    <t>STB7L0593HLCD</t>
  </si>
  <si>
    <t>ECOR</t>
  </si>
  <si>
    <t>28-09-24</t>
  </si>
  <si>
    <t>STB6L0576HLCD</t>
  </si>
  <si>
    <t>STB7L0592HLCD</t>
  </si>
  <si>
    <t>STB6I0575HLCD</t>
  </si>
  <si>
    <t>STBDL0727HLCD</t>
  </si>
  <si>
    <t>Tighnes Done without washer (1-03-24)</t>
  </si>
  <si>
    <t>STBDL0726HLCD</t>
  </si>
  <si>
    <t>STB1S1603HLCD</t>
  </si>
  <si>
    <t>24-10-24</t>
  </si>
  <si>
    <t>STB1S1602HLCD</t>
  </si>
  <si>
    <t>STB2S1657HLCD</t>
  </si>
  <si>
    <t>26-04-25</t>
  </si>
  <si>
    <t>STB2S1656HLCD</t>
  </si>
  <si>
    <t>STB3S1682HLCD</t>
  </si>
  <si>
    <t>STB3S1683HLCD</t>
  </si>
  <si>
    <t>STB2S1646HLCD</t>
  </si>
  <si>
    <t>STB2S1647HLCD</t>
  </si>
  <si>
    <t>STB2S1645HLCD</t>
  </si>
  <si>
    <t>STB2S1648HLCD</t>
  </si>
  <si>
    <t>STB3S1688HLCD</t>
  </si>
  <si>
    <t>STB3S1689HLCD</t>
  </si>
  <si>
    <t>STB4S1699HLCD</t>
  </si>
  <si>
    <t>STB4S1698HLCD</t>
  </si>
  <si>
    <t>STB2S1654HLCD</t>
  </si>
  <si>
    <t>STB2S1655HLCD</t>
  </si>
  <si>
    <t>updated on 22/09/22</t>
  </si>
  <si>
    <t>updated on 29/09/22</t>
  </si>
  <si>
    <t>Base shed</t>
  </si>
  <si>
    <t>Total E-HLC</t>
  </si>
  <si>
    <t xml:space="preserve">Display software updation </t>
  </si>
  <si>
    <t>Balance</t>
  </si>
  <si>
    <t>Input choke</t>
  </si>
  <si>
    <t>Modified</t>
  </si>
  <si>
    <t>unModified</t>
  </si>
  <si>
    <t>Vijayawada</t>
  </si>
  <si>
    <t>Bhillai</t>
  </si>
  <si>
    <t>Gomo</t>
  </si>
  <si>
    <t>Howrah</t>
  </si>
  <si>
    <t>Satraganchi</t>
  </si>
  <si>
    <t>SPJ</t>
  </si>
  <si>
    <t>Sealdah</t>
  </si>
  <si>
    <t>Ajni</t>
  </si>
  <si>
    <t>Itarsi</t>
  </si>
  <si>
    <t>Kalyan</t>
  </si>
  <si>
    <t>Vadodra</t>
  </si>
  <si>
    <t>Total Loco</t>
  </si>
  <si>
    <t>Details given to RDSO on date 31/Oct/22</t>
  </si>
  <si>
    <t>Software version of Text display
(Modified count)</t>
  </si>
  <si>
    <t>Control fuse 
6.5amp to 15amp
(Modified count)</t>
  </si>
  <si>
    <t>Un modified</t>
  </si>
  <si>
    <t>k</t>
  </si>
  <si>
    <r>
      <t xml:space="preserve">Software version in Conv
(Master) U7D2S04V.005
(Module) U7F2S240.005
</t>
    </r>
    <r>
      <rPr>
        <b/>
        <sz val="16"/>
        <color rgb="FFFF0000"/>
        <rFont val="Calibri"/>
        <family val="2"/>
        <scheme val="minor"/>
      </rPr>
      <t>*DATE*</t>
    </r>
  </si>
  <si>
    <r>
      <t>Software version (UAT2Y44</t>
    </r>
    <r>
      <rPr>
        <b/>
        <sz val="12"/>
        <color rgb="FFFF0000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.012) of display updation 
</t>
    </r>
    <r>
      <rPr>
        <b/>
        <sz val="14"/>
        <color rgb="FFFF0000"/>
        <rFont val="Calibri"/>
        <family val="2"/>
        <scheme val="minor"/>
      </rPr>
      <t>*DATE*</t>
    </r>
  </si>
  <si>
    <t>Sine filter choke change</t>
  </si>
  <si>
    <t>Display Button</t>
  </si>
  <si>
    <t>STB9J0168HLCD</t>
  </si>
  <si>
    <t>Krishnarajipuram</t>
  </si>
  <si>
    <t>SWR</t>
  </si>
  <si>
    <t>05.03.2021</t>
  </si>
  <si>
    <t>20amp fuse</t>
  </si>
  <si>
    <t>STB6L0553</t>
  </si>
  <si>
    <t>STB9J0169HLCD</t>
  </si>
  <si>
    <t>M2500 software</t>
  </si>
  <si>
    <t>STB9J0158HLCD</t>
  </si>
  <si>
    <t>11.06.2021</t>
  </si>
  <si>
    <t>01.02.2022</t>
  </si>
  <si>
    <t>Removal of metal short link</t>
  </si>
  <si>
    <t>STB9J0116HLCD</t>
  </si>
  <si>
    <t>STB9M0984HLCD</t>
  </si>
  <si>
    <t>29.06.2021</t>
  </si>
  <si>
    <t>09.06.2022</t>
  </si>
  <si>
    <t>STB9M0985HLCD</t>
  </si>
  <si>
    <t>03.06.2021</t>
  </si>
  <si>
    <t>STBDL0734</t>
  </si>
  <si>
    <t>24.05.2021</t>
  </si>
  <si>
    <t>STBDL0744</t>
  </si>
  <si>
    <t>STBNL0713</t>
  </si>
  <si>
    <t>19.02.2021</t>
  </si>
  <si>
    <t>STBDL0751</t>
  </si>
  <si>
    <t>STBOM1002</t>
  </si>
  <si>
    <t>STB9M0974</t>
  </si>
  <si>
    <t>STB8M0966</t>
  </si>
  <si>
    <t>20.07.2021</t>
  </si>
  <si>
    <t>STB8M0968</t>
  </si>
  <si>
    <t>STB0M1006HLCD</t>
  </si>
  <si>
    <t>09.06.2021</t>
  </si>
  <si>
    <t>STB0M1009HLCD</t>
  </si>
  <si>
    <t>12.06.2021</t>
  </si>
  <si>
    <t>STBDM1060</t>
  </si>
  <si>
    <t>1060</t>
  </si>
  <si>
    <t>08.07.2022</t>
  </si>
  <si>
    <t>STB9M0992</t>
  </si>
  <si>
    <t>24.03.2021</t>
  </si>
  <si>
    <t>STBOM1016</t>
  </si>
  <si>
    <t>07.08.2021</t>
  </si>
  <si>
    <t>STBOM1017</t>
  </si>
  <si>
    <t>STB1M0773HLCD</t>
  </si>
  <si>
    <t>24.02.2021</t>
  </si>
  <si>
    <t>STBOL0671HLCD</t>
  </si>
  <si>
    <t>STB7M0877HLCD</t>
  </si>
  <si>
    <t>23.02.2021</t>
  </si>
  <si>
    <t>STB7M0876HLCD</t>
  </si>
  <si>
    <t>STB7M0879HLCD</t>
  </si>
  <si>
    <t>23.03.2021</t>
  </si>
  <si>
    <t>STB7M0885HLCD</t>
  </si>
  <si>
    <t>STB9M0981HLCD</t>
  </si>
  <si>
    <t>STB9M0980HLCD</t>
  </si>
  <si>
    <t>STB7M0881HLCD</t>
  </si>
  <si>
    <t>13.02.2021</t>
  </si>
  <si>
    <t>STB7M0880HLCD</t>
  </si>
  <si>
    <t>STB7M0865</t>
  </si>
  <si>
    <t>STB7M0864</t>
  </si>
  <si>
    <t>STB8M0925</t>
  </si>
  <si>
    <t>STBDL0759</t>
  </si>
  <si>
    <t>STBOM1012</t>
  </si>
  <si>
    <t>STB8M0915</t>
  </si>
  <si>
    <t>BNDM</t>
  </si>
  <si>
    <t>STB7F0013HLCB</t>
  </si>
  <si>
    <t>Failed</t>
  </si>
  <si>
    <t>STB7L0604HLCD</t>
  </si>
  <si>
    <t>GMO</t>
  </si>
  <si>
    <t xml:space="preserve">GMO </t>
  </si>
  <si>
    <t>STB7L0600HLCD</t>
  </si>
  <si>
    <t>STB8M0955</t>
  </si>
  <si>
    <t>STB8M0954</t>
  </si>
  <si>
    <t>Modification</t>
  </si>
  <si>
    <t>Modifcation</t>
  </si>
  <si>
    <t xml:space="preserve">Modification </t>
  </si>
  <si>
    <t xml:space="preserve">Modfication </t>
  </si>
  <si>
    <t>STBDL0735</t>
  </si>
  <si>
    <t>STB1J0167HLCD</t>
  </si>
  <si>
    <t>conv-A DONe</t>
  </si>
  <si>
    <t>STB9J0160HLCD</t>
  </si>
  <si>
    <t>STB9J0155HLCD</t>
  </si>
  <si>
    <t>STB4L0460HLCD</t>
  </si>
  <si>
    <t>STB4L0466HLCD</t>
  </si>
  <si>
    <t>STB4L0473HLCD</t>
  </si>
  <si>
    <t>STB4L0472HLCD</t>
  </si>
  <si>
    <t>STB4L0474HLCD</t>
  </si>
  <si>
    <t>STB4L0475HLCD</t>
  </si>
  <si>
    <t>STB6L0582HLCD</t>
  </si>
  <si>
    <t>STB6L0583HLCD</t>
  </si>
  <si>
    <t>STB7L0622HLCD</t>
  </si>
  <si>
    <t>STB7L0623HLCD</t>
  </si>
  <si>
    <t>STB6L0566HLCD</t>
  </si>
  <si>
    <t>STB6L0567HLCD</t>
  </si>
  <si>
    <t>STBDL0736HLCD</t>
  </si>
  <si>
    <t>STBDL0745HLCD</t>
  </si>
  <si>
    <t>STB0K0310HLCD</t>
  </si>
  <si>
    <t>STB0K0309HLCD</t>
  </si>
  <si>
    <t>STB5J0097HLCC</t>
  </si>
  <si>
    <t>STB5J0098HLCC</t>
  </si>
  <si>
    <t>STB7K0272HLCD</t>
  </si>
  <si>
    <t>STB7K0273HLCD</t>
  </si>
  <si>
    <t>STB8K0282HLCD</t>
  </si>
  <si>
    <t>STB6K0260HLCD</t>
  </si>
  <si>
    <t>STB8K0280HLCD</t>
  </si>
  <si>
    <t>STB8K0281HLCD</t>
  </si>
  <si>
    <t>STB7K0278HLCD</t>
  </si>
  <si>
    <t>STB5K0230HLCD</t>
  </si>
  <si>
    <t>STB6M0834HLCD</t>
  </si>
  <si>
    <t>STB6M0843HLCD</t>
  </si>
  <si>
    <t>STB8M0969</t>
  </si>
  <si>
    <t>STB5M0787</t>
  </si>
  <si>
    <t>STB3K0209HLCD</t>
  </si>
  <si>
    <t>STB3K0208HLCD</t>
  </si>
  <si>
    <t>STB5L0532HLCD</t>
  </si>
  <si>
    <t>STB5L0538HLCD</t>
  </si>
  <si>
    <t>STB9H0084HLCC</t>
  </si>
  <si>
    <t>STB9H0089HLCC</t>
  </si>
  <si>
    <r>
      <t xml:space="preserve"> Short link  </t>
    </r>
    <r>
      <rPr>
        <sz val="9"/>
        <color rgb="FFFF0000"/>
        <rFont val="Arial"/>
        <family val="2"/>
      </rPr>
      <t xml:space="preserve">Metal </t>
    </r>
  </si>
  <si>
    <t>STBOM1014</t>
  </si>
  <si>
    <t>STBOM1015</t>
  </si>
  <si>
    <t>Display not working (01-03-21)</t>
  </si>
  <si>
    <t>Display not working 05.4.21</t>
  </si>
  <si>
    <t>STBOK0295 HLCD</t>
  </si>
  <si>
    <t>STBOK0294 HLCD</t>
  </si>
  <si>
    <t>STB7J0128HLCD</t>
  </si>
  <si>
    <t>STB9J0162HLCD</t>
  </si>
  <si>
    <t>STB6M0833HLCD</t>
  </si>
  <si>
    <t>STB7J0124HLCD</t>
  </si>
  <si>
    <t>STB7J0125HLCD</t>
  </si>
  <si>
    <t>STB7J0133HLCD</t>
  </si>
  <si>
    <t>STB7J0132HLCD</t>
  </si>
  <si>
    <t>STB3K0200HLCD</t>
  </si>
  <si>
    <t>STB3K0190HLCD</t>
  </si>
  <si>
    <t>STBOK0291HLCD</t>
  </si>
  <si>
    <t>STB8M0924</t>
  </si>
  <si>
    <t>STB9M0975</t>
  </si>
  <si>
    <t>STB1M0770 HLCD</t>
  </si>
  <si>
    <t>STBDL0764 HLCD</t>
  </si>
  <si>
    <t>STBDL0754</t>
  </si>
  <si>
    <t>STBDL0760</t>
  </si>
  <si>
    <t>STBDL0761</t>
  </si>
  <si>
    <t>STB7M0868</t>
  </si>
  <si>
    <t>STB7M0869</t>
  </si>
  <si>
    <t>STB7M0870</t>
  </si>
  <si>
    <t>STB7M0871</t>
  </si>
  <si>
    <t>STB7M0886</t>
  </si>
  <si>
    <t>STB7M0887</t>
  </si>
  <si>
    <t>STBOM1030</t>
  </si>
  <si>
    <t>STB5J0094HLCC</t>
  </si>
  <si>
    <t>AJNI</t>
  </si>
  <si>
    <t>CR</t>
  </si>
  <si>
    <t>STB5J0095HLCC</t>
  </si>
  <si>
    <t>STB5J0103HLCD</t>
  </si>
  <si>
    <t>STB6J0111HLCD</t>
  </si>
  <si>
    <t>STB6J0117HLCD</t>
  </si>
  <si>
    <t>STB9J0154HLCD</t>
  </si>
  <si>
    <t>STB1K0174HLCD</t>
  </si>
  <si>
    <t>STB1K0175HLCD</t>
  </si>
  <si>
    <t>STB2K0184HLCD</t>
  </si>
  <si>
    <t>STB2K0185HLCD</t>
  </si>
  <si>
    <t>STB1K0176HLCD</t>
  </si>
  <si>
    <t>STB1K0177HLCD</t>
  </si>
  <si>
    <t>STB1K0170HLCD</t>
  </si>
  <si>
    <t>STB1K0171HLCD</t>
  </si>
  <si>
    <t>STB2K0182HLCD</t>
  </si>
  <si>
    <t>STB2K0192HLCD</t>
  </si>
  <si>
    <t>STB2K0187HLCD</t>
  </si>
  <si>
    <t>STB2K0188HLCD</t>
  </si>
  <si>
    <t>STB2L0445HLCD</t>
  </si>
  <si>
    <t>STB2L0444HLCD</t>
  </si>
  <si>
    <t>STB2L0437HLCD</t>
  </si>
  <si>
    <t>STB2L0449HLCD</t>
  </si>
  <si>
    <t>STB4L0463HLCD</t>
  </si>
  <si>
    <t>STB4L0462HLCD</t>
  </si>
  <si>
    <t>STB6L0548HLCD</t>
  </si>
  <si>
    <t>STB7L0649HLCD</t>
  </si>
  <si>
    <t>STB6L0549HLCD</t>
  </si>
  <si>
    <t>STB7L0648HLCD</t>
  </si>
  <si>
    <t>STBNL0708HLCD</t>
  </si>
  <si>
    <t>STBNL0707HLCD</t>
  </si>
  <si>
    <t>STBNL0686HLCD</t>
  </si>
  <si>
    <t>STB6L0563HLCD</t>
  </si>
  <si>
    <t>STB6L0556HLCD</t>
  </si>
  <si>
    <t>STBNL0687HLCD</t>
  </si>
  <si>
    <t>STB6M0854HLCD</t>
  </si>
  <si>
    <t>STBNL0720HLCD</t>
  </si>
  <si>
    <t>STB5M0816HLCD</t>
  </si>
  <si>
    <t>STB5M0817HLCD</t>
  </si>
  <si>
    <t>STBNL0719HLCD</t>
  </si>
  <si>
    <t>STB5M0784HLCD</t>
  </si>
  <si>
    <t>STB6M0844HLCD</t>
  </si>
  <si>
    <t>STB6M0845HLCD</t>
  </si>
  <si>
    <t>STB7M0860</t>
  </si>
  <si>
    <t>STB7M0861</t>
  </si>
  <si>
    <t>STB3K0205HLCD</t>
  </si>
  <si>
    <t>STB3K0204HLCD</t>
  </si>
  <si>
    <t>STB4L0483HLCD</t>
  </si>
  <si>
    <t>STB4L0484HLCD</t>
  </si>
  <si>
    <t>STB5K0241HLCD</t>
  </si>
  <si>
    <t>STB5K0240HLCD</t>
  </si>
  <si>
    <t>STB5K0243HLCD</t>
  </si>
  <si>
    <t>STB6K0247HLCD</t>
  </si>
  <si>
    <t>STB6K0246HLCD</t>
  </si>
  <si>
    <t>STB5K0242HLCD</t>
  </si>
  <si>
    <t>STB8K0285HLCD</t>
  </si>
  <si>
    <t>STB8K0284HLCD</t>
  </si>
  <si>
    <t>STB7K0276HLCD</t>
  </si>
  <si>
    <t>STB7K0277HLCD</t>
  </si>
  <si>
    <t>STB5L0512HLCD</t>
  </si>
  <si>
    <t>STB5L0513HLCD</t>
  </si>
  <si>
    <t>STB6L0544HLCD</t>
  </si>
  <si>
    <t>STB6L0545HLCD</t>
  </si>
  <si>
    <t>STB6L0560HLCD</t>
  </si>
  <si>
    <t>STB6L0558HLCD</t>
  </si>
  <si>
    <t>STB8M0935HLCD</t>
  </si>
  <si>
    <t>STB8M0909HLCD</t>
  </si>
  <si>
    <t>STB10K0307HLCD</t>
  </si>
  <si>
    <t>STB10K0306HLCD</t>
  </si>
  <si>
    <t>STB10K0302HLCD</t>
  </si>
  <si>
    <t>STB10K0303HLCD</t>
  </si>
  <si>
    <t>STB8H0077HLCC</t>
  </si>
  <si>
    <t>STB7H0072HLCC</t>
  </si>
  <si>
    <t>STB8H0076HLCC</t>
  </si>
  <si>
    <t>STB8H0074HLCC</t>
  </si>
  <si>
    <t>STB9H0085HLCD</t>
  </si>
  <si>
    <t>YES</t>
  </si>
  <si>
    <t>STB9H0088HLCD</t>
  </si>
  <si>
    <t>UAT2Y44O.O12</t>
  </si>
  <si>
    <t>STB8J0141HLCD</t>
  </si>
  <si>
    <t>STB8J0139HLCD</t>
  </si>
  <si>
    <t>STBDK0358HLCD</t>
  </si>
  <si>
    <t>STBDK0369HLCD</t>
  </si>
  <si>
    <t>STB7L0628HLCD</t>
  </si>
  <si>
    <t>S7Q1G04</t>
  </si>
  <si>
    <t>STB7L0629HLCD</t>
  </si>
  <si>
    <t>STB6L0579HLCD</t>
  </si>
  <si>
    <t>STB6L0578HLCD</t>
  </si>
  <si>
    <t>STB7L0596HLCD</t>
  </si>
  <si>
    <t>STB7L0597HLCD</t>
  </si>
  <si>
    <t>STB7L0626HLCD</t>
  </si>
  <si>
    <t>STB7L0627HLCD</t>
  </si>
  <si>
    <t>STBNL0698HLCD</t>
  </si>
  <si>
    <t>STBNL0704HLCD</t>
  </si>
  <si>
    <t>STBNL0684HLCD</t>
  </si>
  <si>
    <t>STBNL0685HLCD</t>
  </si>
  <si>
    <t>STBNL0693HLCD</t>
  </si>
  <si>
    <t>STBNL0701HLCD</t>
  </si>
  <si>
    <t>STB6L0585HLCD</t>
  </si>
  <si>
    <t>STBNL0706HLCD</t>
  </si>
  <si>
    <t>STBNL0697HLCD</t>
  </si>
  <si>
    <t>STB6L0572HLCD</t>
  </si>
  <si>
    <t>STB6M0839HLCD</t>
  </si>
  <si>
    <t>STB6M0837HLCD</t>
  </si>
  <si>
    <t>STB6M0841HLCD</t>
  </si>
  <si>
    <t>STB6M0846HLCD</t>
  </si>
  <si>
    <t>STB8M0899HLCD</t>
  </si>
  <si>
    <t>STB8M0903HLCD</t>
  </si>
  <si>
    <t>STB8M0948HLCD</t>
  </si>
  <si>
    <t>STB8M0949HLCD</t>
  </si>
  <si>
    <t>STB6M0848HLCD</t>
  </si>
  <si>
    <t>STB6M0849HLCD</t>
  </si>
  <si>
    <t>STB8M0900HLCD</t>
  </si>
  <si>
    <t>STB8M0901HLCD</t>
  </si>
  <si>
    <t>STB7M0874</t>
  </si>
  <si>
    <t>STB7M0875</t>
  </si>
  <si>
    <t>STB7M0862HLCD</t>
  </si>
  <si>
    <t>STB8M0931HLCD</t>
  </si>
  <si>
    <t>STBDL0752</t>
  </si>
  <si>
    <t>STB5M0789</t>
  </si>
  <si>
    <t>STB5M0798</t>
  </si>
  <si>
    <t>STB5M0800</t>
  </si>
  <si>
    <t>STB5M0799</t>
  </si>
  <si>
    <t>STBNM1034</t>
  </si>
  <si>
    <t>STB5M0801</t>
  </si>
  <si>
    <t>STB5M0803</t>
  </si>
  <si>
    <t>STB5K0235HLCD</t>
  </si>
  <si>
    <t>STB5K0234HLCD</t>
  </si>
  <si>
    <t>STB0K0304HLCD</t>
  </si>
  <si>
    <t>STB0K0305HLCD</t>
  </si>
  <si>
    <t>STB1L0391HLCD</t>
  </si>
  <si>
    <t>STB1L0398HLCD</t>
  </si>
  <si>
    <t>STB1L0396HLCD</t>
  </si>
  <si>
    <t>STB1L0394HLCD</t>
  </si>
  <si>
    <t>STB1L0392HLCD</t>
  </si>
  <si>
    <t>STB1L0395HLCD</t>
  </si>
  <si>
    <t>STB0L0656HLCD</t>
  </si>
  <si>
    <t>STB0L0655HLCD</t>
  </si>
  <si>
    <t>STB9M0979HLCD</t>
  </si>
  <si>
    <t>STB9M0978HLCD</t>
  </si>
  <si>
    <t>STB9M0977HLCD</t>
  </si>
  <si>
    <t>STB9M0976HLCD</t>
  </si>
  <si>
    <t>STBDM1054HLCD</t>
  </si>
  <si>
    <t>1054</t>
  </si>
  <si>
    <t>STBDM1053HLCD</t>
  </si>
  <si>
    <t>1053</t>
  </si>
  <si>
    <t>STBDM1059HLCD</t>
  </si>
  <si>
    <t>1059</t>
  </si>
  <si>
    <t>STBDM1069HLCD</t>
  </si>
  <si>
    <t>WR</t>
  </si>
  <si>
    <t>1069</t>
  </si>
  <si>
    <t>STBDM1068HLCD</t>
  </si>
  <si>
    <t>1068</t>
  </si>
  <si>
    <t>STBDM1056HLCD</t>
  </si>
  <si>
    <t>1056</t>
  </si>
  <si>
    <t>STBDM1057HLCD</t>
  </si>
  <si>
    <t>1057</t>
  </si>
  <si>
    <t>STBNF0039HLCA</t>
  </si>
  <si>
    <t>Vadodara</t>
  </si>
  <si>
    <t>STB8F0023HLCA</t>
  </si>
  <si>
    <t>09J1Z04V.005</t>
  </si>
  <si>
    <t>STB8F0021HLCB</t>
  </si>
  <si>
    <t>STB7E0016HLCB</t>
  </si>
  <si>
    <t>STB7F0017HLCB</t>
  </si>
  <si>
    <t>STBNF0040HLCA</t>
  </si>
  <si>
    <t>STBDF0044HLCA</t>
  </si>
  <si>
    <t>STBDF0043HLCB</t>
  </si>
  <si>
    <t>NEW FILTER</t>
  </si>
  <si>
    <t>STB7F0015HLCB</t>
  </si>
  <si>
    <t>STB1H0054HLCA</t>
  </si>
  <si>
    <t>STBNF0041HLCA</t>
  </si>
  <si>
    <t>STB8F0025HLCA</t>
  </si>
  <si>
    <t>STB1H0055HLCA</t>
  </si>
  <si>
    <t>STB8F0024HLCA</t>
  </si>
  <si>
    <t>STBDF0049HLCA</t>
  </si>
  <si>
    <t>STB6H0064HLCC</t>
  </si>
  <si>
    <t>PROVIDED NEW</t>
  </si>
  <si>
    <t>STB6H0061HLCC</t>
  </si>
  <si>
    <t>STB6H0062HLCC</t>
  </si>
  <si>
    <t>STB6H0060HLCC</t>
  </si>
  <si>
    <t>STB6H0059HLCC</t>
  </si>
  <si>
    <t>STB6H0063HLCC</t>
  </si>
  <si>
    <t>STB5J0104HLCD</t>
  </si>
  <si>
    <t>15/5/2022</t>
  </si>
  <si>
    <t>STB830105HLCD</t>
  </si>
  <si>
    <t>STB8J0144HLCC</t>
  </si>
  <si>
    <t>STB6J0107HLCD</t>
  </si>
  <si>
    <t>STB6J0106HLCD</t>
  </si>
  <si>
    <t>STB7J0126HLCD</t>
  </si>
  <si>
    <t>STB7J0127HLCD</t>
  </si>
  <si>
    <t>STBDK0374HLCD</t>
  </si>
  <si>
    <t>STBDK0375HLCD</t>
  </si>
  <si>
    <t>STB8M0964HLCD</t>
  </si>
  <si>
    <t>19/04/2022</t>
  </si>
  <si>
    <t>STB8M0965HLCD</t>
  </si>
  <si>
    <t>STB0M1008HLCD</t>
  </si>
  <si>
    <t>STB9M0986HLCD</t>
  </si>
  <si>
    <t>STB5K0244HLCD</t>
  </si>
  <si>
    <t>STB5K0245HLCD</t>
  </si>
  <si>
    <t>STB6K0256HLCD</t>
  </si>
  <si>
    <t>STB6K0257HLCD</t>
  </si>
  <si>
    <t>STBOK0318HLCD</t>
  </si>
  <si>
    <t>STBOK0319HLCD</t>
  </si>
  <si>
    <t>STBDK0355HLCD</t>
  </si>
  <si>
    <t>STBNK0336HLCD</t>
  </si>
  <si>
    <t>STB1L0400HLCD</t>
  </si>
  <si>
    <t>STBNK0323HLCD</t>
  </si>
  <si>
    <t>STB6L0554HLCD</t>
  </si>
  <si>
    <t>STB6L0569HLCD</t>
  </si>
  <si>
    <t>STB6L0568HLCD</t>
  </si>
  <si>
    <t>STB6L0555HLCD</t>
  </si>
  <si>
    <t>STBNL0722HLCD</t>
  </si>
  <si>
    <t>STBDL0729HLCD</t>
  </si>
  <si>
    <t>STBNL0702HLCD</t>
  </si>
  <si>
    <t>STBNL0700HLCD</t>
  </si>
  <si>
    <t>STBNL0696HLCD</t>
  </si>
  <si>
    <t>STBNL0703HLCD</t>
  </si>
  <si>
    <t>STB6L0562HLCD</t>
  </si>
  <si>
    <t>STB7L0606HLCD</t>
  </si>
  <si>
    <t>STB7L0615HLCD</t>
  </si>
  <si>
    <t>STB7L0614HLCD</t>
  </si>
  <si>
    <t>STBNL0688HLCD</t>
  </si>
  <si>
    <t>STBNL0689HLCD</t>
  </si>
  <si>
    <t>STB7L0607HLCD</t>
  </si>
  <si>
    <t>STBDL0750HLCD</t>
  </si>
  <si>
    <t>STBNL0718HLCD</t>
  </si>
  <si>
    <t>STBNL0714HLCD</t>
  </si>
  <si>
    <t>STB5M0807HLCD</t>
  </si>
  <si>
    <t>STB5M0813HLCD</t>
  </si>
  <si>
    <t>STB8M0960HLCD</t>
  </si>
  <si>
    <t>STB8M0961HLCD</t>
  </si>
  <si>
    <t>STM0M1003HLCD</t>
  </si>
  <si>
    <t>STB9M0998HLCD</t>
  </si>
  <si>
    <t>STB9M0999HLCD</t>
  </si>
  <si>
    <t>STB8M0957HLCD</t>
  </si>
  <si>
    <t>STB5M0788</t>
  </si>
  <si>
    <t>STB5M0825</t>
  </si>
  <si>
    <t>STB0M1010</t>
  </si>
  <si>
    <t>STB0M1011</t>
  </si>
  <si>
    <t>STBNM1046</t>
  </si>
  <si>
    <t>1046</t>
  </si>
  <si>
    <t>STBNM1047</t>
  </si>
  <si>
    <t>1047</t>
  </si>
  <si>
    <t>STBNM1032</t>
  </si>
  <si>
    <t>STBNM1038</t>
  </si>
  <si>
    <t>STBNM1040</t>
  </si>
  <si>
    <t>1040</t>
  </si>
  <si>
    <t>STBNM1041</t>
  </si>
  <si>
    <t>1041</t>
  </si>
  <si>
    <t>STB6K0250HLCD</t>
  </si>
  <si>
    <t>STB6K0252HLCD</t>
  </si>
  <si>
    <t>STB1L0393HLCD</t>
  </si>
  <si>
    <t>STB1L0399HLCD</t>
  </si>
  <si>
    <t>STB5L0526HLCD</t>
  </si>
  <si>
    <t>STB5L0527HLCD</t>
  </si>
  <si>
    <t>STB7M0884HLCD</t>
  </si>
  <si>
    <t>STB7M0878HLCD</t>
  </si>
  <si>
    <t>STB7M0882HLCD</t>
  </si>
  <si>
    <t>STB7M0883HLCD</t>
  </si>
  <si>
    <t>STB1N1085HLCD</t>
  </si>
  <si>
    <t>1085</t>
  </si>
  <si>
    <t>STB1N1084HLCD</t>
  </si>
  <si>
    <t>1084</t>
  </si>
  <si>
    <t>STB4L0494HLCD</t>
  </si>
  <si>
    <t>STB7L0635HLCD</t>
  </si>
  <si>
    <t>STB7L0634HLCD</t>
  </si>
  <si>
    <t>STBDM1055HLCD</t>
  </si>
  <si>
    <t>1055</t>
  </si>
  <si>
    <t>STB6L0564HLCD</t>
  </si>
  <si>
    <t>STBDL0755</t>
  </si>
  <si>
    <t>STBDL0756</t>
  </si>
  <si>
    <t>STBDL0757</t>
  </si>
  <si>
    <t>STB5M0779</t>
  </si>
  <si>
    <t>STB5M0780</t>
  </si>
  <si>
    <t>STB5M0802</t>
  </si>
  <si>
    <t>Mum</t>
  </si>
  <si>
    <t>STB5M0820</t>
  </si>
  <si>
    <t>STB5M0826</t>
  </si>
  <si>
    <t>STB5M0827</t>
  </si>
  <si>
    <t>STB6M0856</t>
  </si>
  <si>
    <t>LGD</t>
  </si>
  <si>
    <t>STB6M0857</t>
  </si>
  <si>
    <t>STB7M0888</t>
  </si>
  <si>
    <t>STB7M0889</t>
  </si>
  <si>
    <t>STB7M0894</t>
  </si>
  <si>
    <t>STB7M0895</t>
  </si>
  <si>
    <t>STB8M0898</t>
  </si>
  <si>
    <t>STB8M0914</t>
  </si>
  <si>
    <t>STB8M0916</t>
  </si>
  <si>
    <t>STB8M0917</t>
  </si>
  <si>
    <t>lallaguda</t>
  </si>
  <si>
    <t>STB9M0995</t>
  </si>
  <si>
    <t>STBOM1019</t>
  </si>
  <si>
    <t>STBOM1020</t>
  </si>
  <si>
    <t>STBOM1021</t>
  </si>
  <si>
    <t>STBOM1022</t>
  </si>
  <si>
    <t>STBOM1023</t>
  </si>
  <si>
    <t>STBOM1024</t>
  </si>
  <si>
    <t>STBOM1025</t>
  </si>
  <si>
    <t>STBOM1027</t>
  </si>
  <si>
    <t>STBOM1028</t>
  </si>
  <si>
    <t>STBOM1029</t>
  </si>
  <si>
    <t>STBOM1035</t>
  </si>
  <si>
    <t>STBOM1036</t>
  </si>
  <si>
    <t>KYN</t>
  </si>
  <si>
    <t>STBOM1037</t>
  </si>
  <si>
    <t>STBOM1042</t>
  </si>
  <si>
    <t>STBOM1043</t>
  </si>
  <si>
    <t>STBNM1050</t>
  </si>
  <si>
    <t>STBNM1051</t>
  </si>
  <si>
    <t>STBDM1052HLCD</t>
  </si>
  <si>
    <t>STBDM1058HLCD</t>
  </si>
  <si>
    <t>STBDM1062</t>
  </si>
  <si>
    <t>STBDM1063</t>
  </si>
  <si>
    <t>STBDM1066</t>
  </si>
  <si>
    <t>STBDM1067</t>
  </si>
  <si>
    <t>STBDM1072</t>
  </si>
  <si>
    <t>STBDM1073</t>
  </si>
  <si>
    <t>STBDM1074</t>
  </si>
  <si>
    <t>STBDM1075</t>
  </si>
  <si>
    <t>STBDM1076</t>
  </si>
  <si>
    <t>STBDM1077</t>
  </si>
  <si>
    <t>STBDM1078</t>
  </si>
  <si>
    <t>STBDM1079</t>
  </si>
  <si>
    <t>STBDM1080</t>
  </si>
  <si>
    <t>STBDM1081</t>
  </si>
  <si>
    <t>Present</t>
  </si>
  <si>
    <t>WAT</t>
  </si>
  <si>
    <t>Wire Short Link  Avaliable</t>
  </si>
  <si>
    <t>2 No Available</t>
  </si>
  <si>
    <t>2 no. Available</t>
  </si>
  <si>
    <t>STB5M0786HLCD</t>
  </si>
  <si>
    <t>STB5M0824HLCD</t>
  </si>
  <si>
    <t>STB5M0819HLCD</t>
  </si>
  <si>
    <t>STB5M0821HLCD</t>
  </si>
  <si>
    <t>STB5M0818HLCD</t>
  </si>
  <si>
    <t>STB5M0820HLCD</t>
  </si>
  <si>
    <t>STB1N1098HLCD</t>
  </si>
  <si>
    <t>STB1N1099HLCD</t>
  </si>
  <si>
    <t>Values</t>
  </si>
  <si>
    <t>Total Panels</t>
  </si>
  <si>
    <t>M2500 Software</t>
  </si>
  <si>
    <t>20Amp fuse</t>
  </si>
  <si>
    <t>Faulty Input Choke repalcement done</t>
  </si>
  <si>
    <t>Suspected Input Choke repalcement done</t>
  </si>
  <si>
    <t>Total Input Choke repalcement done</t>
  </si>
  <si>
    <t>Pending Choke to be replace</t>
  </si>
  <si>
    <t>Location</t>
  </si>
  <si>
    <t>Total fans to be dispatch</t>
  </si>
  <si>
    <t>Address</t>
  </si>
  <si>
    <t>Chennai</t>
  </si>
  <si>
    <t>Siemens Ltd.,
SIEMENS GODOWN, NO 713/244, 
RANGOON STREET, THOUSAND LIGHT 
MOUNT ROAD, CHENNAI – 600006
Attn.:- Amritraj (9884800092)</t>
  </si>
  <si>
    <t>Kolkatta</t>
  </si>
  <si>
    <t>Siemens Ltd.
R V Udyog
93
Dakshindari road
Kolkatta – 700048
West Bangal
Atnn. Prasenjit (9339068125)</t>
  </si>
  <si>
    <t>Mumbai</t>
  </si>
  <si>
    <t>Siemens Warehouse, 
C/O Spear Logistics,
Krishna mill compound,
Sonapur, Bhandup (W),
Mumbai – 400078
Attn.:- Rahul
Mobile: +91 9892061921</t>
  </si>
  <si>
    <t>Hyderabad</t>
  </si>
  <si>
    <t>Jayabal KR
Siemens Ltd.
RC-IN MO SER RS1
5-9-19, Lakshmi Narasinh Estate
Hyderabad 500004
Mobil: +91 9676796699</t>
  </si>
  <si>
    <t>Delhi</t>
  </si>
  <si>
    <t>Rakesh Thusu - 9868532919</t>
  </si>
  <si>
    <t>Total</t>
  </si>
  <si>
    <r>
      <rPr>
        <b/>
        <sz val="12"/>
        <color rgb="FF000000"/>
        <rFont val="Calibri"/>
        <family val="2"/>
        <scheme val="minor"/>
      </rPr>
      <t>New Software version (UAT2Y44</t>
    </r>
    <r>
      <rPr>
        <b/>
        <sz val="12"/>
        <color rgb="FFFF0000"/>
        <rFont val="Calibri"/>
        <family val="2"/>
        <scheme val="minor"/>
      </rPr>
      <t>O</t>
    </r>
    <r>
      <rPr>
        <b/>
        <sz val="12"/>
        <color rgb="FF000000"/>
        <rFont val="Calibri"/>
        <family val="2"/>
        <scheme val="minor"/>
      </rPr>
      <t xml:space="preserve">.012) of display updation 
</t>
    </r>
    <r>
      <rPr>
        <b/>
        <sz val="14"/>
        <color rgb="FFFF0000"/>
        <rFont val="Calibri"/>
        <family val="2"/>
        <scheme val="minor"/>
      </rPr>
      <t>*DATE*</t>
    </r>
  </si>
  <si>
    <r>
      <rPr>
        <b/>
        <sz val="12"/>
        <color rgb="FF000000"/>
        <rFont val="Calibri"/>
        <family val="2"/>
        <scheme val="minor"/>
      </rPr>
      <t xml:space="preserve">Sine Filter Capacitor washer fitment and tightness of connection
</t>
    </r>
    <r>
      <rPr>
        <b/>
        <sz val="12"/>
        <color rgb="FFFF0000"/>
        <rFont val="Calibri"/>
        <family val="2"/>
        <scheme val="minor"/>
      </rPr>
      <t>*DATE*</t>
    </r>
  </si>
  <si>
    <r>
      <rPr>
        <b/>
        <sz val="12"/>
        <color rgb="FF000000"/>
        <rFont val="Calibri"/>
        <family val="2"/>
        <scheme val="minor"/>
      </rPr>
      <t xml:space="preserve">ELR setting to check
</t>
    </r>
    <r>
      <rPr>
        <b/>
        <sz val="12"/>
        <color rgb="FFFF0000"/>
        <rFont val="Calibri"/>
        <family val="2"/>
        <scheme val="minor"/>
      </rPr>
      <t>(1amp /10 sec)</t>
    </r>
  </si>
  <si>
    <t>EL18E07043-R</t>
  </si>
  <si>
    <t>EL17G01027R</t>
  </si>
  <si>
    <t>Pune</t>
  </si>
  <si>
    <t>EL18K02027-R</t>
  </si>
  <si>
    <t>EL19102040</t>
  </si>
  <si>
    <t>EL17J05008-R</t>
  </si>
  <si>
    <t>EL18B07010-R</t>
  </si>
  <si>
    <t xml:space="preserve"> EL19H01028-R</t>
  </si>
  <si>
    <t>EL19K01162-R</t>
  </si>
  <si>
    <t>EL18E11011-R</t>
  </si>
  <si>
    <t>EL19C01020R</t>
  </si>
  <si>
    <t>EL19F01022</t>
  </si>
  <si>
    <t>EL22B0211</t>
  </si>
  <si>
    <t>EL21A01006</t>
  </si>
  <si>
    <t>EL18B07019</t>
  </si>
  <si>
    <t>EL21A01018</t>
  </si>
  <si>
    <t>18B7017-R</t>
  </si>
  <si>
    <t>EL17G01039</t>
  </si>
  <si>
    <t xml:space="preserve"> EL18J03056-R</t>
  </si>
  <si>
    <t>12.02.22</t>
  </si>
  <si>
    <t>EL17G01017-R</t>
  </si>
  <si>
    <t>EL19D01012-R</t>
  </si>
  <si>
    <t>EL18K03029-R</t>
  </si>
  <si>
    <t>EL17G01038-R</t>
  </si>
  <si>
    <t>EL19D01026-R</t>
  </si>
  <si>
    <t>EL18B02009-R</t>
  </si>
  <si>
    <t>EL17G01029-R</t>
  </si>
  <si>
    <t>EL17G01028-R</t>
  </si>
  <si>
    <t>19J04179-R</t>
  </si>
  <si>
    <t>25.10.21</t>
  </si>
  <si>
    <t>EL18K02003-R</t>
  </si>
  <si>
    <t>EL19J04167-R</t>
  </si>
  <si>
    <t>23.06.21</t>
  </si>
  <si>
    <t>19.07.21</t>
  </si>
  <si>
    <t>21.08.21</t>
  </si>
  <si>
    <t>20/06/2023</t>
  </si>
  <si>
    <t>New Cyclonic filter provided</t>
  </si>
  <si>
    <t>EL18C040001-R</t>
  </si>
  <si>
    <t>16/06/2023</t>
  </si>
  <si>
    <t>30/11/2023</t>
  </si>
  <si>
    <t>Remarks Loco transferred from BRC to GZB</t>
  </si>
  <si>
    <t>10.06.21</t>
  </si>
  <si>
    <t>Valsad</t>
  </si>
  <si>
    <t>EL21A01004</t>
  </si>
  <si>
    <t>EL18K02021</t>
  </si>
  <si>
    <t>EL19C01080-R</t>
  </si>
  <si>
    <t>21/11/2022</t>
  </si>
  <si>
    <t>EL19J04041-R</t>
  </si>
  <si>
    <t>20.07.21</t>
  </si>
  <si>
    <t>El22B02 035 replaced on 19.3.25</t>
  </si>
  <si>
    <t>EL19C01001-R</t>
  </si>
  <si>
    <t>EL19102034-R</t>
  </si>
  <si>
    <t>02.02.21</t>
  </si>
  <si>
    <t>EL18E07 025-R  on 15.5.25</t>
  </si>
  <si>
    <t>Salzar(0318)</t>
  </si>
  <si>
    <t>EL18G03037</t>
  </si>
  <si>
    <t>EL21A01058
26.10.23</t>
  </si>
  <si>
    <t>EL20L01021</t>
  </si>
  <si>
    <t>EL18B07 022-R on 18.3.25</t>
  </si>
  <si>
    <t>EL21A01011</t>
  </si>
  <si>
    <t>-</t>
  </si>
  <si>
    <t>15/12/2022</t>
  </si>
  <si>
    <t>EL21D01-001</t>
  </si>
  <si>
    <t>29/09/2022</t>
  </si>
  <si>
    <t>EL22B02003</t>
  </si>
  <si>
    <t>EL17D05026R</t>
  </si>
  <si>
    <t>Salzer(0501) on 18.02.25</t>
  </si>
  <si>
    <t>EL18F0051-R</t>
  </si>
  <si>
    <t>EL18K03042-R</t>
  </si>
  <si>
    <t>30.06.21</t>
  </si>
  <si>
    <t>17.01.22</t>
  </si>
  <si>
    <t>EL21D01-002</t>
  </si>
  <si>
    <t>EL21A01-027</t>
  </si>
  <si>
    <t>11.08.21</t>
  </si>
  <si>
    <t>EL17D04006</t>
  </si>
  <si>
    <t>EL19D01002-R</t>
  </si>
  <si>
    <t>21/11/2023</t>
  </si>
  <si>
    <t>EL18B07003-R on date 25.7.24</t>
  </si>
  <si>
    <t>EL19J04175</t>
  </si>
  <si>
    <t>EL19K01021</t>
  </si>
  <si>
    <t>Changed</t>
  </si>
  <si>
    <t>EL19C01017-R</t>
  </si>
  <si>
    <t>EL18B07026-R</t>
  </si>
  <si>
    <t>98(Salzer make)</t>
  </si>
  <si>
    <t>EL19F01027</t>
  </si>
  <si>
    <t>Conv -B Done</t>
  </si>
  <si>
    <t>EL20L05008</t>
  </si>
  <si>
    <t>STB4N1132HLCD</t>
  </si>
  <si>
    <t>STB4N1133HLCD</t>
  </si>
  <si>
    <t>STB4N1128HLCD</t>
  </si>
  <si>
    <t>STB4N1129HLCD</t>
  </si>
  <si>
    <t>STB8M0969HLCD</t>
  </si>
  <si>
    <t>STB5M0787HLCD</t>
  </si>
  <si>
    <t>EL18K03033-R</t>
  </si>
  <si>
    <t>EL18C04004-R</t>
  </si>
  <si>
    <t>EL17D05022 - R</t>
  </si>
  <si>
    <t>EL21CO1027</t>
  </si>
  <si>
    <t>STBDN1184HLCD</t>
  </si>
  <si>
    <t>STBDN1185HLCD</t>
  </si>
  <si>
    <t>STB5M0804</t>
  </si>
  <si>
    <t>STB5N1138HLCD</t>
  </si>
  <si>
    <t>STB5N1139HLCD</t>
  </si>
  <si>
    <t>STB5N1140HLCD</t>
  </si>
  <si>
    <t>26/06/2023</t>
  </si>
  <si>
    <t>STB5N1141HLCD</t>
  </si>
  <si>
    <t>Salzer-471 provided on 17.01.25</t>
  </si>
  <si>
    <t>EL19K01 004-R on date 03.01.25</t>
  </si>
  <si>
    <t>EL19H01 001-R on date 25.01.25</t>
  </si>
  <si>
    <t>STB5N1143HLCD</t>
  </si>
  <si>
    <t>STB5N1142HLCD</t>
  </si>
  <si>
    <t>STB5N1137HLCD</t>
  </si>
  <si>
    <t>STB5N1147HLCD</t>
  </si>
  <si>
    <t>STBNR1575HLCD</t>
  </si>
  <si>
    <t>STBNR1574HLCD</t>
  </si>
  <si>
    <t>STB5N1146HLCD</t>
  </si>
  <si>
    <t>STB5N1136HLCD</t>
  </si>
  <si>
    <t>STB1N1103HLCD</t>
  </si>
  <si>
    <t>STB5N1102HLCD</t>
  </si>
  <si>
    <t>STB0R1558HLCD</t>
  </si>
  <si>
    <t>STB0R1559HLCD</t>
  </si>
  <si>
    <t>STB5N1144HLCD</t>
  </si>
  <si>
    <t>STB5N1145HLCD</t>
  </si>
  <si>
    <t>STB5P1323HLCD</t>
  </si>
  <si>
    <t>STB5P1325HLCD</t>
  </si>
  <si>
    <t>STB5P1320HLCD</t>
  </si>
  <si>
    <t>STB5P1321HLCD</t>
  </si>
  <si>
    <t>STBOR1560HLCD</t>
  </si>
  <si>
    <t>STBOR1561HLCD</t>
  </si>
  <si>
    <t>STB5P1312HLCD</t>
  </si>
  <si>
    <t>STB5P1313HLCD</t>
  </si>
  <si>
    <t>STB3R1427HLCD</t>
  </si>
  <si>
    <t>STB3R1426HLCD</t>
  </si>
  <si>
    <t>STB2S1632HLCD</t>
  </si>
  <si>
    <t>STB2S1633HLCD</t>
  </si>
  <si>
    <t>STB7L0715HLCD</t>
  </si>
  <si>
    <t>STB7R1497HLCD</t>
  </si>
  <si>
    <t>STB7R1494HLCD</t>
  </si>
  <si>
    <t>STB7R1495HLCD</t>
  </si>
  <si>
    <t>EL18B07024-R</t>
  </si>
  <si>
    <t>STB2S1636HLCD</t>
  </si>
  <si>
    <t>STB2S1637HLCD</t>
  </si>
  <si>
    <t>STB2S1638HLCD</t>
  </si>
  <si>
    <t>STB2S1639HLCD</t>
  </si>
  <si>
    <t>STB5S1726HLCD</t>
  </si>
  <si>
    <t>STB5S1727HLCD</t>
  </si>
  <si>
    <t>STB5S1724HLCD</t>
  </si>
  <si>
    <t>STB5S1725HLCD</t>
  </si>
  <si>
    <r>
      <t>Software version (UAT2Y44</t>
    </r>
    <r>
      <rPr>
        <b/>
        <strike/>
        <sz val="12"/>
        <color rgb="FFFF0000"/>
        <rFont val="Calibri"/>
        <family val="2"/>
        <scheme val="minor"/>
      </rPr>
      <t>O</t>
    </r>
    <r>
      <rPr>
        <b/>
        <strike/>
        <sz val="12"/>
        <color theme="1"/>
        <rFont val="Calibri"/>
        <family val="2"/>
        <scheme val="minor"/>
      </rPr>
      <t xml:space="preserve">.O12) of display updation 
</t>
    </r>
    <r>
      <rPr>
        <b/>
        <strike/>
        <sz val="14"/>
        <color rgb="FFFF0000"/>
        <rFont val="Calibri"/>
        <family val="2"/>
        <scheme val="minor"/>
      </rPr>
      <t>*DATE*</t>
    </r>
  </si>
  <si>
    <t>07.09.22</t>
  </si>
  <si>
    <t>23/06/24</t>
  </si>
  <si>
    <t>18-08-2024</t>
  </si>
  <si>
    <t>24/10/24</t>
  </si>
  <si>
    <t>EL19D01048-R</t>
  </si>
  <si>
    <t>14.07.22</t>
  </si>
  <si>
    <t>25/06/24</t>
  </si>
  <si>
    <t>14/10/24</t>
  </si>
  <si>
    <t>17/08/24</t>
  </si>
  <si>
    <t>06.08.22</t>
  </si>
  <si>
    <t>13.09.2022</t>
  </si>
  <si>
    <t>28/12/23</t>
  </si>
  <si>
    <t>24/7/2024</t>
  </si>
  <si>
    <t>28.01.24</t>
  </si>
  <si>
    <t>13.08.2022</t>
  </si>
  <si>
    <t>19/01/24</t>
  </si>
  <si>
    <t xml:space="preserve">13-11-2024
</t>
  </si>
  <si>
    <t>27/06/24</t>
  </si>
  <si>
    <t>25.07.2022</t>
  </si>
  <si>
    <t>25/05/24</t>
  </si>
  <si>
    <t>20/07/24</t>
  </si>
  <si>
    <t>18/07/24</t>
  </si>
  <si>
    <t>18/7/2024</t>
  </si>
  <si>
    <t>25.01.24</t>
  </si>
  <si>
    <t>20.09.2022</t>
  </si>
  <si>
    <t>28/06/24</t>
  </si>
  <si>
    <t>28/04/24</t>
  </si>
  <si>
    <t>15/07/24</t>
  </si>
  <si>
    <t>26.01.24</t>
  </si>
  <si>
    <t>16/03/24</t>
  </si>
  <si>
    <t>25/07/24</t>
  </si>
  <si>
    <t>18/10/24</t>
  </si>
  <si>
    <t>11.07.2022</t>
  </si>
  <si>
    <t>24/8/2024</t>
  </si>
  <si>
    <t>EL17L04007-R</t>
  </si>
  <si>
    <t>13/09/24</t>
  </si>
  <si>
    <t>EL17G01026-R</t>
  </si>
  <si>
    <t>08.08.2022</t>
  </si>
  <si>
    <t>29/01/2024</t>
  </si>
  <si>
    <t>23/10/24</t>
  </si>
  <si>
    <t>26-01-2025</t>
  </si>
  <si>
    <t>09.07.2022</t>
  </si>
  <si>
    <t>28/01/2024</t>
  </si>
  <si>
    <t>19/08/24</t>
  </si>
  <si>
    <t>13-12-2024</t>
  </si>
  <si>
    <t>21/09/24</t>
  </si>
  <si>
    <t>EL18G03048-R</t>
  </si>
  <si>
    <t>16.07.2022</t>
  </si>
  <si>
    <t>21/07/24</t>
  </si>
  <si>
    <t>STB2P1211HLCD</t>
  </si>
  <si>
    <t>13/07/24</t>
  </si>
  <si>
    <t>STB2P1205HLCD</t>
  </si>
  <si>
    <t>STB4P1302HLCD</t>
  </si>
  <si>
    <t>17/10/24</t>
  </si>
  <si>
    <t>STB4P1303HLCD</t>
  </si>
  <si>
    <t>STB4P1310HLCD</t>
  </si>
  <si>
    <t>STB4P1311HLCD</t>
  </si>
  <si>
    <t>STB4P1298HLCD</t>
  </si>
  <si>
    <t>STB4P1299HLCD</t>
  </si>
  <si>
    <t>STB4P1288HLCD</t>
  </si>
  <si>
    <t>20/09/24</t>
  </si>
  <si>
    <t>STB4P1289HLCD</t>
  </si>
  <si>
    <t>STB6R1473HLCD</t>
  </si>
  <si>
    <t>STB6R1472HLCD</t>
  </si>
  <si>
    <t>STB4R1434HLCD</t>
  </si>
  <si>
    <t>STB4R1435HLCD</t>
  </si>
  <si>
    <t>STB6R1481HLCD</t>
  </si>
  <si>
    <t>13/08/24</t>
  </si>
  <si>
    <t>STB6R1480HLCD</t>
  </si>
  <si>
    <t>STBR1511HLCD</t>
  </si>
  <si>
    <t>STBR1510HLCD</t>
  </si>
  <si>
    <t>STB7R1513HLCD</t>
  </si>
  <si>
    <t>26/10/24</t>
  </si>
  <si>
    <t>16/02/24</t>
  </si>
  <si>
    <t>STB7R1512HLCD</t>
  </si>
  <si>
    <t>STB7R1502HLCD</t>
  </si>
  <si>
    <t>22/06/24</t>
  </si>
  <si>
    <t>25/10/24</t>
  </si>
  <si>
    <t>STB7R1503HLCD</t>
  </si>
  <si>
    <t>STB6R1485HLCD</t>
  </si>
  <si>
    <t>20/02/24</t>
  </si>
  <si>
    <t>STB6R1484HLCD</t>
  </si>
  <si>
    <t>STBNR1566HLCD</t>
  </si>
  <si>
    <t>27/08/24</t>
  </si>
  <si>
    <t>22/10/24</t>
  </si>
  <si>
    <t>STBNR1569HLCD</t>
  </si>
  <si>
    <t>STBNR1562HLCD</t>
  </si>
  <si>
    <t>STB9R1548HLCD</t>
  </si>
  <si>
    <t>STBNR1568HLCD</t>
  </si>
  <si>
    <t>STBNR1567HLCD</t>
  </si>
  <si>
    <t>STB7R1515HLCD</t>
  </si>
  <si>
    <t>15/10/24</t>
  </si>
  <si>
    <t>STB7R1517HLCD</t>
  </si>
  <si>
    <t>STB1S1615HLCD</t>
  </si>
  <si>
    <t>14/08/24</t>
  </si>
  <si>
    <t>STB1S1614HLCD</t>
  </si>
  <si>
    <t>STB1S1594HLCD</t>
  </si>
  <si>
    <t>Done by Nashik</t>
  </si>
  <si>
    <t>STB1S1595HLCD</t>
  </si>
  <si>
    <t>STB1S1593HLCD</t>
  </si>
  <si>
    <t>STB1S1592HLCD</t>
  </si>
  <si>
    <t>STB1S1604HLCD</t>
  </si>
  <si>
    <t>STB1S1605HLCD</t>
  </si>
  <si>
    <t>Count of Software version of display</t>
  </si>
  <si>
    <t>.New Software version (UAT2Y44O.012) of display updation</t>
  </si>
  <si>
    <t>.Sine Filter Capacitor washer fitment and tightness of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</si>
</sst>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d\-mmm\-yy;@"/>
    <numFmt numFmtId="166" formatCode="[$-409]d/mmm/yy;@"/>
    <numFmt numFmtId="167" formatCode="[$-F800]dddd\,\ mmmm\ dd\,\ yyyy"/>
  </numFmts>
  <fonts count="11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Arial"/>
      <family val="2"/>
    </font>
    <font>
      <sz val="10"/>
      <color rgb="FF000000"/>
      <name val="Rockwell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2"/>
      <color theme="1"/>
      <name val="Rockwell"/>
      <family val="1"/>
    </font>
    <font>
      <sz val="10"/>
      <color theme="1"/>
      <name val="Rockwell"/>
      <family val="1"/>
    </font>
    <font>
      <b/>
      <sz val="12"/>
      <color theme="1"/>
      <name val="Arial"/>
      <family val="2"/>
    </font>
    <font>
      <sz val="9"/>
      <name val="Arial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10"/>
      <color theme="1"/>
      <name val="Rockwell"/>
      <family val="1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0"/>
      <color rgb="FF9C0006"/>
      <name val="Rockwell"/>
      <family val="1"/>
    </font>
    <font>
      <b/>
      <sz val="10"/>
      <color rgb="FF000000"/>
      <name val="Rockwell"/>
      <family val="1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9C0006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rgb="FFFF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Rockwell"/>
      <family val="1"/>
    </font>
    <font>
      <sz val="10"/>
      <color rgb="FFFF0000"/>
      <name val="Arial"/>
      <family val="2"/>
    </font>
    <font>
      <b/>
      <sz val="12"/>
      <name val="Rockwell"/>
      <family val="1"/>
    </font>
    <font>
      <b/>
      <sz val="10"/>
      <name val="Rockwell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Rockwell"/>
      <family val="1"/>
    </font>
    <font>
      <sz val="10"/>
      <name val="Rockwell"/>
      <family val="1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0"/>
      <name val="Segoe U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Rockwell"/>
      <family val="1"/>
    </font>
    <font>
      <sz val="11"/>
      <color rgb="FF9C0006"/>
      <name val="Rockwell"/>
      <family val="1"/>
    </font>
    <font>
      <sz val="11"/>
      <color rgb="FF000000"/>
      <name val="Arial"/>
      <family val="2"/>
    </font>
    <font>
      <b/>
      <strike/>
      <sz val="12"/>
      <color theme="1"/>
      <name val="Calibri"/>
      <family val="2"/>
      <scheme val="minor"/>
    </font>
    <font>
      <strike/>
      <sz val="9"/>
      <color theme="1"/>
      <name val="Arial"/>
      <family val="2"/>
    </font>
    <font>
      <strike/>
      <sz val="9"/>
      <name val="Arial"/>
      <family val="2"/>
    </font>
    <font>
      <strike/>
      <sz val="9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name val="Arial"/>
      <family val="2"/>
    </font>
    <font>
      <b/>
      <strike/>
      <sz val="12"/>
      <color rgb="FFFF0000"/>
      <name val="Calibri"/>
      <family val="2"/>
      <scheme val="minor"/>
    </font>
    <font>
      <b/>
      <strike/>
      <sz val="14"/>
      <color rgb="FFFF0000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10"/>
      <color rgb="FF000000"/>
      <name val="Rockwell"/>
      <family val="1"/>
    </font>
    <font>
      <b/>
      <strike/>
      <sz val="16"/>
      <color rgb="FFFF0000"/>
      <name val="Calibri"/>
      <family val="2"/>
      <scheme val="minor"/>
    </font>
    <font>
      <b/>
      <strike/>
      <sz val="12"/>
      <color rgb="FF000000"/>
      <name val="Calibri"/>
      <family val="2"/>
    </font>
    <font>
      <b/>
      <strike/>
      <sz val="16"/>
      <color rgb="FFFF0000"/>
      <name val="Calibri"/>
      <family val="2"/>
    </font>
    <font>
      <b/>
      <strike/>
      <sz val="14"/>
      <color rgb="FFFF0000"/>
      <name val="Calibri"/>
      <family val="2"/>
    </font>
    <font>
      <b/>
      <strike/>
      <sz val="12"/>
      <color theme="1"/>
      <name val="Calibri"/>
      <family val="2"/>
    </font>
    <font>
      <b/>
      <strike/>
      <sz val="12"/>
      <color rgb="FFFF0000"/>
      <name val="Calibri"/>
      <family val="2"/>
    </font>
    <font>
      <strike/>
      <sz val="10"/>
      <color rgb="FFFF0000"/>
      <name val="Arial"/>
      <family val="2"/>
    </font>
    <font>
      <b/>
      <strike/>
      <sz val="12"/>
      <name val="Calibri"/>
      <family val="2"/>
      <scheme val="minor"/>
    </font>
    <font>
      <b/>
      <strike/>
      <sz val="16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0"/>
      <color theme="1"/>
      <name val="Arial"/>
      <family val="2"/>
    </font>
    <font>
      <b/>
      <strike/>
      <sz val="10"/>
      <color theme="1"/>
      <name val="Rockwell"/>
      <family val="1"/>
    </font>
    <font>
      <strike/>
      <sz val="10"/>
      <color theme="1"/>
      <name val="Rockwell"/>
      <family val="1"/>
    </font>
    <font>
      <b/>
      <sz val="10"/>
      <name val="Arial"/>
      <family val="2"/>
    </font>
    <font>
      <sz val="11"/>
      <name val="Rockwell"/>
      <family val="1"/>
    </font>
    <font>
      <sz val="11"/>
      <color rgb="FF000000"/>
      <name val="Cambria"/>
      <family val="1"/>
      <scheme val="major"/>
    </font>
    <font>
      <sz val="10"/>
      <color rgb="FFFF0000"/>
      <name val="Rockwell"/>
      <family val="1"/>
    </font>
    <font>
      <strike/>
      <sz val="10"/>
      <color rgb="FF000000"/>
      <name val="Calibri"/>
      <family val="2"/>
    </font>
    <font>
      <strike/>
      <sz val="11"/>
      <color rgb="FF000000"/>
      <name val="Calibri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9C0006"/>
      <name val="Rockwell"/>
      <family val="1"/>
      <charset val="1"/>
    </font>
    <font>
      <sz val="10"/>
      <color rgb="FF000000"/>
      <name val="Cambria"/>
      <family val="1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242424"/>
      <name val="Aptos Narrow"/>
      <family val="2"/>
    </font>
    <font>
      <sz val="10"/>
      <color theme="1"/>
      <name val="Calibri"/>
      <family val="2"/>
      <scheme val="minor"/>
    </font>
    <font>
      <sz val="9"/>
      <color indexed="8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9"/>
      <color rgb="FF000000"/>
      <name val="Cambria"/>
      <family val="1"/>
    </font>
    <font>
      <sz val="9"/>
      <color rgb="FF000000"/>
      <name val="Rockwell"/>
      <family val="1"/>
    </font>
    <font>
      <sz val="9"/>
      <name val="Rockwell"/>
      <family val="1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E6B8AF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1">
    <xf numFmtId="0" fontId="0" fillId="0" borderId="0"/>
    <xf numFmtId="0" fontId="11" fillId="0" borderId="0">
      <alignment vertical="center"/>
    </xf>
    <xf numFmtId="0" fontId="17" fillId="0" borderId="0"/>
    <xf numFmtId="0" fontId="9" fillId="0" borderId="0"/>
    <xf numFmtId="0" fontId="8" fillId="0" borderId="0"/>
    <xf numFmtId="0" fontId="3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101" fillId="0" borderId="0"/>
  </cellStyleXfs>
  <cellXfs count="14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top"/>
    </xf>
    <xf numFmtId="164" fontId="23" fillId="0" borderId="1" xfId="0" applyNumberFormat="1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 wrapText="1"/>
    </xf>
    <xf numFmtId="164" fontId="2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164" fontId="27" fillId="0" borderId="1" xfId="2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top" wrapText="1"/>
    </xf>
    <xf numFmtId="15" fontId="12" fillId="0" borderId="1" xfId="0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49" fontId="23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27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top" wrapText="1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0" fontId="0" fillId="0" borderId="0" xfId="0" pivotButton="1" applyAlignment="1">
      <alignment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pivotButton="1" applyBorder="1" applyAlignment="1">
      <alignment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2" fillId="0" borderId="0" xfId="0" applyFont="1"/>
    <xf numFmtId="0" fontId="22" fillId="0" borderId="1" xfId="0" applyFont="1" applyBorder="1" applyAlignment="1">
      <alignment wrapText="1"/>
    </xf>
    <xf numFmtId="0" fontId="22" fillId="0" borderId="1" xfId="0" applyFont="1" applyBorder="1"/>
    <xf numFmtId="0" fontId="14" fillId="0" borderId="1" xfId="0" applyFont="1" applyBorder="1"/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top" wrapText="1"/>
    </xf>
    <xf numFmtId="0" fontId="27" fillId="0" borderId="0" xfId="2" applyFont="1" applyAlignment="1">
      <alignment horizontal="center" vertical="center"/>
    </xf>
    <xf numFmtId="0" fontId="27" fillId="0" borderId="1" xfId="5" applyFont="1" applyBorder="1" applyAlignment="1">
      <alignment horizontal="center" vertical="center" wrapText="1"/>
    </xf>
    <xf numFmtId="166" fontId="27" fillId="0" borderId="1" xfId="5" applyNumberFormat="1" applyFont="1" applyBorder="1" applyAlignment="1">
      <alignment horizontal="center" vertical="center"/>
    </xf>
    <xf numFmtId="0" fontId="27" fillId="0" borderId="1" xfId="5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top" wrapText="1"/>
    </xf>
    <xf numFmtId="15" fontId="29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15" fontId="27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64" fontId="27" fillId="0" borderId="4" xfId="0" applyNumberFormat="1" applyFont="1" applyBorder="1" applyAlignment="1">
      <alignment horizontal="center" vertical="center"/>
    </xf>
    <xf numFmtId="15" fontId="27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11" fillId="0" borderId="4" xfId="0" applyFont="1" applyBorder="1"/>
    <xf numFmtId="0" fontId="21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11" fillId="0" borderId="1" xfId="0" applyFont="1" applyBorder="1"/>
    <xf numFmtId="0" fontId="18" fillId="0" borderId="0" xfId="0" applyFont="1"/>
    <xf numFmtId="0" fontId="11" fillId="0" borderId="3" xfId="0" applyFont="1" applyBorder="1"/>
    <xf numFmtId="0" fontId="13" fillId="0" borderId="3" xfId="0" applyFont="1" applyBorder="1"/>
    <xf numFmtId="0" fontId="18" fillId="0" borderId="3" xfId="0" applyFont="1" applyBorder="1"/>
    <xf numFmtId="0" fontId="11" fillId="0" borderId="0" xfId="0" applyFont="1"/>
    <xf numFmtId="0" fontId="13" fillId="0" borderId="0" xfId="0" applyFont="1"/>
    <xf numFmtId="0" fontId="18" fillId="0" borderId="1" xfId="0" applyFont="1" applyBorder="1"/>
    <xf numFmtId="0" fontId="18" fillId="0" borderId="6" xfId="0" applyFont="1" applyBorder="1"/>
    <xf numFmtId="0" fontId="28" fillId="0" borderId="6" xfId="0" applyFont="1" applyBorder="1"/>
    <xf numFmtId="0" fontId="18" fillId="0" borderId="7" xfId="0" applyFont="1" applyBorder="1"/>
    <xf numFmtId="0" fontId="28" fillId="0" borderId="7" xfId="0" applyFont="1" applyBorder="1"/>
    <xf numFmtId="0" fontId="23" fillId="0" borderId="7" xfId="0" applyFont="1" applyBorder="1"/>
    <xf numFmtId="0" fontId="18" fillId="11" borderId="6" xfId="0" applyFont="1" applyFill="1" applyBorder="1"/>
    <xf numFmtId="0" fontId="18" fillId="11" borderId="7" xfId="0" applyFont="1" applyFill="1" applyBorder="1"/>
    <xf numFmtId="0" fontId="0" fillId="0" borderId="9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4" fontId="27" fillId="0" borderId="9" xfId="0" applyNumberFormat="1" applyFont="1" applyBorder="1" applyAlignment="1">
      <alignment horizontal="center" vertical="center"/>
    </xf>
    <xf numFmtId="15" fontId="27" fillId="0" borderId="9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15" fontId="0" fillId="0" borderId="1" xfId="0" applyNumberFormat="1" applyBorder="1" applyAlignment="1">
      <alignment horizontal="center"/>
    </xf>
    <xf numFmtId="0" fontId="36" fillId="8" borderId="1" xfId="0" applyFont="1" applyFill="1" applyBorder="1" applyAlignment="1">
      <alignment horizontal="center"/>
    </xf>
    <xf numFmtId="0" fontId="37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/>
    </xf>
    <xf numFmtId="15" fontId="13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 wrapText="1"/>
    </xf>
    <xf numFmtId="0" fontId="28" fillId="0" borderId="0" xfId="0" applyFont="1" applyAlignment="1">
      <alignment horizontal="center"/>
    </xf>
    <xf numFmtId="0" fontId="37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15" fontId="13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38" fillId="0" borderId="7" xfId="0" applyFont="1" applyBorder="1" applyAlignment="1">
      <alignment horizontal="center" wrapText="1"/>
    </xf>
    <xf numFmtId="15" fontId="18" fillId="0" borderId="7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8" fillId="0" borderId="7" xfId="0" applyFont="1" applyBorder="1" applyAlignment="1">
      <alignment horizontal="center" wrapText="1"/>
    </xf>
    <xf numFmtId="15" fontId="23" fillId="0" borderId="7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39" fillId="0" borderId="7" xfId="0" applyFont="1" applyBorder="1" applyAlignment="1">
      <alignment horizontal="center" wrapText="1"/>
    </xf>
    <xf numFmtId="15" fontId="28" fillId="0" borderId="7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5" fontId="12" fillId="0" borderId="7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15" fontId="23" fillId="0" borderId="7" xfId="0" applyNumberFormat="1" applyFont="1" applyBorder="1" applyAlignment="1">
      <alignment horizontal="center" wrapText="1"/>
    </xf>
    <xf numFmtId="0" fontId="40" fillId="8" borderId="1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15" fontId="12" fillId="0" borderId="7" xfId="0" applyNumberFormat="1" applyFont="1" applyBorder="1" applyAlignment="1">
      <alignment horizontal="center" wrapText="1"/>
    </xf>
    <xf numFmtId="15" fontId="28" fillId="10" borderId="7" xfId="0" applyNumberFormat="1" applyFont="1" applyFill="1" applyBorder="1" applyAlignment="1">
      <alignment horizontal="center"/>
    </xf>
    <xf numFmtId="0" fontId="28" fillId="11" borderId="7" xfId="0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0" fillId="8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6" fillId="8" borderId="4" xfId="0" applyFont="1" applyFill="1" applyBorder="1" applyAlignment="1">
      <alignment horizontal="center"/>
    </xf>
    <xf numFmtId="0" fontId="37" fillId="0" borderId="4" xfId="0" applyFont="1" applyBorder="1" applyAlignment="1">
      <alignment horizontal="center" wrapText="1"/>
    </xf>
    <xf numFmtId="0" fontId="11" fillId="11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11" borderId="4" xfId="0" applyFont="1" applyFill="1" applyBorder="1" applyAlignment="1">
      <alignment horizontal="center"/>
    </xf>
    <xf numFmtId="0" fontId="41" fillId="11" borderId="4" xfId="0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36" fillId="8" borderId="3" xfId="0" applyFont="1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  <xf numFmtId="0" fontId="18" fillId="11" borderId="7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/>
    </xf>
    <xf numFmtId="0" fontId="18" fillId="11" borderId="7" xfId="0" applyFont="1" applyFill="1" applyBorder="1" applyAlignment="1">
      <alignment horizontal="center" wrapText="1"/>
    </xf>
    <xf numFmtId="15" fontId="18" fillId="11" borderId="7" xfId="0" applyNumberFormat="1" applyFont="1" applyFill="1" applyBorder="1" applyAlignment="1">
      <alignment horizontal="center"/>
    </xf>
    <xf numFmtId="0" fontId="42" fillId="11" borderId="7" xfId="0" applyFont="1" applyFill="1" applyBorder="1" applyAlignment="1">
      <alignment horizontal="center" wrapText="1"/>
    </xf>
    <xf numFmtId="14" fontId="18" fillId="11" borderId="7" xfId="0" applyNumberFormat="1" applyFont="1" applyFill="1" applyBorder="1" applyAlignment="1">
      <alignment horizontal="center"/>
    </xf>
    <xf numFmtId="14" fontId="43" fillId="11" borderId="7" xfId="0" applyNumberFormat="1" applyFont="1" applyFill="1" applyBorder="1" applyAlignment="1">
      <alignment horizontal="center" wrapText="1"/>
    </xf>
    <xf numFmtId="0" fontId="18" fillId="11" borderId="8" xfId="0" applyFont="1" applyFill="1" applyBorder="1" applyAlignment="1">
      <alignment horizontal="center" wrapText="1"/>
    </xf>
    <xf numFmtId="15" fontId="43" fillId="11" borderId="7" xfId="0" applyNumberFormat="1" applyFont="1" applyFill="1" applyBorder="1" applyAlignment="1">
      <alignment horizontal="center" wrapText="1"/>
    </xf>
    <xf numFmtId="0" fontId="43" fillId="11" borderId="7" xfId="0" applyFont="1" applyFill="1" applyBorder="1" applyAlignment="1">
      <alignment horizontal="center" wrapText="1"/>
    </xf>
    <xf numFmtId="0" fontId="40" fillId="8" borderId="0" xfId="0" applyFont="1" applyFill="1" applyAlignment="1">
      <alignment horizontal="center"/>
    </xf>
    <xf numFmtId="0" fontId="37" fillId="0" borderId="3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36" fillId="12" borderId="1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41" fillId="11" borderId="6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6" fillId="8" borderId="5" xfId="0" applyFont="1" applyFill="1" applyBorder="1" applyAlignment="1">
      <alignment horizontal="center"/>
    </xf>
    <xf numFmtId="0" fontId="37" fillId="0" borderId="10" xfId="0" applyFont="1" applyBorder="1" applyAlignment="1">
      <alignment horizontal="center" wrapText="1"/>
    </xf>
    <xf numFmtId="0" fontId="18" fillId="11" borderId="10" xfId="0" applyFont="1" applyFill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40" fillId="12" borderId="0" xfId="0" applyFont="1" applyFill="1" applyAlignment="1">
      <alignment horizontal="center"/>
    </xf>
    <xf numFmtId="0" fontId="40" fillId="12" borderId="1" xfId="0" applyFont="1" applyFill="1" applyBorder="1" applyAlignment="1">
      <alignment horizontal="center"/>
    </xf>
    <xf numFmtId="0" fontId="33" fillId="6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12" borderId="1" xfId="0" applyFont="1" applyFill="1" applyBorder="1" applyAlignment="1">
      <alignment vertical="top"/>
    </xf>
    <xf numFmtId="0" fontId="2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32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/>
    </xf>
    <xf numFmtId="15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14" fontId="27" fillId="0" borderId="7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5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164" fontId="27" fillId="0" borderId="2" xfId="0" applyNumberFormat="1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top"/>
    </xf>
    <xf numFmtId="0" fontId="27" fillId="0" borderId="2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15" fontId="23" fillId="0" borderId="2" xfId="0" applyNumberFormat="1" applyFont="1" applyBorder="1" applyAlignment="1">
      <alignment horizontal="center" vertical="top" wrapText="1"/>
    </xf>
    <xf numFmtId="0" fontId="27" fillId="0" borderId="13" xfId="0" applyFont="1" applyBorder="1" applyAlignment="1">
      <alignment horizontal="center" vertical="center"/>
    </xf>
    <xf numFmtId="0" fontId="28" fillId="0" borderId="1" xfId="0" applyFont="1" applyBorder="1"/>
    <xf numFmtId="15" fontId="29" fillId="0" borderId="2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18" fillId="11" borderId="4" xfId="0" applyFont="1" applyFill="1" applyBorder="1" applyAlignment="1">
      <alignment horizontal="center" wrapText="1"/>
    </xf>
    <xf numFmtId="15" fontId="0" fillId="0" borderId="7" xfId="0" applyNumberFormat="1" applyBorder="1" applyAlignment="1">
      <alignment horizontal="center" vertical="center"/>
    </xf>
    <xf numFmtId="0" fontId="18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5" fontId="18" fillId="11" borderId="1" xfId="0" applyNumberFormat="1" applyFont="1" applyFill="1" applyBorder="1" applyAlignment="1">
      <alignment horizontal="center"/>
    </xf>
    <xf numFmtId="0" fontId="43" fillId="11" borderId="1" xfId="0" applyFont="1" applyFill="1" applyBorder="1" applyAlignment="1">
      <alignment horizontal="center" wrapText="1"/>
    </xf>
    <xf numFmtId="14" fontId="18" fillId="11" borderId="1" xfId="0" applyNumberFormat="1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/>
    </xf>
    <xf numFmtId="0" fontId="2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15" fontId="27" fillId="0" borderId="2" xfId="0" applyNumberFormat="1" applyFont="1" applyBorder="1" applyAlignment="1">
      <alignment horizontal="center" vertical="center"/>
    </xf>
    <xf numFmtId="164" fontId="0" fillId="0" borderId="1" xfId="0" applyNumberFormat="1" applyBorder="1"/>
    <xf numFmtId="0" fontId="44" fillId="0" borderId="1" xfId="0" applyFont="1" applyBorder="1" applyAlignment="1">
      <alignment horizontal="center"/>
    </xf>
    <xf numFmtId="14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top"/>
    </xf>
    <xf numFmtId="164" fontId="23" fillId="7" borderId="1" xfId="0" applyNumberFormat="1" applyFont="1" applyFill="1" applyBorder="1" applyAlignment="1">
      <alignment horizontal="center" vertical="top"/>
    </xf>
    <xf numFmtId="0" fontId="23" fillId="7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top"/>
    </xf>
    <xf numFmtId="14" fontId="23" fillId="0" borderId="3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wrapText="1"/>
    </xf>
    <xf numFmtId="0" fontId="41" fillId="0" borderId="0" xfId="0" applyFont="1"/>
    <xf numFmtId="0" fontId="13" fillId="11" borderId="7" xfId="0" applyFont="1" applyFill="1" applyBorder="1"/>
    <xf numFmtId="0" fontId="41" fillId="11" borderId="7" xfId="0" applyFont="1" applyFill="1" applyBorder="1"/>
    <xf numFmtId="15" fontId="13" fillId="11" borderId="7" xfId="0" applyNumberFormat="1" applyFont="1" applyFill="1" applyBorder="1"/>
    <xf numFmtId="0" fontId="41" fillId="0" borderId="7" xfId="0" applyFont="1" applyBorder="1"/>
    <xf numFmtId="0" fontId="23" fillId="0" borderId="7" xfId="0" applyFont="1" applyBorder="1" applyAlignment="1">
      <alignment wrapText="1"/>
    </xf>
    <xf numFmtId="0" fontId="41" fillId="11" borderId="7" xfId="0" applyFont="1" applyFill="1" applyBorder="1" applyAlignment="1">
      <alignment wrapText="1"/>
    </xf>
    <xf numFmtId="0" fontId="28" fillId="0" borderId="7" xfId="0" applyFont="1" applyBorder="1" applyAlignment="1">
      <alignment wrapText="1"/>
    </xf>
    <xf numFmtId="0" fontId="13" fillId="0" borderId="6" xfId="0" applyFont="1" applyBorder="1"/>
    <xf numFmtId="0" fontId="13" fillId="0" borderId="7" xfId="0" applyFont="1" applyBorder="1"/>
    <xf numFmtId="0" fontId="50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 wrapText="1"/>
    </xf>
    <xf numFmtId="164" fontId="52" fillId="7" borderId="1" xfId="0" applyNumberFormat="1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wrapText="1"/>
    </xf>
    <xf numFmtId="0" fontId="55" fillId="7" borderId="1" xfId="0" applyFont="1" applyFill="1" applyBorder="1" applyAlignment="1">
      <alignment horizontal="center"/>
    </xf>
    <xf numFmtId="164" fontId="55" fillId="7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/>
    <xf numFmtId="0" fontId="55" fillId="13" borderId="1" xfId="0" applyFont="1" applyFill="1" applyBorder="1" applyAlignment="1">
      <alignment horizontal="center"/>
    </xf>
    <xf numFmtId="0" fontId="51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wrapText="1"/>
    </xf>
    <xf numFmtId="15" fontId="55" fillId="7" borderId="1" xfId="0" applyNumberFormat="1" applyFont="1" applyFill="1" applyBorder="1" applyAlignment="1">
      <alignment horizontal="center"/>
    </xf>
    <xf numFmtId="164" fontId="11" fillId="7" borderId="1" xfId="0" applyNumberFormat="1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/>
    </xf>
    <xf numFmtId="0" fontId="55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15" fontId="19" fillId="7" borderId="1" xfId="0" applyNumberFormat="1" applyFont="1" applyFill="1" applyBorder="1" applyAlignment="1">
      <alignment horizontal="center"/>
    </xf>
    <xf numFmtId="165" fontId="23" fillId="7" borderId="1" xfId="0" applyNumberFormat="1" applyFont="1" applyFill="1" applyBorder="1" applyAlignment="1">
      <alignment horizontal="center" vertical="top" wrapText="1"/>
    </xf>
    <xf numFmtId="0" fontId="57" fillId="7" borderId="1" xfId="0" applyFont="1" applyFill="1" applyBorder="1" applyAlignment="1">
      <alignment horizontal="center" vertical="center" wrapText="1"/>
    </xf>
    <xf numFmtId="15" fontId="11" fillId="7" borderId="1" xfId="0" applyNumberFormat="1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/>
    </xf>
    <xf numFmtId="14" fontId="55" fillId="7" borderId="1" xfId="0" applyNumberFormat="1" applyFont="1" applyFill="1" applyBorder="1" applyAlignment="1">
      <alignment horizontal="center"/>
    </xf>
    <xf numFmtId="0" fontId="59" fillId="7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wrapText="1"/>
    </xf>
    <xf numFmtId="15" fontId="19" fillId="7" borderId="1" xfId="0" applyNumberFormat="1" applyFont="1" applyFill="1" applyBorder="1" applyAlignment="1">
      <alignment horizontal="center" wrapText="1"/>
    </xf>
    <xf numFmtId="167" fontId="11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11" fillId="7" borderId="1" xfId="2" applyFont="1" applyFill="1" applyBorder="1" applyAlignment="1">
      <alignment horizontal="center" vertical="center"/>
    </xf>
    <xf numFmtId="164" fontId="11" fillId="7" borderId="1" xfId="2" applyNumberFormat="1" applyFont="1" applyFill="1" applyBorder="1" applyAlignment="1">
      <alignment horizontal="center" vertical="center"/>
    </xf>
    <xf numFmtId="0" fontId="11" fillId="7" borderId="1" xfId="2" applyFont="1" applyFill="1" applyBorder="1" applyAlignment="1">
      <alignment horizontal="center" vertical="center" wrapText="1"/>
    </xf>
    <xf numFmtId="0" fontId="55" fillId="7" borderId="1" xfId="2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wrapText="1"/>
    </xf>
    <xf numFmtId="164" fontId="56" fillId="7" borderId="1" xfId="0" applyNumberFormat="1" applyFont="1" applyFill="1" applyBorder="1" applyAlignment="1">
      <alignment horizontal="center" vertical="center" wrapText="1"/>
    </xf>
    <xf numFmtId="14" fontId="56" fillId="7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8" fillId="0" borderId="2" xfId="0" applyFont="1" applyBorder="1"/>
    <xf numFmtId="0" fontId="28" fillId="11" borderId="1" xfId="0" applyFont="1" applyFill="1" applyBorder="1"/>
    <xf numFmtId="0" fontId="48" fillId="0" borderId="3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2" fillId="0" borderId="14" xfId="0" applyFont="1" applyBorder="1" applyAlignment="1">
      <alignment horizontal="center" vertical="center" wrapText="1"/>
    </xf>
    <xf numFmtId="0" fontId="28" fillId="0" borderId="14" xfId="0" applyFont="1" applyBorder="1"/>
    <xf numFmtId="0" fontId="41" fillId="0" borderId="1" xfId="0" applyFont="1" applyBorder="1"/>
    <xf numFmtId="0" fontId="1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wrapText="1"/>
    </xf>
    <xf numFmtId="14" fontId="0" fillId="0" borderId="1" xfId="0" applyNumberFormat="1" applyBorder="1"/>
    <xf numFmtId="15" fontId="0" fillId="0" borderId="1" xfId="0" applyNumberFormat="1" applyBorder="1"/>
    <xf numFmtId="166" fontId="0" fillId="0" borderId="1" xfId="0" applyNumberFormat="1" applyBorder="1" applyAlignment="1">
      <alignment horizontal="center"/>
    </xf>
    <xf numFmtId="0" fontId="18" fillId="12" borderId="4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5" fontId="61" fillId="0" borderId="1" xfId="0" applyNumberFormat="1" applyFont="1" applyBorder="1" applyAlignment="1">
      <alignment horizontal="center" vertical="center"/>
    </xf>
    <xf numFmtId="164" fontId="13" fillId="12" borderId="15" xfId="0" applyNumberFormat="1" applyFont="1" applyFill="1" applyBorder="1" applyAlignment="1">
      <alignment horizontal="center" vertical="center"/>
    </xf>
    <xf numFmtId="164" fontId="13" fillId="12" borderId="4" xfId="0" applyNumberFormat="1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0" fontId="63" fillId="0" borderId="0" xfId="0" applyFont="1"/>
    <xf numFmtId="14" fontId="18" fillId="0" borderId="1" xfId="0" applyNumberFormat="1" applyFont="1" applyBorder="1"/>
    <xf numFmtId="0" fontId="18" fillId="12" borderId="1" xfId="0" applyFont="1" applyFill="1" applyBorder="1"/>
    <xf numFmtId="0" fontId="18" fillId="12" borderId="3" xfId="0" applyFont="1" applyFill="1" applyBorder="1"/>
    <xf numFmtId="0" fontId="18" fillId="12" borderId="3" xfId="0" applyFont="1" applyFill="1" applyBorder="1" applyAlignment="1">
      <alignment wrapText="1"/>
    </xf>
    <xf numFmtId="0" fontId="23" fillId="0" borderId="4" xfId="0" applyFont="1" applyBorder="1" applyAlignment="1">
      <alignment horizontal="center" vertical="top" wrapText="1"/>
    </xf>
    <xf numFmtId="15" fontId="18" fillId="11" borderId="4" xfId="0" applyNumberFormat="1" applyFont="1" applyFill="1" applyBorder="1" applyAlignment="1">
      <alignment horizontal="center"/>
    </xf>
    <xf numFmtId="0" fontId="23" fillId="0" borderId="4" xfId="0" applyFont="1" applyBorder="1" applyAlignment="1">
      <alignment horizontal="center" vertical="top"/>
    </xf>
    <xf numFmtId="0" fontId="36" fillId="12" borderId="4" xfId="0" applyFont="1" applyFill="1" applyBorder="1" applyAlignment="1">
      <alignment horizontal="center"/>
    </xf>
    <xf numFmtId="15" fontId="13" fillId="0" borderId="4" xfId="0" applyNumberFormat="1" applyFont="1" applyBorder="1" applyAlignment="1">
      <alignment horizontal="center"/>
    </xf>
    <xf numFmtId="0" fontId="49" fillId="0" borderId="4" xfId="0" applyFont="1" applyBorder="1"/>
    <xf numFmtId="0" fontId="13" fillId="0" borderId="4" xfId="0" applyFont="1" applyBorder="1"/>
    <xf numFmtId="0" fontId="18" fillId="0" borderId="4" xfId="0" applyFont="1" applyBorder="1"/>
    <xf numFmtId="0" fontId="11" fillId="0" borderId="5" xfId="0" applyFont="1" applyBorder="1" applyAlignment="1">
      <alignment horizontal="center"/>
    </xf>
    <xf numFmtId="15" fontId="0" fillId="0" borderId="5" xfId="0" applyNumberFormat="1" applyBorder="1" applyAlignment="1">
      <alignment horizontal="center" vertical="center"/>
    </xf>
    <xf numFmtId="164" fontId="27" fillId="0" borderId="5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top" wrapText="1"/>
    </xf>
    <xf numFmtId="0" fontId="11" fillId="15" borderId="1" xfId="0" applyFont="1" applyFill="1" applyBorder="1" applyAlignment="1">
      <alignment horizontal="center" vertical="top"/>
    </xf>
    <xf numFmtId="0" fontId="13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65" fillId="8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66" fillId="0" borderId="4" xfId="0" applyFont="1" applyBorder="1" applyAlignment="1">
      <alignment horizontal="center" vertical="center"/>
    </xf>
    <xf numFmtId="0" fontId="21" fillId="12" borderId="5" xfId="0" applyFont="1" applyFill="1" applyBorder="1" applyAlignment="1">
      <alignment vertical="center"/>
    </xf>
    <xf numFmtId="0" fontId="21" fillId="12" borderId="3" xfId="0" applyFont="1" applyFill="1" applyBorder="1" applyAlignment="1">
      <alignment vertical="center"/>
    </xf>
    <xf numFmtId="15" fontId="13" fillId="0" borderId="7" xfId="0" applyNumberFormat="1" applyFont="1" applyBorder="1"/>
    <xf numFmtId="0" fontId="37" fillId="0" borderId="7" xfId="0" applyFont="1" applyBorder="1" applyAlignment="1">
      <alignment wrapText="1"/>
    </xf>
    <xf numFmtId="0" fontId="48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14" fontId="18" fillId="0" borderId="6" xfId="0" applyNumberFormat="1" applyFont="1" applyBorder="1"/>
    <xf numFmtId="0" fontId="13" fillId="0" borderId="7" xfId="0" applyFont="1" applyBorder="1" applyAlignment="1">
      <alignment wrapText="1"/>
    </xf>
    <xf numFmtId="14" fontId="18" fillId="0" borderId="7" xfId="0" applyNumberFormat="1" applyFont="1" applyBorder="1"/>
    <xf numFmtId="0" fontId="11" fillId="0" borderId="5" xfId="0" applyFont="1" applyBorder="1" applyAlignment="1">
      <alignment horizontal="center" vertical="top"/>
    </xf>
    <xf numFmtId="0" fontId="67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 wrapText="1"/>
    </xf>
    <xf numFmtId="0" fontId="68" fillId="0" borderId="1" xfId="5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top"/>
    </xf>
    <xf numFmtId="0" fontId="70" fillId="0" borderId="1" xfId="0" applyFont="1" applyBorder="1" applyAlignment="1">
      <alignment horizontal="center" wrapText="1"/>
    </xf>
    <xf numFmtId="0" fontId="72" fillId="0" borderId="1" xfId="0" applyFont="1" applyBorder="1" applyAlignment="1">
      <alignment horizontal="center"/>
    </xf>
    <xf numFmtId="0" fontId="68" fillId="0" borderId="4" xfId="0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68" fillId="0" borderId="4" xfId="0" applyFont="1" applyBorder="1" applyAlignment="1">
      <alignment horizontal="center" vertical="center"/>
    </xf>
    <xf numFmtId="0" fontId="68" fillId="0" borderId="9" xfId="0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164" fontId="68" fillId="0" borderId="1" xfId="0" applyNumberFormat="1" applyFont="1" applyBorder="1" applyAlignment="1">
      <alignment horizontal="center" vertical="center" wrapText="1"/>
    </xf>
    <xf numFmtId="164" fontId="68" fillId="0" borderId="1" xfId="0" applyNumberFormat="1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64" fontId="76" fillId="0" borderId="1" xfId="0" applyNumberFormat="1" applyFont="1" applyBorder="1" applyAlignment="1">
      <alignment horizontal="center" vertical="center"/>
    </xf>
    <xf numFmtId="0" fontId="68" fillId="0" borderId="5" xfId="0" applyFont="1" applyBorder="1" applyAlignment="1">
      <alignment horizontal="center" vertical="center"/>
    </xf>
    <xf numFmtId="164" fontId="68" fillId="0" borderId="5" xfId="0" applyNumberFormat="1" applyFont="1" applyBorder="1" applyAlignment="1">
      <alignment horizontal="center" vertical="center"/>
    </xf>
    <xf numFmtId="0" fontId="68" fillId="0" borderId="1" xfId="5" applyFont="1" applyBorder="1" applyAlignment="1">
      <alignment horizontal="center" vertical="center"/>
    </xf>
    <xf numFmtId="166" fontId="68" fillId="0" borderId="1" xfId="5" applyNumberFormat="1" applyFont="1" applyBorder="1" applyAlignment="1">
      <alignment horizontal="center" vertical="center"/>
    </xf>
    <xf numFmtId="164" fontId="69" fillId="0" borderId="1" xfId="0" applyNumberFormat="1" applyFont="1" applyBorder="1" applyAlignment="1">
      <alignment horizontal="center" vertical="top"/>
    </xf>
    <xf numFmtId="0" fontId="68" fillId="0" borderId="1" xfId="0" applyFont="1" applyBorder="1" applyAlignment="1">
      <alignment horizontal="center"/>
    </xf>
    <xf numFmtId="15" fontId="68" fillId="0" borderId="1" xfId="0" applyNumberFormat="1" applyFont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 vertical="center"/>
    </xf>
    <xf numFmtId="164" fontId="69" fillId="0" borderId="1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49" fontId="69" fillId="0" borderId="1" xfId="0" applyNumberFormat="1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6" fillId="0" borderId="1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/>
    </xf>
    <xf numFmtId="15" fontId="72" fillId="0" borderId="1" xfId="0" applyNumberFormat="1" applyFont="1" applyBorder="1" applyAlignment="1">
      <alignment horizontal="center"/>
    </xf>
    <xf numFmtId="0" fontId="68" fillId="0" borderId="3" xfId="0" applyFont="1" applyBorder="1" applyAlignment="1">
      <alignment horizontal="center" vertical="center"/>
    </xf>
    <xf numFmtId="15" fontId="68" fillId="0" borderId="4" xfId="0" applyNumberFormat="1" applyFont="1" applyBorder="1" applyAlignment="1">
      <alignment horizontal="center" vertical="center"/>
    </xf>
    <xf numFmtId="164" fontId="67" fillId="0" borderId="1" xfId="0" applyNumberFormat="1" applyFont="1" applyBorder="1" applyAlignment="1">
      <alignment horizontal="center" vertical="center" wrapText="1"/>
    </xf>
    <xf numFmtId="166" fontId="68" fillId="0" borderId="1" xfId="0" applyNumberFormat="1" applyFont="1" applyBorder="1" applyAlignment="1">
      <alignment horizontal="center" vertical="center"/>
    </xf>
    <xf numFmtId="0" fontId="70" fillId="0" borderId="6" xfId="0" applyFont="1" applyBorder="1" applyAlignment="1">
      <alignment wrapText="1"/>
    </xf>
    <xf numFmtId="0" fontId="70" fillId="0" borderId="6" xfId="0" applyFont="1" applyBorder="1"/>
    <xf numFmtId="0" fontId="70" fillId="0" borderId="7" xfId="0" applyFont="1" applyBorder="1" applyAlignment="1">
      <alignment wrapText="1"/>
    </xf>
    <xf numFmtId="0" fontId="70" fillId="0" borderId="7" xfId="0" applyFont="1" applyBorder="1"/>
    <xf numFmtId="164" fontId="68" fillId="0" borderId="0" xfId="0" applyNumberFormat="1" applyFont="1" applyAlignment="1">
      <alignment horizontal="center" vertical="center"/>
    </xf>
    <xf numFmtId="164" fontId="68" fillId="0" borderId="4" xfId="0" applyNumberFormat="1" applyFont="1" applyBorder="1" applyAlignment="1">
      <alignment horizontal="center" vertical="center"/>
    </xf>
    <xf numFmtId="164" fontId="68" fillId="0" borderId="9" xfId="0" applyNumberFormat="1" applyFont="1" applyBorder="1" applyAlignment="1">
      <alignment horizontal="center" vertical="center"/>
    </xf>
    <xf numFmtId="0" fontId="79" fillId="0" borderId="7" xfId="0" applyFont="1" applyBorder="1" applyAlignment="1">
      <alignment horizontal="center" vertical="center" wrapText="1"/>
    </xf>
    <xf numFmtId="0" fontId="70" fillId="11" borderId="7" xfId="0" applyFont="1" applyFill="1" applyBorder="1" applyAlignment="1">
      <alignment wrapText="1"/>
    </xf>
    <xf numFmtId="0" fontId="70" fillId="11" borderId="7" xfId="0" applyFont="1" applyFill="1" applyBorder="1"/>
    <xf numFmtId="15" fontId="70" fillId="11" borderId="7" xfId="0" applyNumberFormat="1" applyFont="1" applyFill="1" applyBorder="1"/>
    <xf numFmtId="164" fontId="69" fillId="0" borderId="6" xfId="0" applyNumberFormat="1" applyFont="1" applyBorder="1" applyAlignment="1">
      <alignment horizontal="center" vertical="center"/>
    </xf>
    <xf numFmtId="0" fontId="71" fillId="11" borderId="4" xfId="0" applyFont="1" applyFill="1" applyBorder="1" applyAlignment="1">
      <alignment horizontal="center"/>
    </xf>
    <xf numFmtId="14" fontId="69" fillId="0" borderId="5" xfId="0" applyNumberFormat="1" applyFont="1" applyBorder="1" applyAlignment="1">
      <alignment horizontal="center" vertical="center"/>
    </xf>
    <xf numFmtId="164" fontId="68" fillId="0" borderId="2" xfId="0" applyNumberFormat="1" applyFont="1" applyBorder="1" applyAlignment="1">
      <alignment horizontal="center" vertical="center" wrapText="1"/>
    </xf>
    <xf numFmtId="14" fontId="69" fillId="0" borderId="4" xfId="0" applyNumberFormat="1" applyFont="1" applyBorder="1" applyAlignment="1">
      <alignment horizontal="center" vertical="center"/>
    </xf>
    <xf numFmtId="0" fontId="70" fillId="0" borderId="4" xfId="0" applyFont="1" applyBorder="1"/>
    <xf numFmtId="15" fontId="70" fillId="0" borderId="1" xfId="0" applyNumberFormat="1" applyFont="1" applyBorder="1" applyAlignment="1">
      <alignment horizontal="center"/>
    </xf>
    <xf numFmtId="15" fontId="68" fillId="0" borderId="5" xfId="0" applyNumberFormat="1" applyFont="1" applyBorder="1" applyAlignment="1">
      <alignment horizontal="center" vertical="center"/>
    </xf>
    <xf numFmtId="15" fontId="71" fillId="11" borderId="4" xfId="0" applyNumberFormat="1" applyFont="1" applyFill="1" applyBorder="1" applyAlignment="1">
      <alignment horizontal="center"/>
    </xf>
    <xf numFmtId="15" fontId="77" fillId="0" borderId="4" xfId="0" applyNumberFormat="1" applyFont="1" applyBorder="1" applyAlignment="1">
      <alignment horizontal="center"/>
    </xf>
    <xf numFmtId="0" fontId="73" fillId="11" borderId="4" xfId="0" applyFont="1" applyFill="1" applyBorder="1" applyAlignment="1">
      <alignment horizontal="center"/>
    </xf>
    <xf numFmtId="0" fontId="73" fillId="0" borderId="4" xfId="0" applyFont="1" applyBorder="1"/>
    <xf numFmtId="0" fontId="84" fillId="0" borderId="4" xfId="0" applyFont="1" applyBorder="1"/>
    <xf numFmtId="14" fontId="68" fillId="0" borderId="4" xfId="0" applyNumberFormat="1" applyFont="1" applyBorder="1" applyAlignment="1">
      <alignment horizontal="center" vertical="center"/>
    </xf>
    <xf numFmtId="0" fontId="73" fillId="7" borderId="1" xfId="0" applyFont="1" applyFill="1" applyBorder="1" applyAlignment="1">
      <alignment horizontal="center" vertical="center"/>
    </xf>
    <xf numFmtId="164" fontId="69" fillId="7" borderId="1" xfId="0" applyNumberFormat="1" applyFont="1" applyFill="1" applyBorder="1" applyAlignment="1">
      <alignment horizontal="center" vertical="top"/>
    </xf>
    <xf numFmtId="0" fontId="69" fillId="7" borderId="1" xfId="0" applyFont="1" applyFill="1" applyBorder="1" applyAlignment="1">
      <alignment horizontal="center" vertical="top"/>
    </xf>
    <xf numFmtId="164" fontId="69" fillId="7" borderId="1" xfId="0" applyNumberFormat="1" applyFont="1" applyFill="1" applyBorder="1" applyAlignment="1">
      <alignment horizontal="center" vertical="center"/>
    </xf>
    <xf numFmtId="164" fontId="73" fillId="7" borderId="1" xfId="0" applyNumberFormat="1" applyFont="1" applyFill="1" applyBorder="1" applyAlignment="1">
      <alignment horizontal="center" vertical="center"/>
    </xf>
    <xf numFmtId="14" fontId="73" fillId="7" borderId="1" xfId="0" applyNumberFormat="1" applyFont="1" applyFill="1" applyBorder="1" applyAlignment="1">
      <alignment horizontal="center" vertical="center"/>
    </xf>
    <xf numFmtId="14" fontId="69" fillId="7" borderId="1" xfId="0" applyNumberFormat="1" applyFont="1" applyFill="1" applyBorder="1" applyAlignment="1">
      <alignment horizontal="center" vertical="top"/>
    </xf>
    <xf numFmtId="0" fontId="88" fillId="7" borderId="1" xfId="0" applyFont="1" applyFill="1" applyBorder="1" applyAlignment="1">
      <alignment horizontal="center" vertical="center" wrapText="1"/>
    </xf>
    <xf numFmtId="15" fontId="73" fillId="7" borderId="1" xfId="0" applyNumberFormat="1" applyFont="1" applyFill="1" applyBorder="1" applyAlignment="1">
      <alignment horizontal="center" vertical="center"/>
    </xf>
    <xf numFmtId="167" fontId="73" fillId="7" borderId="1" xfId="0" applyNumberFormat="1" applyFont="1" applyFill="1" applyBorder="1" applyAlignment="1">
      <alignment horizontal="center" vertical="center"/>
    </xf>
    <xf numFmtId="0" fontId="73" fillId="7" borderId="1" xfId="2" applyFont="1" applyFill="1" applyBorder="1" applyAlignment="1">
      <alignment horizontal="center" vertical="center"/>
    </xf>
    <xf numFmtId="164" fontId="73" fillId="7" borderId="1" xfId="2" applyNumberFormat="1" applyFont="1" applyFill="1" applyBorder="1" applyAlignment="1">
      <alignment horizontal="center" vertical="center"/>
    </xf>
    <xf numFmtId="0" fontId="89" fillId="0" borderId="1" xfId="0" applyFont="1" applyBorder="1" applyAlignment="1">
      <alignment horizontal="center" vertical="center" wrapText="1"/>
    </xf>
    <xf numFmtId="0" fontId="72" fillId="0" borderId="0" xfId="0" applyFont="1"/>
    <xf numFmtId="0" fontId="24" fillId="0" borderId="1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0" fillId="0" borderId="4" xfId="0" applyBorder="1"/>
    <xf numFmtId="15" fontId="0" fillId="0" borderId="4" xfId="0" applyNumberFormat="1" applyBorder="1"/>
    <xf numFmtId="0" fontId="15" fillId="6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0" fillId="0" borderId="5" xfId="0" applyBorder="1"/>
    <xf numFmtId="0" fontId="18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/>
    </xf>
    <xf numFmtId="14" fontId="0" fillId="0" borderId="2" xfId="0" applyNumberFormat="1" applyBorder="1"/>
    <xf numFmtId="14" fontId="92" fillId="7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/>
    </xf>
    <xf numFmtId="0" fontId="93" fillId="7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15" fontId="11" fillId="7" borderId="1" xfId="0" applyNumberFormat="1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/>
    </xf>
    <xf numFmtId="164" fontId="54" fillId="7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55" fillId="7" borderId="1" xfId="0" applyFont="1" applyFill="1" applyBorder="1" applyAlignment="1">
      <alignment horizontal="center" vertical="top"/>
    </xf>
    <xf numFmtId="164" fontId="11" fillId="17" borderId="1" xfId="0" applyNumberFormat="1" applyFont="1" applyFill="1" applyBorder="1" applyAlignment="1">
      <alignment horizontal="center"/>
    </xf>
    <xf numFmtId="14" fontId="73" fillId="7" borderId="1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 vertical="center"/>
    </xf>
    <xf numFmtId="15" fontId="0" fillId="7" borderId="1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95" fillId="13" borderId="1" xfId="0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37" fillId="0" borderId="6" xfId="0" applyFont="1" applyBorder="1" applyAlignment="1">
      <alignment wrapText="1"/>
    </xf>
    <xf numFmtId="0" fontId="11" fillId="0" borderId="6" xfId="0" applyFont="1" applyBorder="1"/>
    <xf numFmtId="15" fontId="13" fillId="0" borderId="6" xfId="0" applyNumberFormat="1" applyFont="1" applyBorder="1"/>
    <xf numFmtId="0" fontId="23" fillId="0" borderId="6" xfId="0" applyFont="1" applyBorder="1"/>
    <xf numFmtId="0" fontId="23" fillId="0" borderId="6" xfId="0" applyFont="1" applyBorder="1" applyAlignment="1">
      <alignment wrapText="1"/>
    </xf>
    <xf numFmtId="0" fontId="11" fillId="0" borderId="7" xfId="0" applyFont="1" applyBorder="1"/>
    <xf numFmtId="0" fontId="23" fillId="0" borderId="14" xfId="0" applyFont="1" applyBorder="1" applyAlignment="1">
      <alignment wrapText="1"/>
    </xf>
    <xf numFmtId="15" fontId="28" fillId="0" borderId="1" xfId="0" applyNumberFormat="1" applyFont="1" applyBorder="1"/>
    <xf numFmtId="15" fontId="28" fillId="0" borderId="3" xfId="0" applyNumberFormat="1" applyFont="1" applyBorder="1"/>
    <xf numFmtId="0" fontId="28" fillId="0" borderId="3" xfId="0" applyFont="1" applyBorder="1"/>
    <xf numFmtId="15" fontId="23" fillId="0" borderId="3" xfId="0" applyNumberFormat="1" applyFont="1" applyBorder="1" applyAlignment="1">
      <alignment wrapText="1"/>
    </xf>
    <xf numFmtId="0" fontId="69" fillId="7" borderId="1" xfId="0" applyFont="1" applyFill="1" applyBorder="1" applyAlignment="1">
      <alignment horizontal="center" vertical="top" wrapText="1"/>
    </xf>
    <xf numFmtId="0" fontId="73" fillId="7" borderId="1" xfId="0" applyFont="1" applyFill="1" applyBorder="1" applyAlignment="1">
      <alignment horizontal="center"/>
    </xf>
    <xf numFmtId="0" fontId="69" fillId="0" borderId="1" xfId="0" applyFont="1" applyBorder="1" applyAlignment="1">
      <alignment horizontal="center" vertical="center" wrapText="1"/>
    </xf>
    <xf numFmtId="0" fontId="71" fillId="11" borderId="1" xfId="0" applyFont="1" applyFill="1" applyBorder="1" applyAlignment="1">
      <alignment horizontal="center"/>
    </xf>
    <xf numFmtId="14" fontId="96" fillId="11" borderId="1" xfId="0" applyNumberFormat="1" applyFont="1" applyFill="1" applyBorder="1" applyAlignment="1">
      <alignment horizontal="center" wrapText="1"/>
    </xf>
    <xf numFmtId="0" fontId="96" fillId="11" borderId="1" xfId="0" applyFont="1" applyFill="1" applyBorder="1" applyAlignment="1">
      <alignment horizontal="center" wrapText="1"/>
    </xf>
    <xf numFmtId="0" fontId="76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top" wrapText="1"/>
    </xf>
    <xf numFmtId="0" fontId="70" fillId="0" borderId="4" xfId="0" applyFont="1" applyBorder="1" applyAlignment="1">
      <alignment horizontal="center"/>
    </xf>
    <xf numFmtId="0" fontId="71" fillId="0" borderId="4" xfId="0" applyFont="1" applyBorder="1" applyAlignment="1">
      <alignment horizontal="center"/>
    </xf>
    <xf numFmtId="0" fontId="79" fillId="11" borderId="4" xfId="0" applyFont="1" applyFill="1" applyBorder="1" applyAlignment="1">
      <alignment horizontal="center" wrapText="1"/>
    </xf>
    <xf numFmtId="0" fontId="71" fillId="11" borderId="4" xfId="0" applyFont="1" applyFill="1" applyBorder="1" applyAlignment="1">
      <alignment horizontal="center" wrapText="1"/>
    </xf>
    <xf numFmtId="14" fontId="96" fillId="11" borderId="4" xfId="0" applyNumberFormat="1" applyFont="1" applyFill="1" applyBorder="1" applyAlignment="1">
      <alignment horizontal="center" wrapText="1"/>
    </xf>
    <xf numFmtId="0" fontId="96" fillId="11" borderId="4" xfId="0" applyFont="1" applyFill="1" applyBorder="1" applyAlignment="1">
      <alignment horizontal="center" wrapText="1"/>
    </xf>
    <xf numFmtId="0" fontId="97" fillId="0" borderId="7" xfId="0" applyFont="1" applyBorder="1"/>
    <xf numFmtId="0" fontId="68" fillId="0" borderId="2" xfId="0" applyFont="1" applyBorder="1" applyAlignment="1">
      <alignment horizontal="center" vertical="center" wrapText="1"/>
    </xf>
    <xf numFmtId="0" fontId="71" fillId="0" borderId="7" xfId="0" applyFont="1" applyBorder="1"/>
    <xf numFmtId="0" fontId="69" fillId="0" borderId="11" xfId="0" applyFont="1" applyBorder="1" applyAlignment="1">
      <alignment wrapText="1"/>
    </xf>
    <xf numFmtId="0" fontId="69" fillId="0" borderId="1" xfId="0" applyFont="1" applyBorder="1" applyAlignment="1">
      <alignment wrapText="1"/>
    </xf>
    <xf numFmtId="0" fontId="69" fillId="0" borderId="14" xfId="0" applyFont="1" applyBorder="1" applyAlignment="1">
      <alignment wrapText="1"/>
    </xf>
    <xf numFmtId="0" fontId="69" fillId="0" borderId="3" xfId="0" applyFont="1" applyBorder="1" applyAlignment="1">
      <alignment wrapText="1"/>
    </xf>
    <xf numFmtId="14" fontId="98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55" fillId="7" borderId="1" xfId="0" applyFont="1" applyFill="1" applyBorder="1" applyAlignment="1">
      <alignment horizontal="center" vertical="center" wrapText="1"/>
    </xf>
    <xf numFmtId="0" fontId="55" fillId="13" borderId="3" xfId="0" applyFont="1" applyFill="1" applyBorder="1" applyAlignment="1">
      <alignment horizontal="center"/>
    </xf>
    <xf numFmtId="0" fontId="51" fillId="7" borderId="3" xfId="0" applyFont="1" applyFill="1" applyBorder="1" applyAlignment="1">
      <alignment horizontal="center" wrapText="1"/>
    </xf>
    <xf numFmtId="0" fontId="55" fillId="7" borderId="3" xfId="0" applyFont="1" applyFill="1" applyBorder="1" applyAlignment="1">
      <alignment horizontal="center"/>
    </xf>
    <xf numFmtId="15" fontId="55" fillId="7" borderId="3" xfId="0" applyNumberFormat="1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 vertical="center"/>
    </xf>
    <xf numFmtId="0" fontId="73" fillId="7" borderId="3" xfId="0" applyFont="1" applyFill="1" applyBorder="1" applyAlignment="1">
      <alignment horizontal="center" vertical="center"/>
    </xf>
    <xf numFmtId="164" fontId="73" fillId="7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/>
    <xf numFmtId="14" fontId="11" fillId="7" borderId="3" xfId="0" applyNumberFormat="1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horizontal="center" vertical="center" wrapText="1"/>
    </xf>
    <xf numFmtId="0" fontId="73" fillId="7" borderId="2" xfId="0" applyFont="1" applyFill="1" applyBorder="1" applyAlignment="1">
      <alignment horizontal="center"/>
    </xf>
    <xf numFmtId="14" fontId="73" fillId="7" borderId="2" xfId="0" applyNumberFormat="1" applyFont="1" applyFill="1" applyBorder="1" applyAlignment="1">
      <alignment horizontal="center"/>
    </xf>
    <xf numFmtId="0" fontId="68" fillId="0" borderId="2" xfId="0" applyFont="1" applyBorder="1" applyAlignment="1">
      <alignment horizontal="center" vertical="center"/>
    </xf>
    <xf numFmtId="0" fontId="73" fillId="7" borderId="11" xfId="0" applyFont="1" applyFill="1" applyBorder="1" applyAlignment="1">
      <alignment horizontal="center" vertical="center"/>
    </xf>
    <xf numFmtId="0" fontId="73" fillId="7" borderId="6" xfId="0" applyFont="1" applyFill="1" applyBorder="1" applyAlignment="1">
      <alignment horizontal="center" vertical="center"/>
    </xf>
    <xf numFmtId="164" fontId="73" fillId="7" borderId="11" xfId="0" applyNumberFormat="1" applyFont="1" applyFill="1" applyBorder="1" applyAlignment="1">
      <alignment horizontal="center" vertical="center"/>
    </xf>
    <xf numFmtId="15" fontId="73" fillId="7" borderId="11" xfId="0" applyNumberFormat="1" applyFont="1" applyFill="1" applyBorder="1" applyAlignment="1">
      <alignment horizontal="center" vertical="center"/>
    </xf>
    <xf numFmtId="167" fontId="73" fillId="7" borderId="11" xfId="0" applyNumberFormat="1" applyFont="1" applyFill="1" applyBorder="1" applyAlignment="1">
      <alignment horizontal="center" vertical="center"/>
    </xf>
    <xf numFmtId="14" fontId="73" fillId="7" borderId="11" xfId="0" applyNumberFormat="1" applyFont="1" applyFill="1" applyBorder="1" applyAlignment="1">
      <alignment horizontal="center"/>
    </xf>
    <xf numFmtId="14" fontId="73" fillId="7" borderId="11" xfId="0" applyNumberFormat="1" applyFont="1" applyFill="1" applyBorder="1" applyAlignment="1">
      <alignment horizontal="center" vertical="center"/>
    </xf>
    <xf numFmtId="164" fontId="68" fillId="0" borderId="11" xfId="0" applyNumberFormat="1" applyFont="1" applyBorder="1" applyAlignment="1">
      <alignment horizontal="center" vertical="center"/>
    </xf>
    <xf numFmtId="0" fontId="88" fillId="7" borderId="6" xfId="0" applyFont="1" applyFill="1" applyBorder="1" applyAlignment="1">
      <alignment horizontal="center" vertical="center" wrapText="1"/>
    </xf>
    <xf numFmtId="0" fontId="73" fillId="7" borderId="6" xfId="2" applyFont="1" applyFill="1" applyBorder="1" applyAlignment="1">
      <alignment horizontal="center" vertical="center"/>
    </xf>
    <xf numFmtId="164" fontId="11" fillId="7" borderId="6" xfId="0" applyNumberFormat="1" applyFont="1" applyFill="1" applyBorder="1" applyAlignment="1">
      <alignment horizontal="center" vertical="center"/>
    </xf>
    <xf numFmtId="15" fontId="11" fillId="7" borderId="6" xfId="0" applyNumberFormat="1" applyFont="1" applyFill="1" applyBorder="1" applyAlignment="1">
      <alignment horizontal="center" vertical="center"/>
    </xf>
    <xf numFmtId="15" fontId="99" fillId="7" borderId="1" xfId="0" applyNumberFormat="1" applyFont="1" applyFill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164" fontId="27" fillId="7" borderId="1" xfId="0" applyNumberFormat="1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5" fontId="13" fillId="0" borderId="1" xfId="0" applyNumberFormat="1" applyFont="1" applyBorder="1"/>
    <xf numFmtId="15" fontId="13" fillId="0" borderId="3" xfId="0" applyNumberFormat="1" applyFont="1" applyBorder="1"/>
    <xf numFmtId="0" fontId="36" fillId="0" borderId="1" xfId="0" applyFont="1" applyBorder="1" applyAlignment="1">
      <alignment horizontal="center"/>
    </xf>
    <xf numFmtId="165" fontId="0" fillId="0" borderId="1" xfId="0" applyNumberFormat="1" applyBorder="1"/>
    <xf numFmtId="15" fontId="18" fillId="0" borderId="3" xfId="0" applyNumberFormat="1" applyFont="1" applyBorder="1"/>
    <xf numFmtId="0" fontId="17" fillId="0" borderId="1" xfId="0" applyFont="1" applyBorder="1" applyAlignment="1">
      <alignment horizontal="center" vertical="center"/>
    </xf>
    <xf numFmtId="15" fontId="0" fillId="0" borderId="5" xfId="0" applyNumberFormat="1" applyBorder="1"/>
    <xf numFmtId="0" fontId="55" fillId="18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vertical="center"/>
    </xf>
    <xf numFmtId="0" fontId="100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 vertical="center" wrapText="1"/>
    </xf>
    <xf numFmtId="164" fontId="68" fillId="0" borderId="14" xfId="0" applyNumberFormat="1" applyFont="1" applyBorder="1" applyAlignment="1">
      <alignment horizontal="center" vertical="center"/>
    </xf>
    <xf numFmtId="0" fontId="17" fillId="7" borderId="1" xfId="8" applyFill="1" applyBorder="1" applyAlignment="1">
      <alignment vertical="center"/>
    </xf>
    <xf numFmtId="0" fontId="17" fillId="0" borderId="1" xfId="9" applyBorder="1" applyAlignment="1">
      <alignment horizontal="center" vertical="center"/>
    </xf>
    <xf numFmtId="0" fontId="17" fillId="0" borderId="1" xfId="10" applyBorder="1" applyAlignment="1">
      <alignment horizontal="center" vertical="center"/>
    </xf>
    <xf numFmtId="0" fontId="17" fillId="0" borderId="1" xfId="11" applyBorder="1" applyAlignment="1">
      <alignment horizontal="center" vertical="center"/>
    </xf>
    <xf numFmtId="0" fontId="17" fillId="0" borderId="1" xfId="12" applyBorder="1"/>
    <xf numFmtId="0" fontId="18" fillId="0" borderId="1" xfId="10" applyFont="1" applyBorder="1" applyAlignment="1">
      <alignment horizontal="center" vertical="center"/>
    </xf>
    <xf numFmtId="0" fontId="18" fillId="7" borderId="1" xfId="8" applyFont="1" applyFill="1" applyBorder="1" applyAlignment="1">
      <alignment vertical="center"/>
    </xf>
    <xf numFmtId="0" fontId="28" fillId="7" borderId="1" xfId="8" applyFont="1" applyFill="1" applyBorder="1" applyAlignment="1">
      <alignment vertical="center"/>
    </xf>
    <xf numFmtId="0" fontId="12" fillId="7" borderId="1" xfId="8" applyFont="1" applyFill="1" applyBorder="1" applyAlignment="1">
      <alignment vertical="center"/>
    </xf>
    <xf numFmtId="0" fontId="12" fillId="7" borderId="1" xfId="5" applyFont="1" applyFill="1" applyBorder="1" applyAlignment="1">
      <alignment vertical="center"/>
    </xf>
    <xf numFmtId="0" fontId="17" fillId="0" borderId="1" xfId="13" applyBorder="1" applyAlignment="1">
      <alignment horizontal="center" vertical="center"/>
    </xf>
    <xf numFmtId="0" fontId="17" fillId="0" borderId="1" xfId="14" applyBorder="1"/>
    <xf numFmtId="0" fontId="12" fillId="0" borderId="1" xfId="9" applyFont="1" applyBorder="1" applyAlignment="1">
      <alignment horizontal="center" vertical="center"/>
    </xf>
    <xf numFmtId="0" fontId="17" fillId="19" borderId="1" xfId="13" applyFill="1" applyBorder="1" applyAlignment="1">
      <alignment horizontal="center" vertical="center"/>
    </xf>
    <xf numFmtId="0" fontId="18" fillId="7" borderId="1" xfId="5" applyFont="1" applyFill="1" applyBorder="1" applyAlignment="1">
      <alignment vertical="center"/>
    </xf>
    <xf numFmtId="0" fontId="18" fillId="0" borderId="1" xfId="9" applyFont="1" applyBorder="1" applyAlignment="1">
      <alignment horizontal="center" vertical="center"/>
    </xf>
    <xf numFmtId="0" fontId="18" fillId="7" borderId="1" xfId="9" applyFont="1" applyFill="1" applyBorder="1" applyAlignment="1">
      <alignment horizontal="center" vertical="center"/>
    </xf>
    <xf numFmtId="0" fontId="12" fillId="7" borderId="1" xfId="15" applyFont="1" applyFill="1" applyBorder="1" applyAlignment="1">
      <alignment vertical="center"/>
    </xf>
    <xf numFmtId="0" fontId="12" fillId="0" borderId="1" xfId="15" applyFont="1" applyBorder="1" applyAlignment="1">
      <alignment horizontal="center" vertical="center"/>
    </xf>
    <xf numFmtId="0" fontId="17" fillId="19" borderId="1" xfId="15" applyFill="1" applyBorder="1" applyAlignment="1">
      <alignment horizontal="center" vertical="center"/>
    </xf>
    <xf numFmtId="0" fontId="0" fillId="0" borderId="1" xfId="0" pivotButton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22" fillId="0" borderId="0" xfId="0" applyFont="1" applyAlignment="1">
      <alignment wrapText="1"/>
    </xf>
    <xf numFmtId="14" fontId="0" fillId="0" borderId="0" xfId="0" applyNumberFormat="1"/>
    <xf numFmtId="15" fontId="0" fillId="0" borderId="0" xfId="0" applyNumberFormat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1" xfId="20" applyBorder="1" applyAlignment="1">
      <alignment horizontal="center"/>
    </xf>
    <xf numFmtId="15" fontId="7" fillId="0" borderId="1" xfId="20" applyNumberFormat="1" applyBorder="1" applyAlignment="1">
      <alignment horizontal="center"/>
    </xf>
    <xf numFmtId="0" fontId="101" fillId="0" borderId="1" xfId="20" applyFont="1" applyBorder="1" applyAlignment="1">
      <alignment horizontal="center"/>
    </xf>
    <xf numFmtId="0" fontId="0" fillId="0" borderId="0" xfId="0" applyAlignment="1">
      <alignment wrapText="1"/>
    </xf>
    <xf numFmtId="14" fontId="28" fillId="0" borderId="7" xfId="0" applyNumberFormat="1" applyFont="1" applyBorder="1"/>
    <xf numFmtId="165" fontId="28" fillId="0" borderId="7" xfId="0" applyNumberFormat="1" applyFont="1" applyBorder="1"/>
    <xf numFmtId="164" fontId="23" fillId="0" borderId="6" xfId="0" applyNumberFormat="1" applyFont="1" applyBorder="1" applyAlignment="1">
      <alignment wrapText="1"/>
    </xf>
    <xf numFmtId="164" fontId="23" fillId="0" borderId="7" xfId="0" applyNumberFormat="1" applyFont="1" applyBorder="1" applyAlignment="1">
      <alignment wrapText="1"/>
    </xf>
    <xf numFmtId="15" fontId="0" fillId="0" borderId="0" xfId="0" applyNumberFormat="1"/>
    <xf numFmtId="164" fontId="0" fillId="0" borderId="4" xfId="0" applyNumberFormat="1" applyBorder="1" applyAlignment="1">
      <alignment horizontal="center"/>
    </xf>
    <xf numFmtId="0" fontId="37" fillId="0" borderId="10" xfId="0" applyFont="1" applyBorder="1" applyAlignment="1">
      <alignment wrapText="1"/>
    </xf>
    <xf numFmtId="0" fontId="11" fillId="0" borderId="17" xfId="0" applyFont="1" applyBorder="1"/>
    <xf numFmtId="0" fontId="13" fillId="0" borderId="10" xfId="0" applyFont="1" applyBorder="1"/>
    <xf numFmtId="15" fontId="13" fillId="0" borderId="17" xfId="0" applyNumberFormat="1" applyFont="1" applyBorder="1"/>
    <xf numFmtId="0" fontId="18" fillId="0" borderId="10" xfId="0" applyFont="1" applyBorder="1"/>
    <xf numFmtId="164" fontId="69" fillId="0" borderId="5" xfId="0" applyNumberFormat="1" applyFont="1" applyBorder="1" applyAlignment="1">
      <alignment horizontal="center" vertical="top"/>
    </xf>
    <xf numFmtId="0" fontId="69" fillId="0" borderId="5" xfId="0" applyFont="1" applyBorder="1" applyAlignment="1">
      <alignment horizontal="center" vertical="top"/>
    </xf>
    <xf numFmtId="164" fontId="23" fillId="0" borderId="5" xfId="0" applyNumberFormat="1" applyFont="1" applyBorder="1" applyAlignment="1">
      <alignment horizontal="center" vertical="top" wrapText="1"/>
    </xf>
    <xf numFmtId="0" fontId="28" fillId="0" borderId="10" xfId="0" applyFont="1" applyBorder="1"/>
    <xf numFmtId="0" fontId="69" fillId="0" borderId="0" xfId="0" applyFont="1" applyAlignment="1">
      <alignment wrapText="1"/>
    </xf>
    <xf numFmtId="0" fontId="69" fillId="0" borderId="5" xfId="0" applyFont="1" applyBorder="1" applyAlignment="1">
      <alignment horizontal="center" vertical="top" wrapText="1"/>
    </xf>
    <xf numFmtId="164" fontId="0" fillId="0" borderId="5" xfId="0" applyNumberFormat="1" applyBorder="1"/>
    <xf numFmtId="164" fontId="13" fillId="0" borderId="3" xfId="0" applyNumberFormat="1" applyFont="1" applyBorder="1" applyAlignment="1">
      <alignment horizontal="center" vertical="center"/>
    </xf>
    <xf numFmtId="164" fontId="69" fillId="0" borderId="3" xfId="0" applyNumberFormat="1" applyFont="1" applyBorder="1" applyAlignment="1">
      <alignment horizontal="center" vertical="top"/>
    </xf>
    <xf numFmtId="0" fontId="69" fillId="0" borderId="3" xfId="0" applyFont="1" applyBorder="1" applyAlignment="1">
      <alignment horizontal="center" vertical="top"/>
    </xf>
    <xf numFmtId="164" fontId="23" fillId="0" borderId="3" xfId="0" applyNumberFormat="1" applyFont="1" applyBorder="1" applyAlignment="1">
      <alignment horizontal="center" vertical="top"/>
    </xf>
    <xf numFmtId="0" fontId="102" fillId="8" borderId="4" xfId="0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5" fontId="18" fillId="0" borderId="6" xfId="0" applyNumberFormat="1" applyFont="1" applyBorder="1" applyAlignment="1">
      <alignment horizontal="center"/>
    </xf>
    <xf numFmtId="0" fontId="14" fillId="0" borderId="0" xfId="0" applyFont="1"/>
    <xf numFmtId="0" fontId="0" fillId="0" borderId="1" xfId="0" applyBorder="1" applyAlignment="1">
      <alignment wrapText="1"/>
    </xf>
    <xf numFmtId="0" fontId="36" fillId="8" borderId="5" xfId="0" applyFont="1" applyFill="1" applyBorder="1"/>
    <xf numFmtId="0" fontId="37" fillId="0" borderId="5" xfId="0" applyFont="1" applyBorder="1" applyAlignment="1">
      <alignment wrapText="1"/>
    </xf>
    <xf numFmtId="0" fontId="13" fillId="0" borderId="18" xfId="0" applyFont="1" applyBorder="1"/>
    <xf numFmtId="15" fontId="103" fillId="11" borderId="7" xfId="0" applyNumberFormat="1" applyFont="1" applyFill="1" applyBorder="1" applyAlignment="1">
      <alignment wrapText="1"/>
    </xf>
    <xf numFmtId="0" fontId="37" fillId="7" borderId="5" xfId="0" applyFont="1" applyFill="1" applyBorder="1" applyAlignment="1">
      <alignment wrapText="1"/>
    </xf>
    <xf numFmtId="0" fontId="13" fillId="7" borderId="18" xfId="0" applyFont="1" applyFill="1" applyBorder="1"/>
    <xf numFmtId="15" fontId="103" fillId="7" borderId="7" xfId="0" applyNumberFormat="1" applyFont="1" applyFill="1" applyBorder="1" applyAlignment="1">
      <alignment wrapText="1"/>
    </xf>
    <xf numFmtId="0" fontId="28" fillId="7" borderId="3" xfId="0" applyFont="1" applyFill="1" applyBorder="1"/>
    <xf numFmtId="0" fontId="28" fillId="7" borderId="1" xfId="0" applyFont="1" applyFill="1" applyBorder="1"/>
    <xf numFmtId="0" fontId="58" fillId="11" borderId="1" xfId="0" applyFont="1" applyFill="1" applyBorder="1" applyAlignment="1">
      <alignment horizontal="center"/>
    </xf>
    <xf numFmtId="0" fontId="58" fillId="11" borderId="3" xfId="0" applyFont="1" applyFill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8" fillId="0" borderId="6" xfId="0" applyFont="1" applyBorder="1"/>
    <xf numFmtId="0" fontId="58" fillId="0" borderId="18" xfId="0" applyFont="1" applyBorder="1"/>
    <xf numFmtId="15" fontId="58" fillId="0" borderId="6" xfId="0" applyNumberFormat="1" applyFont="1" applyBorder="1"/>
    <xf numFmtId="0" fontId="58" fillId="0" borderId="6" xfId="0" applyFont="1" applyBorder="1" applyAlignment="1">
      <alignment horizontal="center"/>
    </xf>
    <xf numFmtId="0" fontId="58" fillId="7" borderId="6" xfId="0" applyFont="1" applyFill="1" applyBorder="1"/>
    <xf numFmtId="0" fontId="58" fillId="0" borderId="7" xfId="0" applyFont="1" applyBorder="1"/>
    <xf numFmtId="15" fontId="58" fillId="0" borderId="7" xfId="0" applyNumberFormat="1" applyFont="1" applyBorder="1"/>
    <xf numFmtId="0" fontId="58" fillId="0" borderId="7" xfId="0" applyFont="1" applyBorder="1" applyAlignment="1">
      <alignment horizontal="center"/>
    </xf>
    <xf numFmtId="0" fontId="58" fillId="7" borderId="7" xfId="0" applyFont="1" applyFill="1" applyBorder="1"/>
    <xf numFmtId="0" fontId="58" fillId="7" borderId="18" xfId="0" applyFont="1" applyFill="1" applyBorder="1"/>
    <xf numFmtId="0" fontId="58" fillId="11" borderId="7" xfId="0" applyFont="1" applyFill="1" applyBorder="1" applyAlignment="1">
      <alignment horizontal="center"/>
    </xf>
    <xf numFmtId="0" fontId="58" fillId="20" borderId="6" xfId="0" applyFont="1" applyFill="1" applyBorder="1"/>
    <xf numFmtId="0" fontId="58" fillId="20" borderId="7" xfId="0" applyFont="1" applyFill="1" applyBorder="1"/>
    <xf numFmtId="14" fontId="60" fillId="0" borderId="1" xfId="0" applyNumberFormat="1" applyFont="1" applyBorder="1"/>
    <xf numFmtId="15" fontId="60" fillId="0" borderId="1" xfId="0" applyNumberFormat="1" applyFont="1" applyBorder="1"/>
    <xf numFmtId="15" fontId="104" fillId="0" borderId="1" xfId="0" applyNumberFormat="1" applyFont="1" applyBorder="1"/>
    <xf numFmtId="0" fontId="60" fillId="0" borderId="1" xfId="0" applyFont="1" applyBorder="1"/>
    <xf numFmtId="0" fontId="60" fillId="0" borderId="1" xfId="3" applyFont="1" applyBorder="1" applyAlignment="1" applyProtection="1">
      <alignment horizontal="center" vertical="center" wrapText="1"/>
      <protection locked="0"/>
    </xf>
    <xf numFmtId="0" fontId="14" fillId="15" borderId="1" xfId="0" applyFont="1" applyFill="1" applyBorder="1" applyAlignment="1">
      <alignment horizontal="center" vertical="center" wrapText="1"/>
    </xf>
    <xf numFmtId="14" fontId="27" fillId="0" borderId="6" xfId="0" applyNumberFormat="1" applyFont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 vertical="center"/>
    </xf>
    <xf numFmtId="164" fontId="23" fillId="0" borderId="1" xfId="23" applyNumberFormat="1" applyFont="1" applyBorder="1" applyAlignment="1">
      <alignment horizontal="center" vertical="top" wrapText="1"/>
    </xf>
    <xf numFmtId="164" fontId="23" fillId="0" borderId="1" xfId="23" applyNumberFormat="1" applyFont="1" applyBorder="1" applyAlignment="1">
      <alignment horizontal="center" vertical="top"/>
    </xf>
    <xf numFmtId="164" fontId="27" fillId="0" borderId="1" xfId="23" applyNumberFormat="1" applyFont="1" applyBorder="1" applyAlignment="1">
      <alignment horizontal="center" vertical="center"/>
    </xf>
    <xf numFmtId="0" fontId="27" fillId="0" borderId="1" xfId="23" applyFont="1" applyBorder="1" applyAlignment="1">
      <alignment horizontal="center" vertical="center"/>
    </xf>
    <xf numFmtId="0" fontId="23" fillId="0" borderId="1" xfId="23" applyFont="1" applyBorder="1" applyAlignment="1">
      <alignment horizontal="center" vertical="top" wrapText="1"/>
    </xf>
    <xf numFmtId="0" fontId="27" fillId="0" borderId="1" xfId="23" applyFont="1" applyBorder="1" applyAlignment="1">
      <alignment horizontal="center" vertical="center" wrapText="1"/>
    </xf>
    <xf numFmtId="0" fontId="4" fillId="0" borderId="1" xfId="23" applyBorder="1" applyAlignment="1">
      <alignment horizontal="center"/>
    </xf>
    <xf numFmtId="0" fontId="23" fillId="0" borderId="2" xfId="23" applyFont="1" applyBorder="1" applyAlignment="1">
      <alignment horizontal="center" vertical="top" wrapText="1"/>
    </xf>
    <xf numFmtId="0" fontId="4" fillId="0" borderId="1" xfId="23" applyBorder="1"/>
    <xf numFmtId="15" fontId="23" fillId="0" borderId="2" xfId="23" applyNumberFormat="1" applyFont="1" applyBorder="1" applyAlignment="1">
      <alignment horizontal="center" vertical="top" wrapText="1"/>
    </xf>
    <xf numFmtId="0" fontId="27" fillId="0" borderId="2" xfId="23" applyFont="1" applyBorder="1" applyAlignment="1">
      <alignment horizontal="center" vertical="center"/>
    </xf>
    <xf numFmtId="14" fontId="4" fillId="0" borderId="1" xfId="23" applyNumberFormat="1" applyBorder="1"/>
    <xf numFmtId="0" fontId="23" fillId="0" borderId="1" xfId="23" applyFont="1" applyBorder="1" applyAlignment="1">
      <alignment horizontal="center" vertical="top"/>
    </xf>
    <xf numFmtId="0" fontId="23" fillId="0" borderId="2" xfId="23" applyFont="1" applyBorder="1" applyAlignment="1">
      <alignment horizontal="center" vertical="top"/>
    </xf>
    <xf numFmtId="0" fontId="23" fillId="0" borderId="3" xfId="23" applyFont="1" applyBorder="1" applyAlignment="1">
      <alignment horizontal="center" vertical="top" wrapText="1"/>
    </xf>
    <xf numFmtId="15" fontId="4" fillId="0" borderId="1" xfId="23" applyNumberFormat="1" applyBorder="1"/>
    <xf numFmtId="164" fontId="23" fillId="0" borderId="1" xfId="23" applyNumberFormat="1" applyFont="1" applyBorder="1" applyAlignment="1">
      <alignment horizontal="center" vertical="center"/>
    </xf>
    <xf numFmtId="164" fontId="23" fillId="0" borderId="1" xfId="23" applyNumberFormat="1" applyFont="1" applyBorder="1" applyAlignment="1">
      <alignment horizontal="center" vertical="center" wrapText="1"/>
    </xf>
    <xf numFmtId="164" fontId="23" fillId="21" borderId="1" xfId="23" applyNumberFormat="1" applyFont="1" applyFill="1" applyBorder="1" applyAlignment="1">
      <alignment horizontal="center" vertical="center"/>
    </xf>
    <xf numFmtId="0" fontId="23" fillId="0" borderId="1" xfId="23" applyFont="1" applyBorder="1" applyAlignment="1">
      <alignment horizontal="center" vertical="center" wrapText="1"/>
    </xf>
    <xf numFmtId="0" fontId="23" fillId="0" borderId="2" xfId="23" applyFont="1" applyBorder="1" applyAlignment="1">
      <alignment horizontal="center" vertical="center" wrapText="1"/>
    </xf>
    <xf numFmtId="0" fontId="23" fillId="0" borderId="3" xfId="23" applyFont="1" applyBorder="1" applyAlignment="1">
      <alignment horizontal="center" vertical="center" wrapText="1"/>
    </xf>
    <xf numFmtId="165" fontId="23" fillId="0" borderId="1" xfId="23" applyNumberFormat="1" applyFont="1" applyBorder="1" applyAlignment="1">
      <alignment horizontal="center" vertical="center" wrapText="1"/>
    </xf>
    <xf numFmtId="14" fontId="23" fillId="0" borderId="1" xfId="23" applyNumberFormat="1" applyFont="1" applyBorder="1" applyAlignment="1">
      <alignment horizontal="center" vertical="top"/>
    </xf>
    <xf numFmtId="14" fontId="23" fillId="0" borderId="1" xfId="23" applyNumberFormat="1" applyFont="1" applyBorder="1" applyAlignment="1">
      <alignment horizontal="center" vertical="top" wrapText="1"/>
    </xf>
    <xf numFmtId="14" fontId="29" fillId="0" borderId="1" xfId="23" applyNumberFormat="1" applyFont="1" applyBorder="1" applyAlignment="1">
      <alignment horizontal="center" vertical="center" wrapText="1"/>
    </xf>
    <xf numFmtId="164" fontId="11" fillId="21" borderId="3" xfId="0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wrapText="1"/>
    </xf>
    <xf numFmtId="15" fontId="103" fillId="0" borderId="1" xfId="0" applyNumberFormat="1" applyFont="1" applyBorder="1" applyAlignment="1">
      <alignment wrapText="1"/>
    </xf>
    <xf numFmtId="15" fontId="103" fillId="0" borderId="3" xfId="0" applyNumberFormat="1" applyFont="1" applyBorder="1" applyAlignment="1">
      <alignment wrapText="1"/>
    </xf>
    <xf numFmtId="0" fontId="58" fillId="0" borderId="18" xfId="0" applyFont="1" applyBorder="1" applyAlignment="1">
      <alignment horizontal="center"/>
    </xf>
    <xf numFmtId="0" fontId="58" fillId="0" borderId="18" xfId="0" applyFont="1" applyBorder="1" applyAlignment="1">
      <alignment horizontal="center" vertical="center"/>
    </xf>
    <xf numFmtId="0" fontId="58" fillId="11" borderId="18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vertical="center"/>
    </xf>
    <xf numFmtId="0" fontId="28" fillId="7" borderId="7" xfId="0" applyFont="1" applyFill="1" applyBorder="1" applyAlignment="1">
      <alignment vertical="center"/>
    </xf>
    <xf numFmtId="0" fontId="58" fillId="7" borderId="1" xfId="0" applyFont="1" applyFill="1" applyBorder="1" applyAlignment="1">
      <alignment vertical="center"/>
    </xf>
    <xf numFmtId="0" fontId="58" fillId="7" borderId="6" xfId="0" applyFont="1" applyFill="1" applyBorder="1" applyAlignment="1">
      <alignment vertical="center"/>
    </xf>
    <xf numFmtId="0" fontId="58" fillId="7" borderId="3" xfId="0" applyFont="1" applyFill="1" applyBorder="1" applyAlignment="1">
      <alignment vertical="center"/>
    </xf>
    <xf numFmtId="0" fontId="58" fillId="7" borderId="7" xfId="0" applyFont="1" applyFill="1" applyBorder="1" applyAlignment="1">
      <alignment vertical="center"/>
    </xf>
    <xf numFmtId="0" fontId="23" fillId="0" borderId="16" xfId="0" applyFont="1" applyBorder="1" applyAlignment="1">
      <alignment wrapText="1"/>
    </xf>
    <xf numFmtId="0" fontId="28" fillId="0" borderId="16" xfId="0" applyFont="1" applyBorder="1"/>
    <xf numFmtId="0" fontId="2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164" fontId="23" fillId="0" borderId="5" xfId="23" applyNumberFormat="1" applyFont="1" applyBorder="1" applyAlignment="1">
      <alignment horizontal="center" vertical="top" wrapText="1"/>
    </xf>
    <xf numFmtId="0" fontId="27" fillId="0" borderId="5" xfId="23" applyFont="1" applyBorder="1" applyAlignment="1">
      <alignment horizontal="center" vertical="center"/>
    </xf>
    <xf numFmtId="0" fontId="23" fillId="0" borderId="5" xfId="23" applyFont="1" applyBorder="1" applyAlignment="1">
      <alignment horizontal="center" vertical="top"/>
    </xf>
    <xf numFmtId="0" fontId="23" fillId="0" borderId="5" xfId="23" applyFont="1" applyBorder="1" applyAlignment="1">
      <alignment horizontal="center" vertical="top" wrapText="1"/>
    </xf>
    <xf numFmtId="0" fontId="23" fillId="0" borderId="12" xfId="23" applyFont="1" applyBorder="1" applyAlignment="1">
      <alignment horizontal="center" vertical="top"/>
    </xf>
    <xf numFmtId="0" fontId="4" fillId="0" borderId="5" xfId="23" applyBorder="1"/>
    <xf numFmtId="14" fontId="4" fillId="0" borderId="5" xfId="23" applyNumberFormat="1" applyBorder="1"/>
    <xf numFmtId="15" fontId="4" fillId="0" borderId="5" xfId="23" applyNumberFormat="1" applyBorder="1"/>
    <xf numFmtId="14" fontId="0" fillId="0" borderId="5" xfId="0" applyNumberFormat="1" applyBorder="1"/>
    <xf numFmtId="164" fontId="27" fillId="0" borderId="12" xfId="0" applyNumberFormat="1" applyFont="1" applyBorder="1" applyAlignment="1">
      <alignment horizontal="center" vertical="center" wrapText="1"/>
    </xf>
    <xf numFmtId="0" fontId="0" fillId="0" borderId="12" xfId="0" applyBorder="1"/>
    <xf numFmtId="164" fontId="68" fillId="0" borderId="3" xfId="0" applyNumberFormat="1" applyFont="1" applyBorder="1" applyAlignment="1">
      <alignment horizontal="center" vertical="center"/>
    </xf>
    <xf numFmtId="15" fontId="23" fillId="0" borderId="16" xfId="0" applyNumberFormat="1" applyFont="1" applyBorder="1" applyAlignment="1">
      <alignment horizontal="center" vertical="top" wrapText="1"/>
    </xf>
    <xf numFmtId="15" fontId="0" fillId="0" borderId="3" xfId="0" applyNumberFormat="1" applyBorder="1"/>
    <xf numFmtId="15" fontId="68" fillId="0" borderId="3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5" fontId="0" fillId="0" borderId="20" xfId="0" applyNumberForma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 wrapText="1"/>
    </xf>
    <xf numFmtId="0" fontId="68" fillId="0" borderId="20" xfId="0" applyFont="1" applyBorder="1" applyAlignment="1">
      <alignment horizontal="center" vertical="center"/>
    </xf>
    <xf numFmtId="164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5" fontId="0" fillId="0" borderId="20" xfId="0" applyNumberFormat="1" applyBorder="1"/>
    <xf numFmtId="14" fontId="0" fillId="0" borderId="3" xfId="0" applyNumberFormat="1" applyBorder="1"/>
    <xf numFmtId="164" fontId="99" fillId="7" borderId="1" xfId="24" applyNumberFormat="1" applyFont="1" applyFill="1" applyBorder="1" applyAlignment="1">
      <alignment horizontal="center" vertical="top"/>
    </xf>
    <xf numFmtId="0" fontId="11" fillId="0" borderId="2" xfId="24" applyFont="1" applyBorder="1" applyAlignment="1">
      <alignment horizontal="center" vertical="top" wrapText="1"/>
    </xf>
    <xf numFmtId="0" fontId="17" fillId="0" borderId="1" xfId="24" applyFont="1" applyBorder="1" applyAlignment="1">
      <alignment horizontal="center"/>
    </xf>
    <xf numFmtId="0" fontId="17" fillId="0" borderId="1" xfId="24" applyFont="1" applyBorder="1" applyAlignment="1">
      <alignment horizontal="center" vertical="center"/>
    </xf>
    <xf numFmtId="15" fontId="23" fillId="0" borderId="2" xfId="24" applyNumberFormat="1" applyFont="1" applyBorder="1" applyAlignment="1">
      <alignment horizontal="center" vertical="top" wrapText="1"/>
    </xf>
    <xf numFmtId="0" fontId="17" fillId="7" borderId="1" xfId="24" applyFont="1" applyFill="1" applyBorder="1" applyAlignment="1">
      <alignment horizontal="center"/>
    </xf>
    <xf numFmtId="0" fontId="17" fillId="7" borderId="1" xfId="24" applyFont="1" applyFill="1" applyBorder="1" applyAlignment="1">
      <alignment horizontal="center" vertical="center"/>
    </xf>
    <xf numFmtId="164" fontId="23" fillId="7" borderId="1" xfId="24" applyNumberFormat="1" applyFont="1" applyFill="1" applyBorder="1" applyAlignment="1">
      <alignment horizontal="center" vertical="top"/>
    </xf>
    <xf numFmtId="0" fontId="18" fillId="0" borderId="9" xfId="25" applyFont="1" applyBorder="1" applyAlignment="1">
      <alignment horizontal="center"/>
    </xf>
    <xf numFmtId="0" fontId="18" fillId="11" borderId="9" xfId="25" applyFont="1" applyFill="1" applyBorder="1" applyAlignment="1">
      <alignment horizontal="center"/>
    </xf>
    <xf numFmtId="15" fontId="27" fillId="0" borderId="1" xfId="25" applyNumberFormat="1" applyFont="1" applyBorder="1" applyAlignment="1">
      <alignment horizontal="center" vertical="center"/>
    </xf>
    <xf numFmtId="0" fontId="18" fillId="0" borderId="1" xfId="26" applyFont="1" applyBorder="1" applyAlignment="1">
      <alignment horizontal="center"/>
    </xf>
    <xf numFmtId="0" fontId="28" fillId="0" borderId="1" xfId="26" applyFont="1" applyBorder="1" applyAlignment="1">
      <alignment horizontal="center"/>
    </xf>
    <xf numFmtId="0" fontId="27" fillId="0" borderId="1" xfId="26" applyFont="1" applyBorder="1" applyAlignment="1">
      <alignment horizontal="center" vertical="center"/>
    </xf>
    <xf numFmtId="0" fontId="27" fillId="0" borderId="2" xfId="26" applyFont="1" applyBorder="1" applyAlignment="1">
      <alignment horizontal="center" vertical="center"/>
    </xf>
    <xf numFmtId="0" fontId="23" fillId="0" borderId="1" xfId="26" applyFont="1" applyBorder="1" applyAlignment="1">
      <alignment horizontal="center" vertical="top" wrapText="1"/>
    </xf>
    <xf numFmtId="0" fontId="2" fillId="0" borderId="1" xfId="26" applyBorder="1"/>
    <xf numFmtId="0" fontId="2" fillId="0" borderId="2" xfId="26" applyBorder="1" applyAlignment="1">
      <alignment horizontal="center"/>
    </xf>
    <xf numFmtId="14" fontId="2" fillId="0" borderId="1" xfId="26" applyNumberFormat="1" applyBorder="1"/>
    <xf numFmtId="16" fontId="2" fillId="0" borderId="1" xfId="26" applyNumberFormat="1" applyBorder="1"/>
    <xf numFmtId="0" fontId="2" fillId="0" borderId="1" xfId="26" applyBorder="1" applyAlignment="1">
      <alignment horizontal="center"/>
    </xf>
    <xf numFmtId="0" fontId="17" fillId="0" borderId="1" xfId="26" applyFont="1" applyBorder="1" applyAlignment="1">
      <alignment horizontal="center" vertical="center"/>
    </xf>
    <xf numFmtId="164" fontId="27" fillId="0" borderId="1" xfId="26" applyNumberFormat="1" applyFont="1" applyBorder="1" applyAlignment="1">
      <alignment horizontal="center" vertical="center"/>
    </xf>
    <xf numFmtId="15" fontId="2" fillId="0" borderId="1" xfId="26" applyNumberFormat="1" applyBorder="1"/>
    <xf numFmtId="15" fontId="13" fillId="0" borderId="4" xfId="26" applyNumberFormat="1" applyFont="1" applyBorder="1" applyAlignment="1">
      <alignment horizontal="center"/>
    </xf>
    <xf numFmtId="0" fontId="18" fillId="0" borderId="4" xfId="26" applyFont="1" applyBorder="1" applyAlignment="1">
      <alignment horizontal="center"/>
    </xf>
    <xf numFmtId="15" fontId="18" fillId="11" borderId="4" xfId="26" applyNumberFormat="1" applyFont="1" applyFill="1" applyBorder="1" applyAlignment="1">
      <alignment horizontal="center"/>
    </xf>
    <xf numFmtId="0" fontId="18" fillId="11" borderId="4" xfId="26" applyFont="1" applyFill="1" applyBorder="1" applyAlignment="1">
      <alignment horizontal="center"/>
    </xf>
    <xf numFmtId="14" fontId="43" fillId="11" borderId="4" xfId="26" applyNumberFormat="1" applyFont="1" applyFill="1" applyBorder="1" applyAlignment="1">
      <alignment horizontal="center" wrapText="1"/>
    </xf>
    <xf numFmtId="0" fontId="27" fillId="0" borderId="4" xfId="26" applyFont="1" applyBorder="1" applyAlignment="1">
      <alignment horizontal="center" vertical="center"/>
    </xf>
    <xf numFmtId="0" fontId="23" fillId="0" borderId="4" xfId="26" applyFont="1" applyBorder="1" applyAlignment="1">
      <alignment horizontal="center" vertical="top" wrapText="1"/>
    </xf>
    <xf numFmtId="0" fontId="23" fillId="0" borderId="6" xfId="26" applyFont="1" applyBorder="1" applyAlignment="1">
      <alignment horizontal="center" vertical="top" wrapText="1"/>
    </xf>
    <xf numFmtId="164" fontId="2" fillId="0" borderId="1" xfId="26" applyNumberFormat="1" applyBorder="1"/>
    <xf numFmtId="0" fontId="43" fillId="11" borderId="4" xfId="26" applyFont="1" applyFill="1" applyBorder="1" applyAlignment="1">
      <alignment horizontal="center" wrapText="1"/>
    </xf>
    <xf numFmtId="164" fontId="60" fillId="0" borderId="1" xfId="0" applyNumberFormat="1" applyFont="1" applyBorder="1"/>
    <xf numFmtId="14" fontId="104" fillId="0" borderId="1" xfId="0" applyNumberFormat="1" applyFont="1" applyBorder="1"/>
    <xf numFmtId="0" fontId="11" fillId="13" borderId="1" xfId="0" applyFont="1" applyFill="1" applyBorder="1" applyAlignment="1">
      <alignment horizontal="center" vertical="center" wrapText="1"/>
    </xf>
    <xf numFmtId="0" fontId="58" fillId="0" borderId="3" xfId="0" applyFont="1" applyBorder="1"/>
    <xf numFmtId="0" fontId="101" fillId="0" borderId="1" xfId="25" applyFont="1" applyBorder="1" applyAlignment="1">
      <alignment horizontal="center"/>
    </xf>
    <xf numFmtId="0" fontId="101" fillId="0" borderId="1" xfId="25" applyFont="1" applyBorder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55" fillId="13" borderId="4" xfId="0" applyFont="1" applyFill="1" applyBorder="1" applyAlignment="1">
      <alignment horizontal="center"/>
    </xf>
    <xf numFmtId="0" fontId="51" fillId="7" borderId="4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/>
    </xf>
    <xf numFmtId="0" fontId="55" fillId="7" borderId="4" xfId="0" applyFont="1" applyFill="1" applyBorder="1" applyAlignment="1">
      <alignment horizontal="center"/>
    </xf>
    <xf numFmtId="15" fontId="55" fillId="7" borderId="4" xfId="0" applyNumberFormat="1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 vertical="center"/>
    </xf>
    <xf numFmtId="0" fontId="73" fillId="7" borderId="4" xfId="0" applyFont="1" applyFill="1" applyBorder="1" applyAlignment="1">
      <alignment horizontal="center" vertical="center"/>
    </xf>
    <xf numFmtId="164" fontId="73" fillId="7" borderId="4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0" fontId="73" fillId="7" borderId="4" xfId="0" applyFont="1" applyFill="1" applyBorder="1" applyAlignment="1">
      <alignment horizontal="center"/>
    </xf>
    <xf numFmtId="14" fontId="11" fillId="7" borderId="4" xfId="0" applyNumberFormat="1" applyFont="1" applyFill="1" applyBorder="1" applyAlignment="1">
      <alignment horizontal="center"/>
    </xf>
    <xf numFmtId="15" fontId="19" fillId="7" borderId="4" xfId="0" applyNumberFormat="1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94" fillId="0" borderId="4" xfId="0" applyFont="1" applyBorder="1" applyAlignment="1">
      <alignment horizontal="center" vertical="center"/>
    </xf>
    <xf numFmtId="15" fontId="27" fillId="7" borderId="4" xfId="0" applyNumberFormat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5" fontId="0" fillId="7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55" fillId="7" borderId="4" xfId="0" applyFont="1" applyFill="1" applyBorder="1" applyAlignment="1">
      <alignment horizontal="center" vertical="center" wrapText="1"/>
    </xf>
    <xf numFmtId="0" fontId="54" fillId="7" borderId="5" xfId="0" applyFont="1" applyFill="1" applyBorder="1" applyAlignment="1">
      <alignment horizontal="center" vertical="center" wrapText="1"/>
    </xf>
    <xf numFmtId="0" fontId="55" fillId="13" borderId="5" xfId="0" applyFont="1" applyFill="1" applyBorder="1" applyAlignment="1">
      <alignment horizontal="center"/>
    </xf>
    <xf numFmtId="0" fontId="51" fillId="7" borderId="5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55" fillId="7" borderId="5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15" fontId="55" fillId="7" borderId="5" xfId="0" applyNumberFormat="1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vertical="center"/>
    </xf>
    <xf numFmtId="0" fontId="73" fillId="7" borderId="5" xfId="0" applyFont="1" applyFill="1" applyBorder="1" applyAlignment="1">
      <alignment horizontal="center" vertical="center"/>
    </xf>
    <xf numFmtId="0" fontId="73" fillId="7" borderId="21" xfId="0" applyFont="1" applyFill="1" applyBorder="1" applyAlignment="1">
      <alignment horizontal="center" vertical="center"/>
    </xf>
    <xf numFmtId="164" fontId="73" fillId="7" borderId="5" xfId="0" applyNumberFormat="1" applyFont="1" applyFill="1" applyBorder="1" applyAlignment="1">
      <alignment horizontal="center" vertical="center"/>
    </xf>
    <xf numFmtId="164" fontId="11" fillId="7" borderId="5" xfId="0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top" wrapText="1"/>
    </xf>
    <xf numFmtId="0" fontId="73" fillId="7" borderId="18" xfId="0" applyFont="1" applyFill="1" applyBorder="1" applyAlignment="1">
      <alignment horizontal="center" vertical="center"/>
    </xf>
    <xf numFmtId="0" fontId="73" fillId="7" borderId="12" xfId="0" applyFont="1" applyFill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15" fontId="11" fillId="7" borderId="5" xfId="0" applyNumberFormat="1" applyFont="1" applyFill="1" applyBorder="1" applyAlignment="1">
      <alignment horizontal="center"/>
    </xf>
    <xf numFmtId="164" fontId="68" fillId="0" borderId="21" xfId="0" applyNumberFormat="1" applyFont="1" applyBorder="1" applyAlignment="1">
      <alignment horizontal="center" vertical="center"/>
    </xf>
    <xf numFmtId="0" fontId="68" fillId="0" borderId="18" xfId="0" applyFont="1" applyBorder="1" applyAlignment="1">
      <alignment horizontal="center" vertical="center"/>
    </xf>
    <xf numFmtId="0" fontId="68" fillId="0" borderId="12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5" fontId="0" fillId="7" borderId="5" xfId="0" applyNumberForma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4" fontId="11" fillId="7" borderId="5" xfId="0" applyNumberFormat="1" applyFont="1" applyFill="1" applyBorder="1" applyAlignment="1">
      <alignment horizontal="center"/>
    </xf>
    <xf numFmtId="166" fontId="11" fillId="7" borderId="5" xfId="0" applyNumberFormat="1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 vertical="center"/>
    </xf>
    <xf numFmtId="0" fontId="55" fillId="13" borderId="5" xfId="0" applyFont="1" applyFill="1" applyBorder="1" applyAlignment="1">
      <alignment horizontal="center" vertical="center" wrapText="1"/>
    </xf>
    <xf numFmtId="0" fontId="55" fillId="7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15" fontId="11" fillId="7" borderId="5" xfId="0" applyNumberFormat="1" applyFont="1" applyFill="1" applyBorder="1" applyAlignment="1">
      <alignment horizontal="center" vertical="center"/>
    </xf>
    <xf numFmtId="164" fontId="73" fillId="7" borderId="14" xfId="0" applyNumberFormat="1" applyFont="1" applyFill="1" applyBorder="1" applyAlignment="1">
      <alignment horizontal="center" vertical="center"/>
    </xf>
    <xf numFmtId="14" fontId="11" fillId="7" borderId="3" xfId="0" applyNumberFormat="1" applyFont="1" applyFill="1" applyBorder="1" applyAlignment="1">
      <alignment horizontal="center" vertical="center"/>
    </xf>
    <xf numFmtId="0" fontId="73" fillId="7" borderId="7" xfId="0" applyFont="1" applyFill="1" applyBorder="1" applyAlignment="1">
      <alignment horizontal="center" vertical="center"/>
    </xf>
    <xf numFmtId="0" fontId="73" fillId="7" borderId="16" xfId="0" applyFont="1" applyFill="1" applyBorder="1" applyAlignment="1">
      <alignment horizontal="center"/>
    </xf>
    <xf numFmtId="164" fontId="11" fillId="7" borderId="7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vertical="center"/>
    </xf>
    <xf numFmtId="0" fontId="55" fillId="7" borderId="3" xfId="0" applyFont="1" applyFill="1" applyBorder="1" applyAlignment="1">
      <alignment horizontal="center" wrapText="1"/>
    </xf>
    <xf numFmtId="15" fontId="11" fillId="7" borderId="3" xfId="0" applyNumberFormat="1" applyFont="1" applyFill="1" applyBorder="1" applyAlignment="1">
      <alignment horizontal="center"/>
    </xf>
    <xf numFmtId="15" fontId="11" fillId="7" borderId="3" xfId="0" applyNumberFormat="1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68" fillId="0" borderId="16" xfId="0" applyFont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/>
    </xf>
    <xf numFmtId="0" fontId="55" fillId="7" borderId="3" xfId="0" applyFont="1" applyFill="1" applyBorder="1" applyAlignment="1">
      <alignment horizontal="center" vertical="center" wrapText="1"/>
    </xf>
    <xf numFmtId="164" fontId="27" fillId="0" borderId="3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06" fillId="0" borderId="0" xfId="0" applyFont="1"/>
    <xf numFmtId="165" fontId="52" fillId="0" borderId="1" xfId="0" applyNumberFormat="1" applyFont="1" applyBorder="1" applyAlignment="1">
      <alignment horizontal="center" vertical="center" wrapText="1"/>
    </xf>
    <xf numFmtId="14" fontId="11" fillId="7" borderId="6" xfId="0" applyNumberFormat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68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27" fillId="0" borderId="12" xfId="0" applyNumberFormat="1" applyFont="1" applyBorder="1" applyAlignment="1">
      <alignment horizontal="center" vertical="center"/>
    </xf>
    <xf numFmtId="15" fontId="105" fillId="7" borderId="1" xfId="2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/>
    </xf>
    <xf numFmtId="0" fontId="23" fillId="0" borderId="16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center" vertical="center"/>
    </xf>
    <xf numFmtId="0" fontId="17" fillId="0" borderId="3" xfId="0" applyFont="1" applyBorder="1"/>
    <xf numFmtId="164" fontId="17" fillId="0" borderId="3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16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49" fillId="15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8" fillId="0" borderId="9" xfId="24" applyFont="1" applyBorder="1" applyAlignment="1">
      <alignment horizontal="center" vertical="center"/>
    </xf>
    <xf numFmtId="0" fontId="17" fillId="0" borderId="9" xfId="24" applyFont="1" applyBorder="1" applyAlignment="1">
      <alignment horizontal="center" vertical="center"/>
    </xf>
    <xf numFmtId="0" fontId="17" fillId="0" borderId="5" xfId="24" applyFont="1" applyBorder="1" applyAlignment="1">
      <alignment horizontal="center" vertical="center"/>
    </xf>
    <xf numFmtId="0" fontId="0" fillId="7" borderId="5" xfId="0" applyFill="1" applyBorder="1"/>
    <xf numFmtId="0" fontId="17" fillId="7" borderId="5" xfId="24" applyFont="1" applyFill="1" applyBorder="1" applyAlignment="1">
      <alignment horizontal="center" vertical="center"/>
    </xf>
    <xf numFmtId="0" fontId="18" fillId="0" borderId="1" xfId="24" applyFont="1" applyBorder="1" applyAlignment="1">
      <alignment horizontal="center" vertical="center"/>
    </xf>
    <xf numFmtId="0" fontId="95" fillId="13" borderId="1" xfId="0" applyFont="1" applyFill="1" applyBorder="1"/>
    <xf numFmtId="15" fontId="28" fillId="0" borderId="1" xfId="26" applyNumberFormat="1" applyFont="1" applyBorder="1" applyAlignment="1">
      <alignment horizontal="center"/>
    </xf>
    <xf numFmtId="14" fontId="11" fillId="7" borderId="5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28" fillId="7" borderId="4" xfId="0" applyFont="1" applyFill="1" applyBorder="1"/>
    <xf numFmtId="0" fontId="28" fillId="7" borderId="17" xfId="0" applyFont="1" applyFill="1" applyBorder="1"/>
    <xf numFmtId="0" fontId="107" fillId="0" borderId="1" xfId="0" applyFont="1" applyBorder="1" applyAlignment="1">
      <alignment horizontal="center"/>
    </xf>
    <xf numFmtId="0" fontId="55" fillId="7" borderId="9" xfId="0" applyFont="1" applyFill="1" applyBorder="1" applyAlignment="1">
      <alignment horizontal="center" vertical="center" wrapText="1"/>
    </xf>
    <xf numFmtId="0" fontId="18" fillId="0" borderId="9" xfId="0" applyFont="1" applyBorder="1"/>
    <xf numFmtId="0" fontId="11" fillId="7" borderId="9" xfId="0" applyFont="1" applyFill="1" applyBorder="1" applyAlignment="1">
      <alignment horizontal="center" vertical="center"/>
    </xf>
    <xf numFmtId="0" fontId="0" fillId="0" borderId="9" xfId="0" applyBorder="1"/>
    <xf numFmtId="15" fontId="23" fillId="0" borderId="2" xfId="0" applyNumberFormat="1" applyFont="1" applyBorder="1" applyAlignment="1">
      <alignment horizontal="center" vertical="top"/>
    </xf>
    <xf numFmtId="0" fontId="0" fillId="15" borderId="1" xfId="0" applyFill="1" applyBorder="1" applyAlignment="1">
      <alignment horizontal="center" vertical="center"/>
    </xf>
    <xf numFmtId="0" fontId="68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164" fontId="27" fillId="15" borderId="2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77" fillId="15" borderId="1" xfId="0" applyFont="1" applyFill="1" applyBorder="1" applyAlignment="1">
      <alignment horizontal="center" vertical="center"/>
    </xf>
    <xf numFmtId="0" fontId="90" fillId="15" borderId="1" xfId="0" applyFont="1" applyFill="1" applyBorder="1" applyAlignment="1">
      <alignment horizontal="center" vertical="center" wrapText="1"/>
    </xf>
    <xf numFmtId="0" fontId="71" fillId="15" borderId="1" xfId="0" applyFont="1" applyFill="1" applyBorder="1" applyAlignment="1">
      <alignment horizontal="center" vertical="center"/>
    </xf>
    <xf numFmtId="0" fontId="91" fillId="15" borderId="1" xfId="0" applyFont="1" applyFill="1" applyBorder="1" applyAlignment="1">
      <alignment horizontal="center" vertical="center"/>
    </xf>
    <xf numFmtId="164" fontId="77" fillId="15" borderId="1" xfId="0" applyNumberFormat="1" applyFont="1" applyFill="1" applyBorder="1" applyAlignment="1">
      <alignment horizontal="center" vertical="center"/>
    </xf>
    <xf numFmtId="0" fontId="72" fillId="15" borderId="1" xfId="0" applyFont="1" applyFill="1" applyBorder="1" applyAlignment="1">
      <alignment horizontal="center" vertical="center"/>
    </xf>
    <xf numFmtId="0" fontId="68" fillId="15" borderId="1" xfId="0" applyFont="1" applyFill="1" applyBorder="1" applyAlignment="1">
      <alignment horizontal="center" vertical="center" wrapText="1"/>
    </xf>
    <xf numFmtId="164" fontId="28" fillId="15" borderId="1" xfId="0" applyNumberFormat="1" applyFont="1" applyFill="1" applyBorder="1" applyAlignment="1">
      <alignment horizontal="center" vertical="center"/>
    </xf>
    <xf numFmtId="164" fontId="68" fillId="15" borderId="1" xfId="0" applyNumberFormat="1" applyFont="1" applyFill="1" applyBorder="1" applyAlignment="1">
      <alignment horizontal="center" vertical="center"/>
    </xf>
    <xf numFmtId="0" fontId="72" fillId="15" borderId="1" xfId="0" applyFont="1" applyFill="1" applyBorder="1" applyAlignment="1">
      <alignment horizontal="center"/>
    </xf>
    <xf numFmtId="164" fontId="68" fillId="15" borderId="2" xfId="0" applyNumberFormat="1" applyFont="1" applyFill="1" applyBorder="1" applyAlignment="1">
      <alignment horizontal="center" vertical="center" wrapText="1"/>
    </xf>
    <xf numFmtId="0" fontId="72" fillId="15" borderId="1" xfId="0" applyFont="1" applyFill="1" applyBorder="1"/>
    <xf numFmtId="0" fontId="72" fillId="15" borderId="2" xfId="0" applyFont="1" applyFill="1" applyBorder="1"/>
    <xf numFmtId="165" fontId="0" fillId="0" borderId="0" xfId="0" applyNumberFormat="1"/>
    <xf numFmtId="165" fontId="0" fillId="0" borderId="4" xfId="0" applyNumberForma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5" fontId="52" fillId="7" borderId="1" xfId="0" applyNumberFormat="1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/>
    </xf>
    <xf numFmtId="0" fontId="18" fillId="0" borderId="5" xfId="0" applyFont="1" applyBorder="1"/>
    <xf numFmtId="15" fontId="0" fillId="7" borderId="5" xfId="0" applyNumberFormat="1" applyFill="1" applyBorder="1"/>
    <xf numFmtId="0" fontId="14" fillId="0" borderId="0" xfId="0" applyFont="1" applyAlignment="1">
      <alignment wrapText="1"/>
    </xf>
    <xf numFmtId="0" fontId="55" fillId="7" borderId="20" xfId="0" applyFont="1" applyFill="1" applyBorder="1" applyAlignment="1">
      <alignment horizontal="center" vertical="center" wrapText="1"/>
    </xf>
    <xf numFmtId="0" fontId="18" fillId="0" borderId="20" xfId="0" applyFont="1" applyBorder="1"/>
    <xf numFmtId="164" fontId="68" fillId="0" borderId="20" xfId="0" applyNumberFormat="1" applyFont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0" fillId="7" borderId="1" xfId="0" applyFill="1" applyBorder="1"/>
    <xf numFmtId="15" fontId="0" fillId="7" borderId="1" xfId="0" applyNumberFormat="1" applyFill="1" applyBorder="1" applyAlignment="1">
      <alignment vertical="center"/>
    </xf>
    <xf numFmtId="15" fontId="0" fillId="7" borderId="1" xfId="0" applyNumberFormat="1" applyFill="1" applyBorder="1"/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3" xfId="0" applyNumberFormat="1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5" fontId="0" fillId="7" borderId="3" xfId="0" applyNumberFormat="1" applyFill="1" applyBorder="1" applyAlignment="1">
      <alignment horizontal="center" vertical="center"/>
    </xf>
    <xf numFmtId="15" fontId="0" fillId="7" borderId="9" xfId="0" applyNumberFormat="1" applyFill="1" applyBorder="1" applyAlignment="1">
      <alignment horizontal="center" vertical="center"/>
    </xf>
    <xf numFmtId="0" fontId="54" fillId="7" borderId="2" xfId="0" applyFont="1" applyFill="1" applyBorder="1" applyAlignment="1">
      <alignment horizontal="center" vertical="center" wrapText="1"/>
    </xf>
    <xf numFmtId="0" fontId="50" fillId="7" borderId="5" xfId="0" applyFont="1" applyFill="1" applyBorder="1" applyAlignment="1">
      <alignment horizontal="center" vertical="center"/>
    </xf>
    <xf numFmtId="0" fontId="50" fillId="7" borderId="5" xfId="0" applyFont="1" applyFill="1" applyBorder="1" applyAlignment="1">
      <alignment horizontal="center" vertical="center" wrapText="1"/>
    </xf>
    <xf numFmtId="0" fontId="51" fillId="7" borderId="5" xfId="0" applyFont="1" applyFill="1" applyBorder="1" applyAlignment="1">
      <alignment horizontal="center" vertical="center" wrapText="1"/>
    </xf>
    <xf numFmtId="0" fontId="52" fillId="7" borderId="5" xfId="0" applyFont="1" applyFill="1" applyBorder="1" applyAlignment="1">
      <alignment horizontal="center" vertical="center" wrapText="1"/>
    </xf>
    <xf numFmtId="0" fontId="85" fillId="7" borderId="5" xfId="0" applyFont="1" applyFill="1" applyBorder="1" applyAlignment="1">
      <alignment horizontal="center" vertical="center" wrapText="1"/>
    </xf>
    <xf numFmtId="164" fontId="85" fillId="7" borderId="5" xfId="0" applyNumberFormat="1" applyFont="1" applyFill="1" applyBorder="1" applyAlignment="1">
      <alignment horizontal="center" vertical="center" wrapText="1"/>
    </xf>
    <xf numFmtId="164" fontId="52" fillId="7" borderId="5" xfId="0" applyNumberFormat="1" applyFont="1" applyFill="1" applyBorder="1" applyAlignment="1">
      <alignment horizontal="center" vertical="center" wrapText="1"/>
    </xf>
    <xf numFmtId="0" fontId="53" fillId="7" borderId="5" xfId="0" applyFont="1" applyFill="1" applyBorder="1" applyAlignment="1">
      <alignment horizontal="center" vertical="center" wrapText="1"/>
    </xf>
    <xf numFmtId="0" fontId="52" fillId="7" borderId="12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55" fillId="13" borderId="9" xfId="0" applyFont="1" applyFill="1" applyBorder="1" applyAlignment="1">
      <alignment horizontal="center"/>
    </xf>
    <xf numFmtId="0" fontId="51" fillId="7" borderId="9" xfId="0" applyFont="1" applyFill="1" applyBorder="1" applyAlignment="1">
      <alignment horizontal="center" wrapText="1"/>
    </xf>
    <xf numFmtId="0" fontId="11" fillId="7" borderId="9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/>
    </xf>
    <xf numFmtId="0" fontId="55" fillId="7" borderId="9" xfId="0" applyFont="1" applyFill="1" applyBorder="1" applyAlignment="1">
      <alignment horizontal="center"/>
    </xf>
    <xf numFmtId="15" fontId="19" fillId="7" borderId="9" xfId="0" applyNumberFormat="1" applyFont="1" applyFill="1" applyBorder="1" applyAlignment="1">
      <alignment horizontal="center"/>
    </xf>
    <xf numFmtId="0" fontId="73" fillId="7" borderId="9" xfId="0" applyFont="1" applyFill="1" applyBorder="1" applyAlignment="1">
      <alignment horizontal="center" vertical="center"/>
    </xf>
    <xf numFmtId="164" fontId="73" fillId="7" borderId="9" xfId="0" applyNumberFormat="1" applyFont="1" applyFill="1" applyBorder="1" applyAlignment="1">
      <alignment horizontal="center" vertical="center"/>
    </xf>
    <xf numFmtId="164" fontId="11" fillId="7" borderId="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73" fillId="7" borderId="9" xfId="0" applyFont="1" applyFill="1" applyBorder="1" applyAlignment="1">
      <alignment horizontal="center"/>
    </xf>
    <xf numFmtId="14" fontId="11" fillId="7" borderId="9" xfId="0" applyNumberFormat="1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5" fontId="73" fillId="7" borderId="5" xfId="0" applyNumberFormat="1" applyFont="1" applyFill="1" applyBorder="1" applyAlignment="1">
      <alignment horizontal="center" vertical="center"/>
    </xf>
    <xf numFmtId="15" fontId="73" fillId="7" borderId="21" xfId="0" applyNumberFormat="1" applyFont="1" applyFill="1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15" fontId="0" fillId="7" borderId="18" xfId="0" applyNumberFormat="1" applyFill="1" applyBorder="1" applyAlignment="1">
      <alignment horizontal="center" vertical="center"/>
    </xf>
    <xf numFmtId="0" fontId="59" fillId="7" borderId="5" xfId="0" applyFont="1" applyFill="1" applyBorder="1" applyAlignment="1">
      <alignment horizontal="center" vertical="center" wrapText="1"/>
    </xf>
    <xf numFmtId="0" fontId="55" fillId="7" borderId="5" xfId="0" applyFont="1" applyFill="1" applyBorder="1" applyAlignment="1">
      <alignment horizontal="center" vertical="center"/>
    </xf>
    <xf numFmtId="164" fontId="55" fillId="7" borderId="5" xfId="0" applyNumberFormat="1" applyFont="1" applyFill="1" applyBorder="1" applyAlignment="1">
      <alignment horizontal="center" vertical="center"/>
    </xf>
    <xf numFmtId="14" fontId="11" fillId="7" borderId="5" xfId="0" applyNumberFormat="1" applyFont="1" applyFill="1" applyBorder="1" applyAlignment="1">
      <alignment horizontal="center"/>
    </xf>
    <xf numFmtId="0" fontId="55" fillId="7" borderId="5" xfId="0" applyFont="1" applyFill="1" applyBorder="1" applyAlignment="1">
      <alignment horizontal="center" vertical="top"/>
    </xf>
    <xf numFmtId="0" fontId="55" fillId="7" borderId="5" xfId="0" applyFont="1" applyFill="1" applyBorder="1" applyAlignment="1">
      <alignment horizontal="center" wrapText="1"/>
    </xf>
    <xf numFmtId="164" fontId="73" fillId="7" borderId="21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top"/>
    </xf>
    <xf numFmtId="167" fontId="73" fillId="7" borderId="5" xfId="0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164" fontId="23" fillId="7" borderId="5" xfId="0" applyNumberFormat="1" applyFont="1" applyFill="1" applyBorder="1" applyAlignment="1">
      <alignment horizontal="center" vertical="center"/>
    </xf>
    <xf numFmtId="14" fontId="73" fillId="7" borderId="12" xfId="0" applyNumberFormat="1" applyFont="1" applyFill="1" applyBorder="1" applyAlignment="1">
      <alignment horizontal="center"/>
    </xf>
    <xf numFmtId="14" fontId="0" fillId="7" borderId="5" xfId="0" applyNumberFormat="1" applyFill="1" applyBorder="1" applyAlignment="1">
      <alignment horizontal="center"/>
    </xf>
    <xf numFmtId="164" fontId="11" fillId="7" borderId="18" xfId="0" applyNumberFormat="1" applyFon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/>
    </xf>
    <xf numFmtId="167" fontId="11" fillId="7" borderId="5" xfId="0" applyNumberFormat="1" applyFont="1" applyFill="1" applyBorder="1" applyAlignment="1">
      <alignment horizontal="center" vertical="center"/>
    </xf>
    <xf numFmtId="0" fontId="55" fillId="7" borderId="5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horizontal="center" vertical="center"/>
    </xf>
    <xf numFmtId="14" fontId="73" fillId="7" borderId="21" xfId="0" applyNumberFormat="1" applyFont="1" applyFill="1" applyBorder="1" applyAlignment="1">
      <alignment horizontal="center"/>
    </xf>
    <xf numFmtId="0" fontId="73" fillId="7" borderId="5" xfId="2" applyFont="1" applyFill="1" applyBorder="1" applyAlignment="1">
      <alignment horizontal="center" vertical="center"/>
    </xf>
    <xf numFmtId="164" fontId="73" fillId="7" borderId="5" xfId="2" applyNumberFormat="1" applyFont="1" applyFill="1" applyBorder="1" applyAlignment="1">
      <alignment horizontal="center" vertical="center"/>
    </xf>
    <xf numFmtId="164" fontId="11" fillId="7" borderId="5" xfId="2" applyNumberFormat="1" applyFont="1" applyFill="1" applyBorder="1" applyAlignment="1">
      <alignment horizontal="center" vertical="center"/>
    </xf>
    <xf numFmtId="0" fontId="73" fillId="7" borderId="18" xfId="2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wrapText="1"/>
    </xf>
    <xf numFmtId="164" fontId="56" fillId="7" borderId="5" xfId="0" applyNumberFormat="1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14" fontId="27" fillId="0" borderId="9" xfId="0" applyNumberFormat="1" applyFont="1" applyBorder="1" applyAlignment="1">
      <alignment horizontal="center" vertical="center"/>
    </xf>
    <xf numFmtId="14" fontId="0" fillId="7" borderId="9" xfId="0" applyNumberFormat="1" applyFill="1" applyBorder="1" applyAlignment="1">
      <alignment horizontal="center" vertical="center"/>
    </xf>
    <xf numFmtId="164" fontId="68" fillId="7" borderId="5" xfId="0" applyNumberFormat="1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 wrapText="1"/>
    </xf>
    <xf numFmtId="0" fontId="73" fillId="7" borderId="14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top" wrapText="1"/>
    </xf>
    <xf numFmtId="14" fontId="0" fillId="0" borderId="7" xfId="0" applyNumberFormat="1" applyBorder="1" applyAlignment="1">
      <alignment horizontal="center"/>
    </xf>
    <xf numFmtId="15" fontId="73" fillId="7" borderId="14" xfId="0" applyNumberFormat="1" applyFont="1" applyFill="1" applyBorder="1" applyAlignment="1">
      <alignment horizontal="center" vertical="center"/>
    </xf>
    <xf numFmtId="15" fontId="73" fillId="7" borderId="3" xfId="0" applyNumberFormat="1" applyFont="1" applyFill="1" applyBorder="1" applyAlignment="1">
      <alignment horizontal="center" vertical="center"/>
    </xf>
    <xf numFmtId="0" fontId="58" fillId="7" borderId="3" xfId="0" applyFont="1" applyFill="1" applyBorder="1" applyAlignment="1">
      <alignment horizontal="center" vertical="center"/>
    </xf>
    <xf numFmtId="166" fontId="11" fillId="7" borderId="3" xfId="0" applyNumberFormat="1" applyFont="1" applyFill="1" applyBorder="1" applyAlignment="1">
      <alignment horizontal="center"/>
    </xf>
    <xf numFmtId="15" fontId="0" fillId="7" borderId="7" xfId="0" applyNumberFormat="1" applyFill="1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11" fillId="14" borderId="3" xfId="0" applyFont="1" applyFill="1" applyBorder="1" applyAlignment="1">
      <alignment horizontal="center" vertical="center" wrapText="1"/>
    </xf>
    <xf numFmtId="0" fontId="55" fillId="7" borderId="3" xfId="0" applyFont="1" applyFill="1" applyBorder="1" applyAlignment="1">
      <alignment horizontal="center" vertical="center"/>
    </xf>
    <xf numFmtId="164" fontId="55" fillId="7" borderId="3" xfId="0" applyNumberFormat="1" applyFont="1" applyFill="1" applyBorder="1" applyAlignment="1">
      <alignment horizontal="center" vertical="center"/>
    </xf>
    <xf numFmtId="15" fontId="19" fillId="7" borderId="3" xfId="0" applyNumberFormat="1" applyFont="1" applyFill="1" applyBorder="1" applyAlignment="1">
      <alignment horizontal="center"/>
    </xf>
    <xf numFmtId="0" fontId="52" fillId="7" borderId="3" xfId="0" applyFont="1" applyFill="1" applyBorder="1" applyAlignment="1">
      <alignment horizontal="center" vertical="center" wrapText="1"/>
    </xf>
    <xf numFmtId="15" fontId="11" fillId="7" borderId="7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top"/>
    </xf>
    <xf numFmtId="14" fontId="0" fillId="7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73" fillId="7" borderId="16" xfId="0" applyNumberFormat="1" applyFont="1" applyFill="1" applyBorder="1" applyAlignment="1">
      <alignment horizontal="center"/>
    </xf>
    <xf numFmtId="167" fontId="11" fillId="7" borderId="3" xfId="0" applyNumberFormat="1" applyFont="1" applyFill="1" applyBorder="1" applyAlignment="1">
      <alignment horizontal="center" vertical="center"/>
    </xf>
    <xf numFmtId="14" fontId="73" fillId="7" borderId="14" xfId="0" applyNumberFormat="1" applyFont="1" applyFill="1" applyBorder="1" applyAlignment="1">
      <alignment horizontal="center"/>
    </xf>
    <xf numFmtId="167" fontId="73" fillId="7" borderId="14" xfId="0" applyNumberFormat="1" applyFont="1" applyFill="1" applyBorder="1" applyAlignment="1">
      <alignment horizontal="center" vertical="center"/>
    </xf>
    <xf numFmtId="167" fontId="73" fillId="7" borderId="3" xfId="0" applyNumberFormat="1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wrapText="1"/>
    </xf>
    <xf numFmtId="164" fontId="56" fillId="7" borderId="3" xfId="0" applyNumberFormat="1" applyFont="1" applyFill="1" applyBorder="1" applyAlignment="1">
      <alignment horizontal="center" vertical="center" wrapText="1"/>
    </xf>
    <xf numFmtId="14" fontId="11" fillId="7" borderId="7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5" fontId="0" fillId="7" borderId="20" xfId="0" applyNumberFormat="1" applyFill="1" applyBorder="1" applyAlignment="1">
      <alignment horizontal="center" vertical="center"/>
    </xf>
    <xf numFmtId="0" fontId="0" fillId="0" borderId="20" xfId="0" applyBorder="1"/>
    <xf numFmtId="0" fontId="107" fillId="0" borderId="3" xfId="0" applyFont="1" applyBorder="1" applyAlignment="1">
      <alignment horizontal="center"/>
    </xf>
    <xf numFmtId="0" fontId="92" fillId="7" borderId="1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15" fontId="4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94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7" borderId="20" xfId="0" applyFont="1" applyFill="1" applyBorder="1" applyAlignment="1">
      <alignment horizontal="center"/>
    </xf>
    <xf numFmtId="15" fontId="27" fillId="7" borderId="20" xfId="0" applyNumberFormat="1" applyFont="1" applyFill="1" applyBorder="1" applyAlignment="1">
      <alignment horizontal="center" vertical="center"/>
    </xf>
    <xf numFmtId="164" fontId="11" fillId="7" borderId="20" xfId="0" applyNumberFormat="1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7" fillId="7" borderId="20" xfId="0" applyFont="1" applyFill="1" applyBorder="1" applyAlignment="1">
      <alignment horizontal="center" vertical="center"/>
    </xf>
    <xf numFmtId="15" fontId="27" fillId="0" borderId="20" xfId="0" applyNumberFormat="1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66" fontId="11" fillId="7" borderId="3" xfId="0" applyNumberFormat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left"/>
    </xf>
    <xf numFmtId="14" fontId="23" fillId="0" borderId="16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15" fontId="27" fillId="0" borderId="0" xfId="0" applyNumberFormat="1" applyFont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  <xf numFmtId="0" fontId="0" fillId="0" borderId="13" xfId="0" applyBorder="1"/>
    <xf numFmtId="0" fontId="21" fillId="0" borderId="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08" fillId="0" borderId="23" xfId="0" quotePrefix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7" fillId="12" borderId="4" xfId="0" applyFont="1" applyFill="1" applyBorder="1" applyAlignment="1">
      <alignment readingOrder="1"/>
    </xf>
    <xf numFmtId="0" fontId="17" fillId="12" borderId="22" xfId="0" applyFont="1" applyFill="1" applyBorder="1" applyAlignment="1">
      <alignment readingOrder="1"/>
    </xf>
    <xf numFmtId="0" fontId="17" fillId="0" borderId="4" xfId="0" applyFont="1" applyBorder="1" applyAlignment="1">
      <alignment readingOrder="1"/>
    </xf>
    <xf numFmtId="0" fontId="17" fillId="0" borderId="22" xfId="0" applyFont="1" applyBorder="1" applyAlignment="1">
      <alignment readingOrder="1"/>
    </xf>
    <xf numFmtId="0" fontId="110" fillId="22" borderId="24" xfId="0" applyFont="1" applyFill="1" applyBorder="1" applyAlignment="1">
      <alignment horizontal="center" vertical="center" wrapText="1"/>
    </xf>
    <xf numFmtId="0" fontId="110" fillId="22" borderId="25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64" fontId="23" fillId="21" borderId="1" xfId="0" applyNumberFormat="1" applyFont="1" applyFill="1" applyBorder="1" applyAlignment="1">
      <alignment horizontal="center" vertical="center"/>
    </xf>
    <xf numFmtId="14" fontId="52" fillId="0" borderId="1" xfId="0" applyNumberFormat="1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/>
    </xf>
    <xf numFmtId="0" fontId="51" fillId="7" borderId="3" xfId="0" applyFont="1" applyFill="1" applyBorder="1" applyAlignment="1">
      <alignment horizontal="center" vertical="center" wrapText="1"/>
    </xf>
    <xf numFmtId="15" fontId="55" fillId="7" borderId="3" xfId="0" applyNumberFormat="1" applyFont="1" applyFill="1" applyBorder="1" applyAlignment="1">
      <alignment horizontal="center" vertical="center"/>
    </xf>
    <xf numFmtId="15" fontId="55" fillId="7" borderId="1" xfId="0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51" fillId="7" borderId="17" xfId="0" applyFont="1" applyFill="1" applyBorder="1" applyAlignment="1">
      <alignment horizontal="center" vertical="center" wrapText="1"/>
    </xf>
    <xf numFmtId="14" fontId="13" fillId="11" borderId="7" xfId="0" applyNumberFormat="1" applyFont="1" applyFill="1" applyBorder="1"/>
    <xf numFmtId="14" fontId="41" fillId="11" borderId="7" xfId="0" applyNumberFormat="1" applyFont="1" applyFill="1" applyBorder="1"/>
    <xf numFmtId="14" fontId="41" fillId="0" borderId="7" xfId="0" applyNumberFormat="1" applyFont="1" applyBorder="1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15" fontId="11" fillId="0" borderId="4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10" fillId="15" borderId="1" xfId="0" applyFont="1" applyFill="1" applyBorder="1" applyAlignment="1">
      <alignment horizontal="center" vertical="center" wrapText="1"/>
    </xf>
    <xf numFmtId="0" fontId="0" fillId="0" borderId="6" xfId="0" applyBorder="1"/>
    <xf numFmtId="164" fontId="0" fillId="0" borderId="6" xfId="0" applyNumberFormat="1" applyBorder="1"/>
    <xf numFmtId="164" fontId="10" fillId="0" borderId="5" xfId="0" applyNumberFormat="1" applyFon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15" fontId="0" fillId="0" borderId="9" xfId="0" applyNumberFormat="1" applyBorder="1"/>
    <xf numFmtId="0" fontId="55" fillId="18" borderId="3" xfId="0" applyFont="1" applyFill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wrapText="1"/>
    </xf>
    <xf numFmtId="0" fontId="17" fillId="0" borderId="3" xfId="24" applyFont="1" applyBorder="1" applyAlignment="1">
      <alignment horizontal="center" vertical="center"/>
    </xf>
    <xf numFmtId="0" fontId="17" fillId="0" borderId="3" xfId="24" applyFont="1" applyBorder="1" applyAlignment="1">
      <alignment horizontal="center"/>
    </xf>
    <xf numFmtId="0" fontId="17" fillId="7" borderId="3" xfId="24" applyFont="1" applyFill="1" applyBorder="1" applyAlignment="1">
      <alignment horizontal="center" vertical="center"/>
    </xf>
    <xf numFmtId="15" fontId="105" fillId="7" borderId="3" xfId="24" applyNumberFormat="1" applyFont="1" applyFill="1" applyBorder="1" applyAlignment="1">
      <alignment horizontal="center" vertical="center"/>
    </xf>
    <xf numFmtId="0" fontId="17" fillId="7" borderId="3" xfId="24" applyFont="1" applyFill="1" applyBorder="1" applyAlignment="1">
      <alignment horizontal="center"/>
    </xf>
    <xf numFmtId="164" fontId="99" fillId="7" borderId="3" xfId="24" applyNumberFormat="1" applyFont="1" applyFill="1" applyBorder="1" applyAlignment="1">
      <alignment horizontal="center" vertical="top"/>
    </xf>
    <xf numFmtId="164" fontId="27" fillId="0" borderId="4" xfId="0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14" fontId="0" fillId="7" borderId="20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98" fillId="7" borderId="1" xfId="0" applyFont="1" applyFill="1" applyBorder="1" applyAlignment="1">
      <alignment horizontal="center" vertical="center"/>
    </xf>
    <xf numFmtId="15" fontId="11" fillId="7" borderId="4" xfId="0" applyNumberFormat="1" applyFont="1" applyFill="1" applyBorder="1" applyAlignment="1">
      <alignment horizontal="center"/>
    </xf>
    <xf numFmtId="0" fontId="58" fillId="7" borderId="1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7" fillId="0" borderId="4" xfId="0" applyFont="1" applyBorder="1" applyAlignment="1">
      <alignment horizontal="center" vertical="center" wrapText="1"/>
    </xf>
    <xf numFmtId="164" fontId="67" fillId="0" borderId="4" xfId="0" applyNumberFormat="1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164" fontId="52" fillId="7" borderId="4" xfId="0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top"/>
    </xf>
    <xf numFmtId="15" fontId="12" fillId="0" borderId="4" xfId="0" applyNumberFormat="1" applyFont="1" applyBorder="1" applyAlignment="1">
      <alignment horizontal="center" vertical="center"/>
    </xf>
    <xf numFmtId="164" fontId="69" fillId="0" borderId="4" xfId="0" applyNumberFormat="1" applyFont="1" applyBorder="1" applyAlignment="1">
      <alignment horizontal="center" vertical="top"/>
    </xf>
    <xf numFmtId="0" fontId="69" fillId="0" borderId="4" xfId="0" applyFont="1" applyBorder="1" applyAlignment="1">
      <alignment horizontal="center" vertical="top"/>
    </xf>
    <xf numFmtId="164" fontId="23" fillId="0" borderId="4" xfId="0" applyNumberFormat="1" applyFont="1" applyBorder="1" applyAlignment="1">
      <alignment horizontal="center" vertical="top"/>
    </xf>
    <xf numFmtId="164" fontId="23" fillId="0" borderId="4" xfId="0" applyNumberFormat="1" applyFont="1" applyBorder="1" applyAlignment="1">
      <alignment horizontal="center" vertical="top" wrapText="1"/>
    </xf>
    <xf numFmtId="0" fontId="69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/>
    </xf>
    <xf numFmtId="0" fontId="0" fillId="0" borderId="5" xfId="0" applyBorder="1" applyAlignment="1">
      <alignment horizontal="center" vertical="center" wrapText="1"/>
    </xf>
    <xf numFmtId="14" fontId="27" fillId="0" borderId="5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top" wrapText="1"/>
    </xf>
    <xf numFmtId="0" fontId="36" fillId="8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 wrapText="1"/>
    </xf>
    <xf numFmtId="0" fontId="18" fillId="11" borderId="9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8" fillId="11" borderId="9" xfId="0" applyFont="1" applyFill="1" applyBorder="1" applyAlignment="1">
      <alignment horizontal="center"/>
    </xf>
    <xf numFmtId="0" fontId="71" fillId="11" borderId="9" xfId="0" applyFont="1" applyFill="1" applyBorder="1" applyAlignment="1">
      <alignment horizontal="center"/>
    </xf>
    <xf numFmtId="15" fontId="71" fillId="11" borderId="9" xfId="0" applyNumberFormat="1" applyFont="1" applyFill="1" applyBorder="1" applyAlignment="1">
      <alignment horizontal="center"/>
    </xf>
    <xf numFmtId="15" fontId="18" fillId="11" borderId="9" xfId="0" applyNumberFormat="1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70" fillId="0" borderId="9" xfId="0" applyFont="1" applyBorder="1" applyAlignment="1">
      <alignment horizontal="center"/>
    </xf>
    <xf numFmtId="0" fontId="71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 vertical="top"/>
    </xf>
    <xf numFmtId="0" fontId="23" fillId="0" borderId="18" xfId="0" applyFont="1" applyBorder="1" applyAlignment="1">
      <alignment horizontal="center" vertical="top"/>
    </xf>
    <xf numFmtId="0" fontId="36" fillId="12" borderId="9" xfId="0" applyFont="1" applyFill="1" applyBorder="1" applyAlignment="1">
      <alignment horizontal="center"/>
    </xf>
    <xf numFmtId="0" fontId="37" fillId="0" borderId="9" xfId="0" applyFont="1" applyBorder="1" applyAlignment="1">
      <alignment horizontal="center" wrapText="1"/>
    </xf>
    <xf numFmtId="0" fontId="73" fillId="11" borderId="9" xfId="0" applyFont="1" applyFill="1" applyBorder="1" applyAlignment="1">
      <alignment horizontal="center"/>
    </xf>
    <xf numFmtId="15" fontId="77" fillId="0" borderId="9" xfId="0" applyNumberFormat="1" applyFont="1" applyBorder="1" applyAlignment="1">
      <alignment horizontal="center"/>
    </xf>
    <xf numFmtId="15" fontId="68" fillId="0" borderId="9" xfId="0" applyNumberFormat="1" applyFont="1" applyBorder="1" applyAlignment="1">
      <alignment horizontal="center" vertical="center"/>
    </xf>
    <xf numFmtId="15" fontId="13" fillId="0" borderId="9" xfId="25" applyNumberFormat="1" applyFont="1" applyBorder="1" applyAlignment="1">
      <alignment horizontal="center"/>
    </xf>
    <xf numFmtId="14" fontId="96" fillId="11" borderId="9" xfId="0" applyNumberFormat="1" applyFont="1" applyFill="1" applyBorder="1" applyAlignment="1">
      <alignment horizontal="center" wrapText="1"/>
    </xf>
    <xf numFmtId="15" fontId="27" fillId="0" borderId="9" xfId="20" applyNumberFormat="1" applyFont="1" applyBorder="1" applyAlignment="1">
      <alignment horizontal="center" vertical="center"/>
    </xf>
    <xf numFmtId="0" fontId="95" fillId="13" borderId="5" xfId="0" applyFont="1" applyFill="1" applyBorder="1"/>
    <xf numFmtId="15" fontId="12" fillId="0" borderId="3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0" fontId="36" fillId="12" borderId="20" xfId="0" applyFont="1" applyFill="1" applyBorder="1" applyAlignment="1">
      <alignment horizontal="center"/>
    </xf>
    <xf numFmtId="0" fontId="37" fillId="0" borderId="20" xfId="0" applyFont="1" applyBorder="1" applyAlignment="1">
      <alignment horizontal="center" wrapText="1"/>
    </xf>
    <xf numFmtId="0" fontId="71" fillId="11" borderId="20" xfId="0" applyFont="1" applyFill="1" applyBorder="1" applyAlignment="1">
      <alignment horizontal="center"/>
    </xf>
    <xf numFmtId="15" fontId="77" fillId="0" borderId="20" xfId="0" applyNumberFormat="1" applyFont="1" applyBorder="1" applyAlignment="1">
      <alignment horizontal="center"/>
    </xf>
    <xf numFmtId="15" fontId="68" fillId="0" borderId="20" xfId="0" applyNumberFormat="1" applyFont="1" applyBorder="1" applyAlignment="1">
      <alignment horizontal="center" vertical="center"/>
    </xf>
    <xf numFmtId="15" fontId="13" fillId="0" borderId="20" xfId="25" applyNumberFormat="1" applyFont="1" applyBorder="1" applyAlignment="1">
      <alignment horizontal="center"/>
    </xf>
    <xf numFmtId="0" fontId="18" fillId="0" borderId="20" xfId="25" applyFont="1" applyBorder="1" applyAlignment="1">
      <alignment horizontal="center"/>
    </xf>
    <xf numFmtId="0" fontId="18" fillId="11" borderId="20" xfId="25" applyFont="1" applyFill="1" applyBorder="1" applyAlignment="1">
      <alignment horizontal="center"/>
    </xf>
    <xf numFmtId="15" fontId="18" fillId="11" borderId="20" xfId="25" applyNumberFormat="1" applyFont="1" applyFill="1" applyBorder="1" applyAlignment="1">
      <alignment horizontal="center"/>
    </xf>
    <xf numFmtId="0" fontId="71" fillId="11" borderId="20" xfId="0" applyFont="1" applyFill="1" applyBorder="1" applyAlignment="1">
      <alignment horizontal="center" wrapText="1"/>
    </xf>
    <xf numFmtId="15" fontId="27" fillId="0" borderId="20" xfId="2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/>
    </xf>
    <xf numFmtId="15" fontId="11" fillId="0" borderId="20" xfId="0" applyNumberFormat="1" applyFont="1" applyBorder="1" applyAlignment="1">
      <alignment horizontal="center"/>
    </xf>
    <xf numFmtId="15" fontId="13" fillId="0" borderId="20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5" fontId="18" fillId="11" borderId="20" xfId="0" applyNumberFormat="1" applyFont="1" applyFill="1" applyBorder="1" applyAlignment="1">
      <alignment horizontal="center"/>
    </xf>
    <xf numFmtId="0" fontId="18" fillId="11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/>
    </xf>
    <xf numFmtId="164" fontId="18" fillId="0" borderId="4" xfId="0" applyNumberFormat="1" applyFont="1" applyBorder="1" applyAlignment="1">
      <alignment horizontal="center" vertical="center"/>
    </xf>
    <xf numFmtId="15" fontId="107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vertical="top"/>
    </xf>
    <xf numFmtId="0" fontId="7" fillId="0" borderId="4" xfId="20" applyBorder="1" applyAlignment="1">
      <alignment horizontal="center"/>
    </xf>
    <xf numFmtId="15" fontId="7" fillId="0" borderId="4" xfId="20" applyNumberFormat="1" applyBorder="1" applyAlignment="1">
      <alignment horizontal="center"/>
    </xf>
    <xf numFmtId="0" fontId="11" fillId="0" borderId="5" xfId="0" applyFont="1" applyBorder="1" applyAlignment="1">
      <alignment vertical="top"/>
    </xf>
    <xf numFmtId="0" fontId="12" fillId="7" borderId="5" xfId="15" applyFont="1" applyFill="1" applyBorder="1" applyAlignment="1">
      <alignment vertical="center"/>
    </xf>
    <xf numFmtId="0" fontId="12" fillId="0" borderId="5" xfId="15" applyFont="1" applyBorder="1" applyAlignment="1">
      <alignment horizontal="center" vertical="center"/>
    </xf>
    <xf numFmtId="0" fontId="17" fillId="19" borderId="5" xfId="15" applyFill="1" applyBorder="1" applyAlignment="1">
      <alignment horizontal="center" vertical="center"/>
    </xf>
    <xf numFmtId="0" fontId="17" fillId="0" borderId="5" xfId="1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5" fontId="0" fillId="0" borderId="9" xfId="0" applyNumberFormat="1" applyBorder="1" applyAlignment="1">
      <alignment horizontal="center"/>
    </xf>
    <xf numFmtId="0" fontId="11" fillId="0" borderId="3" xfId="0" applyFont="1" applyBorder="1" applyAlignment="1">
      <alignment vertical="top"/>
    </xf>
    <xf numFmtId="0" fontId="7" fillId="0" borderId="3" xfId="20" applyBorder="1" applyAlignment="1">
      <alignment horizontal="center"/>
    </xf>
    <xf numFmtId="0" fontId="21" fillId="0" borderId="20" xfId="0" applyFont="1" applyBorder="1" applyAlignment="1">
      <alignment horizontal="center" vertical="center"/>
    </xf>
    <xf numFmtId="15" fontId="7" fillId="0" borderId="3" xfId="20" applyNumberFormat="1" applyBorder="1" applyAlignment="1">
      <alignment horizontal="center"/>
    </xf>
    <xf numFmtId="0" fontId="101" fillId="0" borderId="3" xfId="25" applyFont="1" applyBorder="1" applyAlignment="1">
      <alignment horizontal="center"/>
    </xf>
    <xf numFmtId="0" fontId="101" fillId="0" borderId="3" xfId="2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5" fontId="17" fillId="0" borderId="4" xfId="0" applyNumberFormat="1" applyFont="1" applyBorder="1" applyAlignment="1">
      <alignment horizontal="center"/>
    </xf>
    <xf numFmtId="0" fontId="17" fillId="0" borderId="4" xfId="24" applyFont="1" applyBorder="1" applyAlignment="1">
      <alignment horizontal="center" vertical="center"/>
    </xf>
    <xf numFmtId="164" fontId="99" fillId="7" borderId="2" xfId="24" applyNumberFormat="1" applyFont="1" applyFill="1" applyBorder="1" applyAlignment="1">
      <alignment horizontal="center" vertical="top"/>
    </xf>
    <xf numFmtId="15" fontId="0" fillId="0" borderId="2" xfId="0" applyNumberFormat="1" applyBorder="1"/>
    <xf numFmtId="14" fontId="60" fillId="0" borderId="2" xfId="0" applyNumberFormat="1" applyFont="1" applyBorder="1"/>
    <xf numFmtId="15" fontId="60" fillId="0" borderId="2" xfId="0" applyNumberFormat="1" applyFont="1" applyBorder="1"/>
    <xf numFmtId="0" fontId="60" fillId="0" borderId="2" xfId="0" applyFont="1" applyBorder="1"/>
    <xf numFmtId="14" fontId="104" fillId="0" borderId="2" xfId="0" applyNumberFormat="1" applyFont="1" applyBorder="1"/>
    <xf numFmtId="14" fontId="2" fillId="0" borderId="2" xfId="26" applyNumberFormat="1" applyBorder="1"/>
    <xf numFmtId="15" fontId="2" fillId="0" borderId="2" xfId="26" applyNumberFormat="1" applyBorder="1"/>
    <xf numFmtId="15" fontId="0" fillId="0" borderId="32" xfId="0" applyNumberFormat="1" applyBorder="1"/>
    <xf numFmtId="15" fontId="0" fillId="0" borderId="13" xfId="0" applyNumberFormat="1" applyBorder="1"/>
    <xf numFmtId="164" fontId="99" fillId="7" borderId="16" xfId="24" applyNumberFormat="1" applyFont="1" applyFill="1" applyBorder="1" applyAlignment="1">
      <alignment horizontal="center" vertical="top"/>
    </xf>
    <xf numFmtId="0" fontId="7" fillId="0" borderId="13" xfId="20" applyBorder="1" applyAlignment="1">
      <alignment horizontal="center"/>
    </xf>
    <xf numFmtId="0" fontId="17" fillId="7" borderId="12" xfId="24" applyFont="1" applyFill="1" applyBorder="1" applyAlignment="1">
      <alignment horizontal="center" vertical="center"/>
    </xf>
    <xf numFmtId="0" fontId="17" fillId="0" borderId="2" xfId="24" applyFont="1" applyBorder="1" applyAlignment="1">
      <alignment horizontal="center" vertical="center"/>
    </xf>
    <xf numFmtId="0" fontId="101" fillId="0" borderId="5" xfId="25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15" fontId="56" fillId="7" borderId="1" xfId="2" applyNumberFormat="1" applyFont="1" applyFill="1" applyBorder="1" applyAlignment="1">
      <alignment horizontal="center" vertical="center" wrapText="1"/>
    </xf>
    <xf numFmtId="15" fontId="56" fillId="7" borderId="5" xfId="2" applyNumberFormat="1" applyFont="1" applyFill="1" applyBorder="1" applyAlignment="1">
      <alignment horizontal="center" vertical="center" wrapText="1"/>
    </xf>
    <xf numFmtId="15" fontId="11" fillId="7" borderId="1" xfId="2" applyNumberFormat="1" applyFont="1" applyFill="1" applyBorder="1" applyAlignment="1">
      <alignment horizontal="center" vertical="center"/>
    </xf>
    <xf numFmtId="15" fontId="11" fillId="7" borderId="5" xfId="2" applyNumberFormat="1" applyFont="1" applyFill="1" applyBorder="1" applyAlignment="1">
      <alignment horizontal="center" vertical="center"/>
    </xf>
    <xf numFmtId="15" fontId="112" fillId="11" borderId="2" xfId="0" applyNumberFormat="1" applyFont="1" applyFill="1" applyBorder="1"/>
    <xf numFmtId="0" fontId="0" fillId="0" borderId="1" xfId="0" applyBorder="1" applyAlignment="1">
      <alignment horizontal="left" wrapText="1" indent="1"/>
    </xf>
    <xf numFmtId="15" fontId="41" fillId="0" borderId="7" xfId="0" applyNumberFormat="1" applyFont="1" applyBorder="1"/>
    <xf numFmtId="14" fontId="0" fillId="0" borderId="0" xfId="0" applyNumberFormat="1" applyAlignment="1">
      <alignment horizontal="center" vertical="center"/>
    </xf>
    <xf numFmtId="0" fontId="18" fillId="11" borderId="1" xfId="0" applyFont="1" applyFill="1" applyBorder="1"/>
    <xf numFmtId="15" fontId="108" fillId="0" borderId="23" xfId="0" applyNumberFormat="1" applyFont="1" applyBorder="1" applyAlignment="1" applyProtection="1">
      <alignment horizontal="center" vertical="center" wrapText="1"/>
      <protection locked="0"/>
    </xf>
    <xf numFmtId="15" fontId="112" fillId="11" borderId="4" xfId="0" applyNumberFormat="1" applyFont="1" applyFill="1" applyBorder="1"/>
    <xf numFmtId="0" fontId="0" fillId="0" borderId="4" xfId="0" applyBorder="1" applyAlignment="1">
      <alignment vertical="center"/>
    </xf>
    <xf numFmtId="15" fontId="112" fillId="11" borderId="12" xfId="0" applyNumberFormat="1" applyFont="1" applyFill="1" applyBorder="1"/>
    <xf numFmtId="0" fontId="28" fillId="7" borderId="9" xfId="0" applyFont="1" applyFill="1" applyBorder="1"/>
    <xf numFmtId="0" fontId="0" fillId="0" borderId="5" xfId="0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5" fontId="0" fillId="15" borderId="1" xfId="0" applyNumberForma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0" fontId="0" fillId="12" borderId="4" xfId="0" applyFill="1" applyBorder="1" applyAlignment="1">
      <alignment readingOrder="1"/>
    </xf>
    <xf numFmtId="0" fontId="0" fillId="12" borderId="22" xfId="0" applyFill="1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22" xfId="0" applyBorder="1" applyAlignment="1">
      <alignment readingOrder="1"/>
    </xf>
    <xf numFmtId="164" fontId="23" fillId="25" borderId="3" xfId="27" applyNumberFormat="1" applyFont="1" applyFill="1" applyBorder="1" applyAlignment="1">
      <alignment horizontal="center" vertical="center" wrapText="1"/>
    </xf>
    <xf numFmtId="0" fontId="23" fillId="25" borderId="3" xfId="27" applyFont="1" applyFill="1" applyBorder="1" applyAlignment="1">
      <alignment horizontal="center" vertical="center" wrapText="1"/>
    </xf>
    <xf numFmtId="0" fontId="23" fillId="25" borderId="1" xfId="27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/>
    </xf>
    <xf numFmtId="15" fontId="17" fillId="0" borderId="1" xfId="12" applyNumberFormat="1" applyBorder="1"/>
    <xf numFmtId="0" fontId="32" fillId="7" borderId="3" xfId="27" applyFont="1" applyFill="1" applyBorder="1" applyAlignment="1">
      <alignment horizontal="center" vertical="center" wrapText="1"/>
    </xf>
    <xf numFmtId="0" fontId="11" fillId="7" borderId="3" xfId="27" applyFont="1" applyFill="1" applyBorder="1" applyAlignment="1">
      <alignment horizontal="center" vertical="center"/>
    </xf>
    <xf numFmtId="0" fontId="13" fillId="7" borderId="3" xfId="27" applyFont="1" applyFill="1" applyBorder="1" applyAlignment="1">
      <alignment horizontal="center" vertical="center"/>
    </xf>
    <xf numFmtId="0" fontId="21" fillId="7" borderId="3" xfId="27" applyFont="1" applyFill="1" applyBorder="1" applyAlignment="1">
      <alignment horizontal="center" vertical="center"/>
    </xf>
    <xf numFmtId="164" fontId="13" fillId="7" borderId="3" xfId="27" applyNumberFormat="1" applyFont="1" applyFill="1" applyBorder="1" applyAlignment="1">
      <alignment horizontal="center" vertical="center"/>
    </xf>
    <xf numFmtId="0" fontId="1" fillId="7" borderId="3" xfId="27" applyFill="1" applyBorder="1" applyAlignment="1">
      <alignment horizontal="center" vertical="center"/>
    </xf>
    <xf numFmtId="164" fontId="23" fillId="7" borderId="3" xfId="27" applyNumberFormat="1" applyFont="1" applyFill="1" applyBorder="1" applyAlignment="1">
      <alignment horizontal="center" vertical="center" wrapText="1"/>
    </xf>
    <xf numFmtId="0" fontId="32" fillId="7" borderId="1" xfId="27" applyFont="1" applyFill="1" applyBorder="1" applyAlignment="1">
      <alignment horizontal="center" vertical="center" wrapText="1"/>
    </xf>
    <xf numFmtId="0" fontId="13" fillId="7" borderId="1" xfId="27" applyFont="1" applyFill="1" applyBorder="1" applyAlignment="1">
      <alignment horizontal="center" vertical="center"/>
    </xf>
    <xf numFmtId="0" fontId="21" fillId="7" borderId="1" xfId="27" applyFont="1" applyFill="1" applyBorder="1" applyAlignment="1">
      <alignment horizontal="center" vertical="center"/>
    </xf>
    <xf numFmtId="164" fontId="13" fillId="7" borderId="1" xfId="27" applyNumberFormat="1" applyFont="1" applyFill="1" applyBorder="1" applyAlignment="1">
      <alignment horizontal="center" vertical="center"/>
    </xf>
    <xf numFmtId="0" fontId="1" fillId="7" borderId="1" xfId="27" applyFill="1" applyBorder="1" applyAlignment="1">
      <alignment horizontal="center" vertical="center"/>
    </xf>
    <xf numFmtId="0" fontId="68" fillId="7" borderId="0" xfId="0" applyFont="1" applyFill="1" applyAlignment="1">
      <alignment horizontal="center" vertical="center"/>
    </xf>
    <xf numFmtId="0" fontId="23" fillId="7" borderId="3" xfId="27" applyFont="1" applyFill="1" applyBorder="1" applyAlignment="1">
      <alignment horizontal="center" vertical="center" wrapText="1"/>
    </xf>
    <xf numFmtId="14" fontId="27" fillId="7" borderId="3" xfId="27" applyNumberFormat="1" applyFont="1" applyFill="1" applyBorder="1" applyAlignment="1">
      <alignment horizontal="center" vertical="center"/>
    </xf>
    <xf numFmtId="0" fontId="27" fillId="7" borderId="3" xfId="27" applyFont="1" applyFill="1" applyBorder="1" applyAlignment="1">
      <alignment horizontal="center" vertical="center"/>
    </xf>
    <xf numFmtId="0" fontId="23" fillId="7" borderId="16" xfId="27" applyFont="1" applyFill="1" applyBorder="1" applyAlignment="1">
      <alignment horizontal="center" vertical="center" wrapText="1"/>
    </xf>
    <xf numFmtId="15" fontId="1" fillId="7" borderId="1" xfId="27" applyNumberFormat="1" applyFill="1" applyBorder="1" applyAlignment="1">
      <alignment horizontal="center" vertical="center"/>
    </xf>
    <xf numFmtId="14" fontId="1" fillId="7" borderId="3" xfId="27" applyNumberFormat="1" applyFill="1" applyBorder="1" applyAlignment="1">
      <alignment horizontal="center" vertical="center"/>
    </xf>
    <xf numFmtId="0" fontId="52" fillId="7" borderId="3" xfId="27" applyFont="1" applyFill="1" applyBorder="1" applyAlignment="1">
      <alignment horizontal="center" vertical="center" wrapText="1"/>
    </xf>
    <xf numFmtId="164" fontId="23" fillId="7" borderId="1" xfId="27" applyNumberFormat="1" applyFont="1" applyFill="1" applyBorder="1" applyAlignment="1">
      <alignment horizontal="center" vertical="center"/>
    </xf>
    <xf numFmtId="164" fontId="23" fillId="7" borderId="0" xfId="27" applyNumberFormat="1" applyFont="1" applyFill="1" applyAlignment="1">
      <alignment horizontal="center" vertical="center"/>
    </xf>
    <xf numFmtId="0" fontId="23" fillId="7" borderId="1" xfId="27" applyFont="1" applyFill="1" applyBorder="1" applyAlignment="1">
      <alignment horizontal="center" vertical="center" wrapText="1"/>
    </xf>
    <xf numFmtId="0" fontId="27" fillId="7" borderId="1" xfId="27" applyFont="1" applyFill="1" applyBorder="1" applyAlignment="1">
      <alignment horizontal="center" vertical="center"/>
    </xf>
    <xf numFmtId="0" fontId="23" fillId="7" borderId="2" xfId="27" applyFont="1" applyFill="1" applyBorder="1" applyAlignment="1">
      <alignment horizontal="center" vertical="center" wrapText="1"/>
    </xf>
    <xf numFmtId="14" fontId="1" fillId="7" borderId="1" xfId="27" applyNumberFormat="1" applyFill="1" applyBorder="1" applyAlignment="1">
      <alignment horizontal="center" vertical="center"/>
    </xf>
    <xf numFmtId="0" fontId="52" fillId="7" borderId="1" xfId="27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64" fontId="23" fillId="7" borderId="0" xfId="0" applyNumberFormat="1" applyFont="1" applyFill="1" applyAlignment="1">
      <alignment horizontal="center" vertical="center"/>
    </xf>
    <xf numFmtId="0" fontId="27" fillId="7" borderId="1" xfId="29" applyFont="1" applyFill="1" applyBorder="1" applyAlignment="1">
      <alignment horizontal="center" vertical="center"/>
    </xf>
    <xf numFmtId="0" fontId="29" fillId="7" borderId="1" xfId="29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 wrapText="1"/>
    </xf>
    <xf numFmtId="164" fontId="23" fillId="7" borderId="1" xfId="0" applyNumberFormat="1" applyFont="1" applyFill="1" applyBorder="1" applyAlignment="1">
      <alignment horizontal="center" vertical="center" wrapText="1"/>
    </xf>
    <xf numFmtId="15" fontId="0" fillId="7" borderId="0" xfId="0" applyNumberFormat="1" applyFill="1" applyAlignment="1">
      <alignment horizontal="center" vertical="center"/>
    </xf>
    <xf numFmtId="165" fontId="23" fillId="7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32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" fillId="0" borderId="1" xfId="23" applyFont="1" applyBorder="1"/>
    <xf numFmtId="15" fontId="1" fillId="0" borderId="4" xfId="20" applyNumberFormat="1" applyFont="1" applyBorder="1" applyAlignment="1">
      <alignment horizontal="center"/>
    </xf>
    <xf numFmtId="15" fontId="1" fillId="0" borderId="1" xfId="23" applyNumberFormat="1" applyFont="1" applyBorder="1"/>
    <xf numFmtId="15" fontId="1" fillId="0" borderId="1" xfId="26" applyNumberFormat="1" applyFont="1" applyBorder="1"/>
    <xf numFmtId="15" fontId="1" fillId="0" borderId="3" xfId="25" applyNumberFormat="1" applyFont="1" applyBorder="1" applyAlignment="1">
      <alignment horizontal="center"/>
    </xf>
    <xf numFmtId="0" fontId="1" fillId="0" borderId="3" xfId="25" applyFont="1" applyBorder="1" applyAlignment="1">
      <alignment horizontal="center"/>
    </xf>
    <xf numFmtId="15" fontId="1" fillId="0" borderId="1" xfId="25" applyNumberFormat="1" applyFont="1" applyBorder="1" applyAlignment="1">
      <alignment horizontal="center"/>
    </xf>
    <xf numFmtId="0" fontId="1" fillId="0" borderId="1" xfId="25" applyFont="1" applyBorder="1" applyAlignment="1">
      <alignment horizontal="center"/>
    </xf>
    <xf numFmtId="15" fontId="1" fillId="0" borderId="1" xfId="20" applyNumberFormat="1" applyFont="1" applyBorder="1" applyAlignment="1">
      <alignment horizontal="center"/>
    </xf>
    <xf numFmtId="0" fontId="1" fillId="0" borderId="4" xfId="20" applyFont="1" applyBorder="1" applyAlignment="1">
      <alignment horizontal="center"/>
    </xf>
    <xf numFmtId="15" fontId="0" fillId="0" borderId="0" xfId="0" applyNumberFormat="1" applyAlignment="1">
      <alignment horizontal="center"/>
    </xf>
    <xf numFmtId="14" fontId="4" fillId="0" borderId="1" xfId="23" applyNumberFormat="1" applyBorder="1" applyAlignment="1">
      <alignment horizontal="center"/>
    </xf>
    <xf numFmtId="15" fontId="4" fillId="0" borderId="1" xfId="23" applyNumberFormat="1" applyBorder="1" applyAlignment="1">
      <alignment horizontal="center"/>
    </xf>
    <xf numFmtId="15" fontId="4" fillId="0" borderId="5" xfId="23" applyNumberFormat="1" applyBorder="1" applyAlignment="1">
      <alignment horizontal="center"/>
    </xf>
    <xf numFmtId="0" fontId="17" fillId="0" borderId="4" xfId="0" applyFont="1" applyBorder="1" applyAlignment="1">
      <alignment horizontal="center" readingOrder="1"/>
    </xf>
    <xf numFmtId="0" fontId="17" fillId="12" borderId="4" xfId="0" applyFont="1" applyFill="1" applyBorder="1" applyAlignment="1">
      <alignment horizontal="center" readingOrder="1"/>
    </xf>
    <xf numFmtId="15" fontId="104" fillId="0" borderId="4" xfId="0" applyNumberFormat="1" applyFont="1" applyBorder="1" applyAlignment="1">
      <alignment horizontal="center"/>
    </xf>
    <xf numFmtId="15" fontId="60" fillId="0" borderId="4" xfId="0" applyNumberFormat="1" applyFont="1" applyBorder="1" applyAlignment="1">
      <alignment horizontal="center"/>
    </xf>
    <xf numFmtId="0" fontId="17" fillId="24" borderId="4" xfId="0" applyFont="1" applyFill="1" applyBorder="1" applyAlignment="1">
      <alignment horizontal="center" readingOrder="1"/>
    </xf>
    <xf numFmtId="14" fontId="60" fillId="0" borderId="4" xfId="0" applyNumberFormat="1" applyFont="1" applyBorder="1" applyAlignment="1">
      <alignment horizontal="center"/>
    </xf>
    <xf numFmtId="14" fontId="104" fillId="0" borderId="4" xfId="0" applyNumberFormat="1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5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14" fontId="41" fillId="0" borderId="4" xfId="0" applyNumberFormat="1" applyFont="1" applyBorder="1" applyAlignment="1">
      <alignment horizontal="center" wrapText="1"/>
    </xf>
    <xf numFmtId="14" fontId="41" fillId="0" borderId="4" xfId="0" applyNumberFormat="1" applyFont="1" applyBorder="1" applyAlignment="1">
      <alignment horizontal="center"/>
    </xf>
    <xf numFmtId="14" fontId="41" fillId="0" borderId="3" xfId="0" applyNumberFormat="1" applyFont="1" applyBorder="1" applyAlignment="1">
      <alignment horizontal="center"/>
    </xf>
    <xf numFmtId="14" fontId="41" fillId="0" borderId="17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165" fontId="22" fillId="0" borderId="0" xfId="0" applyNumberFormat="1" applyFont="1" applyAlignment="1">
      <alignment horizontal="center" vertical="center" wrapText="1"/>
    </xf>
    <xf numFmtId="15" fontId="0" fillId="0" borderId="1" xfId="0" applyNumberFormat="1" applyBorder="1" applyAlignment="1">
      <alignment vertical="center"/>
    </xf>
    <xf numFmtId="0" fontId="73" fillId="0" borderId="1" xfId="0" applyFont="1" applyBorder="1" applyAlignment="1">
      <alignment vertical="top"/>
    </xf>
    <xf numFmtId="0" fontId="72" fillId="0" borderId="1" xfId="0" applyFont="1" applyBorder="1"/>
    <xf numFmtId="0" fontId="72" fillId="15" borderId="0" xfId="0" applyFont="1" applyFill="1"/>
    <xf numFmtId="0" fontId="72" fillId="0" borderId="5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11" borderId="3" xfId="0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 wrapText="1"/>
    </xf>
    <xf numFmtId="0" fontId="113" fillId="0" borderId="1" xfId="0" applyFont="1" applyBorder="1" applyAlignment="1">
      <alignment horizontal="center" vertical="center" wrapText="1"/>
    </xf>
    <xf numFmtId="0" fontId="114" fillId="7" borderId="1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vertical="center"/>
    </xf>
    <xf numFmtId="0" fontId="11" fillId="7" borderId="3" xfId="2" applyFont="1" applyFill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14" fontId="41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5" fillId="13" borderId="5" xfId="0" applyFont="1" applyFill="1" applyBorder="1" applyAlignment="1">
      <alignment horizontal="center" vertical="center"/>
    </xf>
    <xf numFmtId="0" fontId="55" fillId="13" borderId="3" xfId="0" applyFont="1" applyFill="1" applyBorder="1" applyAlignment="1">
      <alignment horizontal="center" vertical="center"/>
    </xf>
    <xf numFmtId="0" fontId="11" fillId="7" borderId="17" xfId="27" applyFont="1" applyFill="1" applyBorder="1" applyAlignment="1">
      <alignment horizontal="center" vertical="center"/>
    </xf>
    <xf numFmtId="0" fontId="11" fillId="7" borderId="3" xfId="27" applyFont="1" applyFill="1" applyBorder="1" applyAlignment="1">
      <alignment horizontal="center" vertical="center"/>
    </xf>
    <xf numFmtId="0" fontId="13" fillId="7" borderId="33" xfId="27" applyFont="1" applyFill="1" applyBorder="1" applyAlignment="1">
      <alignment horizontal="center" vertical="center"/>
    </xf>
    <xf numFmtId="0" fontId="13" fillId="7" borderId="3" xfId="27" applyFont="1" applyFill="1" applyBorder="1" applyAlignment="1">
      <alignment horizontal="center" vertical="center"/>
    </xf>
    <xf numFmtId="0" fontId="13" fillId="7" borderId="5" xfId="27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3" fillId="21" borderId="17" xfId="0" applyFont="1" applyFill="1" applyBorder="1" applyAlignment="1">
      <alignment horizontal="center" vertical="center"/>
    </xf>
    <xf numFmtId="0" fontId="13" fillId="21" borderId="3" xfId="0" applyFont="1" applyFill="1" applyBorder="1" applyAlignment="1">
      <alignment horizontal="center" vertical="center"/>
    </xf>
    <xf numFmtId="0" fontId="13" fillId="21" borderId="5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5" fillId="23" borderId="17" xfId="0" applyFont="1" applyFill="1" applyBorder="1" applyAlignment="1">
      <alignment horizontal="center" vertical="center"/>
    </xf>
    <xf numFmtId="0" fontId="55" fillId="23" borderId="3" xfId="0" applyFont="1" applyFill="1" applyBorder="1" applyAlignment="1">
      <alignment horizontal="center" vertical="center"/>
    </xf>
    <xf numFmtId="0" fontId="55" fillId="23" borderId="5" xfId="0" applyFont="1" applyFill="1" applyBorder="1" applyAlignment="1">
      <alignment horizontal="center" vertical="center"/>
    </xf>
    <xf numFmtId="0" fontId="55" fillId="13" borderId="17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</cellXfs>
  <cellStyles count="31">
    <cellStyle name="Normal" xfId="0" builtinId="0"/>
    <cellStyle name="Normal 10" xfId="14" xr:uid="{FA4345A3-CE74-4587-965F-5067AEA29EA9}"/>
    <cellStyle name="Normal 11" xfId="8" xr:uid="{91872CD3-54E2-4323-A29F-894866740E2E}"/>
    <cellStyle name="Normal 11 2" xfId="30" xr:uid="{BFF98C8E-9CD5-439A-9A19-F5D692E48E3F}"/>
    <cellStyle name="Normal 12" xfId="10" xr:uid="{B7F9EC88-784D-402D-A5E6-FEC3A37C1CE6}"/>
    <cellStyle name="Normal 13" xfId="12" xr:uid="{4BBEE17C-CA97-47AA-85B3-6D6165F58017}"/>
    <cellStyle name="Normal 14" xfId="6" xr:uid="{C56DDF3D-7D16-40D9-8EFB-065C29882CA0}"/>
    <cellStyle name="Normal 15" xfId="7" xr:uid="{068C3C37-495E-439A-B2A4-CAC2C14E62A9}"/>
    <cellStyle name="Normal 16" xfId="16" xr:uid="{DCC127FB-4F67-443F-8BA7-28EA01F437CA}"/>
    <cellStyle name="Normal 17" xfId="17" xr:uid="{584D353E-E32C-4D9D-8609-3FF4967CCE38}"/>
    <cellStyle name="Normal 18" xfId="18" xr:uid="{5340B69A-BD51-4F23-81FC-68473CB85223}"/>
    <cellStyle name="Normal 19" xfId="19" xr:uid="{4FBF0485-2B9B-41AA-AD8F-8AA43669B46D}"/>
    <cellStyle name="Normal 2" xfId="3" xr:uid="{7B02E6CA-D0CA-4521-8978-4CC458FF8ECB}"/>
    <cellStyle name="Normal 2 2" xfId="4" xr:uid="{95147688-3A56-4CCD-96E2-02ACFC9317DE}"/>
    <cellStyle name="Normal 20" xfId="15" xr:uid="{458B683E-3C55-42BE-88DD-76312AD926BD}"/>
    <cellStyle name="Normal 21" xfId="21" xr:uid="{1EE75267-1200-4AD6-BCB2-48E01AFCFDA6}"/>
    <cellStyle name="Normal 22" xfId="22" xr:uid="{35554CD8-F356-4889-B419-400B648B9B54}"/>
    <cellStyle name="Normal 23" xfId="23" xr:uid="{83D18B59-61AC-4250-8855-B63518536544}"/>
    <cellStyle name="Normal 24" xfId="24" xr:uid="{B512519D-F2A0-41E6-9E9D-8A1BCE1EAAEF}"/>
    <cellStyle name="Normal 25" xfId="25" xr:uid="{ACEBFBC6-18BA-45E2-98F8-115633F02CA0}"/>
    <cellStyle name="Normal 26" xfId="26" xr:uid="{52489DF6-4DE8-4142-80C7-B4954C4D91AE}"/>
    <cellStyle name="Normal 27" xfId="27" xr:uid="{9D39ECF3-8484-489C-A438-8946401AB83C}"/>
    <cellStyle name="Normal 3" xfId="1" xr:uid="{00000000-0005-0000-0000-000001000000}"/>
    <cellStyle name="Normal 3 2" xfId="28" xr:uid="{58DB3614-7205-4FD2-8D60-EE1355D14FF9}"/>
    <cellStyle name="Normal 4" xfId="5" xr:uid="{47CBBE9A-B805-4C3C-BC8B-0C9151790C12}"/>
    <cellStyle name="Normal 5" xfId="2" xr:uid="{951ADB49-DE66-4549-B66D-56AC18821690}"/>
    <cellStyle name="Normal 5 2" xfId="29" xr:uid="{8BF729B6-3329-4127-A0CE-0FC8F22805B2}"/>
    <cellStyle name="Normal 6" xfId="9" xr:uid="{EA1427FE-8FBF-458C-9BF3-A885B6D9D3F3}"/>
    <cellStyle name="Normal 7" xfId="13" xr:uid="{D3B3BA60-0749-4331-A887-6245E8188DBB}"/>
    <cellStyle name="Normal 8" xfId="20" xr:uid="{9C36103E-AA1B-463E-92B0-4A2838038B3C}"/>
    <cellStyle name="Normal 9" xfId="11" xr:uid="{1F35632F-DD42-42C7-BACE-7213CE6CB860}"/>
  </cellStyles>
  <dxfs count="2430"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19" formatCode="m/d/yyyy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ma, Saurav (RC-IN SMO CS RS1)" id="{ABD3A482-4D5E-40D8-8649-A875F211BA6D}" userId="S::saurav.verma@siemens.com::62016989-448d-43db-96c3-5441fa7fe4d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54.584719560182" createdVersion="6" refreshedVersion="8" minRefreshableVersion="3" recordCount="1088" xr:uid="{006047CC-1CE4-43B3-A0ED-A7B194234481}">
  <cacheSource type="worksheet">
    <worksheetSource ref="A1:AC1089" sheet="Modification sheet"/>
  </cacheSource>
  <cacheFields count="29">
    <cacheField name="S.No." numFmtId="0">
      <sharedItems containsBlank="1"/>
    </cacheField>
    <cacheField name="k" numFmtId="0">
      <sharedItems containsString="0" containsBlank="1" containsNumber="1" containsInteger="1" minValue="30277" maxValue="39192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31">
        <s v="Krishnarajipuram"/>
        <m/>
        <s v="Erode"/>
        <s v="Raipuram"/>
        <s v="Gaziabad"/>
        <s v="BNDM"/>
        <s v="LUDHIANA"/>
        <s v="Tughlakabad"/>
        <s v="GMO"/>
        <s v="GMO "/>
        <s v="Gonda"/>
        <s v="Kanpur"/>
        <s v="Lallaguda"/>
        <s v="Bandamunda"/>
        <s v="Bhillai"/>
        <s v="BJU"/>
        <s v="SPJ"/>
        <s v="Howrah"/>
        <s v="Satraganchi"/>
        <s v="Tata"/>
        <s v="Waltier"/>
        <s v="AJNI"/>
        <s v="Itarsi"/>
        <s v="Kalyan"/>
        <s v="Vadodara"/>
        <s v="LGD"/>
        <s v="CR"/>
        <s v="Tugalkabad" u="1"/>
        <s v="GOMO" u="1"/>
        <s v="ELS/Erode" u="1"/>
        <s v="GOMO /Kanpur" u="1"/>
      </sharedItems>
    </cacheField>
    <cacheField name="Railway" numFmtId="0">
      <sharedItems containsBlank="1"/>
    </cacheField>
    <cacheField name="Region" numFmtId="0">
      <sharedItems containsBlank="1" count="7">
        <s v="BAN"/>
        <m/>
        <s v="CHE"/>
        <s v="DEL"/>
        <s v="HYD"/>
        <s v="KOL"/>
        <s v="MUM"/>
      </sharedItems>
    </cacheField>
    <cacheField name="DOC" numFmtId="0">
      <sharedItems containsDate="1" containsBlank="1" containsMixedTypes="1" minDate="2010-07-01T00:00:00" maxDate="2021-06-21T00:00:00"/>
    </cacheField>
    <cacheField name="serial no." numFmtId="0">
      <sharedItems containsBlank="1" containsMixedTypes="1" containsNumber="1" containsInteger="1" minValue="1" maxValue="1081"/>
    </cacheField>
    <cacheField name="Type of Text display" numFmtId="0">
      <sharedItems containsBlank="1" count="3">
        <s v="Nashik"/>
        <s v="Imported"/>
        <m/>
      </sharedItems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0-01-23T00:00:00" maxDate="2022-07-09T00:00:00"/>
    </cacheField>
    <cacheField name="Software version of display" numFmtId="0">
      <sharedItems containsBlank="1"/>
    </cacheField>
    <cacheField name="Software version (UAT2Y44O.012) of display updation _x000a_*DATE*" numFmtId="0">
      <sharedItems containsDate="1" containsBlank="1" containsMixedTypes="1" minDate="1921-01-17T00:00:00" maxDate="2022-06-21T00:00:00"/>
    </cacheField>
    <cacheField name="Filter clean_x000a_*DATE*" numFmtId="0">
      <sharedItems containsDate="1" containsBlank="1" containsMixedTypes="1" minDate="2020-02-08T00:00:00" maxDate="2022-07-17T00:00:00"/>
    </cacheField>
    <cacheField name="Filter Change_x000a_*DATE*" numFmtId="0">
      <sharedItems containsDate="1" containsBlank="1" containsMixedTypes="1" minDate="2022-03-01T00:00:00" maxDate="2022-03-30T00:00:00"/>
    </cacheField>
    <cacheField name="Removal of metal shortlink  from M9000 with wire" numFmtId="0">
      <sharedItems containsBlank="1"/>
    </cacheField>
    <cacheField name="Replacement of 10 amp fuse with 20amp" numFmtId="0">
      <sharedItems containsBlank="1"/>
    </cacheField>
    <cacheField name="Shifting of wires on O/P contactor" numFmtId="0">
      <sharedItems containsBlank="1"/>
    </cacheField>
    <cacheField name="External earth fault wire modification" numFmtId="0">
      <sharedItems containsBlank="1"/>
    </cacheField>
    <cacheField name="Shifting of wires of output voltage available lamp" numFmtId="0">
      <sharedItems containsBlank="1"/>
    </cacheField>
    <cacheField name="Sealing of cable entry of panel" numFmtId="0">
      <sharedItems containsBlank="1"/>
    </cacheField>
    <cacheField name="Sealing of main fan plate (On which DC-DC converter installed)" numFmtId="0">
      <sharedItems containsBlank="1"/>
    </cacheField>
    <cacheField name="Mounting of 110 volt DC fan on PWR" numFmtId="0">
      <sharedItems containsBlank="1"/>
    </cacheField>
    <cacheField name="Air leakage status in duct at the back of the converter" numFmtId="0">
      <sharedItems containsBlank="1"/>
    </cacheField>
    <cacheField name="FG block removal from bottom of input choke" numFmtId="0">
      <sharedItems containsBlank="1"/>
    </cacheField>
    <cacheField name="Surge arrestor fitment" numFmtId="0">
      <sharedItems containsDate="1" containsBlank="1" containsMixedTypes="1" minDate="2021-09-24T00:00:00" maxDate="2022-02-25T00:00:00"/>
    </cacheField>
    <cacheField name="Input choke change" numFmtId="0">
      <sharedItems containsDate="1" containsBlank="1" containsMixedTypes="1" minDate="2021-06-19T00:00:00" maxDate="2022-01-08T00:00:00"/>
    </cacheField>
    <cacheField name="Sine filter choke ch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6203703" createdVersion="8" refreshedVersion="8" minRefreshableVersion="3" recordCount="861" xr:uid="{D9BF27B0-D2DB-419E-ADA7-C31E1A072EC2}">
  <cacheSource type="worksheet">
    <worksheetSource ref="A1:AN904" sheet="Hyderabad"/>
  </cacheSource>
  <cacheFields count="40">
    <cacheField name="S.No." numFmtId="0">
      <sharedItems containsString="0" containsBlank="1" containsNumber="1" containsInteger="1" minValue="1" maxValue="172"/>
    </cacheField>
    <cacheField name="Loco no." numFmtId="0">
      <sharedItems containsString="0" containsBlank="1" containsNumber="1" containsInteger="1" minValue="30259" maxValue="39516" count="90">
        <n v="30587"/>
        <n v="30595"/>
        <n v="30596"/>
        <n v="30602"/>
        <n v="30603"/>
        <n v="30605"/>
        <n v="30610"/>
        <n v="30611"/>
        <n v="30612"/>
        <n v="30613"/>
        <n v="30617"/>
        <n v="30618"/>
        <n v="37062"/>
        <n v="37085"/>
        <n v="37363"/>
        <n v="37375"/>
        <n v="37376"/>
        <n v="37473"/>
        <n v="37477"/>
        <n v="37538"/>
        <n v="37540"/>
        <n v="39118"/>
        <n v="39120"/>
        <n v="39137"/>
        <n v="39139"/>
        <n v="39149"/>
        <n v="39156"/>
        <n v="37587"/>
        <n v="37588"/>
        <n v="30655"/>
        <n v="30656"/>
        <n v="30660"/>
        <n v="30681"/>
        <n v="30668"/>
        <n v="30667"/>
        <n v="30317"/>
        <n v="30647"/>
        <n v="30648"/>
        <n v="30659"/>
        <n v="30664"/>
        <n v="30685"/>
        <n v="30691"/>
        <n v="30724"/>
        <n v="30774"/>
        <n v="30778"/>
        <n v="39516"/>
        <n v="30337"/>
        <n v="30338"/>
        <n v="30259"/>
        <n v="30262"/>
        <n v="30314"/>
        <n v="37598"/>
        <n v="37627"/>
        <n v="37675"/>
        <n v="37677"/>
        <n v="37678"/>
        <n v="37713"/>
        <n v="37674"/>
        <n v="37721"/>
        <n v="39247"/>
        <n v="39248"/>
        <n v="39245"/>
        <n v="39246"/>
        <n v="39264"/>
        <n v="39261"/>
        <n v="39266"/>
        <n v="39267"/>
        <n v="39269"/>
        <n v="39273"/>
        <n v="39275"/>
        <n v="39280"/>
        <n v="39295"/>
        <n v="39292"/>
        <n v="37626"/>
        <n v="39302"/>
        <n v="39299"/>
        <n v="39271"/>
        <n v="39317"/>
        <n v="39322"/>
        <n v="39325"/>
        <n v="39337"/>
        <n v="30559"/>
        <n v="37747"/>
        <n v="30565"/>
        <n v="30273"/>
        <n v="30261"/>
        <m/>
        <n v="30688" u="1"/>
        <n v="30615" u="1"/>
        <n v="37508" u="1"/>
      </sharedItems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4">
        <s v="Lallaguda"/>
        <s v="BZA"/>
        <m/>
        <s v="LGDE" u="1"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Date="1" containsBlank="1" containsMixedTypes="1" minDate="2017-07-26T00:00:00" maxDate="2024-10-11T00:00:00"/>
    </cacheField>
    <cacheField name="serial no." numFmtId="0">
      <sharedItems containsNonDate="0" containsString="0" containsBlank="1"/>
    </cacheField>
    <cacheField name="Type of Text display" numFmtId="0">
      <sharedItems containsBlank="1"/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1-03-04T00:00:00" maxDate="2021-03-05T00:00:00"/>
    </cacheField>
    <cacheField name="Software version of display" numFmtId="0">
      <sharedItems containsBlank="1"/>
    </cacheField>
    <cacheField name="Software version (UAT2Y440.012) of display updation_x000a_*DATE*" numFmtId="0">
      <sharedItems containsDate="1" containsBlank="1" containsMixedTypes="1" minDate="2020-12-11T00:00:00" maxDate="2021-04-16T00:00:00"/>
    </cacheField>
    <cacheField name="Filter clean_x000a_*DATE*" numFmtId="0">
      <sharedItems containsNonDate="0" containsDate="1" containsString="0" containsBlank="1" minDate="2020-09-01T00:00:00" maxDate="2020-09-13T00:00:00"/>
    </cacheField>
    <cacheField name="Filter Change_x000a_*DATE*" numFmtId="0">
      <sharedItems containsNonDate="0" containsString="0" containsBlank="1"/>
    </cacheField>
    <cacheField name="Removal of metal shortlink  from M9000 with wire" numFmtId="0">
      <sharedItems containsBlank="1"/>
    </cacheField>
    <cacheField name="Replacement of 10 amp fuse with 20amp" numFmtId="0">
      <sharedItems containsBlank="1"/>
    </cacheField>
    <cacheField name="Shifting of wires on O/P contactor" numFmtId="0">
      <sharedItems containsBlank="1"/>
    </cacheField>
    <cacheField name="External earth fault wire modification" numFmtId="0">
      <sharedItems containsBlank="1"/>
    </cacheField>
    <cacheField name="Shifting of wires of output voltage available lamp" numFmtId="0">
      <sharedItems containsBlank="1"/>
    </cacheField>
    <cacheField name="Sealing of cable entry of panel" numFmtId="0">
      <sharedItems containsNonDate="0" containsString="0" containsBlank="1"/>
    </cacheField>
    <cacheField name="Sealing of main fan plate (On which DC-DC converter installed)" numFmtId="0">
      <sharedItems containsBlank="1"/>
    </cacheField>
    <cacheField name="Mounting of 110 volt DC fan on PWR" numFmtId="0">
      <sharedItems containsBlank="1"/>
    </cacheField>
    <cacheField name="Air leakage status in duct at the back of the converter" numFmtId="0">
      <sharedItems containsNonDate="0" containsString="0" containsBlank="1"/>
    </cacheField>
    <cacheField name="FG block removal from bottom of input choke" numFmtId="0">
      <sharedItems containsNonDate="0" containsString="0" containsBlank="1"/>
    </cacheField>
    <cacheField name="Surge arrestor fitment" numFmtId="0">
      <sharedItems containsNonDate="0" containsString="0" containsBlank="1"/>
    </cacheField>
    <cacheField name="Input choke change_x000a_(mention sr.no. of new choke_" numFmtId="0">
      <sharedItems containsNonDate="0" containsDate="1" containsString="0" containsBlank="1" minDate="2020-07-08T00:00:00" maxDate="2022-09-03T00:00:00"/>
    </cacheField>
    <cacheField name="O/P choke change_x000a_(mention sr.no. of new choke_" numFmtId="0">
      <sharedItems containsNonDate="0" containsString="0" containsBlank="1"/>
    </cacheField>
    <cacheField name="Control fuse_x000a_6.5amp to 15amp_x000a_(Glass fuse)" numFmtId="0">
      <sharedItems containsBlank="1"/>
    </cacheField>
    <cacheField name="Display button" numFmtId="0">
      <sharedItems containsBlank="1"/>
    </cacheField>
    <cacheField name="DC link bus bar_x000a_supporter" numFmtId="0">
      <sharedItems containsDate="1" containsBlank="1" containsMixedTypes="1" minDate="2024-03-08T00:00:00" maxDate="2025-09-02T00:00:00"/>
    </cacheField>
    <cacheField name="Software version in Conv (200622)_x000a_(Master) Y6U2N04V.006_x000a_(Module) Y6U2N240.005_x000a_*DATE*" numFmtId="0">
      <sharedItems containsDate="1" containsBlank="1" containsMixedTypes="1" minDate="2024-01-07T00:00:00" maxDate="2024-12-09T00:00:00"/>
    </cacheField>
    <cacheField name="New Software version (UAT2Y44O.012) of display updation _x000a_*DATE*" numFmtId="0">
      <sharedItems containsDate="1" containsBlank="1" containsMixedTypes="1" minDate="2012-12-08T00:00:00" maxDate="2024-12-09T00:00:00"/>
    </cacheField>
    <cacheField name="Sine Filter Capacitor washer fitment and tightness of connection_x000a_*DATE*" numFmtId="0">
      <sharedItems containsDate="1" containsBlank="1" containsMixedTypes="1" minDate="2024-02-07T00:00:00" maxDate="2024-12-09T00:00:00"/>
    </cacheField>
    <cacheField name="ELR setting to check_x000a_(1amp /10 sec)" numFmtId="0">
      <sharedItems containsBlank="1"/>
    </cacheField>
    <cacheField name="Heat Sink Cleaning _x000a_*Date*" numFmtId="0">
      <sharedItems containsDate="1" containsBlank="1" containsMixedTypes="1" minDate="2024-03-07T00:00:00" maxDate="2025-02-03T00:00:00"/>
    </cacheField>
    <cacheField name="I/P contactor SILICON washer" numFmtId="0">
      <sharedItems containsBlank="1"/>
    </cacheField>
    <cacheField name="Steel mesh on cyclonic filter on looc wall" numFmtId="0">
      <sharedItems containsDate="1" containsBlank="1" containsMixedTypes="1" minDate="2024-02-09T00:00:00" maxDate="2025-02-02T00:00:00"/>
    </cacheField>
    <cacheField name="Installation of new type of communication card on displa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6782404" createdVersion="8" refreshedVersion="8" minRefreshableVersion="3" recordCount="949" xr:uid="{F6537D85-8037-4C44-9A3F-E37F5DDAD19C}">
  <cacheSource type="worksheet">
    <worksheetSource ref="A1:AN1000" sheet="Chennai"/>
  </cacheSource>
  <cacheFields count="40">
    <cacheField name="S.No." numFmtId="0">
      <sharedItems containsString="0" containsBlank="1" containsNumber="1" containsInteger="1" minValue="1" maxValue="205"/>
    </cacheField>
    <cacheField name="Loco no." numFmtId="0">
      <sharedItems containsString="0" containsBlank="1" containsNumber="1" containsInteger="1" minValue="30332" maxValue="39240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3">
        <s v="Raipuram"/>
        <s v="Erode"/>
        <m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NonDate="0" containsDate="1" containsString="0" containsBlank="1" minDate="2016-05-21T00:00:00" maxDate="2025-03-05T00:00:00"/>
    </cacheField>
    <cacheField name="serial no." numFmtId="0">
      <sharedItems containsBlank="1" containsMixedTypes="1" containsNumber="1" containsInteger="1" minValue="22" maxValue="1629"/>
    </cacheField>
    <cacheField name="Type of Text display" numFmtId="0">
      <sharedItems containsBlank="1"/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0-10-07T00:00:00" maxDate="2021-12-29T00:00:00"/>
    </cacheField>
    <cacheField name="Software version of display" numFmtId="0">
      <sharedItems containsBlank="1"/>
    </cacheField>
    <cacheField name="Software version (UAT2Y44O.012) of display updation _x000a_*DATE*" numFmtId="0">
      <sharedItems containsDate="1" containsBlank="1" containsMixedTypes="1" minDate="2020-12-09T00:00:00" maxDate="2022-08-28T00:00:00"/>
    </cacheField>
    <cacheField name="Filter clean_x000a_*DATE*" numFmtId="0">
      <sharedItems containsDate="1" containsBlank="1" containsMixedTypes="1" minDate="2022-08-06T00:00:00" maxDate="2024-09-25T00:00:00"/>
    </cacheField>
    <cacheField name="Filter Change_x000a_*DATE*" numFmtId="0">
      <sharedItems containsDate="1" containsBlank="1" containsMixedTypes="1" minDate="1900-01-06T00:00:00" maxDate="2024-06-16T00:00:00"/>
    </cacheField>
    <cacheField name="Removal of metal shortlink  from M9000 with wire" numFmtId="0">
      <sharedItems containsBlank="1"/>
    </cacheField>
    <cacheField name="Replacement of 10 amp fuse with 20amp" numFmtId="0">
      <sharedItems containsBlank="1"/>
    </cacheField>
    <cacheField name="Shifting of wires on O/P contactor" numFmtId="0">
      <sharedItems containsBlank="1"/>
    </cacheField>
    <cacheField name="External earth fault wire modification" numFmtId="0">
      <sharedItems containsBlank="1"/>
    </cacheField>
    <cacheField name="Shifting of wires of output voltage available lamp" numFmtId="0">
      <sharedItems containsBlank="1"/>
    </cacheField>
    <cacheField name="Sealing of cable entry of panel" numFmtId="0">
      <sharedItems containsBlank="1"/>
    </cacheField>
    <cacheField name="Sealing of main fan plate (On which DC-DC converter installed)" numFmtId="0">
      <sharedItems containsBlank="1"/>
    </cacheField>
    <cacheField name="Mounting of 110 volt DC fan on PWR" numFmtId="0">
      <sharedItems containsBlank="1"/>
    </cacheField>
    <cacheField name="Air leakage status in duct at the back of the converter" numFmtId="0">
      <sharedItems containsBlank="1"/>
    </cacheField>
    <cacheField name="FG block removal from bottom of input choke" numFmtId="0">
      <sharedItems containsBlank="1"/>
    </cacheField>
    <cacheField name="Surge arrestor fitment" numFmtId="0">
      <sharedItems containsBlank="1"/>
    </cacheField>
    <cacheField name="Input choke change_x000a_(mention sr.no. of new choke_" numFmtId="0">
      <sharedItems containsDate="1" containsBlank="1" containsMixedTypes="1" minDate="2021-09-29T00:00:00" maxDate="2022-11-05T00:00:00"/>
    </cacheField>
    <cacheField name="O/P choke change_x000a_(mention sr.no. of new choke_" numFmtId="0">
      <sharedItems containsBlank="1"/>
    </cacheField>
    <cacheField name="Control fuse _x000a_6.5amp to 15amp_x000a_(Glass fuse)" numFmtId="0">
      <sharedItems containsBlank="1"/>
    </cacheField>
    <cacheField name="Display button" numFmtId="0">
      <sharedItems containsDate="1" containsBlank="1" containsMixedTypes="1" minDate="2024-01-09T00:00:00" maxDate="2024-01-10T00:00:00"/>
    </cacheField>
    <cacheField name="DC link bus bar supporter" numFmtId="0">
      <sharedItems containsBlank="1"/>
    </cacheField>
    <cacheField name="Software version in Conv (200622)_x000a_(Master) Y6U2N04V.006_x000a_(Module) Y6U2N240.005_x000a_*DATE*" numFmtId="0">
      <sharedItems containsNonDate="0" containsDate="1" containsString="0" containsBlank="1" minDate="2024-06-21T00:00:00" maxDate="2025-03-05T00:00:00"/>
    </cacheField>
    <cacheField name="New Software version (UAT2Y44O.012) of display updation _x000a_*DATE*" numFmtId="0">
      <sharedItems containsBlank="1"/>
    </cacheField>
    <cacheField name="Sine Filter Capacitor washer fitment and tightness of connection_x000a_*DATE*" numFmtId="0">
      <sharedItems containsDate="1" containsBlank="1" containsMixedTypes="1" minDate="2023-06-15T00:00:00" maxDate="2024-01-22T00:00:00"/>
    </cacheField>
    <cacheField name="ELR setting to check_x000a_(1amp /10 sec)" numFmtId="0">
      <sharedItems containsBlank="1"/>
    </cacheField>
    <cacheField name="Heat Sink Cleaning _x000a_*Date*" numFmtId="0">
      <sharedItems containsNonDate="0" containsDate="1" containsString="0" containsBlank="1" minDate="2024-06-27T00:00:00" maxDate="2025-05-16T00:00:00"/>
    </cacheField>
    <cacheField name="I/P contactor SILICON washer" numFmtId="165">
      <sharedItems containsNonDate="0" containsDate="1" containsString="0" containsBlank="1" minDate="2024-10-03T00:00:00" maxDate="2025-01-16T00:00:00"/>
    </cacheField>
    <cacheField name="Steel mesh on cyclonic filter on looc wall" numFmtId="0">
      <sharedItems containsDate="1" containsBlank="1" containsMixedTypes="1" minDate="2024-06-20T00:00:00" maxDate="2025-05-09T00:00:00"/>
    </cacheField>
    <cacheField name="Installation of new type of communication card on displa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7129627" createdVersion="8" refreshedVersion="8" minRefreshableVersion="3" recordCount="401" xr:uid="{CEE28E9A-5672-4987-8166-B4ADD1909594}">
  <cacheSource type="worksheet">
    <worksheetSource ref="A1:AN1000" sheet="Delhi"/>
  </cacheSource>
  <cacheFields count="40">
    <cacheField name="S.No." numFmtId="0">
      <sharedItems containsString="0" containsBlank="1" containsNumber="1" containsInteger="1" minValue="1" maxValue="365"/>
    </cacheField>
    <cacheField name="Loco no." numFmtId="0">
      <sharedItems containsString="0" containsBlank="1" containsNumber="1" containsInteger="1" minValue="30210" maxValue="39471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11">
        <s v="Gaziabad"/>
        <s v="LUDHIANA"/>
        <s v="Tughlakabad"/>
        <s v="Gonda"/>
        <s v="Kanpur"/>
        <m/>
        <s v="ELS GKP"/>
        <s v="BGKT"/>
        <s v="TKD"/>
        <s v="Ghaziabad"/>
        <s v="GOMO" u="1"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Date="1" containsBlank="1" containsMixedTypes="1" minDate="2010-07-01T00:00:00" maxDate="2025-06-18T00:00:00"/>
    </cacheField>
    <cacheField name="serial no." numFmtId="0">
      <sharedItems containsBlank="1" containsMixedTypes="1" containsNumber="1" containsInteger="1" minValue="1" maxValue="1071"/>
    </cacheField>
    <cacheField name="Type of Text display" numFmtId="0">
      <sharedItems containsBlank="1"/>
    </cacheField>
    <cacheField name="Software version in Conv" numFmtId="0">
      <sharedItems containsDate="1" containsBlank="1" containsMixedTypes="1" minDate="2025-02-05T00:00:00" maxDate="2025-02-06T00:00:00"/>
    </cacheField>
    <cacheField name="Software version in Conv_x000a_(Master) U7D2S04V.005_x000a_(Module) U7F2S240.005_x000a_*DATE*" numFmtId="0">
      <sharedItems containsDate="1" containsBlank="1" containsMixedTypes="1" minDate="2020-07-30T00:00:00" maxDate="2024-12-13T00:00:00"/>
    </cacheField>
    <cacheField name="Software version of display" numFmtId="0">
      <sharedItems containsBlank="1"/>
    </cacheField>
    <cacheField name="Software version (UAT2Y44O.012) of display updation _x000a_*DATE*" numFmtId="0">
      <sharedItems containsDate="1" containsBlank="1" containsMixedTypes="1" minDate="1922-02-12T00:00:00" maxDate="2022-12-14T00:00:00"/>
    </cacheField>
    <cacheField name="Filter clean_x000a_*DATE*" numFmtId="0">
      <sharedItems containsDate="1" containsBlank="1" containsMixedTypes="1" minDate="2021-03-21T00:00:00" maxDate="2025-05-18T00:00:00"/>
    </cacheField>
    <cacheField name="Filter Change_x000a_*DATE*" numFmtId="0">
      <sharedItems containsDate="1" containsBlank="1" containsMixedTypes="1" minDate="2022-06-05T00:00:00" maxDate="2025-04-25T00:00:00"/>
    </cacheField>
    <cacheField name="Removal of metal shortlink  from M9000 with wire" numFmtId="0">
      <sharedItems containsBlank="1"/>
    </cacheField>
    <cacheField name="Replacement of 10 amp fuse with 20amp" numFmtId="0">
      <sharedItems containsBlank="1"/>
    </cacheField>
    <cacheField name="Shifting of wires on O/P contactor" numFmtId="0">
      <sharedItems containsDate="1" containsBlank="1" containsMixedTypes="1" minDate="2024-01-06T00:00:00" maxDate="2024-01-11T00:00:00"/>
    </cacheField>
    <cacheField name="External earth fault wire modification" numFmtId="0">
      <sharedItems containsDate="1" containsBlank="1" containsMixedTypes="1" minDate="2022-09-10T00:00:00" maxDate="2022-09-11T00:00:00"/>
    </cacheField>
    <cacheField name="Shifting of wires of output voltage available lamp" numFmtId="0">
      <sharedItems containsDate="1" containsBlank="1" containsMixedTypes="1" minDate="2022-09-10T00:00:00" maxDate="2022-09-11T00:00:00"/>
    </cacheField>
    <cacheField name="Sealing of cable entry of panel" numFmtId="0">
      <sharedItems containsDate="1" containsBlank="1" containsMixedTypes="1" minDate="2022-06-05T00:00:00" maxDate="2024-07-02T00:00:00"/>
    </cacheField>
    <cacheField name="Sealing of main fan plate (On which DC-DC converter installed)" numFmtId="0">
      <sharedItems containsDate="1" containsBlank="1" containsMixedTypes="1" minDate="2022-06-05T00:00:00" maxDate="2024-07-02T00:00:00"/>
    </cacheField>
    <cacheField name="Mounting of 110 volt DC fan on PWR" numFmtId="0">
      <sharedItems containsDate="1" containsBlank="1" containsMixedTypes="1" minDate="2024-01-06T00:00:00" maxDate="2024-01-07T00:00:00"/>
    </cacheField>
    <cacheField name="Air leakage status in duct at the back of the converter" numFmtId="0">
      <sharedItems containsDate="1" containsBlank="1" containsMixedTypes="1" minDate="2024-01-06T00:00:00" maxDate="2024-01-07T00:00:00"/>
    </cacheField>
    <cacheField name="FG block removal from bottom of input choke" numFmtId="0">
      <sharedItems containsBlank="1"/>
    </cacheField>
    <cacheField name="Surge arrestor fitment" numFmtId="0">
      <sharedItems containsDate="1" containsBlank="1" containsMixedTypes="1" minDate="2021-10-26T00:00:00" maxDate="2021-10-27T00:00:00"/>
    </cacheField>
    <cacheField name="Input choke change_x000a_(mention sr.no. of new choke_" numFmtId="0">
      <sharedItems containsDate="1" containsBlank="1" containsMixedTypes="1" minDate="1900-01-07T10:02:04" maxDate="2023-08-27T00:00:00"/>
    </cacheField>
    <cacheField name="O/P choke change_x000a_(mention sr.no. of new choke_" numFmtId="0">
      <sharedItems containsBlank="1"/>
    </cacheField>
    <cacheField name="Control fuse _x000a_6.5amp to 15amp_x000a_(Glass fuse)" numFmtId="0">
      <sharedItems containsDate="1" containsBlank="1" containsMixedTypes="1" minDate="2022-01-27T00:00:00" maxDate="2022-08-18T00:00:00"/>
    </cacheField>
    <cacheField name="Display button" numFmtId="0">
      <sharedItems containsDate="1" containsBlank="1" containsMixedTypes="1" minDate="2022-09-29T00:00:00" maxDate="2024-10-05T00:00:00"/>
    </cacheField>
    <cacheField name="DC link bus bar supporter" numFmtId="0">
      <sharedItems containsDate="1" containsBlank="1" containsMixedTypes="1" minDate="2021-11-16T00:00:00" maxDate="2923-12-20T00:00:00"/>
    </cacheField>
    <cacheField name="Software version in Conv (200622)_x000a_(Master) Y6U2N04V.006_x000a_(Module) Y6U2N240.005_x000a_*DATE*" numFmtId="0">
      <sharedItems containsDate="1" containsBlank="1" containsMixedTypes="1" minDate="2022-11-22T00:00:00" maxDate="2025-06-19T00:00:00"/>
    </cacheField>
    <cacheField name="New Software version (UAT2Y44O.012) of display updation _x000a_*DATE*" numFmtId="0">
      <sharedItems containsDate="1" containsBlank="1" containsMixedTypes="1" minDate="2022-11-22T00:00:00" maxDate="2025-06-19T00:00:00"/>
    </cacheField>
    <cacheField name="Sine Filter Capacitor washer fitment and tightness of connection_x000a_*DATE*" numFmtId="0">
      <sharedItems containsDate="1" containsBlank="1" containsMixedTypes="1" minDate="2023-06-16T00:00:00" maxDate="2923-12-20T00:00:00"/>
    </cacheField>
    <cacheField name="ELR setting to check_x000a_(1amp /10 sec)" numFmtId="0">
      <sharedItems containsDate="1" containsBlank="1" containsMixedTypes="1" minDate="2023-05-17T00:00:00" maxDate="2923-12-20T00:00:00"/>
    </cacheField>
    <cacheField name="Heat Sink Cleaning _x000a_*Date*" numFmtId="0">
      <sharedItems containsDate="1" containsBlank="1" containsMixedTypes="1" minDate="2022-04-16T00:00:00" maxDate="2025-03-19T00:00:00"/>
    </cacheField>
    <cacheField name="I/P contactor SILICON washer" numFmtId="0">
      <sharedItems containsDate="1" containsBlank="1" containsMixedTypes="1" minDate="2024-01-03T00:00:00" maxDate="2025-03-19T00:00:00"/>
    </cacheField>
    <cacheField name="Steel mesh on cyclonic filter on loco wall" numFmtId="0">
      <sharedItems containsDate="1" containsBlank="1" containsMixedTypes="1" minDate="2024-01-13T00:00:00" maxDate="2025-06-20T00:00:00"/>
    </cacheField>
    <cacheField name="Installation of new type of communication card on displa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7708335" createdVersion="8" refreshedVersion="8" minRefreshableVersion="3" recordCount="401" xr:uid="{2C263574-7282-4B23-8F62-905091F05C70}">
  <cacheSource type="worksheet">
    <worksheetSource ref="A1:AN1000" sheet="Kolkatta"/>
  </cacheSource>
  <cacheFields count="40">
    <cacheField name="S.No." numFmtId="0">
      <sharedItems containsString="0" containsBlank="1" containsNumber="1" containsInteger="1" minValue="1" maxValue="402"/>
    </cacheField>
    <cacheField name="Loco no." numFmtId="0">
      <sharedItems containsString="0" containsBlank="1" containsNumber="1" containsInteger="1" minValue="30203" maxValue="39482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12">
        <s v="Tata"/>
        <s v="Bandamunda"/>
        <s v="Bhilai"/>
        <s v="HWH"/>
        <s v="Gomoh"/>
        <s v="SPJ "/>
        <s v="BJU"/>
        <s v="SDAH"/>
        <m/>
        <s v="SRC"/>
        <s v="Waltier"/>
        <s v="SGUJ"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NonDate="0" containsDate="1" containsString="0" containsBlank="1" minDate="2016-01-08T00:00:00" maxDate="2025-07-15T00:00:00"/>
    </cacheField>
    <cacheField name="serial no." numFmtId="0">
      <sharedItems containsString="0" containsBlank="1" containsNumber="1" containsInteger="1" minValue="10" maxValue="1699"/>
    </cacheField>
    <cacheField name="Type of Text display" numFmtId="0">
      <sharedItems containsBlank="1"/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0-07-09T00:00:00" maxDate="2022-07-26T00:00:00"/>
    </cacheField>
    <cacheField name="Software version of display" numFmtId="0">
      <sharedItems containsDate="1" containsBlank="1" containsMixedTypes="1" minDate="1899-12-31T00:00:00" maxDate="2021-03-02T00:00:00"/>
    </cacheField>
    <cacheField name="Software version (UAT2Y44O.012) of display updation _x000a_*DATE*" numFmtId="0">
      <sharedItems containsDate="1" containsBlank="1" containsMixedTypes="1" minDate="2020-12-07T00:00:00" maxDate="2021-12-05T00:00:00"/>
    </cacheField>
    <cacheField name="Filter clean_x000a_*DATE*" numFmtId="0">
      <sharedItems containsDate="1" containsBlank="1" containsMixedTypes="1" minDate="2020-08-30T00:00:00" maxDate="2025-05-29T00:00:00"/>
    </cacheField>
    <cacheField name="Filter Change_x000a_*DATE*" numFmtId="0">
      <sharedItems containsDate="1" containsBlank="1" containsMixedTypes="1" minDate="2022-03-21T00:00:00" maxDate="2025-03-18T00:00:00"/>
    </cacheField>
    <cacheField name="Removal of metal shortlink  from M9000 with wire" numFmtId="0">
      <sharedItems containsBlank="1"/>
    </cacheField>
    <cacheField name="Replacement of 10 amp fuse with 20amp" numFmtId="0">
      <sharedItems containsDate="1" containsBlank="1" containsMixedTypes="1" minDate="2020-09-25T00:00:00" maxDate="2021-07-16T00:00:00"/>
    </cacheField>
    <cacheField name="Shifting of wires on O/P contactor" numFmtId="0">
      <sharedItems containsDate="1" containsBlank="1" containsMixedTypes="1" minDate="2020-09-25T00:00:00" maxDate="2021-06-19T00:00:00"/>
    </cacheField>
    <cacheField name="External earth fault wire modification" numFmtId="0">
      <sharedItems containsDate="1" containsBlank="1" containsMixedTypes="1" minDate="2020-09-25T00:00:00" maxDate="2023-11-02T00:00:00"/>
    </cacheField>
    <cacheField name="Shifting of wires of output voltage available lamp" numFmtId="0">
      <sharedItems containsDate="1" containsBlank="1" containsMixedTypes="1" minDate="2020-09-25T00:00:00" maxDate="2021-06-26T00:00:00"/>
    </cacheField>
    <cacheField name="Sealing of cable entry of panel" numFmtId="0">
      <sharedItems containsDate="1" containsBlank="1" containsMixedTypes="1" minDate="2021-04-06T00:00:00" maxDate="2025-03-04T00:00:00"/>
    </cacheField>
    <cacheField name="Sealing of main fan plate (On which DC-DC converter installed)" numFmtId="0">
      <sharedItems containsDate="1" containsBlank="1" containsMixedTypes="1" minDate="2020-05-19T00:00:00" maxDate="2025-03-04T00:00:00"/>
    </cacheField>
    <cacheField name="Mounting of 110 volt DC fan on PWR" numFmtId="0">
      <sharedItems containsBlank="1"/>
    </cacheField>
    <cacheField name="Air leakage status in duct at the back of the converter" numFmtId="0">
      <sharedItems containsBlank="1"/>
    </cacheField>
    <cacheField name="FG block removal from bottom of input choke" numFmtId="0">
      <sharedItems containsBlank="1"/>
    </cacheField>
    <cacheField name="Surge arrestor fitment" numFmtId="0">
      <sharedItems containsDate="1" containsBlank="1" containsMixedTypes="1" minDate="2022-03-06T00:00:00" maxDate="2022-08-20T00:00:00"/>
    </cacheField>
    <cacheField name="Input choke change_x000a_(mention sr.no. of new choke_" numFmtId="0">
      <sharedItems containsDate="1" containsBlank="1" containsMixedTypes="1" minDate="2021-05-29T00:00:00" maxDate="2022-06-24T00:00:00"/>
    </cacheField>
    <cacheField name="O/P choke change_x000a_(mention sr.no. of new choke_" numFmtId="0">
      <sharedItems containsBlank="1"/>
    </cacheField>
    <cacheField name="Control fuse _x000a_6.5amp to 15amp_x000a_(Glass fuse)_x000a_(Date)" numFmtId="0">
      <sharedItems containsDate="1" containsBlank="1" containsMixedTypes="1" minDate="2022-01-25T00:00:00" maxDate="2024-03-02T00:00:00"/>
    </cacheField>
    <cacheField name="Display button" numFmtId="0">
      <sharedItems containsDate="1" containsBlank="1" containsMixedTypes="1" minDate="2022-03-12T00:00:00" maxDate="2025-06-25T00:00:00"/>
    </cacheField>
    <cacheField name="DC link bus bar supporter" numFmtId="0">
      <sharedItems containsDate="1" containsBlank="1" containsMixedTypes="1" minDate="2022-01-07T00:00:00" maxDate="2024-04-15T00:00:00"/>
    </cacheField>
    <cacheField name="Software version in Conv (200622)_x000a_(Master) Y6U2N04V.006_x000a_(Module) Y6U2N240.005_x000a_*DATE*" numFmtId="0">
      <sharedItems containsDate="1" containsBlank="1" containsMixedTypes="1" minDate="2024-01-08T00:00:00" maxDate="2025-07-01T00:00:00"/>
    </cacheField>
    <cacheField name="New Software version (UAT2Y44O.012) of display updation _x000a_*DATE*" numFmtId="0">
      <sharedItems containsDate="1" containsBlank="1" containsMixedTypes="1" minDate="2023-01-09T00:00:00" maxDate="2025-08-06T00:00:00"/>
    </cacheField>
    <cacheField name="Sine Filter Capacitor washer fitment and tightness of connection_x000a_*DATE*" numFmtId="0">
      <sharedItems containsDate="1" containsBlank="1" containsMixedTypes="1" minDate="2022-11-17T00:00:00" maxDate="2024-10-02T00:00:00"/>
    </cacheField>
    <cacheField name="ELR setting to check_x000a_(1amp /10 sec)" numFmtId="0">
      <sharedItems containsBlank="1"/>
    </cacheField>
    <cacheField name="Heat Sink Cleaning _x000a_*Date*" numFmtId="0">
      <sharedItems containsDate="1" containsBlank="1" containsMixedTypes="1" minDate="2023-01-03T00:00:00" maxDate="2025-08-02T00:00:00"/>
    </cacheField>
    <cacheField name="I/P contactor SILICON washer" numFmtId="0">
      <sharedItems containsDate="1" containsBlank="1" containsMixedTypes="1" minDate="2024-01-02T00:00:00" maxDate="2025-06-28T00:00:00"/>
    </cacheField>
    <cacheField name="Steel mesh on cyclonic filter on loco wall" numFmtId="0">
      <sharedItems containsDate="1" containsBlank="1" containsMixedTypes="1" minDate="2024-01-11T00:00:00" maxDate="2025-08-02T00:00:00"/>
    </cacheField>
    <cacheField name="Installation of new type of communication card on display" numFmtId="0">
      <sharedItems containsDate="1" containsBlank="1" containsMixedTypes="1" minDate="2024-12-17T00:00:00" maxDate="2025-04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8634259" createdVersion="8" refreshedVersion="8" minRefreshableVersion="3" recordCount="427" xr:uid="{8814A417-7C7C-48BF-B16F-16B9594A1E90}">
  <cacheSource type="worksheet">
    <worksheetSource ref="A1:AN1000" sheet="Mumbai"/>
  </cacheSource>
  <cacheFields count="40">
    <cacheField name="S.No." numFmtId="0">
      <sharedItems containsString="0" containsBlank="1" containsNumber="1" containsInteger="1" minValue="1" maxValue="419"/>
    </cacheField>
    <cacheField name="Loco no." numFmtId="0">
      <sharedItems containsString="0" containsBlank="1" containsNumber="1" containsInteger="1" minValue="30224" maxValue="39487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9">
        <s v="Kalyan"/>
        <s v="AJNI"/>
        <s v="Pune"/>
        <s v="Itarsi"/>
        <s v="Vadodara"/>
        <m/>
        <s v="Valsad"/>
        <s v="." u="1"/>
        <s v="Vaslad" u="1"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Date="1" containsString="0" containsBlank="1" containsMixedTypes="1" minDate="2016-04-27T00:00:00" maxDate="2025-06-29T00:00:00"/>
    </cacheField>
    <cacheField name="serial no." numFmtId="0">
      <sharedItems containsBlank="1" containsMixedTypes="1" containsNumber="1" containsInteger="1" minValue="15" maxValue="1143"/>
    </cacheField>
    <cacheField name="Type of Text display" numFmtId="0">
      <sharedItems containsBlank="1"/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0-01-23T00:00:00" maxDate="2022-09-20T00:00:00"/>
    </cacheField>
    <cacheField name="Software version of display" numFmtId="0">
      <sharedItems containsBlank="1"/>
    </cacheField>
    <cacheField name="Software version (UAT2Y44O.012) of display updation _x000a_*DATE*" numFmtId="0">
      <sharedItems containsDate="1" containsBlank="1" containsMixedTypes="1" minDate="1921-01-17T00:00:00" maxDate="2022-10-22T00:00:00"/>
    </cacheField>
    <cacheField name="Filter clean_x000a_*DATE*" numFmtId="0">
      <sharedItems containsDate="1" containsBlank="1" containsMixedTypes="1" minDate="2020-02-08T00:00:00" maxDate="2024-12-19T00:00:00"/>
    </cacheField>
    <cacheField name="Filter Change_x000a_*DATE*" numFmtId="0">
      <sharedItems containsDate="1" containsString="0" containsBlank="1" containsMixedTypes="1" minDate="2022-06-03T00:00:00" maxDate="2024-12-23T00:00:00"/>
    </cacheField>
    <cacheField name="Removal of metal shortlink  from M9000 with wire" numFmtId="0">
      <sharedItems containsDate="1" containsBlank="1" containsMixedTypes="1" minDate="2024-12-21T00:00:00" maxDate="2024-12-22T00:00:00"/>
    </cacheField>
    <cacheField name="Replacement of 10 amp fuse with 20amp" numFmtId="0">
      <sharedItems containsBlank="1"/>
    </cacheField>
    <cacheField name="Shifting of wires on O/P contactor" numFmtId="0">
      <sharedItems containsBlank="1"/>
    </cacheField>
    <cacheField name="External earth fault wire modification" numFmtId="0">
      <sharedItems containsDate="1" containsBlank="1" containsMixedTypes="1" minDate="2024-08-23T00:00:00" maxDate="2025-02-18T00:00:00"/>
    </cacheField>
    <cacheField name="Shifting of wires of output voltage available lamp" numFmtId="0">
      <sharedItems containsDate="1" containsBlank="1" containsMixedTypes="1" minDate="2022-11-24T00:00:00" maxDate="2022-11-25T00:00:00"/>
    </cacheField>
    <cacheField name="Sealing of cable entry of panel" numFmtId="0">
      <sharedItems containsDate="1" containsBlank="1" containsMixedTypes="1" minDate="2022-06-05T00:00:00" maxDate="2023-01-21T00:00:00"/>
    </cacheField>
    <cacheField name="Sealing of main fan plate (On which DC-DC converter installed)" numFmtId="0">
      <sharedItems containsDate="1" containsBlank="1" containsMixedTypes="1" minDate="2022-06-05T00:00:00" maxDate="2023-01-21T00:00:00"/>
    </cacheField>
    <cacheField name="Mounting of 110 volt DC fan on PWR" numFmtId="0">
      <sharedItems containsBlank="1"/>
    </cacheField>
    <cacheField name="Air leakage status in duct at the back of the converter" numFmtId="0">
      <sharedItems containsBlank="1"/>
    </cacheField>
    <cacheField name="FG block removal from bottom of input choke" numFmtId="0">
      <sharedItems containsBlank="1"/>
    </cacheField>
    <cacheField name="Surge arrestor fitment" numFmtId="0">
      <sharedItems containsNonDate="0" containsDate="1" containsString="0" containsBlank="1" minDate="2021-09-24T00:00:00" maxDate="2022-02-25T00:00:00"/>
    </cacheField>
    <cacheField name="Input choke change_x000a_(mention sr.no. of new choke_" numFmtId="0">
      <sharedItems containsDate="1" containsBlank="1" containsMixedTypes="1" minDate="2020-09-25T00:00:00" maxDate="2021-09-02T00:00:00"/>
    </cacheField>
    <cacheField name="O/P choke change_x000a_(mention sr.no. of new choke_" numFmtId="0">
      <sharedItems containsBlank="1"/>
    </cacheField>
    <cacheField name="Control fuse _x000a_6.5amp to 15amp_x000a_(Glass fuse)" numFmtId="0">
      <sharedItems containsDate="1" containsBlank="1" containsMixedTypes="1" minDate="2022-02-03T00:00:00" maxDate="2023-05-11T00:00:00"/>
    </cacheField>
    <cacheField name="Display button" numFmtId="0">
      <sharedItems containsDate="1" containsBlank="1" containsMixedTypes="1" minDate="2022-07-09T00:00:00" maxDate="2024-11-12T00:00:00"/>
    </cacheField>
    <cacheField name="DC link bus bar supporter" numFmtId="0">
      <sharedItems containsDate="1" containsBlank="1" containsMixedTypes="1" minDate="2022-02-12T00:00:00" maxDate="2025-06-28T00:00:00"/>
    </cacheField>
    <cacheField name="Software version in Conv (200622)_x000a_(Master) Y6U2N04V.006_x000a_(Module) Y6U2N240.005_x000a_*DATE*" numFmtId="0">
      <sharedItems containsDate="1" containsBlank="1" containsMixedTypes="1" minDate="2024-06-18T00:00:00" maxDate="2024-12-27T00:00:00"/>
    </cacheField>
    <cacheField name="New Software version (UAT2Y44O.012) of display updation _x000a_*DATE*" numFmtId="0">
      <sharedItems containsDate="1" containsBlank="1" containsMixedTypes="1" minDate="2024-03-04T00:00:00" maxDate="2025-04-08T00:00:00"/>
    </cacheField>
    <cacheField name="Sine Filter Capacitor washer fitment and tightness of connection_x000a_*DATE*" numFmtId="0">
      <sharedItems containsDate="1" containsBlank="1" containsMixedTypes="1" minDate="2023-02-01T00:00:00" maxDate="2025-04-20T00:00:00"/>
    </cacheField>
    <cacheField name="ELR setting to check_x000a_(1amp /10 sec)" numFmtId="0">
      <sharedItems containsDate="1" containsBlank="1" containsMixedTypes="1" minDate="2024-05-24T00:00:00" maxDate="2025-04-22T00:00:00"/>
    </cacheField>
    <cacheField name="Heat Sink Cleaning _x000a_*Date*" numFmtId="0">
      <sharedItems containsDate="1" containsBlank="1" containsMixedTypes="1" minDate="2023-10-17T00:00:00" maxDate="2025-06-28T00:00:00"/>
    </cacheField>
    <cacheField name="I/P contactor SILICON washer" numFmtId="0">
      <sharedItems containsDate="1" containsBlank="1" containsMixedTypes="1" minDate="2024-02-24T00:00:00" maxDate="2025-06-27T00:00:00"/>
    </cacheField>
    <cacheField name="Steel mesh on cyclonic filter on loco wall" numFmtId="0">
      <sharedItems containsDate="1" containsBlank="1" containsMixedTypes="1" minDate="2022-04-21T00:00:00" maxDate="2025-11-20T00:00:00"/>
    </cacheField>
    <cacheField name="Installation of new type of communication card on displa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utta, Anish (RC-IN SMO CS RS1)" refreshedDate="45863.694569328705" createdVersion="8" refreshedVersion="8" minRefreshableVersion="3" recordCount="939" xr:uid="{A369F800-9FF1-4ECC-A7AB-ED92F1262874}">
  <cacheSource type="worksheet">
    <worksheetSource ref="A1:AN1000" sheet="Bangalore"/>
  </cacheSource>
  <cacheFields count="40">
    <cacheField name="S.No." numFmtId="0">
      <sharedItems containsString="0" containsBlank="1" containsNumber="1" containsInteger="1" minValue="1" maxValue="66"/>
    </cacheField>
    <cacheField name="Loco no." numFmtId="0">
      <sharedItems containsString="0" containsBlank="1" containsNumber="1" containsInteger="1" minValue="30622" maxValue="39426"/>
    </cacheField>
    <cacheField name="HLC" numFmtId="0">
      <sharedItems containsBlank="1"/>
    </cacheField>
    <cacheField name="Serial no. of HLC" numFmtId="0">
      <sharedItems containsBlank="1"/>
    </cacheField>
    <cacheField name="Base Shed" numFmtId="0">
      <sharedItems containsBlank="1" count="2">
        <s v="Krishnarajipuram"/>
        <m/>
      </sharedItems>
    </cacheField>
    <cacheField name="Railway" numFmtId="0">
      <sharedItems containsBlank="1"/>
    </cacheField>
    <cacheField name="Region" numFmtId="0">
      <sharedItems containsBlank="1"/>
    </cacheField>
    <cacheField name="DOC" numFmtId="0">
      <sharedItems containsNonDate="0" containsDate="1" containsString="0" containsBlank="1" minDate="2018-01-23T00:00:00" maxDate="2025-04-03T00:00:00"/>
    </cacheField>
    <cacheField name="serial no." numFmtId="0">
      <sharedItems containsBlank="1" containsMixedTypes="1" containsNumber="1" containsInteger="1" minValue="98" maxValue="1017"/>
    </cacheField>
    <cacheField name="Type of Text display" numFmtId="0">
      <sharedItems containsBlank="1"/>
    </cacheField>
    <cacheField name="Software version in Conv" numFmtId="0">
      <sharedItems containsBlank="1"/>
    </cacheField>
    <cacheField name="Software version in Conv_x000a_(Master) U7D2S04V.005_x000a_(Module) U7F2S240.005_x000a_*DATE*" numFmtId="0">
      <sharedItems containsDate="1" containsBlank="1" containsMixedTypes="1" minDate="2022-02-18T00:00:00" maxDate="2022-09-07T00:00:00"/>
    </cacheField>
    <cacheField name="Software version of display" numFmtId="0">
      <sharedItems containsBlank="1"/>
    </cacheField>
    <cacheField name="Software version (UAT2Y44O.O12) of display updation _x000a_*DATE*" numFmtId="0">
      <sharedItems containsBlank="1"/>
    </cacheField>
    <cacheField name="Filter clean_x000a_*DATE*" numFmtId="0">
      <sharedItems containsBlank="1"/>
    </cacheField>
    <cacheField name="Filter Change_x000a_*DATE*" numFmtId="0">
      <sharedItems containsBlank="1"/>
    </cacheField>
    <cacheField name="Removal of metal shortlink  from M9000 with wire" numFmtId="0">
      <sharedItems containsBlank="1"/>
    </cacheField>
    <cacheField name="Replacement of 10 amp fuse with 20amp" numFmtId="0">
      <sharedItems containsBlank="1"/>
    </cacheField>
    <cacheField name="Shifting of wires on O/P contactor" numFmtId="0">
      <sharedItems containsBlank="1"/>
    </cacheField>
    <cacheField name="External earth fault wire modification" numFmtId="0">
      <sharedItems containsBlank="1"/>
    </cacheField>
    <cacheField name="Shifting of wires of output voltage available lamp" numFmtId="0">
      <sharedItems containsBlank="1"/>
    </cacheField>
    <cacheField name="Sealing of cable entry of panel" numFmtId="0">
      <sharedItems containsBlank="1"/>
    </cacheField>
    <cacheField name="Sealing of main fan plate (On which DC-DC converter installed)" numFmtId="0">
      <sharedItems containsBlank="1"/>
    </cacheField>
    <cacheField name="Mounting of 110 volt DC fan on PWR" numFmtId="0">
      <sharedItems containsBlank="1"/>
    </cacheField>
    <cacheField name="Air leakage status in duct at the back of the converter" numFmtId="0">
      <sharedItems containsBlank="1"/>
    </cacheField>
    <cacheField name="FG block removal from bottom of input choke" numFmtId="0">
      <sharedItems containsBlank="1"/>
    </cacheField>
    <cacheField name="Surge arrestor fitment" numFmtId="0">
      <sharedItems containsNonDate="0" containsString="0" containsBlank="1"/>
    </cacheField>
    <cacheField name="Input choke change_x000a_(mention sr.no. of new choke_" numFmtId="0">
      <sharedItems containsBlank="1"/>
    </cacheField>
    <cacheField name="O/P choke change_x000a_(mention sr.no. of new choke_" numFmtId="0">
      <sharedItems containsNonDate="0" containsString="0" containsBlank="1"/>
    </cacheField>
    <cacheField name="Control fuse _x000a_6.5amp to 15amp_x000a_(Glass fuse)" numFmtId="0">
      <sharedItems containsBlank="1"/>
    </cacheField>
    <cacheField name="Display button" numFmtId="0">
      <sharedItems containsNonDate="0" containsString="0" containsBlank="1"/>
    </cacheField>
    <cacheField name="DC link bus bar supporter" numFmtId="0">
      <sharedItems containsDate="1" containsBlank="1" containsMixedTypes="1" minDate="2024-01-02T00:00:00" maxDate="2024-01-03T00:00:00"/>
    </cacheField>
    <cacheField name="Software version in Conv (200622)_x000a_(Master) Y6U2N04V.006_x000a_(Module) Y6U2N240.005_x000a_*DATE*" numFmtId="0">
      <sharedItems containsDate="1" containsBlank="1" containsMixedTypes="1" minDate="2024-01-08T00:00:00" maxDate="2024-12-11T00:00:00"/>
    </cacheField>
    <cacheField name="New Software version (UAT2Y44O.012) of display updation _x000a_*DATE*" numFmtId="0">
      <sharedItems containsBlank="1"/>
    </cacheField>
    <cacheField name="Sine Filter Capacitor washer fitment and tightness of connection_x000a_*DATE*" numFmtId="0">
      <sharedItems containsDate="1" containsBlank="1" containsMixedTypes="1" minDate="2024-02-02T00:00:00" maxDate="2024-12-10T00:00:00"/>
    </cacheField>
    <cacheField name="ELR setting to check_x000a_(1amp /10 sec)" numFmtId="0">
      <sharedItems containsBlank="1"/>
    </cacheField>
    <cacheField name="Heat Sink Cleaning _x000a_*Date*" numFmtId="0">
      <sharedItems containsDate="1" containsBlank="1" containsMixedTypes="1" minDate="2024-01-08T00:00:00" maxDate="2025-10-04T00:00:00"/>
    </cacheField>
    <cacheField name="I/P contactor SILICON washer" numFmtId="0">
      <sharedItems containsNonDate="0" containsString="0" containsBlank="1"/>
    </cacheField>
    <cacheField name="Steel mesh on cyclonic filter on looc wall" numFmtId="0">
      <sharedItems containsDate="1" containsBlank="1" containsMixedTypes="1" minDate="2024-01-08T00:00:00" maxDate="2024-12-10T00:00:00"/>
    </cacheField>
    <cacheField name="Installation of new type of communication card on displa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m/>
    <n v="30622"/>
    <s v="HLC-A"/>
    <s v="STB9J0168HLCD"/>
    <x v="0"/>
    <s v="SWR"/>
    <x v="0"/>
    <d v="2017-12-12T00:00:00"/>
    <n v="168"/>
    <x v="0"/>
    <m/>
    <m/>
    <s v="UAT2Y440.012"/>
    <s v="05.03.2021"/>
    <m/>
    <m/>
    <s v="Conv-A DONE"/>
    <m/>
    <m/>
    <m/>
    <s v="Conv-A DONE"/>
    <m/>
    <m/>
    <m/>
    <m/>
    <m/>
    <m/>
    <m/>
    <m/>
  </r>
  <r>
    <m/>
    <n v="30622"/>
    <s v="HLC-B"/>
    <s v="STB9J0169HLCD"/>
    <x v="0"/>
    <s v="SWR"/>
    <x v="0"/>
    <d v="2017-12-12T00:00:00"/>
    <n v="169"/>
    <x v="0"/>
    <m/>
    <m/>
    <s v="UAT2Y440.012"/>
    <s v="05.03.2021"/>
    <m/>
    <m/>
    <s v="Conv-B DONE"/>
    <m/>
    <m/>
    <m/>
    <s v="Conv-B DONE"/>
    <m/>
    <m/>
    <m/>
    <m/>
    <m/>
    <m/>
    <m/>
    <m/>
  </r>
  <r>
    <m/>
    <n v="30631"/>
    <s v="HLC-A"/>
    <s v="STB9J0158HLCD"/>
    <x v="0"/>
    <s v="SWR"/>
    <x v="0"/>
    <d v="2017-12-31T00:00:00"/>
    <n v="158"/>
    <x v="0"/>
    <s v="M-U7D2S04V.005,_x000a_MO-U7F2S240.005"/>
    <d v="2022-03-25T00:00:00"/>
    <s v="UAT2Y440.012"/>
    <s v="11.06.2021"/>
    <s v="01.02.2022"/>
    <m/>
    <s v="Conv-A DONE"/>
    <m/>
    <s v="Conv-A DONE"/>
    <s v="Conv-A DONE"/>
    <s v="Conv-A DONE"/>
    <m/>
    <m/>
    <m/>
    <m/>
    <s v="Conv-A DONE"/>
    <m/>
    <m/>
    <m/>
  </r>
  <r>
    <m/>
    <n v="30631"/>
    <s v="HLC-B"/>
    <s v="STB9J0116HLCD"/>
    <x v="0"/>
    <s v="SWR"/>
    <x v="0"/>
    <d v="2017-12-31T00:00:00"/>
    <n v="116"/>
    <x v="0"/>
    <s v="M-U7D2S04V.005,_x000a_MO-U7F2S240.005"/>
    <d v="2022-03-25T00:00:00"/>
    <s v="UAT2Y440.012"/>
    <s v="11.06.2021"/>
    <s v="01.02.2022"/>
    <m/>
    <s v="Conv-B DONE"/>
    <m/>
    <s v="Conv-B DONE"/>
    <s v="Conv-B DONE"/>
    <s v="Conv-B DONE"/>
    <m/>
    <m/>
    <m/>
    <m/>
    <s v="Conv-B DONE"/>
    <m/>
    <m/>
    <m/>
  </r>
  <r>
    <m/>
    <n v="30773"/>
    <s v="HLC-A"/>
    <s v="STB9M0984HLCD"/>
    <x v="0"/>
    <s v="SWR"/>
    <x v="0"/>
    <d v="2021-02-26T00:00:00"/>
    <n v="984"/>
    <x v="0"/>
    <s v="M-U7D2S04V.005,_x000a_MO-U7F2S240.005"/>
    <s v="Done by NW"/>
    <s v="UAT2Y440.012"/>
    <s v="29.06.2021"/>
    <m/>
    <s v="09.06.2022"/>
    <s v="Done by NW"/>
    <s v="Done by NW"/>
    <s v="Conv-A DONE"/>
    <s v="Conv-A DONE"/>
    <s v="Conv-A DONE"/>
    <m/>
    <m/>
    <s v="Done by NW"/>
    <m/>
    <s v="Conv-A DONE"/>
    <m/>
    <m/>
    <m/>
  </r>
  <r>
    <m/>
    <n v="30773"/>
    <s v="HLC-B"/>
    <s v="STB9M0985HLCD"/>
    <x v="0"/>
    <s v="SWR"/>
    <x v="0"/>
    <d v="2021-02-26T00:00:00"/>
    <n v="985"/>
    <x v="0"/>
    <s v="M-U7D2S04V.005,_x000a_MO-U7F2S240.005"/>
    <s v="Done by NW"/>
    <s v="UAT2Y440.012"/>
    <s v="03.06.2021"/>
    <m/>
    <s v="09.06.2022"/>
    <s v="Done by NW"/>
    <s v="Done by NW"/>
    <s v="Conv-B DONE"/>
    <s v="Conv-B DONE"/>
    <s v="Conv-B DONE"/>
    <m/>
    <m/>
    <s v="Done by NW"/>
    <m/>
    <s v="Conv-B DONE"/>
    <m/>
    <m/>
    <m/>
  </r>
  <r>
    <m/>
    <n v="37368"/>
    <s v="HLC-A"/>
    <s v="STBDL0734"/>
    <x v="0"/>
    <s v="SWR"/>
    <x v="0"/>
    <d v="2020-06-08T00:00:00"/>
    <n v="734"/>
    <x v="0"/>
    <m/>
    <m/>
    <s v="UAT2Y440.012"/>
    <s v="24.05.2021"/>
    <m/>
    <m/>
    <s v="Done by NW"/>
    <s v="Done by NW"/>
    <m/>
    <m/>
    <s v="Conv-A DONE"/>
    <m/>
    <m/>
    <m/>
    <m/>
    <m/>
    <m/>
    <m/>
    <m/>
  </r>
  <r>
    <m/>
    <n v="37368"/>
    <s v="HLC-B"/>
    <s v="STBDL0744"/>
    <x v="0"/>
    <s v="SWR"/>
    <x v="0"/>
    <d v="2020-06-08T00:00:00"/>
    <n v="744"/>
    <x v="0"/>
    <m/>
    <m/>
    <s v="UAT2Y440.012"/>
    <s v="24.05.2021"/>
    <m/>
    <m/>
    <s v="Done by NW"/>
    <s v="Done by NW"/>
    <m/>
    <m/>
    <s v="Conv-B DONE"/>
    <m/>
    <m/>
    <m/>
    <m/>
    <m/>
    <m/>
    <m/>
    <m/>
  </r>
  <r>
    <m/>
    <n v="37386"/>
    <s v="HLC-A"/>
    <s v="STBNL0713"/>
    <x v="0"/>
    <s v="SWR"/>
    <x v="0"/>
    <d v="2020-07-21T00:00:00"/>
    <n v="713"/>
    <x v="0"/>
    <s v="M-U7D2S04V.005,_x000a_MO-U7F2S240.005"/>
    <d v="2022-02-20T00:00:00"/>
    <s v="UAT2Y440.012"/>
    <s v="19.02.2021"/>
    <m/>
    <m/>
    <s v="Done by NW"/>
    <s v="Done by NW"/>
    <s v="Conv-A DONE"/>
    <s v="Conv-A DONE"/>
    <s v="Conv-A DONE"/>
    <m/>
    <m/>
    <m/>
    <m/>
    <s v="Conv-A DONE"/>
    <m/>
    <m/>
    <m/>
  </r>
  <r>
    <m/>
    <n v="37386"/>
    <s v="HLC-B"/>
    <s v="STBDL0751"/>
    <x v="0"/>
    <s v="SWR"/>
    <x v="0"/>
    <d v="2020-07-21T00:00:00"/>
    <n v="751"/>
    <x v="0"/>
    <s v="M-U7D2S04V.005,_x000a_MO-U7F2S240.005"/>
    <d v="2022-02-20T00:00:00"/>
    <s v="UAT2Y440.012"/>
    <s v="19.02.2021"/>
    <m/>
    <m/>
    <s v="Done by NW"/>
    <s v="Done by NW"/>
    <s v="Conv-B DONE"/>
    <s v="Conv-B DONE"/>
    <s v="Conv-B DONE"/>
    <m/>
    <m/>
    <m/>
    <m/>
    <s v="Conv-B DONE"/>
    <m/>
    <m/>
    <m/>
  </r>
  <r>
    <m/>
    <n v="37522"/>
    <s v="HLC-A"/>
    <s v="STB7M0872HLCD"/>
    <x v="1"/>
    <m/>
    <x v="1"/>
    <d v="2021-01-14T00:00:00"/>
    <n v="872"/>
    <x v="0"/>
    <s v="M-U7D2S04V.005,_x000a_MO-U7F2S240.005"/>
    <d v="2021-04-13T00:00:00"/>
    <s v="UAT2Y440.012"/>
    <s v="13.04.21"/>
    <m/>
    <m/>
    <s v="Done by NW"/>
    <s v="Done by NW"/>
    <s v="Conv-A DONE"/>
    <s v="Conv-A DONE"/>
    <s v="Conv-A DONE"/>
    <m/>
    <s v="Conv-A DONE"/>
    <s v="Done by NW"/>
    <m/>
    <m/>
    <m/>
    <m/>
    <m/>
  </r>
  <r>
    <m/>
    <n v="37522"/>
    <s v="HLC-B"/>
    <s v="STB7M0873HLCD"/>
    <x v="1"/>
    <m/>
    <x v="1"/>
    <d v="2021-01-14T00:00:00"/>
    <n v="873"/>
    <x v="0"/>
    <s v="M-U7D2S04V.005,_x000a_MO-U7F2S240.005"/>
    <d v="2021-04-13T00:00:00"/>
    <s v="UAT2Y440.012"/>
    <s v="13.04.21"/>
    <m/>
    <m/>
    <s v="Done by NW"/>
    <s v="Done by NW"/>
    <s v="Conv-B DONE"/>
    <s v="Conv-B DONE"/>
    <s v="Conv-B DONE"/>
    <m/>
    <s v="Conv-B DONE"/>
    <s v="Done by NW"/>
    <m/>
    <m/>
    <m/>
    <m/>
    <m/>
  </r>
  <r>
    <m/>
    <n v="37526"/>
    <s v="HLC-A"/>
    <s v="STBOM1002"/>
    <x v="0"/>
    <s v="SWR"/>
    <x v="0"/>
    <d v="2021-01-14T00:00:00"/>
    <n v="1002"/>
    <x v="0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s v="Conv-A DONE"/>
    <m/>
    <m/>
    <m/>
  </r>
  <r>
    <m/>
    <n v="37526"/>
    <s v="HLC-B"/>
    <s v="STB9M0974"/>
    <x v="0"/>
    <s v="SWR"/>
    <x v="0"/>
    <d v="2021-01-14T00:00:00"/>
    <n v="974"/>
    <x v="0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s v="Conv-B DONE"/>
    <m/>
    <m/>
    <m/>
  </r>
  <r>
    <m/>
    <n v="37528"/>
    <s v="HLC-A"/>
    <s v="STB8M0966"/>
    <x v="0"/>
    <s v="SWR"/>
    <x v="0"/>
    <d v="2021-01-15T00:00:00"/>
    <n v="966"/>
    <x v="0"/>
    <s v="M-U7D2S04V.005,_x000a_MO-U7F2S240.005"/>
    <s v="Done by NW"/>
    <s v="UAT2Y440.012"/>
    <s v="20.07.2021"/>
    <m/>
    <m/>
    <s v="Done by NW"/>
    <s v="Done by NW"/>
    <m/>
    <m/>
    <s v="Conv-A DONE"/>
    <m/>
    <m/>
    <s v="Done by NW"/>
    <m/>
    <s v="Conv-A DONE"/>
    <m/>
    <m/>
    <m/>
  </r>
  <r>
    <m/>
    <n v="37528"/>
    <s v="HLC-B"/>
    <s v="STB8M0968"/>
    <x v="0"/>
    <s v="SWR"/>
    <x v="0"/>
    <d v="2021-01-15T00:00:00"/>
    <n v="968"/>
    <x v="0"/>
    <s v="M-U7D2S04V.005,_x000a_MO-U7F2S240.005"/>
    <s v="Done by NW"/>
    <s v="UAT2Y440.012"/>
    <s v="20.07.2021"/>
    <m/>
    <m/>
    <s v="Done by NW"/>
    <s v="Done by NW"/>
    <m/>
    <m/>
    <s v="Conv-B DONE"/>
    <m/>
    <m/>
    <s v="Done by NW"/>
    <m/>
    <s v="Conv-B DONE"/>
    <m/>
    <m/>
    <m/>
  </r>
  <r>
    <m/>
    <n v="37529"/>
    <s v="HLC-A"/>
    <s v="STB0M1006HLCD"/>
    <x v="0"/>
    <s v="SWR"/>
    <x v="0"/>
    <d v="2021-03-24T00:00:00"/>
    <n v="1006"/>
    <x v="0"/>
    <s v="M-U7D2S04V.005,_x000a_MO-U7F2S240.005"/>
    <s v="Done by NW"/>
    <s v="UAT2Y440.012"/>
    <s v="09.06.2021"/>
    <m/>
    <m/>
    <s v="Done by NW"/>
    <s v="Done by NW"/>
    <s v="Conv-A DONE"/>
    <s v="Conv-A DONE"/>
    <s v="Conv-A DONE"/>
    <m/>
    <m/>
    <s v="Done by NW"/>
    <m/>
    <s v="Conv-A DONE"/>
    <m/>
    <m/>
    <m/>
  </r>
  <r>
    <m/>
    <n v="37529"/>
    <s v="HLC-B"/>
    <s v="STB0M1009HLCD"/>
    <x v="0"/>
    <s v="SWR"/>
    <x v="0"/>
    <d v="2021-03-24T00:00:00"/>
    <n v="1009"/>
    <x v="0"/>
    <s v="M-U7D2S04V.005,_x000a_MO-U7F2S240.005"/>
    <s v="Done by NW"/>
    <s v="UAT2Y440.012"/>
    <s v="12.06.2021"/>
    <m/>
    <m/>
    <s v="Done by NW"/>
    <s v="Done by NW"/>
    <s v="Conv-B DONE"/>
    <s v="Conv-B DONE"/>
    <s v="Conv-B DONE"/>
    <m/>
    <m/>
    <s v="Done by NW"/>
    <m/>
    <s v="Conv-B DONE"/>
    <m/>
    <m/>
    <m/>
  </r>
  <r>
    <m/>
    <n v="37531"/>
    <s v="HLC-A"/>
    <s v="STBDM1060"/>
    <x v="0"/>
    <s v="SWR"/>
    <x v="0"/>
    <d v="2021-01-21T00:00:00"/>
    <s v="1060"/>
    <x v="0"/>
    <s v="M-U7D2S04V.005,_x000a_MO-U7F2S240.005"/>
    <s v="Done by NW"/>
    <s v="UAT2Y440.012"/>
    <s v="Done by NW"/>
    <m/>
    <s v="08.07.2022"/>
    <s v="Done by NW"/>
    <s v="Done by NW"/>
    <s v="Conv-A DONE"/>
    <s v="Conv-A DONE"/>
    <s v="Conv-A DONE"/>
    <m/>
    <m/>
    <s v="Done by NW"/>
    <m/>
    <s v="Conv-A DONE"/>
    <m/>
    <m/>
    <m/>
  </r>
  <r>
    <m/>
    <n v="37531"/>
    <s v="HLC-B"/>
    <s v="STB9M0992"/>
    <x v="0"/>
    <s v="SWR"/>
    <x v="0"/>
    <d v="2021-01-21T00:00:00"/>
    <n v="992"/>
    <x v="0"/>
    <s v="M-U7D2S04V.005,_x000a_MO-U7F2S240.005"/>
    <s v="Done by NW"/>
    <s v="UAT2Y440.012"/>
    <s v="24.03.2021"/>
    <m/>
    <s v="08.07.2022"/>
    <s v="Done by NW"/>
    <s v="Done by NW"/>
    <s v="Conv-B DONE"/>
    <s v="Conv-B DONE"/>
    <s v="Conv-B DONE"/>
    <m/>
    <m/>
    <s v="Done by NW"/>
    <m/>
    <s v="Conv-B DONE"/>
    <m/>
    <m/>
    <m/>
  </r>
  <r>
    <m/>
    <n v="37568"/>
    <s v="HLC-A"/>
    <s v="STBOM1016"/>
    <x v="0"/>
    <s v="SWR"/>
    <x v="0"/>
    <d v="2021-04-06T00:00:00"/>
    <n v="1016"/>
    <x v="0"/>
    <s v="M-U7D2S04V.005,_x000a_MO-U7F2S240.005"/>
    <s v="Done by NW"/>
    <s v="UAT2Y440.012"/>
    <s v="07.08.2021"/>
    <m/>
    <m/>
    <s v="Done by NW"/>
    <s v="Done by NW"/>
    <s v="Conv-A DONE"/>
    <s v="Conv-A DONE"/>
    <s v="Conv-A DONE"/>
    <m/>
    <m/>
    <s v="Done by NW"/>
    <m/>
    <s v="Conv-A DONE"/>
    <m/>
    <m/>
    <m/>
  </r>
  <r>
    <m/>
    <n v="37568"/>
    <s v="HLC-B"/>
    <s v="STBOM1017"/>
    <x v="0"/>
    <s v="SWR"/>
    <x v="0"/>
    <d v="2021-04-06T00:00:00"/>
    <n v="1017"/>
    <x v="0"/>
    <s v="M-U7D2S04V.005,_x000a_MO-U7F2S240.005"/>
    <s v="Done by NW"/>
    <s v="UAT2Y440.012"/>
    <s v="07.08.2021"/>
    <m/>
    <m/>
    <s v="Done by NW"/>
    <s v="Done by NW"/>
    <s v="Conv-B DONE"/>
    <s v="Conv-B DONE"/>
    <s v="Conv-B DONE"/>
    <m/>
    <m/>
    <s v="Done by NW"/>
    <m/>
    <s v="Conv-B DONE"/>
    <m/>
    <m/>
    <m/>
  </r>
  <r>
    <m/>
    <n v="39140"/>
    <s v="HLC-A"/>
    <s v="STB1M0773HLCD"/>
    <x v="0"/>
    <s v="SWR"/>
    <x v="0"/>
    <d v="2020-05-28T00:00:00"/>
    <n v="773"/>
    <x v="0"/>
    <s v="M-U7D2S04V.005,_x000a_MO-U7F2S240.005"/>
    <d v="2022-07-08T00:00:00"/>
    <s v="UAT2Y440.012"/>
    <s v="24.02.2021"/>
    <m/>
    <s v="08.07.2022"/>
    <s v="Done by NW"/>
    <s v="Done by NW"/>
    <s v="Conv-A DONE"/>
    <s v="Conv-A DONE"/>
    <s v="Conv-A DONE"/>
    <m/>
    <m/>
    <m/>
    <m/>
    <s v="Conv-A DONE"/>
    <m/>
    <m/>
    <m/>
  </r>
  <r>
    <m/>
    <n v="39140"/>
    <s v="HLC-B"/>
    <s v="STBOL0671HLCD"/>
    <x v="0"/>
    <s v="SWR"/>
    <x v="0"/>
    <d v="2020-05-28T00:00:00"/>
    <n v="671"/>
    <x v="0"/>
    <s v="M-U7D2S04V.005,_x000a_MO-U7F2S240.005"/>
    <d v="2022-07-08T00:00:00"/>
    <s v="UAT2Y440.012"/>
    <s v="24.02.2021"/>
    <m/>
    <s v="08.07.2022"/>
    <s v="Done by NW"/>
    <s v="Done by NW"/>
    <s v="Conv-B DONE"/>
    <s v="Conv-B DONE"/>
    <s v="Conv-B DONE"/>
    <m/>
    <m/>
    <m/>
    <m/>
    <s v="Conv-B DONE"/>
    <m/>
    <m/>
    <m/>
  </r>
  <r>
    <m/>
    <n v="39157"/>
    <s v="HLC-A"/>
    <s v="STB7M0877HLCD"/>
    <x v="0"/>
    <s v="SWR"/>
    <x v="0"/>
    <d v="2020-09-09T00:00:00"/>
    <n v="877"/>
    <x v="0"/>
    <s v="M-U7D2S04V.005,_x000a_MO-U7F2S240.005"/>
    <d v="2022-04-02T00:00:00"/>
    <s v="UAT2Y440.012"/>
    <s v="23.02.2021"/>
    <m/>
    <m/>
    <s v="Done by NW"/>
    <s v="Done by NW"/>
    <s v="Conv-A DONE"/>
    <s v="Conv-A DONE"/>
    <s v="Conv-A DONE"/>
    <m/>
    <m/>
    <s v="Done by NW"/>
    <m/>
    <m/>
    <m/>
    <m/>
    <m/>
  </r>
  <r>
    <m/>
    <n v="39157"/>
    <s v="HLC-B"/>
    <s v="STB7M0876HLCD"/>
    <x v="0"/>
    <s v="SWR"/>
    <x v="0"/>
    <d v="2020-09-09T00:00:00"/>
    <n v="876"/>
    <x v="0"/>
    <s v="M-U7D2S04V.005,_x000a_MO-U7F2S240.005"/>
    <d v="2022-04-02T00:00:00"/>
    <s v="UAT2Y440.012"/>
    <s v="23.02.2021"/>
    <m/>
    <m/>
    <s v="Done by NW"/>
    <s v="Done by NW"/>
    <s v="Conv-B DONE"/>
    <s v="Conv-B DONE"/>
    <s v="Conv-B DONE"/>
    <m/>
    <m/>
    <s v="Done by NW"/>
    <m/>
    <m/>
    <m/>
    <m/>
    <m/>
  </r>
  <r>
    <m/>
    <n v="39158"/>
    <s v="HLC-A"/>
    <s v="STB7M0879HLCD"/>
    <x v="0"/>
    <s v="SWR"/>
    <x v="0"/>
    <d v="2020-09-11T00:00:00"/>
    <n v="879"/>
    <x v="0"/>
    <s v="M-U7D2S04V.005,_x000a_MO-U7F2S240.005"/>
    <d v="2022-02-28T00:00:00"/>
    <s v="UAT2Y440.012"/>
    <s v="23.03.2021"/>
    <m/>
    <s v="08.07.2022"/>
    <s v="Done by NW"/>
    <s v="Done by NW"/>
    <s v="Conv-A DONE"/>
    <s v="Conv-A DONE"/>
    <s v="Conv-A DONE"/>
    <m/>
    <m/>
    <s v="Done by NW"/>
    <m/>
    <s v="Conv-A DONE"/>
    <m/>
    <m/>
    <m/>
  </r>
  <r>
    <m/>
    <n v="39158"/>
    <s v="HLC-B"/>
    <s v="STB7M0885HLCD"/>
    <x v="0"/>
    <s v="SWR"/>
    <x v="0"/>
    <d v="2020-09-11T00:00:00"/>
    <n v="885"/>
    <x v="0"/>
    <s v="M-U7D2S04V.005,_x000a_MO-U7F2S240.005"/>
    <d v="2022-02-28T00:00:00"/>
    <s v="UAT2Y440.012"/>
    <s v="23.03.2021"/>
    <m/>
    <s v="08.07.2022"/>
    <s v="Done by NW"/>
    <s v="Done by NW"/>
    <s v="Conv-B DONE"/>
    <s v="Conv-B DONE"/>
    <s v="Conv-B DONE"/>
    <m/>
    <m/>
    <s v="Done by NW"/>
    <m/>
    <s v="Conv-B DONE"/>
    <m/>
    <m/>
    <m/>
  </r>
  <r>
    <m/>
    <n v="39165"/>
    <s v="HLC-A"/>
    <s v="STB9M0981HLCD"/>
    <x v="0"/>
    <s v="SWR"/>
    <x v="0"/>
    <d v="2020-11-16T00:00:00"/>
    <n v="981"/>
    <x v="0"/>
    <s v="M-U7D2S04V.005,_x000a_MO-U7F2S240.005"/>
    <s v="Done by NW"/>
    <s v="UAT2Y440.012"/>
    <s v="24.02.2021"/>
    <m/>
    <m/>
    <s v="Done by NW"/>
    <s v="Done by NW"/>
    <s v="Conv-A DONE"/>
    <s v="Conv-A DONE"/>
    <s v="Conv-A DONE"/>
    <m/>
    <m/>
    <s v="Done by NW"/>
    <m/>
    <s v="Conv-A DONE"/>
    <m/>
    <m/>
    <m/>
  </r>
  <r>
    <m/>
    <n v="39165"/>
    <s v="HLC-B"/>
    <s v="STB9M0980HLCD"/>
    <x v="0"/>
    <s v="SWR"/>
    <x v="0"/>
    <d v="2020-11-16T00:00:00"/>
    <n v="980"/>
    <x v="0"/>
    <s v="M-U7D2S04V.005,_x000a_MO-U7F2S240.005"/>
    <s v="Done by NW"/>
    <s v="UAT2Y440.012"/>
    <s v="24.02.2021"/>
    <m/>
    <m/>
    <s v="Done by NW"/>
    <s v="Done by NW"/>
    <s v="Conv-B DONE"/>
    <s v="Conv-B DONE"/>
    <s v="Conv-B DONE"/>
    <m/>
    <m/>
    <s v="Done by NW"/>
    <m/>
    <s v="Conv-B DONE"/>
    <m/>
    <m/>
    <m/>
  </r>
  <r>
    <m/>
    <n v="39166"/>
    <s v="HLC-A"/>
    <s v="STB7M0881HLCD"/>
    <x v="0"/>
    <s v="SWR"/>
    <x v="0"/>
    <d v="2020-10-27T00:00:00"/>
    <n v="881"/>
    <x v="0"/>
    <s v="M-U7D2S04V.005,_x000a_MO-U7F2S240.005"/>
    <d v="2022-02-18T00:00:00"/>
    <s v="UAT2Y440.012"/>
    <s v="13.02.2021"/>
    <m/>
    <m/>
    <s v="Done by NW"/>
    <s v="Done by NW"/>
    <s v="Conv-A DONE"/>
    <s v="Conv-A DONE"/>
    <s v="Conv-A DONE"/>
    <m/>
    <m/>
    <s v="Done by NW"/>
    <m/>
    <s v="Conv-A DONE"/>
    <m/>
    <m/>
    <m/>
  </r>
  <r>
    <m/>
    <n v="39166"/>
    <s v="HLC-B"/>
    <s v="STB7M0880HLCD"/>
    <x v="0"/>
    <s v="SWR"/>
    <x v="0"/>
    <d v="2020-10-27T00:00:00"/>
    <n v="880"/>
    <x v="0"/>
    <s v="M-U7D2S04V.005,_x000a_MO-U7F2S240.005"/>
    <d v="2022-02-18T00:00:00"/>
    <s v="UAT2Y440.012"/>
    <s v="13.02.2021"/>
    <m/>
    <m/>
    <s v="Done by NW"/>
    <s v="Done by NW"/>
    <s v="Conv-B DONE"/>
    <s v="Conv-B DONE"/>
    <s v="Conv-B DONE"/>
    <m/>
    <m/>
    <s v="Done by NW"/>
    <m/>
    <s v="Conv-B DONE"/>
    <m/>
    <m/>
    <m/>
  </r>
  <r>
    <m/>
    <n v="30782"/>
    <s v="HLC-A"/>
    <s v="STBNK0346HLCD"/>
    <x v="2"/>
    <s v="SR"/>
    <x v="2"/>
    <d v="2019-12-19T00:00:00"/>
    <n v="346"/>
    <x v="0"/>
    <s v="M-U7D2S04V.005,_x000a_MO-U7F2S240.005"/>
    <d v="2021-03-11T00:00:00"/>
    <s v="UAT2Y440.012"/>
    <d v="2020-12-14T00:00:00"/>
    <m/>
    <m/>
    <m/>
    <s v="Conv-A DONE"/>
    <s v="Conv-A DONE"/>
    <s v="Conv-A DONE"/>
    <s v="Conv-A DONE"/>
    <m/>
    <s v="Conv-A DONE"/>
    <s v="Conv-A DONE"/>
    <s v="Conv-A DONE"/>
    <s v="Conv-A DONE"/>
    <m/>
    <m/>
    <m/>
  </r>
  <r>
    <m/>
    <n v="30782"/>
    <s v="HLC-B"/>
    <s v="STBNK0347HLCD"/>
    <x v="2"/>
    <s v="SR"/>
    <x v="2"/>
    <d v="2019-12-19T00:00:00"/>
    <n v="347"/>
    <x v="0"/>
    <s v="M-U7D2S04V.005,_x000a_MO-U7F2S240.005"/>
    <d v="2021-03-11T00:00:00"/>
    <s v="UAT2Y440.012"/>
    <d v="2020-12-14T00:00:00"/>
    <m/>
    <m/>
    <m/>
    <s v="Conv-B DONE"/>
    <s v="Conv-B DONE"/>
    <s v="Conv-B DONE"/>
    <s v="Conv-B DONE"/>
    <m/>
    <s v="Conv-B DONE"/>
    <s v="Conv-B DONE"/>
    <s v="Conv-B DONE"/>
    <s v="Conv-B DONE"/>
    <m/>
    <m/>
    <m/>
  </r>
  <r>
    <m/>
    <n v="30783"/>
    <s v="HLC-A"/>
    <s v="STBDK0361HLCD"/>
    <x v="2"/>
    <s v="SR"/>
    <x v="2"/>
    <d v="2020-01-04T00:00:00"/>
    <n v="361"/>
    <x v="0"/>
    <s v="M-U7D2S04V.005,_x000a_MO-U7F2S240.005"/>
    <d v="2021-01-21T00:00:00"/>
    <s v="UAT2Y440.012"/>
    <d v="2021-01-02T00:00:00"/>
    <m/>
    <m/>
    <m/>
    <s v="Conv-A DONE"/>
    <m/>
    <s v="Conv-A DONE"/>
    <s v="Conv-A DONE"/>
    <m/>
    <m/>
    <m/>
    <m/>
    <m/>
    <m/>
    <m/>
    <m/>
  </r>
  <r>
    <m/>
    <n v="30783"/>
    <s v="HLC-B"/>
    <s v="STBDK0352HLCD"/>
    <x v="2"/>
    <s v="SR"/>
    <x v="2"/>
    <d v="2020-01-04T00:00:00"/>
    <n v="352"/>
    <x v="0"/>
    <s v="M-U7D2S04V.005,_x000a_MO-U7F2S240.005"/>
    <d v="2021-01-21T00:00:00"/>
    <s v="UAT2Y440.012"/>
    <d v="2021-01-02T00:00:00"/>
    <m/>
    <m/>
    <m/>
    <s v="Conv-B DONE"/>
    <m/>
    <s v="Conv-B DONE"/>
    <s v="Conv-B DONE"/>
    <m/>
    <m/>
    <m/>
    <m/>
    <m/>
    <m/>
    <m/>
    <m/>
  </r>
  <r>
    <m/>
    <n v="30784"/>
    <s v="HLC-A"/>
    <s v="STBDK0360HLCD"/>
    <x v="2"/>
    <s v="SR"/>
    <x v="2"/>
    <d v="2020-01-06T00:00:00"/>
    <n v="360"/>
    <x v="0"/>
    <s v="M-U7D2S04V.005,_x000a_MO-U7F2S240.005"/>
    <d v="2021-01-07T00:00:00"/>
    <s v="UAT2Y440.012"/>
    <d v="2021-01-07T00:00:00"/>
    <m/>
    <m/>
    <m/>
    <s v="Conv-A DONE"/>
    <m/>
    <s v="Conv-A DONE"/>
    <s v="Conv-A DONE"/>
    <m/>
    <m/>
    <m/>
    <m/>
    <m/>
    <m/>
    <m/>
    <m/>
  </r>
  <r>
    <m/>
    <n v="30784"/>
    <s v="HLC-B"/>
    <s v="STBDK0353HLCD"/>
    <x v="2"/>
    <s v="SR"/>
    <x v="2"/>
    <d v="2020-01-06T00:00:00"/>
    <n v="353"/>
    <x v="0"/>
    <s v="M-U7D2S04V.005,_x000a_MO-U7F2S240.005"/>
    <d v="2021-01-07T00:00:00"/>
    <s v="UAT2Y440.012"/>
    <d v="2021-01-07T00:00:00"/>
    <m/>
    <m/>
    <m/>
    <s v="Conv-B DONE"/>
    <m/>
    <s v="Conv-B DONE"/>
    <s v="Conv-B DONE"/>
    <m/>
    <m/>
    <m/>
    <m/>
    <m/>
    <m/>
    <m/>
    <m/>
  </r>
  <r>
    <m/>
    <n v="30802"/>
    <s v="HLC-A"/>
    <s v="STBNM1044HLCD"/>
    <x v="2"/>
    <s v="SR"/>
    <x v="2"/>
    <m/>
    <s v="1044"/>
    <x v="0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s v="Conv-A DONE"/>
    <s v="Done by NW"/>
    <s v="Conv-A DONE"/>
    <m/>
    <m/>
    <m/>
    <m/>
  </r>
  <r>
    <m/>
    <n v="30802"/>
    <s v="HLC-B"/>
    <s v="STBNM1045HLCD"/>
    <x v="2"/>
    <s v="SR"/>
    <x v="2"/>
    <m/>
    <s v="1045"/>
    <x v="0"/>
    <s v="M-U7D2S04V.005,_x000a_MO-U7F2S240.005"/>
    <s v="Done by NW"/>
    <s v="UAT2Y440.012"/>
    <s v="Done by NW"/>
    <m/>
    <m/>
    <s v="Done by NW"/>
    <s v="Done by NW"/>
    <s v="Conv-A DONE"/>
    <s v="Conv-B DONE"/>
    <s v="Conv-B DONE"/>
    <m/>
    <s v="Conv-B DONE"/>
    <s v="Done by NW"/>
    <s v="Conv-B DONE"/>
    <m/>
    <m/>
    <m/>
    <m/>
  </r>
  <r>
    <m/>
    <n v="37142"/>
    <s v="HLC-A"/>
    <s v="STBDK0367HLCD"/>
    <x v="2"/>
    <s v="SR"/>
    <x v="2"/>
    <d v="2019-04-16T00:00:00"/>
    <n v="367"/>
    <x v="0"/>
    <s v="M-U7D2S04V.005,_x000a_MO-U7F2S240.005"/>
    <d v="2021-01-04T00:00:00"/>
    <s v="UAT2Y440.012"/>
    <d v="2020-12-15T00:00:00"/>
    <m/>
    <m/>
    <m/>
    <s v="Conv-A DONE"/>
    <s v="Conv-A DONE"/>
    <s v="Conv-A DONE"/>
    <s v="Conv-A DONE"/>
    <m/>
    <s v="Conv-A DONE"/>
    <s v="Conv-A DONE"/>
    <m/>
    <m/>
    <m/>
    <m/>
    <m/>
  </r>
  <r>
    <m/>
    <n v="37142"/>
    <s v="HLC-B"/>
    <s v="STBNK0334HLCD"/>
    <x v="2"/>
    <s v="SR"/>
    <x v="2"/>
    <d v="2019-04-16T00:00:00"/>
    <n v="334"/>
    <x v="0"/>
    <s v="M-U7D2S04V.005,_x000a_MO-U7F2S240.005"/>
    <d v="2021-01-04T00:00:00"/>
    <s v="UAT2Y440.012"/>
    <d v="2020-12-15T00:00:00"/>
    <m/>
    <m/>
    <m/>
    <s v="Conv-B DONE"/>
    <s v="Conv-B DONE"/>
    <s v="Conv-B DONE"/>
    <s v="Conv-B DONE"/>
    <m/>
    <s v="Conv-B DONE"/>
    <s v="Conv-B DONE"/>
    <m/>
    <m/>
    <m/>
    <m/>
    <m/>
  </r>
  <r>
    <m/>
    <n v="37149"/>
    <s v="HLC-A"/>
    <s v="STB2L0438HLCD"/>
    <x v="2"/>
    <s v="SR"/>
    <x v="2"/>
    <d v="2019-04-25T00:00:00"/>
    <n v="438"/>
    <x v="0"/>
    <s v="M-U7D2S04V.005,_x000a_MO-U7F2S240.005"/>
    <d v="2021-01-09T00:00:00"/>
    <s v="UAT2Y440.012"/>
    <d v="2021-01-09T00:00:00"/>
    <d v="2021-02-09T00:00:00"/>
    <m/>
    <m/>
    <s v="Conv-A DONE"/>
    <m/>
    <s v="Conv-A DONE"/>
    <s v="Conv-A DONE"/>
    <m/>
    <s v="Conv-A DONE"/>
    <s v="Conv-A DONE"/>
    <m/>
    <m/>
    <m/>
    <m/>
    <m/>
  </r>
  <r>
    <m/>
    <n v="37149"/>
    <s v="HLC-B"/>
    <s v="STB0K0315HLCD"/>
    <x v="2"/>
    <s v="SR"/>
    <x v="2"/>
    <d v="2019-04-25T00:00:00"/>
    <n v="315"/>
    <x v="0"/>
    <s v="M-U7D2S04V.005,_x000a_MO-U7F2S240.005"/>
    <d v="2021-01-09T00:00:00"/>
    <s v="UAT2Y440.012"/>
    <d v="2021-01-09T00:00:00"/>
    <m/>
    <m/>
    <m/>
    <s v="Conv-B DONE"/>
    <m/>
    <s v="Conv-B DONE"/>
    <s v="Conv-B DONE"/>
    <m/>
    <s v="Conv-B DONE"/>
    <s v="Conv-B DONE"/>
    <m/>
    <m/>
    <m/>
    <m/>
    <m/>
  </r>
  <r>
    <m/>
    <n v="37151"/>
    <s v="HLC-A"/>
    <s v="STB2L0426 HLCD"/>
    <x v="2"/>
    <s v="SR"/>
    <x v="2"/>
    <d v="2019-04-25T00:00:00"/>
    <n v="426"/>
    <x v="0"/>
    <s v="M-U7D2S04V.005,_x000a_MO-U7F2S240.005"/>
    <d v="2021-01-13T00:00:00"/>
    <s v="UAT2Y440.012"/>
    <d v="2021-01-13T00:00:00"/>
    <m/>
    <m/>
    <m/>
    <s v="Conv-A DONE"/>
    <m/>
    <m/>
    <s v="Conv-A DONE"/>
    <m/>
    <s v="Conv-A DONE"/>
    <s v="Conv-A DONE"/>
    <m/>
    <m/>
    <m/>
    <m/>
    <m/>
  </r>
  <r>
    <m/>
    <n v="37151"/>
    <s v="HLC-B"/>
    <s v="STB2L0419HLCD"/>
    <x v="2"/>
    <s v="SR"/>
    <x v="2"/>
    <d v="2019-04-25T00:00:00"/>
    <n v="419"/>
    <x v="0"/>
    <s v="M-U7D2S04V.005,_x000a_MO-U7F2S240.005"/>
    <d v="2021-01-13T00:00:00"/>
    <s v="UAT2Y440.012"/>
    <d v="2021-01-13T00:00:00"/>
    <m/>
    <m/>
    <m/>
    <s v="Conv-B DONE"/>
    <m/>
    <m/>
    <s v="Conv-B DONE"/>
    <m/>
    <s v="Conv-B DONE"/>
    <s v="Conv-B DONE"/>
    <m/>
    <m/>
    <m/>
    <m/>
    <m/>
  </r>
  <r>
    <m/>
    <n v="37153"/>
    <s v="HLC-A"/>
    <s v="STB2L0423HLCD"/>
    <x v="2"/>
    <s v="SR"/>
    <x v="2"/>
    <d v="2019-04-26T00:00:00"/>
    <n v="423"/>
    <x v="0"/>
    <s v="M-U7D2S04V.005,_x000a_MO-U7F2S240.005"/>
    <d v="2021-01-16T00:00:00"/>
    <s v="UAT2Y440.012"/>
    <d v="2021-01-16T00:00:00"/>
    <m/>
    <m/>
    <m/>
    <s v="Conv-A DONE"/>
    <m/>
    <s v="Conv-A DONE"/>
    <s v="Conv-A DONE"/>
    <m/>
    <s v="Conv-A DONE"/>
    <m/>
    <m/>
    <m/>
    <m/>
    <m/>
    <m/>
  </r>
  <r>
    <m/>
    <n v="37153"/>
    <s v="HLC-B"/>
    <s v="STB2L0442HLCD"/>
    <x v="2"/>
    <s v="SR"/>
    <x v="2"/>
    <d v="2019-04-26T00:00:00"/>
    <n v="442"/>
    <x v="0"/>
    <s v="M-U7D2S04V.005,_x000a_MO-U7F2S240.005"/>
    <d v="2021-01-16T00:00:00"/>
    <s v="UAT2Y440.012"/>
    <d v="2021-01-16T00:00:00"/>
    <m/>
    <m/>
    <m/>
    <s v="Conv-B DONE"/>
    <m/>
    <s v="Conv-B DONE"/>
    <s v="Conv-B DONE"/>
    <m/>
    <s v="Conv-B DONE"/>
    <m/>
    <m/>
    <m/>
    <m/>
    <m/>
    <m/>
  </r>
  <r>
    <m/>
    <n v="37179"/>
    <s v="HLC-A"/>
    <s v="STB4L0454HLCD"/>
    <x v="2"/>
    <s v="SR"/>
    <x v="2"/>
    <d v="2019-05-22T00:00:00"/>
    <n v="454"/>
    <x v="0"/>
    <s v="M-U7D2S04V.005,_x000a_MO-U7F2S240.005"/>
    <d v="2021-01-12T00:00:00"/>
    <s v="UAT2Y440.012"/>
    <d v="2021-01-12T00:00:00"/>
    <m/>
    <m/>
    <m/>
    <s v="Conv-A DONE"/>
    <m/>
    <s v="Conv-A DONE"/>
    <s v="Conv-A DONE"/>
    <m/>
    <s v="Conv-A DONE"/>
    <m/>
    <m/>
    <m/>
    <m/>
    <m/>
    <m/>
  </r>
  <r>
    <m/>
    <n v="37179"/>
    <s v="HLC-B"/>
    <s v="STB4L0455HLCD"/>
    <x v="2"/>
    <s v="SR"/>
    <x v="2"/>
    <d v="2019-05-22T00:00:00"/>
    <n v="455"/>
    <x v="0"/>
    <s v="M-U7D2S04V.005,_x000a_MO-U7F2S240.005"/>
    <d v="2021-01-12T00:00:00"/>
    <s v="UAT2Y440.012"/>
    <d v="2021-01-12T00:00:00"/>
    <m/>
    <m/>
    <m/>
    <s v="Conv-B DONE"/>
    <m/>
    <s v="Conv-B DONE"/>
    <s v="Conv-B DONE"/>
    <m/>
    <s v="Conv-B DONE"/>
    <m/>
    <m/>
    <m/>
    <m/>
    <m/>
    <m/>
  </r>
  <r>
    <m/>
    <n v="37180"/>
    <s v="HLC-A"/>
    <s v="STB1L0386HLCD"/>
    <x v="2"/>
    <s v="SR"/>
    <x v="2"/>
    <d v="2019-05-23T00:00:00"/>
    <n v="386"/>
    <x v="0"/>
    <s v="M-U7D2S04V.005,_x000a_MO-U7F2S240.005"/>
    <d v="2021-02-02T00:00:00"/>
    <s v="UAT2Y440.012"/>
    <d v="2020-12-09T00:00:00"/>
    <m/>
    <m/>
    <m/>
    <s v="Conv-B DONE"/>
    <m/>
    <s v="Conv-B DONE"/>
    <s v="Conv-B DONE"/>
    <m/>
    <s v="Conv-B DONE"/>
    <m/>
    <s v="Conv-B DONE"/>
    <s v="Conv-B DONE"/>
    <m/>
    <m/>
    <m/>
  </r>
  <r>
    <m/>
    <n v="37180"/>
    <s v="HLC-B"/>
    <s v="STB1L0387HLCD"/>
    <x v="2"/>
    <s v="SR"/>
    <x v="2"/>
    <d v="2019-05-23T00:00:00"/>
    <n v="387"/>
    <x v="0"/>
    <s v="M-U7D2S04V.005,_x000a_MO-U7F2S240.005"/>
    <d v="2021-02-02T00:00:00"/>
    <s v="UAT2Y440.012"/>
    <d v="2020-12-09T00:00:00"/>
    <m/>
    <m/>
    <m/>
    <s v="Conv-A DONE"/>
    <m/>
    <s v="Conv-A DONE"/>
    <s v="Conv-A DONE"/>
    <m/>
    <s v="Conv-A DONE"/>
    <m/>
    <s v="Conv-A DONE"/>
    <s v="Conv-A DONE"/>
    <m/>
    <m/>
    <m/>
  </r>
  <r>
    <m/>
    <n v="37183"/>
    <s v="HLC-A"/>
    <s v="STB4L0469HLCD"/>
    <x v="2"/>
    <s v="SR"/>
    <x v="2"/>
    <d v="2019-05-24T00:00:00"/>
    <n v="469"/>
    <x v="0"/>
    <s v="M-U7D2S04V.005,_x000a_MO-U7F2S240.005"/>
    <d v="2021-01-19T00:00:00"/>
    <s v="UAT2Y440.012"/>
    <d v="2021-01-18T00:00:00"/>
    <m/>
    <m/>
    <m/>
    <s v="Conv-A DONE"/>
    <m/>
    <s v="Conv-A DONE"/>
    <s v="Conv-A DONE"/>
    <m/>
    <s v="Conv-A DONE"/>
    <m/>
    <m/>
    <m/>
    <m/>
    <m/>
    <m/>
  </r>
  <r>
    <m/>
    <n v="37183"/>
    <s v="HLC-B"/>
    <s v="STB4L0468HLCD"/>
    <x v="2"/>
    <s v="SR"/>
    <x v="2"/>
    <d v="2019-05-24T00:00:00"/>
    <n v="468"/>
    <x v="0"/>
    <s v="M-U7D2S04V.005,_x000a_MO-U7F2S240.005"/>
    <d v="2021-01-19T00:00:00"/>
    <s v="UAT2Y440.012"/>
    <d v="2021-01-18T00:00:00"/>
    <m/>
    <m/>
    <m/>
    <s v="Conv-B DONE"/>
    <m/>
    <m/>
    <m/>
    <m/>
    <m/>
    <m/>
    <m/>
    <m/>
    <m/>
    <m/>
    <m/>
  </r>
  <r>
    <m/>
    <n v="37202"/>
    <s v="HLC-A"/>
    <s v="STB4K0211HLCD"/>
    <x v="2"/>
    <s v="SR"/>
    <x v="2"/>
    <d v="2019-06-22T00:00:00"/>
    <n v="211"/>
    <x v="0"/>
    <s v="M-U7D2S04V.005,_x000a_MO-U7F2S240.005"/>
    <d v="2021-06-25T00:00:00"/>
    <s v="UAT2Y440.012"/>
    <d v="2020-12-15T00:00:00"/>
    <d v="2020-12-14T00:00:00"/>
    <m/>
    <m/>
    <s v="Conv-A DONE"/>
    <s v="Conv-A DONE"/>
    <s v="Conv-A DONE"/>
    <s v="Conv-A DONE"/>
    <m/>
    <s v="Conv-A DONE"/>
    <m/>
    <m/>
    <m/>
    <m/>
    <m/>
    <m/>
  </r>
  <r>
    <m/>
    <n v="37202"/>
    <s v="HLC-B"/>
    <s v="STB4K0213HLCD"/>
    <x v="2"/>
    <s v="SR"/>
    <x v="2"/>
    <d v="2019-06-22T00:00:00"/>
    <n v="213"/>
    <x v="0"/>
    <s v="M-U7D2S04V.005,_x000a_MO-U7F2S240.005"/>
    <d v="2021-06-25T00:00:00"/>
    <s v="UAT2Y440.012"/>
    <d v="2020-12-15T00:00:00"/>
    <d v="2020-12-14T00:00:00"/>
    <m/>
    <m/>
    <s v="Conv-B DONE"/>
    <s v="Conv-B DONE"/>
    <s v="Conv-B DONE"/>
    <s v="Conv-B DONE"/>
    <m/>
    <s v="Conv-B DONE"/>
    <m/>
    <m/>
    <m/>
    <m/>
    <m/>
    <m/>
  </r>
  <r>
    <m/>
    <n v="37204"/>
    <s v="HLC-A"/>
    <s v="STB5L0500HLCD"/>
    <x v="2"/>
    <s v="SR"/>
    <x v="2"/>
    <d v="2019-06-23T00:00:00"/>
    <n v="500"/>
    <x v="0"/>
    <s v="M-U7D2S04V.005,_x000a_MO-U7F2S240.005"/>
    <d v="2021-06-25T00:00:00"/>
    <s v="UAT2Y440.012"/>
    <d v="2021-01-02T00:00:00"/>
    <d v="2020-11-10T00:00:00"/>
    <m/>
    <m/>
    <s v="Conv-A DONE"/>
    <s v="Conv-A DONE"/>
    <s v="Conv-A DONE"/>
    <s v="Conv-A DONE"/>
    <m/>
    <s v="Conv-A DONE"/>
    <m/>
    <m/>
    <m/>
    <m/>
    <m/>
    <m/>
  </r>
  <r>
    <m/>
    <n v="37204"/>
    <s v="HLC-B"/>
    <s v="STB5L0501HLCD"/>
    <x v="2"/>
    <s v="SR"/>
    <x v="2"/>
    <d v="2019-06-23T00:00:00"/>
    <n v="501"/>
    <x v="0"/>
    <s v="M-U7D2S04V.005,_x000a_MO-U7F2S240.005"/>
    <d v="2021-01-02T00:00:00"/>
    <s v="UAT2Y440.012"/>
    <d v="2021-01-02T00:00:00"/>
    <d v="2020-11-10T00:00:00"/>
    <m/>
    <m/>
    <s v="Conv-B DONE"/>
    <s v="Conv-B DONE"/>
    <s v="Conv-B DONE"/>
    <s v="Conv-B DONE"/>
    <m/>
    <s v="Conv-B DONE"/>
    <m/>
    <m/>
    <m/>
    <m/>
    <m/>
    <m/>
  </r>
  <r>
    <m/>
    <n v="37222"/>
    <s v="HLC-A"/>
    <s v="STB5L0507HLCD"/>
    <x v="2"/>
    <s v="SR"/>
    <x v="2"/>
    <d v="2019-07-28T00:00:00"/>
    <n v="507"/>
    <x v="0"/>
    <s v="M-U7D2S04V.005,_x000a_MO-U7F2S240.005"/>
    <d v="2021-01-12T00:00:00"/>
    <s v="UAT2Y440.012"/>
    <d v="2020-12-15T00:00:00"/>
    <d v="2020-12-11T00:00:00"/>
    <m/>
    <s v="Done by NW"/>
    <s v="Conv-A DONE"/>
    <s v="Conv-A DONE"/>
    <s v="Conv-A DONE"/>
    <s v="Conv-A DONE"/>
    <m/>
    <s v="Conv-A DONE"/>
    <m/>
    <s v="Conv-A DONE"/>
    <s v="Conv-A DONE"/>
    <m/>
    <m/>
    <m/>
  </r>
  <r>
    <m/>
    <n v="37222"/>
    <s v="HLC-B"/>
    <s v="STB5L0506HLCD"/>
    <x v="2"/>
    <s v="SR"/>
    <x v="2"/>
    <d v="2019-07-28T00:00:00"/>
    <n v="506"/>
    <x v="0"/>
    <s v="M-U7D2S04V.005,_x000a_MO-U7F2S240.005"/>
    <d v="2021-01-12T00:00:00"/>
    <s v="UAT2Y440.012"/>
    <d v="2020-12-15T00:00:00"/>
    <d v="2020-12-11T00:00:00"/>
    <m/>
    <s v="Done by NW"/>
    <s v="Conv-B DONE"/>
    <s v="Conv-B DONE"/>
    <s v="Conv-B DONE"/>
    <s v="Conv-B DONE"/>
    <m/>
    <s v="Conv-B DONE"/>
    <m/>
    <s v="Conv-B DONE"/>
    <s v="Conv-B DONE"/>
    <m/>
    <m/>
    <m/>
  </r>
  <r>
    <m/>
    <n v="37297"/>
    <s v="HLC-A"/>
    <s v="STB6L0542HLCD"/>
    <x v="2"/>
    <s v="SR"/>
    <x v="2"/>
    <d v="2019-12-07T00:00:00"/>
    <n v="542"/>
    <x v="0"/>
    <s v="M-U7D2S04V.005,_x000a_MO-U7F2S240.005"/>
    <d v="2021-01-27T00:00:00"/>
    <s v="UAT2Y440.012"/>
    <d v="2020-12-16T00:00:00"/>
    <m/>
    <m/>
    <s v="Done by NW"/>
    <s v="Conv-A DONE"/>
    <s v="Conv-A DONE"/>
    <s v="Conv-A DONE"/>
    <s v="Conv-A DONE"/>
    <m/>
    <s v="Conv-A DONE"/>
    <m/>
    <m/>
    <m/>
    <m/>
    <m/>
    <m/>
  </r>
  <r>
    <m/>
    <n v="37297"/>
    <s v="HLC-B"/>
    <s v="STB6L0543HLCD"/>
    <x v="2"/>
    <s v="SR"/>
    <x v="2"/>
    <d v="2019-12-07T00:00:00"/>
    <n v="543"/>
    <x v="0"/>
    <s v="M-U7D2S04V.005,_x000a_MO-U7F2S240.005"/>
    <d v="2021-01-27T00:00:00"/>
    <s v="UAT2Y440.012"/>
    <d v="2020-12-16T00:00:00"/>
    <m/>
    <m/>
    <s v="Done by NW"/>
    <s v="Conv-B DONE"/>
    <s v="Conv-B DONE"/>
    <s v="Conv-B DONE"/>
    <s v="Conv-B DONE"/>
    <m/>
    <s v="Conv-B DONE"/>
    <m/>
    <m/>
    <m/>
    <m/>
    <m/>
    <m/>
  </r>
  <r>
    <m/>
    <n v="37306"/>
    <s v="HLC-A"/>
    <s v="STBNL0709HLCD"/>
    <x v="2"/>
    <s v="SR"/>
    <x v="2"/>
    <d v="2019-12-31T00:00:00"/>
    <n v="709"/>
    <x v="0"/>
    <s v="M-U7D2S04V.005,_x000a_MO-U7F2S240.005"/>
    <d v="2021-01-20T00:00:00"/>
    <s v="UAT2Y440.012"/>
    <d v="2020-12-28T00:00:00"/>
    <m/>
    <m/>
    <s v="Done by NW"/>
    <s v="Done by NW"/>
    <m/>
    <s v="Conv-A DONE"/>
    <s v="Conv-A DONE"/>
    <m/>
    <s v="Conv-A DONE"/>
    <m/>
    <m/>
    <m/>
    <m/>
    <m/>
    <m/>
  </r>
  <r>
    <m/>
    <n v="37306"/>
    <s v="HLC-B"/>
    <s v="STBNL0690HLCD"/>
    <x v="2"/>
    <s v="SR"/>
    <x v="2"/>
    <d v="2019-12-31T00:00:00"/>
    <n v="690"/>
    <x v="0"/>
    <s v="M-U7D2S04V.005,_x000a_MO-U7F2S240.005"/>
    <d v="2021-01-20T00:00:00"/>
    <s v="UAT2Y440.012"/>
    <d v="2020-12-28T00:00:00"/>
    <m/>
    <m/>
    <s v="Done by NW"/>
    <s v="Done by NW"/>
    <m/>
    <s v="Conv-B DONE"/>
    <s v="Conv-B DONE"/>
    <m/>
    <s v="Conv-B DONE"/>
    <m/>
    <m/>
    <m/>
    <m/>
    <m/>
    <m/>
  </r>
  <r>
    <m/>
    <n v="37308"/>
    <s v="HLC-A"/>
    <s v="STBOL0679HLCD"/>
    <x v="2"/>
    <s v="SR"/>
    <x v="2"/>
    <d v="2020-01-08T00:00:00"/>
    <n v="679"/>
    <x v="0"/>
    <s v="M-U7D2S04V.005,_x000a_MO-U7F2S240.005"/>
    <d v="2021-02-05T00:00:00"/>
    <s v="UAT2Y440.012"/>
    <d v="2020-12-19T00:00:00"/>
    <d v="2020-11-18T00:00:00"/>
    <m/>
    <s v="Done by NW"/>
    <s v="Done by NW"/>
    <s v="Conv-A DONE"/>
    <s v="Conv-A DONE"/>
    <s v="Conv-A DONE"/>
    <m/>
    <s v="Conv-A DONE"/>
    <m/>
    <m/>
    <m/>
    <m/>
    <m/>
    <m/>
  </r>
  <r>
    <m/>
    <n v="37308"/>
    <s v="HLC-B"/>
    <s v="STBOL0678HLCD"/>
    <x v="2"/>
    <s v="SR"/>
    <x v="2"/>
    <d v="2020-01-08T00:00:00"/>
    <n v="678"/>
    <x v="0"/>
    <s v="M-U7D2S04V.005,_x000a_MO-U7F2S240.005"/>
    <d v="2021-02-05T00:00:00"/>
    <s v="UAT2Y440.012"/>
    <d v="2020-12-19T00:00:00"/>
    <d v="2020-11-18T00:00:00"/>
    <m/>
    <s v="Done by NW"/>
    <s v="Done by NW"/>
    <s v="Conv-B DONE"/>
    <s v="Conv-B DONE"/>
    <s v="Conv-B DONE"/>
    <m/>
    <s v="Conv-B DONE"/>
    <m/>
    <m/>
    <m/>
    <m/>
    <m/>
    <m/>
  </r>
  <r>
    <m/>
    <n v="37310"/>
    <s v="HLC-A"/>
    <s v="STBNL0683HLCD"/>
    <x v="2"/>
    <s v="SR"/>
    <x v="2"/>
    <d v="2020-01-09T00:00:00"/>
    <n v="683"/>
    <x v="0"/>
    <s v="M-U7D2S04V.005,_x000a_MO-U7F2S240.005"/>
    <d v="2021-02-02T00:00:00"/>
    <s v="UAT2Y440.012"/>
    <d v="2020-12-10T00:00:00"/>
    <d v="2021-05-11T00:00:00"/>
    <m/>
    <s v="Done by NW"/>
    <s v="Done by NW"/>
    <s v="Conv-A DONE"/>
    <s v="Conv-A DONE"/>
    <s v="Conv-A DONE"/>
    <m/>
    <m/>
    <m/>
    <m/>
    <m/>
    <m/>
    <m/>
    <m/>
  </r>
  <r>
    <m/>
    <n v="37310"/>
    <s v="HLC-B"/>
    <s v="STBNL0682HLCD"/>
    <x v="2"/>
    <s v="SR"/>
    <x v="2"/>
    <d v="2020-01-09T00:00:00"/>
    <n v="682"/>
    <x v="0"/>
    <s v="M-U7D2S04V.005,_x000a_MO-U7F2S240.005"/>
    <d v="2021-02-02T00:00:00"/>
    <s v="UAT2Y440.012"/>
    <d v="2020-12-10T00:00:00"/>
    <d v="2021-05-11T00:00:00"/>
    <m/>
    <s v="Done by NW"/>
    <s v="Done by NW"/>
    <s v="Conv-B DONE"/>
    <s v="Conv-B DONE"/>
    <s v="Conv-B DONE"/>
    <m/>
    <m/>
    <m/>
    <m/>
    <m/>
    <m/>
    <m/>
    <m/>
  </r>
  <r>
    <m/>
    <n v="37312"/>
    <s v="HLC-A"/>
    <s v="STBNL0680HLCD"/>
    <x v="2"/>
    <s v="SR"/>
    <x v="2"/>
    <d v="2020-01-14T00:00:00"/>
    <n v="680"/>
    <x v="0"/>
    <s v="M-U7D2S04V.005,_x000a_MO-U7F2S240.005"/>
    <d v="2021-02-04T00:00:00"/>
    <s v="UAT2Y440.012"/>
    <d v="2020-12-17T00:00:00"/>
    <m/>
    <m/>
    <s v="Done by NW"/>
    <s v="Done by NW"/>
    <m/>
    <s v="Conv-A DONE"/>
    <s v="Conv-A DONE"/>
    <m/>
    <m/>
    <m/>
    <m/>
    <m/>
    <m/>
    <m/>
    <m/>
  </r>
  <r>
    <m/>
    <n v="37312"/>
    <s v="HLC-B"/>
    <s v="STBNL0681HLCD"/>
    <x v="2"/>
    <s v="SR"/>
    <x v="2"/>
    <d v="2020-01-14T00:00:00"/>
    <n v="681"/>
    <x v="0"/>
    <s v="M-U7D2S04V.005,_x000a_MO-U7F2S240.005"/>
    <d v="2021-02-04T00:00:00"/>
    <s v="UAT2Y440.012"/>
    <d v="2020-12-17T00:00:00"/>
    <m/>
    <m/>
    <s v="Done by NW"/>
    <s v="Done by NW"/>
    <m/>
    <s v="Conv-B DONE"/>
    <s v="Conv-B DONE"/>
    <m/>
    <m/>
    <m/>
    <m/>
    <m/>
    <m/>
    <m/>
    <m/>
  </r>
  <r>
    <m/>
    <n v="37315"/>
    <s v="HLC-A"/>
    <s v="STBDL0724HLCD"/>
    <x v="2"/>
    <s v="SR"/>
    <x v="2"/>
    <d v="2020-01-16T00:00:00"/>
    <n v="724"/>
    <x v="0"/>
    <s v="M-U7D2S04V.005,_x000a_MO-U7F2S240.005"/>
    <d v="2020-12-26T00:00:00"/>
    <s v="UAT2Y440.012"/>
    <d v="2020-12-11T00:00:00"/>
    <m/>
    <m/>
    <s v="Done by NW"/>
    <s v="Done by NW"/>
    <s v="Conv-A DONE"/>
    <s v="Conv-A DONE"/>
    <s v="Conv-A DONE"/>
    <m/>
    <s v="Conv-A DONE"/>
    <m/>
    <m/>
    <m/>
    <m/>
    <m/>
    <m/>
  </r>
  <r>
    <m/>
    <n v="37315"/>
    <s v="HLC-B"/>
    <s v="STBDL0725HLCD"/>
    <x v="2"/>
    <s v="SR"/>
    <x v="2"/>
    <d v="2020-01-16T00:00:00"/>
    <n v="725"/>
    <x v="0"/>
    <s v="M-U7D2S04V.005,_x000a_MO-U7F2S240.005"/>
    <d v="2020-12-26T00:00:00"/>
    <s v="UAT2Y440.012"/>
    <d v="2020-12-11T00:00:00"/>
    <m/>
    <m/>
    <s v="Done by NW"/>
    <s v="Done by NW"/>
    <s v="Conv-B DONE"/>
    <s v="Conv-B DONE"/>
    <s v="Conv-B DONE"/>
    <m/>
    <s v="Conv-B DONE"/>
    <m/>
    <m/>
    <m/>
    <m/>
    <m/>
    <m/>
  </r>
  <r>
    <m/>
    <n v="37317"/>
    <s v="HLC-A"/>
    <s v="STBNL0723HLCD"/>
    <x v="2"/>
    <s v="SR"/>
    <x v="2"/>
    <d v="2020-01-23T00:00:00"/>
    <n v="723"/>
    <x v="0"/>
    <s v="M-U7D2S04V.005,_x000a_MO-U7F2S240.005"/>
    <d v="2021-01-25T00:00:00"/>
    <s v="UAT2Y440.012"/>
    <d v="2021-01-25T00:00:00"/>
    <m/>
    <m/>
    <s v="Done by NW"/>
    <s v="Done by NW"/>
    <m/>
    <s v="Conv-A DONE"/>
    <s v="Conv-A DONE"/>
    <m/>
    <s v="Conv-A DONE"/>
    <m/>
    <m/>
    <m/>
    <m/>
    <m/>
    <m/>
  </r>
  <r>
    <m/>
    <n v="37317"/>
    <s v="HLC-B"/>
    <s v="STBDL0728HLCD"/>
    <x v="2"/>
    <s v="SR"/>
    <x v="2"/>
    <d v="2020-01-23T00:00:00"/>
    <n v="728"/>
    <x v="0"/>
    <s v="M-U7D2S04V.005,_x000a_MO-U7F2S240.005"/>
    <d v="2021-01-25T00:00:00"/>
    <s v="UAT2Y440.012"/>
    <d v="2021-01-25T00:00:00"/>
    <m/>
    <m/>
    <s v="Done by NW"/>
    <s v="Done by NW"/>
    <m/>
    <s v="Conv-B DONE"/>
    <s v="Conv-B DONE"/>
    <m/>
    <s v="Conv-B DONE"/>
    <m/>
    <m/>
    <m/>
    <m/>
    <m/>
    <m/>
  </r>
  <r>
    <m/>
    <n v="37319"/>
    <s v="HLC-A"/>
    <s v="STBNL0695HLCD"/>
    <x v="2"/>
    <s v="SR"/>
    <x v="2"/>
    <d v="2020-01-27T00:00:00"/>
    <n v="695"/>
    <x v="0"/>
    <s v="M-U7D2S04V.005,_x000a_MO-U7F2S240.005"/>
    <d v="2021-01-28T00:00:00"/>
    <s v="UAT2Y440.012"/>
    <d v="2021-01-28T00:00:00"/>
    <d v="2021-02-10T00:00:00"/>
    <m/>
    <s v="Done by NW"/>
    <s v="Done by NW"/>
    <s v="Conv-A DONE"/>
    <s v="Conv-A DONE"/>
    <s v="Conv-A DONE"/>
    <m/>
    <s v="Conv-A DONE"/>
    <m/>
    <m/>
    <m/>
    <m/>
    <m/>
    <m/>
  </r>
  <r>
    <m/>
    <n v="37319"/>
    <s v="HLC-B"/>
    <s v="STBNL0691HLCD"/>
    <x v="2"/>
    <s v="SR"/>
    <x v="2"/>
    <d v="2020-01-27T00:00:00"/>
    <n v="691"/>
    <x v="0"/>
    <s v="M-U7D2S04V.005,_x000a_MO-U7F2S240.005"/>
    <d v="2021-01-28T00:00:00"/>
    <s v="UAT2Y440.012"/>
    <d v="2021-01-28T00:00:00"/>
    <m/>
    <m/>
    <s v="Done by NW"/>
    <s v="Done by NW"/>
    <s v="Conv-B DONE"/>
    <s v="Conv-B DONE"/>
    <s v="Conv-B DONE"/>
    <m/>
    <s v="Conv-B DONE"/>
    <m/>
    <m/>
    <m/>
    <m/>
    <m/>
    <m/>
  </r>
  <r>
    <m/>
    <n v="37371"/>
    <s v="HLC-A"/>
    <s v="STBDL0746HLCD"/>
    <x v="2"/>
    <s v="SR"/>
    <x v="2"/>
    <d v="2020-06-13T00:00:00"/>
    <n v="746"/>
    <x v="0"/>
    <s v="M-U7D2S04V.005,_x000a_MO-U7F2S240.005"/>
    <d v="2021-02-04T00:00:00"/>
    <s v="UAT2Y440.012"/>
    <d v="2020-12-10T00:00:00"/>
    <m/>
    <m/>
    <s v="Done by NW"/>
    <s v="Done by NW"/>
    <s v="Conv-A DONE"/>
    <s v="Conv-A DONE"/>
    <s v="Conv-A DONE"/>
    <m/>
    <s v="Conv-A DONE"/>
    <s v="Conv-A DONE"/>
    <s v="Conv-A DONE"/>
    <s v="Conv-A DONE"/>
    <m/>
    <m/>
    <m/>
  </r>
  <r>
    <m/>
    <n v="37371"/>
    <s v="HLC-B"/>
    <s v="STBDL0733HLCD"/>
    <x v="2"/>
    <s v="SR"/>
    <x v="2"/>
    <d v="2020-06-13T00:00:00"/>
    <n v="733"/>
    <x v="0"/>
    <s v="M-U7D2S04V.005,_x000a_MO-U7F2S240.005"/>
    <d v="2021-02-04T00:00:00"/>
    <s v="UAT2Y440.012"/>
    <d v="2020-12-10T00:00:00"/>
    <m/>
    <m/>
    <s v="Done by NW"/>
    <s v="Done by NW"/>
    <s v="Conv-B DONE"/>
    <s v="Conv-B DONE"/>
    <s v="Conv-B DONE"/>
    <m/>
    <s v="Conv-B DONE"/>
    <s v="Conv-B DONE"/>
    <s v="Conv-B DONE"/>
    <s v="Conv-B DONE"/>
    <m/>
    <m/>
    <m/>
  </r>
  <r>
    <m/>
    <n v="37373"/>
    <s v="HLC-A"/>
    <s v="STBDL0749HLCD"/>
    <x v="2"/>
    <s v="SR"/>
    <x v="2"/>
    <d v="2020-06-16T00:00:00"/>
    <n v="749"/>
    <x v="0"/>
    <s v="M-U7D2S04V.005,_x000a_MO-U7F2S240.005"/>
    <d v="2021-01-10T00:00:00"/>
    <s v="UAT2Y440.012"/>
    <d v="2020-12-11T00:00:00"/>
    <m/>
    <m/>
    <s v="Done by NW"/>
    <s v="Done by NW"/>
    <s v="Conv-A DONE"/>
    <s v="Conv-A DONE"/>
    <s v="Conv-A DONE"/>
    <m/>
    <s v="Conv-A DONE"/>
    <m/>
    <m/>
    <m/>
    <m/>
    <m/>
    <m/>
  </r>
  <r>
    <m/>
    <n v="37373"/>
    <s v="HLC-B"/>
    <s v="STBDL0731HLCD"/>
    <x v="2"/>
    <s v="SR"/>
    <x v="2"/>
    <d v="2020-06-16T00:00:00"/>
    <n v="731"/>
    <x v="0"/>
    <s v="M-U7D2S04V.005,_x000a_MO-U7F2S240.005"/>
    <d v="2021-01-10T00:00:00"/>
    <s v="UAT2Y440.012"/>
    <d v="2020-12-11T00:00:00"/>
    <m/>
    <m/>
    <s v="Done by NW"/>
    <s v="Done by NW"/>
    <s v="Conv-B DONE"/>
    <s v="Conv-B DONE"/>
    <s v="Conv-B DONE"/>
    <m/>
    <s v="Conv-B DONE"/>
    <m/>
    <m/>
    <m/>
    <m/>
    <m/>
    <m/>
  </r>
  <r>
    <m/>
    <n v="37436"/>
    <s v="HLC-A"/>
    <s v="STB5M0828HLCD"/>
    <x v="2"/>
    <s v="SR"/>
    <x v="2"/>
    <d v="2020-08-28T00:00:00"/>
    <n v="828"/>
    <x v="0"/>
    <s v="M-U7D2S04V.005,_x000a_MO-U7F2S240.005"/>
    <d v="2021-01-07T00:00:00"/>
    <s v="UAT2Y440.012"/>
    <d v="2020-12-28T00:00:00"/>
    <m/>
    <m/>
    <s v="Done by NW"/>
    <s v="Done by NW"/>
    <s v="Conv-B DONE"/>
    <s v="Conv-B DONE"/>
    <s v="Conv-B DONE"/>
    <m/>
    <s v="Conv-B DONE"/>
    <s v="Done by NW"/>
    <s v="Conv-B DONE"/>
    <s v="Conv-B DONE"/>
    <m/>
    <m/>
    <m/>
  </r>
  <r>
    <m/>
    <n v="37436"/>
    <s v="HLC-B"/>
    <s v="STB5M0829HLCD"/>
    <x v="2"/>
    <s v="SR"/>
    <x v="2"/>
    <d v="2020-08-28T00:00:00"/>
    <n v="829"/>
    <x v="0"/>
    <s v="M-U7D2S04V.005,_x000a_MO-U7F2S240.005"/>
    <d v="2021-01-07T00:00:00"/>
    <s v="UAT2Y440.012"/>
    <d v="2020-12-28T00:00:00"/>
    <m/>
    <m/>
    <s v="Done by NW"/>
    <s v="Done by NW"/>
    <s v="Conv-A DONE"/>
    <s v="Conv-A DONE"/>
    <s v="Conv-A DONE"/>
    <m/>
    <s v="Conv-A DONE"/>
    <s v="Done by NW"/>
    <s v="Conv-A DONE"/>
    <s v="Conv-A DONE"/>
    <m/>
    <m/>
    <m/>
  </r>
  <r>
    <m/>
    <n v="37448"/>
    <s v="HLC-A"/>
    <s v="STB6M0852HLCD"/>
    <x v="2"/>
    <s v="SR"/>
    <x v="2"/>
    <d v="2020-09-14T00:00:00"/>
    <n v="852"/>
    <x v="0"/>
    <s v="M-U7D2S04V.005,_x000a_MO-U7F2S240.005"/>
    <d v="2021-01-21T00:00:00"/>
    <s v="UAT2Y440.012"/>
    <d v="2020-12-19T00:00:00"/>
    <m/>
    <m/>
    <s v="Done by NW"/>
    <s v="Done by NW"/>
    <m/>
    <s v="Conv-A DONE"/>
    <s v="Conv-A DONE"/>
    <m/>
    <s v="Conv-A DONE"/>
    <s v="Done by NW"/>
    <s v="Conv-A DONE"/>
    <s v="Conv-A DONE"/>
    <m/>
    <m/>
    <m/>
  </r>
  <r>
    <m/>
    <n v="37448"/>
    <s v="HLC-B"/>
    <s v="STB6M0853HLCD"/>
    <x v="2"/>
    <s v="SR"/>
    <x v="2"/>
    <d v="2020-09-14T00:00:00"/>
    <n v="853"/>
    <x v="0"/>
    <s v="M-U7D2S04V.005,_x000a_MO-U7F2S240.005"/>
    <d v="2021-01-21T00:00:00"/>
    <s v="UAT2Y440.012"/>
    <d v="2020-12-19T00:00:00"/>
    <m/>
    <m/>
    <s v="Done by NW"/>
    <s v="Done by NW"/>
    <m/>
    <s v="Conv-B DONE"/>
    <s v="Conv-B DONE"/>
    <m/>
    <s v="Conv-B DONE"/>
    <s v="Done by NW"/>
    <s v="Conv-B DONE"/>
    <s v="Conv-B DONE"/>
    <m/>
    <m/>
    <m/>
  </r>
  <r>
    <m/>
    <n v="37462"/>
    <s v="HLC-A"/>
    <s v="STB8M0943HLCD"/>
    <x v="2"/>
    <s v="SR"/>
    <x v="2"/>
    <d v="2020-12-08T00:00:00"/>
    <n v="943"/>
    <x v="0"/>
    <s v="M-U7D2S04V.005,_x000a_MO-U7F2S240.005"/>
    <s v="Done by NW"/>
    <s v="UAT2Y440.012"/>
    <d v="2021-01-18T00:00:00"/>
    <m/>
    <m/>
    <s v="Done by NW"/>
    <s v="Done by NW"/>
    <m/>
    <s v="Conv-A DONE"/>
    <s v="Conv-A DONE"/>
    <m/>
    <s v="Conv-A DONE"/>
    <s v="Done by NW"/>
    <m/>
    <m/>
    <m/>
    <m/>
    <m/>
  </r>
  <r>
    <m/>
    <n v="37462"/>
    <s v="HLC-B"/>
    <s v="STB8M0942HLCD"/>
    <x v="2"/>
    <s v="SR"/>
    <x v="2"/>
    <d v="2020-12-08T00:00:00"/>
    <n v="942"/>
    <x v="0"/>
    <s v="M-U7D2S04V.005,_x000a_MO-U7F2S240.005"/>
    <s v="Done by NW"/>
    <s v="UAT2Y440.012"/>
    <d v="2021-01-18T00:00:00"/>
    <m/>
    <m/>
    <s v="Done by NW"/>
    <s v="Done by NW"/>
    <m/>
    <s v="Conv-B DONE"/>
    <s v="Conv-B DONE"/>
    <m/>
    <s v="Conv-B DONE"/>
    <s v="Done by NW"/>
    <m/>
    <m/>
    <m/>
    <m/>
    <m/>
  </r>
  <r>
    <m/>
    <n v="37482"/>
    <s v="HLC-A"/>
    <s v="STB8M0904HLCD"/>
    <x v="2"/>
    <s v="SR"/>
    <x v="2"/>
    <d v="2020-11-18T00:00:00"/>
    <n v="904"/>
    <x v="0"/>
    <s v="M-U7D2S04V.005,_x000a_MO-U7F2S240.005"/>
    <s v="Done by NW"/>
    <s v="UAT2Y440.012"/>
    <d v="2020-12-28T00:00:00"/>
    <m/>
    <m/>
    <s v="Done by NW"/>
    <s v="Done by NW"/>
    <m/>
    <s v="Conv-A DONE"/>
    <s v="Conv-A DONE"/>
    <m/>
    <s v="Conv-A DONE"/>
    <s v="Done by NW"/>
    <m/>
    <m/>
    <m/>
    <m/>
    <m/>
  </r>
  <r>
    <m/>
    <n v="37482"/>
    <s v="HLC-B"/>
    <s v="STB8M0905HLCD"/>
    <x v="2"/>
    <s v="SR"/>
    <x v="2"/>
    <d v="2020-11-18T00:00:00"/>
    <n v="905"/>
    <x v="0"/>
    <s v="M-U7D2S04V.005,_x000a_MO-U7F2S240.005"/>
    <s v="Done by NW"/>
    <s v="UAT2Y440.012"/>
    <d v="2020-12-28T00:00:00"/>
    <m/>
    <m/>
    <s v="Done by NW"/>
    <s v="Done by NW"/>
    <m/>
    <s v="Conv-B DONE"/>
    <s v="Conv-B DONE"/>
    <m/>
    <s v="Conv-B DONE"/>
    <s v="Done by NW"/>
    <m/>
    <m/>
    <m/>
    <m/>
    <m/>
  </r>
  <r>
    <m/>
    <n v="37485"/>
    <s v="HLC-A"/>
    <s v="STB9M0970HLCD"/>
    <x v="2"/>
    <s v="SR"/>
    <x v="2"/>
    <d v="2020-11-27T00:00:00"/>
    <n v="970"/>
    <x v="0"/>
    <s v="M-U7D2S04V.005,_x000a_MO-U7F2S240.005"/>
    <s v="Done by NW"/>
    <s v="UAT2Y440.012"/>
    <d v="2021-01-23T00:00:00"/>
    <m/>
    <m/>
    <s v="Done by NW"/>
    <s v="Done by NW"/>
    <m/>
    <s v="Conv-A DONE"/>
    <s v="Conv-A DONE"/>
    <m/>
    <s v="Conv-A DONE"/>
    <s v="Done by NW"/>
    <m/>
    <m/>
    <m/>
    <m/>
    <m/>
  </r>
  <r>
    <m/>
    <n v="37485"/>
    <s v="HLC-B"/>
    <s v="STB9M0971HLCD"/>
    <x v="2"/>
    <s v="SR"/>
    <x v="2"/>
    <d v="2020-11-27T00:00:00"/>
    <n v="971"/>
    <x v="0"/>
    <s v="M-U7D2S04V.005,_x000a_MO-U7F2S240.005"/>
    <s v="Done by NW"/>
    <s v="UAT2Y440.012"/>
    <d v="2021-01-23T00:00:00"/>
    <m/>
    <m/>
    <s v="Done by NW"/>
    <s v="Done by NW"/>
    <m/>
    <s v="Conv-B DONE"/>
    <s v="Conv-B DONE"/>
    <m/>
    <s v="Conv-B DONE"/>
    <s v="Done by NW"/>
    <m/>
    <m/>
    <m/>
    <m/>
    <m/>
  </r>
  <r>
    <m/>
    <n v="37494"/>
    <s v="HLC-A"/>
    <s v="STB8M0950HLCD"/>
    <x v="2"/>
    <s v="SR"/>
    <x v="2"/>
    <d v="2020-12-19T00:00:00"/>
    <n v="950"/>
    <x v="0"/>
    <s v="M-U7D2S04V.005,_x000a_MO-U7F2S240.005"/>
    <s v="Done by NW"/>
    <s v="UAT2Y440.012"/>
    <d v="2021-02-02T00:00:00"/>
    <m/>
    <m/>
    <s v="Done by NW"/>
    <s v="Done by NW"/>
    <m/>
    <s v="Conv-A DONE"/>
    <s v="Conv-A DONE"/>
    <m/>
    <s v="Conv-A DONE"/>
    <s v="Done by NW"/>
    <m/>
    <m/>
    <m/>
    <m/>
    <m/>
  </r>
  <r>
    <m/>
    <n v="37494"/>
    <s v="HLC-B"/>
    <s v="STBOM1001HLCD"/>
    <x v="2"/>
    <s v="SR"/>
    <x v="2"/>
    <d v="2020-12-19T00:00:00"/>
    <n v="1001"/>
    <x v="0"/>
    <s v="M-U7D2S04V.005,_x000a_MO-U7F2S240.005"/>
    <s v="Done by NW"/>
    <s v="UAT2Y440.012"/>
    <d v="2021-02-02T00:00:00"/>
    <m/>
    <m/>
    <s v="Done by NW"/>
    <s v="Done by NW"/>
    <m/>
    <s v="Conv-B DONE"/>
    <s v="Conv-B DONE"/>
    <m/>
    <s v="Conv-B DONE"/>
    <s v="Done by NW"/>
    <m/>
    <m/>
    <m/>
    <m/>
    <m/>
  </r>
  <r>
    <m/>
    <n v="37544"/>
    <s v="HLC-A"/>
    <s v="STB8M0906HLCD"/>
    <x v="2"/>
    <s v="SR"/>
    <x v="2"/>
    <d v="2021-02-28T00:00:00"/>
    <n v="906"/>
    <x v="0"/>
    <s v="M-U7D2S04V.005,_x000a_MO-U7F2S240.005"/>
    <s v="Done by NW"/>
    <s v="UAT2Y440.012"/>
    <s v="25.03.21"/>
    <m/>
    <m/>
    <s v="Done by NW"/>
    <s v="Done by NW"/>
    <m/>
    <s v="Conv-A DONE"/>
    <s v="Conv-A DONE"/>
    <m/>
    <s v="Conv-A DONE"/>
    <s v="Done by NW"/>
    <m/>
    <m/>
    <m/>
    <m/>
    <m/>
  </r>
  <r>
    <m/>
    <n v="37544"/>
    <s v="HLC-B"/>
    <s v="STB8M0907HLCD"/>
    <x v="2"/>
    <s v="SR"/>
    <x v="2"/>
    <d v="2021-02-28T00:00:00"/>
    <n v="907"/>
    <x v="0"/>
    <s v="M-U7D2S04V.005,_x000a_MO-U7F2S240.005"/>
    <s v="Done by NW"/>
    <s v="UAT2Y440.012"/>
    <s v="25.03.21"/>
    <m/>
    <m/>
    <s v="Done by NW"/>
    <s v="Done by NW"/>
    <m/>
    <s v="Conv-B DONE"/>
    <s v="Conv-B DONE"/>
    <m/>
    <s v="Conv-B DONE"/>
    <s v="Done by NW"/>
    <m/>
    <m/>
    <m/>
    <m/>
    <m/>
  </r>
  <r>
    <m/>
    <n v="37546"/>
    <s v="HLC-A"/>
    <s v="STB0M1007HLCD"/>
    <x v="2"/>
    <s v="SR"/>
    <x v="2"/>
    <d v="2021-02-28T00:00:00"/>
    <n v="1007"/>
    <x v="0"/>
    <s v="M-U7D2S04V.005,_x000a_MO-U7F2S240.005"/>
    <s v="Done by NW"/>
    <s v="UAT2Y440.012"/>
    <s v="19.04.21"/>
    <m/>
    <m/>
    <s v="Done by NW"/>
    <s v="Done by NW"/>
    <m/>
    <s v="Conv-A DONE"/>
    <s v="Conv-A DONE"/>
    <m/>
    <s v="Conv-A DONE"/>
    <s v="Done by NW"/>
    <m/>
    <m/>
    <m/>
    <m/>
    <m/>
  </r>
  <r>
    <m/>
    <n v="37546"/>
    <s v="HLC-B"/>
    <s v="STB0M1013HLCD"/>
    <x v="2"/>
    <s v="SR"/>
    <x v="2"/>
    <d v="2021-02-28T00:00:00"/>
    <n v="1013"/>
    <x v="0"/>
    <s v="M-U7D2S04V.005,_x000a_MO-U7F2S240.005"/>
    <s v="Done by NW"/>
    <s v="UAT2Y440.012"/>
    <s v="19.04.21"/>
    <m/>
    <m/>
    <s v="Done by NW"/>
    <s v="Done by NW"/>
    <m/>
    <s v="Conv-B DONE"/>
    <s v="Conv-B DONE"/>
    <m/>
    <s v="Conv-B DONE"/>
    <s v="Done by NW"/>
    <m/>
    <m/>
    <m/>
    <m/>
    <m/>
  </r>
  <r>
    <m/>
    <n v="37563"/>
    <s v="HLC-A"/>
    <s v="STB7M0865"/>
    <x v="3"/>
    <s v="SR"/>
    <x v="2"/>
    <d v="2021-04-05T00:00:00"/>
    <n v="865"/>
    <x v="0"/>
    <m/>
    <m/>
    <m/>
    <m/>
    <m/>
    <m/>
    <s v="Done by NW"/>
    <s v="Done by NW"/>
    <m/>
    <m/>
    <m/>
    <m/>
    <m/>
    <s v="Done by NW"/>
    <m/>
    <m/>
    <m/>
    <m/>
    <m/>
  </r>
  <r>
    <m/>
    <n v="37563"/>
    <s v="HLC-B"/>
    <s v="STB7M0864"/>
    <x v="3"/>
    <s v="SR"/>
    <x v="2"/>
    <d v="2021-04-05T00:00:00"/>
    <n v="864"/>
    <x v="0"/>
    <m/>
    <m/>
    <m/>
    <m/>
    <m/>
    <m/>
    <s v="Done by NW"/>
    <s v="Done by NW"/>
    <m/>
    <m/>
    <m/>
    <m/>
    <m/>
    <s v="Done by NW"/>
    <m/>
    <m/>
    <m/>
    <m/>
    <m/>
  </r>
  <r>
    <m/>
    <n v="39123"/>
    <s v="HLC-A"/>
    <s v="STBOL0666HLCD"/>
    <x v="2"/>
    <s v="SR"/>
    <x v="2"/>
    <d v="2020-01-21T00:00:00"/>
    <n v="666"/>
    <x v="0"/>
    <s v="M-U7D2S04V.005,_x000a_MO-U7F2S240.005"/>
    <d v="2021-12-13T00:00:00"/>
    <s v="UAT2Y440.012"/>
    <d v="2020-12-10T00:00:00"/>
    <m/>
    <m/>
    <s v="Done by NW"/>
    <s v="Done by NW"/>
    <s v="Conv-A DONE"/>
    <s v="Conv-A DONE"/>
    <s v="Conv-A DONE"/>
    <m/>
    <s v="Conv-A DONE"/>
    <m/>
    <s v="Conv-A DONE"/>
    <s v="Conv-A DONE"/>
    <m/>
    <m/>
    <m/>
  </r>
  <r>
    <m/>
    <n v="39123"/>
    <s v="HLC-B"/>
    <s v="STBOL0652HLCD"/>
    <x v="2"/>
    <s v="SR"/>
    <x v="2"/>
    <d v="2020-01-21T00:00:00"/>
    <n v="652"/>
    <x v="0"/>
    <s v="M-U7D2S04V.005,_x000a_MO-U7F2S240.005"/>
    <d v="2021-12-13T00:00:00"/>
    <s v="UAT2Y440.012"/>
    <d v="2020-12-10T00:00:00"/>
    <m/>
    <m/>
    <s v="Done by NW"/>
    <s v="Done by NW"/>
    <s v="Conv-B DONE"/>
    <s v="Conv-B DONE"/>
    <s v="Conv-B DONE"/>
    <m/>
    <s v="Conv-B DONE"/>
    <m/>
    <s v="Conv-B DONE"/>
    <s v="Conv-B DONE"/>
    <m/>
    <m/>
    <m/>
  </r>
  <r>
    <m/>
    <n v="39125"/>
    <s v="HLC-A"/>
    <s v="STBOL0669HLCD"/>
    <x v="2"/>
    <s v="SR"/>
    <x v="2"/>
    <d v="2020-01-28T00:00:00"/>
    <n v="669"/>
    <x v="0"/>
    <s v="M-U7D2S04V.005,_x000a_MO-U7F2S240.005"/>
    <d v="2021-03-13T00:00:00"/>
    <s v="UAT2Y440.012"/>
    <d v="2020-12-10T00:00:00"/>
    <m/>
    <m/>
    <s v="Done by NW"/>
    <s v="Done by NW"/>
    <s v="Conv-A DONE"/>
    <s v="Conv-A DONE"/>
    <s v="Conv-A DONE"/>
    <m/>
    <m/>
    <m/>
    <m/>
    <m/>
    <m/>
    <m/>
    <m/>
  </r>
  <r>
    <m/>
    <n v="39125"/>
    <s v="HLC-B"/>
    <s v="STB5L0529HLCD"/>
    <x v="2"/>
    <s v="SR"/>
    <x v="2"/>
    <d v="2020-01-28T00:00:00"/>
    <n v="529"/>
    <x v="0"/>
    <s v="M-U7D2S04V.005,_x000a_MO-U7F2S240.005"/>
    <d v="2021-03-13T00:00:00"/>
    <s v="UAT2Y440.012"/>
    <d v="2020-12-10T00:00:00"/>
    <m/>
    <m/>
    <s v="Done by NW"/>
    <s v="Conv-B DONE"/>
    <s v="Conv-B DONE"/>
    <s v="Conv-B DONE"/>
    <s v="Conv-B DONE"/>
    <m/>
    <m/>
    <m/>
    <m/>
    <m/>
    <m/>
    <m/>
    <m/>
  </r>
  <r>
    <m/>
    <n v="30475"/>
    <s v="HLC-A"/>
    <s v="STBDF0047HLCA"/>
    <x v="3"/>
    <s v="SR"/>
    <x v="2"/>
    <d v="2016-05-21T00:00:00"/>
    <n v="47"/>
    <x v="1"/>
    <s v="M-U7D2S04V.005,_x000a_MO-U7F2S240.005"/>
    <d v="2020-12-03T00:00:00"/>
    <s v="L3I2ZY72.008"/>
    <s v="Done"/>
    <d v="2020-12-03T00:00:00"/>
    <m/>
    <m/>
    <s v="Conv-A DONE"/>
    <m/>
    <s v="Conv-A DONE"/>
    <m/>
    <m/>
    <m/>
    <m/>
    <s v="Conv-A DONE"/>
    <s v="Conv-A DONE"/>
    <m/>
    <m/>
    <m/>
  </r>
  <r>
    <m/>
    <n v="30475"/>
    <s v="HLC-B"/>
    <s v="STBDF0048HLCA"/>
    <x v="3"/>
    <s v="SR"/>
    <x v="2"/>
    <d v="2016-05-21T00:00:00"/>
    <n v="48"/>
    <x v="1"/>
    <s v="M-U7D2S04V.005,_x000a_MO-U7F2S240.005"/>
    <d v="2020-12-03T00:00:00"/>
    <s v="L3I2ZY72.008"/>
    <s v="Done"/>
    <d v="2020-12-03T00:00:00"/>
    <m/>
    <m/>
    <s v="Conv-B DONE"/>
    <m/>
    <s v="Conv-B DONE"/>
    <m/>
    <m/>
    <m/>
    <m/>
    <s v="Conv-B DONE"/>
    <s v="Conv-B DONE"/>
    <m/>
    <m/>
    <m/>
  </r>
  <r>
    <m/>
    <n v="30477"/>
    <s v="HLC-A"/>
    <s v="STB1F0042HLCB"/>
    <x v="3"/>
    <s v="SR"/>
    <x v="2"/>
    <d v="2016-05-30T00:00:00"/>
    <n v="42"/>
    <x v="1"/>
    <s v="M-U7D2S04V.005,_x000a_MO-U7F2S240.005"/>
    <d v="2020-10-20T00:00:00"/>
    <s v="L3I2ZY72.008"/>
    <s v="Done"/>
    <d v="2020-12-22T00:00:00"/>
    <m/>
    <m/>
    <s v="Conv-A DONE"/>
    <m/>
    <s v="Conv-A DONE"/>
    <m/>
    <m/>
    <m/>
    <m/>
    <s v="Conv-A DONE"/>
    <s v="Conv-A DONE"/>
    <m/>
    <m/>
    <m/>
  </r>
  <r>
    <m/>
    <n v="30477"/>
    <s v="HLC-B"/>
    <s v="STB1N0037HLCB"/>
    <x v="3"/>
    <s v="SR"/>
    <x v="2"/>
    <d v="2016-05-30T00:00:00"/>
    <n v="37"/>
    <x v="1"/>
    <s v="M-U7D2S04V.005,_x000a_MO-U7F2S240.005"/>
    <d v="2020-10-20T00:00:00"/>
    <s v="L3I2ZY72.008"/>
    <s v="Done"/>
    <d v="2020-12-22T00:00:00"/>
    <m/>
    <m/>
    <s v="Conv-B DONE"/>
    <m/>
    <s v="Conv-B DONE"/>
    <m/>
    <m/>
    <m/>
    <m/>
    <s v="Conv-B DONE"/>
    <s v="Conv-B DONE"/>
    <m/>
    <m/>
    <m/>
  </r>
  <r>
    <m/>
    <n v="30479"/>
    <s v="HLC-A"/>
    <s v="STB9F0030HLCB"/>
    <x v="3"/>
    <s v="SR"/>
    <x v="2"/>
    <d v="2016-05-26T00:00:00"/>
    <n v="30"/>
    <x v="1"/>
    <s v="M-U7D2S04V.005,_x000a_MO-U7F2S240.005"/>
    <d v="2020-12-05T00:00:00"/>
    <s v="L3I2ZY72.008"/>
    <s v="Done"/>
    <d v="2020-10-20T00:00:00"/>
    <m/>
    <m/>
    <s v="Conv-A DONE"/>
    <m/>
    <s v="Conv-A DONE"/>
    <m/>
    <m/>
    <m/>
    <m/>
    <s v="Conv-A DONE"/>
    <s v="Conv-A DONE"/>
    <m/>
    <m/>
    <m/>
  </r>
  <r>
    <m/>
    <n v="30479"/>
    <s v="HLC-B"/>
    <s v="STB9F0029HLCB"/>
    <x v="3"/>
    <s v="SR"/>
    <x v="2"/>
    <d v="2016-05-26T00:00:00"/>
    <n v="29"/>
    <x v="1"/>
    <s v="M-U7D2S04V.005,_x000a_MO-U7F2S240.005"/>
    <d v="2020-12-05T00:00:00"/>
    <s v="L3I2ZY72.008"/>
    <s v="Done"/>
    <d v="2020-10-20T00:00:00"/>
    <m/>
    <m/>
    <s v="Conv-B DONE"/>
    <m/>
    <s v="Conv-B DONE"/>
    <m/>
    <m/>
    <m/>
    <m/>
    <s v="Conv-B DONE"/>
    <s v="Conv-B DONE"/>
    <m/>
    <m/>
    <m/>
  </r>
  <r>
    <m/>
    <n v="30482"/>
    <s v="HLC-A"/>
    <s v="STB8F0022HLDA"/>
    <x v="3"/>
    <s v="SR"/>
    <x v="2"/>
    <d v="2016-07-19T00:00:00"/>
    <n v="22"/>
    <x v="1"/>
    <s v="M-U7D2S04V.005,_x000a_MO-U7F2S240.005"/>
    <s v="Done"/>
    <s v="L3I2ZY72.008"/>
    <s v="Done"/>
    <d v="2020-10-27T00:00:00"/>
    <m/>
    <s v="Conv-A DONE"/>
    <s v="Conv-A DONE"/>
    <m/>
    <s v="Conv-A DONE"/>
    <m/>
    <m/>
    <m/>
    <m/>
    <s v="Conv-A DONE"/>
    <s v="Conv-A DONE"/>
    <m/>
    <m/>
    <m/>
  </r>
  <r>
    <m/>
    <n v="30482"/>
    <s v="HLC-B"/>
    <s v="STB8F0046HLDA"/>
    <x v="3"/>
    <s v="SR"/>
    <x v="2"/>
    <d v="2016-07-19T00:00:00"/>
    <n v="46"/>
    <x v="1"/>
    <s v="M-U7D2S04V.005,_x000a_MO-U7F2S240.005"/>
    <s v="Done"/>
    <s v="L3I2ZY72.008"/>
    <s v="Done"/>
    <d v="2020-10-27T00:00:00"/>
    <m/>
    <s v="Conv-B DONE"/>
    <s v="Conv-B DONE"/>
    <m/>
    <s v="Conv-B DONE"/>
    <m/>
    <m/>
    <m/>
    <m/>
    <s v="Conv-B DONE"/>
    <s v="Conv-B DONE"/>
    <m/>
    <m/>
    <m/>
  </r>
  <r>
    <m/>
    <n v="30528"/>
    <s v="HLC-A"/>
    <s v="STB7H0068HLCC"/>
    <x v="3"/>
    <s v="SR"/>
    <x v="2"/>
    <d v="2017-04-24T00:00:00"/>
    <n v="68"/>
    <x v="1"/>
    <s v="M-U7D2S04V.005,_x000a_MO-U7F2S240.005"/>
    <d v="2021-03-10T00:00:00"/>
    <s v="UAT2Y440.012"/>
    <d v="2021-03-10T00:00:00"/>
    <d v="2020-10-29T00:00:00"/>
    <m/>
    <s v="Conv-A DONE"/>
    <s v="Conv-A DONE"/>
    <m/>
    <s v="Conv-A DONE"/>
    <m/>
    <m/>
    <m/>
    <m/>
    <s v="Conv-A DONE"/>
    <s v="Conv-A DONE"/>
    <m/>
    <m/>
    <m/>
  </r>
  <r>
    <m/>
    <n v="30528"/>
    <s v="HLC-B"/>
    <s v="STB7H0071HLCC"/>
    <x v="3"/>
    <s v="SR"/>
    <x v="2"/>
    <d v="2017-04-24T00:00:00"/>
    <n v="71"/>
    <x v="1"/>
    <s v="M-U7D2S04V.005,_x000a_MO-U7F2S240.005"/>
    <d v="2021-03-10T00:00:00"/>
    <s v="UAT2Y440.012"/>
    <d v="2021-03-10T00:00:00"/>
    <d v="2020-10-29T00:00:00"/>
    <m/>
    <s v="Conv-B DONE"/>
    <s v="Conv-B DONE"/>
    <m/>
    <s v="Conv-B DONE"/>
    <m/>
    <m/>
    <m/>
    <m/>
    <s v="Conv-B DONE"/>
    <s v="Conv-B DONE"/>
    <m/>
    <m/>
    <m/>
  </r>
  <r>
    <m/>
    <n v="30545"/>
    <s v="HLC-A"/>
    <s v="STB9H0083HLCC"/>
    <x v="3"/>
    <s v="SR"/>
    <x v="2"/>
    <d v="2017-05-31T00:00:00"/>
    <n v="83"/>
    <x v="1"/>
    <s v="M-U7D2S04V.005,_x000a_MO-U7F2S240.005"/>
    <d v="2020-12-11T00:00:00"/>
    <s v="UAT2Y440.012"/>
    <d v="2020-12-31T00:00:00"/>
    <d v="2020-09-17T00:00:00"/>
    <m/>
    <m/>
    <s v="Conv-A DONE"/>
    <m/>
    <s v="Conv-A DONE"/>
    <m/>
    <m/>
    <m/>
    <m/>
    <s v="Conv-A DONE"/>
    <s v="Conv-A DONE"/>
    <m/>
    <m/>
    <m/>
  </r>
  <r>
    <m/>
    <n v="30545"/>
    <s v="HLC-B"/>
    <s v="STB9H0082HLCC"/>
    <x v="3"/>
    <s v="SR"/>
    <x v="2"/>
    <d v="2017-05-31T00:00:00"/>
    <n v="82"/>
    <x v="1"/>
    <s v="M-U7D2S04V.005,_x000a_MO-U7F2S240.005"/>
    <d v="2020-12-11T00:00:00"/>
    <s v="UAT2Y440.012"/>
    <d v="2020-12-31T00:00:00"/>
    <d v="2020-09-17T00:00:00"/>
    <m/>
    <m/>
    <s v="Conv-B DONE"/>
    <m/>
    <s v="Conv-B DONE"/>
    <m/>
    <m/>
    <m/>
    <m/>
    <s v="Conv-B DONE"/>
    <s v="Conv-B DONE"/>
    <m/>
    <m/>
    <m/>
  </r>
  <r>
    <m/>
    <n v="30597"/>
    <s v="HLC-A"/>
    <s v="STB6J0110HLCD"/>
    <x v="3"/>
    <s v="SR"/>
    <x v="2"/>
    <d v="2017-11-14T00:00:00"/>
    <n v="110"/>
    <x v="0"/>
    <s v="M-U7D2S04V.005,_x000a_MO-U7F2S240.005"/>
    <d v="2021-05-19T00:00:00"/>
    <s v="UAT2Y440.012"/>
    <d v="2021-05-19T00:00:00"/>
    <m/>
    <m/>
    <m/>
    <s v="Conv-A DONE"/>
    <m/>
    <s v="Conv-A DONE"/>
    <m/>
    <m/>
    <m/>
    <m/>
    <m/>
    <m/>
    <m/>
    <m/>
    <m/>
  </r>
  <r>
    <m/>
    <n v="30597"/>
    <s v="HLC-B"/>
    <s v="STB6J0113HLCD"/>
    <x v="3"/>
    <s v="SR"/>
    <x v="2"/>
    <d v="2017-11-14T00:00:00"/>
    <n v="113"/>
    <x v="0"/>
    <s v="M-U7D2S04V.005,_x000a_MO-U7F2S240.005"/>
    <d v="2021-05-19T00:00:00"/>
    <s v="UAT2Y440.012"/>
    <d v="2021-05-19T00:00:00"/>
    <m/>
    <m/>
    <m/>
    <s v="Conv-B DONE"/>
    <m/>
    <s v="Conv-B DONE"/>
    <m/>
    <m/>
    <m/>
    <m/>
    <m/>
    <m/>
    <m/>
    <m/>
    <m/>
  </r>
  <r>
    <m/>
    <n v="30615"/>
    <s v="HLC-A"/>
    <s v="STB8J0137HLCD"/>
    <x v="3"/>
    <s v="SR"/>
    <x v="2"/>
    <d v="2017-12-02T00:00:00"/>
    <n v="137"/>
    <x v="0"/>
    <s v="M-U7D2S04V.005,_x000a_MO-U7F2S240.005"/>
    <d v="2020-12-20T00:00:00"/>
    <s v="UAT2Y440.012"/>
    <d v="2020-12-20T00:00:00"/>
    <m/>
    <m/>
    <s v="Conv-A DONE"/>
    <s v="Conv-A DONE"/>
    <m/>
    <m/>
    <m/>
    <m/>
    <m/>
    <m/>
    <m/>
    <m/>
    <m/>
    <m/>
    <m/>
  </r>
  <r>
    <m/>
    <n v="30615"/>
    <s v="HLC-B"/>
    <s v="STB9J0157HLCD"/>
    <x v="3"/>
    <s v="SR"/>
    <x v="2"/>
    <d v="2017-12-02T00:00:00"/>
    <n v="157"/>
    <x v="0"/>
    <s v="M-U7D2S04V.005,_x000a_MO-U7F2S240.005"/>
    <d v="2020-12-20T00:00:00"/>
    <s v="UAT2Y440.012"/>
    <d v="2020-12-20T00:00:00"/>
    <m/>
    <m/>
    <s v="Conv-B DONE"/>
    <s v="Conv-B DONE"/>
    <m/>
    <m/>
    <m/>
    <m/>
    <m/>
    <m/>
    <m/>
    <m/>
    <m/>
    <m/>
    <m/>
  </r>
  <r>
    <m/>
    <n v="30749"/>
    <s v="HLC-A"/>
    <s v="STB4K0227HLCD"/>
    <x v="3"/>
    <s v="SR"/>
    <x v="2"/>
    <d v="2019-07-03T00:00:00"/>
    <n v="227"/>
    <x v="0"/>
    <s v="M-U7D2S04V.005,_x000a_MO-U7F2S240.005"/>
    <d v="2021-01-19T00:00:00"/>
    <s v="UAT2Y440.012"/>
    <d v="2020-12-16T00:00:00"/>
    <m/>
    <m/>
    <m/>
    <s v="Conv-A DONE"/>
    <m/>
    <s v="Conv-A DONE"/>
    <s v="Conv-A DONE"/>
    <m/>
    <s v="Conv-A DONE"/>
    <m/>
    <m/>
    <m/>
    <m/>
    <m/>
    <m/>
  </r>
  <r>
    <m/>
    <n v="30749"/>
    <s v="HLC-B"/>
    <s v="STB5K0228HLCD"/>
    <x v="3"/>
    <s v="SR"/>
    <x v="2"/>
    <d v="2019-07-03T00:00:00"/>
    <n v="228"/>
    <x v="0"/>
    <s v="M-U7D2S04V.005,_x000a_MO-U7F2S240.005"/>
    <d v="2021-01-19T00:00:00"/>
    <s v="UAT2Y440.012"/>
    <d v="2020-12-16T00:00:00"/>
    <m/>
    <m/>
    <m/>
    <s v="Conv-B DONE"/>
    <m/>
    <s v="Conv-B DONE"/>
    <s v="Conv-B DONE"/>
    <m/>
    <s v="Conv-B DONE"/>
    <m/>
    <m/>
    <m/>
    <m/>
    <m/>
    <m/>
  </r>
  <r>
    <m/>
    <n v="37068"/>
    <s v="HLC-A"/>
    <s v="STB6K0255HLCD"/>
    <x v="3"/>
    <s v="SR"/>
    <x v="2"/>
    <d v="2018-12-25T00:00:00"/>
    <n v="255"/>
    <x v="0"/>
    <s v="M-U7D2S04V.005,_x000a_MO-U7F2S240.005"/>
    <d v="2021-05-26T00:00:00"/>
    <s v="UAT2Y440.012"/>
    <d v="2021-01-07T00:00:00"/>
    <m/>
    <m/>
    <m/>
    <s v="Conv-A DONE"/>
    <m/>
    <s v="Conv-A DONE"/>
    <s v="Conv-A DONE"/>
    <m/>
    <m/>
    <m/>
    <s v="Conv-A DONE"/>
    <s v="Conv-A DONE"/>
    <m/>
    <m/>
    <m/>
  </r>
  <r>
    <m/>
    <n v="37068"/>
    <s v="HLC-B"/>
    <s v="STB7K0265HLCD"/>
    <x v="3"/>
    <s v="SR"/>
    <x v="2"/>
    <d v="2018-12-25T00:00:00"/>
    <n v="265"/>
    <x v="0"/>
    <s v="M-U7D2S04V.005,_x000a_MO-U7F2S240.005"/>
    <d v="2021-05-26T00:00:00"/>
    <s v="UAT2Y440.012"/>
    <d v="2021-01-07T00:00:00"/>
    <m/>
    <m/>
    <m/>
    <s v="Conv-B DONE"/>
    <m/>
    <s v="Conv-B DONE"/>
    <s v="Conv-B DONE"/>
    <m/>
    <m/>
    <m/>
    <s v="Conv-B DONE"/>
    <s v="Conv-B DONE"/>
    <m/>
    <m/>
    <m/>
  </r>
  <r>
    <m/>
    <n v="37069"/>
    <s v="HLC-A"/>
    <s v="STB6K0254HLCD"/>
    <x v="3"/>
    <s v="SR"/>
    <x v="2"/>
    <d v="2018-12-27T00:00:00"/>
    <n v="254"/>
    <x v="0"/>
    <s v="M-U7D2S04V.005,_x000a_MO-U7F2S240.005"/>
    <d v="2021-03-15T00:00:00"/>
    <s v="UAT2Y440.012"/>
    <d v="2021-03-15T00:00:00"/>
    <m/>
    <m/>
    <m/>
    <s v="Conv-A DONE"/>
    <m/>
    <s v="Conv-A DONE"/>
    <s v="Conv-A DONE"/>
    <m/>
    <m/>
    <m/>
    <s v="Conv-A DONE"/>
    <s v="Conv-A DONE"/>
    <m/>
    <m/>
    <m/>
  </r>
  <r>
    <m/>
    <n v="37069"/>
    <s v="HLC-B"/>
    <s v="STB7K0264HLCD"/>
    <x v="3"/>
    <s v="SR"/>
    <x v="2"/>
    <d v="2018-12-27T00:00:00"/>
    <n v="264"/>
    <x v="0"/>
    <s v="M-U7D2S04V.005,_x000a_MO-U7F2S240.005"/>
    <d v="2021-03-15T00:00:00"/>
    <s v="UAT2Y440.012"/>
    <d v="2021-03-15T00:00:00"/>
    <m/>
    <m/>
    <m/>
    <s v="Conv-B DONE"/>
    <m/>
    <s v="Conv-B DONE"/>
    <s v="Conv-B DONE"/>
    <m/>
    <m/>
    <m/>
    <s v="Conv-B DONE"/>
    <s v="Conv-B DONE"/>
    <m/>
    <m/>
    <m/>
  </r>
  <r>
    <m/>
    <n v="37114"/>
    <s v="HLC-A"/>
    <s v="STB0K0317HLCD"/>
    <x v="3"/>
    <s v="SR"/>
    <x v="2"/>
    <d v="2019-03-18T00:00:00"/>
    <n v="317"/>
    <x v="0"/>
    <s v="M-U7D2S04V.005,_x000a_MO-U7F2S240.005"/>
    <d v="2020-12-26T00:00:00"/>
    <s v="UAT2Y440.012"/>
    <d v="2020-12-26T00:00:00"/>
    <m/>
    <m/>
    <m/>
    <s v="Conv-A DONE"/>
    <m/>
    <s v="Conv-A DONE"/>
    <s v="Conv-A DONE"/>
    <m/>
    <m/>
    <m/>
    <m/>
    <m/>
    <m/>
    <m/>
    <m/>
  </r>
  <r>
    <m/>
    <n v="37114"/>
    <s v="HLC-B"/>
    <s v="STB0K0316HLCD"/>
    <x v="3"/>
    <s v="SR"/>
    <x v="2"/>
    <d v="2019-03-18T00:00:00"/>
    <n v="316"/>
    <x v="0"/>
    <s v="M-U7D2S04V.005,_x000a_MO-U7F2S240.005"/>
    <d v="2020-12-26T00:00:00"/>
    <s v="UAT2Y440.012"/>
    <d v="2020-12-26T00:00:00"/>
    <m/>
    <m/>
    <m/>
    <s v="Conv-B DONE"/>
    <m/>
    <s v="Conv-B DONE"/>
    <s v="Conv-B DONE"/>
    <m/>
    <m/>
    <m/>
    <m/>
    <m/>
    <m/>
    <m/>
    <m/>
  </r>
  <r>
    <m/>
    <n v="37143"/>
    <s v="HLC-A"/>
    <s v="STB2L0413HLCD"/>
    <x v="3"/>
    <s v="SR"/>
    <x v="2"/>
    <d v="2019-04-16T00:00:00"/>
    <n v="413"/>
    <x v="0"/>
    <s v="M-U7D2S04V.005,_x000a_MO-U7F2S240.005"/>
    <d v="2020-12-15T00:00:00"/>
    <s v="UAT2Y440.012"/>
    <d v="2020-12-15T00:00:00"/>
    <m/>
    <m/>
    <m/>
    <s v="Conv-A DONE"/>
    <m/>
    <m/>
    <m/>
    <m/>
    <m/>
    <m/>
    <m/>
    <m/>
    <m/>
    <m/>
    <m/>
  </r>
  <r>
    <m/>
    <n v="37143"/>
    <s v="HLC-B"/>
    <s v="STB2L0412HLCD"/>
    <x v="3"/>
    <s v="SR"/>
    <x v="2"/>
    <d v="2019-04-16T00:00:00"/>
    <n v="412"/>
    <x v="0"/>
    <s v="M-U7D2S04V.005,_x000a_MO-U7F2S240.005"/>
    <d v="2020-12-15T00:00:00"/>
    <s v="UAT2Y440.012"/>
    <d v="2020-12-15T00:00:00"/>
    <m/>
    <m/>
    <m/>
    <s v="Conv-B DONE"/>
    <m/>
    <m/>
    <m/>
    <m/>
    <m/>
    <m/>
    <m/>
    <m/>
    <m/>
    <m/>
    <m/>
  </r>
  <r>
    <m/>
    <n v="37201"/>
    <s v="HLC-A"/>
    <s v="STB4L0470HLCD"/>
    <x v="3"/>
    <s v="SR"/>
    <x v="2"/>
    <d v="2019-06-21T00:00:00"/>
    <n v="470"/>
    <x v="0"/>
    <s v="M-U7D2S04V.005,_x000a_MO-U7F2S240.005"/>
    <d v="2020-10-07T00:00:00"/>
    <s v="UAT2Y440.012"/>
    <d v="2020-12-23T00:00:00"/>
    <m/>
    <m/>
    <m/>
    <s v="Conv-A DONE"/>
    <m/>
    <s v="Conv-A DONE"/>
    <s v="Conv-A DONE"/>
    <m/>
    <m/>
    <m/>
    <m/>
    <m/>
    <m/>
    <m/>
    <m/>
  </r>
  <r>
    <m/>
    <n v="37201"/>
    <s v="HLC-B"/>
    <s v="STB1L0497HLCD"/>
    <x v="3"/>
    <s v="SR"/>
    <x v="2"/>
    <d v="2019-06-21T00:00:00"/>
    <n v="497"/>
    <x v="0"/>
    <s v="M-U7D2S04V.005,_x000a_MO-U7F2S240.005"/>
    <d v="2020-10-07T00:00:00"/>
    <s v="UAT2Y440.012"/>
    <d v="2020-12-23T00:00:00"/>
    <m/>
    <m/>
    <m/>
    <s v="Conv-B DONE"/>
    <m/>
    <s v="Conv-B DONE"/>
    <s v="Conv-B DONE"/>
    <m/>
    <m/>
    <m/>
    <m/>
    <m/>
    <m/>
    <m/>
    <m/>
  </r>
  <r>
    <m/>
    <n v="37203"/>
    <s v="HLC-A"/>
    <s v="STB5L0496HLCD"/>
    <x v="3"/>
    <s v="SR"/>
    <x v="2"/>
    <d v="2019-06-22T00:00:00"/>
    <n v="496"/>
    <x v="0"/>
    <s v="M-U7D2S04V.005,_x000a_MO-U7F2S240.005"/>
    <d v="2021-04-05T00:00:00"/>
    <s v="UAT2Y440.012"/>
    <d v="2020-12-31T00:00:00"/>
    <m/>
    <m/>
    <m/>
    <s v="Conv-A DONE"/>
    <m/>
    <s v="Conv-A DONE"/>
    <s v="Conv-A DONE"/>
    <m/>
    <m/>
    <m/>
    <s v="Conv-A DONE"/>
    <s v="Conv-A DONE"/>
    <m/>
    <m/>
    <m/>
  </r>
  <r>
    <m/>
    <n v="37203"/>
    <s v="HLC-B"/>
    <s v="STB4L0471HLCD"/>
    <x v="3"/>
    <s v="SR"/>
    <x v="2"/>
    <d v="2019-06-22T00:00:00"/>
    <n v="471"/>
    <x v="0"/>
    <s v="M-U7D2S04V.005,_x000a_MO-U7F2S240.005"/>
    <d v="2021-04-05T00:00:00"/>
    <s v="UAT2Y440.012"/>
    <d v="2020-12-31T00:00:00"/>
    <m/>
    <m/>
    <m/>
    <s v="Conv-B DONE"/>
    <m/>
    <s v="Conv-B DONE"/>
    <s v="Conv-B DONE"/>
    <m/>
    <m/>
    <m/>
    <s v="Conv-B DONE"/>
    <s v="Conv-B DONE"/>
    <m/>
    <m/>
    <m/>
  </r>
  <r>
    <m/>
    <n v="37205"/>
    <s v="HLC-A"/>
    <s v="STB5L0502HLCD"/>
    <x v="3"/>
    <s v="SR"/>
    <x v="2"/>
    <d v="2019-06-23T00:00:00"/>
    <n v="502"/>
    <x v="0"/>
    <s v="M-U7D2S04V.005,_x000a_MO-U7F2S240.005"/>
    <d v="2021-12-28T00:00:00"/>
    <s v="UAT2Y440.012"/>
    <d v="2020-12-28T00:00:00"/>
    <m/>
    <m/>
    <m/>
    <s v="Conv-A DONE"/>
    <m/>
    <s v="Conv-A DONE"/>
    <s v="Conv-A DONE"/>
    <m/>
    <m/>
    <m/>
    <s v="Conv-A DONE"/>
    <s v="Conv-A DONE"/>
    <m/>
    <m/>
    <m/>
  </r>
  <r>
    <m/>
    <n v="37205"/>
    <s v="HLC-B"/>
    <s v="STB5L0511HLCD"/>
    <x v="3"/>
    <s v="SR"/>
    <x v="2"/>
    <d v="2019-06-23T00:00:00"/>
    <n v="511"/>
    <x v="0"/>
    <s v="M-U7D2S04V.005,_x000a_MO-U7F2S240.005"/>
    <d v="2021-12-28T00:00:00"/>
    <s v="UAT2Y440.012"/>
    <d v="2020-12-28T00:00:00"/>
    <m/>
    <m/>
    <s v="Done by NW"/>
    <s v="Conv-B DONE"/>
    <m/>
    <s v="Conv-B DONE"/>
    <s v="Conv-B DONE"/>
    <m/>
    <m/>
    <m/>
    <s v="Conv-B DONE"/>
    <s v="Conv-B DONE"/>
    <m/>
    <m/>
    <m/>
  </r>
  <r>
    <m/>
    <n v="37207"/>
    <s v="HLC-A"/>
    <s v="STB5L0503HLCD"/>
    <x v="3"/>
    <s v="SR"/>
    <x v="2"/>
    <d v="2019-06-24T00:00:00"/>
    <n v="503"/>
    <x v="0"/>
    <s v="M-U7D2S04V.005,_x000a_MO-U7F2S240.005"/>
    <d v="2021-01-21T00:00:00"/>
    <s v="UAT2Y440.012"/>
    <d v="2021-01-21T00:00:00"/>
    <m/>
    <m/>
    <m/>
    <s v="Conv-A DONE"/>
    <m/>
    <s v="Conv-A DONE"/>
    <s v="Conv-A DONE"/>
    <m/>
    <m/>
    <m/>
    <s v="Conv-A DONE"/>
    <s v="Conv-A DONE"/>
    <m/>
    <m/>
    <m/>
  </r>
  <r>
    <m/>
    <n v="37207"/>
    <s v="HLC-B"/>
    <s v="STB5L0510HLCD"/>
    <x v="3"/>
    <s v="SR"/>
    <x v="2"/>
    <d v="2019-06-24T00:00:00"/>
    <n v="510"/>
    <x v="0"/>
    <s v="M-U7D2S04V.005,_x000a_MO-U7F2S240.005"/>
    <d v="2021-01-21T00:00:00"/>
    <s v="UAT2Y440.012"/>
    <d v="2021-01-21T00:00:00"/>
    <m/>
    <m/>
    <s v="Done by NW"/>
    <s v="Conv-B DONE"/>
    <m/>
    <s v="Conv-B DONE"/>
    <s v="Conv-B DONE"/>
    <m/>
    <m/>
    <m/>
    <s v="Conv-B DONE"/>
    <s v="Conv-B DONE"/>
    <m/>
    <m/>
    <m/>
  </r>
  <r>
    <m/>
    <n v="37208"/>
    <s v="HLC-A"/>
    <s v="STB5L0499HLCD"/>
    <x v="3"/>
    <s v="SR"/>
    <x v="2"/>
    <d v="2019-06-25T00:00:00"/>
    <n v="499"/>
    <x v="0"/>
    <s v="M-U7D2S04V.005,_x000a_MO-U7F2S240.005"/>
    <d v="2021-02-23T00:00:00"/>
    <s v="UAT2Y440.012"/>
    <d v="2020-12-23T00:00:00"/>
    <m/>
    <m/>
    <m/>
    <s v="Conv-A DONE"/>
    <m/>
    <m/>
    <s v="Conv-A DONE"/>
    <m/>
    <m/>
    <m/>
    <m/>
    <m/>
    <m/>
    <m/>
    <m/>
  </r>
  <r>
    <m/>
    <n v="37208"/>
    <s v="HLC-B"/>
    <s v="STB5L0519HLCD"/>
    <x v="3"/>
    <s v="SR"/>
    <x v="2"/>
    <d v="2019-06-25T00:00:00"/>
    <n v="519"/>
    <x v="0"/>
    <s v="M-U7D2S04V.005,_x000a_MO-U7F2S240.005"/>
    <s v="Done"/>
    <s v="UAT2Y440.012"/>
    <d v="2021-06-28T00:00:00"/>
    <m/>
    <m/>
    <s v="Done by NW"/>
    <s v="Conv-B DONE"/>
    <m/>
    <m/>
    <m/>
    <m/>
    <m/>
    <m/>
    <m/>
    <m/>
    <m/>
    <m/>
    <m/>
  </r>
  <r>
    <m/>
    <n v="37210"/>
    <s v="HLC-A"/>
    <s v="STB1L0381HLCD"/>
    <x v="3"/>
    <s v="SR"/>
    <x v="2"/>
    <d v="2019-07-23T00:00:00"/>
    <n v="381"/>
    <x v="0"/>
    <s v="M-U7D2S04V.005,_x000a_MO-U7F2S240.005"/>
    <d v="2021-11-21T00:00:00"/>
    <s v="UAT2Y440.012"/>
    <d v="2021-01-08T00:00:00"/>
    <m/>
    <m/>
    <m/>
    <s v="Conv-A DONE"/>
    <m/>
    <s v="Conv-A DONE"/>
    <s v="Conv-A DONE"/>
    <m/>
    <m/>
    <m/>
    <m/>
    <m/>
    <m/>
    <m/>
    <m/>
  </r>
  <r>
    <m/>
    <n v="37210"/>
    <s v="HLC-B"/>
    <s v="STB5L0514HLCD"/>
    <x v="3"/>
    <s v="SR"/>
    <x v="2"/>
    <d v="2019-07-23T00:00:00"/>
    <n v="514"/>
    <x v="0"/>
    <s v="M-U7D2S04V.005,_x000a_MO-U7F2S240.005"/>
    <d v="2021-11-21T00:00:00"/>
    <s v="UAT2Y440.012"/>
    <d v="2021-01-08T00:00:00"/>
    <m/>
    <m/>
    <s v="Done by NW"/>
    <s v="Conv-B DONE"/>
    <m/>
    <s v="Conv-B DONE"/>
    <s v="Conv-B DONE"/>
    <m/>
    <m/>
    <m/>
    <m/>
    <m/>
    <m/>
    <m/>
    <m/>
  </r>
  <r>
    <m/>
    <n v="37211"/>
    <s v="HLC-A"/>
    <s v="STB5L0515HLCD"/>
    <x v="3"/>
    <s v="SR"/>
    <x v="2"/>
    <d v="2019-07-23T00:00:00"/>
    <n v="515"/>
    <x v="0"/>
    <s v="M-U7D2S04V.005,_x000a_MO-U7F2S240.005"/>
    <d v="2020-12-24T00:00:00"/>
    <s v="UAT2Y440.012"/>
    <d v="2020-12-24T00:00:00"/>
    <m/>
    <m/>
    <s v="Done by NW"/>
    <s v="Conv-A DONE"/>
    <m/>
    <s v="Conv -A Done"/>
    <s v="Conv-A DONE"/>
    <m/>
    <m/>
    <m/>
    <s v="Conv-A DONE"/>
    <s v="Conv-A DONE"/>
    <m/>
    <m/>
    <m/>
  </r>
  <r>
    <m/>
    <n v="37211"/>
    <s v="HLC-B"/>
    <s v="STB1L0380HLCD"/>
    <x v="3"/>
    <s v="SR"/>
    <x v="2"/>
    <d v="2019-07-23T00:00:00"/>
    <n v="380"/>
    <x v="0"/>
    <s v="M-U7D2S04V.005,_x000a_MO-U7F2S240.005"/>
    <d v="2020-12-24T00:00:00"/>
    <s v="UAT2Y440.012"/>
    <d v="2020-12-24T00:00:00"/>
    <m/>
    <m/>
    <m/>
    <s v="Conv-B DONE"/>
    <m/>
    <s v="Conv-B DONE"/>
    <s v="Conv-B DONE"/>
    <m/>
    <m/>
    <m/>
    <s v="Conv-B DONE"/>
    <s v="Conv-B DONE"/>
    <m/>
    <m/>
    <m/>
  </r>
  <r>
    <m/>
    <n v="37213"/>
    <s v="HLC-A"/>
    <s v="STB5L0509HLCD"/>
    <x v="3"/>
    <s v="SR"/>
    <x v="2"/>
    <d v="2019-07-24T00:00:00"/>
    <n v="509"/>
    <x v="0"/>
    <s v="M-U7D2S04V.005,_x000a_MO-U7F2S240.005"/>
    <d v="2021-02-28T00:00:00"/>
    <s v="UAT2Y440.012"/>
    <d v="2021-01-03T00:00:00"/>
    <m/>
    <m/>
    <s v="Done by NW"/>
    <s v="Conv-A DONE"/>
    <m/>
    <s v="Conv-A DONE"/>
    <s v="Conv-A DONE"/>
    <m/>
    <m/>
    <m/>
    <m/>
    <m/>
    <m/>
    <m/>
    <m/>
  </r>
  <r>
    <m/>
    <n v="37213"/>
    <s v="HLC-B"/>
    <s v="STB4L0492HLCD"/>
    <x v="3"/>
    <s v="SR"/>
    <x v="2"/>
    <d v="2019-07-24T00:00:00"/>
    <n v="492"/>
    <x v="0"/>
    <s v="M-U7D2S04V.005,_x000a_MO-U7F2S240.005"/>
    <d v="2021-02-28T00:00:00"/>
    <s v="UAT2Y440.012"/>
    <d v="2021-01-03T00:00:00"/>
    <m/>
    <m/>
    <m/>
    <s v="Conv-B DONE"/>
    <m/>
    <m/>
    <s v="Conv-B DONE"/>
    <m/>
    <m/>
    <m/>
    <m/>
    <m/>
    <m/>
    <m/>
    <m/>
  </r>
  <r>
    <m/>
    <n v="37301"/>
    <s v="HLC-A"/>
    <s v="STB6L0574HLCD"/>
    <x v="3"/>
    <s v="SR"/>
    <x v="2"/>
    <d v="2019-12-16T00:00:00"/>
    <n v="574"/>
    <x v="0"/>
    <s v="M-U7D2S04V.005,_x000a_MO-U7F2S240.005"/>
    <d v="2020-12-15T00:00:00"/>
    <s v="UAT2Y440.012"/>
    <d v="2020-12-15T00:00:00"/>
    <m/>
    <m/>
    <s v="Done by NW"/>
    <s v="Done by NW"/>
    <m/>
    <m/>
    <s v="Conv-A DONE"/>
    <m/>
    <m/>
    <m/>
    <s v="Conv-A DONE"/>
    <s v="Conv-A DONE"/>
    <m/>
    <m/>
    <m/>
  </r>
  <r>
    <m/>
    <n v="37301"/>
    <s v="HLC-B"/>
    <s v="STB6L0557HLCD"/>
    <x v="3"/>
    <s v="SR"/>
    <x v="2"/>
    <d v="2019-12-16T00:00:00"/>
    <n v="557"/>
    <x v="0"/>
    <s v="M-U7D2S04V.005,_x000a_MO-U7F2S240.005"/>
    <d v="2020-12-15T00:00:00"/>
    <s v="UAT2Y440.012"/>
    <d v="2020-12-15T00:00:00"/>
    <m/>
    <m/>
    <s v="Done by NW"/>
    <s v="Done by NW"/>
    <m/>
    <m/>
    <s v="Conv-B DONE"/>
    <m/>
    <m/>
    <m/>
    <s v="Conv-B DONE"/>
    <s v="Conv-B DONE"/>
    <m/>
    <m/>
    <m/>
  </r>
  <r>
    <m/>
    <n v="37514"/>
    <s v="HLC-A"/>
    <s v="STB8M0925"/>
    <x v="3"/>
    <s v="SR"/>
    <x v="2"/>
    <d v="2020-12-30T00:00:00"/>
    <n v="925"/>
    <x v="0"/>
    <s v="M-U7D2S04V.005,_x000a_MO-U7F2S240.005"/>
    <s v="Done by NW"/>
    <s v="UAT2Y440.012"/>
    <d v="2021-05-30T00:00:00"/>
    <m/>
    <m/>
    <s v="Done by NW"/>
    <s v="Done by NW"/>
    <m/>
    <s v="Conv-A DONE"/>
    <m/>
    <m/>
    <m/>
    <s v="Done by NW"/>
    <m/>
    <m/>
    <m/>
    <m/>
    <m/>
  </r>
  <r>
    <m/>
    <n v="37514"/>
    <s v="HLC-B"/>
    <s v="STBDL0759"/>
    <x v="3"/>
    <s v="SR"/>
    <x v="2"/>
    <d v="2020-12-30T00:00:00"/>
    <n v="759"/>
    <x v="0"/>
    <s v="M-U7D2S04V.005,_x000a_MO-U7F2S240.005"/>
    <d v="2021-05-11T00:00:00"/>
    <s v="UAT2Y440.012"/>
    <d v="2021-05-30T00:00:00"/>
    <m/>
    <m/>
    <s v="Done by NW"/>
    <s v="Done by NW"/>
    <m/>
    <s v="Conv-B DONE"/>
    <m/>
    <m/>
    <m/>
    <m/>
    <m/>
    <m/>
    <m/>
    <m/>
    <m/>
  </r>
  <r>
    <m/>
    <n v="37547"/>
    <s v="HLC-A"/>
    <s v="STBOM1012"/>
    <x v="3"/>
    <s v="SR"/>
    <x v="2"/>
    <d v="2021-03-30T00:00:00"/>
    <n v="1012"/>
    <x v="0"/>
    <s v="M-U7D2S04V.005,_x000a_MO-U7F2S240.005"/>
    <s v="Done by NW"/>
    <s v="UAT2Y440.012"/>
    <d v="2021-05-21T00:00:00"/>
    <m/>
    <m/>
    <s v="Done by NW"/>
    <s v="Done by NW"/>
    <m/>
    <m/>
    <m/>
    <m/>
    <m/>
    <s v="Done by NW"/>
    <m/>
    <m/>
    <m/>
    <m/>
    <m/>
  </r>
  <r>
    <m/>
    <n v="37547"/>
    <s v="HLC-B"/>
    <s v="STB8M0915"/>
    <x v="3"/>
    <s v="SR"/>
    <x v="2"/>
    <d v="2021-03-30T00:00:00"/>
    <n v="915"/>
    <x v="0"/>
    <s v="M-U7D2S04V.005,_x000a_MO-U7F2S240.005"/>
    <s v="Done by NW"/>
    <s v="UAT2Y440.012"/>
    <d v="2021-05-21T00:00:00"/>
    <m/>
    <m/>
    <s v="Done by NW"/>
    <s v="Done by NW"/>
    <m/>
    <m/>
    <m/>
    <m/>
    <m/>
    <s v="Done by NW"/>
    <m/>
    <m/>
    <m/>
    <m/>
    <m/>
  </r>
  <r>
    <m/>
    <n v="39002"/>
    <s v="HLC-A"/>
    <s v="STB3K0206HLCD"/>
    <x v="3"/>
    <s v="SR"/>
    <x v="2"/>
    <d v="2018-11-30T00:00:00"/>
    <n v="206"/>
    <x v="0"/>
    <s v="M-U7D2S04V.005,_x000a_MO-U7F2S240.005"/>
    <d v="2021-07-30T00:00:00"/>
    <s v="UAT2Y440.012"/>
    <d v="2020-12-30T00:00:00"/>
    <m/>
    <m/>
    <m/>
    <s v="Conv-A DONE"/>
    <m/>
    <m/>
    <s v="Conv-A DONE"/>
    <m/>
    <m/>
    <m/>
    <m/>
    <m/>
    <m/>
    <m/>
    <m/>
  </r>
  <r>
    <m/>
    <n v="39002"/>
    <s v="HLC-B"/>
    <s v="STB3K0207HLCD"/>
    <x v="3"/>
    <s v="SR"/>
    <x v="2"/>
    <d v="2018-11-30T00:00:00"/>
    <n v="207"/>
    <x v="0"/>
    <s v="M-U7D2S04V.005,_x000a_MO-U7F2S240.005"/>
    <d v="2021-07-30T00:00:00"/>
    <s v="UAT2Y440.012"/>
    <d v="2020-12-20T00:00:00"/>
    <m/>
    <m/>
    <m/>
    <s v="Conv-B DONE"/>
    <m/>
    <m/>
    <s v="Conv-B DONE"/>
    <m/>
    <m/>
    <m/>
    <m/>
    <m/>
    <m/>
    <m/>
    <m/>
  </r>
  <r>
    <m/>
    <n v="39081"/>
    <s v="HLC-A"/>
    <s v="STB4L0485HLCD"/>
    <x v="3"/>
    <s v="SR"/>
    <x v="2"/>
    <d v="2019-08-14T00:00:00"/>
    <n v="485"/>
    <x v="0"/>
    <s v="M-U7D2S04V.005,_x000a_MO-U7F2S240.005"/>
    <d v="2020-11-26T00:00:00"/>
    <s v="UAT2Y440.012"/>
    <d v="2020-12-17T00:00:00"/>
    <m/>
    <m/>
    <m/>
    <s v="Conv-A DONE"/>
    <m/>
    <m/>
    <s v="Conv-A DONE"/>
    <m/>
    <m/>
    <m/>
    <s v="Conv-A DONE"/>
    <s v="Conv-A DONE"/>
    <m/>
    <m/>
    <m/>
  </r>
  <r>
    <m/>
    <n v="39081"/>
    <s v="HLC-B"/>
    <s v="STB4L0480HLCD"/>
    <x v="3"/>
    <s v="SR"/>
    <x v="2"/>
    <d v="2019-08-14T00:00:00"/>
    <n v="480"/>
    <x v="0"/>
    <s v="M-U7D2S04V.005,_x000a_MO-U7F2S240.005"/>
    <d v="2020-11-26T00:00:00"/>
    <s v="UAT2Y440.012"/>
    <d v="2020-12-17T00:00:00"/>
    <m/>
    <m/>
    <m/>
    <s v="Conv-B DONE"/>
    <m/>
    <m/>
    <s v="Conv-B DONE"/>
    <m/>
    <m/>
    <m/>
    <s v="Conv-B DONE"/>
    <s v="Conv-B DONE"/>
    <m/>
    <m/>
    <m/>
  </r>
  <r>
    <m/>
    <n v="39082"/>
    <s v="HLC-A"/>
    <s v="STB4L0488HLCD"/>
    <x v="3"/>
    <s v="SR"/>
    <x v="2"/>
    <d v="2019-08-09T00:00:00"/>
    <n v="488"/>
    <x v="0"/>
    <s v="M-U7D2S04V.005,_x000a_MO-U7F2S240.005"/>
    <d v="2021-02-19T00:00:00"/>
    <s v="UAT2Y440.012"/>
    <d v="2021-01-03T00:00:00"/>
    <m/>
    <m/>
    <m/>
    <s v="Conv-A DONE"/>
    <m/>
    <s v="Conv-A DONE"/>
    <s v="Conv-A DONE"/>
    <m/>
    <m/>
    <m/>
    <m/>
    <m/>
    <m/>
    <m/>
    <m/>
  </r>
  <r>
    <m/>
    <n v="39082"/>
    <s v="HLC-B"/>
    <s v="STB4L0486HLCD"/>
    <x v="3"/>
    <s v="SR"/>
    <x v="2"/>
    <d v="2019-08-09T00:00:00"/>
    <n v="486"/>
    <x v="0"/>
    <s v="M-U7D2S04V.005,_x000a_MO-U7F2S240.005"/>
    <d v="2021-02-19T00:00:00"/>
    <s v="UAT2Y440.012"/>
    <d v="2021-01-03T00:00:00"/>
    <m/>
    <m/>
    <m/>
    <s v="Conv-B DONE"/>
    <m/>
    <s v="Conv-B DONE"/>
    <s v="Conv-B DONE"/>
    <m/>
    <m/>
    <m/>
    <m/>
    <m/>
    <m/>
    <m/>
    <m/>
  </r>
  <r>
    <m/>
    <n v="39119"/>
    <s v="HLC-A"/>
    <s v="STB0L0660HLCD"/>
    <x v="3"/>
    <s v="SR"/>
    <x v="2"/>
    <d v="2019-12-31T00:00:00"/>
    <n v="660"/>
    <x v="0"/>
    <s v="M-U7D2S04V.005,_x000a_MO-U7F2S240.005"/>
    <d v="2021-03-01T00:00:00"/>
    <s v="UAT2Y440.012"/>
    <d v="2021-06-15T00:00:00"/>
    <m/>
    <m/>
    <s v="Done by NW"/>
    <s v="Done by NW"/>
    <m/>
    <m/>
    <s v="Conv-A DONE"/>
    <m/>
    <m/>
    <m/>
    <m/>
    <m/>
    <m/>
    <m/>
    <m/>
  </r>
  <r>
    <m/>
    <n v="39119"/>
    <s v="HLC-B"/>
    <s v="STB0L0657HLCD"/>
    <x v="3"/>
    <s v="SR"/>
    <x v="2"/>
    <d v="2019-12-31T00:00:00"/>
    <n v="657"/>
    <x v="0"/>
    <s v="M-U7D2S04V.005,_x000a_MO-U7F2S240.005"/>
    <d v="2021-03-01T00:00:00"/>
    <s v="UAT2Y440.012"/>
    <d v="2021-06-15T00:00:00"/>
    <m/>
    <m/>
    <s v="Done by NW"/>
    <s v="Done by NW"/>
    <m/>
    <m/>
    <s v="Conv-B DONE"/>
    <m/>
    <m/>
    <m/>
    <m/>
    <m/>
    <m/>
    <m/>
    <m/>
  </r>
  <r>
    <m/>
    <n v="39121"/>
    <s v="HLC-A"/>
    <s v="STBOL0670HLCD"/>
    <x v="3"/>
    <s v="SR"/>
    <x v="2"/>
    <d v="2020-01-10T00:00:00"/>
    <n v="670"/>
    <x v="0"/>
    <s v="M-U7D2S04V.005,_x000a_MO-U7F2S240.005"/>
    <d v="2021-12-21T00:00:00"/>
    <s v="UAT2Y440.012"/>
    <d v="2021-12-19T00:00:00"/>
    <m/>
    <m/>
    <s v="Done by NW"/>
    <s v="Done by NW"/>
    <m/>
    <s v="Conv-A DONE"/>
    <s v="Conv-A DONE"/>
    <m/>
    <s v="Conv-A DONE"/>
    <m/>
    <m/>
    <m/>
    <m/>
    <m/>
    <m/>
  </r>
  <r>
    <m/>
    <n v="39121"/>
    <s v="HLC-B"/>
    <s v="STBOL0675HLCD"/>
    <x v="3"/>
    <s v="SR"/>
    <x v="2"/>
    <d v="2020-01-10T00:00:00"/>
    <n v="675"/>
    <x v="0"/>
    <s v="M-U7D2S04V.005,_x000a_MO-U7F2S240.005"/>
    <d v="2021-12-21T00:00:00"/>
    <s v="UAT2Y440.012"/>
    <d v="2021-12-19T00:00:00"/>
    <m/>
    <m/>
    <s v="Done by NW"/>
    <s v="Done by NW"/>
    <m/>
    <s v="Conv-B DONE"/>
    <s v="Conv-B DONE"/>
    <m/>
    <s v="Conv-B DONE"/>
    <m/>
    <m/>
    <m/>
    <m/>
    <m/>
    <m/>
  </r>
  <r>
    <m/>
    <n v="30277"/>
    <s v="HLC-A"/>
    <s v="Ger-00001"/>
    <x v="4"/>
    <s v="NR"/>
    <x v="3"/>
    <d v="2010-07-01T00:00:00"/>
    <n v="1"/>
    <x v="1"/>
    <s v="M-U7D2S04V.005,_x000a_MO-U7F2S240.005"/>
    <d v="2020-11-19T00:00:00"/>
    <s v="L3I2ZY72.008"/>
    <s v="Done"/>
    <s v="AMC"/>
    <m/>
    <s v="Conv-A DONE"/>
    <s v="Conv-A DONE"/>
    <s v="Conv-A DONE"/>
    <s v="Conv-A DONE"/>
    <m/>
    <m/>
    <m/>
    <s v="Conv-A DONE"/>
    <m/>
    <m/>
    <m/>
    <m/>
    <m/>
  </r>
  <r>
    <m/>
    <n v="30277"/>
    <s v="HLC-B"/>
    <s v="Ger-00002"/>
    <x v="4"/>
    <s v="NR"/>
    <x v="3"/>
    <d v="2010-07-01T00:00:00"/>
    <n v="2"/>
    <x v="1"/>
    <s v="M-U7D2S04V.005,_x000a_MO-U7F2S240.005"/>
    <d v="2020-11-19T00:00:00"/>
    <s v="L3I2ZY72.008"/>
    <s v="Done"/>
    <s v="AMC"/>
    <m/>
    <s v="Conv-B DONE"/>
    <s v="Conv-B DONE"/>
    <s v="Conv-B DONE"/>
    <s v="Conv-B DONE"/>
    <m/>
    <m/>
    <m/>
    <s v="Conv-B DONE"/>
    <m/>
    <m/>
    <m/>
    <m/>
    <m/>
  </r>
  <r>
    <m/>
    <n v="30365"/>
    <s v="HLC-A"/>
    <s v="Ger-00004"/>
    <x v="4"/>
    <s v="NR"/>
    <x v="3"/>
    <d v="2013-11-01T00:00:00"/>
    <n v="4"/>
    <x v="1"/>
    <s v="M-U7D2S04V.005,_x000a_MO-U7F2S240.005"/>
    <d v="2020-09-19T00:00:00"/>
    <s v="L3I2ZY72.008"/>
    <s v="Done"/>
    <s v="AMC"/>
    <m/>
    <s v="Conv-A DONE"/>
    <s v="Conv-A DONE"/>
    <s v="Conv-A DONE"/>
    <s v="Conv-A DONE"/>
    <m/>
    <m/>
    <m/>
    <s v="Conv-A DONE"/>
    <m/>
    <m/>
    <m/>
    <m/>
    <m/>
  </r>
  <r>
    <m/>
    <n v="30365"/>
    <s v="HLC-B"/>
    <s v="12V000006"/>
    <x v="4"/>
    <s v="NR"/>
    <x v="3"/>
    <d v="2013-11-01T00:00:00"/>
    <n v="6"/>
    <x v="1"/>
    <s v="M-U7D2S04V.005,_x000a_MO-U7F2S240.005"/>
    <d v="2020-09-19T00:00:00"/>
    <s v="L3I2ZY72.008"/>
    <s v="Done"/>
    <s v="AMC"/>
    <m/>
    <s v="Conv-B DONE"/>
    <s v="Conv-B DONE"/>
    <s v="Conv-B DONE"/>
    <s v="Conv-B DONE"/>
    <m/>
    <m/>
    <m/>
    <s v="Conv-B DONE"/>
    <m/>
    <m/>
    <m/>
    <m/>
    <m/>
  </r>
  <r>
    <m/>
    <n v="30406"/>
    <s v="HLC-A"/>
    <s v="12V000007"/>
    <x v="4"/>
    <s v="NR"/>
    <x v="3"/>
    <d v="2015-01-01T00:00:00"/>
    <n v="7"/>
    <x v="0"/>
    <s v="M-U7D2S04V.005,_x000a_MO-U7F2S240.005"/>
    <d v="2020-09-07T00:00:00"/>
    <s v="UAT2Y440.012"/>
    <s v="Done"/>
    <s v="AMC"/>
    <m/>
    <s v="Conv-A DONE"/>
    <s v="Conv-A DONE"/>
    <s v="Conv-A DONE"/>
    <s v="Conv-A DONE"/>
    <m/>
    <m/>
    <m/>
    <s v="Conv-A DONE"/>
    <m/>
    <m/>
    <m/>
    <m/>
    <m/>
  </r>
  <r>
    <m/>
    <n v="30406"/>
    <s v="HLC-B"/>
    <s v="STBNF0036HLCB"/>
    <x v="4"/>
    <s v="NR"/>
    <x v="3"/>
    <d v="2015-01-01T00:00:00"/>
    <n v="36"/>
    <x v="1"/>
    <s v="M-U7D2S04V.005,_x000a_MO-U7F2S240.005"/>
    <d v="2020-09-07T00:00:00"/>
    <s v="L3I2ZY72.008"/>
    <s v="Done"/>
    <s v="AMC"/>
    <m/>
    <s v="Conv-B DONE"/>
    <s v="Conv-B DONE"/>
    <s v="Conv-B DONE"/>
    <s v="Conv-B DONE"/>
    <m/>
    <m/>
    <m/>
    <s v="Conv-B DONE"/>
    <m/>
    <m/>
    <m/>
    <m/>
    <m/>
  </r>
  <r>
    <m/>
    <n v="30445"/>
    <s v="HLC-A"/>
    <s v="STB6F0008HLCB"/>
    <x v="4"/>
    <s v="NR"/>
    <x v="3"/>
    <d v="2015-12-26T00:00:00"/>
    <n v="8"/>
    <x v="1"/>
    <s v="M-U7D2S04V.005,_x000a_MO-U7F2S240.005"/>
    <d v="2020-08-13T00:00:00"/>
    <s v="L3I2ZY72.008"/>
    <s v="Done"/>
    <s v="AMC"/>
    <m/>
    <s v="Conv-A DONE"/>
    <s v="Conv-A DONE"/>
    <m/>
    <s v="Conv-A DONE"/>
    <s v="Conv-A DONE"/>
    <m/>
    <m/>
    <s v="Conv-A DONE"/>
    <m/>
    <m/>
    <m/>
    <m/>
    <m/>
  </r>
  <r>
    <m/>
    <n v="30445"/>
    <s v="HLC-B"/>
    <s v="STB6F0009HLCB"/>
    <x v="4"/>
    <s v="NR"/>
    <x v="3"/>
    <d v="2015-12-26T00:00:00"/>
    <n v="9"/>
    <x v="1"/>
    <s v="M-U7D2S04V.005,_x000a_MO-U7F2S240.005"/>
    <d v="2020-08-22T00:00:00"/>
    <s v="L3I2ZY72.008"/>
    <s v="Done"/>
    <s v="AMC"/>
    <m/>
    <s v="Conv-B DONE"/>
    <s v="Conv-B DONE"/>
    <m/>
    <s v="Conv-B DONE"/>
    <s v="Conv-B DONE"/>
    <m/>
    <m/>
    <s v="Conv-B DONE"/>
    <m/>
    <m/>
    <m/>
    <m/>
    <m/>
  </r>
  <r>
    <m/>
    <n v="30446"/>
    <s v="HLC-A"/>
    <s v="STB7F0012HLCB"/>
    <x v="5"/>
    <s v="SR"/>
    <x v="3"/>
    <d v="2016-01-08T00:00:00"/>
    <n v="12"/>
    <x v="1"/>
    <s v="M-U7D2S04V.005,_x000a_MO-U7F2S240.005"/>
    <d v="2020-10-26T00:00:00"/>
    <s v="L3I2ZY72.008"/>
    <s v="Done"/>
    <s v="AMC"/>
    <m/>
    <s v="Conv-A DONE"/>
    <s v="Conv-A DONE"/>
    <s v="Conv-A DONE"/>
    <s v="Conv-A DONE"/>
    <s v="Conv-A DONE"/>
    <m/>
    <m/>
    <s v="Conv-A DONE"/>
    <m/>
    <m/>
    <m/>
    <m/>
    <m/>
  </r>
  <r>
    <m/>
    <n v="30446"/>
    <s v="HLC-B"/>
    <s v="STB7F0013HLCB"/>
    <x v="5"/>
    <s v="SR"/>
    <x v="3"/>
    <d v="2016-01-08T00:00:00"/>
    <n v="13"/>
    <x v="1"/>
    <s v="M-U7D2S04V.005,_x000a_MO-U7F2S240.005"/>
    <d v="2020-10-26T00:00:00"/>
    <s v="L3I2ZY72.008"/>
    <s v="Done"/>
    <s v="AMC"/>
    <m/>
    <s v="Conv-B DONE"/>
    <s v="Conv-B DONE"/>
    <s v="Conv-B DONE"/>
    <s v="Conv-B DONE"/>
    <s v="Conv-B DONE"/>
    <m/>
    <m/>
    <s v="Conv-B DONE"/>
    <m/>
    <m/>
    <m/>
    <m/>
    <m/>
  </r>
  <r>
    <m/>
    <n v="30453"/>
    <s v="HLC-A"/>
    <s v="STB9F0035HLCA"/>
    <x v="4"/>
    <s v="NR"/>
    <x v="3"/>
    <d v="2016-03-29T00:00:00"/>
    <n v="35"/>
    <x v="1"/>
    <s v="M-U7D2S04V.005,_x000a_MO-U7F2S240.005"/>
    <d v="2020-09-30T00:00:00"/>
    <s v="L3I2ZY72.008"/>
    <s v="Done"/>
    <d v="2022-03-21T00:00:00"/>
    <m/>
    <s v="Conv-A DONE"/>
    <s v="Conv-A DONE"/>
    <s v="Conv-A DONE"/>
    <s v="Conv-A DONE"/>
    <s v="Conv-A DONE"/>
    <m/>
    <m/>
    <s v="Conv-A DONE"/>
    <m/>
    <m/>
    <m/>
    <m/>
    <m/>
  </r>
  <r>
    <m/>
    <n v="30453"/>
    <s v="HLC-B"/>
    <s v="STB9F0034HLCA"/>
    <x v="4"/>
    <s v="NR"/>
    <x v="3"/>
    <d v="2016-03-29T00:00:00"/>
    <n v="34"/>
    <x v="1"/>
    <s v="M-U7D2S04V.005,_x000a_MO-U7F2S240.005"/>
    <d v="2020-09-30T00:00:00"/>
    <s v="L3I2ZY72.008"/>
    <s v="Done"/>
    <d v="2022-03-21T00:00:00"/>
    <m/>
    <s v="Conv-B DONE"/>
    <s v="Conv-B DONE"/>
    <s v="Conv-B DONE"/>
    <s v="Conv-B DONE"/>
    <s v="Conv-B DONE"/>
    <m/>
    <m/>
    <s v="Conv-B DONE"/>
    <m/>
    <m/>
    <m/>
    <m/>
    <m/>
  </r>
  <r>
    <m/>
    <n v="30483"/>
    <s v="HLC-A"/>
    <s v="STBNF0038HLCA"/>
    <x v="4"/>
    <s v="NR"/>
    <x v="3"/>
    <d v="2016-07-19T00:00:00"/>
    <n v="38"/>
    <x v="1"/>
    <s v="M-U7D2S04V.005,_x000a_MO-U7F2S240.005"/>
    <d v="2020-09-05T00:00:00"/>
    <s v="L3I2ZY72.008"/>
    <s v="Done"/>
    <s v="AMC"/>
    <m/>
    <s v="Conv-A DONE"/>
    <s v="Conv-A DONE"/>
    <s v="Conv-A DONE"/>
    <s v="Conv-A DONE"/>
    <m/>
    <m/>
    <m/>
    <s v="Conv-A DONE"/>
    <m/>
    <m/>
    <m/>
    <m/>
    <m/>
  </r>
  <r>
    <m/>
    <n v="30483"/>
    <s v="HLC-B"/>
    <s v="STBDF0045HLCA"/>
    <x v="4"/>
    <s v="NR"/>
    <x v="3"/>
    <d v="2016-07-19T00:00:00"/>
    <n v="45"/>
    <x v="1"/>
    <s v="M-U7D2S04V.005,_x000a_MO-U7F2S240.005"/>
    <d v="2020-09-07T00:00:00"/>
    <s v="L3I2ZY72.008"/>
    <s v="Done"/>
    <s v="AMC"/>
    <m/>
    <s v="Conv-B DONE"/>
    <s v="Conv-B DONE"/>
    <s v="Conv-B DONE"/>
    <s v="Conv-B DONE"/>
    <m/>
    <m/>
    <m/>
    <s v="Conv-B DONE"/>
    <m/>
    <m/>
    <m/>
    <m/>
    <m/>
  </r>
  <r>
    <m/>
    <n v="30600"/>
    <s v="HLC-A"/>
    <s v="STB0H0091HLCC"/>
    <x v="4"/>
    <s v="NR"/>
    <x v="3"/>
    <d v="2017-11-03T00:00:00"/>
    <n v="91"/>
    <x v="0"/>
    <s v="M-U7D2S04V.005,_x000a_MO-U7F2S240.005"/>
    <s v="Done"/>
    <s v="V1E1SZ56.000"/>
    <d v="2022-06-20T00:00:00"/>
    <m/>
    <m/>
    <m/>
    <s v="Conv-A DONE"/>
    <s v="Conv-A DONE"/>
    <s v="Conv-A DONE"/>
    <s v="Conv-A DONE"/>
    <s v="Conv-A DONE"/>
    <s v="Conv-A DONE"/>
    <s v="Conv-A DONE"/>
    <m/>
    <m/>
    <m/>
    <m/>
    <m/>
  </r>
  <r>
    <m/>
    <n v="30600"/>
    <s v="HLC-B"/>
    <s v="STB0H0090HLCC"/>
    <x v="4"/>
    <s v="NR"/>
    <x v="3"/>
    <d v="2017-11-03T00:00:00"/>
    <n v="90"/>
    <x v="1"/>
    <s v="M-U7D2S04V.005,_x000a_MO-U7F2S240.005"/>
    <s v="Done"/>
    <s v="UAT2Y440.012"/>
    <d v="2022-06-20T00:00:00"/>
    <m/>
    <m/>
    <m/>
    <s v="Conv-B DONE"/>
    <s v="Conv-B DONE"/>
    <s v="Conv-B DONE"/>
    <s v="Conv-B DONE"/>
    <s v="Conv-B DONE"/>
    <s v="Conv-B DONE"/>
    <s v="Conv-B DONE"/>
    <m/>
    <m/>
    <m/>
    <m/>
    <m/>
  </r>
  <r>
    <m/>
    <n v="30626"/>
    <s v="HLC-A"/>
    <s v="STBNK0331HLCD"/>
    <x v="4"/>
    <s v="NR"/>
    <x v="3"/>
    <d v="2020-03-18T00:00:00"/>
    <n v="331"/>
    <x v="0"/>
    <s v="M-U7D2S04V.005,_x000a_MO-U7F2S240.005"/>
    <d v="2020-08-19T00:00:00"/>
    <s v="UAT2Y440.012"/>
    <m/>
    <d v="2022-06-24T00:00:00"/>
    <m/>
    <m/>
    <s v="Conv-A DONE"/>
    <s v="Conv-A DONE"/>
    <s v="Conv-A DONE"/>
    <s v="Conv-A DONE"/>
    <m/>
    <m/>
    <s v="Conv-A DONE"/>
    <m/>
    <m/>
    <m/>
    <m/>
    <m/>
  </r>
  <r>
    <m/>
    <n v="30626"/>
    <s v="HLC-B"/>
    <s v="STBNK0324HLCD"/>
    <x v="4"/>
    <s v="NR"/>
    <x v="3"/>
    <d v="2020-03-18T00:00:00"/>
    <n v="324"/>
    <x v="0"/>
    <s v="M-U7D2S04V.005,_x000a_MO-U7F2S240.005"/>
    <d v="2020-08-19T00:00:00"/>
    <s v="UAT2Y440.012"/>
    <m/>
    <d v="2022-06-24T00:00:00"/>
    <m/>
    <m/>
    <s v="Conv-B DONE"/>
    <s v="Conv-B DONE"/>
    <s v="Conv-B DONE"/>
    <s v="Conv-B DONE"/>
    <m/>
    <m/>
    <s v="Conv-B DONE"/>
    <m/>
    <m/>
    <m/>
    <m/>
    <m/>
  </r>
  <r>
    <m/>
    <n v="30638"/>
    <s v="HLC-A"/>
    <s v="STBNK0348HLCD"/>
    <x v="4"/>
    <s v="NR"/>
    <x v="3"/>
    <d v="2020-07-25T00:00:00"/>
    <n v="348"/>
    <x v="0"/>
    <s v="M-U7D2S04V.005,_x000a_MO-U7F2S240.005"/>
    <d v="2020-10-26T00:00:00"/>
    <s v="UAT2Y440.012"/>
    <d v="2022-01-03T00:00:00"/>
    <d v="2022-04-13T00:00:00"/>
    <m/>
    <m/>
    <s v="Conv-A DONE"/>
    <s v="Conv-A DONE"/>
    <s v="Conv-A DONE"/>
    <s v="Conv-A DONE"/>
    <m/>
    <s v="Conv-A DONE"/>
    <s v="Conv-A DONE"/>
    <m/>
    <m/>
    <m/>
    <m/>
    <m/>
  </r>
  <r>
    <m/>
    <n v="30638"/>
    <s v="HLC-B"/>
    <s v="STBNK0325HLCD"/>
    <x v="4"/>
    <s v="NR"/>
    <x v="3"/>
    <d v="2020-07-25T00:00:00"/>
    <n v="325"/>
    <x v="0"/>
    <s v="M-U7D2S04V.005,_x000a_MO-U7F2S240.005"/>
    <d v="2020-10-26T00:00:00"/>
    <s v="UAT2Y440.012"/>
    <d v="2022-01-03T00:00:00"/>
    <d v="2022-04-13T00:00:00"/>
    <m/>
    <m/>
    <s v="Conv-B DONE"/>
    <s v="Conv-B DONE"/>
    <s v="Conv-B DONE"/>
    <s v="Conv-B DONE"/>
    <m/>
    <s v="Conv-B DONE"/>
    <s v="Conv-B DONE"/>
    <m/>
    <m/>
    <m/>
    <m/>
    <m/>
  </r>
  <r>
    <m/>
    <n v="30649"/>
    <s v="HLC-A"/>
    <s v="STB9J0163HLCD"/>
    <x v="4"/>
    <s v="NR"/>
    <x v="3"/>
    <d v="2018-01-31T00:00:00"/>
    <n v="163"/>
    <x v="0"/>
    <s v="M-U7D2S04V.005,_x000a_MO-U7F2S240.005"/>
    <d v="2020-09-07T00:00:00"/>
    <s v="U9S2Y440.011"/>
    <s v="Done (ver-Nimesh)"/>
    <d v="2022-05-06T00:00:00"/>
    <m/>
    <m/>
    <s v="Conv-B DONE"/>
    <s v="Conv-A DONE"/>
    <s v="Conv-A DONE"/>
    <s v="Conv-A DONE"/>
    <m/>
    <m/>
    <s v="Conv-B DONE"/>
    <m/>
    <m/>
    <m/>
    <m/>
    <m/>
  </r>
  <r>
    <m/>
    <n v="30649"/>
    <s v="HLC-B"/>
    <s v="STB9J0161HLCD"/>
    <x v="4"/>
    <s v="NR"/>
    <x v="3"/>
    <d v="2018-01-31T00:00:00"/>
    <n v="161"/>
    <x v="0"/>
    <s v="M-U7D2S04V.005,_x000a_MO-U7F2S240.005"/>
    <d v="2020-09-07T00:00:00"/>
    <s v="U9S2Y440.011"/>
    <s v="Done (ver-Nimesh)"/>
    <d v="2022-05-06T00:00:00"/>
    <m/>
    <m/>
    <s v="Conv-A DONE"/>
    <s v="Conv-B DONE"/>
    <s v="Conv-B DONE"/>
    <s v="Conv-B DONE"/>
    <m/>
    <m/>
    <s v="Conv-A DONE"/>
    <m/>
    <m/>
    <m/>
    <m/>
    <m/>
  </r>
  <r>
    <m/>
    <n v="30662"/>
    <s v="HLC-A"/>
    <s v="STBNK0349HLCD"/>
    <x v="4"/>
    <s v="NR"/>
    <x v="3"/>
    <d v="2020-09-22T00:00:00"/>
    <n v="349"/>
    <x v="0"/>
    <s v="M-U7D2S04V.005,_x000a_MO-U7F2S240.005"/>
    <d v="2020-09-27T00:00:00"/>
    <s v="U9S2Y440.011"/>
    <s v="Done (ver-Nimesh)"/>
    <d v="2022-04-16T00:00:00"/>
    <m/>
    <m/>
    <s v="Conv-A DONE"/>
    <s v="Conv-A DONE"/>
    <s v="Conv-A DONE"/>
    <s v="Conv-A DONE"/>
    <m/>
    <m/>
    <m/>
    <m/>
    <m/>
    <m/>
    <m/>
    <m/>
  </r>
  <r>
    <m/>
    <n v="30662"/>
    <s v="HLC-B"/>
    <s v="STBNK0330HLCD"/>
    <x v="4"/>
    <s v="NR"/>
    <x v="3"/>
    <d v="2020-09-22T00:00:00"/>
    <n v="330"/>
    <x v="0"/>
    <s v="M-U7D2S04V.005,_x000a_MO-U7F2S240.005"/>
    <d v="2020-09-27T00:00:00"/>
    <s v="U9S2Y440.011"/>
    <s v="Done (ver-Nimesh)"/>
    <d v="2022-04-16T00:00:00"/>
    <m/>
    <m/>
    <s v="Conv-B DONE"/>
    <s v="Conv-B DONE"/>
    <s v="Conv-B DONE"/>
    <s v="Conv-B DONE"/>
    <m/>
    <m/>
    <m/>
    <m/>
    <m/>
    <m/>
    <s v="Failed"/>
    <m/>
  </r>
  <r>
    <m/>
    <n v="30756"/>
    <s v="HLC-A"/>
    <s v="STBDK0383HLCD"/>
    <x v="6"/>
    <s v="NR"/>
    <x v="3"/>
    <d v="2019-09-05T00:00:00"/>
    <n v="383"/>
    <x v="0"/>
    <s v="M-U7D2S04V.005,_x000a_MO-U7F2S240.005"/>
    <d v="2020-09-07T00:00:00"/>
    <m/>
    <s v="Done (ver-Nimesh)"/>
    <d v="2021-06-12T00:00:00"/>
    <m/>
    <m/>
    <s v="Conv-A DONE"/>
    <s v="Conv-A DONE"/>
    <s v="Conv-A DONE"/>
    <s v="Conv-A DONE"/>
    <m/>
    <s v="Conv-A DONE"/>
    <s v="Conv-A DONE"/>
    <m/>
    <m/>
    <m/>
    <m/>
    <m/>
  </r>
  <r>
    <m/>
    <n v="30756"/>
    <s v="HLC-B"/>
    <s v="STBDK0382HLCD"/>
    <x v="6"/>
    <s v="NR"/>
    <x v="3"/>
    <d v="2019-09-05T00:00:00"/>
    <n v="382"/>
    <x v="0"/>
    <s v="U7D2S04V.005"/>
    <d v="2020-09-07T00:00:00"/>
    <s v="UAT2Y440.012"/>
    <s v="Done (ver-Nimesh)"/>
    <d v="2021-06-12T00:00:00"/>
    <m/>
    <m/>
    <s v="Conv-A DONE"/>
    <s v="Conv-B DONE"/>
    <s v="Conv-B DONE"/>
    <s v="Conv-B DONE"/>
    <m/>
    <s v="Conv-B DONE"/>
    <s v="Conv-B DONE"/>
    <m/>
    <m/>
    <m/>
    <m/>
    <m/>
  </r>
  <r>
    <m/>
    <n v="30785"/>
    <s v="HLC-A"/>
    <s v="STBDK0372HLCD"/>
    <x v="4"/>
    <s v="NR"/>
    <x v="3"/>
    <d v="2020-01-20T00:00:00"/>
    <n v="372"/>
    <x v="0"/>
    <s v="M-U7D2S04V.005,_x000a_MO-U7F2S240.005"/>
    <d v="2020-08-24T00:00:00"/>
    <s v="UAT2Y440.012"/>
    <s v="Done (ver-Nimesh)"/>
    <d v="2022-03-21T00:00:00"/>
    <m/>
    <m/>
    <s v="Conv-A DONE"/>
    <s v="Conv-A DONE"/>
    <s v="Conv-A DONE"/>
    <s v="Conv-A DONE"/>
    <m/>
    <m/>
    <s v="Conv-A DONE"/>
    <m/>
    <m/>
    <m/>
    <m/>
    <m/>
  </r>
  <r>
    <m/>
    <n v="30785"/>
    <s v="HLC-B"/>
    <s v="STBDK0373HLCD"/>
    <x v="4"/>
    <s v="NR"/>
    <x v="3"/>
    <d v="2020-01-20T00:00:00"/>
    <n v="373"/>
    <x v="0"/>
    <s v="M-U7D2S04V.005,_x000a_MO-U7F2S240.005"/>
    <d v="2020-08-24T00:00:00"/>
    <s v="UAT2Y440.012"/>
    <s v="Done (ver-Nimesh)"/>
    <d v="2022-03-21T00:00:00"/>
    <m/>
    <m/>
    <s v="Conv-B DONE"/>
    <s v="Conv-B DONE"/>
    <s v="Conv-B DONE"/>
    <s v="Conv-B DONE"/>
    <m/>
    <m/>
    <s v="Conv-B DONE"/>
    <m/>
    <m/>
    <m/>
    <m/>
    <m/>
  </r>
  <r>
    <m/>
    <n v="30786"/>
    <s v="HLC-A"/>
    <s v="STBDK0368HLCD"/>
    <x v="4"/>
    <s v="NR"/>
    <x v="3"/>
    <d v="2020-02-03T00:00:00"/>
    <n v="368"/>
    <x v="0"/>
    <s v="M-U7D2S04V.005,_x000a_MO-U7F2S240.005"/>
    <d v="2020-08-24T00:00:00"/>
    <s v="UAT2Y440.012"/>
    <s v="Done (ver-Nimesh)"/>
    <d v="2022-03-29T00:00:00"/>
    <m/>
    <m/>
    <s v="Conv-A DONE"/>
    <s v="Conv-A DONE"/>
    <s v="Conv-A DONE"/>
    <s v="Conv-A DONE"/>
    <m/>
    <m/>
    <s v="Conv-A DONE"/>
    <m/>
    <m/>
    <m/>
    <m/>
    <m/>
  </r>
  <r>
    <m/>
    <n v="30786"/>
    <s v="HLC-B"/>
    <s v="STBDK0359HLCD"/>
    <x v="4"/>
    <s v="NR"/>
    <x v="3"/>
    <d v="2020-02-03T00:00:00"/>
    <n v="359"/>
    <x v="0"/>
    <s v="M-U7D2S04V.005,_x000a_MO-U7F2S240.005"/>
    <d v="2020-08-24T00:00:00"/>
    <s v="UAT2Y440.012"/>
    <s v="Done (ver-Nimesh)"/>
    <d v="2022-03-29T00:00:00"/>
    <m/>
    <m/>
    <s v="Conv-B DONE"/>
    <s v="Conv-B DONE"/>
    <s v="Conv-B DONE"/>
    <s v="Conv-B DONE"/>
    <m/>
    <m/>
    <s v="Conv-B DONE"/>
    <m/>
    <m/>
    <m/>
    <m/>
    <m/>
  </r>
  <r>
    <m/>
    <n v="37155"/>
    <s v="HLC-A"/>
    <s v="STB2L0425HLCD"/>
    <x v="4"/>
    <s v="NR"/>
    <x v="3"/>
    <d v="2019-04-26T00:00:00"/>
    <n v="425"/>
    <x v="0"/>
    <s v="M-U7D2S04V.005,_x000a_MO-U7F2S240.005"/>
    <d v="2020-10-29T00:00:00"/>
    <s v="UAT2Y440.012"/>
    <s v="Done (ver-Nimesh)"/>
    <d v="2022-04-29T00:00:00"/>
    <m/>
    <m/>
    <s v="Conv-A DONE"/>
    <s v="Conv-A DONE"/>
    <s v="Conv-A DONE"/>
    <s v="Conv-A DONE"/>
    <m/>
    <s v="Conv-A DONE"/>
    <s v="Conv-A DONE"/>
    <m/>
    <m/>
    <m/>
    <m/>
    <m/>
  </r>
  <r>
    <m/>
    <n v="37155"/>
    <s v="HLC-B"/>
    <s v="STB2L0443HLCD"/>
    <x v="4"/>
    <s v="NR"/>
    <x v="3"/>
    <d v="2019-04-26T00:00:00"/>
    <n v="443"/>
    <x v="0"/>
    <s v="M-U7D2S04V.005,_x000a_MO-U7F2S240.005"/>
    <d v="2020-08-18T00:00:00"/>
    <s v="UAT2Y440.012"/>
    <s v="Done (ver-Nimesh)"/>
    <d v="2022-04-29T00:00:00"/>
    <m/>
    <m/>
    <s v="Conv-B DONE"/>
    <s v="Conv-B DONE"/>
    <s v="Conv-B DONE"/>
    <s v="Conv-B DONE"/>
    <m/>
    <s v="Conv-B DONE"/>
    <s v="Conv-B DONE"/>
    <m/>
    <m/>
    <m/>
    <m/>
    <m/>
  </r>
  <r>
    <m/>
    <n v="37170"/>
    <s v="HLC-A"/>
    <s v="STB1L0402HLCD"/>
    <x v="4"/>
    <s v="NR"/>
    <x v="3"/>
    <d v="2019-05-15T00:00:00"/>
    <n v="402"/>
    <x v="0"/>
    <s v="M-U7D2S04V.005,_x000a_MO-U7F2S240.005"/>
    <d v="2020-08-25T00:00:00"/>
    <s v="U9S2Y440.011"/>
    <s v="Done (ver-Nimesh)"/>
    <d v="2022-07-15T00:00:00"/>
    <m/>
    <m/>
    <s v="Conv-A DONE"/>
    <s v="Conv-A DONE"/>
    <s v="Conv-A DONE"/>
    <s v="Conv-A DONE"/>
    <m/>
    <m/>
    <s v="Conv-A DONE"/>
    <m/>
    <m/>
    <m/>
    <m/>
    <m/>
  </r>
  <r>
    <m/>
    <n v="37170"/>
    <s v="HLC-B"/>
    <s v="STB1L0403HLCD"/>
    <x v="4"/>
    <s v="NR"/>
    <x v="3"/>
    <d v="2019-05-15T00:00:00"/>
    <n v="403"/>
    <x v="0"/>
    <s v="M-U7D2S04V.005,_x000a_MO-U7F2S240.005"/>
    <d v="2020-08-25T00:00:00"/>
    <s v="U9S2Y440.011"/>
    <s v="Done (ver-Nimesh)"/>
    <d v="2022-07-15T00:00:00"/>
    <m/>
    <m/>
    <s v="Conv-B DONE"/>
    <s v="Conv-B DONE"/>
    <s v="Conv-B DONE"/>
    <s v="Conv-B DONE"/>
    <m/>
    <m/>
    <s v="Conv-B DONE"/>
    <m/>
    <m/>
    <m/>
    <m/>
    <m/>
  </r>
  <r>
    <m/>
    <n v="37171"/>
    <s v="HLC-A"/>
    <s v="STB2L0421HLCD"/>
    <x v="4"/>
    <s v="NR"/>
    <x v="3"/>
    <d v="2019-05-15T00:00:00"/>
    <n v="421"/>
    <x v="0"/>
    <s v="M-U7D2S04V.005,_x000a_MO-U7F2S240.005"/>
    <d v="2020-10-16T00:00:00"/>
    <s v="UAT2Y440.012"/>
    <s v="Done (ver-Nimesh)"/>
    <d v="2022-01-10T00:00:00"/>
    <m/>
    <m/>
    <s v="Conv-A DONE"/>
    <s v="Conv-A DONE"/>
    <s v="Conv-A DONE"/>
    <s v="Conv-A DONE"/>
    <m/>
    <s v="Conv-A DONE"/>
    <s v="Conv-A DONE"/>
    <m/>
    <m/>
    <m/>
    <m/>
    <m/>
  </r>
  <r>
    <m/>
    <n v="37171"/>
    <s v="HLC-B"/>
    <s v="STB2L0420HLCD"/>
    <x v="4"/>
    <s v="NR"/>
    <x v="3"/>
    <d v="2019-05-15T00:00:00"/>
    <n v="420"/>
    <x v="0"/>
    <s v="M-U7D2S04V.005,_x000a_MO-U7F2S240.005"/>
    <d v="2020-10-16T00:00:00"/>
    <s v="UAT2Y440.012"/>
    <s v="Done (ver-Nimesh)"/>
    <d v="2022-01-10T00:00:00"/>
    <m/>
    <m/>
    <s v="Conv-B DONE"/>
    <s v="Conv-B DONE"/>
    <s v="Conv-B DONE"/>
    <s v="Conv-B DONE"/>
    <m/>
    <s v="Conv-B DONE"/>
    <s v="Conv-B DONE"/>
    <m/>
    <m/>
    <m/>
    <m/>
    <m/>
  </r>
  <r>
    <m/>
    <n v="37218"/>
    <s v="HLC-A"/>
    <s v="STB1L0388HLCD"/>
    <x v="7"/>
    <s v="WCR"/>
    <x v="3"/>
    <d v="2019-07-26T00:00:00"/>
    <n v="388"/>
    <x v="0"/>
    <s v="M-U7D2S04V.005,_x000a_MO-U7F2S240.005"/>
    <d v="2020-11-01T00:00:00"/>
    <s v="UAT2Y440.012"/>
    <s v="Done (ver-Nimesh)"/>
    <d v="2021-07-03T00:00:00"/>
    <m/>
    <m/>
    <s v="Conv-A DONE"/>
    <s v="Conv-A DONE"/>
    <s v="Conv-A DONE"/>
    <s v="Conv-A DONE"/>
    <m/>
    <m/>
    <s v="Conv-A DONE"/>
    <m/>
    <m/>
    <m/>
    <m/>
    <m/>
  </r>
  <r>
    <m/>
    <n v="37218"/>
    <s v="HLC-B"/>
    <s v="STB1L0389HLCD"/>
    <x v="7"/>
    <s v="WCR"/>
    <x v="3"/>
    <d v="2019-07-26T00:00:00"/>
    <n v="389"/>
    <x v="0"/>
    <s v="M-U7D2S04V.005,_x000a_MO-U7F2S240.005"/>
    <d v="2020-11-01T00:00:00"/>
    <s v="UAT2Y440.012"/>
    <s v="Done (ver-Nimesh)"/>
    <d v="2021-07-03T00:00:00"/>
    <m/>
    <m/>
    <s v="Conv-B DONE"/>
    <s v="Conv-B DONE"/>
    <s v="Conv-B DONE"/>
    <s v="Conv-B DONE"/>
    <m/>
    <m/>
    <s v="Conv-B DONE"/>
    <m/>
    <m/>
    <m/>
    <m/>
    <m/>
  </r>
  <r>
    <m/>
    <n v="37219"/>
    <s v="HLC-A"/>
    <s v="STBDK0376HLCD"/>
    <x v="7"/>
    <s v="WCR"/>
    <x v="3"/>
    <d v="2019-07-28T00:00:00"/>
    <n v="376"/>
    <x v="0"/>
    <s v="M-U7D2S04V.005,_x000a_MO-U7F2S240.005"/>
    <d v="2020-10-26T00:00:00"/>
    <s v="U9S2Y440.011"/>
    <s v="Done (ver-Nimesh)"/>
    <d v="2021-06-14T00:00:00"/>
    <m/>
    <m/>
    <s v="Conv-A DONE"/>
    <s v="Conv-A DONE"/>
    <s v="Conv-A DONE"/>
    <s v="Conv-A DONE"/>
    <m/>
    <m/>
    <m/>
    <m/>
    <m/>
    <m/>
    <m/>
    <m/>
  </r>
  <r>
    <m/>
    <n v="37219"/>
    <s v="HLC-B"/>
    <s v="STBDK0377HLCD"/>
    <x v="7"/>
    <s v="WCR"/>
    <x v="3"/>
    <d v="2019-07-28T00:00:00"/>
    <n v="377"/>
    <x v="0"/>
    <s v="M-U7D2S04V.005,_x000a_MO-U7F2S240.005"/>
    <d v="2020-09-07T00:00:00"/>
    <s v="U9S2Y440.011"/>
    <s v="Done (ver-Nimesh)"/>
    <d v="2021-06-14T00:00:00"/>
    <m/>
    <m/>
    <s v="Conv-B DONE"/>
    <s v="Conv-B DONE"/>
    <s v="Conv-B DONE"/>
    <s v="Conv-B DONE"/>
    <m/>
    <m/>
    <m/>
    <m/>
    <m/>
    <m/>
    <m/>
    <m/>
  </r>
  <r>
    <m/>
    <n v="37261"/>
    <s v="HLC-A"/>
    <s v="STB6L0581HLCD"/>
    <x v="7"/>
    <s v="WCR"/>
    <x v="3"/>
    <d v="2019-09-28T00:00:00"/>
    <n v="581"/>
    <x v="0"/>
    <s v="M-U7D2S04V.005,_x000a_MO-U7F2S240.005"/>
    <d v="2020-09-04T00:00:00"/>
    <s v="U9S2Y440.011"/>
    <s v="Done (ver-Nimesh)"/>
    <d v="2021-04-03T00:00:00"/>
    <m/>
    <s v="Done by NW"/>
    <s v="Done by NW"/>
    <s v="Conv-A DONE"/>
    <s v="Conv-A DONE"/>
    <m/>
    <m/>
    <m/>
    <s v="Conv-A DONE"/>
    <m/>
    <m/>
    <m/>
    <m/>
    <m/>
  </r>
  <r>
    <m/>
    <n v="37261"/>
    <s v="HLC-B"/>
    <s v="STB7L0610HLCD"/>
    <x v="7"/>
    <s v="WCR"/>
    <x v="3"/>
    <d v="2019-09-28T00:00:00"/>
    <n v="610"/>
    <x v="0"/>
    <s v="M-U7D2S04V.005,_x000a_MO-U7F2S240.005"/>
    <d v="2020-11-12T00:00:00"/>
    <s v="UAT2Y440.012"/>
    <d v="2020-12-21T00:00:00"/>
    <d v="2021-04-03T00:00:00"/>
    <m/>
    <s v="Done by NW"/>
    <s v="Done by NW"/>
    <m/>
    <s v="Conv-A DONE"/>
    <s v="Conv-A DONE"/>
    <m/>
    <m/>
    <s v="Conv-B DONE"/>
    <s v="OK"/>
    <s v="OK"/>
    <m/>
    <m/>
    <m/>
  </r>
  <r>
    <m/>
    <n v="37264"/>
    <s v="HLC-A"/>
    <s v="STB7L0642HLCD"/>
    <x v="7"/>
    <s v="WCR"/>
    <x v="3"/>
    <d v="2019-10-18T00:00:00"/>
    <n v="642"/>
    <x v="0"/>
    <s v="M-U7D2S04V.005,_x000a_MO-U7F2S240.005"/>
    <d v="2020-10-03T00:00:00"/>
    <s v="U9S2Y440.011"/>
    <s v="Done (ver-Nimesh)"/>
    <d v="2021-04-06T00:00:00"/>
    <m/>
    <s v="Done by NW"/>
    <s v="Done by NW"/>
    <s v="Conv-A DONE"/>
    <s v="Conv-A DONE"/>
    <m/>
    <m/>
    <m/>
    <s v="Conv-A DONE"/>
    <m/>
    <m/>
    <m/>
    <m/>
    <m/>
  </r>
  <r>
    <m/>
    <n v="37264"/>
    <s v="HLC-B"/>
    <s v="STB7L0643HLCD"/>
    <x v="7"/>
    <s v="WCR"/>
    <x v="3"/>
    <d v="2019-10-18T00:00:00"/>
    <n v="643"/>
    <x v="0"/>
    <s v="M-U7D2S04V.005,_x000a_MO-U7F2S240.005"/>
    <d v="2020-10-06T00:00:00"/>
    <s v="U9S2Y440.011"/>
    <s v="Done (ver-Nimesh)"/>
    <d v="2021-04-06T00:00:00"/>
    <m/>
    <s v="Done by NW"/>
    <s v="Done by NW"/>
    <s v="Conv-B DONE"/>
    <s v="Conv-B DONE"/>
    <m/>
    <m/>
    <m/>
    <s v="Conv-B DONE"/>
    <m/>
    <m/>
    <m/>
    <m/>
    <m/>
  </r>
  <r>
    <m/>
    <n v="37299"/>
    <s v="HLC-A"/>
    <s v="STB7L0593HLCD"/>
    <x v="4"/>
    <s v="NR"/>
    <x v="3"/>
    <d v="2019-12-09T00:00:00"/>
    <n v="593"/>
    <x v="0"/>
    <s v="M-U7D2S04V.005,_x000a_MO-U7F2S240.005"/>
    <d v="2020-08-18T00:00:00"/>
    <s v="U9S2Y440.011"/>
    <s v="Done (ver-Nimesh)"/>
    <d v="2022-07-08T00:00:00"/>
    <m/>
    <s v="Done by NW"/>
    <s v="Done by NW"/>
    <s v="Conv-A DONE"/>
    <s v="Conv-A DONE"/>
    <s v="Conv-A DONE"/>
    <m/>
    <m/>
    <s v="Conv-A DONE"/>
    <m/>
    <m/>
    <m/>
    <m/>
    <m/>
  </r>
  <r>
    <m/>
    <n v="37299"/>
    <s v="HLC-B"/>
    <s v="STB6L0576HLCD"/>
    <x v="4"/>
    <s v="NR"/>
    <x v="3"/>
    <d v="2019-12-09T00:00:00"/>
    <n v="576"/>
    <x v="0"/>
    <s v="M-U7D2S04V.005,_x000a_MO-U7F2S240.005"/>
    <d v="2020-08-18T00:00:00"/>
    <s v="U9S2Y440.011"/>
    <s v="Done (ver-Nimesh)"/>
    <d v="2022-07-08T00:00:00"/>
    <m/>
    <s v="Done by NW"/>
    <s v="Done by NW"/>
    <s v="Conv-B DONE"/>
    <s v="Conv-B DONE"/>
    <s v="Conv-B DONE"/>
    <m/>
    <m/>
    <s v="Conv-B DONE"/>
    <m/>
    <m/>
    <m/>
    <m/>
    <m/>
  </r>
  <r>
    <m/>
    <n v="37300"/>
    <s v="HLC-A"/>
    <s v="STB7L0592HLCD"/>
    <x v="4"/>
    <s v="NR"/>
    <x v="3"/>
    <d v="2019-12-16T00:00:00"/>
    <n v="592"/>
    <x v="0"/>
    <s v="M-U7D2S04V.005,_x000a_MO-U7F2S240.005"/>
    <d v="2020-09-07T00:00:00"/>
    <s v="U9S2Y440.011"/>
    <s v="Done (ver-Nimesh)"/>
    <d v="2022-02-24T00:00:00"/>
    <m/>
    <s v="Done by NW"/>
    <s v="Done by NW"/>
    <s v="Conv-A DONE"/>
    <s v="Conv-A DONE"/>
    <s v="Conv-A DONE"/>
    <m/>
    <m/>
    <m/>
    <m/>
    <m/>
    <m/>
    <m/>
    <m/>
  </r>
  <r>
    <m/>
    <n v="37300"/>
    <s v="HLC-B"/>
    <s v="STB6I0575HLCD"/>
    <x v="4"/>
    <s v="NR"/>
    <x v="3"/>
    <d v="2019-12-16T00:00:00"/>
    <n v="575"/>
    <x v="0"/>
    <s v="M-U7D2S04V.005,_x000a_MO-U7F2S240.005"/>
    <d v="2020-09-07T00:00:00"/>
    <s v="U9S2Y440.011"/>
    <s v="Done (ver-Nimesh)"/>
    <d v="2022-02-24T00:00:00"/>
    <m/>
    <s v="Done by NW"/>
    <s v="Done by NW"/>
    <s v="Conv-B DONE"/>
    <s v="Conv-B DONE"/>
    <s v="Conv-B DONE"/>
    <m/>
    <m/>
    <m/>
    <m/>
    <m/>
    <m/>
    <m/>
    <m/>
  </r>
  <r>
    <m/>
    <n v="37314"/>
    <s v="HLC-A"/>
    <s v="STBDL0727HLCD"/>
    <x v="4"/>
    <s v="NR"/>
    <x v="3"/>
    <d v="2020-01-16T00:00:00"/>
    <n v="727"/>
    <x v="0"/>
    <s v="M-U7D2S04V.005,_x000a_MO-U7F2S240.005"/>
    <d v="2020-08-25T00:00:00"/>
    <s v="U9S2Y440.011"/>
    <s v="Done (ver-Nimesh)"/>
    <d v="2022-07-16T00:00:00"/>
    <m/>
    <s v="Done by NW"/>
    <s v="Done by NW"/>
    <s v="Conv-A DONE"/>
    <s v="Conv-A DONE"/>
    <s v="Conv-A DONE"/>
    <m/>
    <s v="Conv-A DONE"/>
    <s v="Conv-A DONE"/>
    <m/>
    <m/>
    <m/>
    <m/>
    <m/>
  </r>
  <r>
    <m/>
    <n v="37314"/>
    <s v="HLC-B"/>
    <s v="STBDL0726HLCD"/>
    <x v="4"/>
    <s v="NR"/>
    <x v="3"/>
    <d v="2020-01-16T00:00:00"/>
    <n v="726"/>
    <x v="0"/>
    <s v="M-U7D2S04V.005,_x000a_MO-U7F2S240.005"/>
    <d v="2020-08-25T00:00:00"/>
    <s v="U9S2Y440.011"/>
    <s v="Done (ver-Nimesh)"/>
    <d v="2022-07-16T00:00:00"/>
    <m/>
    <s v="Done by NW"/>
    <s v="Done by NW"/>
    <s v="Conv-B DONE"/>
    <s v="Conv-B DONE"/>
    <s v="Conv-B DONE"/>
    <m/>
    <s v="Conv-B DONE"/>
    <s v="Conv-B DONE"/>
    <m/>
    <m/>
    <m/>
    <m/>
    <m/>
  </r>
  <r>
    <m/>
    <n v="37327"/>
    <s v="HLC-A"/>
    <s v="STBNL0694HLCD"/>
    <x v="4"/>
    <s v="NR"/>
    <x v="3"/>
    <d v="2020-02-03T00:00:00"/>
    <n v="694"/>
    <x v="0"/>
    <s v="M-U7D2S04V.005,_x000a_MO-U7F2S240.005"/>
    <d v="2021-01-05T00:00:00"/>
    <s v="U9S2Y440.011"/>
    <s v="Done (ver-Nimesh)"/>
    <d v="2022-03-08T00:00:00"/>
    <m/>
    <s v="Done by NW"/>
    <s v="Done by NW"/>
    <s v="Conv-A DONE"/>
    <s v="Conv-A DONE"/>
    <s v="Conv-A DONE"/>
    <m/>
    <m/>
    <s v="Conv-A DONE"/>
    <m/>
    <m/>
    <m/>
    <m/>
    <m/>
  </r>
  <r>
    <m/>
    <n v="37327"/>
    <s v="HLC-B"/>
    <s v="STBNL0699HLCD"/>
    <x v="4"/>
    <s v="NR"/>
    <x v="3"/>
    <d v="2020-02-03T00:00:00"/>
    <n v="699"/>
    <x v="0"/>
    <s v="M-U7D2S04V.005,_x000a_MO-U7F2S240.005"/>
    <d v="2021-01-05T00:00:00"/>
    <s v="U9S2Y440.011"/>
    <s v="Done (ver-Nimesh)"/>
    <d v="2022-03-08T00:00:00"/>
    <m/>
    <s v="Done by NW"/>
    <s v="Done by NW"/>
    <s v="Conv-B DONE"/>
    <s v="Conv-B DONE"/>
    <s v="Conv-B DONE"/>
    <m/>
    <m/>
    <s v="Conv-B DONE"/>
    <m/>
    <m/>
    <m/>
    <m/>
    <m/>
  </r>
  <r>
    <m/>
    <n v="37331"/>
    <s v="HLC-A"/>
    <s v="STBNL0692HLCD"/>
    <x v="4"/>
    <s v="NR"/>
    <x v="3"/>
    <d v="2020-02-07T00:00:00"/>
    <n v="692"/>
    <x v="0"/>
    <s v="M-U7D2S04V.005,_x000a_MO-U7F2S240.005"/>
    <d v="2020-08-24T00:00:00"/>
    <s v="U9S2Y440.011"/>
    <s v="Done (ver-Nimesh)"/>
    <d v="2022-04-10T00:00:00"/>
    <m/>
    <s v="Done by NW"/>
    <s v="Done by NW"/>
    <s v="Conv-A DONE"/>
    <s v="Conv-A DONE"/>
    <s v="Conv-A DONE"/>
    <m/>
    <s v="Conv-A DONE"/>
    <s v="Conv-A DONE"/>
    <m/>
    <m/>
    <m/>
    <m/>
    <m/>
  </r>
  <r>
    <m/>
    <n v="37331"/>
    <s v="HLC-B"/>
    <s v="STBNL0705HLCD"/>
    <x v="4"/>
    <s v="NR"/>
    <x v="3"/>
    <d v="2020-02-07T00:00:00"/>
    <n v="705"/>
    <x v="0"/>
    <s v="M-U7D2S04V.005,_x000a_MO-U7F2S240.005"/>
    <d v="2020-08-24T00:00:00"/>
    <s v="U9S2Y440.011"/>
    <s v="Done (ver-Nimesh)"/>
    <d v="2022-04-10T00:00:00"/>
    <m/>
    <s v="Done by NW"/>
    <s v="Done by NW"/>
    <s v="Conv-B DONE"/>
    <s v="Conv-B DONE"/>
    <s v="Conv-B DONE"/>
    <m/>
    <s v="Conv-B DONE"/>
    <s v="Conv-B DONE"/>
    <m/>
    <m/>
    <m/>
    <s v="Conv-B Done"/>
    <m/>
  </r>
  <r>
    <m/>
    <n v="37349"/>
    <s v="HLC-A"/>
    <s v="STB7L0604HLCD"/>
    <x v="8"/>
    <s v="ECR"/>
    <x v="1"/>
    <d v="2020-03-14T00:00:00"/>
    <n v="604"/>
    <x v="0"/>
    <s v="U7D2S04V.005"/>
    <d v="2020-09-12T00:00:00"/>
    <s v="UAT2Y440.012"/>
    <d v="2021-03-05T00:00:00"/>
    <d v="2021-04-07T00:00:00"/>
    <m/>
    <s v="Done by NW"/>
    <s v="Done by NW"/>
    <s v="Conv-A DONE"/>
    <s v="Conv-A DONE"/>
    <s v="Conv-A DONE"/>
    <m/>
    <m/>
    <s v="Conv-A DONE"/>
    <m/>
    <m/>
    <m/>
    <m/>
    <m/>
  </r>
  <r>
    <m/>
    <n v="37349"/>
    <s v="HLC-B"/>
    <s v="STB7L0603HLCD"/>
    <x v="8"/>
    <s v="ECR"/>
    <x v="1"/>
    <d v="2020-03-14T00:00:00"/>
    <n v="603"/>
    <x v="0"/>
    <s v="M-U7D2S04V.005,_x000a_MO-U7F2S240.005"/>
    <d v="2020-09-12T00:00:00"/>
    <s v="U9S2Y440.011"/>
    <s v="Done (ver-Nimesh)"/>
    <d v="2021-04-07T00:00:00"/>
    <m/>
    <s v="Done by NW"/>
    <s v="Done by NW"/>
    <m/>
    <s v="Conv-B DONE"/>
    <s v="Conv-B DONE"/>
    <m/>
    <m/>
    <s v="Conv-B DONE"/>
    <m/>
    <m/>
    <m/>
    <m/>
    <m/>
  </r>
  <r>
    <m/>
    <n v="37351"/>
    <s v="HLC-A"/>
    <s v="STBDL0739HLCD"/>
    <x v="8"/>
    <s v="ECR"/>
    <x v="1"/>
    <d v="2020-03-21T00:00:00"/>
    <n v="739"/>
    <x v="0"/>
    <s v="M-U7D2S04V.005,_x000a_MO-U7F2S240.005"/>
    <d v="2020-08-26T00:00:00"/>
    <s v="UAT2Y440.012"/>
    <s v="Done (ver-Nimesh)"/>
    <d v="2022-03-30T00:00:00"/>
    <m/>
    <s v="Done by NW"/>
    <s v="Done by NW"/>
    <s v="Conv-A DONE"/>
    <s v="Conv-A DONE"/>
    <s v="Conv-A DONE"/>
    <m/>
    <m/>
    <s v="Conv-A DONE"/>
    <m/>
    <m/>
    <m/>
    <m/>
    <m/>
  </r>
  <r>
    <m/>
    <n v="37351"/>
    <s v="HLC-B"/>
    <s v="STBDL0738HLCD"/>
    <x v="8"/>
    <s v="ECR"/>
    <x v="1"/>
    <d v="2020-03-21T00:00:00"/>
    <n v="738"/>
    <x v="0"/>
    <s v="M-U7D2S04V.005,_x000a_MO-U7F2S240.005"/>
    <d v="2020-08-26T00:00:00"/>
    <s v="UAT2Y440.012"/>
    <s v="Done (ver-Nimesh)"/>
    <d v="2022-03-30T00:00:00"/>
    <m/>
    <s v="Done by NW"/>
    <s v="Done by NW"/>
    <s v="Conv-B DONE"/>
    <s v="Conv-B DONE"/>
    <s v="Conv-B DONE"/>
    <m/>
    <m/>
    <s v="Conv-B DONE"/>
    <m/>
    <m/>
    <m/>
    <m/>
    <m/>
  </r>
  <r>
    <m/>
    <n v="37365"/>
    <s v="HLC-A"/>
    <s v="STBDL0743HLCD"/>
    <x v="4"/>
    <s v="NR"/>
    <x v="3"/>
    <d v="2020-05-30T00:00:00"/>
    <n v="743"/>
    <x v="0"/>
    <s v="M-U7D2S04V.005,_x000a_MO-U7F2S240.005"/>
    <d v="2020-10-10T00:00:00"/>
    <s v="UAT2Y440.012"/>
    <s v="Done (ver-Nimesh)"/>
    <d v="2022-03-03T00:00:00"/>
    <m/>
    <s v="Done by NW"/>
    <s v="Done by NW"/>
    <s v="Conv-A DONE"/>
    <s v="Conv-A DONE"/>
    <s v="Conv-A DONE"/>
    <m/>
    <m/>
    <s v="Conv-A DONE"/>
    <m/>
    <m/>
    <m/>
    <m/>
    <m/>
  </r>
  <r>
    <m/>
    <n v="37365"/>
    <s v="HLC-B"/>
    <s v="STBDL0737HLCD"/>
    <x v="4"/>
    <s v="NR"/>
    <x v="3"/>
    <d v="2020-05-30T00:00:00"/>
    <n v="737"/>
    <x v="0"/>
    <s v="M-U7D2S04V.005,_x000a_MO-U7F2S240.005"/>
    <d v="2020-10-10T00:00:00"/>
    <s v="UAT2Y440.012"/>
    <s v="Done (ver-Nimesh)"/>
    <d v="2022-03-03T00:00:00"/>
    <m/>
    <s v="Done by NW"/>
    <s v="Done by NW"/>
    <s v="Conv-B DONE"/>
    <s v="Conv-B DONE"/>
    <s v="Conv-B DONE"/>
    <m/>
    <m/>
    <s v="Conv-B DONE"/>
    <m/>
    <m/>
    <m/>
    <m/>
    <m/>
  </r>
  <r>
    <m/>
    <n v="37374"/>
    <s v="HLC-A"/>
    <s v="STBDL0732HLCD"/>
    <x v="9"/>
    <s v="ECR"/>
    <x v="1"/>
    <d v="2020-06-16T00:00:00"/>
    <n v="732"/>
    <x v="0"/>
    <s v="M-U7D2S04V.005,_x000a_MO-U7F2S240.005"/>
    <d v="2020-08-20T00:00:00"/>
    <s v="UAT2Y440.012"/>
    <s v="Done (ver-Nimesh)"/>
    <d v="2022-03-16T00:00:00"/>
    <m/>
    <s v="Done by NW"/>
    <s v="Done by NW"/>
    <s v="Conv-A DONE"/>
    <s v="Conv-A DONE"/>
    <s v="Conv-A DONE"/>
    <m/>
    <m/>
    <s v="Conv-A DONE"/>
    <m/>
    <m/>
    <m/>
    <m/>
    <m/>
  </r>
  <r>
    <m/>
    <n v="37374"/>
    <s v="HLC-B"/>
    <s v="STBDL0748HLCD"/>
    <x v="8"/>
    <s v="ECR"/>
    <x v="1"/>
    <d v="2020-06-16T00:00:00"/>
    <n v="748"/>
    <x v="0"/>
    <s v="M-U7D2S04V.005,_x000a_MO-U7F2S240.005"/>
    <d v="2020-08-20T00:00:00"/>
    <s v="UAT2Y440.012"/>
    <s v="Done (ver-Nimesh)"/>
    <d v="2022-03-16T00:00:00"/>
    <m/>
    <s v="Done by NW"/>
    <s v="Done by NW"/>
    <s v="Conv-B DONE"/>
    <s v="Conv-B DONE"/>
    <s v="Conv-B DONE"/>
    <m/>
    <m/>
    <s v="Conv-B DONE"/>
    <m/>
    <m/>
    <m/>
    <m/>
    <m/>
  </r>
  <r>
    <m/>
    <n v="37377"/>
    <s v="HLC-A"/>
    <s v="STB7L0609HLCD"/>
    <x v="7"/>
    <s v="WCR"/>
    <x v="3"/>
    <d v="2020-06-27T00:00:00"/>
    <n v="609"/>
    <x v="0"/>
    <s v="M-U7D2S04V.005,_x000a_MO-U7F2S240.005"/>
    <d v="2020-09-04T00:00:00"/>
    <s v="UAT2Y440.012"/>
    <s v="Done (ver-Nimesh)"/>
    <d v="2021-07-07T00:00:00"/>
    <m/>
    <s v="Done by NW"/>
    <s v="Done by NW"/>
    <s v="Conv-A DONE"/>
    <s v="Conv-A DONE"/>
    <s v="Conv-A DONE"/>
    <m/>
    <m/>
    <s v="Conv-A DONE"/>
    <m/>
    <m/>
    <m/>
    <m/>
    <m/>
  </r>
  <r>
    <m/>
    <n v="37377"/>
    <s v="HLC-B"/>
    <s v="STB6L0580HLCD"/>
    <x v="7"/>
    <s v="WCR"/>
    <x v="3"/>
    <d v="2020-06-27T00:00:00"/>
    <n v="580"/>
    <x v="0"/>
    <s v="M-U7D2S04V.005,_x000a_MO-U7F2S240.005"/>
    <d v="2020-09-05T00:00:00"/>
    <s v="UAT2Y440.012"/>
    <s v="Done (ver-Nimesh)"/>
    <d v="2021-07-07T00:00:00"/>
    <m/>
    <s v="Done by NW"/>
    <s v="Done by NW"/>
    <s v="Conv-B DONE"/>
    <s v="Conv-B DONE"/>
    <s v="Conv-B DONE"/>
    <m/>
    <m/>
    <s v="Conv-B DONE"/>
    <m/>
    <m/>
    <m/>
    <m/>
    <m/>
  </r>
  <r>
    <m/>
    <n v="37378"/>
    <s v="HLC-A"/>
    <s v="STB7L0600HLCD"/>
    <x v="7"/>
    <s v="WCR"/>
    <x v="3"/>
    <d v="2020-06-26T00:00:00"/>
    <n v="600"/>
    <x v="0"/>
    <s v="M-U7D2S04V.005,_x000a_MO-U7F2S240.005"/>
    <d v="2020-08-31T00:00:00"/>
    <s v="UAT2Y440.012"/>
    <d v="2021-02-25T00:00:00"/>
    <d v="2021-06-19T00:00:00"/>
    <m/>
    <s v="Done by NW"/>
    <s v="Done by NW"/>
    <m/>
    <s v="Conv-A DONE"/>
    <s v="Conv-A DONE"/>
    <m/>
    <m/>
    <s v="Conv-A DONE"/>
    <m/>
    <m/>
    <m/>
    <m/>
    <m/>
  </r>
  <r>
    <m/>
    <n v="37378"/>
    <s v="HLC-B"/>
    <s v="STBNL0715HLCD"/>
    <x v="7"/>
    <s v="WCR"/>
    <x v="3"/>
    <d v="2020-06-26T00:00:00"/>
    <n v="715"/>
    <x v="0"/>
    <s v="M-U7D2S04V.005,_x000a_MO-U7F2S240.005"/>
    <d v="2020-08-31T00:00:00"/>
    <s v="UAT2Y440.012"/>
    <s v="Done (ver-Nimesh)"/>
    <d v="2021-06-19T00:00:00"/>
    <m/>
    <s v="Done by NW"/>
    <s v="Done by NW"/>
    <m/>
    <s v="Conv-B DONE"/>
    <s v="Conv-B DONE"/>
    <m/>
    <m/>
    <s v="Conv-B DONE"/>
    <m/>
    <m/>
    <m/>
    <m/>
    <m/>
  </r>
  <r>
    <m/>
    <n v="37422"/>
    <s v="HLC-A"/>
    <s v="STB5M0806HLCD"/>
    <x v="8"/>
    <s v="ECR"/>
    <x v="1"/>
    <d v="2020-08-18T00:00:00"/>
    <n v="806"/>
    <x v="0"/>
    <s v="M-U7D2S04V.005,_x000a_MO-U7F2S240.005"/>
    <d v="2020-09-08T00:00:00"/>
    <s v="UAT2Y440.012"/>
    <s v="Done (ver-Nimesh)"/>
    <d v="2022-03-07T00:00:00"/>
    <m/>
    <s v="Done by NW"/>
    <s v="Done by NW"/>
    <s v="Conv-A DONE"/>
    <s v="Conv-A DONE"/>
    <s v="Conv-A DONE"/>
    <m/>
    <s v="Conv-A DONE"/>
    <s v="Done by NW"/>
    <m/>
    <m/>
    <m/>
    <m/>
    <m/>
  </r>
  <r>
    <m/>
    <n v="37422"/>
    <s v="HLC-B"/>
    <s v="STB5M0830HLCD"/>
    <x v="8"/>
    <s v="ECR"/>
    <x v="1"/>
    <d v="2020-08-18T00:00:00"/>
    <n v="830"/>
    <x v="0"/>
    <s v="M-U7D2S04V.005,_x000a_MO-U7F2S240.005"/>
    <d v="2020-09-08T00:00:00"/>
    <s v="UAT2Y440.012"/>
    <s v="Done (ver-Nimesh)"/>
    <d v="2022-03-07T00:00:00"/>
    <m/>
    <s v="Done by NW"/>
    <s v="Done by NW"/>
    <s v="Conv-B DONE"/>
    <s v="Conv-B DONE"/>
    <s v="Conv-B DONE"/>
    <m/>
    <s v="Conv-B DONE"/>
    <s v="Done by NW"/>
    <m/>
    <m/>
    <m/>
    <m/>
    <m/>
  </r>
  <r>
    <m/>
    <n v="37438"/>
    <s v="HLC-A"/>
    <s v="STB6M0838HLCD"/>
    <x v="7"/>
    <s v="WCR"/>
    <x v="3"/>
    <d v="2020-09-09T00:00:00"/>
    <n v="838"/>
    <x v="0"/>
    <s v="M-U7D2S04V.005,_x000a_MO-U7F2S240.005"/>
    <d v="2020-10-19T00:00:00"/>
    <s v="UAT2Y440.012"/>
    <s v="Done (ver-Nimesh)"/>
    <d v="2022-02-26T00:00:00"/>
    <m/>
    <s v="Done by NW"/>
    <s v="Done by NW"/>
    <s v="Conv-A DONE"/>
    <s v="Conv-A DONE"/>
    <s v="Conv-A DONE"/>
    <m/>
    <m/>
    <s v="Done by NW"/>
    <m/>
    <m/>
    <m/>
    <m/>
    <m/>
  </r>
  <r>
    <m/>
    <n v="37438"/>
    <s v="HLC-B"/>
    <s v="STB6M0836HLCD"/>
    <x v="7"/>
    <s v="WCR"/>
    <x v="3"/>
    <d v="2020-09-09T00:00:00"/>
    <n v="836"/>
    <x v="0"/>
    <s v="M-U7D2S04V.005,_x000a_MO-U7F2S240.005"/>
    <d v="2020-10-19T00:00:00"/>
    <s v="UAT2Y440.012"/>
    <s v="Done (ver-Nimesh)"/>
    <d v="2022-02-26T00:00:00"/>
    <m/>
    <s v="Done by NW"/>
    <s v="Done by NW"/>
    <s v="Conv-B DONE"/>
    <s v="Conv-B DONE"/>
    <s v="Conv-B DONE"/>
    <m/>
    <m/>
    <s v="Done by NW"/>
    <m/>
    <m/>
    <m/>
    <m/>
    <m/>
  </r>
  <r>
    <m/>
    <n v="37450"/>
    <s v="HLC-A"/>
    <s v="STB6M0850HLCD"/>
    <x v="7"/>
    <s v="WCR"/>
    <x v="3"/>
    <d v="2020-09-24T00:00:00"/>
    <n v="850"/>
    <x v="0"/>
    <s v="M-U7D2S04V.005,_x000a_MO-U7F2S240.005"/>
    <d v="2021-08-18T00:00:00"/>
    <s v="UAT2Y440.012"/>
    <s v="Done (ver-Nimesh)"/>
    <m/>
    <m/>
    <s v="Done by NW"/>
    <s v="Done by NW"/>
    <m/>
    <s v="Conv-A DONE"/>
    <s v="Conv-A DONE"/>
    <s v="Conv-A DONE"/>
    <m/>
    <s v="Done by NW"/>
    <m/>
    <m/>
    <m/>
    <m/>
    <m/>
  </r>
  <r>
    <m/>
    <n v="37450"/>
    <s v="HLC-B"/>
    <s v="STB6M0851HLCD"/>
    <x v="7"/>
    <s v="WCR"/>
    <x v="3"/>
    <d v="2020-09-24T00:00:00"/>
    <n v="851"/>
    <x v="0"/>
    <s v="M-U7D2S04V.005,_x000a_MO-U7F2S240.005"/>
    <d v="2021-08-18T00:00:00"/>
    <s v="UAT2Y440.012"/>
    <s v="Done (ver-Nimesh)"/>
    <m/>
    <m/>
    <s v="Done by NW"/>
    <s v="Done by NW"/>
    <m/>
    <s v="Conv-B DONE"/>
    <s v="Conv-B DONE"/>
    <s v="Conv-B DONE"/>
    <m/>
    <s v="Done by NW"/>
    <m/>
    <m/>
    <m/>
    <m/>
    <m/>
  </r>
  <r>
    <m/>
    <n v="37508"/>
    <s v="HLC-A"/>
    <s v="STB8M0955"/>
    <x v="4"/>
    <s v="NR"/>
    <x v="3"/>
    <d v="2020-12-25T00:00:00"/>
    <n v="955"/>
    <x v="0"/>
    <s v="M-U7D2S04V.005,_x000a_MO-U7F2S240.005"/>
    <d v="2021-03-04T00:00:00"/>
    <s v="UAT2Y440.012"/>
    <s v="Done (ver-Nimesh)"/>
    <d v="2022-03-23T00:00:00"/>
    <m/>
    <s v="Done by NW"/>
    <s v="Done by NW"/>
    <s v="Conv-A DONE"/>
    <s v="Conv-A DONE"/>
    <s v="Conv-A DONE"/>
    <m/>
    <m/>
    <s v="Done by NW"/>
    <m/>
    <m/>
    <m/>
    <m/>
    <m/>
  </r>
  <r>
    <m/>
    <n v="37508"/>
    <s v="HLC-B"/>
    <s v="STB8M0954"/>
    <x v="4"/>
    <s v="NR"/>
    <x v="3"/>
    <d v="2020-12-25T00:00:00"/>
    <n v="954"/>
    <x v="0"/>
    <s v="M-U7D2S04V.005,_x000a_MO-U7F2S240.005"/>
    <d v="2021-03-04T00:00:00"/>
    <s v="UAT2Y440.012"/>
    <s v="Done (ver-Nimesh)"/>
    <d v="2022-03-23T00:00:00"/>
    <m/>
    <s v="Done by NW"/>
    <s v="Done by NW"/>
    <s v="Conv-B DONE"/>
    <s v="Conv-B DONE"/>
    <s v="Conv-B DONE"/>
    <m/>
    <m/>
    <s v="Done by NW"/>
    <m/>
    <m/>
    <m/>
    <m/>
    <m/>
  </r>
  <r>
    <m/>
    <n v="39021"/>
    <s v="HLC-A"/>
    <s v="STB4K0219HLCD"/>
    <x v="4"/>
    <s v="NR"/>
    <x v="3"/>
    <d v="2018-11-08T00:00:00"/>
    <n v="219"/>
    <x v="0"/>
    <s v="M-U7D2S04V.005,_x000a_MO-U7F2S240.005"/>
    <d v="2020-08-28T00:00:00"/>
    <s v="UAT2Y440.012"/>
    <s v="Done (ver-Nimesh)"/>
    <d v="2022-06-29T00:00:00"/>
    <m/>
    <m/>
    <s v="Conv-A DONE"/>
    <s v="Conv-A DONE"/>
    <s v="Conv-A DONE"/>
    <s v="Conv-A DONE"/>
    <m/>
    <m/>
    <s v="Conv-A DONE"/>
    <m/>
    <m/>
    <m/>
    <s v="Modification"/>
    <m/>
  </r>
  <r>
    <m/>
    <n v="39021"/>
    <s v="HLC-B"/>
    <s v="STB4K0218HLCD"/>
    <x v="4"/>
    <s v="NR"/>
    <x v="3"/>
    <d v="2018-11-08T00:00:00"/>
    <n v="218"/>
    <x v="0"/>
    <s v="M-U7D2S04V.005,_x000a_MO-U7F2S240.005"/>
    <d v="2020-08-25T00:00:00"/>
    <s v="UAT2Y440.012"/>
    <s v="Done (ver-Nimesh)"/>
    <d v="2022-06-29T00:00:00"/>
    <m/>
    <m/>
    <s v="Conv-B DONE"/>
    <s v="Conv-B DONE"/>
    <s v="Conv-B DONE"/>
    <s v="Conv-B DONE"/>
    <m/>
    <m/>
    <s v="Conv-B DONE"/>
    <m/>
    <m/>
    <m/>
    <s v="Failed"/>
    <m/>
  </r>
  <r>
    <m/>
    <n v="39022"/>
    <s v="HLC-A"/>
    <s v="STB4K0220HLCD"/>
    <x v="4"/>
    <s v="NR"/>
    <x v="3"/>
    <d v="2019-01-12T00:00:00"/>
    <n v="220"/>
    <x v="0"/>
    <s v="M-U7D2S04V.005,_x000a_MO-U7F2S240.005"/>
    <d v="2020-08-25T00:00:00"/>
    <s v="UAT2Y440.012"/>
    <s v="Done (ver-Nimesh)"/>
    <d v="2022-03-28T00:00:00"/>
    <m/>
    <m/>
    <s v="Conv-A DONE"/>
    <s v="Conv-A DONE"/>
    <s v="Conv-A DONE"/>
    <s v="Conv-A DONE"/>
    <m/>
    <m/>
    <m/>
    <m/>
    <m/>
    <m/>
    <s v="Modifcation"/>
    <m/>
  </r>
  <r>
    <m/>
    <n v="39022"/>
    <s v="HLC-B"/>
    <s v="STB4K0221HLCD"/>
    <x v="4"/>
    <s v="NR"/>
    <x v="3"/>
    <d v="2019-01-12T00:00:00"/>
    <n v="221"/>
    <x v="0"/>
    <s v="M-U7D2S04V.005,_x000a_MO-U7F2S240.005"/>
    <d v="2020-08-25T00:00:00"/>
    <s v="UAT2Y440.012"/>
    <s v="Done (ver-Nimesh)"/>
    <d v="2022-03-28T00:00:00"/>
    <m/>
    <m/>
    <s v="Conv-B DONE"/>
    <s v="Conv-B DONE"/>
    <s v="Conv-B DONE"/>
    <s v="Conv-B DONE"/>
    <m/>
    <m/>
    <m/>
    <m/>
    <m/>
    <m/>
    <s v="Failed"/>
    <m/>
  </r>
  <r>
    <m/>
    <n v="39023"/>
    <s v="HLC-A"/>
    <s v="STB4K0237HLCD"/>
    <x v="7"/>
    <s v="WCR"/>
    <x v="3"/>
    <d v="2019-01-15T00:00:00"/>
    <n v="237"/>
    <x v="0"/>
    <s v="M-U7D2S04V.005,_x000a_MO-U7F2S240.005"/>
    <d v="2020-11-04T00:00:00"/>
    <s v="U9S2Y440.011"/>
    <s v="Done (ver-Nimesh)"/>
    <d v="2021-06-28T00:00:00"/>
    <m/>
    <m/>
    <s v="Conv-A DONE"/>
    <s v="Conv-A DONE"/>
    <s v="Conv-A DONE"/>
    <s v="Conv-A DONE"/>
    <m/>
    <m/>
    <m/>
    <m/>
    <m/>
    <m/>
    <m/>
    <m/>
  </r>
  <r>
    <m/>
    <n v="39023"/>
    <s v="HLC-B"/>
    <s v="STB4K0224HLCD"/>
    <x v="7"/>
    <s v="WCR"/>
    <x v="3"/>
    <d v="2019-01-15T00:00:00"/>
    <n v="224"/>
    <x v="0"/>
    <s v="M-U7D2S04V.005,_x000a_MO-U7F2S240.005"/>
    <d v="2020-11-04T00:00:00"/>
    <s v="U9S2Y440.011"/>
    <s v="Done (ver-Nimesh)"/>
    <d v="2021-06-28T00:00:00"/>
    <m/>
    <m/>
    <s v="Conv-B DONE"/>
    <s v="Conv-B DONE"/>
    <s v="Conv-B DONE"/>
    <s v="Conv-B DONE"/>
    <m/>
    <m/>
    <m/>
    <m/>
    <m/>
    <m/>
    <m/>
    <m/>
  </r>
  <r>
    <m/>
    <n v="39032"/>
    <s v="HLC-A"/>
    <s v="STB6K0253HLCD"/>
    <x v="4"/>
    <s v="NR"/>
    <x v="3"/>
    <d v="2019-02-18T00:00:00"/>
    <n v="253"/>
    <x v="0"/>
    <s v="M-U7D2S04V.005,_x000a_MO-U7F2S240.005"/>
    <d v="2020-09-04T00:00:00"/>
    <s v="UAT2Y440.012"/>
    <s v="Done (ver-Nimesh)"/>
    <d v="2022-06-28T00:00:00"/>
    <m/>
    <m/>
    <s v="Conv-A DONE"/>
    <s v="Conv-A DONE"/>
    <s v="Conv-A DONE"/>
    <s v="Conv-A DONE"/>
    <m/>
    <m/>
    <m/>
    <m/>
    <m/>
    <m/>
    <s v="Modification "/>
    <m/>
  </r>
  <r>
    <m/>
    <n v="39032"/>
    <s v="HLC-B"/>
    <s v="STB6K0248HLCD"/>
    <x v="4"/>
    <s v="NR"/>
    <x v="3"/>
    <d v="2019-02-18T00:00:00"/>
    <n v="248"/>
    <x v="0"/>
    <s v="M-U7D2S04V.005,_x000a_MO-U7F2S240.005"/>
    <d v="2020-09-04T00:00:00"/>
    <s v="UAT2Y440.012"/>
    <s v="Done (ver-Nimesh)"/>
    <d v="2022-06-28T00:00:00"/>
    <m/>
    <m/>
    <s v="Conv-B DONE"/>
    <s v="Conv-B DONE"/>
    <s v="Conv-B DONE"/>
    <s v="Conv-B DONE"/>
    <m/>
    <m/>
    <m/>
    <m/>
    <m/>
    <m/>
    <s v="Failed"/>
    <m/>
  </r>
  <r>
    <m/>
    <n v="39041"/>
    <s v="HLC-A"/>
    <s v="STB10K0311HLCD"/>
    <x v="4"/>
    <s v="NR"/>
    <x v="3"/>
    <d v="2019-04-27T00:00:00"/>
    <n v="311"/>
    <x v="0"/>
    <s v="M-U7D2S04V.005,_x000a_MO-U7F2S240.005"/>
    <d v="2020-08-19T00:00:00"/>
    <s v="U9S2Y440.011"/>
    <s v="Done (ver-Nimesh)"/>
    <d v="2022-03-23T00:00:00"/>
    <m/>
    <m/>
    <s v="Conv-A DONE"/>
    <s v="Conv-A DONE"/>
    <s v="Conv-A DONE"/>
    <s v="Conv-A DONE"/>
    <m/>
    <s v="Conv-A DONE"/>
    <s v="Conv-A DONE"/>
    <m/>
    <m/>
    <m/>
    <s v="Modfication "/>
    <m/>
  </r>
  <r>
    <m/>
    <n v="39041"/>
    <s v="HLC-B"/>
    <s v="STB10K0308HLCD"/>
    <x v="4"/>
    <s v="NR"/>
    <x v="3"/>
    <d v="2019-04-27T00:00:00"/>
    <n v="308"/>
    <x v="0"/>
    <s v="M-U7D2S04V.005,_x000a_MO-U7F2S240.005"/>
    <d v="2020-08-19T00:00:00"/>
    <s v="U9S2Y440.011"/>
    <s v="Done (ver-Nimesh)"/>
    <d v="2022-03-23T00:00:00"/>
    <m/>
    <m/>
    <s v="Conv-B DONE"/>
    <s v="Conv-B DONE"/>
    <s v="Conv-B DONE"/>
    <s v="Conv-B DONE"/>
    <m/>
    <s v="Conv-B DONE"/>
    <s v="Conv-B DONE"/>
    <m/>
    <m/>
    <m/>
    <s v="Failed"/>
    <m/>
  </r>
  <r>
    <m/>
    <n v="39044"/>
    <s v="HLC-A"/>
    <s v="STB10K0312HLCD"/>
    <x v="4"/>
    <s v="NR"/>
    <x v="3"/>
    <d v="2019-04-20T00:00:00"/>
    <n v="312"/>
    <x v="0"/>
    <s v="M-U7D2S04V.005,_x000a_MO-U7F2S240.005"/>
    <d v="2020-08-29T00:00:00"/>
    <s v="U9S2Y440.011"/>
    <s v="Done (ver-Nimesh)"/>
    <d v="2022-03-11T00:00:00"/>
    <m/>
    <m/>
    <s v="Conv-A DONE"/>
    <s v="Conv-A DONE"/>
    <s v="Conv-A DONE"/>
    <s v="Conv-A DONE"/>
    <m/>
    <s v="Conv-A DONE"/>
    <s v="Conv-A DONE"/>
    <m/>
    <m/>
    <m/>
    <m/>
    <m/>
  </r>
  <r>
    <m/>
    <n v="39044"/>
    <s v="HLC-B"/>
    <s v="STB10K0313HLCD"/>
    <x v="4"/>
    <s v="NR"/>
    <x v="3"/>
    <d v="2019-04-20T00:00:00"/>
    <n v="313"/>
    <x v="0"/>
    <s v="M-U7D2S04V.005,_x000a_MO-U7F2S240.005"/>
    <d v="2020-08-29T00:00:00"/>
    <s v="U9S2Y440.011"/>
    <s v="Done (ver-Nimesh)"/>
    <d v="2022-03-11T00:00:00"/>
    <m/>
    <m/>
    <s v="Conv-B DONE"/>
    <s v="Conv-B DONE"/>
    <s v="Conv-B DONE"/>
    <s v="Conv-B DONE"/>
    <m/>
    <s v="Conv-B DONE"/>
    <s v="Conv-B DONE"/>
    <m/>
    <m/>
    <m/>
    <m/>
    <m/>
  </r>
  <r>
    <m/>
    <n v="39075"/>
    <s v="HLC-A"/>
    <s v="STBNK0332HLCD"/>
    <x v="7"/>
    <s v="WCR"/>
    <x v="3"/>
    <d v="2019-07-30T00:00:00"/>
    <n v="332"/>
    <x v="0"/>
    <s v="M-U7D2S04V.005,_x000a_MO-U7F2S240.005"/>
    <d v="2020-10-14T00:00:00"/>
    <s v="U9S2Y440.011"/>
    <s v="Done (ver-Nimesh)"/>
    <d v="2021-06-28T00:00:00"/>
    <m/>
    <m/>
    <s v="Conv-A DONE"/>
    <m/>
    <s v="Conv-A DONE"/>
    <s v="Conv-A DONE"/>
    <m/>
    <s v="Conv-A DONE"/>
    <s v="Conv-A DONE"/>
    <m/>
    <m/>
    <m/>
    <m/>
    <m/>
  </r>
  <r>
    <m/>
    <n v="39075"/>
    <s v="HLC-B"/>
    <s v="STBNK0342HLCD"/>
    <x v="7"/>
    <s v="WCR"/>
    <x v="3"/>
    <d v="2019-07-30T00:00:00"/>
    <n v="342"/>
    <x v="0"/>
    <s v="U7D2S04V.005"/>
    <d v="2020-10-14T00:00:00"/>
    <s v="U9S2Y440.011"/>
    <s v="Done (ver-Nimesh)"/>
    <d v="2021-06-28T00:00:00"/>
    <m/>
    <m/>
    <s v="Conv-B DONE"/>
    <m/>
    <s v="Conv-B DONE"/>
    <s v="Conv-B DONE"/>
    <m/>
    <s v="Conv-B DONE"/>
    <s v="Conv-B DONE"/>
    <m/>
    <m/>
    <m/>
    <m/>
    <m/>
  </r>
  <r>
    <m/>
    <n v="39141"/>
    <s v="HLC-A"/>
    <s v="STBDL0768HLCD"/>
    <x v="7"/>
    <s v="WCR"/>
    <x v="3"/>
    <d v="2020-06-12T00:00:00"/>
    <n v="768"/>
    <x v="0"/>
    <s v="M-U7D2S04V.005,_x000a_MO-U7F2S240.005"/>
    <d v="2020-08-31T00:00:00"/>
    <s v="U9S2Y440.011"/>
    <s v="Done (ver-Nimesh)"/>
    <d v="2021-06-21T00:00:00"/>
    <m/>
    <s v="Done by NW"/>
    <s v="Done by NW"/>
    <m/>
    <s v="Conv-A DONE"/>
    <s v="Conv-A DONE"/>
    <m/>
    <m/>
    <s v="Conv-A DONE"/>
    <m/>
    <m/>
    <m/>
    <m/>
    <m/>
  </r>
  <r>
    <m/>
    <n v="39141"/>
    <s v="HLC-B"/>
    <s v="STBDL0769HLCD"/>
    <x v="7"/>
    <s v="WCR"/>
    <x v="3"/>
    <d v="2020-06-12T00:00:00"/>
    <n v="769"/>
    <x v="0"/>
    <s v="M-U7D2S04V.005,_x000a_MO-U7F2S240.005"/>
    <d v="2020-08-31T00:00:00"/>
    <s v="U9S2Y440.011"/>
    <s v="Done (ver-Nimesh)"/>
    <d v="2021-06-21T00:00:00"/>
    <m/>
    <s v="Done by NW"/>
    <s v="Done by NW"/>
    <m/>
    <s v="Conv-B DONE"/>
    <s v="Conv-B DONE"/>
    <m/>
    <m/>
    <s v="Conv-B DONE"/>
    <m/>
    <m/>
    <m/>
    <m/>
    <m/>
  </r>
  <r>
    <m/>
    <n v="39142"/>
    <s v="HLC-A"/>
    <s v="STB1M0774HLCD"/>
    <x v="7"/>
    <s v="WCR"/>
    <x v="3"/>
    <d v="2020-06-22T00:00:00"/>
    <n v="774"/>
    <x v="0"/>
    <s v="M-U7D2S04V.005,_x000a_MO-U7F2S240.005"/>
    <d v="2020-10-21T00:00:00"/>
    <s v="U9S2Y440.011"/>
    <s v="Done (ver-Nimesh)"/>
    <d v="2020-09-09T00:00:00"/>
    <m/>
    <s v="Done by NW"/>
    <s v="Done by NW"/>
    <m/>
    <s v="Conv-A DONE"/>
    <s v="Conv-A DONE"/>
    <m/>
    <m/>
    <m/>
    <m/>
    <m/>
    <m/>
    <m/>
    <m/>
  </r>
  <r>
    <m/>
    <n v="39142"/>
    <s v="HLC-B"/>
    <s v="STB1M0771HLCD"/>
    <x v="7"/>
    <s v="WCR"/>
    <x v="3"/>
    <d v="2020-06-22T00:00:00"/>
    <n v="771"/>
    <x v="0"/>
    <s v="M-U7D2S04V.005,_x000a_MO-U7F2S240.005"/>
    <d v="2020-10-21T00:00:00"/>
    <s v="U9S2Y440.011"/>
    <s v="Done (ver-Nimesh)"/>
    <d v="2020-09-09T00:00:00"/>
    <m/>
    <s v="Done by NW"/>
    <s v="Done by NW"/>
    <m/>
    <s v="Conv-B DONE"/>
    <s v="Conv-B DONE"/>
    <m/>
    <m/>
    <m/>
    <m/>
    <m/>
    <m/>
    <m/>
    <m/>
  </r>
  <r>
    <m/>
    <n v="37578"/>
    <s v="HLC-A"/>
    <s v="STB5M078HLCD"/>
    <x v="10"/>
    <s v="NR"/>
    <x v="3"/>
    <d v="2021-04-29T00:00:00"/>
    <n v="781"/>
    <x v="0"/>
    <m/>
    <m/>
    <m/>
    <m/>
    <m/>
    <m/>
    <s v="Done by NW"/>
    <s v="Done by NW"/>
    <m/>
    <s v="Conv-A DONE"/>
    <m/>
    <m/>
    <m/>
    <s v="Done by NW"/>
    <m/>
    <m/>
    <m/>
    <m/>
    <m/>
  </r>
  <r>
    <m/>
    <n v="37578"/>
    <s v="HLC-B"/>
    <s v="STB5M0778HLCD"/>
    <x v="10"/>
    <s v="NR"/>
    <x v="3"/>
    <d v="2021-04-29T00:00:00"/>
    <n v="778"/>
    <x v="0"/>
    <m/>
    <m/>
    <m/>
    <m/>
    <m/>
    <m/>
    <s v="Done by NW"/>
    <s v="Done by NW"/>
    <m/>
    <s v="Conv-B DONE"/>
    <m/>
    <m/>
    <m/>
    <s v="Done by NW"/>
    <m/>
    <m/>
    <m/>
    <m/>
    <m/>
  </r>
  <r>
    <m/>
    <n v="39190"/>
    <s v="HLC-A"/>
    <s v="STB1N1086HLCD"/>
    <x v="3"/>
    <s v="SR"/>
    <x v="1"/>
    <d v="2021-03-23T00:00:00"/>
    <s v="1086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90"/>
    <s v="HLC-B"/>
    <s v="STB1N1087HLCD"/>
    <x v="3"/>
    <s v="SR"/>
    <x v="1"/>
    <d v="2021-03-23T00:00:00"/>
    <s v="108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91"/>
    <s v="HLC-A"/>
    <s v="STB1N1082HLCD"/>
    <x v="3"/>
    <s v="SR"/>
    <x v="1"/>
    <d v="2021-04-29T00:00:00"/>
    <s v="1082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91"/>
    <s v="HLC-B"/>
    <s v="STB1N1083HLCD"/>
    <x v="3"/>
    <s v="SR"/>
    <x v="1"/>
    <d v="2021-04-29T00:00:00"/>
    <s v="1083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817"/>
    <s v="HLC-A"/>
    <s v="STB8M0897 HLCD"/>
    <x v="11"/>
    <s v="NCR"/>
    <x v="3"/>
    <d v="2020-12-16T00:00:00"/>
    <n v="897"/>
    <x v="0"/>
    <s v="M-U7D2S04V.005,_x000a_MO-U7F2S240.005"/>
    <s v="Done by NW"/>
    <s v="UAT2Y440.012"/>
    <s v="Done"/>
    <d v="2021-03-17T00:00:00"/>
    <m/>
    <s v="Done by NW"/>
    <s v="Done by NW"/>
    <s v="Conv-A DONE"/>
    <s v="Conv-A DONE"/>
    <s v="Conv-A DONE"/>
    <m/>
    <m/>
    <s v="Done by NW"/>
    <m/>
    <m/>
    <m/>
    <m/>
    <m/>
  </r>
  <r>
    <m/>
    <n v="30817"/>
    <s v="HLC-B"/>
    <s v="STB8M0896 HLCD"/>
    <x v="11"/>
    <s v="NCR"/>
    <x v="3"/>
    <d v="2020-12-16T00:00:00"/>
    <n v="896"/>
    <x v="0"/>
    <s v="M-U7D2S04V.005,_x000a_MO-U7F2S240.005"/>
    <s v="Done by NW"/>
    <s v="UAT2Y440.012"/>
    <s v="Done"/>
    <d v="2021-03-17T00:00:00"/>
    <m/>
    <s v="Done by NW"/>
    <s v="Done by NW"/>
    <s v="Conv-B DONE"/>
    <s v="Conv-B DONE"/>
    <s v="Conv-B DONE"/>
    <m/>
    <m/>
    <s v="Done by NW"/>
    <m/>
    <m/>
    <m/>
    <m/>
    <m/>
  </r>
  <r>
    <m/>
    <n v="30819"/>
    <s v="HLC-A"/>
    <s v="STB8M0963 HLCD"/>
    <x v="11"/>
    <s v="NCR"/>
    <x v="3"/>
    <d v="2020-12-18T00:00:00"/>
    <n v="963"/>
    <x v="0"/>
    <s v="M-U7D2S04V.005,_x000a_MO-U7F2S240.005"/>
    <s v="Done by NW"/>
    <s v="UAT2Y440.012"/>
    <s v="Done"/>
    <m/>
    <m/>
    <s v="Done by NW"/>
    <s v="Done by NW"/>
    <m/>
    <s v="Conv-A DONE"/>
    <s v="Conv-A DONE"/>
    <m/>
    <m/>
    <s v="Done by NW"/>
    <m/>
    <m/>
    <m/>
    <m/>
    <m/>
  </r>
  <r>
    <m/>
    <n v="30819"/>
    <s v="HLC-B"/>
    <s v="STB0M1005 HLCD"/>
    <x v="11"/>
    <s v="NCR"/>
    <x v="3"/>
    <d v="2020-12-18T00:00:00"/>
    <n v="1005"/>
    <x v="0"/>
    <s v="M-U7D2S04V.005,_x000a_MO-U7F2S240.005"/>
    <s v="Done by NW"/>
    <s v="UAT2Y440.012"/>
    <s v="Done"/>
    <m/>
    <m/>
    <s v="Done by NW"/>
    <s v="Done by NW"/>
    <m/>
    <s v="Conv-B DONE"/>
    <s v="Conv-B DONE"/>
    <m/>
    <m/>
    <s v="Done by NW"/>
    <m/>
    <m/>
    <m/>
    <m/>
    <m/>
  </r>
  <r>
    <m/>
    <n v="30820"/>
    <s v="HLC-A"/>
    <s v="STB8M0962"/>
    <x v="11"/>
    <s v="NCR"/>
    <x v="3"/>
    <d v="2020-12-26T00:00:00"/>
    <n v="962"/>
    <x v="0"/>
    <s v="M-U7D2S04V.005,_x000a_MO-U7F2S240.005"/>
    <s v="Done by NW"/>
    <s v="UAT2Y440.012"/>
    <s v="Done"/>
    <m/>
    <m/>
    <s v="Done by NW"/>
    <s v="Done by NW"/>
    <m/>
    <s v="Conv-A DONE"/>
    <s v="Conv-A DONE"/>
    <m/>
    <m/>
    <s v="Done by NW"/>
    <m/>
    <m/>
    <m/>
    <m/>
    <m/>
  </r>
  <r>
    <m/>
    <n v="30820"/>
    <s v="HLC-B"/>
    <s v="STB0M1004"/>
    <x v="11"/>
    <s v="NCR"/>
    <x v="3"/>
    <d v="2020-12-26T00:00:00"/>
    <n v="1004"/>
    <x v="0"/>
    <s v="M-U7D2S04V.005,_x000a_MO-U7F2S240.005"/>
    <s v="Done by NW"/>
    <s v="UAT2Y440.012"/>
    <s v="Done"/>
    <m/>
    <m/>
    <s v="Done by NW"/>
    <s v="Done by NW"/>
    <m/>
    <s v="Conv-B DONE"/>
    <s v="Conv-B DONE"/>
    <m/>
    <m/>
    <s v="Done by NW"/>
    <m/>
    <m/>
    <m/>
    <m/>
    <m/>
  </r>
  <r>
    <m/>
    <n v="37096"/>
    <s v="HLC-A"/>
    <s v="STB8K0286 HLCD"/>
    <x v="11"/>
    <s v="NCR"/>
    <x v="3"/>
    <d v="2019-02-24T00:00:00"/>
    <n v="286"/>
    <x v="0"/>
    <s v="M-U7D2S04V.005,_x000a_MO-U7F2S240.005"/>
    <d v="2020-11-04T00:00:00"/>
    <s v="UAT2Y440.012"/>
    <d v="2020-11-04T00:00:00"/>
    <d v="2021-05-10T00:00:00"/>
    <m/>
    <m/>
    <s v="Conv-A DONE"/>
    <m/>
    <m/>
    <s v="Conv-A DONE"/>
    <m/>
    <m/>
    <m/>
    <m/>
    <m/>
    <m/>
    <m/>
    <m/>
  </r>
  <r>
    <m/>
    <n v="37096"/>
    <s v="HLC-B"/>
    <s v="STB5K0231 HLCD"/>
    <x v="11"/>
    <s v="NCR"/>
    <x v="3"/>
    <d v="2019-02-24T00:00:00"/>
    <n v="231"/>
    <x v="0"/>
    <s v="M-U7D2S04V.005,_x000a_MO-U7F2S240.005"/>
    <d v="2020-11-04T00:00:00"/>
    <s v="UAT2Y440.012"/>
    <d v="2020-11-04T00:00:00"/>
    <d v="2021-05-11T00:00:00"/>
    <m/>
    <m/>
    <s v="Conv-B DONE"/>
    <m/>
    <m/>
    <s v="Conv-B DONE"/>
    <m/>
    <m/>
    <m/>
    <m/>
    <m/>
    <m/>
    <m/>
    <m/>
  </r>
  <r>
    <m/>
    <n v="37097"/>
    <s v="HLC-A"/>
    <s v="STBOK0298HLCD"/>
    <x v="11"/>
    <s v="NCR"/>
    <x v="3"/>
    <d v="2019-02-27T00:00:00"/>
    <n v="298"/>
    <x v="0"/>
    <s v="M-U7D2S04V.005,_x000a_MO-U7F2S240.005"/>
    <d v="2021-03-31T00:00:00"/>
    <s v="UAT2Y440.012"/>
    <d v="2021-03-31T00:00:00"/>
    <d v="2021-04-06T00:00:00"/>
    <m/>
    <m/>
    <s v="Conv-A DONE"/>
    <m/>
    <s v="Conv-A DONE"/>
    <s v="Conv-A DONE"/>
    <m/>
    <s v="Conv-A DONE"/>
    <m/>
    <m/>
    <m/>
    <m/>
    <d v="2021-06-24T00:00:00"/>
    <m/>
  </r>
  <r>
    <m/>
    <n v="37097"/>
    <s v="HLC-B"/>
    <s v="STBOK0299HLCD"/>
    <x v="11"/>
    <s v="NCR"/>
    <x v="3"/>
    <d v="2019-02-27T00:00:00"/>
    <n v="299"/>
    <x v="0"/>
    <s v="M-U7D2S04V.005,_x000a_MO-U7F2S240.005"/>
    <d v="2021-03-31T00:00:00"/>
    <s v="UAT2Y440.012"/>
    <d v="2021-03-31T00:00:00"/>
    <d v="2021-04-06T00:00:00"/>
    <m/>
    <m/>
    <s v="Conv-B DONE"/>
    <m/>
    <s v="Conv-B DONE"/>
    <s v="Conv-B DONE"/>
    <m/>
    <s v="Conv-B DONE"/>
    <m/>
    <m/>
    <m/>
    <m/>
    <d v="2021-06-24T00:00:00"/>
    <m/>
  </r>
  <r>
    <m/>
    <n v="37099"/>
    <s v="HLC-A"/>
    <s v="STB7K0279 HLCD"/>
    <x v="11"/>
    <s v="NCR"/>
    <x v="3"/>
    <d v="2019-02-26T00:00:00"/>
    <n v="279"/>
    <x v="0"/>
    <s v="M-U7D2S04V.005,_x000a_MO-U7F2S240.005"/>
    <s v="Done"/>
    <s v="UAT2Y440.012"/>
    <s v="Done"/>
    <d v="2022-02-28T00:00:00"/>
    <m/>
    <m/>
    <s v="Conv-A DONE"/>
    <m/>
    <s v="Conv-A DONE"/>
    <s v="Conv-A DONE"/>
    <m/>
    <m/>
    <m/>
    <m/>
    <m/>
    <m/>
    <m/>
    <m/>
  </r>
  <r>
    <m/>
    <n v="37099"/>
    <s v="HLC-B"/>
    <s v="STB5K0232 HLCD"/>
    <x v="11"/>
    <s v="NCR"/>
    <x v="3"/>
    <d v="2019-02-26T00:00:00"/>
    <n v="232"/>
    <x v="0"/>
    <s v="M-U7D2S04V.005,_x000a_MO-U7F2S240.005"/>
    <s v="Done"/>
    <s v="UAT2Y440.012"/>
    <s v="Done"/>
    <d v="2022-02-28T00:00:00"/>
    <m/>
    <m/>
    <s v="Conv-B DONE"/>
    <m/>
    <s v="Conv-B DONE"/>
    <s v="Conv-B DONE"/>
    <s v="Conv-B DONE"/>
    <m/>
    <m/>
    <m/>
    <m/>
    <m/>
    <m/>
    <m/>
  </r>
  <r>
    <m/>
    <n v="37100"/>
    <s v="HLC-A"/>
    <s v="STB5K0238 HLCD"/>
    <x v="11"/>
    <s v="NCR"/>
    <x v="3"/>
    <d v="2019-02-26T00:00:00"/>
    <n v="238"/>
    <x v="0"/>
    <s v="M-U7D2S04V.005,_x000a_MO-U7F2S240.005"/>
    <d v="2020-12-07T00:00:00"/>
    <s v="UAT2Y440.012"/>
    <d v="2020-12-07T00:00:00"/>
    <m/>
    <m/>
    <m/>
    <s v="Conv-A DONE"/>
    <m/>
    <m/>
    <s v="Conv-A DONE"/>
    <m/>
    <m/>
    <m/>
    <m/>
    <m/>
    <m/>
    <m/>
    <m/>
  </r>
  <r>
    <m/>
    <n v="37100"/>
    <s v="HLC-B"/>
    <s v="STB5K0239 HLCD"/>
    <x v="11"/>
    <s v="NCR"/>
    <x v="3"/>
    <d v="2019-02-26T00:00:00"/>
    <n v="239"/>
    <x v="0"/>
    <s v="M-U7D2S04V.005,_x000a_MO-U7F2S240.005"/>
    <d v="2020-12-07T00:00:00"/>
    <s v="UAT2Y440.012"/>
    <d v="2020-12-07T00:00:00"/>
    <m/>
    <m/>
    <m/>
    <s v="Conv-A DONE"/>
    <m/>
    <m/>
    <s v="Conv-B DONE"/>
    <m/>
    <m/>
    <m/>
    <m/>
    <m/>
    <m/>
    <m/>
    <m/>
  </r>
  <r>
    <m/>
    <n v="37102"/>
    <s v="HLC-A"/>
    <s v="STBOK0300 HLCD"/>
    <x v="11"/>
    <s v="NCR"/>
    <x v="3"/>
    <d v="2019-02-27T00:00:00"/>
    <n v="300"/>
    <x v="0"/>
    <s v="M-U7D2S04V.005,_x000a_MO-U7F2S240.005"/>
    <d v="2020-11-23T00:00:00"/>
    <s v="UAT2Y440.012"/>
    <d v="2020-11-23T00:00:00"/>
    <m/>
    <m/>
    <m/>
    <s v="Conv-A DONE"/>
    <m/>
    <m/>
    <s v="Conv-A DONE"/>
    <m/>
    <m/>
    <m/>
    <m/>
    <m/>
    <m/>
    <m/>
    <m/>
  </r>
  <r>
    <m/>
    <n v="37102"/>
    <s v="HLC-B"/>
    <s v="STBOK0301 HLCD"/>
    <x v="11"/>
    <s v="NCR"/>
    <x v="3"/>
    <d v="2019-02-27T00:00:00"/>
    <n v="301"/>
    <x v="0"/>
    <s v="M-U7D2S04V.005,_x000a_MO-U7F2S240.005"/>
    <d v="2020-11-23T00:00:00"/>
    <s v="UAT2Y440.012"/>
    <d v="2021-09-09T00:00:00"/>
    <m/>
    <m/>
    <m/>
    <s v="Conv-A DONE"/>
    <m/>
    <m/>
    <s v="Conv-B DONE"/>
    <m/>
    <m/>
    <m/>
    <m/>
    <m/>
    <m/>
    <m/>
    <m/>
  </r>
  <r>
    <m/>
    <n v="37105"/>
    <s v="HLC-A"/>
    <s v="STBOK0297 HLCD"/>
    <x v="11"/>
    <s v="NCR"/>
    <x v="3"/>
    <d v="2019-02-27T00:00:00"/>
    <n v="297"/>
    <x v="0"/>
    <s v="M-U7D2S04V.005,_x000a_MO-U7F2S240.005"/>
    <s v="Done"/>
    <s v="UAT2Y440.012"/>
    <s v="Done"/>
    <d v="2021-04-19T00:00:00"/>
    <m/>
    <m/>
    <s v="Conv-A DONE"/>
    <m/>
    <s v="Conv-A DONE"/>
    <s v="Conv-A DONE"/>
    <m/>
    <m/>
    <m/>
    <m/>
    <m/>
    <m/>
    <d v="2021-10-22T00:00:00"/>
    <m/>
  </r>
  <r>
    <m/>
    <n v="37105"/>
    <s v="HLC-B"/>
    <s v="STB4K0212 HLCD"/>
    <x v="11"/>
    <s v="NCR"/>
    <x v="3"/>
    <d v="2019-02-27T00:00:00"/>
    <n v="212"/>
    <x v="0"/>
    <s v="M-U7D2S04V.005,_x000a_MO-U7F2S240.005"/>
    <s v="Done"/>
    <s v="UAT2Y440.012"/>
    <s v="Done"/>
    <d v="2021-04-19T00:00:00"/>
    <m/>
    <m/>
    <s v="Conv-B DONE"/>
    <m/>
    <s v="Conv-B DONE"/>
    <s v="Conv-B DONE"/>
    <m/>
    <m/>
    <m/>
    <m/>
    <m/>
    <m/>
    <d v="2021-10-22T00:00:00"/>
    <m/>
  </r>
  <r>
    <m/>
    <n v="37123"/>
    <s v="HLC-A"/>
    <s v="STBDK0357 HLCD"/>
    <x v="11"/>
    <s v="NCR"/>
    <x v="3"/>
    <d v="2019-03-23T00:00:00"/>
    <n v="357"/>
    <x v="0"/>
    <s v="M-U7D2S04V.005,_x000a_MO-U7F2S240.005"/>
    <d v="2020-12-02T00:00:00"/>
    <s v="UAT2Y440.012"/>
    <d v="2020-12-02T00:00:00"/>
    <m/>
    <m/>
    <m/>
    <s v="Conv-A DONE"/>
    <m/>
    <s v="Conv-A DONE"/>
    <s v="Conv-A DONE"/>
    <m/>
    <m/>
    <m/>
    <m/>
    <m/>
    <m/>
    <m/>
    <m/>
  </r>
  <r>
    <m/>
    <n v="37123"/>
    <s v="HLC-B"/>
    <s v="STBNK0326 HLCD"/>
    <x v="11"/>
    <s v="NCR"/>
    <x v="3"/>
    <d v="2019-03-23T00:00:00"/>
    <n v="326"/>
    <x v="0"/>
    <s v="M-U7D2S04V.005,_x000a_MO-U7F2S240.005"/>
    <d v="2020-12-02T00:00:00"/>
    <s v="UAT2Y440.012"/>
    <d v="2020-12-02T00:00:00"/>
    <d v="2021-04-06T00:00:00"/>
    <m/>
    <m/>
    <s v="Conv-B DONE"/>
    <m/>
    <s v="Conv-B DONE"/>
    <s v="Conv-B DONE"/>
    <m/>
    <m/>
    <m/>
    <m/>
    <m/>
    <m/>
    <d v="2021-06-22T00:00:00"/>
    <m/>
  </r>
  <r>
    <m/>
    <n v="37125"/>
    <s v="HLC-A"/>
    <s v="STBNK0340 HLCD"/>
    <x v="11"/>
    <s v="NCR"/>
    <x v="3"/>
    <d v="2019-03-25T00:00:00"/>
    <n v="340"/>
    <x v="0"/>
    <s v="M-U7D2S04V.005,_x000a_MO-U7F2S240.005"/>
    <d v="2020-11-02T00:00:00"/>
    <s v="UAT2Y440.012"/>
    <d v="2020-11-02T00:00:00"/>
    <d v="2022-02-15T00:00:00"/>
    <m/>
    <m/>
    <s v="Conv-A DONE"/>
    <s v="Conv-A DONE"/>
    <s v="Conv-A DONE"/>
    <s v="Conv-A DONE"/>
    <m/>
    <m/>
    <m/>
    <m/>
    <m/>
    <m/>
    <m/>
    <m/>
  </r>
  <r>
    <m/>
    <n v="37125"/>
    <s v="HLC-B"/>
    <s v="STBDK0354 HLCD"/>
    <x v="11"/>
    <s v="NCR"/>
    <x v="3"/>
    <d v="2019-03-25T00:00:00"/>
    <n v="354"/>
    <x v="0"/>
    <s v="M-U7D2S04V.005,_x000a_MO-U7F2S240.005"/>
    <s v="Done"/>
    <s v="UAT2Y440.012"/>
    <s v="Done"/>
    <d v="2022-02-15T00:00:00"/>
    <m/>
    <m/>
    <s v="Conv-A DONE"/>
    <m/>
    <m/>
    <s v="Conv-B DONE"/>
    <m/>
    <m/>
    <m/>
    <m/>
    <m/>
    <m/>
    <m/>
    <m/>
  </r>
  <r>
    <m/>
    <n v="37129"/>
    <s v="HLC-A"/>
    <s v="STB1L0385 HLCD"/>
    <x v="11"/>
    <s v="NCR"/>
    <x v="3"/>
    <d v="2019-03-27T00:00:00"/>
    <n v="385"/>
    <x v="0"/>
    <s v="M-U7D2S04V.005,_x000a_MO-U7F2S240.005"/>
    <s v="Done"/>
    <s v="U9S2Y440.011"/>
    <m/>
    <m/>
    <m/>
    <m/>
    <s v="Conv-A DONE"/>
    <s v="Conv-A DONE"/>
    <m/>
    <s v="Conv-A DONE"/>
    <m/>
    <m/>
    <m/>
    <m/>
    <m/>
    <m/>
    <m/>
    <m/>
  </r>
  <r>
    <m/>
    <n v="37129"/>
    <s v="HLC-B"/>
    <s v="STB1L0384 HLCD"/>
    <x v="11"/>
    <s v="NCR"/>
    <x v="3"/>
    <d v="2019-03-27T00:00:00"/>
    <n v="384"/>
    <x v="0"/>
    <s v="M-U7D2S04V.005,_x000a_MO-U7F2S240.005"/>
    <s v="Done"/>
    <s v="U9S2Y440.011"/>
    <m/>
    <m/>
    <m/>
    <m/>
    <s v="Conv-B DONE"/>
    <s v="Conv-B DONE"/>
    <m/>
    <s v="Conv-B DONE"/>
    <m/>
    <m/>
    <m/>
    <m/>
    <m/>
    <m/>
    <m/>
    <m/>
  </r>
  <r>
    <m/>
    <n v="37130"/>
    <s v="HLC-A"/>
    <s v="STB2L0416 HLCD"/>
    <x v="11"/>
    <s v="NCR"/>
    <x v="3"/>
    <d v="2019-03-28T00:00:00"/>
    <n v="416"/>
    <x v="0"/>
    <s v="M-U7D2S04V.005,_x000a_MO-U7F2S240.005"/>
    <s v="Done"/>
    <s v="U9S2Y440.011"/>
    <m/>
    <m/>
    <m/>
    <m/>
    <s v="Conv-A DONE"/>
    <m/>
    <m/>
    <s v="Conv-A DONE"/>
    <m/>
    <m/>
    <m/>
    <m/>
    <m/>
    <m/>
    <m/>
    <m/>
  </r>
  <r>
    <m/>
    <n v="37130"/>
    <s v="HLC-B"/>
    <s v="STB2L0417 HLCD"/>
    <x v="11"/>
    <s v="NCR"/>
    <x v="3"/>
    <d v="2019-03-28T00:00:00"/>
    <n v="417"/>
    <x v="0"/>
    <s v="M-U7D2S04V.005,_x000a_MO-U7F2S240.005"/>
    <s v="Done"/>
    <s v="UAT2Y440.012"/>
    <d v="2021-09-30T00:00:00"/>
    <m/>
    <m/>
    <m/>
    <s v="Conv-B DONE"/>
    <m/>
    <m/>
    <s v="Conv-B DONE"/>
    <m/>
    <m/>
    <m/>
    <m/>
    <m/>
    <m/>
    <m/>
    <m/>
  </r>
  <r>
    <m/>
    <n v="37132"/>
    <s v="HLC-A"/>
    <s v="STBNK0337 HLCD"/>
    <x v="11"/>
    <s v="NCR"/>
    <x v="3"/>
    <d v="2019-03-28T00:00:00"/>
    <n v="337"/>
    <x v="0"/>
    <s v="M-U7D2S04V.005,_x000a_MO-U7F2S240.005"/>
    <s v="Done"/>
    <s v="UAT2Y440.012"/>
    <s v="Done"/>
    <d v="2021-04-08T00:00:00"/>
    <m/>
    <m/>
    <s v="Conv-A DONE"/>
    <m/>
    <s v="Conv-A DONE"/>
    <s v="Conv-A DONE"/>
    <m/>
    <s v="Conv-A DONE"/>
    <m/>
    <m/>
    <m/>
    <m/>
    <m/>
    <m/>
  </r>
  <r>
    <m/>
    <n v="37132"/>
    <s v="HLC-B"/>
    <s v="STBOK0314 HLCD"/>
    <x v="11"/>
    <s v="NCR"/>
    <x v="3"/>
    <d v="2019-03-28T00:00:00"/>
    <n v="314"/>
    <x v="0"/>
    <s v="M-U7D2S04V.005,_x000a_MO-U7F2S240.005"/>
    <s v="Done"/>
    <s v="UAT2Y440.012"/>
    <s v="Done"/>
    <d v="2021-04-08T00:00:00"/>
    <m/>
    <m/>
    <s v="Conv-B DONE"/>
    <m/>
    <s v="Conv-B DONE"/>
    <s v="Conv-B DONE"/>
    <m/>
    <s v="Conv-B DONE"/>
    <m/>
    <m/>
    <m/>
    <m/>
    <m/>
    <m/>
  </r>
  <r>
    <m/>
    <n v="37137"/>
    <s v="HLC-A"/>
    <s v="STB1L0404 HLCD"/>
    <x v="11"/>
    <s v="NCR"/>
    <x v="3"/>
    <d v="2019-03-29T00:00:00"/>
    <n v="404"/>
    <x v="0"/>
    <s v="M-U7D2S04V.005,_x000a_MO-U7F2S240.005"/>
    <s v="Done"/>
    <s v="UAT2Y440.012"/>
    <s v="Done"/>
    <d v="2022-04-25T00:00:00"/>
    <m/>
    <m/>
    <s v="Conv-A DONE"/>
    <m/>
    <m/>
    <s v="Conv-A DONE"/>
    <m/>
    <m/>
    <m/>
    <m/>
    <m/>
    <m/>
    <m/>
    <m/>
  </r>
  <r>
    <m/>
    <n v="37137"/>
    <s v="HLC-B"/>
    <s v="STB1L0405 HLCD"/>
    <x v="11"/>
    <s v="NCR"/>
    <x v="3"/>
    <d v="2019-03-29T00:00:00"/>
    <n v="405"/>
    <x v="0"/>
    <s v="M-U7D2S04V.005,_x000a_MO-U7F2S240.005"/>
    <s v="Done"/>
    <s v="UAT2Y440.012"/>
    <s v="Done"/>
    <d v="2022-04-25T00:00:00"/>
    <m/>
    <m/>
    <s v="Conv-A DONE"/>
    <m/>
    <m/>
    <s v="Conv-B DONE"/>
    <m/>
    <m/>
    <m/>
    <m/>
    <m/>
    <m/>
    <m/>
    <m/>
  </r>
  <r>
    <m/>
    <n v="37141"/>
    <s v="HLC-A"/>
    <s v="STBDK0366 HLCD"/>
    <x v="11"/>
    <s v="NCR"/>
    <x v="3"/>
    <d v="2019-04-15T00:00:00"/>
    <n v="366"/>
    <x v="0"/>
    <s v="M-U7D2S04V.005,_x000a_MO-U7F2S240.005"/>
    <d v="2022-03-31T00:00:00"/>
    <s v="UAT2Y440.012"/>
    <m/>
    <d v="2022-03-31T00:00:00"/>
    <m/>
    <m/>
    <s v="Conv-A DONE"/>
    <m/>
    <s v="Conv-A DONE"/>
    <s v="Conv-A DONE"/>
    <m/>
    <m/>
    <m/>
    <m/>
    <m/>
    <m/>
    <d v="2022-01-07T00:00:00"/>
    <m/>
  </r>
  <r>
    <m/>
    <n v="37141"/>
    <s v="HLC-B"/>
    <s v="STBNK0335 HLCD"/>
    <x v="11"/>
    <s v="NCR"/>
    <x v="3"/>
    <d v="2019-04-15T00:00:00"/>
    <n v="335"/>
    <x v="0"/>
    <s v="M-U7D2S04V.005,_x000a_MO-U7F2S240.005"/>
    <d v="2022-03-31T00:00:00"/>
    <s v="UAT2Y440.012"/>
    <m/>
    <d v="2022-03-31T00:00:00"/>
    <m/>
    <m/>
    <s v="Conv-B DONE"/>
    <m/>
    <s v="Conv-B DONE"/>
    <s v="Conv-B DONE"/>
    <m/>
    <m/>
    <s v="Conv-B DONE"/>
    <m/>
    <m/>
    <m/>
    <d v="2022-01-07T00:00:00"/>
    <m/>
  </r>
  <r>
    <m/>
    <n v="37146"/>
    <s v="HLC-A"/>
    <s v="STBDK0364 HLCD"/>
    <x v="11"/>
    <s v="NCR"/>
    <x v="3"/>
    <d v="2019-04-18T00:00:00"/>
    <n v="364"/>
    <x v="0"/>
    <s v="M-U7D2S04V.005,_x000a_MO-U7F2S240.005"/>
    <d v="2020-11-15T00:00:00"/>
    <s v="UAT2Y440.012"/>
    <d v="2020-11-15T00:00:00"/>
    <d v="2022-04-01T00:00:00"/>
    <m/>
    <m/>
    <s v="Conv-A DONE"/>
    <s v="Conv-A DONE"/>
    <m/>
    <s v="Conv-A DONE"/>
    <m/>
    <m/>
    <s v="Conv-A DONE"/>
    <m/>
    <m/>
    <m/>
    <d v="2021-10-27T00:00:00"/>
    <m/>
  </r>
  <r>
    <m/>
    <n v="37146"/>
    <s v="HLC-B"/>
    <s v="STBNK0338 HLCD"/>
    <x v="11"/>
    <s v="NCR"/>
    <x v="3"/>
    <d v="2019-04-18T00:00:00"/>
    <n v="338"/>
    <x v="0"/>
    <s v="M-U7D2S04V.005,_x000a_MO-U7F2S240.005"/>
    <d v="2020-11-15T00:00:00"/>
    <s v="UAT2Y440.012"/>
    <d v="2020-11-15T00:00:00"/>
    <d v="2022-04-01T00:00:00"/>
    <m/>
    <m/>
    <s v="Conv-B DONE"/>
    <s v="Conv-B DONE"/>
    <m/>
    <s v="Conv-B DONE"/>
    <m/>
    <m/>
    <s v="Conv-B DONE"/>
    <m/>
    <m/>
    <m/>
    <d v="2021-10-27T00:00:00"/>
    <m/>
  </r>
  <r>
    <m/>
    <n v="37174"/>
    <s v="HLC-A"/>
    <s v="STB2L0434 HLCD"/>
    <x v="11"/>
    <s v="NCR"/>
    <x v="3"/>
    <d v="2019-05-18T00:00:00"/>
    <n v="434"/>
    <x v="0"/>
    <s v="M-U7D2S04V.005,_x000a_MO-U7F2S240.005"/>
    <d v="2020-11-09T00:00:00"/>
    <s v="UAT2Y440.012"/>
    <d v="2020-11-09T00:00:00"/>
    <d v="2022-02-15T00:00:00"/>
    <m/>
    <m/>
    <s v="Conv-A DONE"/>
    <m/>
    <m/>
    <s v="Conv-A DONE"/>
    <m/>
    <m/>
    <s v="Conv-A DONE"/>
    <m/>
    <m/>
    <m/>
    <m/>
    <m/>
  </r>
  <r>
    <m/>
    <n v="37174"/>
    <s v="HLC-B"/>
    <s v="STB2L0428 HLCD"/>
    <x v="11"/>
    <s v="NCR"/>
    <x v="3"/>
    <d v="2019-05-18T00:00:00"/>
    <n v="428"/>
    <x v="0"/>
    <s v="M-U7D2S04V.005,_x000a_MO-U7F2S240.005"/>
    <d v="2020-11-09T00:00:00"/>
    <s v="UAT2Y440.012"/>
    <d v="2020-11-09T00:00:00"/>
    <d v="2022-02-15T00:00:00"/>
    <m/>
    <m/>
    <s v="Conv-B DONE"/>
    <s v="Conv-B DONE"/>
    <m/>
    <s v="Conv-B DONE"/>
    <m/>
    <m/>
    <m/>
    <m/>
    <m/>
    <m/>
    <m/>
    <m/>
  </r>
  <r>
    <m/>
    <n v="37177"/>
    <s v="HLC-A"/>
    <s v="STB4L0459 HLCD"/>
    <x v="11"/>
    <s v="NCR"/>
    <x v="3"/>
    <d v="2019-05-20T00:00:00"/>
    <n v="459"/>
    <x v="0"/>
    <s v="M-U7D2S04V.005,_x000a_MO-U7F2S240.005"/>
    <d v="2020-11-04T00:00:00"/>
    <s v="UAT2Y440.012"/>
    <d v="2020-11-04T00:00:00"/>
    <m/>
    <m/>
    <m/>
    <s v="Conv-A DONE"/>
    <m/>
    <m/>
    <s v="Conv-A DONE"/>
    <m/>
    <m/>
    <m/>
    <m/>
    <m/>
    <m/>
    <m/>
    <m/>
  </r>
  <r>
    <m/>
    <n v="37177"/>
    <s v="HLC-B"/>
    <s v="STB4L0458 HLCD"/>
    <x v="11"/>
    <s v="NCR"/>
    <x v="3"/>
    <d v="2019-05-20T00:00:00"/>
    <n v="458"/>
    <x v="0"/>
    <s v="M-U7D2S04V.005,_x000a_MO-U7F2S240.005"/>
    <d v="2020-11-04T00:00:00"/>
    <s v="UAT2Y440.012"/>
    <d v="2020-11-04T00:00:00"/>
    <m/>
    <m/>
    <m/>
    <s v="Conv-B DONE"/>
    <m/>
    <m/>
    <s v="Conv-B DONE"/>
    <m/>
    <m/>
    <m/>
    <m/>
    <m/>
    <m/>
    <m/>
    <m/>
  </r>
  <r>
    <m/>
    <n v="37196"/>
    <s v="HLC-A"/>
    <s v="STB4L0476 HLCD"/>
    <x v="11"/>
    <s v="NCR"/>
    <x v="3"/>
    <d v="2019-06-19T00:00:00"/>
    <n v="476"/>
    <x v="0"/>
    <s v="M-U7D2S04V.005,_x000a_MO-U7F2S240.005"/>
    <d v="2021-01-13T00:00:00"/>
    <s v="UAT2Y440.012"/>
    <d v="2021-01-13T00:00:00"/>
    <d v="2021-04-20T00:00:00"/>
    <m/>
    <m/>
    <s v="Conv-A DONE"/>
    <m/>
    <s v="Conv-A DONE"/>
    <s v="Conv-A DONE"/>
    <m/>
    <s v="Conv-A DONE"/>
    <m/>
    <m/>
    <m/>
    <m/>
    <m/>
    <m/>
  </r>
  <r>
    <m/>
    <n v="37196"/>
    <s v="HLC-B"/>
    <s v="STB4L0477 HLCD"/>
    <x v="11"/>
    <s v="NCR"/>
    <x v="3"/>
    <d v="2019-06-19T00:00:00"/>
    <n v="477"/>
    <x v="0"/>
    <s v="M-U7D2S04V.005,_x000a_MO-U7F2S240.005"/>
    <d v="2021-01-13T00:00:00"/>
    <s v="UAT2Y440.012"/>
    <d v="2022-04-02T00:00:00"/>
    <m/>
    <m/>
    <m/>
    <s v="Conv-B DONE"/>
    <s v="Conv-B DONE"/>
    <s v="Conv-B DONE"/>
    <s v="Conv-B DONE"/>
    <m/>
    <s v="Conv-B DONE"/>
    <m/>
    <m/>
    <m/>
    <m/>
    <m/>
    <m/>
  </r>
  <r>
    <m/>
    <n v="37220"/>
    <s v="HLC-A"/>
    <s v="STB5L0505 HLCD"/>
    <x v="11"/>
    <s v="NCR"/>
    <x v="3"/>
    <d v="2019-07-30T00:00:00"/>
    <n v="505"/>
    <x v="0"/>
    <s v="M-U7D2S04V.005,_x000a_MO-U7F2S240.005"/>
    <s v="Done"/>
    <s v="UAT2Y440.012"/>
    <s v="Done"/>
    <m/>
    <m/>
    <s v="Done by NW"/>
    <s v="Conv-A DONE"/>
    <m/>
    <m/>
    <s v="Conv-A DONE"/>
    <m/>
    <m/>
    <m/>
    <m/>
    <m/>
    <m/>
    <d v="2021-10-14T00:00:00"/>
    <m/>
  </r>
  <r>
    <m/>
    <n v="37220"/>
    <s v="HLC-B"/>
    <s v="STB5L0504 HLCD"/>
    <x v="11"/>
    <s v="NCR"/>
    <x v="3"/>
    <d v="2019-07-30T00:00:00"/>
    <n v="504"/>
    <x v="0"/>
    <s v="M-U7D2S04V.005,_x000a_MO-U7F2S240.005"/>
    <s v="Done"/>
    <s v="UAT2Y440.012"/>
    <s v="Done"/>
    <m/>
    <m/>
    <m/>
    <s v="Conv-B DONE"/>
    <m/>
    <m/>
    <s v="Conv-B DONE"/>
    <m/>
    <m/>
    <m/>
    <m/>
    <m/>
    <m/>
    <m/>
    <m/>
  </r>
  <r>
    <m/>
    <n v="37221"/>
    <s v="HLC-A"/>
    <s v="STB5L0516 HLCD"/>
    <x v="11"/>
    <s v="NCR"/>
    <x v="3"/>
    <d v="2019-07-31T00:00:00"/>
    <n v="516"/>
    <x v="0"/>
    <s v="M-U7D2S04V.005,_x000a_MO-U7F2S240.005"/>
    <d v="2020-11-07T00:00:00"/>
    <s v="U9S2Y440.011"/>
    <d v="2020-11-07T00:00:00"/>
    <m/>
    <m/>
    <s v="Done by NW"/>
    <s v="Conv-A DONE"/>
    <m/>
    <m/>
    <s v="Conv-A DONE"/>
    <m/>
    <m/>
    <m/>
    <m/>
    <m/>
    <m/>
    <d v="2021-06-19T00:00:00"/>
    <m/>
  </r>
  <r>
    <m/>
    <n v="37221"/>
    <s v="HLC-B"/>
    <s v="STB5L0517 HLCD"/>
    <x v="11"/>
    <s v="NCR"/>
    <x v="3"/>
    <d v="2019-07-31T00:00:00"/>
    <n v="517"/>
    <x v="0"/>
    <s v="M-U7D2S04V.005,_x000a_MO-U7F2S240.005"/>
    <s v="Done"/>
    <s v="U9S2Y440.011"/>
    <m/>
    <m/>
    <m/>
    <s v="Done by NW"/>
    <s v="Conv-B DONE"/>
    <m/>
    <m/>
    <s v="Conv-B DONE"/>
    <m/>
    <m/>
    <m/>
    <m/>
    <m/>
    <m/>
    <d v="2021-06-19T00:00:00"/>
    <m/>
  </r>
  <r>
    <m/>
    <n v="37361"/>
    <s v="HLC-A"/>
    <s v="STBDL0735"/>
    <x v="11"/>
    <s v="NCR"/>
    <x v="3"/>
    <d v="2020-05-21T00:00:00"/>
    <n v="735"/>
    <x v="0"/>
    <s v="M-U7D2S04V.005,_x000a_MO-U7F2S240.005"/>
    <s v="Done"/>
    <s v="UAT2Y440.012"/>
    <s v="Done"/>
    <m/>
    <m/>
    <s v="Done by NW"/>
    <s v="Done by NW"/>
    <m/>
    <m/>
    <s v="Conv-A DONE"/>
    <m/>
    <m/>
    <m/>
    <m/>
    <m/>
    <m/>
    <m/>
    <m/>
  </r>
  <r>
    <m/>
    <n v="37361"/>
    <s v="HLC-B"/>
    <s v="STB7L0613HLCD"/>
    <x v="11"/>
    <s v="NCR"/>
    <x v="3"/>
    <d v="2020-05-21T00:00:00"/>
    <n v="613"/>
    <x v="0"/>
    <s v="M-U7D2S04V.005,_x000a_MO-U7F2S240.005"/>
    <s v="Done"/>
    <s v="UAT2Y440.012"/>
    <d v="2021-02-11T00:00:00"/>
    <m/>
    <m/>
    <s v="Done by NW"/>
    <s v="Done by NW"/>
    <s v="Conv-B DONE"/>
    <s v="Conv-B DONE"/>
    <s v="Conv-B DONE"/>
    <m/>
    <m/>
    <m/>
    <m/>
    <m/>
    <m/>
    <m/>
    <m/>
  </r>
  <r>
    <m/>
    <n v="37380"/>
    <s v="HLC-A"/>
    <s v="STB7L0594 HLCD"/>
    <x v="11"/>
    <s v="NCR"/>
    <x v="3"/>
    <d v="2020-06-30T00:00:00"/>
    <n v="594"/>
    <x v="0"/>
    <s v="M-U7D2S04V.005,_x000a_MO-U7F2S240.006"/>
    <m/>
    <s v="UAT2Y440.012"/>
    <m/>
    <m/>
    <m/>
    <s v="Done by NW"/>
    <s v="Done by NW"/>
    <m/>
    <m/>
    <s v="Conv-A DONE"/>
    <m/>
    <m/>
    <m/>
    <m/>
    <m/>
    <m/>
    <m/>
    <m/>
  </r>
  <r>
    <m/>
    <n v="37380"/>
    <s v="HLC-B"/>
    <s v="STBDL0753 HLCD"/>
    <x v="11"/>
    <s v="NCR"/>
    <x v="3"/>
    <d v="2020-06-30T00:00:00"/>
    <n v="753"/>
    <x v="0"/>
    <s v="M-U7D2S04V.005,_x000a_MO-U7F2S240.007"/>
    <m/>
    <s v="UAT2Y440.012"/>
    <m/>
    <m/>
    <m/>
    <s v="Done by NW"/>
    <s v="Done by NW"/>
    <m/>
    <m/>
    <s v="Conv-B DONE"/>
    <m/>
    <m/>
    <m/>
    <m/>
    <m/>
    <m/>
    <m/>
    <m/>
  </r>
  <r>
    <m/>
    <n v="37381"/>
    <s v="HLC-A"/>
    <s v="STB7N0710"/>
    <x v="11"/>
    <s v="NCR"/>
    <x v="3"/>
    <d v="2020-06-30T00:00:00"/>
    <n v="710"/>
    <x v="0"/>
    <s v="M-U7D2S04V.005,_x000a_MO-U7F2S240.005"/>
    <d v="2020-11-17T00:00:00"/>
    <s v="UAT2Y440.012"/>
    <d v="2020-11-17T00:00:00"/>
    <d v="2021-03-21T00:00:00"/>
    <m/>
    <s v="Done by NW"/>
    <s v="Done by NW"/>
    <s v="Conv-A DONE"/>
    <s v="Conv-A DONE"/>
    <s v="Conv-A DONE"/>
    <m/>
    <m/>
    <m/>
    <m/>
    <m/>
    <m/>
    <m/>
    <m/>
  </r>
  <r>
    <m/>
    <n v="37381"/>
    <s v="HLC-B"/>
    <s v="STBDL0758"/>
    <x v="11"/>
    <s v="NCR"/>
    <x v="3"/>
    <d v="2020-06-30T00:00:00"/>
    <n v="758"/>
    <x v="0"/>
    <s v="M-U7D2S04V.005,_x000a_MO-U7F2S240.005"/>
    <d v="2020-11-17T00:00:00"/>
    <s v="UAT2Y440.012"/>
    <d v="2020-11-17T00:00:00"/>
    <d v="2021-03-21T00:00:00"/>
    <m/>
    <s v="Done by NW"/>
    <s v="Done by NW"/>
    <s v="Conv-B DONE"/>
    <s v="Conv-B DONE"/>
    <s v="Conv-B DONE"/>
    <m/>
    <m/>
    <m/>
    <m/>
    <m/>
    <m/>
    <m/>
    <m/>
  </r>
  <r>
    <m/>
    <n v="37426"/>
    <s v="HLC-A"/>
    <s v="STB5M0808"/>
    <x v="11"/>
    <s v="NCR"/>
    <x v="3"/>
    <d v="2020-08-19T00:00:00"/>
    <n v="808"/>
    <x v="0"/>
    <m/>
    <m/>
    <m/>
    <m/>
    <m/>
    <m/>
    <s v="Done by NW"/>
    <s v="Done by NW"/>
    <m/>
    <m/>
    <m/>
    <m/>
    <m/>
    <s v="Done by NW"/>
    <m/>
    <m/>
    <m/>
    <m/>
    <m/>
  </r>
  <r>
    <m/>
    <n v="37426"/>
    <s v="HLC-B"/>
    <s v="STB5M0809"/>
    <x v="11"/>
    <s v="NCR"/>
    <x v="3"/>
    <d v="2020-08-19T00:00:00"/>
    <n v="809"/>
    <x v="0"/>
    <m/>
    <m/>
    <m/>
    <m/>
    <m/>
    <m/>
    <s v="Done by NW"/>
    <s v="Done by NW"/>
    <m/>
    <m/>
    <m/>
    <m/>
    <m/>
    <s v="Done by NW"/>
    <m/>
    <m/>
    <m/>
    <m/>
    <m/>
  </r>
  <r>
    <m/>
    <n v="37440"/>
    <s v="HLC-A"/>
    <s v="STB6M0847"/>
    <x v="11"/>
    <s v="NCR"/>
    <x v="3"/>
    <d v="2020-09-03T00:00:00"/>
    <n v="847"/>
    <x v="0"/>
    <s v="M-U7D2S04V.005,_x000a_MO-U7F2S240.005"/>
    <s v="Done"/>
    <m/>
    <m/>
    <m/>
    <m/>
    <s v="Done by NW"/>
    <s v="Done by NW"/>
    <m/>
    <m/>
    <s v="Conv-A DONE"/>
    <m/>
    <m/>
    <s v="Done by NW"/>
    <m/>
    <m/>
    <m/>
    <m/>
    <m/>
  </r>
  <r>
    <m/>
    <n v="37440"/>
    <s v="HLC-B"/>
    <s v="STB6M0840"/>
    <x v="11"/>
    <s v="NCR"/>
    <x v="3"/>
    <d v="2020-09-03T00:00:00"/>
    <n v="840"/>
    <x v="0"/>
    <s v="M-U7D2S04V.005,_x000a_MO-U7F2S240.005"/>
    <s v="Done"/>
    <m/>
    <m/>
    <m/>
    <m/>
    <s v="Done by NW"/>
    <s v="Done by NW"/>
    <m/>
    <m/>
    <s v="Conv-B DONE"/>
    <m/>
    <m/>
    <s v="Done by NW"/>
    <m/>
    <m/>
    <m/>
    <m/>
    <m/>
  </r>
  <r>
    <m/>
    <n v="37458"/>
    <s v="HLC-A"/>
    <s v="STB8M0933"/>
    <x v="1"/>
    <s v="NCR"/>
    <x v="3"/>
    <d v="2020-10-29T00:00:00"/>
    <n v="933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458"/>
    <s v="HLC-B"/>
    <s v="STB8M0932"/>
    <x v="1"/>
    <s v="NCR"/>
    <x v="3"/>
    <d v="2020-10-29T00:00:00"/>
    <n v="932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468"/>
    <s v="HLC-A"/>
    <s v="STB9M0972HLCD"/>
    <x v="11"/>
    <s v="NCR"/>
    <x v="3"/>
    <d v="2020-10-30T00:00:00"/>
    <n v="972"/>
    <x v="0"/>
    <s v="M-U7D2S04V.005,_x000a_MO-U7F2S240.005"/>
    <s v="Done by NW"/>
    <s v="UAT2Y440.012"/>
    <d v="2020-11-11T00:00:00"/>
    <d v="2022-03-01T00:00:00"/>
    <m/>
    <s v="Done by NW"/>
    <s v="Done by NW"/>
    <m/>
    <s v="Conv-A DONE"/>
    <s v="Conv-A DONE"/>
    <m/>
    <m/>
    <s v="Done by NW"/>
    <m/>
    <m/>
    <m/>
    <m/>
    <m/>
  </r>
  <r>
    <m/>
    <n v="37468"/>
    <s v="HLC-B"/>
    <s v="STB9M0973HLCD"/>
    <x v="11"/>
    <s v="NCR"/>
    <x v="3"/>
    <d v="2020-10-30T00:00:00"/>
    <n v="973"/>
    <x v="0"/>
    <s v="M-U7D2S04V.005,_x000a_MO-U7F2S240.005"/>
    <s v="Done by NW"/>
    <s v="UAT2Y440.012"/>
    <d v="2020-11-11T00:00:00"/>
    <d v="2022-03-01T00:00:00"/>
    <m/>
    <s v="Done by NW"/>
    <s v="Done by NW"/>
    <m/>
    <s v="Conv-B DONE"/>
    <s v="Conv-B DONE"/>
    <m/>
    <m/>
    <s v="Done by NW"/>
    <m/>
    <m/>
    <m/>
    <m/>
    <m/>
  </r>
  <r>
    <m/>
    <n v="37510"/>
    <s v="HLC-A"/>
    <s v="STB6M0842 HLCD"/>
    <x v="11"/>
    <s v="NCR"/>
    <x v="3"/>
    <d v="2020-12-27T00:00:00"/>
    <n v="842"/>
    <x v="0"/>
    <s v="M-U7D2S04V.005,_x000a_MO-U7F2S240.005"/>
    <s v="Done"/>
    <s v="UAT2Y440.012"/>
    <s v="Done"/>
    <d v="2022-02-05T00:00:00"/>
    <m/>
    <s v="Done by NW"/>
    <s v="Done by NW"/>
    <m/>
    <m/>
    <s v="Conv-A DONE"/>
    <m/>
    <m/>
    <s v="Done by NW"/>
    <m/>
    <m/>
    <m/>
    <m/>
    <m/>
  </r>
  <r>
    <m/>
    <n v="37510"/>
    <s v="HLC-B"/>
    <s v="STB8M0947 HLCD"/>
    <x v="11"/>
    <s v="NCR"/>
    <x v="3"/>
    <d v="2020-12-27T00:00:00"/>
    <n v="947"/>
    <x v="0"/>
    <s v="M-U7D2S04V.005,_x000a_MO-U7F2S240.005"/>
    <s v="Done by NW"/>
    <s v="UAT2Y440.012"/>
    <s v="Done"/>
    <d v="2022-02-05T00:00:00"/>
    <m/>
    <s v="Done by NW"/>
    <s v="Done by NW"/>
    <m/>
    <m/>
    <s v="Conv-B DONE"/>
    <m/>
    <m/>
    <s v="Done by NW"/>
    <m/>
    <m/>
    <m/>
    <m/>
    <m/>
  </r>
  <r>
    <m/>
    <n v="37512"/>
    <s v="HLC-A"/>
    <s v="STB8M0946HLCD"/>
    <x v="11"/>
    <s v="NCR"/>
    <x v="3"/>
    <d v="2020-12-30T00:00:00"/>
    <n v="946"/>
    <x v="0"/>
    <s v="M-U7D2S04V.005,_x000a_MO-U7F2S240.005"/>
    <s v="Done by NW"/>
    <s v="UAT2Y440.012"/>
    <s v="Done"/>
    <d v="2022-02-14T00:00:00"/>
    <m/>
    <s v="Done by NW"/>
    <s v="Done by NW"/>
    <m/>
    <m/>
    <s v="Conv-A DONE"/>
    <m/>
    <m/>
    <s v="Done by NW"/>
    <m/>
    <m/>
    <m/>
    <m/>
    <m/>
  </r>
  <r>
    <m/>
    <n v="37512"/>
    <s v="HLC-B"/>
    <s v="STB6M0835HLCD "/>
    <x v="11"/>
    <s v="NCR"/>
    <x v="3"/>
    <d v="2020-12-30T00:00:00"/>
    <n v="835"/>
    <x v="0"/>
    <s v="M-U7D2S04V.005,_x000a_MO-U7F2S240.005"/>
    <s v="Done"/>
    <s v="UAT2Y440.012"/>
    <s v="Done"/>
    <d v="2022-02-14T00:00:00"/>
    <m/>
    <s v="Done by NW"/>
    <s v="Done by NW"/>
    <m/>
    <m/>
    <s v="Conv-B DONE"/>
    <m/>
    <m/>
    <s v="Done by NW"/>
    <m/>
    <m/>
    <m/>
    <m/>
    <m/>
  </r>
  <r>
    <m/>
    <n v="39087"/>
    <s v="HLC-A"/>
    <s v="STB4L0482 HLCD"/>
    <x v="11"/>
    <s v="NCR"/>
    <x v="3"/>
    <d v="2019-08-20T00:00:00"/>
    <n v="482"/>
    <x v="0"/>
    <s v="M-U7D2S04V.005,_x000a_MO-U7F2S240.005"/>
    <s v="Done"/>
    <s v="UAT2Y440.012"/>
    <s v="Done"/>
    <m/>
    <m/>
    <m/>
    <s v="Conv-A DONE"/>
    <m/>
    <m/>
    <s v="Conv-A DONE"/>
    <m/>
    <m/>
    <m/>
    <m/>
    <m/>
    <m/>
    <m/>
    <m/>
  </r>
  <r>
    <m/>
    <n v="39087"/>
    <s v="HLC-B"/>
    <s v="STB4L0489 HLCD"/>
    <x v="11"/>
    <s v="NCR"/>
    <x v="3"/>
    <d v="2019-08-20T00:00:00"/>
    <n v="489"/>
    <x v="0"/>
    <s v="M-U7D2S04V.005,_x000a_MO-U7F2S240.005"/>
    <s v="Done"/>
    <s v="UAT2Y440.012"/>
    <s v="Done"/>
    <m/>
    <m/>
    <m/>
    <s v="Conv-B DONE"/>
    <m/>
    <m/>
    <s v="Conv-B DONE"/>
    <m/>
    <m/>
    <m/>
    <m/>
    <m/>
    <m/>
    <m/>
    <m/>
  </r>
  <r>
    <m/>
    <n v="39090"/>
    <s v="HLC-A"/>
    <s v="STB5L0525 HLCD"/>
    <x v="11"/>
    <s v="NCR"/>
    <x v="3"/>
    <d v="2019-09-02T00:00:00"/>
    <n v="525"/>
    <x v="0"/>
    <s v="M-U7D2S04V.005,_x000a_MO-U7F2S240.005"/>
    <d v="2021-01-13T00:00:00"/>
    <s v="UAT2Y440.012"/>
    <d v="2021-01-13T00:00:00"/>
    <d v="2021-04-09T00:00:00"/>
    <m/>
    <s v="Done by NW"/>
    <m/>
    <m/>
    <m/>
    <s v="Conv-A DONE"/>
    <m/>
    <s v="Conv-A DONE"/>
    <m/>
    <m/>
    <m/>
    <m/>
    <m/>
    <m/>
  </r>
  <r>
    <m/>
    <n v="39090"/>
    <s v="HLC-B"/>
    <s v="STB4L0487 HLCD"/>
    <x v="11"/>
    <s v="NCR"/>
    <x v="3"/>
    <d v="2019-09-02T00:00:00"/>
    <n v="487"/>
    <x v="0"/>
    <s v="M-U7D2S04V.005,_x000a_MO-U7F2S240.005"/>
    <d v="2021-01-13T00:00:00"/>
    <s v="UAT2Y440.012"/>
    <d v="2021-01-13T00:00:00"/>
    <d v="2021-04-09T00:00:00"/>
    <m/>
    <m/>
    <m/>
    <m/>
    <m/>
    <s v="Conv-B DONE"/>
    <m/>
    <s v="Conv-B DONE"/>
    <m/>
    <m/>
    <m/>
    <m/>
    <m/>
    <m/>
  </r>
  <r>
    <m/>
    <n v="30599"/>
    <s v="HLC-A"/>
    <s v="STB6J0112HLCD"/>
    <x v="7"/>
    <s v="WCR"/>
    <x v="3"/>
    <d v="2018-01-12T00:00:00"/>
    <n v="112"/>
    <x v="0"/>
    <s v="M-U7D2S04V.005,_x000a_MO-U7F2S240.005"/>
    <d v="2020-11-05T00:00:00"/>
    <s v="U9S2Y440.011"/>
    <d v="2020-11-05T00:00:00"/>
    <m/>
    <m/>
    <m/>
    <m/>
    <m/>
    <m/>
    <m/>
    <m/>
    <m/>
    <m/>
    <m/>
    <m/>
    <m/>
    <m/>
    <m/>
  </r>
  <r>
    <m/>
    <n v="30599"/>
    <s v="HLC-B"/>
    <s v="STB6J0115HLCD"/>
    <x v="7"/>
    <s v="WCR"/>
    <x v="3"/>
    <d v="2018-01-12T00:00:00"/>
    <n v="115"/>
    <x v="0"/>
    <s v="M-U7D2S04V.005,_x000a_MO-U7F2S240.005"/>
    <d v="2020-11-05T00:00:00"/>
    <s v="U9S2Y440.011"/>
    <d v="2020-11-05T00:00:00"/>
    <m/>
    <m/>
    <m/>
    <m/>
    <m/>
    <m/>
    <m/>
    <m/>
    <m/>
    <m/>
    <m/>
    <m/>
    <m/>
    <m/>
    <m/>
  </r>
  <r>
    <m/>
    <n v="30604"/>
    <s v="HLC-A"/>
    <s v="STB9J0152HLCD"/>
    <x v="7"/>
    <s v="WCR"/>
    <x v="3"/>
    <d v="2018-02-06T00:00:00"/>
    <n v="152"/>
    <x v="0"/>
    <s v="M-U7D2S04V.005,_x000a_MO-U7F2S240.005"/>
    <d v="2021-02-11T00:00:00"/>
    <s v="U9S2Y440.011"/>
    <d v="2021-02-11T00:00:00"/>
    <d v="2020-08-12T00:00:00"/>
    <m/>
    <m/>
    <s v="Conv-A DONE"/>
    <m/>
    <s v="Conv-A DONE"/>
    <m/>
    <m/>
    <s v="Conv-A DONE"/>
    <m/>
    <m/>
    <m/>
    <m/>
    <m/>
    <m/>
  </r>
  <r>
    <m/>
    <n v="30604"/>
    <s v="HLC-B"/>
    <s v="STB9J0146HLCD"/>
    <x v="7"/>
    <s v="WCR"/>
    <x v="3"/>
    <d v="2018-02-06T00:00:00"/>
    <n v="146"/>
    <x v="0"/>
    <s v="M-U7D2S04V.005,_x000a_MO-U7F2S240.005"/>
    <d v="2021-02-11T00:00:00"/>
    <s v="U9S2Y440.011"/>
    <d v="2021-02-11T00:00:00"/>
    <d v="2020-08-12T00:00:00"/>
    <m/>
    <m/>
    <s v="Conv-B DONE"/>
    <m/>
    <s v="Conv-B DONE"/>
    <m/>
    <m/>
    <s v="Conv-B DONE"/>
    <m/>
    <m/>
    <m/>
    <m/>
    <m/>
    <m/>
  </r>
  <r>
    <m/>
    <n v="30604"/>
    <s v="HLC-A"/>
    <s v="STB9J0166HLCD"/>
    <x v="7"/>
    <s v="WCR"/>
    <x v="3"/>
    <d v="2018-04-13T00:00:00"/>
    <n v="166"/>
    <x v="0"/>
    <s v="M-U7D2S04V.005,_x000a_MO-U7F2S240.005"/>
    <d v="2021-09-12T00:00:00"/>
    <s v="U9S2Y440.011"/>
    <d v="2020-12-09T00:00:00"/>
    <d v="2020-09-12T00:00:00"/>
    <m/>
    <m/>
    <s v="Conv-A DONE"/>
    <m/>
    <s v="Conv-A DONE"/>
    <m/>
    <m/>
    <s v="Conv-A DONE"/>
    <m/>
    <m/>
    <m/>
    <m/>
    <m/>
    <m/>
  </r>
  <r>
    <m/>
    <n v="30620"/>
    <s v="HLC-B"/>
    <s v="STB1J0167HLCD"/>
    <x v="7"/>
    <s v="WCR"/>
    <x v="3"/>
    <d v="2018-04-13T00:00:00"/>
    <n v="167"/>
    <x v="0"/>
    <s v="U7D2S04V.005"/>
    <d v="2020-12-09T00:00:00"/>
    <s v="UAT2Y440.012"/>
    <d v="2020-12-09T00:00:00"/>
    <d v="2020-09-12T00:00:00"/>
    <m/>
    <m/>
    <s v="Conv-B DONE"/>
    <m/>
    <m/>
    <m/>
    <m/>
    <m/>
    <m/>
    <m/>
    <m/>
    <m/>
    <m/>
    <m/>
  </r>
  <r>
    <m/>
    <n v="30624"/>
    <s v="HLC-A"/>
    <s v="STB9J0160HLCD"/>
    <x v="7"/>
    <s v="WCR"/>
    <x v="3"/>
    <d v="2017-12-07T00:00:00"/>
    <n v="160"/>
    <x v="0"/>
    <s v="M-U7D2S04V.005,_x000a_MO-U7F2S240.005"/>
    <s v="Done"/>
    <s v="U9S2Y440.011"/>
    <d v="2021-03-01T00:00:00"/>
    <d v="2020-08-28T00:00:00"/>
    <m/>
    <m/>
    <s v="Conv-A DONE"/>
    <m/>
    <s v="Conv-A DONE"/>
    <m/>
    <m/>
    <s v="Conv-A DONE"/>
    <m/>
    <m/>
    <m/>
    <m/>
    <m/>
    <m/>
  </r>
  <r>
    <m/>
    <n v="30624"/>
    <s v="HLC-B"/>
    <s v="STB9J0155HLCD"/>
    <x v="7"/>
    <s v="WCR"/>
    <x v="3"/>
    <d v="2017-12-07T00:00:00"/>
    <n v="155"/>
    <x v="0"/>
    <s v="M-U7D2S04V.005,_x000a_MO-U7F2S240.005"/>
    <s v="Done"/>
    <s v="U9S2Y440.011"/>
    <d v="2021-03-01T00:00:00"/>
    <d v="2020-08-28T00:00:00"/>
    <m/>
    <m/>
    <s v="Conv-B DONE"/>
    <m/>
    <s v="Conv-B DONE"/>
    <m/>
    <m/>
    <s v="Conv-B DONE"/>
    <m/>
    <m/>
    <m/>
    <m/>
    <m/>
    <m/>
  </r>
  <r>
    <m/>
    <n v="30753"/>
    <s v="HLC-A"/>
    <s v="STBDK0378HLCD"/>
    <x v="7"/>
    <s v="WCR"/>
    <x v="3"/>
    <d v="2019-08-16T00:00:00"/>
    <n v="378"/>
    <x v="0"/>
    <s v="M-U7D2S04V.005,_x000a_MO-U7F2S240.005"/>
    <d v="2020-07-30T00:00:00"/>
    <s v="U9S2Y440.011"/>
    <d v="2020-11-04T00:00:00"/>
    <d v="2020-07-29T00:00:00"/>
    <m/>
    <m/>
    <s v="Conv-A DONE"/>
    <m/>
    <s v="Conv-A DONE"/>
    <m/>
    <m/>
    <s v="Conv-A DONE"/>
    <m/>
    <m/>
    <m/>
    <m/>
    <m/>
    <m/>
  </r>
  <r>
    <m/>
    <n v="30753"/>
    <s v="HLC-B"/>
    <s v="STBDK0379HLCD"/>
    <x v="7"/>
    <s v="WCR"/>
    <x v="3"/>
    <d v="2019-08-16T00:00:00"/>
    <n v="379"/>
    <x v="0"/>
    <s v="M-U7D2S04V.005,_x000a_MO-U7F2S240.005"/>
    <d v="2020-07-30T00:00:00"/>
    <s v="UAT2Y440.012"/>
    <d v="2020-11-04T00:00:00"/>
    <d v="2020-07-29T00:00:00"/>
    <m/>
    <m/>
    <s v="Conv-B DONE"/>
    <m/>
    <s v="Conv-B DONE"/>
    <m/>
    <m/>
    <s v="Conv-B DONE"/>
    <m/>
    <m/>
    <m/>
    <m/>
    <m/>
    <m/>
  </r>
  <r>
    <m/>
    <n v="37030"/>
    <s v="HLC-A"/>
    <s v="STB3K0198HLCD"/>
    <x v="7"/>
    <s v="WCR"/>
    <x v="3"/>
    <d v="2018-09-26T00:00:00"/>
    <n v="198"/>
    <x v="0"/>
    <s v="M-U7D2S04V.005,_x000a_MO-U7F2S240.005"/>
    <d v="2021-01-09T00:00:00"/>
    <s v="U9S2Y440.011"/>
    <d v="2021-01-09T00:00:00"/>
    <m/>
    <m/>
    <m/>
    <s v="Conv-A DONE"/>
    <s v="Conv-A DONE"/>
    <s v="Conv-A DONE"/>
    <m/>
    <m/>
    <s v="Conv-A DONE"/>
    <m/>
    <m/>
    <m/>
    <m/>
    <m/>
    <m/>
  </r>
  <r>
    <m/>
    <n v="37030"/>
    <s v="HLC-B"/>
    <s v="STB3K0197HLCD"/>
    <x v="7"/>
    <s v="WCR"/>
    <x v="3"/>
    <d v="2018-09-26T00:00:00"/>
    <n v="197"/>
    <x v="0"/>
    <s v="M-U7D2S04V.005,_x000a_MO-U7F2S240.005"/>
    <d v="2021-01-09T00:00:00"/>
    <s v="U9S2Y440.011"/>
    <d v="2021-01-09T00:00:00"/>
    <m/>
    <m/>
    <m/>
    <s v="Conv-B DONE"/>
    <m/>
    <s v="Conv-B DONE"/>
    <m/>
    <m/>
    <s v="Conv-B DONE"/>
    <m/>
    <m/>
    <m/>
    <m/>
    <m/>
    <m/>
  </r>
  <r>
    <m/>
    <n v="37184"/>
    <s v="HLC-A"/>
    <s v="STB4L0460HLCD"/>
    <x v="7"/>
    <s v="WCR"/>
    <x v="3"/>
    <d v="2019-07-20T00:00:00"/>
    <n v="460"/>
    <x v="0"/>
    <s v="M-U7D2S04V.005,_x000a_MO-U7F2S240.005"/>
    <d v="2020-09-02T00:00:00"/>
    <s v="U9S2Y440.011"/>
    <d v="2020-12-30T00:00:00"/>
    <m/>
    <m/>
    <m/>
    <s v="Conv-A DONE"/>
    <m/>
    <m/>
    <m/>
    <m/>
    <s v="Conv-A DONE"/>
    <m/>
    <m/>
    <m/>
    <m/>
    <m/>
    <m/>
  </r>
  <r>
    <m/>
    <n v="37184"/>
    <s v="HLC-B"/>
    <s v="STB4L0466HLCD"/>
    <x v="7"/>
    <s v="WCR"/>
    <x v="3"/>
    <d v="2019-07-20T00:00:00"/>
    <n v="466"/>
    <x v="0"/>
    <s v="M-U7D2S04V.005,_x000a_MO-U7F2S240.005"/>
    <d v="2020-09-02T00:00:00"/>
    <s v="U9S2Y440.011"/>
    <d v="2020-12-30T00:00:00"/>
    <m/>
    <m/>
    <m/>
    <s v="Conv-B DONE"/>
    <m/>
    <m/>
    <m/>
    <m/>
    <s v="Conv-B DONE"/>
    <m/>
    <m/>
    <m/>
    <m/>
    <m/>
    <m/>
  </r>
  <r>
    <m/>
    <n v="37192"/>
    <s v="HLC-A"/>
    <s v="STB4L0473HLCD"/>
    <x v="7"/>
    <s v="WCR"/>
    <x v="3"/>
    <d v="2019-06-17T00:00:00"/>
    <n v="473"/>
    <x v="0"/>
    <s v="M-U7D2S04V.005,_x000a_MO-U7F2S240.005"/>
    <s v="Done"/>
    <s v="U9S2Y440.011"/>
    <m/>
    <d v="2020-08-10T00:00:00"/>
    <m/>
    <m/>
    <s v="Conv-A DONE"/>
    <m/>
    <s v="Conv-A DONE"/>
    <m/>
    <m/>
    <s v="Conv-A DONE"/>
    <m/>
    <m/>
    <m/>
    <m/>
    <m/>
    <m/>
  </r>
  <r>
    <m/>
    <n v="37192"/>
    <s v="HLC-B"/>
    <s v="STB4L0472HLCD"/>
    <x v="7"/>
    <s v="WCR"/>
    <x v="3"/>
    <d v="2019-06-17T00:00:00"/>
    <n v="472"/>
    <x v="0"/>
    <s v="M-U7D2S04V.005,_x000a_MO-U7F2S240.005"/>
    <s v="Done"/>
    <s v="U9S2Y440.011"/>
    <m/>
    <d v="2020-08-10T00:00:00"/>
    <m/>
    <m/>
    <s v="Conv-B DONE"/>
    <m/>
    <s v="Conv-B DONE"/>
    <m/>
    <m/>
    <s v="Conv-B DONE"/>
    <m/>
    <m/>
    <m/>
    <m/>
    <m/>
    <m/>
  </r>
  <r>
    <m/>
    <n v="37193"/>
    <s v="HLC-A"/>
    <s v="STB4L0474HLCD"/>
    <x v="7"/>
    <s v="WCR"/>
    <x v="3"/>
    <d v="2019-06-17T00:00:00"/>
    <n v="474"/>
    <x v="0"/>
    <s v="M-U7D2S04V.005,_x000a_MO-U7F2S240.005"/>
    <d v="2020-08-01T00:00:00"/>
    <s v="U9S2Y440.011"/>
    <d v="2020-10-28T00:00:00"/>
    <d v="2020-08-01T00:00:00"/>
    <m/>
    <m/>
    <s v="Conv-A DONE"/>
    <m/>
    <s v="Conv-A DONE"/>
    <m/>
    <m/>
    <s v="Conv-A DONE"/>
    <m/>
    <m/>
    <m/>
    <m/>
    <m/>
    <m/>
  </r>
  <r>
    <m/>
    <n v="37193"/>
    <s v="HLC-B"/>
    <s v="STB4L0475HLCD"/>
    <x v="7"/>
    <s v="WCR"/>
    <x v="3"/>
    <d v="2019-06-17T00:00:00"/>
    <n v="475"/>
    <x v="0"/>
    <s v="M-U7D2S04V.005,_x000a_MO-U7F2S240.005"/>
    <d v="2020-08-01T00:00:00"/>
    <s v="U9S2Y440.011"/>
    <d v="2020-10-28T00:00:00"/>
    <d v="2020-08-01T00:00:00"/>
    <m/>
    <m/>
    <s v="Conv-B DONE"/>
    <m/>
    <s v="Conv-B DONE"/>
    <m/>
    <m/>
    <s v="Conv-B DONE"/>
    <m/>
    <m/>
    <m/>
    <m/>
    <m/>
    <m/>
  </r>
  <r>
    <m/>
    <n v="37248"/>
    <s v="HLC-A"/>
    <s v="STB6L0582HLCD"/>
    <x v="7"/>
    <s v="WCR"/>
    <x v="3"/>
    <d v="2019-11-01T00:00:00"/>
    <n v="582"/>
    <x v="0"/>
    <s v="M-U7D2S04V.005,_x000a_MO-U7F2S240.005"/>
    <d v="2020-08-25T00:00:00"/>
    <s v="U9S2Y440.011"/>
    <d v="2020-12-08T00:00:00"/>
    <d v="2020-12-07T00:00:00"/>
    <m/>
    <s v="Done by NW"/>
    <s v="Done by NW"/>
    <m/>
    <m/>
    <m/>
    <s v="Conv-A DONE"/>
    <s v="Conv-A DONE"/>
    <m/>
    <m/>
    <m/>
    <m/>
    <m/>
    <m/>
  </r>
  <r>
    <m/>
    <n v="37248"/>
    <s v="HLC-B"/>
    <s v="STB6L0583HLCD"/>
    <x v="7"/>
    <s v="WCR"/>
    <x v="3"/>
    <d v="2019-11-01T00:00:00"/>
    <n v="583"/>
    <x v="0"/>
    <s v="M-U7D2S04V.005,_x000a_MO-U7F2S240.005"/>
    <d v="2020-08-25T00:00:00"/>
    <s v="U9S2Y440.011"/>
    <d v="2020-12-08T00:00:00"/>
    <d v="2020-12-07T00:00:00"/>
    <m/>
    <s v="Done by NW"/>
    <s v="Done by NW"/>
    <m/>
    <m/>
    <m/>
    <s v="Conv-B DONE"/>
    <s v="Conv-B DONE"/>
    <m/>
    <m/>
    <m/>
    <m/>
    <m/>
    <m/>
  </r>
  <r>
    <m/>
    <n v="37251"/>
    <s v="HLC-A"/>
    <s v="STB7L0622HLCD"/>
    <x v="7"/>
    <s v="WCR"/>
    <x v="3"/>
    <d v="2019-11-18T00:00:00"/>
    <n v="622"/>
    <x v="0"/>
    <m/>
    <m/>
    <s v="U9S2Y440.011"/>
    <d v="2021-01-20T00:00:00"/>
    <m/>
    <m/>
    <s v="Done by NW"/>
    <s v="Done by NW"/>
    <m/>
    <m/>
    <s v="Conv-A DONE"/>
    <m/>
    <m/>
    <m/>
    <m/>
    <m/>
    <m/>
    <m/>
    <m/>
  </r>
  <r>
    <m/>
    <n v="37251"/>
    <s v="HLC-B"/>
    <s v="STB7L0623HLCD"/>
    <x v="7"/>
    <s v="WCR"/>
    <x v="3"/>
    <d v="2019-11-18T00:00:00"/>
    <n v="623"/>
    <x v="0"/>
    <m/>
    <m/>
    <s v="U9S2Y440.011"/>
    <d v="2021-01-20T00:00:00"/>
    <m/>
    <m/>
    <s v="Done by NW"/>
    <s v="Done by NW"/>
    <m/>
    <m/>
    <s v="Conv-B DONE"/>
    <m/>
    <m/>
    <m/>
    <m/>
    <m/>
    <m/>
    <m/>
    <m/>
  </r>
  <r>
    <m/>
    <n v="37254"/>
    <s v="HLC-A"/>
    <s v="STB6L0566HLCD"/>
    <x v="7"/>
    <s v="WCR"/>
    <x v="3"/>
    <d v="2019-09-30T00:00:00"/>
    <n v="566"/>
    <x v="0"/>
    <s v="M-U7D2S04V.005,_x000a_MO-U7F2S240.005"/>
    <d v="2020-08-12T00:00:00"/>
    <s v="U9S2Y440.011"/>
    <d v="2020-11-12T00:00:00"/>
    <d v="2020-07-27T00:00:00"/>
    <m/>
    <s v="Done by NW"/>
    <s v="Done by NW"/>
    <m/>
    <s v="Conv-A DONE"/>
    <m/>
    <m/>
    <s v="Conv-A DONE"/>
    <m/>
    <m/>
    <m/>
    <m/>
    <m/>
    <m/>
  </r>
  <r>
    <m/>
    <n v="37254"/>
    <s v="HLC-B"/>
    <s v="STB6L0567HLCD"/>
    <x v="7"/>
    <s v="WCR"/>
    <x v="3"/>
    <d v="2019-09-30T00:00:00"/>
    <n v="567"/>
    <x v="0"/>
    <s v="M-U7D2S04V.005,_x000a_MO-U7F2S240.005"/>
    <d v="2020-08-12T00:00:00"/>
    <s v="U9S2Y440.011"/>
    <d v="2020-11-12T00:00:00"/>
    <d v="2020-07-27T00:00:00"/>
    <m/>
    <s v="Done by NW"/>
    <s v="Done by NW"/>
    <m/>
    <s v="Conv-B DONE"/>
    <m/>
    <m/>
    <s v="Conv-B DONE"/>
    <m/>
    <m/>
    <m/>
    <m/>
    <m/>
    <m/>
  </r>
  <r>
    <m/>
    <n v="37257"/>
    <s v="HLC-A"/>
    <s v="STB7L0640HLCD"/>
    <x v="7"/>
    <s v="WCR"/>
    <x v="3"/>
    <d v="2019-09-26T00:00:00"/>
    <n v="640"/>
    <x v="0"/>
    <s v="M-U7D2S04V.005,_x000a_MO-U7F2S240.005"/>
    <d v="2020-09-11T00:00:00"/>
    <s v="UAT2Y440.012"/>
    <d v="2020-12-28T00:00:00"/>
    <d v="2020-12-28T00:00:00"/>
    <m/>
    <s v="Done by NW"/>
    <s v="Done by NW"/>
    <m/>
    <m/>
    <m/>
    <m/>
    <m/>
    <m/>
    <m/>
    <m/>
    <m/>
    <m/>
    <m/>
  </r>
  <r>
    <m/>
    <n v="37257"/>
    <s v="HLC-B"/>
    <s v="STB7L0641HLCD"/>
    <x v="7"/>
    <s v="WCR"/>
    <x v="3"/>
    <d v="2019-09-26T00:00:00"/>
    <n v="641"/>
    <x v="0"/>
    <s v="M-U7D2S04V.005,_x000a_MO-U7F2S240.005"/>
    <d v="2020-09-11T00:00:00"/>
    <s v="UAT2Y440.012"/>
    <d v="2020-12-28T00:00:00"/>
    <d v="2020-12-28T00:00:00"/>
    <m/>
    <s v="Done by NW"/>
    <s v="Done by NW"/>
    <m/>
    <m/>
    <m/>
    <m/>
    <m/>
    <m/>
    <m/>
    <m/>
    <m/>
    <m/>
    <m/>
  </r>
  <r>
    <m/>
    <n v="37367"/>
    <s v="HLC-A"/>
    <s v="STBDL0736HLCD"/>
    <x v="7"/>
    <s v="WCR"/>
    <x v="3"/>
    <d v="2020-06-04T00:00:00"/>
    <n v="736"/>
    <x v="0"/>
    <s v="M-U7D2S04V.005,_x000a_MO-U7F2S240.005"/>
    <d v="2020-08-08T00:00:00"/>
    <s v="U9S2Y440.011"/>
    <d v="2020-11-04T00:00:00"/>
    <m/>
    <m/>
    <s v="Done by NW"/>
    <s v="Done by NW"/>
    <m/>
    <m/>
    <m/>
    <m/>
    <m/>
    <m/>
    <m/>
    <m/>
    <m/>
    <m/>
    <m/>
  </r>
  <r>
    <m/>
    <n v="37367"/>
    <s v="HLC-B"/>
    <s v="STBDL0745HLCD"/>
    <x v="7"/>
    <s v="WCR"/>
    <x v="3"/>
    <d v="2020-06-04T00:00:00"/>
    <n v="745"/>
    <x v="0"/>
    <s v="M-U7D2S04V.005,_x000a_MO-U7F2S240.005"/>
    <d v="2020-08-08T00:00:00"/>
    <s v="U9S2Y440.011"/>
    <d v="2020-11-04T00:00:00"/>
    <m/>
    <m/>
    <s v="Done by NW"/>
    <s v="Done by NW"/>
    <m/>
    <m/>
    <m/>
    <m/>
    <m/>
    <m/>
    <m/>
    <m/>
    <m/>
    <m/>
    <m/>
  </r>
  <r>
    <m/>
    <n v="37369"/>
    <s v="HLC-A"/>
    <s v="STBDL0730HLCD"/>
    <x v="7"/>
    <s v="WCR"/>
    <x v="3"/>
    <d v="2020-06-17T00:00:00"/>
    <n v="730"/>
    <x v="0"/>
    <s v="M-U7D2S04V.005,_x000a_MO-U7F2S240.005"/>
    <s v="Done"/>
    <s v="U9S2Y440.011"/>
    <m/>
    <m/>
    <m/>
    <s v="Done by NW"/>
    <s v="Done by NW"/>
    <m/>
    <s v="Conv-A DONE"/>
    <m/>
    <m/>
    <s v="Conv-A DONE"/>
    <m/>
    <m/>
    <m/>
    <m/>
    <m/>
    <m/>
  </r>
  <r>
    <m/>
    <n v="37369"/>
    <s v="HLC-B"/>
    <s v="STBDL0747HLCD"/>
    <x v="7"/>
    <s v="WCR"/>
    <x v="3"/>
    <d v="2020-06-17T00:00:00"/>
    <n v="747"/>
    <x v="0"/>
    <s v="M-U7D2S04V.005,_x000a_MO-U7F2S240.005"/>
    <s v="Done"/>
    <s v="U9S2Y440.011"/>
    <m/>
    <m/>
    <m/>
    <s v="Done by NW"/>
    <s v="Done by NW"/>
    <m/>
    <s v="Conv-B DONE"/>
    <m/>
    <m/>
    <s v="Conv-B DONE"/>
    <m/>
    <m/>
    <m/>
    <m/>
    <m/>
    <m/>
  </r>
  <r>
    <m/>
    <n v="37416"/>
    <s v="HLC-A"/>
    <s v="STBNL0717HLCD"/>
    <x v="7"/>
    <s v="WCR"/>
    <x v="3"/>
    <d v="2020-08-08T00:00:00"/>
    <n v="717"/>
    <x v="0"/>
    <s v="M-U7D2S04V.005,_x000a_MO-U7F2S240.005"/>
    <d v="2020-09-14T00:00:00"/>
    <s v="U9S2Y440.011"/>
    <m/>
    <m/>
    <m/>
    <s v="Done by NW"/>
    <s v="Done by NW"/>
    <m/>
    <s v="Conv-A DONE"/>
    <m/>
    <m/>
    <s v="Conv-A DONE"/>
    <m/>
    <m/>
    <m/>
    <m/>
    <m/>
    <m/>
  </r>
  <r>
    <m/>
    <n v="37416"/>
    <s v="HLC-B"/>
    <s v="STB5M0782HLCD"/>
    <x v="7"/>
    <s v="WCR"/>
    <x v="3"/>
    <d v="2020-08-08T00:00:00"/>
    <n v="782"/>
    <x v="0"/>
    <s v="M-U7D2S04V.005,_x000a_MO-U7F2S240.005"/>
    <d v="2020-09-14T00:00:00"/>
    <s v="U9S2Y440.011"/>
    <m/>
    <m/>
    <m/>
    <s v="Done by NW"/>
    <s v="Done by NW"/>
    <m/>
    <s v="Conv-B DONE"/>
    <m/>
    <m/>
    <s v="Conv-B DONE"/>
    <s v="Done by NW"/>
    <m/>
    <m/>
    <m/>
    <m/>
    <m/>
  </r>
  <r>
    <m/>
    <n v="37418"/>
    <s v="HLC-A"/>
    <s v="STB5M0831HLCD"/>
    <x v="7"/>
    <s v="WCR"/>
    <x v="3"/>
    <d v="2020-08-11T00:00:00"/>
    <n v="831"/>
    <x v="0"/>
    <s v="M-U7D2S04V.005,_x000a_MO-U7F2S240.005"/>
    <d v="2020-09-18T00:00:00"/>
    <s v="U9S2Y440.011"/>
    <d v="2021-04-02T00:00:00"/>
    <m/>
    <m/>
    <s v="Done by NW"/>
    <s v="Done by NW"/>
    <m/>
    <s v="Conv-A DONE"/>
    <m/>
    <m/>
    <s v="Conv-A DONE"/>
    <s v="Done by NW"/>
    <m/>
    <m/>
    <m/>
    <m/>
    <m/>
  </r>
  <r>
    <m/>
    <n v="37418"/>
    <s v="HLC-B"/>
    <s v="STB5M0783HLCD"/>
    <x v="7"/>
    <s v="WCR"/>
    <x v="3"/>
    <d v="2020-08-11T00:00:00"/>
    <n v="783"/>
    <x v="0"/>
    <s v="M-U7D2S04V.005,_x000a_MO-U7F2S240.005"/>
    <d v="2020-09-18T00:00:00"/>
    <s v="U9S2Y440.011"/>
    <d v="2021-04-02T00:00:00"/>
    <m/>
    <m/>
    <s v="Done by NW"/>
    <s v="Done by NW"/>
    <m/>
    <s v="Conv-B DONE"/>
    <m/>
    <m/>
    <s v="Conv-B DONE"/>
    <s v="Done by NW"/>
    <m/>
    <m/>
    <m/>
    <m/>
    <m/>
  </r>
  <r>
    <m/>
    <n v="37464"/>
    <s v="HLC-A"/>
    <s v="STB8M0922HLCD"/>
    <x v="7"/>
    <s v="WCR"/>
    <x v="3"/>
    <d v="2020-11-23T00:00:00"/>
    <n v="922"/>
    <x v="0"/>
    <s v="M-U7D2S04V.005,_x000a_MO-U7F2S240.005"/>
    <s v="Done by NW"/>
    <s v="U9S2Y440.011"/>
    <d v="2020-12-04T00:00:00"/>
    <m/>
    <m/>
    <s v="Done by NW"/>
    <s v="Done by NW"/>
    <s v="Conv-A DONE"/>
    <m/>
    <s v="Conv-A DONE"/>
    <m/>
    <m/>
    <s v="Done by NW"/>
    <m/>
    <m/>
    <m/>
    <m/>
    <m/>
  </r>
  <r>
    <m/>
    <n v="37464"/>
    <s v="HLC-B"/>
    <s v="STB8M0923HLCD"/>
    <x v="7"/>
    <s v="WCR"/>
    <x v="3"/>
    <d v="2020-11-23T00:00:00"/>
    <n v="923"/>
    <x v="0"/>
    <s v="M-U7D2S04V.005,_x000a_MO-U7F2S240.005"/>
    <s v="Done by NW"/>
    <s v="U9S2Y440.011"/>
    <d v="2020-12-04T00:00:00"/>
    <m/>
    <m/>
    <s v="Done by NW"/>
    <s v="Done by NW"/>
    <s v="Conv-B DONE"/>
    <m/>
    <s v="Conv-B DONE"/>
    <m/>
    <m/>
    <s v="Done by NW"/>
    <m/>
    <m/>
    <m/>
    <m/>
    <m/>
  </r>
  <r>
    <m/>
    <n v="39024"/>
    <s v="HLC-A"/>
    <s v="STB5K0236HLCD"/>
    <x v="7"/>
    <s v="WCR"/>
    <x v="3"/>
    <d v="2019-01-17T00:00:00"/>
    <n v="236"/>
    <x v="0"/>
    <s v="M-U7D2S04V.005,_x000a_MO-U7F2S240.005"/>
    <d v="2020-08-11T00:00:00"/>
    <s v="U9S2Y440.011"/>
    <d v="2021-01-28T00:00:00"/>
    <d v="2020-08-27T00:00:00"/>
    <m/>
    <m/>
    <s v="Conv-A DONE"/>
    <m/>
    <s v="Conv-A DONE"/>
    <m/>
    <m/>
    <s v="Conv-A DONE"/>
    <m/>
    <m/>
    <m/>
    <m/>
    <m/>
    <m/>
  </r>
  <r>
    <m/>
    <n v="39024"/>
    <s v="HLC-B"/>
    <s v="STB4K0223HLCD"/>
    <x v="7"/>
    <s v="WCR"/>
    <x v="3"/>
    <d v="2019-01-17T00:00:00"/>
    <n v="223"/>
    <x v="0"/>
    <s v="M-U7D2S04V.005,_x000a_MO-U7F2S240.005"/>
    <d v="2020-08-11T00:00:00"/>
    <s v="U9S2Y440.011"/>
    <d v="2021-01-28T00:00:00"/>
    <d v="2020-08-27T00:00:00"/>
    <m/>
    <m/>
    <s v="Conv-B DONE"/>
    <m/>
    <s v="Conv-B DONE"/>
    <m/>
    <m/>
    <s v="Conv-B DONE"/>
    <m/>
    <m/>
    <m/>
    <m/>
    <m/>
    <m/>
  </r>
  <r>
    <m/>
    <n v="39025"/>
    <s v="HLC-A"/>
    <s v="STB6K0251HLCD"/>
    <x v="7"/>
    <s v="WCR"/>
    <x v="3"/>
    <d v="2019-01-19T00:00:00"/>
    <n v="251"/>
    <x v="0"/>
    <s v="M-U7D2S04V.005,_x000a_MO-U7F2S240.005"/>
    <d v="2020-07-31T00:00:00"/>
    <s v="U9S2Y440.011"/>
    <d v="2021-12-15T00:00:00"/>
    <d v="2021-02-10T00:00:00"/>
    <m/>
    <m/>
    <s v="Conv-A DONE"/>
    <m/>
    <s v="Conv-A DONE"/>
    <m/>
    <m/>
    <s v="Conv-A DONE"/>
    <m/>
    <m/>
    <m/>
    <m/>
    <m/>
    <m/>
  </r>
  <r>
    <m/>
    <n v="39025"/>
    <s v="HLC-B"/>
    <s v="STB6K0249HLCD"/>
    <x v="7"/>
    <s v="WCR"/>
    <x v="3"/>
    <d v="2019-01-19T00:00:00"/>
    <n v="249"/>
    <x v="0"/>
    <s v="M-U7D2S04V.005,_x000a_MO-U7F2S240.005"/>
    <d v="2020-07-31T00:00:00"/>
    <s v="U9S2Y440.011"/>
    <d v="2021-12-15T00:00:00"/>
    <d v="2021-02-10T00:00:00"/>
    <m/>
    <m/>
    <s v="Conv-B DONE"/>
    <m/>
    <s v="Conv-B DONE"/>
    <m/>
    <m/>
    <s v="Conv-B DONE"/>
    <m/>
    <m/>
    <m/>
    <m/>
    <m/>
    <m/>
  </r>
  <r>
    <m/>
    <n v="39042"/>
    <s v="HLC-A"/>
    <s v="STB0K0310HLCD"/>
    <x v="7"/>
    <s v="WCR"/>
    <x v="3"/>
    <d v="2019-04-08T00:00:00"/>
    <n v="310"/>
    <x v="0"/>
    <s v="M-U7D2S04V.005,_x000a_MO-U7F2S240.005"/>
    <d v="2020-12-03T00:00:00"/>
    <s v="U9S2Y440.011"/>
    <d v="2020-12-03T00:00:00"/>
    <m/>
    <m/>
    <m/>
    <m/>
    <m/>
    <m/>
    <m/>
    <m/>
    <m/>
    <m/>
    <m/>
    <m/>
    <m/>
    <m/>
    <m/>
  </r>
  <r>
    <m/>
    <n v="39042"/>
    <s v="HLC-B"/>
    <s v="STB0K0309HLCD"/>
    <x v="7"/>
    <s v="WCR"/>
    <x v="3"/>
    <d v="2019-04-08T00:00:00"/>
    <n v="309"/>
    <x v="0"/>
    <s v="M-U7D2S04V.005,_x000a_MO-U7F2S240.005"/>
    <d v="2020-12-03T00:00:00"/>
    <s v="U9S2Y440.011"/>
    <d v="2020-12-03T00:00:00"/>
    <m/>
    <m/>
    <m/>
    <m/>
    <m/>
    <m/>
    <m/>
    <m/>
    <m/>
    <m/>
    <m/>
    <m/>
    <m/>
    <m/>
    <m/>
  </r>
  <r>
    <m/>
    <n v="39085"/>
    <s v="HLC-A"/>
    <s v="STB5L0520HLCD"/>
    <x v="7"/>
    <s v="WCR"/>
    <x v="3"/>
    <d v="2019-08-20T00:00:00"/>
    <n v="520"/>
    <x v="0"/>
    <s v="M-U7D2S04V.005,_x000a_MO-U7F2S240.005"/>
    <d v="2020-09-04T00:00:00"/>
    <s v="U9S2Y440.011"/>
    <d v="2020-11-22T00:00:00"/>
    <m/>
    <m/>
    <s v="Done by NW"/>
    <s v="Conv-A DONE"/>
    <m/>
    <m/>
    <m/>
    <m/>
    <m/>
    <m/>
    <m/>
    <m/>
    <m/>
    <m/>
    <m/>
  </r>
  <r>
    <m/>
    <n v="39085"/>
    <s v="HLC-B"/>
    <s v="STB5L0522HLCD"/>
    <x v="7"/>
    <s v="WCR"/>
    <x v="3"/>
    <d v="2019-08-20T00:00:00"/>
    <n v="522"/>
    <x v="0"/>
    <s v="M-U7D2S04V.005,_x000a_MO-U7F2S240.005"/>
    <d v="2020-09-04T00:00:00"/>
    <s v="U9S2Y440.011"/>
    <d v="2020-11-22T00:00:00"/>
    <m/>
    <m/>
    <s v="Done by NW"/>
    <s v="Conv-B DONE"/>
    <m/>
    <m/>
    <m/>
    <m/>
    <m/>
    <m/>
    <m/>
    <m/>
    <m/>
    <m/>
    <m/>
  </r>
  <r>
    <m/>
    <n v="39183"/>
    <s v="HLC-A"/>
    <s v="STBDM1070HLCD"/>
    <x v="7"/>
    <s v="WCR"/>
    <x v="3"/>
    <m/>
    <s v="1070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587"/>
    <s v="HLC-A"/>
    <s v="STB5J0099HLCC"/>
    <x v="12"/>
    <s v="SCR"/>
    <x v="4"/>
    <d v="2017-07-26T00:00:00"/>
    <n v="99"/>
    <x v="0"/>
    <s v="M-U7D2S04V.005,_x000a_MO-U7F2S240.005"/>
    <s v="Done"/>
    <s v="UAT2Y440.012"/>
    <d v="2020-12-30T00:00:00"/>
    <m/>
    <m/>
    <m/>
    <s v="Conv-A DONE"/>
    <m/>
    <s v="Conv-A DONE"/>
    <m/>
    <m/>
    <m/>
    <m/>
    <m/>
    <m/>
    <m/>
    <m/>
    <m/>
  </r>
  <r>
    <m/>
    <n v="30587"/>
    <s v="HLC-B"/>
    <s v="STB5J0096HLCC"/>
    <x v="12"/>
    <s v="SCR"/>
    <x v="4"/>
    <d v="2017-07-26T00:00:00"/>
    <n v="96"/>
    <x v="0"/>
    <s v="M-U7D2S04V.005,_x000a_MO-U7F2S240.005"/>
    <s v="Done"/>
    <s v="UAT2Y440.012"/>
    <d v="2021-03-15T00:00:00"/>
    <m/>
    <m/>
    <m/>
    <s v="Conv-B DONE"/>
    <m/>
    <s v="Conv-B DONE"/>
    <m/>
    <m/>
    <m/>
    <m/>
    <m/>
    <m/>
    <m/>
    <m/>
    <m/>
  </r>
  <r>
    <m/>
    <n v="30595"/>
    <s v="HLC-A"/>
    <s v="STB7J0131HLCD"/>
    <x v="12"/>
    <s v="SCR"/>
    <x v="4"/>
    <d v="2017-11-15T00:00:00"/>
    <n v="131"/>
    <x v="0"/>
    <m/>
    <m/>
    <m/>
    <m/>
    <m/>
    <m/>
    <m/>
    <s v="Conv-A DONE"/>
    <m/>
    <s v="Conv-A DONE"/>
    <m/>
    <m/>
    <m/>
    <m/>
    <m/>
    <m/>
    <m/>
    <m/>
    <m/>
  </r>
  <r>
    <m/>
    <n v="30595"/>
    <s v="HLC-B"/>
    <s v="STB7J0130HLCD"/>
    <x v="12"/>
    <s v="SCR"/>
    <x v="4"/>
    <d v="2017-11-15T00:00:00"/>
    <n v="130"/>
    <x v="0"/>
    <m/>
    <m/>
    <m/>
    <m/>
    <m/>
    <m/>
    <m/>
    <s v="Conv-B DONE"/>
    <m/>
    <s v="Conv-B DONE"/>
    <m/>
    <m/>
    <m/>
    <m/>
    <m/>
    <m/>
    <m/>
    <m/>
    <m/>
  </r>
  <r>
    <m/>
    <n v="30596"/>
    <s v="HLC-A"/>
    <s v="STB5J0097HLCC"/>
    <x v="12"/>
    <s v="SCR"/>
    <x v="4"/>
    <d v="2017-10-18T00:00:00"/>
    <n v="97"/>
    <x v="0"/>
    <s v="M-U7D2S04V.005,_x000a_MO-U7F2S240.005"/>
    <s v="Done"/>
    <s v="UAT2Y440.012"/>
    <d v="2020-12-26T00:00:00"/>
    <m/>
    <m/>
    <m/>
    <s v="Conv-B DONE"/>
    <m/>
    <s v="Conv-B DONE"/>
    <m/>
    <m/>
    <m/>
    <m/>
    <m/>
    <m/>
    <m/>
    <m/>
    <m/>
  </r>
  <r>
    <m/>
    <n v="30596"/>
    <s v="HLC-B"/>
    <s v="STB5J0098HLCC"/>
    <x v="12"/>
    <s v="SCR"/>
    <x v="4"/>
    <d v="2017-10-18T00:00:00"/>
    <n v="98"/>
    <x v="0"/>
    <s v="M-U7D2S04V.005,_x000a_MO-U7F2S240.005"/>
    <s v="Done"/>
    <s v="UAT2Y440.012"/>
    <d v="2020-12-26T00:00:00"/>
    <m/>
    <m/>
    <m/>
    <s v="Conv-A DONE"/>
    <m/>
    <s v="Conv-A DONE"/>
    <m/>
    <m/>
    <m/>
    <m/>
    <m/>
    <m/>
    <m/>
    <m/>
    <m/>
  </r>
  <r>
    <m/>
    <n v="30602"/>
    <s v="HLC-A"/>
    <s v="STB8J0148HLCD"/>
    <x v="12"/>
    <s v="SCR"/>
    <x v="4"/>
    <d v="2017-11-14T00:00:00"/>
    <n v="148"/>
    <x v="0"/>
    <s v="M-U7D2S04V.005,_x000a_MO-U7F2S240.005"/>
    <s v="Done"/>
    <s v="UAT2Y440.012"/>
    <d v="2021-01-23T00:00:00"/>
    <m/>
    <m/>
    <m/>
    <s v="Conv-A DONE"/>
    <m/>
    <s v="Conv-A DONE"/>
    <m/>
    <m/>
    <m/>
    <m/>
    <m/>
    <m/>
    <m/>
    <m/>
    <m/>
  </r>
  <r>
    <m/>
    <n v="30602"/>
    <s v="HLC-B"/>
    <s v="STB8J0149HLCD"/>
    <x v="12"/>
    <s v="SCR"/>
    <x v="4"/>
    <d v="2017-11-14T00:00:00"/>
    <n v="149"/>
    <x v="0"/>
    <s v="M-U7D2S04V.005,_x000a_MO-U7F2S240.005"/>
    <s v="Done"/>
    <s v="UAT2Y440.012"/>
    <d v="2021-01-23T00:00:00"/>
    <m/>
    <m/>
    <m/>
    <s v="Conv-B DONE"/>
    <m/>
    <s v="Conv-B DONE"/>
    <m/>
    <m/>
    <m/>
    <m/>
    <m/>
    <m/>
    <m/>
    <m/>
    <m/>
  </r>
  <r>
    <m/>
    <n v="30603"/>
    <s v="HLC-A"/>
    <s v="STB8J0150HLCD"/>
    <x v="12"/>
    <s v="SCR"/>
    <x v="4"/>
    <d v="2017-11-25T00:00:00"/>
    <n v="150"/>
    <x v="0"/>
    <s v="M-U7D2S04V.005,_x000a_MO-U7F2S240.005"/>
    <s v="Done"/>
    <s v="UAT2Y440.012"/>
    <s v="Done"/>
    <m/>
    <m/>
    <m/>
    <s v="Conv-A DONE"/>
    <m/>
    <s v="Conv-A DONE"/>
    <m/>
    <m/>
    <m/>
    <m/>
    <m/>
    <m/>
    <m/>
    <m/>
    <m/>
  </r>
  <r>
    <m/>
    <n v="30603"/>
    <s v="HLC-B"/>
    <s v="STB8J0151HLCD"/>
    <x v="12"/>
    <s v="SCR"/>
    <x v="4"/>
    <d v="2017-11-25T00:00:00"/>
    <n v="151"/>
    <x v="0"/>
    <s v="M-U7D2S04V.005,_x000a_MO-U7F2S240.005"/>
    <s v="Done"/>
    <s v="UAT2Y440.012"/>
    <s v="Done"/>
    <m/>
    <m/>
    <m/>
    <s v="Conv-B DONE"/>
    <m/>
    <s v="Conv-B DONE"/>
    <m/>
    <m/>
    <m/>
    <m/>
    <m/>
    <m/>
    <m/>
    <m/>
    <m/>
  </r>
  <r>
    <m/>
    <n v="30605"/>
    <s v="HLC-A"/>
    <s v="STB7J0120HLCD"/>
    <x v="12"/>
    <s v="SCR"/>
    <x v="4"/>
    <d v="2017-11-21T00:00:00"/>
    <n v="120"/>
    <x v="0"/>
    <s v="M-U7D2S04V.005,_x000a_MO-U7F2S240.005"/>
    <s v="Done"/>
    <s v="UAT2Y440.012"/>
    <d v="2021-03-15T00:00:00"/>
    <m/>
    <m/>
    <m/>
    <s v="Conv-A DONE"/>
    <m/>
    <s v="Conv-A DONE"/>
    <m/>
    <m/>
    <m/>
    <m/>
    <m/>
    <m/>
    <m/>
    <m/>
    <m/>
  </r>
  <r>
    <m/>
    <n v="30605"/>
    <s v="HLC-B"/>
    <s v="STB7J0121HLCD"/>
    <x v="12"/>
    <s v="SCR"/>
    <x v="4"/>
    <d v="2017-11-21T00:00:00"/>
    <n v="121"/>
    <x v="0"/>
    <s v="M-U7D2S04V.005,_x000a_MO-U7F2S240.005"/>
    <s v="Done"/>
    <s v="UAT2Y440.012"/>
    <d v="2021-12-29T00:00:00"/>
    <m/>
    <m/>
    <m/>
    <s v="Conv-B DONE"/>
    <m/>
    <s v="Conv-B DONE"/>
    <m/>
    <m/>
    <m/>
    <m/>
    <m/>
    <m/>
    <m/>
    <m/>
    <m/>
  </r>
  <r>
    <m/>
    <n v="30610"/>
    <s v="HLC-A"/>
    <s v="STB7J0129HLCD"/>
    <x v="12"/>
    <s v="SCR"/>
    <x v="4"/>
    <d v="2017-12-13T00:00:00"/>
    <n v="129"/>
    <x v="0"/>
    <s v="M-U7D2S04V.005,_x000a_MO-U7F2S240.005"/>
    <s v="Done"/>
    <s v="UAT2Y440.012"/>
    <s v="Done"/>
    <m/>
    <m/>
    <m/>
    <s v="Conv-A DONE"/>
    <m/>
    <s v="Conv-A DONE"/>
    <m/>
    <m/>
    <m/>
    <m/>
    <m/>
    <m/>
    <m/>
    <m/>
    <m/>
  </r>
  <r>
    <m/>
    <n v="30610"/>
    <s v="HLC-B"/>
    <s v="STB1J0156HLCD"/>
    <x v="12"/>
    <s v="SCR"/>
    <x v="4"/>
    <d v="2017-12-13T00:00:00"/>
    <n v="156"/>
    <x v="0"/>
    <s v="M-U7D2S04V.005,_x000a_MO-U7F2S240.005"/>
    <s v="Done"/>
    <s v="UAT2Y440.012"/>
    <s v="Done"/>
    <m/>
    <m/>
    <m/>
    <s v="Conv-B DONE"/>
    <m/>
    <m/>
    <m/>
    <m/>
    <m/>
    <m/>
    <m/>
    <m/>
    <m/>
    <m/>
    <m/>
  </r>
  <r>
    <m/>
    <n v="30611"/>
    <s v="HLC-A"/>
    <s v="STB9J0159HLCD"/>
    <x v="12"/>
    <s v="SCR"/>
    <x v="4"/>
    <d v="2017-11-29T00:00:00"/>
    <n v="159"/>
    <x v="0"/>
    <s v="M-U7D2S04V.005,_x000a_MO-U7F2S240.005"/>
    <s v="Done"/>
    <s v="UAT2Y440.012"/>
    <d v="2020-12-18T00:00:00"/>
    <m/>
    <m/>
    <m/>
    <s v="Conv-A DONE"/>
    <m/>
    <s v="Conv-A DONE"/>
    <m/>
    <m/>
    <m/>
    <m/>
    <m/>
    <m/>
    <m/>
    <m/>
    <m/>
  </r>
  <r>
    <m/>
    <n v="30611"/>
    <s v="HLC-B"/>
    <s v="STB8J0136HLCD"/>
    <x v="12"/>
    <s v="SCR"/>
    <x v="4"/>
    <d v="2017-11-29T00:00:00"/>
    <n v="136"/>
    <x v="0"/>
    <s v="M-U7D2S04V.005,_x000a_MO-U7F2S240.005"/>
    <s v="Done"/>
    <s v="UAT2Y440.012"/>
    <d v="2020-12-18T00:00:00"/>
    <m/>
    <m/>
    <m/>
    <s v="Conv-B DONE"/>
    <m/>
    <s v="Conv-B DONE"/>
    <m/>
    <m/>
    <m/>
    <m/>
    <m/>
    <m/>
    <m/>
    <m/>
    <m/>
  </r>
  <r>
    <m/>
    <n v="30612"/>
    <s v="HLC-A"/>
    <s v="STB6J0118HLCD"/>
    <x v="12"/>
    <s v="SCR"/>
    <x v="4"/>
    <d v="2017-12-31T00:00:00"/>
    <n v="118"/>
    <x v="0"/>
    <s v="M-U7D2S04V.005,_x000a_MO-U7F2S240.005"/>
    <s v="Done"/>
    <s v="UAT2Y440.012"/>
    <d v="2020-12-11T00:00:00"/>
    <m/>
    <m/>
    <m/>
    <s v="Conv-A DONE"/>
    <m/>
    <s v="Conv-A DONE"/>
    <m/>
    <m/>
    <m/>
    <m/>
    <m/>
    <m/>
    <m/>
    <m/>
    <m/>
  </r>
  <r>
    <m/>
    <n v="30612"/>
    <s v="HLC-B"/>
    <s v="STB6J0108HLCD"/>
    <x v="12"/>
    <s v="SCR"/>
    <x v="4"/>
    <d v="2017-12-31T00:00:00"/>
    <n v="108"/>
    <x v="0"/>
    <s v="M-U7D2S04V.005,_x000a_MO-U7F2S240.005"/>
    <s v="Done"/>
    <s v="UAT2Y440.012"/>
    <s v="Done"/>
    <m/>
    <m/>
    <m/>
    <s v="Conv-B DONE"/>
    <m/>
    <m/>
    <m/>
    <m/>
    <m/>
    <m/>
    <m/>
    <m/>
    <m/>
    <m/>
    <m/>
  </r>
  <r>
    <m/>
    <n v="30613"/>
    <s v="HLC-A"/>
    <s v="STB9J0164HLCD"/>
    <x v="12"/>
    <s v="SCR"/>
    <x v="4"/>
    <d v="2018-01-30T00:00:00"/>
    <n v="164"/>
    <x v="0"/>
    <s v="M-U7D2S04V.005,_x000a_MO-U7F2S240.005"/>
    <s v="Done"/>
    <s v="UAT2Y440.012"/>
    <d v="2020-12-15T00:00:00"/>
    <m/>
    <m/>
    <m/>
    <s v="Conv-A DONE"/>
    <m/>
    <s v="Conv-A DONE"/>
    <m/>
    <m/>
    <m/>
    <m/>
    <m/>
    <m/>
    <m/>
    <m/>
    <m/>
  </r>
  <r>
    <m/>
    <n v="30613"/>
    <s v="HLC-B"/>
    <s v="STB9J0165HLCD"/>
    <x v="12"/>
    <s v="SCR"/>
    <x v="4"/>
    <d v="2018-01-30T00:00:00"/>
    <n v="165"/>
    <x v="0"/>
    <s v="M-U7D2S04V.005,_x000a_MO-U7F2S240.005"/>
    <d v="2021-09-12T00:00:00"/>
    <s v="UAT2Y440.012"/>
    <d v="2021-09-12T00:00:00"/>
    <d v="2020-09-12T00:00:00"/>
    <m/>
    <m/>
    <s v="Conv-B DONE"/>
    <m/>
    <s v="Conv-B DONE"/>
    <m/>
    <m/>
    <s v="Conv-B DONE"/>
    <m/>
    <m/>
    <m/>
    <m/>
    <m/>
    <m/>
  </r>
  <r>
    <m/>
    <n v="30617"/>
    <s v="HLC-A"/>
    <s v="STB8J0143HLCD"/>
    <x v="12"/>
    <s v="SCR"/>
    <x v="4"/>
    <d v="2018-01-02T00:00:00"/>
    <n v="143"/>
    <x v="0"/>
    <s v="M-U7D2S04V.005,_x000a_MO-U7F2S240.005"/>
    <s v="Done"/>
    <s v="UAT2Y440.012"/>
    <d v="2020-12-12T00:00:00"/>
    <m/>
    <m/>
    <m/>
    <s v="Conv-A DONE"/>
    <m/>
    <s v="Conv-A DONE"/>
    <m/>
    <m/>
    <m/>
    <m/>
    <m/>
    <m/>
    <m/>
    <m/>
    <m/>
  </r>
  <r>
    <m/>
    <n v="30617"/>
    <s v="HLC-B"/>
    <s v="STB8J0142HLCD"/>
    <x v="12"/>
    <s v="SCR"/>
    <x v="4"/>
    <d v="2018-01-02T00:00:00"/>
    <n v="142"/>
    <x v="0"/>
    <s v="M-U7D2S04V.005,_x000a_MO-U7F2S240.005"/>
    <s v="Done"/>
    <s v="UAT2Y440.012"/>
    <d v="2020-12-12T00:00:00"/>
    <m/>
    <m/>
    <m/>
    <s v="Conv-B DONE"/>
    <m/>
    <s v="Conv-B DONE"/>
    <m/>
    <m/>
    <m/>
    <m/>
    <m/>
    <m/>
    <m/>
    <m/>
    <m/>
  </r>
  <r>
    <m/>
    <n v="30618"/>
    <s v="HLC-A"/>
    <s v="STB6J0119HLCD"/>
    <x v="12"/>
    <s v="SCR"/>
    <x v="4"/>
    <d v="2017-12-30T00:00:00"/>
    <n v="119"/>
    <x v="0"/>
    <s v="M-U7D2S04V.005,_x000a_MO-U7F2S240.005"/>
    <s v="Done"/>
    <m/>
    <m/>
    <m/>
    <m/>
    <m/>
    <s v="Conv-A DONE"/>
    <m/>
    <s v="Conv-A DONE"/>
    <m/>
    <m/>
    <m/>
    <m/>
    <m/>
    <m/>
    <m/>
    <m/>
    <m/>
  </r>
  <r>
    <m/>
    <n v="30618"/>
    <s v="HLC-B"/>
    <s v="STB6J0109HLCD"/>
    <x v="12"/>
    <s v="SCR"/>
    <x v="4"/>
    <d v="2017-12-30T00:00:00"/>
    <n v="109"/>
    <x v="0"/>
    <s v="M-U7D2S04V.005,_x000a_MO-U7F2S240.005"/>
    <s v="Done"/>
    <m/>
    <m/>
    <m/>
    <m/>
    <m/>
    <s v="Conv-B DONE"/>
    <m/>
    <s v="Conv-B DONE"/>
    <m/>
    <m/>
    <m/>
    <m/>
    <m/>
    <m/>
    <m/>
    <m/>
    <m/>
  </r>
  <r>
    <m/>
    <n v="37062"/>
    <s v="HLC-A"/>
    <s v="STB2K0180HLCD"/>
    <x v="12"/>
    <s v="SCR"/>
    <x v="4"/>
    <d v="2018-12-22T00:00:00"/>
    <n v="180"/>
    <x v="0"/>
    <s v="M-U7D2S04V.005,_x000a_MO-U7F2S240.005"/>
    <s v="Done"/>
    <s v="UAT2Y440.012"/>
    <d v="2020-12-28T00:00:00"/>
    <m/>
    <m/>
    <m/>
    <s v="Conv-A DONE"/>
    <m/>
    <s v="Conv-A DONE"/>
    <m/>
    <m/>
    <m/>
    <m/>
    <m/>
    <m/>
    <m/>
    <m/>
    <m/>
  </r>
  <r>
    <m/>
    <n v="37062"/>
    <s v="HLC-B"/>
    <s v="STB3K0196HLCD"/>
    <x v="12"/>
    <s v="SCR"/>
    <x v="4"/>
    <d v="2018-12-22T00:00:00"/>
    <n v="196"/>
    <x v="0"/>
    <s v="M-U7D2S04V.005,_x000a_MO-U7F2S240.005"/>
    <s v="Done"/>
    <s v="UAT2Y440.012"/>
    <d v="2020-12-28T00:00:00"/>
    <m/>
    <m/>
    <m/>
    <s v="Conv-B DONE"/>
    <m/>
    <s v="Conv-B DONE"/>
    <m/>
    <m/>
    <m/>
    <m/>
    <m/>
    <m/>
    <m/>
    <m/>
    <m/>
  </r>
  <r>
    <m/>
    <n v="37085"/>
    <s v="HLC-A"/>
    <s v="STB6K0258HLCD"/>
    <x v="12"/>
    <s v="SCR"/>
    <x v="4"/>
    <d v="2019-02-11T00:00:00"/>
    <n v="258"/>
    <x v="0"/>
    <s v="M-U7D2S04V.005,_x000a_MO-U7F2S240.005"/>
    <s v="Done"/>
    <s v="UAT2Y440.012"/>
    <d v="2020-12-26T00:00:00"/>
    <m/>
    <m/>
    <m/>
    <s v="Conv-A DONE"/>
    <m/>
    <s v="Conv-A DONE"/>
    <m/>
    <m/>
    <m/>
    <m/>
    <m/>
    <m/>
    <m/>
    <m/>
    <m/>
  </r>
  <r>
    <m/>
    <n v="37085"/>
    <s v="HLC-B"/>
    <s v="STB6K0259HLCD"/>
    <x v="12"/>
    <s v="SCR"/>
    <x v="4"/>
    <d v="2019-02-11T00:00:00"/>
    <n v="259"/>
    <x v="0"/>
    <s v="M-U7D2S04V.005,_x000a_MO-U7F2S240.005"/>
    <s v="Done"/>
    <s v="UAT2Y440.012"/>
    <d v="2021-02-04T00:00:00"/>
    <m/>
    <m/>
    <m/>
    <s v="Conv-B DONE"/>
    <m/>
    <s v="Conv-B DONE"/>
    <m/>
    <m/>
    <m/>
    <m/>
    <m/>
    <m/>
    <m/>
    <m/>
    <m/>
  </r>
  <r>
    <m/>
    <n v="37363"/>
    <s v="HLC-A"/>
    <s v="STBDL0742"/>
    <x v="12"/>
    <s v="SCR"/>
    <x v="4"/>
    <d v="2020-05-26T00:00:00"/>
    <n v="742"/>
    <x v="0"/>
    <s v="M-U7D2S04V.005,_x000a_MO-U7F2S240.005"/>
    <s v="Done"/>
    <s v="UAT2Y440.012"/>
    <d v="2021-01-19T00:00:00"/>
    <m/>
    <m/>
    <s v="Done by NW"/>
    <s v="Done by NW"/>
    <m/>
    <s v="Conv-A DONE"/>
    <m/>
    <m/>
    <m/>
    <m/>
    <m/>
    <m/>
    <m/>
    <m/>
    <m/>
  </r>
  <r>
    <m/>
    <n v="37363"/>
    <s v="HLC-B"/>
    <s v="STBDL0740HLCD"/>
    <x v="12"/>
    <s v="SCR"/>
    <x v="4"/>
    <d v="2020-05-26T00:00:00"/>
    <n v="740"/>
    <x v="0"/>
    <s v="M-U7D2S04V.005,_x000a_MO-U7F2S240.005"/>
    <s v="Done"/>
    <s v="UAT2Y440.012"/>
    <d v="2020-12-11T00:00:00"/>
    <m/>
    <m/>
    <s v="Done by NW"/>
    <s v="Done by NW"/>
    <m/>
    <s v="Conv-B DONE"/>
    <m/>
    <m/>
    <m/>
    <m/>
    <m/>
    <m/>
    <m/>
    <m/>
    <m/>
  </r>
  <r>
    <m/>
    <n v="37375"/>
    <s v="HLC-A"/>
    <s v="STBNL0711HLCD"/>
    <x v="12"/>
    <s v="SCR"/>
    <x v="4"/>
    <d v="2020-06-22T00:00:00"/>
    <n v="711"/>
    <x v="0"/>
    <s v="M-U7D2S04V.005,_x000a_MO-U7F2S240.005"/>
    <d v="2021-03-12T00:00:00"/>
    <s v="UAT2Y440.012"/>
    <d v="2021-02-11T00:00:00"/>
    <m/>
    <m/>
    <s v="Done by NW"/>
    <s v="Done by NW"/>
    <m/>
    <s v="Conv-B DONE"/>
    <s v="Conv-B DONE"/>
    <m/>
    <m/>
    <m/>
    <m/>
    <m/>
    <m/>
    <m/>
    <m/>
  </r>
  <r>
    <m/>
    <n v="37375"/>
    <s v="HLC-B"/>
    <s v="STB7L0608HLCD"/>
    <x v="12"/>
    <s v="SCR"/>
    <x v="4"/>
    <d v="2020-06-22T00:00:00"/>
    <n v="608"/>
    <x v="0"/>
    <s v="M-U7D2S04V.005,_x000a_MO-U7F2S240.005"/>
    <d v="2020-09-05T00:00:00"/>
    <s v="UAT2Y440.012"/>
    <d v="2020-12-24T00:00:00"/>
    <d v="2020-09-01T00:00:00"/>
    <m/>
    <s v="Done by NW"/>
    <s v="Done by NW"/>
    <s v="Conv-A DONE"/>
    <s v="Conv-A DONE"/>
    <s v="Conv-A DONE"/>
    <m/>
    <m/>
    <m/>
    <m/>
    <m/>
    <m/>
    <m/>
    <m/>
  </r>
  <r>
    <m/>
    <n v="37376"/>
    <s v="HLC-A"/>
    <s v="STBNL0716HLCD"/>
    <x v="12"/>
    <s v="SCR"/>
    <x v="4"/>
    <d v="2020-06-24T00:00:00"/>
    <n v="716"/>
    <x v="0"/>
    <m/>
    <m/>
    <s v="UAT2Y440.012"/>
    <d v="2021-01-21T00:00:00"/>
    <m/>
    <m/>
    <s v="Done by NW"/>
    <s v="Done by NW"/>
    <m/>
    <s v="Conv-A DONE"/>
    <s v="Conv-A DONE"/>
    <m/>
    <m/>
    <m/>
    <m/>
    <m/>
    <m/>
    <m/>
    <m/>
  </r>
  <r>
    <m/>
    <n v="37376"/>
    <s v="HLC-B"/>
    <s v="STB7L0595"/>
    <x v="12"/>
    <s v="SCR"/>
    <x v="4"/>
    <d v="2020-06-24T00:00:00"/>
    <n v="595"/>
    <x v="0"/>
    <m/>
    <m/>
    <s v="UAT2Y440.012"/>
    <d v="2021-01-21T00:00:00"/>
    <m/>
    <m/>
    <s v="Done by NW"/>
    <s v="Done by NW"/>
    <m/>
    <m/>
    <m/>
    <m/>
    <m/>
    <m/>
    <m/>
    <m/>
    <m/>
    <m/>
    <m/>
  </r>
  <r>
    <m/>
    <n v="37473"/>
    <s v="HLC-A"/>
    <s v="STB8M0910HLCD"/>
    <x v="12"/>
    <s v="SCR"/>
    <x v="4"/>
    <d v="2020-11-18T00:00:00"/>
    <n v="910"/>
    <x v="0"/>
    <s v="M-U7D2S04V.005,_x000a_MO-U7F2S240.005"/>
    <s v="Done by NW"/>
    <s v="UAT2Y440.012"/>
    <d v="2021-01-04T00:00:00"/>
    <m/>
    <m/>
    <s v="Done by NW"/>
    <s v="Done by NW"/>
    <s v="Conv-A DONE"/>
    <s v="Conv-A DONE"/>
    <m/>
    <m/>
    <m/>
    <s v="Done by NW"/>
    <m/>
    <m/>
    <m/>
    <m/>
    <m/>
  </r>
  <r>
    <m/>
    <n v="37473"/>
    <s v="HLC-B"/>
    <s v="STB8M0911HLCD"/>
    <x v="12"/>
    <s v="SCR"/>
    <x v="4"/>
    <d v="2020-11-18T00:00:00"/>
    <n v="911"/>
    <x v="0"/>
    <s v="M-U7D2S04V.005,_x000a_MO-U7F2S240.005"/>
    <s v="Done by NW"/>
    <s v="UAT2Y440.012"/>
    <d v="2021-01-04T00:00:00"/>
    <m/>
    <m/>
    <s v="Done by NW"/>
    <s v="Done by NW"/>
    <s v="Conv-B DONE"/>
    <s v="Conv-B DONE"/>
    <m/>
    <m/>
    <m/>
    <s v="Done by NW"/>
    <m/>
    <m/>
    <m/>
    <m/>
    <m/>
  </r>
  <r>
    <m/>
    <n v="37477"/>
    <s v="HLC-A"/>
    <s v="STB8M0959HLCD"/>
    <x v="12"/>
    <s v="SCR"/>
    <x v="4"/>
    <d v="2020-11-22T00:00:00"/>
    <n v="959"/>
    <x v="0"/>
    <s v="M-U7D2S04V.005,_x000a_MO-U7F2S240.005"/>
    <s v="Done by NW"/>
    <s v="UAT2Y440.012"/>
    <d v="2021-01-21T00:00:00"/>
    <m/>
    <m/>
    <s v="Done by NW"/>
    <s v="Done by NW"/>
    <m/>
    <s v="Conv-A DONE"/>
    <m/>
    <m/>
    <m/>
    <s v="Done by NW"/>
    <m/>
    <m/>
    <m/>
    <m/>
    <m/>
  </r>
  <r>
    <m/>
    <n v="37477"/>
    <s v="HLC-B"/>
    <s v="STB8M0958HLCD"/>
    <x v="12"/>
    <s v="SCR"/>
    <x v="4"/>
    <d v="2020-11-22T00:00:00"/>
    <n v="958"/>
    <x v="0"/>
    <s v="M-U7D2S04V.005,_x000a_MO-U7F2S240.005"/>
    <s v="Done by NW"/>
    <s v="UAT2Y440.012"/>
    <d v="2021-01-21T00:00:00"/>
    <m/>
    <m/>
    <s v="Done by NW"/>
    <s v="Done by NW"/>
    <m/>
    <s v="Conv-B DONE"/>
    <m/>
    <m/>
    <m/>
    <s v="Done by NW"/>
    <m/>
    <m/>
    <m/>
    <m/>
    <m/>
  </r>
  <r>
    <m/>
    <n v="37538"/>
    <s v="HLC-A"/>
    <s v="STB8M0928HLCD"/>
    <x v="12"/>
    <s v="SCR"/>
    <x v="4"/>
    <d v="2021-01-30T00:00:00"/>
    <n v="928"/>
    <x v="0"/>
    <s v="M-U7D2S04V.005,_x000a_MO-U7F2S240.005"/>
    <s v="Done by NW"/>
    <s v="UAT2Y440.012"/>
    <d v="2021-04-14T00:00:00"/>
    <m/>
    <m/>
    <s v="Done by NW"/>
    <s v="Done by NW"/>
    <m/>
    <m/>
    <m/>
    <m/>
    <m/>
    <s v="Done by NW"/>
    <m/>
    <m/>
    <m/>
    <m/>
    <m/>
  </r>
  <r>
    <m/>
    <n v="37538"/>
    <s v="HLC-B"/>
    <s v="STB8M0929HLCD"/>
    <x v="12"/>
    <s v="SCR"/>
    <x v="4"/>
    <d v="2021-01-30T00:00:00"/>
    <n v="929"/>
    <x v="0"/>
    <s v="M-U7D2S04V.005,_x000a_MO-U7F2S240.005"/>
    <s v="Done by NW"/>
    <s v="UAT2Y440.012"/>
    <d v="2021-04-14T00:00:00"/>
    <m/>
    <m/>
    <s v="Done by NW"/>
    <s v="Done by NW"/>
    <m/>
    <m/>
    <m/>
    <m/>
    <m/>
    <s v="Done by NW"/>
    <m/>
    <m/>
    <m/>
    <m/>
    <m/>
  </r>
  <r>
    <m/>
    <n v="37540"/>
    <s v="HLC-A"/>
    <s v="STB8M0918HLCD"/>
    <x v="12"/>
    <s v="SCR"/>
    <x v="4"/>
    <d v="2021-01-30T00:00:00"/>
    <n v="918"/>
    <x v="0"/>
    <s v="M-U7D2S04V.005,_x000a_MO-U7F2S240.005"/>
    <s v="Done by NW"/>
    <s v="UAT2Y440.012"/>
    <d v="2021-04-15T00:00:00"/>
    <m/>
    <m/>
    <s v="Done by NW"/>
    <s v="Done by NW"/>
    <m/>
    <m/>
    <m/>
    <m/>
    <m/>
    <s v="Done by NW"/>
    <m/>
    <m/>
    <m/>
    <m/>
    <m/>
  </r>
  <r>
    <m/>
    <n v="37540"/>
    <s v="HLC-B"/>
    <s v="STB8M0919HLCD"/>
    <x v="12"/>
    <s v="SCR"/>
    <x v="4"/>
    <d v="2021-01-30T00:00:00"/>
    <n v="919"/>
    <x v="0"/>
    <s v="M-U7D2S04V.005,_x000a_MO-U7F2S240.005"/>
    <s v="Done by NW"/>
    <s v="UAT2Y440.012"/>
    <d v="2021-04-15T00:00:00"/>
    <m/>
    <m/>
    <s v="Done by NW"/>
    <s v="Done by NW"/>
    <m/>
    <m/>
    <m/>
    <m/>
    <m/>
    <s v="Done by NW"/>
    <m/>
    <m/>
    <m/>
    <m/>
    <m/>
  </r>
  <r>
    <m/>
    <n v="39118"/>
    <s v="HLC-A"/>
    <s v="STB0L0677HLCD"/>
    <x v="12"/>
    <s v="SCR"/>
    <x v="4"/>
    <d v="2019-12-27T00:00:00"/>
    <n v="677"/>
    <x v="0"/>
    <s v="M-U7D2S04V.005,_x000a_MO-U7F2S240.005"/>
    <s v="Done"/>
    <s v="UAT2Y440.012"/>
    <d v="2021-02-03T00:00:00"/>
    <m/>
    <m/>
    <s v="Done by NW"/>
    <s v="Done by NW"/>
    <m/>
    <s v="Conv-A DONE"/>
    <m/>
    <m/>
    <m/>
    <m/>
    <m/>
    <m/>
    <m/>
    <m/>
    <m/>
  </r>
  <r>
    <m/>
    <n v="39118"/>
    <s v="HLC-B"/>
    <s v="STB0L0676HLCD"/>
    <x v="12"/>
    <s v="SCR"/>
    <x v="4"/>
    <d v="2019-12-27T00:00:00"/>
    <n v="676"/>
    <x v="0"/>
    <s v="M-U7D2S04V.005,_x000a_MO-U7F2S240.005"/>
    <s v="Done"/>
    <s v="UAT2Y440.012"/>
    <d v="2021-02-03T00:00:00"/>
    <m/>
    <m/>
    <s v="Done by NW"/>
    <s v="Done by NW"/>
    <m/>
    <s v="Conv-B DONE"/>
    <m/>
    <m/>
    <m/>
    <m/>
    <m/>
    <m/>
    <m/>
    <m/>
    <m/>
  </r>
  <r>
    <m/>
    <n v="39120"/>
    <s v="HLC-A"/>
    <s v="STB0L0663HLCD"/>
    <x v="12"/>
    <s v="SCR"/>
    <x v="4"/>
    <d v="2020-01-08T00:00:00"/>
    <n v="663"/>
    <x v="0"/>
    <s v="M-U7D2S04V.005,_x000a_MO-U7F2S240.005"/>
    <s v="Done"/>
    <s v="UAT2Y440.012"/>
    <d v="2021-03-08T00:00:00"/>
    <m/>
    <m/>
    <s v="Done by NW"/>
    <s v="Done by NW"/>
    <m/>
    <s v="Conv-A DONE"/>
    <m/>
    <m/>
    <m/>
    <m/>
    <m/>
    <m/>
    <m/>
    <m/>
    <m/>
  </r>
  <r>
    <m/>
    <n v="39120"/>
    <s v="HLC-B"/>
    <s v="STB0L0664HLCD"/>
    <x v="12"/>
    <s v="SCR"/>
    <x v="4"/>
    <d v="2020-01-08T00:00:00"/>
    <n v="664"/>
    <x v="0"/>
    <s v="M-U7D2S04V.005,_x000a_MO-U7F2S240.005"/>
    <s v="Done"/>
    <s v="UAT2Y440.012"/>
    <d v="2021-03-08T00:00:00"/>
    <m/>
    <m/>
    <s v="Done by NW"/>
    <s v="Done by NW"/>
    <m/>
    <s v="Conv-B DONE"/>
    <m/>
    <m/>
    <m/>
    <m/>
    <m/>
    <m/>
    <m/>
    <m/>
    <m/>
  </r>
  <r>
    <m/>
    <n v="39137"/>
    <s v="HLC-A"/>
    <s v="STBOL0653HLCD"/>
    <x v="12"/>
    <s v="SCR"/>
    <x v="4"/>
    <d v="2020-03-17T00:00:00"/>
    <n v="653"/>
    <x v="0"/>
    <m/>
    <m/>
    <s v="UAT2Y440.012"/>
    <d v="2021-03-25T00:00:00"/>
    <m/>
    <m/>
    <s v="Done by NW"/>
    <s v="Done by NW"/>
    <m/>
    <s v="Conv-A DONE"/>
    <m/>
    <m/>
    <m/>
    <m/>
    <m/>
    <m/>
    <m/>
    <m/>
    <m/>
  </r>
  <r>
    <m/>
    <n v="39137"/>
    <s v="HLC-B"/>
    <s v="STBOL0654HLCD"/>
    <x v="12"/>
    <s v="SCR"/>
    <x v="4"/>
    <d v="2020-03-17T00:00:00"/>
    <n v="654"/>
    <x v="0"/>
    <m/>
    <m/>
    <s v="UAT2Y440.012"/>
    <d v="2021-03-25T00:00:00"/>
    <m/>
    <m/>
    <s v="Done by NW"/>
    <s v="Done by NW"/>
    <m/>
    <s v="Conv-B DONE"/>
    <m/>
    <m/>
    <m/>
    <m/>
    <m/>
    <m/>
    <m/>
    <m/>
    <m/>
  </r>
  <r>
    <m/>
    <n v="39139"/>
    <s v="HLC-A"/>
    <s v="STB1M0772HLCD"/>
    <x v="12"/>
    <s v="SCR"/>
    <x v="4"/>
    <d v="2020-06-06T00:00:00"/>
    <n v="772"/>
    <x v="0"/>
    <s v="M-U7D2S04V.005,_x000a_MO-U7F2S240.005"/>
    <s v="Done"/>
    <s v="UAT2Y440.012"/>
    <d v="2020-12-11T00:00:00"/>
    <m/>
    <m/>
    <s v="Done by NW"/>
    <s v="Done by NW"/>
    <m/>
    <m/>
    <m/>
    <m/>
    <m/>
    <m/>
    <m/>
    <m/>
    <m/>
    <m/>
    <m/>
  </r>
  <r>
    <m/>
    <n v="39139"/>
    <s v="HLC-B"/>
    <s v="STB0L0658HLCD"/>
    <x v="12"/>
    <s v="SCR"/>
    <x v="4"/>
    <d v="2020-06-06T00:00:00"/>
    <n v="658"/>
    <x v="0"/>
    <s v="M-U7D2S04V.005,_x000a_MO-U7F2S240.005"/>
    <s v="Done"/>
    <s v="UAT2Y440.012"/>
    <d v="2021-01-19T00:00:00"/>
    <m/>
    <m/>
    <s v="Done by NW"/>
    <s v="Done by NW"/>
    <m/>
    <s v="Conv-B DONE"/>
    <m/>
    <m/>
    <m/>
    <m/>
    <m/>
    <m/>
    <m/>
    <m/>
    <m/>
  </r>
  <r>
    <m/>
    <n v="39149"/>
    <s v="HLC-A"/>
    <s v="STBDL0762HLCD"/>
    <x v="12"/>
    <s v="SCR"/>
    <x v="4"/>
    <d v="2020-07-23T00:00:00"/>
    <n v="762"/>
    <x v="0"/>
    <m/>
    <m/>
    <s v="UAT2Y440.012"/>
    <d v="2020-12-19T00:00:00"/>
    <m/>
    <m/>
    <s v="Done by NW"/>
    <s v="Done by NW"/>
    <m/>
    <m/>
    <m/>
    <m/>
    <m/>
    <m/>
    <m/>
    <m/>
    <m/>
    <m/>
    <m/>
  </r>
  <r>
    <m/>
    <n v="39149"/>
    <s v="HLC-B"/>
    <s v="STBDL0765HLCD"/>
    <x v="12"/>
    <s v="SCR"/>
    <x v="4"/>
    <d v="2020-07-23T00:00:00"/>
    <n v="765"/>
    <x v="0"/>
    <m/>
    <m/>
    <s v="UAT2Y440.012"/>
    <d v="2020-12-19T00:00:00"/>
    <m/>
    <m/>
    <s v="Done by NW"/>
    <s v="Done by NW"/>
    <m/>
    <m/>
    <m/>
    <m/>
    <m/>
    <m/>
    <m/>
    <m/>
    <m/>
    <m/>
    <m/>
  </r>
  <r>
    <m/>
    <n v="39156"/>
    <s v="HLC-A"/>
    <s v="STB1M0777HLCD"/>
    <x v="12"/>
    <s v="SCR"/>
    <x v="4"/>
    <d v="2020-08-24T00:00:00"/>
    <n v="777"/>
    <x v="0"/>
    <s v="M-U7D2S04V.005,_x000a_MO-U7F2S240.005"/>
    <s v="Done"/>
    <s v="UAT2Y440.012"/>
    <d v="2021-01-18T00:00:00"/>
    <m/>
    <m/>
    <s v="Done by NW"/>
    <s v="Done by NW"/>
    <m/>
    <s v="Conv-A DONE"/>
    <m/>
    <m/>
    <m/>
    <m/>
    <m/>
    <m/>
    <m/>
    <m/>
    <m/>
  </r>
  <r>
    <m/>
    <n v="39156"/>
    <s v="HLC-B"/>
    <s v="STBDL0763HLCD"/>
    <x v="12"/>
    <s v="SCR"/>
    <x v="4"/>
    <d v="2020-08-24T00:00:00"/>
    <n v="763"/>
    <x v="0"/>
    <s v="M-U7D2S04V.005,_x000a_MO-U7F2S240.005"/>
    <s v="Done"/>
    <s v="UAT2Y440.012"/>
    <d v="2021-01-18T00:00:00"/>
    <m/>
    <m/>
    <s v="Done by NW"/>
    <s v="Done by NW"/>
    <m/>
    <s v="Conv-B DONE"/>
    <m/>
    <m/>
    <m/>
    <m/>
    <m/>
    <m/>
    <m/>
    <m/>
    <m/>
  </r>
  <r>
    <s v=" "/>
    <n v="30454"/>
    <s v="HLC-A"/>
    <s v="STB9F0033HLCA"/>
    <x v="13"/>
    <s v="SER"/>
    <x v="5"/>
    <d v="2016-02-23T00:00:00"/>
    <n v="33"/>
    <x v="1"/>
    <s v="RJ0D04.005"/>
    <s v=" "/>
    <s v="L3I2ZY72.008"/>
    <s v="Done"/>
    <s v=" "/>
    <s v=" "/>
    <s v="Conv-A DONE"/>
    <s v=" "/>
    <s v="Conv-A DONE"/>
    <s v="Conv-A DONE"/>
    <s v=" "/>
    <s v=" "/>
    <s v=" "/>
    <s v=" "/>
    <s v=" "/>
    <s v=" "/>
    <s v=" "/>
    <s v=" "/>
    <s v=" "/>
  </r>
  <r>
    <s v=" "/>
    <n v="30454"/>
    <s v="HLC-B"/>
    <s v="STB9F0032HLCA"/>
    <x v="13"/>
    <s v="SER"/>
    <x v="5"/>
    <d v="2016-02-23T00:00:00"/>
    <n v="32"/>
    <x v="1"/>
    <s v="RJ0D04.005"/>
    <s v=" "/>
    <s v="L3I2ZY72.008"/>
    <s v="Done"/>
    <s v=" "/>
    <s v=" "/>
    <s v="Conv-B DONE"/>
    <s v=" "/>
    <s v="Conv-B DONE"/>
    <s v="Conv-B DONE"/>
    <s v=" "/>
    <s v=" "/>
    <s v=" "/>
    <s v=" "/>
    <s v=" "/>
    <s v=" "/>
    <s v=" "/>
    <s v=" "/>
    <s v=" "/>
  </r>
  <r>
    <s v=" "/>
    <n v="30534"/>
    <s v="HLC-A"/>
    <s v="STB8H0081HLCC"/>
    <x v="13"/>
    <s v="SER"/>
    <x v="5"/>
    <d v="2017-04-04T00:00:00"/>
    <n v="81"/>
    <x v="1"/>
    <s v=" "/>
    <s v=" "/>
    <s v="L3I2ZY72.008"/>
    <d v="2021-01-05T00:00:00"/>
    <s v=" "/>
    <s v=" "/>
    <s v=" "/>
    <s v=" "/>
    <s v=" "/>
    <s v="Conv-A DONE"/>
    <s v=" "/>
    <s v=" "/>
    <s v=" "/>
    <s v=" "/>
    <s v=" "/>
    <s v=" "/>
    <s v=" "/>
    <s v=" "/>
    <s v=" "/>
  </r>
  <r>
    <s v=" "/>
    <n v="30534"/>
    <s v="HLC-B"/>
    <s v="STB8H0079HLCC"/>
    <x v="13"/>
    <s v="SER"/>
    <x v="5"/>
    <d v="2017-04-04T00:00:00"/>
    <n v="79"/>
    <x v="1"/>
    <s v=" "/>
    <s v=" "/>
    <s v="L3I2ZY72.008"/>
    <d v="2021-01-05T00:00:00"/>
    <s v=" "/>
    <s v=" "/>
    <s v=" "/>
    <s v=" "/>
    <s v=" "/>
    <s v="Conv-B DONE"/>
    <s v=" "/>
    <s v=" "/>
    <s v=" "/>
    <s v=" "/>
    <s v=" "/>
    <s v=" "/>
    <s v=" "/>
    <s v=" "/>
    <s v=" "/>
  </r>
  <r>
    <s v=" "/>
    <n v="30535"/>
    <s v="HLC-A"/>
    <s v="STB7H0069HLCC"/>
    <x v="13"/>
    <s v="SER"/>
    <x v="5"/>
    <d v="2017-03-30T00:00:00"/>
    <n v="69"/>
    <x v="1"/>
    <s v=" "/>
    <s v=" "/>
    <s v="L3I2ZY72.008"/>
    <d v="2021-02-02T00:00:00"/>
    <s v=" "/>
    <s v=" "/>
    <s v=" "/>
    <s v=" "/>
    <s v=" "/>
    <s v="Conv-A DONE"/>
    <s v=" "/>
    <s v=" "/>
    <s v=" "/>
    <s v=" "/>
    <s v=" "/>
    <s v=" "/>
    <s v=" "/>
    <s v=" "/>
    <s v=" "/>
  </r>
  <r>
    <s v=" "/>
    <n v="30535"/>
    <s v="HLC-B"/>
    <s v="STB7H0070HLCC"/>
    <x v="13"/>
    <s v="SER"/>
    <x v="5"/>
    <d v="2017-03-30T00:00:00"/>
    <n v="70"/>
    <x v="1"/>
    <s v=" "/>
    <s v=" "/>
    <s v="L3I2ZY72.008"/>
    <d v="2021-02-02T00:00:00"/>
    <s v=" "/>
    <s v=" "/>
    <s v=" "/>
    <s v=" "/>
    <s v=" "/>
    <s v="Conv-B DONE"/>
    <s v=" "/>
    <s v=" "/>
    <s v=" "/>
    <s v=" "/>
    <s v=" "/>
    <s v=" "/>
    <s v=" "/>
    <s v=" "/>
    <s v=" "/>
  </r>
  <r>
    <s v=" "/>
    <n v="37223"/>
    <s v="HLC-A"/>
    <s v="STB5L0495HLCD"/>
    <x v="13"/>
    <s v="SER"/>
    <x v="5"/>
    <s v=" "/>
    <n v="495"/>
    <x v="0"/>
    <s v=" "/>
    <s v=" "/>
    <s v="UAT2Y440.012"/>
    <d v="2021-04-08T00:00:00"/>
    <s v=" "/>
    <s v=" "/>
    <s v=" "/>
    <s v=" "/>
    <s v=" "/>
    <s v="Conv-A DONE"/>
    <s v=" "/>
    <s v=" "/>
    <s v=" "/>
    <s v=" "/>
    <s v=" "/>
    <s v=" "/>
    <s v=" "/>
    <s v=" "/>
    <s v=" "/>
  </r>
  <r>
    <s v=" "/>
    <n v="37243"/>
    <s v="HLC-A"/>
    <s v="STB7L0617HLCD"/>
    <x v="13"/>
    <s v="SER"/>
    <x v="5"/>
    <d v="2019-09-24T00:00:00"/>
    <n v="617"/>
    <x v="0"/>
    <s v=" "/>
    <s v=" "/>
    <s v="UAT2Y440.012"/>
    <d v="2021-01-20T00:00:00"/>
    <s v=" "/>
    <s v=" "/>
    <s v="Done by NW"/>
    <s v=" "/>
    <s v=" "/>
    <s v="Conv-A DONE"/>
    <s v=" "/>
    <s v=" "/>
    <s v=" "/>
    <s v=" "/>
    <s v=" "/>
    <s v=" "/>
    <s v=" "/>
    <s v=" "/>
    <s v=" "/>
  </r>
  <r>
    <s v=" "/>
    <n v="37243"/>
    <s v="HLC-B"/>
    <s v="STB7L0616HLCD"/>
    <x v="13"/>
    <s v="SER"/>
    <x v="5"/>
    <d v="2019-09-24T00:00:00"/>
    <n v="616"/>
    <x v="0"/>
    <s v=" "/>
    <s v=" "/>
    <s v="UAT2Y440.012"/>
    <d v="2021-01-20T00:00:00"/>
    <s v=" "/>
    <s v=" "/>
    <s v="Done by NW"/>
    <s v=" "/>
    <s v=" "/>
    <s v="Conv-B DONE"/>
    <s v=" "/>
    <s v=" "/>
    <s v=" "/>
    <s v=" "/>
    <s v=" "/>
    <s v=" "/>
    <s v=" "/>
    <s v=" "/>
    <s v=" "/>
  </r>
  <r>
    <s v=" "/>
    <n v="37245"/>
    <s v="HLC-A"/>
    <s v="STB7L0618HLCD"/>
    <x v="13"/>
    <s v="SER"/>
    <x v="5"/>
    <d v="2019-09-19T00:00:00"/>
    <n v="618"/>
    <x v="0"/>
    <s v=" "/>
    <s v=" "/>
    <s v="UAT2Y440.012"/>
    <d v="2021-03-28T00:00:00"/>
    <s v=" "/>
    <s v=" "/>
    <s v="Done by NW"/>
    <s v=" "/>
    <s v=" "/>
    <s v="Conv-A DONE"/>
    <s v=" "/>
    <s v=" "/>
    <s v=" "/>
    <s v=" "/>
    <s v=" "/>
    <s v=" "/>
    <s v=" "/>
    <s v=" "/>
    <s v=" "/>
  </r>
  <r>
    <s v=" "/>
    <n v="37245"/>
    <s v="HLC-B"/>
    <s v="STB7L0619HLCD"/>
    <x v="13"/>
    <s v="SER"/>
    <x v="5"/>
    <d v="2019-09-19T00:00:00"/>
    <n v="619"/>
    <x v="0"/>
    <s v=" "/>
    <s v=" "/>
    <s v="UAT2Y440.012"/>
    <d v="2021-03-28T00:00:00"/>
    <s v=" "/>
    <s v=" "/>
    <s v="Done by NW"/>
    <s v=" "/>
    <s v=" "/>
    <s v="Conv-B DONE"/>
    <s v=" "/>
    <s v=" "/>
    <s v=" "/>
    <s v=" "/>
    <s v=" "/>
    <s v=" "/>
    <s v=" "/>
    <s v=" "/>
    <s v=" "/>
  </r>
  <r>
    <s v=" "/>
    <n v="37247"/>
    <s v="HLC-A"/>
    <s v="STB7L0624HLCD"/>
    <x v="13"/>
    <s v="SER"/>
    <x v="5"/>
    <d v="2019-09-21T00:00:00"/>
    <n v="624"/>
    <x v="0"/>
    <s v=" "/>
    <s v=" "/>
    <s v="UAT2Y440.012"/>
    <d v="2021-04-12T00:00:00"/>
    <s v=" "/>
    <s v=" "/>
    <s v="Done by NW"/>
    <s v=" "/>
    <s v=" "/>
    <s v="Conv-A DONE"/>
    <s v=" "/>
    <s v=" "/>
    <s v=" "/>
    <s v=" "/>
    <s v=" "/>
    <s v=" "/>
    <s v=" "/>
    <s v=" "/>
    <s v=" "/>
  </r>
  <r>
    <s v=" "/>
    <n v="37247"/>
    <s v="HLC-B"/>
    <s v="STB7L0625HLCD"/>
    <x v="13"/>
    <s v="SER"/>
    <x v="5"/>
    <d v="2019-09-21T00:00:00"/>
    <n v="625"/>
    <x v="0"/>
    <s v=" "/>
    <s v=" "/>
    <s v="UAT2Y440.012"/>
    <d v="2021-04-12T00:00:00"/>
    <s v=" "/>
    <s v=" "/>
    <s v="Done by NW"/>
    <s v=" "/>
    <s v=" "/>
    <s v="Conv-B DONE"/>
    <s v=" "/>
    <s v=" "/>
    <s v=" "/>
    <s v=" "/>
    <s v=" "/>
    <s v=" "/>
    <s v=" "/>
    <s v=" "/>
    <s v=" "/>
  </r>
  <r>
    <s v=" "/>
    <n v="37250"/>
    <s v="HLC-A"/>
    <s v="STB7L0632HLCD"/>
    <x v="13"/>
    <s v="SER"/>
    <x v="5"/>
    <d v="2019-09-26T00:00:00"/>
    <n v="632"/>
    <x v="0"/>
    <s v="M-U7D2S04V.005,_x000a_MO-U7F2S240.005"/>
    <s v="Done"/>
    <s v="UAT2Y440.012"/>
    <d v="2021-04-14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250"/>
    <s v="HLC-B"/>
    <s v="STB7L0637HLCD"/>
    <x v="13"/>
    <s v="SER"/>
    <x v="5"/>
    <d v="2019-09-26T00:00:00"/>
    <n v="637"/>
    <x v="0"/>
    <s v="M-U7D2S04V.005,_x000a_MO-U7F2S240.005"/>
    <s v="Done"/>
    <s v="UAT2Y440.012"/>
    <d v="2021-04-14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252"/>
    <s v="HLC-A"/>
    <s v="STB7L0636HLCD"/>
    <x v="13"/>
    <s v="SER"/>
    <x v="5"/>
    <d v="2019-09-29T00:00:00"/>
    <n v="636"/>
    <x v="0"/>
    <s v="S7Q1G04V.005"/>
    <s v=" "/>
    <s v="UAT2Y440.012"/>
    <d v="2021-04-30T00:00:00"/>
    <d v="2021-04-30T00:00:00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52"/>
    <s v="HLC-B"/>
    <s v="STB7L0633HLCD"/>
    <x v="13"/>
    <s v="SER"/>
    <x v="5"/>
    <d v="2019-09-29T00:00:00"/>
    <n v="633"/>
    <x v="0"/>
    <s v="S7Q1G04V.005"/>
    <s v=" "/>
    <s v="UAT2Y440.012"/>
    <d v="2021-04-30T00:00:00"/>
    <d v="2021-04-30T00:00:00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0589"/>
    <s v="HLC-A"/>
    <s v="STB5J0092HLCC"/>
    <x v="14"/>
    <s v="SECR"/>
    <x v="5"/>
    <d v="2017-09-26T00:00:00"/>
    <n v="92"/>
    <x v="0"/>
    <s v="S7Q1G04V.005"/>
    <s v=" "/>
    <s v=" "/>
    <s v=" 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0589"/>
    <s v="HLC-B"/>
    <s v="STB5J0093HLCC"/>
    <x v="14"/>
    <s v="SECR"/>
    <x v="5"/>
    <d v="2017-09-26T00:00:00"/>
    <n v="93"/>
    <x v="0"/>
    <s v="Q9J1Z04V.005"/>
    <s v=" "/>
    <s v=" "/>
    <s v=" 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0590"/>
    <s v="HLC-A"/>
    <s v="STB8J0138HLCD"/>
    <x v="14"/>
    <s v="SECR"/>
    <x v="5"/>
    <d v="2017-10-16T00:00:00"/>
    <n v="138"/>
    <x v="0"/>
    <s v="Q9J1Z04V.005"/>
    <s v=" "/>
    <s v=" "/>
    <s v=" "/>
    <s v=" "/>
    <s v=" "/>
    <s v=" "/>
    <s v="Conv-A DONE"/>
    <s v="Conv-A DONE"/>
    <s v="Conv-A DONE"/>
    <s v=" "/>
    <s v=" "/>
    <s v=" "/>
    <s v=" "/>
    <s v=" "/>
    <s v=" "/>
    <s v=" "/>
    <s v=" "/>
    <s v=" "/>
  </r>
  <r>
    <s v=" "/>
    <n v="30590"/>
    <s v="HLC-B"/>
    <s v="STB8J0140HLCD"/>
    <x v="14"/>
    <s v="SECR"/>
    <x v="5"/>
    <d v="2017-10-16T00:00:00"/>
    <n v="140"/>
    <x v="0"/>
    <s v="Q9J1Z04V.005"/>
    <s v=" "/>
    <s v=" "/>
    <s v=" "/>
    <s v=" "/>
    <s v=" "/>
    <s v=" "/>
    <s v="Conv-B DONE"/>
    <s v="Conv-B DONE"/>
    <s v="Conv-B DONE"/>
    <s v=" "/>
    <s v=" "/>
    <s v=" "/>
    <s v=" "/>
    <s v=" "/>
    <s v=" "/>
    <s v=" "/>
    <s v=" "/>
    <s v=" "/>
  </r>
  <r>
    <s v=" "/>
    <n v="30591"/>
    <s v="HLC-A"/>
    <s v="STB8J0135HLCD"/>
    <x v="14"/>
    <s v="SECR"/>
    <x v="5"/>
    <d v="2017-11-02T00:00:00"/>
    <n v="135"/>
    <x v="0"/>
    <s v="RJ0D04.005"/>
    <s v=" "/>
    <s v=" "/>
    <s v=" "/>
    <s v=" "/>
    <s v=" "/>
    <s v=" "/>
    <s v="Conv-A DONE"/>
    <s v="Conv-A DONE"/>
    <s v="Conv-A DONE"/>
    <s v=" "/>
    <s v=" "/>
    <s v=" "/>
    <s v=" "/>
    <s v=" "/>
    <s v=" "/>
    <s v=" "/>
    <s v=" "/>
    <s v=" "/>
  </r>
  <r>
    <s v=" "/>
    <n v="30591"/>
    <s v="HLC-B"/>
    <s v="STB8J0134HLCD"/>
    <x v="14"/>
    <s v="SECR"/>
    <x v="5"/>
    <d v="2017-11-02T00:00:00"/>
    <n v="134"/>
    <x v="0"/>
    <s v="S7Q1G04V.005"/>
    <s v=" "/>
    <s v=" "/>
    <s v=" "/>
    <s v=" "/>
    <s v=" "/>
    <s v=" "/>
    <s v="Conv-B DONE"/>
    <s v="Conv-B DONE"/>
    <s v="Conv-B DONE"/>
    <s v=" "/>
    <s v=" "/>
    <s v=" "/>
    <s v=" "/>
    <s v=" "/>
    <s v=" "/>
    <s v=" "/>
    <s v=" "/>
    <s v=" "/>
  </r>
  <r>
    <s v=" "/>
    <n v="30608"/>
    <s v="HLC-A"/>
    <s v="STB8J0147HLCD"/>
    <x v="14"/>
    <s v="SECR"/>
    <x v="5"/>
    <d v="2017-11-22T00:00:00"/>
    <n v="147"/>
    <x v="0"/>
    <s v="M-U7D2S04V.005,_x000a_MO-U7F2S240.005"/>
    <s v="Done"/>
    <s v=" "/>
    <s v=" "/>
    <s v=" "/>
    <s v=" "/>
    <s v=" "/>
    <s v="Conv-A DONE"/>
    <s v="Conv-A DONE"/>
    <s v="Conv-A DONE"/>
    <s v=" "/>
    <s v=" "/>
    <s v=" "/>
    <s v=" "/>
    <s v=" "/>
    <s v=" "/>
    <s v=" "/>
    <s v=" "/>
    <s v=" "/>
  </r>
  <r>
    <s v=" "/>
    <n v="30608"/>
    <s v="HLC-B"/>
    <s v="STB8J0153HLCD"/>
    <x v="14"/>
    <s v="SECR"/>
    <x v="5"/>
    <d v="2017-11-22T00:00:00"/>
    <n v="153"/>
    <x v="0"/>
    <s v="M-U7D2S04V.005,_x000a_MO-U7F2S240.005"/>
    <s v="Done"/>
    <s v=" "/>
    <s v=" 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079"/>
    <s v="HLC-A"/>
    <s v="STB7K0272HLCD"/>
    <x v="14"/>
    <s v="SECR"/>
    <x v="5"/>
    <d v="2019-01-12T00:00:00"/>
    <n v="272"/>
    <x v="0"/>
    <s v="M-U7D2S04V.005,_x000a_MO-U7F2S240.005"/>
    <d v="2021-07-02T00:00:00"/>
    <s v="UAT2Y440.012"/>
    <d v="2021-07-02T00:00:00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079"/>
    <s v="HLC-B"/>
    <s v="STB7K0273HLCD"/>
    <x v="14"/>
    <s v="SECR"/>
    <x v="5"/>
    <d v="2019-01-12T00:00:00"/>
    <n v="273"/>
    <x v="0"/>
    <s v="M-U7D2S04V.005,_x000a_MO-U7F2S240.005"/>
    <d v="2021-07-02T00:00:00"/>
    <s v="UAT2Y440.012"/>
    <d v="2021-07-02T00:00:00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089"/>
    <s v="HLC-A"/>
    <s v="STB8K0282HLCD"/>
    <x v="14"/>
    <s v="SECR"/>
    <x v="5"/>
    <d v="2019-02-20T00:00:00"/>
    <n v="282"/>
    <x v="0"/>
    <s v="M-U7D2S04V.005,_x000a_MO-U7F2S240.005"/>
    <d v="2021-05-17T00:00:00"/>
    <s v="UAT2Y440.012"/>
    <d v="2021-05-17T00:00:00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089"/>
    <s v="HLC-B"/>
    <s v="STB6K0260HLCD"/>
    <x v="14"/>
    <s v="SECR"/>
    <x v="5"/>
    <d v="2019-02-20T00:00:00"/>
    <n v="260"/>
    <x v="0"/>
    <s v="M-U7D2S04V.005,_x000a_MO-U7F2S240.005"/>
    <d v="2021-05-17T00:00:00"/>
    <s v="UAT2Y440.012"/>
    <d v="2021-05-17T00:00:00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091"/>
    <s v="HLC-A"/>
    <s v="STB8K0280HLCD"/>
    <x v="14"/>
    <s v="SECR"/>
    <x v="5"/>
    <d v="2019-02-21T00:00:00"/>
    <n v="280"/>
    <x v="0"/>
    <s v="RJ0D04.005"/>
    <s v=" "/>
    <s v=" "/>
    <s v=" 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091"/>
    <s v="HLC-B"/>
    <s v="STB8K0281HLCD"/>
    <x v="14"/>
    <s v="SECR"/>
    <x v="5"/>
    <d v="2019-02-21T00:00:00"/>
    <n v="281"/>
    <x v="0"/>
    <s v="RJ0D04.005"/>
    <s v=" "/>
    <s v=" "/>
    <s v=" 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095"/>
    <s v="HLC-A"/>
    <s v="STB7K0278HLCD"/>
    <x v="14"/>
    <s v="SECR"/>
    <x v="5"/>
    <d v="2019-02-26T00:00:00"/>
    <n v="278"/>
    <x v="0"/>
    <s v="M-U7D2S04V.005,_x000a_MO-U7F2S240.005"/>
    <d v="2021-06-01T00:00:00"/>
    <s v=" "/>
    <s v=" 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095"/>
    <s v="HLC-B"/>
    <s v="STB5K0230HLCD"/>
    <x v="14"/>
    <s v="SECR"/>
    <x v="5"/>
    <d v="2019-02-26T00:00:00"/>
    <n v="230"/>
    <x v="0"/>
    <s v="M-U7D2S04V.005,_x000a_MO-U7F2S240.005"/>
    <d v="2021-06-01T00:00:00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7119"/>
    <s v="HLC-A"/>
    <s v="STBNK0322HLCD"/>
    <x v="14"/>
    <s v="SECR"/>
    <x v="5"/>
    <d v="2019-03-20T00:00:00"/>
    <n v="322"/>
    <x v="0"/>
    <s v="S7Q1G04V.005"/>
    <s v=" "/>
    <s v="UAT2Y440.012"/>
    <d v="2020-12-22T00:00:00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119"/>
    <s v="HLC-B"/>
    <s v="STB1L0401HLCD"/>
    <x v="14"/>
    <s v="SECR"/>
    <x v="5"/>
    <d v="2019-03-20T00:00:00"/>
    <n v="401"/>
    <x v="0"/>
    <s v="S7Q1G04V.005"/>
    <s v=" "/>
    <s v="UAT2Y440.012"/>
    <d v="2020-12-22T00:00:00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135"/>
    <s v="HLC-A"/>
    <s v="STBNK0327HLCD"/>
    <x v="14"/>
    <s v="SECR"/>
    <x v="5"/>
    <d v="2019-03-29T00:00:00"/>
    <n v="327"/>
    <x v="0"/>
    <s v="Q9J1Z04V.005"/>
    <s v=" "/>
    <s v="UAT2Y440.012"/>
    <d v="2020-12-25T00:00:00"/>
    <s v=" "/>
    <s v=" "/>
    <s v=" "/>
    <s v="Conv-A DONE"/>
    <s v="Conv-A DONE"/>
    <s v="Conv-A DONE"/>
    <s v=" "/>
    <s v=" "/>
    <s v=" "/>
    <s v=" "/>
    <s v=" "/>
    <s v=" "/>
    <s v=" "/>
    <s v=" "/>
    <s v=" "/>
  </r>
  <r>
    <s v=" "/>
    <n v="37135"/>
    <s v="HLC-B"/>
    <s v="STB1L0409HLCD"/>
    <x v="14"/>
    <s v="SECR"/>
    <x v="5"/>
    <d v="2019-03-29T00:00:00"/>
    <n v="409"/>
    <x v="0"/>
    <s v="Q9J1Z04V.005"/>
    <s v=" "/>
    <s v="UAT2Y440.012"/>
    <d v="2020-12-25T00:00:00"/>
    <s v=" "/>
    <s v=" "/>
    <s v=" "/>
    <s v="Conv-B DONE"/>
    <s v="Conv-B DONE"/>
    <s v="Conv-B DONE"/>
    <s v=" "/>
    <s v=" "/>
    <s v=" "/>
    <s v=" "/>
    <s v=" "/>
    <s v=" "/>
    <s v=" "/>
    <s v=" "/>
    <s v=" "/>
  </r>
  <r>
    <s v=" "/>
    <n v="37138"/>
    <s v="HLC-A"/>
    <s v="STB1L0406HLCD"/>
    <x v="14"/>
    <s v="SECR"/>
    <x v="5"/>
    <d v="2019-04-15T00:00:00"/>
    <n v="406"/>
    <x v="0"/>
    <s v="Q9J1Z04V.005"/>
    <s v=" "/>
    <s v="UAT2Y440.012"/>
    <d v="2021-01-14T00:00:00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138"/>
    <s v="HLC-B"/>
    <s v="STB1L0407HLCD"/>
    <x v="14"/>
    <s v="SECR"/>
    <x v="5"/>
    <d v="2019-04-15T00:00:00"/>
    <n v="407"/>
    <x v="0"/>
    <s v="Q9J1Z04V.005"/>
    <s v=" "/>
    <s v="UAT2Y440.012"/>
    <d v="2021-01-14T00:00:00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186"/>
    <s v="HLC-A"/>
    <s v="STB2L0432HLCD"/>
    <x v="14"/>
    <s v="SECR"/>
    <x v="5"/>
    <d v="2019-05-26T00:00:00"/>
    <n v="432"/>
    <x v="0"/>
    <s v=" "/>
    <s v=" "/>
    <s v="UAT2Y440.012"/>
    <d v="2020-12-16T00:00:00"/>
    <s v=" "/>
    <s v=" "/>
    <s v=" "/>
    <s v="Conv-A DONE"/>
    <s v="Conv-A DONE"/>
    <s v="Conv-A DONE"/>
    <s v=" "/>
    <s v=" "/>
    <s v=" "/>
    <s v=" "/>
    <s v=" "/>
    <s v=" "/>
    <s v=" "/>
    <s v=" "/>
    <s v=" "/>
  </r>
  <r>
    <s v=" "/>
    <n v="37186"/>
    <s v="HLC-B"/>
    <s v="STB2L0433HLCD"/>
    <x v="14"/>
    <s v="SECR"/>
    <x v="5"/>
    <d v="2019-05-26T00:00:00"/>
    <n v="433"/>
    <x v="0"/>
    <s v="S7Q1G04V.005"/>
    <s v=" "/>
    <s v="UAT2Y440.012"/>
    <d v="2020-12-16T00:00:00"/>
    <s v=" "/>
    <s v=" "/>
    <s v=" "/>
    <s v="Conv-B DONE"/>
    <s v="Conv-B DONE"/>
    <s v="Conv-B DONE"/>
    <s v=" "/>
    <s v=" "/>
    <s v=" "/>
    <s v=" "/>
    <s v=" "/>
    <s v=" "/>
    <s v=" "/>
    <s v=" "/>
    <s v=" "/>
  </r>
  <r>
    <s v=" "/>
    <n v="37516"/>
    <s v="HLC-A"/>
    <s v="STB6M0834HLCD"/>
    <x v="14"/>
    <s v="SECR"/>
    <x v="5"/>
    <d v="2020-12-29T00:00:00"/>
    <n v="834"/>
    <x v="0"/>
    <s v="S7Q1G04V.005"/>
    <s v=" "/>
    <s v="UAT2Y440.012"/>
    <d v="2020-12-18T00:00:00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16"/>
    <s v="HLC-B"/>
    <s v="STB6M0843HLCD"/>
    <x v="14"/>
    <s v="SECR"/>
    <x v="5"/>
    <d v="2020-12-29T00:00:00"/>
    <n v="843"/>
    <x v="0"/>
    <s v="S7Q1G04V.005"/>
    <s v=" "/>
    <s v="UAT2Y440.012"/>
    <d v="2020-12-18T00:00:00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18"/>
    <s v="HLC-A"/>
    <s v="STB8M0969"/>
    <x v="14"/>
    <s v="SECR"/>
    <x v="5"/>
    <d v="2020-12-31T00:00:00"/>
    <n v="969"/>
    <x v="0"/>
    <s v="M-U7D2S04V.005,_x000a_MO-U7F2S240.005"/>
    <s v="Done by NW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18"/>
    <s v="HLC-B"/>
    <s v="STB5M0787"/>
    <x v="14"/>
    <s v="SECR"/>
    <x v="5"/>
    <d v="2020-12-31T00:00:00"/>
    <n v="787"/>
    <x v="0"/>
    <s v=" "/>
    <s v=" 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9005"/>
    <s v="HLC-A"/>
    <s v="STB3K0209HLCD"/>
    <x v="14"/>
    <s v="SECR"/>
    <x v="5"/>
    <d v="2019-05-25T00:00:00"/>
    <n v="209"/>
    <x v="0"/>
    <s v="RJ0D04.005"/>
    <s v=" "/>
    <s v="UAT2Y440.012"/>
    <d v="2020-12-08T00:00:00"/>
    <s v=" 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9005"/>
    <s v="HLC-B"/>
    <s v="STB3K0208HLCD"/>
    <x v="14"/>
    <s v="SECR"/>
    <x v="5"/>
    <d v="2019-05-25T00:00:00"/>
    <n v="208"/>
    <x v="0"/>
    <s v="Q9J1Z04V.005"/>
    <s v=" "/>
    <s v="UAT2Y440.012"/>
    <d v="2020-12-08T00:00:00"/>
    <s v=" 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9092"/>
    <s v="HLC-A"/>
    <s v="STB5L0532HLCD"/>
    <x v="14"/>
    <s v="SECR"/>
    <x v="5"/>
    <d v="2019-08-30T00:00:00"/>
    <n v="532"/>
    <x v="0"/>
    <s v="Q9J1Z04V.005"/>
    <s v=" "/>
    <s v="UAT2Y440.012"/>
    <d v="2021-03-18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092"/>
    <s v="HLC-B"/>
    <s v="STB5L0538HLCD"/>
    <x v="14"/>
    <s v="SECR"/>
    <x v="5"/>
    <d v="2019-08-30T00:00:00"/>
    <n v="538"/>
    <x v="0"/>
    <s v="S7Q1G04V.005"/>
    <s v=" "/>
    <s v="UAT2Y440.012"/>
    <d v="2020-12-16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35"/>
    <s v="HLC-A"/>
    <s v="STBOL0662HLCD"/>
    <x v="14"/>
    <s v="SECR"/>
    <x v="5"/>
    <d v="2020-03-09T00:00:00"/>
    <n v="662"/>
    <x v="0"/>
    <s v="M-U7D2S04V.005,_x000a_MO-U7F2S240.005"/>
    <d v="2021-05-15T00:00:00"/>
    <s v="UAT2Y440.012"/>
    <d v="2021-05-15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135"/>
    <s v="HLC-B"/>
    <s v="STBOL0650HLCD"/>
    <x v="14"/>
    <s v="SECR"/>
    <x v="5"/>
    <d v="2020-03-09T00:00:00"/>
    <n v="650"/>
    <x v="0"/>
    <s v="M-U7D2S04V.005,_x000a_MO-U7F2S240.005"/>
    <d v="2021-05-15T00:00:00"/>
    <s v="UAT2Y440.012"/>
    <d v="2021-05-15T00:00:00"/>
    <s v=" "/>
    <s v=" "/>
    <s v="Done by NW"/>
    <s v="Conv-B DONE"/>
    <s v="Conv-B DONE"/>
    <s v="Conv-B DONE"/>
    <s v=" "/>
    <s v=" "/>
    <s v=" "/>
    <s v=" "/>
    <s v=" "/>
    <s v=" "/>
    <s v=" "/>
    <s v=" "/>
    <s v=" "/>
  </r>
  <r>
    <s v=" "/>
    <n v="30530"/>
    <s v="HLC-A"/>
    <s v="STB6H0065HLCC"/>
    <x v="8"/>
    <s v="ECR"/>
    <x v="5"/>
    <d v="2017-03-30T00:00:00"/>
    <n v="65"/>
    <x v="1"/>
    <s v="Q9J1Z04V.005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530"/>
    <s v="HLC-B"/>
    <s v="STB6H0058HLCC"/>
    <x v="8"/>
    <s v="ECR"/>
    <x v="5"/>
    <d v="2017-03-30T00:00:00"/>
    <n v="58"/>
    <x v="1"/>
    <s v="Q9J1Z04V.005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544"/>
    <s v="HLC-A"/>
    <s v="STB9H0084HLCC"/>
    <x v="8"/>
    <s v="ECR"/>
    <x v="5"/>
    <d v="2017-05-24T00:00:00"/>
    <n v="84"/>
    <x v="1"/>
    <s v=" 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544"/>
    <s v="HLC-B"/>
    <s v="STB9H0089HLCC"/>
    <x v="8"/>
    <s v="ECR"/>
    <x v="5"/>
    <d v="2017-05-24T00:00:00"/>
    <n v="89"/>
    <x v="1"/>
    <s v=" 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711"/>
    <s v="HLC-A"/>
    <s v="STBOK0292HLCD"/>
    <x v="15"/>
    <s v="ECR"/>
    <x v="5"/>
    <s v=" "/>
    <n v="292"/>
    <x v="0"/>
    <s v="U7D2S04V.005"/>
    <d v="2021-06-03T00:00:00"/>
    <s v="UAT2Y440.012"/>
    <d v="2021-02-23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0711"/>
    <s v="HLC-B"/>
    <s v="STBOK0293HLCD"/>
    <x v="15"/>
    <s v="ECR"/>
    <x v="5"/>
    <s v=" "/>
    <n v="293"/>
    <x v="0"/>
    <s v="U7D2S04V.005"/>
    <d v="2021-06-03T00:00:00"/>
    <s v="UAT2Y440.012"/>
    <d v="2021-02-23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0723"/>
    <s v="HLC-A"/>
    <s v="STB4K0226HLCD"/>
    <x v="15"/>
    <s v="ECR"/>
    <x v="5"/>
    <s v=" "/>
    <n v="226"/>
    <x v="0"/>
    <s v="Q9J1Z04V.005"/>
    <s v=" "/>
    <s v="UAT2Y440.012"/>
    <d v="2021-02-22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m/>
    <n v="30723"/>
    <s v="HLC-B"/>
    <m/>
    <x v="15"/>
    <m/>
    <x v="1"/>
    <m/>
    <m/>
    <x v="2"/>
    <m/>
    <m/>
    <m/>
    <m/>
    <m/>
    <m/>
    <m/>
    <m/>
    <m/>
    <m/>
    <m/>
    <m/>
    <m/>
    <m/>
    <m/>
    <m/>
    <m/>
    <m/>
    <m/>
  </r>
  <r>
    <s v=" "/>
    <n v="37071"/>
    <s v="HLC-A"/>
    <s v="STB8K0288HLCD"/>
    <x v="15"/>
    <s v="ECR"/>
    <x v="5"/>
    <d v="2018-12-28T00:00:00"/>
    <n v="288"/>
    <x v="0"/>
    <s v="M-U7D2S04V.005,_x000a_MO-U7F2S240.005"/>
    <s v="Done"/>
    <s v="UAT2Y440.012"/>
    <d v="2021-02-23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071"/>
    <s v="HLC-B"/>
    <s v="STB8K0289HLCD"/>
    <x v="15"/>
    <s v="ECR"/>
    <x v="5"/>
    <d v="2018-12-28T00:00:00"/>
    <n v="289"/>
    <x v="0"/>
    <s v="M-U7D2S04V.005,_x000a_MO-U7F2S240.005"/>
    <s v="Done"/>
    <s v="UAT2Y440.012"/>
    <d v="2021-02-23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092"/>
    <s v="HLC-A"/>
    <s v="STB8K0283HLCD"/>
    <x v="15"/>
    <s v="ECR"/>
    <x v="5"/>
    <d v="2019-02-22T00:00:00"/>
    <n v="283"/>
    <x v="0"/>
    <s v="M-U7D2S04V.005,_x000a_MO-U7F2S240.005"/>
    <d v="2021-05-17T00:00:00"/>
    <s v="UAT2Y440.012"/>
    <d v="2021-02-20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092"/>
    <s v="HLC-B"/>
    <s v="STB6K0261HLCD"/>
    <x v="15"/>
    <s v="ECR"/>
    <x v="5"/>
    <d v="2019-02-22T00:00:00"/>
    <n v="261"/>
    <x v="0"/>
    <s v="M-U7D2S04V.005,_x000a_MO-U7F2S240.005"/>
    <d v="2021-05-17T00:00:00"/>
    <s v="UAT2Y440.012"/>
    <d v="2021-02-20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094"/>
    <s v="HLC-A"/>
    <s v="STB8K0287HLCD"/>
    <x v="15"/>
    <s v="ECR"/>
    <x v="5"/>
    <d v="2019-02-24T00:00:00"/>
    <n v="287"/>
    <x v="0"/>
    <s v="M-U7D2S04V.005,_x000a_MO-U7F2S240.005"/>
    <d v="2021-05-13T00:00:00"/>
    <s v="UAT2Y440.012"/>
    <d v="2021-04-07T00:00:00"/>
    <d v="2021-04-07T00:00:00"/>
    <s v=" "/>
    <s v=" "/>
    <s v=" "/>
    <s v="Conv-A DONE"/>
    <s v=" "/>
    <s v=" "/>
    <s v=" "/>
    <s v=" "/>
    <s v=" "/>
    <s v=" "/>
    <s v=" "/>
    <s v=" "/>
    <s v=" "/>
    <s v=" "/>
  </r>
  <r>
    <s v=" "/>
    <n v="37094"/>
    <s v="HLC-B"/>
    <s v="STB5K0233HLCD"/>
    <x v="15"/>
    <s v="ECR"/>
    <x v="5"/>
    <d v="2019-02-24T00:00:00"/>
    <n v="233"/>
    <x v="0"/>
    <s v="M-U7D2S04V.005,_x000a_MO-U7F2S240.005"/>
    <d v="2021-05-13T00:00:00"/>
    <s v="UAT2Y440.012"/>
    <d v="2021-04-07T00:00:00"/>
    <d v="2021-04-07T00:00:00"/>
    <s v=" "/>
    <s v=" "/>
    <s v=" "/>
    <s v="Conv-B DONE"/>
    <s v=" "/>
    <s v=" "/>
    <s v=" "/>
    <s v=" "/>
    <s v=" "/>
    <s v=" "/>
    <s v=" "/>
    <s v=" "/>
    <s v=" "/>
    <s v=" "/>
  </r>
  <r>
    <s v=" "/>
    <n v="37098"/>
    <s v="HLC-A"/>
    <s v="STBOK0275HLCD"/>
    <x v="15"/>
    <s v="ECR"/>
    <x v="5"/>
    <d v="2019-02-27T00:00:00"/>
    <n v="275"/>
    <x v="0"/>
    <s v="U7D2S04V.005"/>
    <d v="2021-06-27T00:00:00"/>
    <s v="UAT2Y440.012"/>
    <d v="2021-03-05T00:00:00"/>
    <d v="2021-04-10T00:00:00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098"/>
    <s v="HLC-B"/>
    <s v="STB7K0274HLCD"/>
    <x v="15"/>
    <s v="ECR"/>
    <x v="5"/>
    <d v="2019-02-27T00:00:00"/>
    <n v="274"/>
    <x v="0"/>
    <s v="U7D2S04V.005"/>
    <d v="2021-06-27T00:00:00"/>
    <s v="UAT2Y440.012"/>
    <d v="2021-03-05T00:00:00"/>
    <d v="2021-04-10T00:00:00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104"/>
    <s v="HLC-A"/>
    <s v="STBOK0296HLCD"/>
    <x v="15"/>
    <s v="ECR"/>
    <x v="5"/>
    <d v="2019-02-27T00:00:00"/>
    <n v="296"/>
    <x v="0"/>
    <s v="Q9J1Z04V.005"/>
    <s v=" "/>
    <s v="UAT2Y440.012"/>
    <d v="2021-03-24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04"/>
    <s v="HLC-B"/>
    <s v="STB4K0210HLCD"/>
    <x v="15"/>
    <s v="ECR"/>
    <x v="5"/>
    <d v="2019-02-27T00:00:00"/>
    <n v="210"/>
    <x v="0"/>
    <s v="S7Q1G04V.005"/>
    <s v=" "/>
    <s v="UAT2Y440.012"/>
    <d v="2021-03-24T00:00:00"/>
    <s v=" "/>
    <s v=" "/>
    <s v=" Short link  Metal "/>
    <s v="Conv-B DONE"/>
    <s v="Conv-B DONE"/>
    <s v="Conv-B DONE"/>
    <s v=" "/>
    <s v=" "/>
    <s v=" "/>
    <s v=" "/>
    <s v=" "/>
    <s v=" "/>
    <s v=" "/>
    <s v=" "/>
    <s v=" "/>
  </r>
  <r>
    <s v=" "/>
    <n v="37133"/>
    <s v="HLC-A"/>
    <s v="STBNK0333HLCD"/>
    <x v="15"/>
    <s v="ECR"/>
    <x v="5"/>
    <d v="2019-03-28T00:00:00"/>
    <n v="333"/>
    <x v="0"/>
    <s v="U7D2S04V.005"/>
    <d v="2021-06-03T00:00:00"/>
    <s v="UAT2Y440.012"/>
    <d v="2021-02-26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33"/>
    <s v="HLC-B"/>
    <s v="STB1L0408HLCD"/>
    <x v="15"/>
    <s v="ECR"/>
    <x v="5"/>
    <d v="2019-03-28T00:00:00"/>
    <n v="408"/>
    <x v="0"/>
    <s v="S7Q1G04V.005"/>
    <d v="2021-01-18T00:00:00"/>
    <s v="UAT2Y440.012"/>
    <d v="2021-02-26T00:00:00"/>
    <s v=" "/>
    <s v=" "/>
    <s v=" Short link  Metal "/>
    <s v=" "/>
    <s v="Conv-B DONE"/>
    <s v="Conv-B DONE"/>
    <s v=" "/>
    <s v="Conv-B DONE"/>
    <s v=" "/>
    <s v=" "/>
    <s v=" "/>
    <s v=" "/>
    <s v=" "/>
    <s v=" "/>
    <s v=" "/>
  </r>
  <r>
    <s v=" "/>
    <n v="37136"/>
    <s v="HLC-A"/>
    <s v="STBDK0350HLCD"/>
    <x v="15"/>
    <s v="ECR"/>
    <x v="5"/>
    <d v="2019-03-29T00:00:00"/>
    <n v="350"/>
    <x v="0"/>
    <s v="U7D2S04V.005"/>
    <d v="2021-06-07T00:00:00"/>
    <s v="UAT2Y440.012"/>
    <d v="2021-03-17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36"/>
    <s v="HLC-B"/>
    <s v="STBNK0339HLCD"/>
    <x v="15"/>
    <s v="ECR"/>
    <x v="5"/>
    <d v="2019-03-29T00:00:00"/>
    <n v="339"/>
    <x v="0"/>
    <s v="U7D2S04V.005"/>
    <d v="2021-06-07T00:00:00"/>
    <s v="UAT2Y440.012"/>
    <d v="2021-03-17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140"/>
    <s v="HLC-A"/>
    <s v="STBDK0362HLCD"/>
    <x v="15"/>
    <s v="ECR"/>
    <x v="5"/>
    <d v="2019-04-15T00:00:00"/>
    <n v="362"/>
    <x v="0"/>
    <s v="U7D2S04V.005"/>
    <d v="2021-06-25T00:00:00"/>
    <s v=" "/>
    <s v=" 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40"/>
    <s v="HLC-B"/>
    <s v="STBDK0363HLCD"/>
    <x v="15"/>
    <s v="ECR"/>
    <x v="5"/>
    <d v="2019-04-15T00:00:00"/>
    <n v="363"/>
    <x v="0"/>
    <s v="U7D2S04V.005"/>
    <d v="2021-06-25T00:00:00"/>
    <s v="UAT2Y440.012"/>
    <d v="2021-03-23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145"/>
    <s v="HLC-A"/>
    <s v="STBNK0344HLCD"/>
    <x v="15"/>
    <s v="ECR"/>
    <x v="5"/>
    <d v="2019-04-17T00:00:00"/>
    <n v="344"/>
    <x v="0"/>
    <s v="Q9J1Z04V.005"/>
    <s v=" "/>
    <s v="UAT2Y440.012"/>
    <d v="2021-01-14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45"/>
    <s v="HLC-B"/>
    <s v="STBNK0345HLCD"/>
    <x v="15"/>
    <s v="ECR"/>
    <x v="5"/>
    <d v="2019-04-17T00:00:00"/>
    <n v="345"/>
    <x v="0"/>
    <s v="S7Q1G04V.005"/>
    <s v=" "/>
    <s v="UAT2Y440.012"/>
    <d v="2021-01-14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172"/>
    <s v="HLC-A"/>
    <s v="STB2L0431HLCD"/>
    <x v="15"/>
    <s v="ECR"/>
    <x v="5"/>
    <d v="2019-05-16T00:00:00"/>
    <n v="431"/>
    <x v="0"/>
    <s v="M-U7D2S04V.005,_x000a_MO-U7F2S240.005"/>
    <d v="2021-05-05T00:00:00"/>
    <s v="UAT2Y440.012"/>
    <d v="2021-03-15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72"/>
    <s v="HLC-B"/>
    <s v="STB2L0430HLCD"/>
    <x v="15"/>
    <s v="ECR"/>
    <x v="5"/>
    <d v="2019-05-16T00:00:00"/>
    <n v="430"/>
    <x v="0"/>
    <s v="M-U7D2S04V.005,_x000a_MO-U7F2S240.005"/>
    <d v="2021-05-05T00:00:00"/>
    <s v="UAT2Y440.012"/>
    <d v="2021-03-15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173"/>
    <s v="HLC-A"/>
    <s v="STB2L0435HLCD"/>
    <x v="15"/>
    <s v="ECR"/>
    <x v="5"/>
    <d v="2019-05-16T00:00:00"/>
    <n v="435"/>
    <x v="0"/>
    <s v="M-U7D2S04V.005,_x000a_MO-U7F2S240.005"/>
    <d v="2021-05-13T00:00:00"/>
    <s v="UAT2Y440.012"/>
    <d v="2021-05-14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73"/>
    <s v="HLC-B"/>
    <s v="STB2L0429HLCD"/>
    <x v="15"/>
    <s v="ECR"/>
    <x v="5"/>
    <d v="2019-05-16T00:00:00"/>
    <n v="429"/>
    <x v="0"/>
    <s v="M-U7D2S04V.005,_x000a_MO-U7F2S240.005"/>
    <d v="2021-05-13T00:00:00"/>
    <s v="UAT2Y440.012"/>
    <d v="2021-05-14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7178"/>
    <s v="HLC-A"/>
    <s v="STB2L0414HLCD"/>
    <x v="15"/>
    <s v="ECR"/>
    <x v="5"/>
    <d v="2019-05-22T00:00:00"/>
    <n v="414"/>
    <x v="0"/>
    <s v="M-U7D2S04V.005,_x000a_MO-U7F2S240.005"/>
    <d v="2021-05-14T00:00:00"/>
    <s v="UAT2Y440.012"/>
    <d v="2021-01-30T00:00:00"/>
    <s v=" 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7178"/>
    <s v="HLC-B"/>
    <s v="STB2L0415HLCD"/>
    <x v="15"/>
    <s v="ECR"/>
    <x v="5"/>
    <d v="2019-05-22T00:00:00"/>
    <n v="415"/>
    <x v="0"/>
    <s v="M-U7D2S04V.005,_x000a_MO-U7F2S240.005"/>
    <d v="2021-05-13T00:00:00"/>
    <s v="UAT2Y440.012"/>
    <d v="2021-01-30T00:00:00"/>
    <s v=" "/>
    <s v=" "/>
    <s v=" Short link  Metal "/>
    <s v=" "/>
    <s v="Conv-B DONE"/>
    <s v="Conv-B DONE"/>
    <s v=" "/>
    <s v=" "/>
    <s v=" "/>
    <s v=" "/>
    <s v=" "/>
    <s v=" "/>
    <s v=" "/>
    <s v=" "/>
    <s v=" "/>
  </r>
  <r>
    <s v=" "/>
    <n v="37231"/>
    <s v="HLC-A"/>
    <s v="STB6L0541HLCD"/>
    <x v="16"/>
    <s v="ECR"/>
    <x v="5"/>
    <d v="2019-08-25T00:00:00"/>
    <n v="541"/>
    <x v="0"/>
    <s v="M-U7D2S04V.005,_x000a_MO-U7F2S240.005"/>
    <d v="2021-05-26T00:00:00"/>
    <s v="UAT2Y440.012"/>
    <d v="2021-02-11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231"/>
    <s v="HLC-B"/>
    <s v="STB6L0551HLCD"/>
    <x v="16"/>
    <s v="ECR"/>
    <x v="5"/>
    <d v="2019-08-25T00:00:00"/>
    <n v="551"/>
    <x v="0"/>
    <s v="M-U7D2S04V.005,_x000a_MO-U7F2S240.005"/>
    <d v="2021-05-26T00:00:00"/>
    <s v="UAT2Y440.012"/>
    <d v="2021-02-11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32"/>
    <s v="HLC-A"/>
    <s v="STB5L0540HLCD"/>
    <x v="16"/>
    <s v="ECR"/>
    <x v="5"/>
    <d v="2019-08-26T00:00:00"/>
    <n v="540"/>
    <x v="0"/>
    <s v=" "/>
    <s v=" "/>
    <s v="UAT2Y440.012"/>
    <d v="2021-04-09T00:00:00"/>
    <d v="2021-04-09T00:00:00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232"/>
    <s v="HLC-B"/>
    <s v="STB6L0547HLCD"/>
    <x v="16"/>
    <s v="ECR"/>
    <x v="5"/>
    <d v="2019-08-26T00:00:00"/>
    <n v="547"/>
    <x v="0"/>
    <s v=" "/>
    <s v=" "/>
    <s v="UAT2Y440.012"/>
    <d v="2021-04-09T00:00:00"/>
    <d v="2021-04-09T00:00:00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33"/>
    <s v="HLC-A"/>
    <s v="STB6L0546HLCD"/>
    <x v="16"/>
    <s v="ECR"/>
    <x v="5"/>
    <d v="2019-08-26T00:00:00"/>
    <n v="546"/>
    <x v="0"/>
    <s v="M-U7D2S04V.005,_x000a_MO-U7F2S240.005"/>
    <d v="2021-05-09T00:00:00"/>
    <s v=" "/>
    <s v=" 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233"/>
    <s v="HLC-B"/>
    <s v="STB6L0550HLCD"/>
    <x v="16"/>
    <s v="ECR"/>
    <x v="5"/>
    <d v="2019-08-26T00:00:00"/>
    <n v="550"/>
    <x v="0"/>
    <s v="M-U7D2S04V.005,_x000a_MO-U7F2S240.005"/>
    <d v="2021-05-09T00:00:00"/>
    <s v="UAT2Y440.012"/>
    <d v="2021-03-18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34"/>
    <s v="HLC-A"/>
    <s v="STB6L0559HLCD"/>
    <x v="16"/>
    <s v="ECR"/>
    <x v="5"/>
    <d v="2019-08-30T00:00:00"/>
    <n v="559"/>
    <x v="0"/>
    <s v="M-U7D2S04V.005,_x000a_MO-U7F2S240.005"/>
    <d v="2021-05-14T00:00:00"/>
    <s v="UAT2Y440.012"/>
    <d v="2021-05-14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234"/>
    <s v="HLC-B"/>
    <s v="STB6L0561HLCD"/>
    <x v="16"/>
    <s v="ECR"/>
    <x v="5"/>
    <d v="2019-08-30T00:00:00"/>
    <n v="561"/>
    <x v="0"/>
    <s v="M-U7D2S04V.005,_x000a_MO-U7F2S240.005"/>
    <d v="2021-05-14T00:00:00"/>
    <s v="UAT2Y440.012"/>
    <d v="2021-05-14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278"/>
    <s v="HLC-A"/>
    <s v="STB7L0601HLCD"/>
    <x v="16"/>
    <s v="ECR"/>
    <x v="5"/>
    <d v="2019-11-26T00:00:00"/>
    <n v="601"/>
    <x v="0"/>
    <s v="U7D2S04V.005"/>
    <d v="2021-06-19T00:00:00"/>
    <s v="UAT2Y440.012"/>
    <d v="2021-02-25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78"/>
    <s v="HLC-B"/>
    <s v="STB7L0602HLCD"/>
    <x v="16"/>
    <s v="ECR"/>
    <x v="5"/>
    <d v="2019-11-26T00:00:00"/>
    <n v="602"/>
    <x v="0"/>
    <s v="M-U7D2S04V.005,_x000a_MO-U7F2S240.005"/>
    <d v="2020-09-12T00:00:00"/>
    <s v="U9S2Y440.011"/>
    <s v=" "/>
    <d v="2021-04-07T00:00:00"/>
    <s v=" "/>
    <s v="Done by NW"/>
    <s v=" "/>
    <s v="Conv-B DONE"/>
    <s v=" "/>
    <s v=" "/>
    <s v=" "/>
    <s v=" "/>
    <s v=" "/>
    <s v=" "/>
    <s v=" "/>
    <s v=" "/>
    <s v=" "/>
    <s v=" "/>
  </r>
  <r>
    <s v=" "/>
    <n v="37280"/>
    <s v="HLC-A"/>
    <s v="STB7L0639HLCD"/>
    <x v="16"/>
    <s v="ECR"/>
    <x v="5"/>
    <d v="2019-11-27T00:00:00"/>
    <n v="639"/>
    <x v="0"/>
    <s v=" "/>
    <s v=" "/>
    <s v="U812Y440.010"/>
    <s v=" 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280"/>
    <s v="HLC-B"/>
    <s v="STB7L0638HLCD"/>
    <x v="16"/>
    <s v="ECR"/>
    <x v="5"/>
    <d v="2019-11-27T00:00:00"/>
    <n v="638"/>
    <x v="0"/>
    <s v=" "/>
    <s v=" "/>
    <s v="U812Y440.010"/>
    <s v=" 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82"/>
    <s v="HLC-A"/>
    <s v="STB6L0586HLCD"/>
    <x v="8"/>
    <s v="ECR"/>
    <x v="5"/>
    <d v="2019-11-28T00:00:00"/>
    <n v="586"/>
    <x v="0"/>
    <s v="M-U7D2S04V.005,_x000a_MO-U7F2S240.005"/>
    <d v="2021-05-09T00:00:00"/>
    <s v="UAT2Y440.012"/>
    <d v="2021-05-09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282"/>
    <s v="HLC-B"/>
    <s v="STB6L0571HLCD"/>
    <x v="8"/>
    <s v="ECR"/>
    <x v="5"/>
    <d v="2019-11-28T00:00:00"/>
    <n v="571"/>
    <x v="0"/>
    <s v="M-U7D2S04V.005,_x000a_MO-U7F2S240.005"/>
    <d v="2021-05-09T00:00:00"/>
    <s v="UAT2Y440.012"/>
    <d v="2021-05-09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305"/>
    <s v="HLC-A"/>
    <s v="STB7L0605HLCD"/>
    <x v="16"/>
    <s v="ECR"/>
    <x v="5"/>
    <d v="2019-12-24T00:00:00"/>
    <n v="605"/>
    <x v="0"/>
    <s v="M-U7D2S04V.005,_x000a_MO-U7F2S240.005"/>
    <d v="2021-05-15T00:00:00"/>
    <s v="UAT2Y440.012"/>
    <d v="2021-01-29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305"/>
    <s v="HLC-B"/>
    <s v="STB6L0584HLCD"/>
    <x v="16"/>
    <s v="ECR"/>
    <x v="5"/>
    <d v="2019-12-24T00:00:00"/>
    <n v="584"/>
    <x v="0"/>
    <s v="M-U7D2S04V.005,_x000a_MO-U7F2S240.005"/>
    <d v="2021-05-15T00:00:00"/>
    <s v="UAT2Y440.012"/>
    <d v="2021-03-05T00:00:00"/>
    <s v=" "/>
    <s v=" "/>
    <s v="Done by NW"/>
    <s v="Conv-B DONE"/>
    <s v="Conv-B DONE"/>
    <s v="Conv-B DONE"/>
    <s v=" "/>
    <s v=" "/>
    <s v=" "/>
    <s v=" "/>
    <s v=" "/>
    <s v=" "/>
    <s v=" "/>
    <s v=" "/>
    <s v=" "/>
  </r>
  <r>
    <s v=" "/>
    <n v="37359"/>
    <s v="HLC-A"/>
    <s v="STB7L0620HLCD"/>
    <x v="8"/>
    <s v="ECR"/>
    <x v="5"/>
    <d v="2020-05-16T00:00:00"/>
    <n v="620"/>
    <x v="0"/>
    <s v="M-U7D2S04V.005,_x000a_MO-U7F2S240.005"/>
    <d v="2021-05-14T00:00:00"/>
    <s v="UAT2Y440.012"/>
    <d v="2021-03-01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359"/>
    <s v="HLC-B"/>
    <s v="STB7L0621HLCD"/>
    <x v="8"/>
    <s v="ECR"/>
    <x v="5"/>
    <d v="2020-05-16T00:00:00"/>
    <n v="621"/>
    <x v="0"/>
    <s v="M-U7D2S04V.005,_x000a_MO-U7F2S240.005"/>
    <d v="2021-11-04T00:00:00"/>
    <s v="UAT2Y440.012"/>
    <d v="2021-03-01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384"/>
    <s v="HLC-A"/>
    <s v="STBNL0712HLCD"/>
    <x v="8"/>
    <s v="ECR"/>
    <x v="5"/>
    <d v="2020-07-10T00:00:00"/>
    <n v="712"/>
    <x v="0"/>
    <s v="M-U7D2S04V.005,_x000a_MO-U7F2S240.005"/>
    <d v="2021-03-12T00:00:00"/>
    <s v="UAT2Y440.012"/>
    <d v="2021-02-11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384"/>
    <s v="HLC-B"/>
    <s v="STB7L0599HLCD"/>
    <x v="8"/>
    <s v="ECR"/>
    <x v="5"/>
    <d v="2020-07-10T00:00:00"/>
    <n v="599"/>
    <x v="0"/>
    <s v="M-U7D2S04V.005,_x000a_MO-U7F2S240.005"/>
    <d v="2020-08-31T00:00:00"/>
    <s v="U9S2Y440.011"/>
    <s v=" "/>
    <d v="2020-09-01T00:00:00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7475"/>
    <s v="HLC-A"/>
    <s v="STB7M0892HLCD"/>
    <x v="8"/>
    <s v="ECR"/>
    <x v="5"/>
    <d v="2020-11-22T00:00:00"/>
    <n v="892"/>
    <x v="0"/>
    <s v="M-U7D2S04V.005,_x000a_MO-U7F2S240.005"/>
    <s v="Done"/>
    <s v="UAT2Y440.012"/>
    <d v="2021-03-26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475"/>
    <s v="HLC-B"/>
    <s v="STB7M0893HLCD"/>
    <x v="8"/>
    <s v="ECR"/>
    <x v="5"/>
    <d v="2020-11-22T00:00:00"/>
    <n v="893"/>
    <x v="0"/>
    <s v="M-U7D2S04V.005,_x000a_MO-U7F2S240.005"/>
    <s v="Done by NW"/>
    <s v="UAT2Y440.012"/>
    <d v="2021-03-26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24"/>
    <s v="HLC-A"/>
    <s v="STB8M0902HLCD"/>
    <x v="8"/>
    <s v="ECR"/>
    <x v="5"/>
    <d v="2021-01-27T00:00:00"/>
    <n v="902"/>
    <x v="0"/>
    <s v="M-U7D2S04V.005,_x000a_MO-U7F2S240.005"/>
    <s v="Done by NW"/>
    <s v="UAT2Y440.012"/>
    <d v="2021-02-20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524"/>
    <s v="HLC-B"/>
    <s v="STB8M0967HLCD"/>
    <x v="8"/>
    <s v="ECR"/>
    <x v="5"/>
    <d v="2021-01-27T00:00:00"/>
    <n v="967"/>
    <x v="0"/>
    <s v="M-U7D2S04V.005,_x000a_MO-U7F2S240.005"/>
    <s v="Done by NW"/>
    <s v="UAT2Y440.012"/>
    <d v="2021-02-20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30"/>
    <s v="HLC-A"/>
    <s v="STB9M0982HLCD"/>
    <x v="16"/>
    <s v="ECR"/>
    <x v="5"/>
    <d v="2021-02-06T00:00:00"/>
    <n v="982"/>
    <x v="0"/>
    <s v="M-U7D2S04V.005,_x000a_MO-U7F2S240.005"/>
    <s v="Done by NW"/>
    <s v="UAT2Y440.012"/>
    <d v="2021-03-15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530"/>
    <s v="HLC-B"/>
    <s v="STBOM1000HLCD"/>
    <x v="16"/>
    <s v="ECR"/>
    <x v="5"/>
    <d v="2021-02-06T00:00:00"/>
    <n v="1000"/>
    <x v="0"/>
    <s v="M-U7D2S04V.005,_x000a_MO-U7F2S240.005"/>
    <s v="Done by NW"/>
    <s v="UAT2Y440.012"/>
    <d v="2021-03-15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32"/>
    <s v="HLC-A"/>
    <s v="STB9M0983HLCD"/>
    <x v="16"/>
    <s v="ECR"/>
    <x v="5"/>
    <d v="2021-02-03T00:00:00"/>
    <n v="983"/>
    <x v="0"/>
    <s v="M-U7D2S04V.005,_x000a_MO-U7F2S240.005"/>
    <s v="Done by NW"/>
    <s v="UAT2Y440.012"/>
    <d v="2021-02-24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532"/>
    <s v="HLC-B"/>
    <s v="STB8M0956HLCD"/>
    <x v="16"/>
    <s v="ECR"/>
    <x v="5"/>
    <d v="2021-02-03T00:00:00"/>
    <n v="956"/>
    <x v="0"/>
    <s v="M-U7D2S04V.005,_x000a_MO-U7F2S240.005"/>
    <s v="Done by NW"/>
    <s v="UAT2Y440.012"/>
    <d v="2021-02-24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33"/>
    <s v="HLC-A"/>
    <s v="STB7M0863HLCD"/>
    <x v="8"/>
    <s v="ECR"/>
    <x v="5"/>
    <d v="2021-02-06T00:00:00"/>
    <n v="863"/>
    <x v="0"/>
    <s v="M-U7D2S04V.005,_x000a_MO-U7F2S240.005"/>
    <d v="2021-05-20T00:00:00"/>
    <s v="UAT2Y440.012"/>
    <d v="2021-05-20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533"/>
    <s v="HLC-B"/>
    <s v="STB8M0930HLCD"/>
    <x v="8"/>
    <s v="ECR"/>
    <x v="5"/>
    <d v="2021-02-06T00:00:00"/>
    <n v="930"/>
    <x v="0"/>
    <s v="M-U7D2S04V.005,_x000a_MO-U7F2S240.005"/>
    <d v="2021-05-20T00:00:00"/>
    <s v="UAT2Y440.012"/>
    <d v="2021-05-20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35"/>
    <s v="HLC-A"/>
    <s v="STB8M0912HLCD"/>
    <x v="8"/>
    <s v="ECR"/>
    <x v="5"/>
    <d v="2021-02-11T00:00:00"/>
    <n v="912"/>
    <x v="0"/>
    <s v="M-U7D2S04V.005,_x000a_MO-U7F2S240.005"/>
    <s v="Done by NW"/>
    <s v="UAT2Y440.012"/>
    <d v="2021-05-30T00:00:00"/>
    <s v=" "/>
    <s v=" "/>
    <s v="Done by NW"/>
    <s v=" "/>
    <s v="Conv-A DONE"/>
    <s v="Conv-A DONE"/>
    <s v=" "/>
    <s v=" "/>
    <s v="Done by NW"/>
    <s v=" "/>
    <s v=" "/>
    <s v=" "/>
    <s v=" "/>
    <s v=" "/>
    <s v=" "/>
  </r>
  <r>
    <s v=" "/>
    <n v="37535"/>
    <s v="HLC-B"/>
    <s v="STB8M0913HLCD"/>
    <x v="8"/>
    <s v="ECR"/>
    <x v="5"/>
    <d v="2021-02-11T00:00:00"/>
    <n v="913"/>
    <x v="0"/>
    <s v="M-U7D2S04V.005,_x000a_MO-U7F2S240.005"/>
    <s v="Done by NW"/>
    <s v="UAT2Y440.012"/>
    <d v="2021-05-30T00:00:00"/>
    <s v=" "/>
    <s v=" "/>
    <s v="Done by NW"/>
    <s v=" "/>
    <s v="Conv-B DONE"/>
    <s v="Conv-B DONE"/>
    <s v=" "/>
    <s v=" "/>
    <s v="Done by NW"/>
    <s v=" "/>
    <s v=" "/>
    <s v=" "/>
    <s v=" "/>
    <s v=" "/>
    <s v=" "/>
  </r>
  <r>
    <s v=" "/>
    <n v="37545"/>
    <s v="HLC-A"/>
    <s v="STB8M0927HLCD"/>
    <x v="8"/>
    <s v="ECR"/>
    <x v="5"/>
    <d v="2021-03-13T00:00:00"/>
    <n v="927"/>
    <x v="0"/>
    <s v="M-U7D2S04V.005,_x000a_MO-U7F2S240.005"/>
    <s v="Done by NW"/>
    <s v="UAT2Y440.012"/>
    <d v="2021-03-07T00:00:00"/>
    <s v=" "/>
    <s v=" "/>
    <s v="Done by NW"/>
    <s v="Conv-A DONE"/>
    <s v="Conv-A DONE"/>
    <s v="Conv-A DONE"/>
    <s v=" "/>
    <s v=" "/>
    <s v="Done by NW"/>
    <s v=" "/>
    <s v=" "/>
    <s v=" "/>
    <s v=" "/>
    <s v=" "/>
    <s v=" "/>
  </r>
  <r>
    <s v=" "/>
    <n v="37545"/>
    <s v="HLC-B"/>
    <s v="STB8M0945HLCD"/>
    <x v="8"/>
    <s v="ECR"/>
    <x v="5"/>
    <d v="2021-03-13T00:00:00"/>
    <n v="945"/>
    <x v="0"/>
    <s v="M-U7D2S04V.005,_x000a_MO-U7F2S240.005"/>
    <s v="Done by NW"/>
    <s v="UAT2Y440.012"/>
    <d v="2021-03-07T00:00:00"/>
    <s v=" "/>
    <s v=" "/>
    <s v="Done by NW"/>
    <s v="Conv-B DONE"/>
    <s v="Conv-B DONE"/>
    <s v="Conv-B DONE"/>
    <s v=" "/>
    <s v=" "/>
    <s v="Done by NW"/>
    <s v=" "/>
    <s v=" "/>
    <s v=" "/>
    <s v=" "/>
    <s v=" "/>
    <s v=" "/>
  </r>
  <r>
    <s v=" "/>
    <n v="37552"/>
    <s v="HLC-A"/>
    <s v="STB7M0890HLCD"/>
    <x v="8"/>
    <s v="ECR"/>
    <x v="5"/>
    <d v="2021-02-27T00:00:00"/>
    <n v="890"/>
    <x v="0"/>
    <s v="M-U7D2S04V.005,_x000a_MO-U7F2S240.005"/>
    <s v="Done"/>
    <s v="UAT2Y440.012"/>
    <d v="2021-02-11T00:00:00"/>
    <s v=" "/>
    <s v=" "/>
    <s v="Done by NW"/>
    <s v="Conv-A DONE"/>
    <s v="Conv-A DONE"/>
    <s v="Conv-A DONE"/>
    <s v=" "/>
    <s v=" "/>
    <s v="Done by NW"/>
    <s v=" "/>
    <s v=" "/>
    <s v=" "/>
    <s v=" "/>
    <s v=" "/>
    <s v=" "/>
  </r>
  <r>
    <s v=" "/>
    <n v="37552"/>
    <s v="HLC-B"/>
    <s v="STB7M0891HLCD"/>
    <x v="8"/>
    <s v="ECR"/>
    <x v="5"/>
    <d v="2021-02-27T00:00:00"/>
    <n v="891"/>
    <x v="0"/>
    <s v="S7Q1G04V.005"/>
    <s v=" "/>
    <s v="UAT2Y440.012"/>
    <d v="2021-02-11T00:00:00"/>
    <s v=" "/>
    <s v=" "/>
    <s v="Done by NW"/>
    <s v="Conv-B DONE"/>
    <s v="Conv-B DONE"/>
    <s v="Conv-B DONE"/>
    <s v=" "/>
    <s v=" "/>
    <s v="Done by NW"/>
    <s v=" "/>
    <s v=" "/>
    <s v=" "/>
    <s v=" "/>
    <s v=" "/>
    <s v=" "/>
  </r>
  <r>
    <s v=" "/>
    <n v="37576"/>
    <s v="HLC-A"/>
    <s v="STBOM1014"/>
    <x v="16"/>
    <s v="ECR"/>
    <x v="5"/>
    <d v="2021-04-07T00:00:00"/>
    <n v="1014"/>
    <x v="0"/>
    <s v="M-U7D2S04V.005,_x000a_MO-U7F2S240.005"/>
    <s v="Done by NW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76"/>
    <s v="HLC-B"/>
    <s v="STBOM1015"/>
    <x v="16"/>
    <s v="ECR"/>
    <x v="5"/>
    <d v="2021-04-07T00:00:00"/>
    <n v="1015"/>
    <x v="0"/>
    <s v="M-U7D2S04V.005,_x000a_MO-U7F2S240.005"/>
    <s v="Done by NW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9088"/>
    <s v="HLC-A"/>
    <s v="STB5L0521HLCD"/>
    <x v="16"/>
    <s v="ECR"/>
    <x v="5"/>
    <d v="2019-08-23T00:00:00"/>
    <n v="521"/>
    <x v="0"/>
    <s v="M-U7D2S04V.005,_x000a_MO-U7F2S240.005"/>
    <d v="2021-05-18T00:00:00"/>
    <s v="UAT2Y440.012"/>
    <d v="2021-03-01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088"/>
    <s v="HLC-B"/>
    <s v="STB5L0524HLCD"/>
    <x v="16"/>
    <s v="ECR"/>
    <x v="5"/>
    <d v="2019-08-23T00:00:00"/>
    <n v="524"/>
    <x v="0"/>
    <s v="M-U7D2S04V.005,_x000a_MO-U7F2S240.005"/>
    <d v="2021-05-18T00:00:00"/>
    <s v="Display not working (01-03-21)"/>
    <s v=" 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091"/>
    <s v="HLC-A"/>
    <s v="STB4L0481HLCD"/>
    <x v="16"/>
    <s v="ECR"/>
    <x v="5"/>
    <d v="2019-09-02T00:00:00"/>
    <n v="481"/>
    <x v="0"/>
    <s v="M-U7D2S04V.005,_x000a_MO-U7F2S240.005"/>
    <d v="2021-05-20T00:00:00"/>
    <s v="UAT2Y440.012"/>
    <d v="2021-05-01T00:00:00"/>
    <d v="2021-05-01T00:00:00"/>
    <s v=" "/>
    <s v=" Short link  Metal "/>
    <s v=" "/>
    <s v="Conv-A DONE"/>
    <s v="Conv-A DONE"/>
    <s v=" "/>
    <s v=" "/>
    <s v=" "/>
    <s v=" "/>
    <s v=" "/>
    <s v=" "/>
    <s v=" "/>
    <s v=" "/>
    <s v=" "/>
  </r>
  <r>
    <s v=" "/>
    <n v="39091"/>
    <s v="HLC-B"/>
    <s v="STB5L0523HLCD"/>
    <x v="16"/>
    <s v="ECR"/>
    <x v="5"/>
    <d v="2019-09-02T00:00:00"/>
    <n v="523"/>
    <x v="0"/>
    <s v="M-U7D2S04V.005,_x000a_MO-U7F2S240.005"/>
    <d v="2021-05-20T00:00:00"/>
    <s v="UAT2Y440.012"/>
    <d v="2021-05-01T00:00:00"/>
    <d v="2021-05-01T00:00:00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14"/>
    <s v="HLC-A"/>
    <s v="STB5L0535HLCD"/>
    <x v="8"/>
    <s v="ECR"/>
    <x v="5"/>
    <d v="2019-12-14T00:00:00"/>
    <n v="535"/>
    <x v="0"/>
    <s v="U7D2S04V.005"/>
    <d v="2021-06-03T00:00:00"/>
    <s v="UAT2Y440.012"/>
    <d v="2021-02-20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114"/>
    <s v="HLC-B"/>
    <s v="STB5L0534HLCD"/>
    <x v="8"/>
    <s v="ECR"/>
    <x v="5"/>
    <d v="2019-12-14T00:00:00"/>
    <n v="534"/>
    <x v="0"/>
    <s v="U7D2S04V.005"/>
    <d v="2021-06-03T00:00:00"/>
    <s v=" "/>
    <s v=" 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16"/>
    <s v="HLC-A"/>
    <s v="STB0L0674HLCD"/>
    <x v="16"/>
    <s v="ECR"/>
    <x v="5"/>
    <d v="2019-12-21T00:00:00"/>
    <n v="674"/>
    <x v="0"/>
    <s v="M-U7D2S04V.005,_x000a_MO-U7F2S240.005"/>
    <s v="Already Done"/>
    <s v="UAT2Y440.012"/>
    <d v="2021-03-05T00:00:00"/>
    <s v=" 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116"/>
    <s v="HLC-B"/>
    <s v="STB0L0673HLCD"/>
    <x v="16"/>
    <s v="ECR"/>
    <x v="5"/>
    <d v="2019-12-21T00:00:00"/>
    <n v="673"/>
    <x v="0"/>
    <s v="M-U7D2S04V.005,_x000a_MO-U7F2S240.005"/>
    <d v="2021-05-26T00:00:00"/>
    <s v="UAT2Y440.012"/>
    <d v="2021-03-05T00:00:00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27"/>
    <s v="HLC-A"/>
    <s v="STB5L0528HLCD"/>
    <x v="8"/>
    <s v="ECR"/>
    <x v="5"/>
    <d v="2020-02-04T00:00:00"/>
    <n v="528"/>
    <x v="0"/>
    <s v="M-U7D2S04V.005,_x000a_MO-U7F2S240.005"/>
    <s v="Already Done"/>
    <s v="UAT2Y440.012"/>
    <d v="2021-03-05T00:00:00"/>
    <d v="2021-04-05T00:00:00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127"/>
    <s v="HLC-B"/>
    <s v="STBOL0659HLCD"/>
    <x v="8"/>
    <s v="ECR"/>
    <x v="5"/>
    <d v="2020-02-04T00:00:00"/>
    <n v="659"/>
    <x v="0"/>
    <s v="M-U7D2S04V.005,_x000a_MO-U7F2S240.005"/>
    <s v="Already Done"/>
    <s v="Display not working 05.4.21"/>
    <s v=" "/>
    <d v="2021-04-05T00:00:00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29"/>
    <s v="HLC-A"/>
    <s v="STBOL0651HLCD"/>
    <x v="8"/>
    <s v="ECR"/>
    <x v="5"/>
    <d v="2020-02-11T00:00:00"/>
    <n v="651"/>
    <x v="0"/>
    <s v="U7D2S04V.005"/>
    <d v="2021-06-27T00:00:00"/>
    <s v="UAT2Y440.012"/>
    <d v="2021-01-13T00:00:00"/>
    <d v="2021-05-02T00:00:00"/>
    <s v=" "/>
    <s v="Done by NW"/>
    <s v=" "/>
    <s v="Conv-A DONE"/>
    <s v="Conv-A DONE"/>
    <s v=" "/>
    <s v=" "/>
    <s v=" "/>
    <s v=" "/>
    <s v=" "/>
    <s v=" "/>
    <s v=" "/>
    <s v=" "/>
    <s v=" "/>
  </r>
  <r>
    <s v=" "/>
    <n v="39129"/>
    <s v="HLC-B"/>
    <s v="STBOL0668HLCD"/>
    <x v="8"/>
    <s v="ECR"/>
    <x v="5"/>
    <d v="2020-02-11T00:00:00"/>
    <n v="668"/>
    <x v="0"/>
    <s v="U7D2S04V.005"/>
    <d v="2021-06-27T00:00:00"/>
    <s v="UAT2Y440.012"/>
    <d v="2021-01-13T00:00:00"/>
    <d v="2021-05-02T00:00:00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9134"/>
    <s v="HLC-A"/>
    <s v="STBOL0661HLCD"/>
    <x v="16"/>
    <s v="ECR"/>
    <x v="5"/>
    <d v="2020-02-28T00:00:00"/>
    <n v="661"/>
    <x v="0"/>
    <s v="M-U7D2S04V.005,_x000a_MO-U7F2S240.005"/>
    <d v="2021-05-15T00:00:00"/>
    <s v="UAT2Y440.012"/>
    <d v="2021-03-17T00:00:00"/>
    <s v=" "/>
    <s v=" "/>
    <s v="Done by NW"/>
    <s v="Conv-A DONE"/>
    <s v="Conv-A DONE"/>
    <s v="Conv-A DONE"/>
    <s v=" "/>
    <s v=" "/>
    <s v=" "/>
    <s v=" "/>
    <s v=" "/>
    <s v=" "/>
    <s v=" "/>
    <s v=" "/>
    <s v=" "/>
  </r>
  <r>
    <s v=" "/>
    <n v="39134"/>
    <s v="HLC-B"/>
    <s v="STB0L0672HLCD"/>
    <x v="16"/>
    <s v="ECR"/>
    <x v="5"/>
    <d v="2020-02-28T00:00:00"/>
    <n v="672"/>
    <x v="0"/>
    <s v="M-U7D2S04V.005,_x000a_MO-U7F2S240.005"/>
    <d v="2021-05-15T00:00:00"/>
    <s v="UAT2Y440.012"/>
    <d v="2021-03-17T00:00:00"/>
    <s v=" "/>
    <s v=" "/>
    <s v="Done by NW"/>
    <s v="Conv-B DONE"/>
    <s v="Conv-B DONE"/>
    <s v="Conv-B DONE"/>
    <s v=" "/>
    <s v=" "/>
    <s v=" "/>
    <s v=" "/>
    <s v=" "/>
    <s v=" "/>
    <s v=" "/>
    <s v=" "/>
    <s v=" "/>
  </r>
  <r>
    <s v=" "/>
    <n v="37134"/>
    <s v="HLC-A"/>
    <s v="STBOK0295 HLCD"/>
    <x v="11"/>
    <s v="ECR"/>
    <x v="5"/>
    <d v="2019-03-29T00:00:00"/>
    <n v="295"/>
    <x v="0"/>
    <s v="M-U7D2S04V.005,_x000a_MO-U7F2S240.005"/>
    <s v="Done"/>
    <s v="UAT2Y440.012"/>
    <s v="Done"/>
    <d v="2022-04-30T00:00:00"/>
    <s v=" "/>
    <s v=" "/>
    <s v=" "/>
    <s v="Conv-A DONE"/>
    <s v="Conv-A DONE"/>
    <s v=" "/>
    <s v=" "/>
    <s v=" "/>
    <s v=" "/>
    <s v=" "/>
    <s v=" "/>
    <s v=" "/>
    <s v=" "/>
    <s v=" "/>
  </r>
  <r>
    <s v=" "/>
    <n v="37134"/>
    <s v="HLC-B"/>
    <s v="STBOK0294 HLCD"/>
    <x v="11"/>
    <s v="ECR"/>
    <x v="5"/>
    <d v="2019-03-29T00:00:00"/>
    <n v="294"/>
    <x v="0"/>
    <s v="M-U7D2S04V.005,_x000a_MO-U7F2S240.005"/>
    <s v="Done"/>
    <s v="UAT2Y440.012"/>
    <s v="Done"/>
    <d v="2022-05-01T00:00:00"/>
    <s v=" "/>
    <s v=" "/>
    <s v=" "/>
    <s v="Conv-B DONE"/>
    <s v="Conv-B DONE"/>
    <s v=" "/>
    <s v=" "/>
    <s v=" "/>
    <s v=" "/>
    <s v=" "/>
    <s v=" "/>
    <s v=" "/>
    <s v=" "/>
    <s v=" "/>
  </r>
  <r>
    <s v=" "/>
    <n v="37542"/>
    <s v="HLC-A"/>
    <s v="STB8M0908"/>
    <x v="10"/>
    <s v="NER"/>
    <x v="3"/>
    <d v="2021-02-24T00:00:00"/>
    <n v="908"/>
    <x v="0"/>
    <s v="M-U7D2S04V.005,_x000a_MO-U7F2S240.005"/>
    <s v="Done by NW"/>
    <s v="UAT2Y440.012"/>
    <d v="2022-04-19T00:00:00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42"/>
    <s v="HLC-B"/>
    <s v="STB8M0822"/>
    <x v="10"/>
    <s v="NER"/>
    <x v="3"/>
    <d v="2021-02-18T00:00:00"/>
    <n v="934"/>
    <x v="0"/>
    <s v="M-U7D2S04V.005,_x000a_MO-U7F2S240.005"/>
    <s v="Done by NW"/>
    <s v="UAT2Y440.012"/>
    <d v="2022-04-19T00:00:00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0455"/>
    <s v="HLC-A"/>
    <s v="STB6F0011HLCA"/>
    <x v="17"/>
    <s v="ER"/>
    <x v="5"/>
    <d v="2016-03-30T00:00:00"/>
    <n v="11"/>
    <x v="1"/>
    <s v="M-U7D2S04V.005,_x000a_MO-U7F2S240.005"/>
    <d v="2020-11-06T00:00:00"/>
    <s v="L3I2ZY72.008"/>
    <s v="Done"/>
    <d v="2020-11-06T00:00:00"/>
    <s v=" "/>
    <s v="Conv-A DONE"/>
    <s v="Conv-A DONE"/>
    <s v="Conv-A DONE"/>
    <s v="Conv-A DONE"/>
    <s v="Conv-A DONE"/>
    <s v=" "/>
    <s v=" "/>
    <s v="OK"/>
    <s v="OK"/>
    <s v=" "/>
    <s v=" "/>
    <s v=" "/>
    <s v=" "/>
  </r>
  <r>
    <s v=" "/>
    <n v="30455"/>
    <s v="HLC-B"/>
    <s v="STB6F0010HLCA"/>
    <x v="17"/>
    <s v="ER"/>
    <x v="5"/>
    <d v="2016-03-30T00:00:00"/>
    <n v="10"/>
    <x v="1"/>
    <s v="M-U7D2S04V.005,_x000a_MO-U7F2S240.005"/>
    <d v="2020-11-06T00:00:00"/>
    <s v="L3I2ZY72.008"/>
    <s v="Done"/>
    <d v="2020-11-06T00:00:00"/>
    <s v=" "/>
    <s v="Conv-B DONE"/>
    <s v="Conv-B DONE"/>
    <s v="Conv-B DONE"/>
    <s v="Conv-B DONE"/>
    <s v="Conv-B DONE"/>
    <s v=" "/>
    <s v=" "/>
    <s v="OK"/>
    <s v="OK"/>
    <s v=" "/>
    <s v=" "/>
    <s v=" "/>
    <s v=" "/>
  </r>
  <r>
    <s v=" "/>
    <n v="30457"/>
    <s v="HLC-A"/>
    <s v="STB8F0019HLCB"/>
    <x v="17"/>
    <s v="ER"/>
    <x v="5"/>
    <d v="2016-03-21T00:00:00"/>
    <n v="19"/>
    <x v="1"/>
    <s v="RJ0D04.005"/>
    <s v=" "/>
    <s v="L3I2ZY72.008"/>
    <s v="Done"/>
    <d v="2020-07-22T00:00:00"/>
    <s v=" "/>
    <s v="Conv-A DONE"/>
    <s v="Conv-A DONE"/>
    <s v="Conv-A DONE"/>
    <s v="Conv-A DONE"/>
    <s v="Conv-A DONE"/>
    <s v=" "/>
    <s v=" "/>
    <s v="OK"/>
    <s v="OK"/>
    <s v=" "/>
    <s v=" "/>
    <s v=" "/>
    <s v=" "/>
  </r>
  <r>
    <s v=" "/>
    <n v="30457"/>
    <s v="HLC-B"/>
    <s v="STB9F0027HLCB"/>
    <x v="17"/>
    <s v="ER"/>
    <x v="5"/>
    <d v="2016-03-21T00:00:00"/>
    <n v="27"/>
    <x v="1"/>
    <s v="RJ0D04.005"/>
    <s v=" "/>
    <s v="L3I2ZY72.008"/>
    <s v="Done"/>
    <d v="2020-07-22T00:00:00"/>
    <s v=" "/>
    <s v="Conv-B DONE"/>
    <s v="Conv-B DONE"/>
    <s v="Conv-B DONE"/>
    <s v="Conv-B DONE"/>
    <s v="Conv-B DONE"/>
    <s v=" "/>
    <s v=" "/>
    <s v="OK"/>
    <s v="OK"/>
    <s v=" "/>
    <s v=" "/>
    <s v=" "/>
    <s v=" "/>
  </r>
  <r>
    <s v=" "/>
    <n v="30458"/>
    <s v="HLC-A"/>
    <s v="STB7F0014HLCB"/>
    <x v="17"/>
    <s v="ER"/>
    <x v="5"/>
    <d v="2016-04-07T00:00:00"/>
    <n v="14"/>
    <x v="1"/>
    <s v="M-U7D2S04V.005,_x000a_MO-U7F2S240.005"/>
    <d v="2020-09-10T00:00:00"/>
    <s v="L3I2ZY72.008"/>
    <s v="Done"/>
    <d v="2020-08-22T00:00:00"/>
    <s v=" "/>
    <s v="Conv-A DONE"/>
    <s v="Conv-A DONE"/>
    <s v="Conv-A DONE"/>
    <s v="Conv-A DONE"/>
    <s v="Conv-A DONE"/>
    <s v=" "/>
    <s v=" "/>
    <s v="OK"/>
    <s v="OK"/>
    <s v=" "/>
    <s v=" "/>
    <s v=" "/>
    <s v=" "/>
  </r>
  <r>
    <s v=" "/>
    <n v="30458"/>
    <s v="HLC-B"/>
    <s v="STB9F0026HLCB"/>
    <x v="17"/>
    <s v="ER"/>
    <x v="5"/>
    <d v="2016-04-07T00:00:00"/>
    <n v="26"/>
    <x v="1"/>
    <s v="M-U7D2S04V.005,_x000a_MO-U7F2S240.005"/>
    <d v="2020-09-10T00:00:00"/>
    <s v="L3I2ZY72.008"/>
    <s v="Done"/>
    <d v="2020-08-22T00:00:00"/>
    <s v=" "/>
    <s v="Conv-B DONE"/>
    <s v="Conv-B DONE"/>
    <s v="Conv-B DONE"/>
    <s v="Conv-B DONE"/>
    <s v="Conv-B DONE"/>
    <s v=" "/>
    <s v=" "/>
    <s v="OK"/>
    <s v="OK"/>
    <s v=" "/>
    <s v=" "/>
    <s v=" "/>
    <s v=" "/>
  </r>
  <r>
    <s v=" "/>
    <n v="30468"/>
    <s v="HLC-A"/>
    <s v="STB1H0052HLCB"/>
    <x v="17"/>
    <s v="ER"/>
    <x v="5"/>
    <d v="2016-04-26T00:00:00"/>
    <n v="52"/>
    <x v="1"/>
    <s v="M-U7D2S04V.005,_x000a_MO-U7F2S240.005"/>
    <d v="2020-12-16T00:00:00"/>
    <s v="L3I2ZY72.008"/>
    <s v="Done"/>
    <d v="2021-03-25T00:00:00"/>
    <s v=" "/>
    <s v="Conv-A DONE"/>
    <s v="Conv-A DONE"/>
    <s v="Conv-A DONE"/>
    <s v="Conv-A DONE"/>
    <s v="Conv-A DONE"/>
    <s v=" "/>
    <s v=" "/>
    <s v="OK"/>
    <s v="OK"/>
    <s v=" "/>
    <s v=" "/>
    <s v=" "/>
    <s v=" "/>
  </r>
  <r>
    <s v=" "/>
    <n v="30468"/>
    <s v="HLC-B"/>
    <s v="STB1H0051HLCB"/>
    <x v="17"/>
    <s v="ER"/>
    <x v="5"/>
    <d v="2016-04-26T00:00:00"/>
    <n v="51"/>
    <x v="1"/>
    <s v="M-U7D2S04V.005,_x000a_MO-U7F2S240.005"/>
    <d v="2020-12-16T00:00:00"/>
    <s v="L3I2ZY72.008"/>
    <s v="Done"/>
    <d v="2021-03-25T00:00:00"/>
    <s v=" "/>
    <s v="Conv-B DONE"/>
    <s v=" "/>
    <s v="Conv-B DONE"/>
    <s v="Conv-B DONE"/>
    <s v="Conv-B DONE"/>
    <s v=" "/>
    <s v=" "/>
    <s v="OK"/>
    <s v="OK"/>
    <s v=" "/>
    <s v=" "/>
    <s v=" "/>
    <s v=" "/>
  </r>
  <r>
    <s v=" "/>
    <n v="30469"/>
    <s v="HLC-A"/>
    <s v="STB1H0053HLCB"/>
    <x v="17"/>
    <s v="ER"/>
    <x v="5"/>
    <d v="2016-04-20T00:00:00"/>
    <n v="53"/>
    <x v="1"/>
    <s v="M-U7D2S04V.005,_x000a_MO-U7F2S240.005"/>
    <d v="2021-05-19T00:00:00"/>
    <s v="L3I2ZY72.008"/>
    <s v="Done"/>
    <d v="2020-07-06T00:00:00"/>
    <s v=" "/>
    <s v="Conv-A DONE"/>
    <s v="Conv-A DONE"/>
    <s v="Conv-A DONE"/>
    <s v="Conv-A DONE"/>
    <s v="Conv-A DONE"/>
    <s v=" "/>
    <s v=" "/>
    <s v="OK"/>
    <s v="OK"/>
    <s v=" "/>
    <s v=" "/>
    <s v=" "/>
    <s v=" "/>
  </r>
  <r>
    <s v=" "/>
    <n v="30469"/>
    <s v="HLC-B"/>
    <s v="STB1H0050HLCB"/>
    <x v="17"/>
    <s v="ER"/>
    <x v="5"/>
    <d v="2016-04-20T00:00:00"/>
    <n v="50"/>
    <x v="1"/>
    <s v="M-U7D2S04V.005,_x000a_MO-U7F2S240.005"/>
    <d v="2021-05-19T00:00:00"/>
    <s v="L3I2ZY72.008"/>
    <s v="Done"/>
    <d v="2020-07-06T00:00:00"/>
    <s v=" "/>
    <s v="Conv-B DONE"/>
    <s v="Conv-B DONE"/>
    <s v="Conv-B DONE"/>
    <s v="Conv-B DONE"/>
    <s v="Conv-B DONE"/>
    <s v=" "/>
    <s v=" "/>
    <s v="OK"/>
    <s v="OK"/>
    <s v=" "/>
    <s v=" "/>
    <s v=" "/>
    <s v=" "/>
  </r>
  <r>
    <s v=" "/>
    <n v="30478"/>
    <s v="HLC-A"/>
    <s v="STB9F0028HLCB"/>
    <x v="17"/>
    <s v="ER"/>
    <x v="5"/>
    <d v="2016-05-26T00:00:00"/>
    <n v="28"/>
    <x v="1"/>
    <s v="M-U7D2S04V.005,_x000a_MO-U7F2S240.005"/>
    <d v="2020-11-27T00:00:00"/>
    <s v="L3I2ZY72.008"/>
    <s v="Done"/>
    <d v="2021-02-27T00:00:00"/>
    <d v="2022-03-03T00:00:00"/>
    <s v=" "/>
    <s v="Conv-A DONE"/>
    <s v="Conv-A DONE"/>
    <s v="Conv-A DONE"/>
    <s v="Conv-A DONE"/>
    <s v=" "/>
    <s v=" "/>
    <s v="OK"/>
    <s v="OK"/>
    <s v=" "/>
    <s v=" "/>
    <s v=" "/>
    <s v=" "/>
  </r>
  <r>
    <s v=" "/>
    <n v="30478"/>
    <s v="HLC-B"/>
    <s v="STB9F0031HLCB"/>
    <x v="17"/>
    <s v="ER"/>
    <x v="5"/>
    <d v="2016-05-26T00:00:00"/>
    <n v="31"/>
    <x v="1"/>
    <s v="M-U7D2S04V.005,_x000a_MO-U7F2S240.005"/>
    <d v="2020-11-27T00:00:00"/>
    <s v="L3I2ZY72.008"/>
    <s v="Done"/>
    <d v="2021-02-27T00:00:00"/>
    <d v="2022-03-03T00:00:00"/>
    <s v=" "/>
    <s v="Conv-B DONE"/>
    <s v="Conv-B DONE"/>
    <s v="Conv-B DONE"/>
    <s v="Conv-B DONE"/>
    <s v=" "/>
    <s v=" "/>
    <s v="OK"/>
    <s v="OK"/>
    <s v=" "/>
    <s v=" "/>
    <s v=" "/>
    <s v=" "/>
  </r>
  <r>
    <s v=" "/>
    <n v="30487"/>
    <s v="HLC-A"/>
    <s v="STB1H0057HLCA"/>
    <x v="17"/>
    <s v="ER"/>
    <x v="5"/>
    <d v="2016-08-13T00:00:00"/>
    <n v="57"/>
    <x v="1"/>
    <s v="M-U7D2S04V.005,_x000a_MO-U7F2S240.005"/>
    <d v="2020-10-08T00:00:00"/>
    <s v="L3I2ZY72.008"/>
    <s v="Done"/>
    <d v="2021-01-20T00:00:00"/>
    <s v=" "/>
    <s v=" "/>
    <s v="Conv-A DONE"/>
    <s v="Conv-A DONE"/>
    <s v="Conv-A DONE"/>
    <s v="Conv-A DONE"/>
    <s v=" "/>
    <s v=" "/>
    <s v="OK"/>
    <s v="OK"/>
    <s v=" "/>
    <s v=" "/>
    <s v=" "/>
    <s v=" "/>
  </r>
  <r>
    <s v=" "/>
    <n v="30487"/>
    <s v="HLC-B"/>
    <s v="STB1H0056HLCA"/>
    <x v="17"/>
    <s v="ER"/>
    <x v="5"/>
    <d v="2016-08-13T00:00:00"/>
    <n v="56"/>
    <x v="1"/>
    <s v="M-U7D2S04V.005,_x000a_MO-U7F2S240.005"/>
    <d v="2020-10-08T00:00:00"/>
    <s v="L3I2ZY72.008"/>
    <s v="Done"/>
    <d v="2021-01-20T00:00:00"/>
    <s v=" "/>
    <s v=" "/>
    <s v="Conv-B DONE"/>
    <s v="Conv-B DONE"/>
    <s v="Conv-B DONE"/>
    <s v="Conv-B DONE"/>
    <s v=" "/>
    <s v=" "/>
    <s v="OK"/>
    <s v="OK"/>
    <s v=" "/>
    <s v=" "/>
    <s v=" "/>
    <s v=" "/>
  </r>
  <r>
    <s v=" "/>
    <n v="30504"/>
    <s v="HLC-A"/>
    <s v="STB8F0018HLCB"/>
    <x v="17"/>
    <s v="ER"/>
    <x v="5"/>
    <d v="2016-11-28T00:00:00"/>
    <n v="18"/>
    <x v="1"/>
    <s v="M-U7D2S04V.005,_x000a_MO-U7F2S240.005"/>
    <d v="2020-09-18T00:00:00"/>
    <s v="L3I2ZY72.008"/>
    <s v="Done"/>
    <d v="2021-03-01T00:00:00"/>
    <d v="2022-03-09T00:00:00"/>
    <s v=" "/>
    <s v="Conv-A DONE"/>
    <s v="Conv-A DONE"/>
    <s v="Conv-A DONE"/>
    <s v="Conv-A DONE"/>
    <s v=" "/>
    <s v=" "/>
    <s v="OK"/>
    <s v="OK"/>
    <s v=" "/>
    <s v=" "/>
    <s v=" "/>
    <s v=" "/>
  </r>
  <r>
    <s v=" "/>
    <n v="30504"/>
    <s v="HLC-B"/>
    <s v="STB8F0020HLCB"/>
    <x v="17"/>
    <s v="ER"/>
    <x v="5"/>
    <d v="2016-11-28T00:00:00"/>
    <n v="20"/>
    <x v="1"/>
    <s v="M-U7D2S04V.005,_x000a_MO-U7F2S240.005"/>
    <d v="2020-09-18T00:00:00"/>
    <s v="L3I2ZY72.008"/>
    <s v="Done"/>
    <d v="2021-03-01T00:00:00"/>
    <d v="2022-03-09T00:00:00"/>
    <s v=" "/>
    <s v="Conv-B DONE"/>
    <s v="Conv-B DONE"/>
    <s v="Conv-B DONE"/>
    <s v="Conv-B DONE"/>
    <s v=" "/>
    <s v=" "/>
    <s v="OK"/>
    <s v="OK"/>
    <s v=" "/>
    <s v=" "/>
    <s v=" "/>
    <s v=" "/>
  </r>
  <r>
    <s v=" "/>
    <n v="30529"/>
    <s v="HLC-A"/>
    <s v="STB7H0073HLCC"/>
    <x v="17"/>
    <s v="ER"/>
    <x v="5"/>
    <d v="2017-03-21T00:00:00"/>
    <n v="73"/>
    <x v="1"/>
    <s v="M-U7D2S04V.005,_x000a_MO-U7F2S240.005"/>
    <d v="2020-08-18T00:00:00"/>
    <s v="UAT2Y440.012"/>
    <d v="2020-12-22T00:00:00"/>
    <d v="2020-12-23T00:00:00"/>
    <d v="2022-03-11T00:00:00"/>
    <s v=" "/>
    <s v="Conv-A DONE"/>
    <s v="Conv-A DONE"/>
    <s v="Conv-A DONE"/>
    <s v="Conv-A DONE"/>
    <s v=" "/>
    <s v=" "/>
    <s v="OK"/>
    <s v="OK"/>
    <s v=" "/>
    <s v=" "/>
    <s v=" "/>
    <s v=" "/>
  </r>
  <r>
    <s v=" "/>
    <n v="30529"/>
    <s v="HLC-B"/>
    <s v="STB8H0075HLCC"/>
    <x v="17"/>
    <s v="ER"/>
    <x v="5"/>
    <d v="2017-03-21T00:00:00"/>
    <n v="75"/>
    <x v="1"/>
    <s v="M-U7D2S04V.005,_x000a_MO-U7F2S240.005"/>
    <d v="2020-08-18T00:00:00"/>
    <s v="UAT2Y440.012"/>
    <d v="2020-12-22T00:00:00"/>
    <d v="2020-12-23T00:00:00"/>
    <d v="2022-03-11T00:00:00"/>
    <s v=" "/>
    <s v="Conv-B DONE"/>
    <s v="Conv-B DONE"/>
    <s v="Conv-B DONE"/>
    <s v="Conv-B DONE"/>
    <s v=" "/>
    <s v=" "/>
    <s v="OK"/>
    <s v="OK"/>
    <s v=" "/>
    <s v=" "/>
    <s v=" "/>
    <s v=" "/>
  </r>
  <r>
    <s v=" "/>
    <n v="30621"/>
    <s v="HLC-A"/>
    <s v="STB7J0128HLCD"/>
    <x v="17"/>
    <s v="ER"/>
    <x v="5"/>
    <d v="2017-12-12T00:00:00"/>
    <n v="128"/>
    <x v="0"/>
    <s v="M-U7D2S04V.005,_x000a_MO-U7F2S240.005"/>
    <d v="2020-10-01T00:00:00"/>
    <s v="UAT2Y440.012"/>
    <d v="2020-12-21T00:00:00"/>
    <d v="2020-11-21T00:00:00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0621"/>
    <s v="HLC-B"/>
    <s v="STB9J0162HLCD"/>
    <x v="17"/>
    <s v="ER"/>
    <x v="5"/>
    <d v="2017-12-12T00:00:00"/>
    <n v="162"/>
    <x v="0"/>
    <s v="RJ0D04.005"/>
    <d v="2021-04-07T00:00:00"/>
    <s v="UAT2Y440.012"/>
    <d v="2020-12-21T00:00:00"/>
    <d v="2020-11-21T00:00:00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0806"/>
    <s v="HLC-A"/>
    <s v="STB9M0993HLCD"/>
    <x v="17"/>
    <s v="ER"/>
    <x v="5"/>
    <d v="2021-03-17T00:00:00"/>
    <n v="993"/>
    <x v="0"/>
    <s v="M-U7D2S04V.005,_x000a_MO-U7F2S240.005"/>
    <s v="Done by NW"/>
    <s v="UAT2Y440.012"/>
    <s v="Done by NW"/>
    <s v=" "/>
    <d v="2022-03-07T00:00:00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0806"/>
    <s v="HLC-B"/>
    <s v="STB9M0987HLCD"/>
    <x v="17"/>
    <s v="ER"/>
    <x v="5"/>
    <d v="2021-03-17T00:00:00"/>
    <n v="987"/>
    <x v="0"/>
    <s v="M-U7D2S04V.005,_x000a_MO-U7F2S240.005"/>
    <s v="Done by NW"/>
    <s v="UAT2Y440.012"/>
    <s v="Done by NW"/>
    <s v=" "/>
    <d v="2022-03-07T00:00:00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7005"/>
    <s v="HLC-A"/>
    <s v="STB2K0183HLCD"/>
    <x v="17"/>
    <s v="ER"/>
    <x v="5"/>
    <d v="2018-06-30T00:00:00"/>
    <n v="183"/>
    <x v="0"/>
    <s v="M-U7D2S04V.005,_x000a_MO-U7F2S240.005"/>
    <d v="2021-01-28T00:00:00"/>
    <s v="UAT2Y440.012"/>
    <d v="2020-12-08T00:00:00"/>
    <d v="2020-07-28T00:00:00"/>
    <s v=" "/>
    <s v=" "/>
    <s v="Conv-A DONE"/>
    <s v="Conv-A DONE"/>
    <s v="Conv-A DONE"/>
    <s v=" "/>
    <s v=" "/>
    <s v=" "/>
    <s v="OK"/>
    <s v="OK"/>
    <s v=" "/>
    <s v=" "/>
    <s v=" "/>
    <s v=" "/>
  </r>
  <r>
    <s v=" "/>
    <n v="37005"/>
    <s v="HLC-B"/>
    <s v="STB2K0181HLCD"/>
    <x v="17"/>
    <s v="ER"/>
    <x v="5"/>
    <d v="2018-06-30T00:00:00"/>
    <n v="181"/>
    <x v="0"/>
    <s v="M-U7D2S04V.005,_x000a_MO-U7F2S240.005"/>
    <d v="2021-01-28T00:00:00"/>
    <s v="UAT2Y440.012"/>
    <d v="2020-12-08T00:00:00"/>
    <d v="2020-07-28T00:00:00"/>
    <s v=" "/>
    <s v=" "/>
    <s v="Conv-B DONE"/>
    <s v="Conv-B DONE"/>
    <s v="Conv-B DONE"/>
    <s v=" "/>
    <s v=" "/>
    <s v=" "/>
    <s v="OK"/>
    <s v="OK"/>
    <s v=" "/>
    <s v=" "/>
    <s v=" "/>
    <s v=" "/>
  </r>
  <r>
    <s v=" "/>
    <n v="37024"/>
    <s v="HLC-A"/>
    <s v="STB3K0195HLCD"/>
    <x v="17"/>
    <s v="ER"/>
    <x v="5"/>
    <d v="2018-09-24T00:00:00"/>
    <n v="195"/>
    <x v="0"/>
    <s v="M-U7D2S04V.005,_x000a_MO-U7F2S240.005"/>
    <d v="2020-08-16T00:00:00"/>
    <s v="UAT2Y440.012"/>
    <d v="2020-12-25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024"/>
    <s v="HLC-B"/>
    <s v="STB3K0194HLCD"/>
    <x v="17"/>
    <s v="ER"/>
    <x v="5"/>
    <d v="2018-09-24T00:00:00"/>
    <n v="194"/>
    <x v="0"/>
    <s v="M-U7D2S04V.005,_x000a_MO-U7F2S240.005"/>
    <d v="2020-08-16T00:00:00"/>
    <s v="UAT2Y440.012"/>
    <d v="2020-12-25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025"/>
    <s v="HLC-A"/>
    <s v="STB2K0186HLCD"/>
    <x v="17"/>
    <s v="ER"/>
    <x v="5"/>
    <d v="2018-09-24T00:00:00"/>
    <n v="186"/>
    <x v="0"/>
    <s v="M-U7D2S04V.005,_x000a_MO-U7F2S240.005"/>
    <d v="2020-08-18T00:00:00"/>
    <s v="UAT2Y440.012"/>
    <d v="2021-01-14T00:00:00"/>
    <s v=" "/>
    <d v="2022-03-01T00:00:00"/>
    <s v=" "/>
    <s v="Conv-A DONE"/>
    <s v="Conv-A DONE"/>
    <s v="Conv-A DONE"/>
    <s v="Conv-A DONE"/>
    <s v=" "/>
    <s v=" "/>
    <s v="OK"/>
    <s v="OK"/>
    <s v=" "/>
    <s v=" "/>
    <s v=" "/>
    <s v=" "/>
  </r>
  <r>
    <s v=" "/>
    <n v="37025"/>
    <s v="HLC-B"/>
    <s v="STB2K0189HLCD"/>
    <x v="17"/>
    <s v="ER"/>
    <x v="5"/>
    <d v="2018-09-24T00:00:00"/>
    <n v="189"/>
    <x v="0"/>
    <s v="M-U7D2S04V.005,_x000a_MO-U7F2S240.005"/>
    <d v="2020-08-18T00:00:00"/>
    <s v="UAT2Y440.012"/>
    <d v="2021-04-17T00:00:00"/>
    <s v=" "/>
    <d v="2022-03-01T00:00:00"/>
    <s v=" "/>
    <s v="Conv-B DONE"/>
    <s v="Conv-B DONE"/>
    <s v="Conv-B DONE"/>
    <s v="Conv-B DONE"/>
    <s v=" "/>
    <s v=" "/>
    <s v="OK"/>
    <s v="OK"/>
    <s v=" "/>
    <s v=" "/>
    <s v=" "/>
    <s v=" "/>
  </r>
  <r>
    <s v=" "/>
    <n v="37080"/>
    <s v="HLC-A"/>
    <s v="STB7K0269HLCD"/>
    <x v="17"/>
    <s v="ER"/>
    <x v="5"/>
    <d v="2019-01-22T00:00:00"/>
    <n v="269"/>
    <x v="0"/>
    <s v="M-U7D2S04V.005,_x000a_MO-U7F2S240.005"/>
    <d v="2020-08-18T00:00:00"/>
    <s v="UAT2Y440.012"/>
    <d v="2020-12-16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080"/>
    <s v="HLC-B"/>
    <s v="STB7K0268HLCD"/>
    <x v="17"/>
    <s v="ER"/>
    <x v="5"/>
    <d v="2019-01-22T00:00:00"/>
    <n v="268"/>
    <x v="0"/>
    <s v="M-U7D2S04V.005,_x000a_MO-U7F2S240.005"/>
    <d v="2020-08-18T00:00:00"/>
    <s v="UAT2Y440.012"/>
    <d v="2020-12-16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116"/>
    <s v="HLC-A"/>
    <s v="STBDK0370HLCD"/>
    <x v="17"/>
    <s v="ER"/>
    <x v="5"/>
    <d v="2019-03-18T00:00:00"/>
    <n v="370"/>
    <x v="0"/>
    <s v="M-U7D2S04V.005,_x000a_MO-U7F2S240.005"/>
    <d v="2020-09-16T00:00:00"/>
    <s v="UAT2Y440.012"/>
    <d v="2021-03-18T00:00:00"/>
    <s v=" "/>
    <s v=" "/>
    <s v=" "/>
    <s v="Conv-A DONE"/>
    <s v="Conv-A DONE"/>
    <s v="Conv-A DONE"/>
    <s v=" "/>
    <s v=" "/>
    <s v=" "/>
    <s v="OK"/>
    <s v="OK"/>
    <s v=" "/>
    <s v=" "/>
    <s v=" "/>
    <s v=" "/>
  </r>
  <r>
    <s v=" "/>
    <n v="37116"/>
    <s v="HLC-B"/>
    <s v="STBDK0371HLCD"/>
    <x v="17"/>
    <s v="ER"/>
    <x v="5"/>
    <d v="2019-03-18T00:00:00"/>
    <n v="371"/>
    <x v="0"/>
    <s v="M-U7D2S04V.005,_x000a_MO-U7F2S240.005"/>
    <d v="2020-09-16T00:00:00"/>
    <s v="UAT2Y440.012"/>
    <d v="2020-12-16T00:00:00"/>
    <s v=" "/>
    <s v=" "/>
    <s v=" "/>
    <s v="Conv-B DONE"/>
    <s v="Conv-B DONE"/>
    <s v="Conv-B DONE"/>
    <s v=" "/>
    <s v=" "/>
    <s v=" "/>
    <s v="OK"/>
    <s v="OK"/>
    <s v=" "/>
    <s v=" "/>
    <s v=" "/>
    <s v=" "/>
  </r>
  <r>
    <s v=" "/>
    <n v="37120"/>
    <s v="HLC-A"/>
    <s v="STB2L0411HLCD"/>
    <x v="17"/>
    <s v="ER"/>
    <x v="5"/>
    <d v="2019-03-23T00:00:00"/>
    <n v="411"/>
    <x v="0"/>
    <s v="M-U7D2S04V.005,_x000a_MO-U7F2S240.005"/>
    <d v="2020-09-16T00:00:00"/>
    <s v="UAT2Y440.012"/>
    <d v="2021-01-23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120"/>
    <s v="HLC-B"/>
    <s v="STBNK0343HLCD"/>
    <x v="17"/>
    <s v="ER"/>
    <x v="5"/>
    <d v="2019-03-23T00:00:00"/>
    <n v="343"/>
    <x v="0"/>
    <s v="M-U7D2S04V.005,_x000a_MO-U7F2S240.005"/>
    <d v="2020-09-16T00:00:00"/>
    <s v="UAT2Y440.012"/>
    <d v="2021-01-03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168"/>
    <s v="HLC-A"/>
    <s v="STB2L0446HLCD"/>
    <x v="17"/>
    <s v="ER"/>
    <x v="5"/>
    <d v="2019-05-14T00:00:00"/>
    <n v="446"/>
    <x v="0"/>
    <s v="M-U7D2S04V.005,_x000a_MO-U7F2S240.005"/>
    <d v="2020-10-08T00:00:00"/>
    <s v="UAT2Y440.012"/>
    <d v="2021-04-26T00:00:00"/>
    <s v=" "/>
    <d v="2022-03-18T00:00:00"/>
    <s v=" "/>
    <s v=" "/>
    <s v="Conv-A DONE"/>
    <s v="Conv-A DONE"/>
    <s v=" "/>
    <s v=" "/>
    <s v=" "/>
    <s v="OK"/>
    <s v="OK"/>
    <s v=" "/>
    <s v=" "/>
    <s v=" "/>
    <s v=" "/>
  </r>
  <r>
    <s v=" "/>
    <n v="37168"/>
    <s v="HLC-B"/>
    <s v="STB2L0447HLCD"/>
    <x v="17"/>
    <s v="ER"/>
    <x v="5"/>
    <d v="2019-05-14T00:00:00"/>
    <n v="447"/>
    <x v="0"/>
    <s v="M-U7D2S04V.005,_x000a_MO-U7F2S240.005"/>
    <d v="2020-10-08T00:00:00"/>
    <s v="UAT2Y440.012"/>
    <d v="2020-12-18T00:00:00"/>
    <s v=" "/>
    <d v="2022-03-18T00:00:00"/>
    <s v=" "/>
    <s v=" "/>
    <s v="Conv-B DONE"/>
    <s v="Conv-B DONE"/>
    <s v=" "/>
    <s v=" "/>
    <s v=" "/>
    <s v="OK"/>
    <s v="OK"/>
    <s v=" "/>
    <s v=" "/>
    <s v=" "/>
    <s v=" "/>
  </r>
  <r>
    <s v=" "/>
    <n v="37169"/>
    <s v="HLC-A"/>
    <s v="STB2L0436HLCD"/>
    <x v="17"/>
    <s v="ER"/>
    <x v="5"/>
    <d v="2019-05-14T00:00:00"/>
    <n v="436"/>
    <x v="0"/>
    <s v="M-U7D2S04V.005,_x000a_MO-U7F2S240.005"/>
    <d v="2020-08-13T00:00:00"/>
    <s v="UAT2Y440.012"/>
    <d v="2020-12-28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169"/>
    <s v="HLC-B"/>
    <s v="STB2L0448HLCD"/>
    <x v="17"/>
    <s v="ER"/>
    <x v="5"/>
    <d v="2019-05-14T00:00:00"/>
    <n v="448"/>
    <x v="0"/>
    <s v="M-U7D2S04V.005,_x000a_MO-U7F2S240.005"/>
    <d v="2020-08-13T00:00:00"/>
    <s v="UAT2Y440.012"/>
    <d v="2020-12-08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181"/>
    <s v="HLC-A"/>
    <s v="STB4L0464HLCD"/>
    <x v="17"/>
    <s v="ER"/>
    <x v="5"/>
    <d v="2019-05-23T00:00:00"/>
    <n v="464"/>
    <x v="0"/>
    <s v="M-U7D2S04V.005,_x000a_MO-U7F2S240.005"/>
    <d v="2021-01-11T00:00:00"/>
    <s v="UAT2Y440.012"/>
    <d v="2020-12-20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181"/>
    <s v="HLC-B"/>
    <s v="STB4L0465HLCD"/>
    <x v="17"/>
    <s v="ER"/>
    <x v="5"/>
    <d v="2019-05-23T00:00:00"/>
    <n v="465"/>
    <x v="0"/>
    <s v="M-U7D2S04V.005,_x000a_MO-U7F2S240.005"/>
    <d v="2021-01-11T00:00:00"/>
    <s v="UAT2Y440.012"/>
    <d v="2020-12-20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182"/>
    <s v="HLC-A"/>
    <s v="STB4L0452HLCD"/>
    <x v="17"/>
    <s v="ER"/>
    <x v="5"/>
    <d v="2019-05-24T00:00:00"/>
    <n v="452"/>
    <x v="0"/>
    <s v="M-U7D2S04V.005,_x000a_MO-U7F2S240.005"/>
    <d v="2020-11-25T00:00:00"/>
    <s v="UAT2Y440.012"/>
    <d v="2020-12-28T00:00:00"/>
    <s v=" "/>
    <s v=" "/>
    <s v=" "/>
    <s v=" "/>
    <s v="Conv-A DONE"/>
    <s v="Conv-A DONE"/>
    <s v=" "/>
    <s v=" "/>
    <s v=" "/>
    <s v="OK"/>
    <s v="OK"/>
    <s v=" "/>
    <s v=" "/>
    <s v=" "/>
    <s v=" "/>
  </r>
  <r>
    <s v=" "/>
    <n v="37182"/>
    <s v="HLC-B"/>
    <s v="STB4L0453HLCD"/>
    <x v="17"/>
    <s v="ER"/>
    <x v="5"/>
    <d v="2019-05-24T00:00:00"/>
    <n v="453"/>
    <x v="0"/>
    <s v="M-U7D2S04V.005,_x000a_MO-U7F2S240.005"/>
    <d v="2020-11-25T00:00:00"/>
    <s v="UAT2Y440.012"/>
    <d v="2020-12-28T00:00:00"/>
    <s v=" "/>
    <s v=" "/>
    <s v=" "/>
    <s v=" "/>
    <s v="Conv-B DONE"/>
    <s v="Conv-B DONE"/>
    <s v=" "/>
    <s v=" "/>
    <s v=" "/>
    <s v="OK"/>
    <s v="OK"/>
    <s v=" "/>
    <s v=" "/>
    <s v=" "/>
    <s v=" "/>
  </r>
  <r>
    <s v=" "/>
    <n v="37185"/>
    <s v="HLC-A"/>
    <s v="STB4L0467HLCD"/>
    <x v="17"/>
    <s v="ER"/>
    <x v="5"/>
    <d v="2019-05-25T00:00:00"/>
    <n v="467"/>
    <x v="0"/>
    <s v="M-U7D2S04V.005,_x000a_MO-U7F2S240.005"/>
    <d v="2020-08-18T00:00:00"/>
    <s v="UAT2Y440.012"/>
    <d v="2021-01-21T00:00:00"/>
    <s v=" "/>
    <d v="2022-03-25T00:00:00"/>
    <s v=" "/>
    <s v=" "/>
    <s v="Conv-A DONE"/>
    <s v="Conv-A DONE"/>
    <s v=" "/>
    <s v=" "/>
    <s v=" "/>
    <s v="OK"/>
    <s v="OK"/>
    <s v=" "/>
    <s v=" "/>
    <s v=" "/>
    <s v=" "/>
  </r>
  <r>
    <s v=" "/>
    <n v="37185"/>
    <s v="HLC-B"/>
    <s v="STB4L0461HLCD"/>
    <x v="17"/>
    <s v="ER"/>
    <x v="5"/>
    <d v="2019-05-25T00:00:00"/>
    <n v="461"/>
    <x v="0"/>
    <s v="M-U7D2S04V.005,_x000a_MO-U7F2S240.005"/>
    <d v="2020-08-18T00:00:00"/>
    <s v="UAT2Y440.012"/>
    <d v="2021-01-21T00:00:00"/>
    <s v=" "/>
    <d v="2022-03-25T00:00:00"/>
    <s v=" "/>
    <s v=" "/>
    <s v="Conv-B DONE"/>
    <s v="Conv-B DONE"/>
    <s v=" "/>
    <s v=" "/>
    <s v=" "/>
    <s v="OK"/>
    <s v="OK"/>
    <s v=" "/>
    <s v=" "/>
    <s v=" "/>
    <s v=" "/>
  </r>
  <r>
    <s v=" "/>
    <n v="37244"/>
    <s v="HLC-A"/>
    <s v="STB6L0552HLCD"/>
    <x v="17"/>
    <s v="ER"/>
    <x v="5"/>
    <d v="2019-09-24T00:00:00"/>
    <n v="552"/>
    <x v="0"/>
    <s v="M-U7D2S04V.005,_x000a_MO-U7F2S240.005"/>
    <d v="2020-07-09T00:00:00"/>
    <s v="UAT2Y440.012"/>
    <d v="2020-12-23T00:00:00"/>
    <s v=" "/>
    <d v="2022-03-21T00:00:00"/>
    <s v="Done by NW"/>
    <s v=" "/>
    <s v="Conv-B DONE"/>
    <s v="Conv-B DONE"/>
    <s v=" "/>
    <s v=" "/>
    <s v=" "/>
    <s v="OK"/>
    <s v="OK"/>
    <s v=" "/>
    <s v=" "/>
    <s v=" "/>
    <s v=" "/>
  </r>
  <r>
    <s v=" "/>
    <n v="37244"/>
    <s v="HLC-B"/>
    <s v="STB6L0553HLCD"/>
    <x v="17"/>
    <s v="ER"/>
    <x v="5"/>
    <d v="2019-09-24T00:00:00"/>
    <n v="553"/>
    <x v="0"/>
    <s v="M-U7D2S04V.005,_x000a_MO-U7F2S240.005"/>
    <d v="2020-07-09T00:00:00"/>
    <s v="UAT2Y440.012"/>
    <d v="2020-12-23T00:00:00"/>
    <s v=" "/>
    <d v="2022-03-21T00:00:00"/>
    <s v="Done by NW"/>
    <s v=" "/>
    <s v="Conv-A DONE"/>
    <s v="Conv-A DONE"/>
    <s v=" "/>
    <s v=" "/>
    <s v=" "/>
    <s v="OK"/>
    <s v="OK"/>
    <s v=" "/>
    <s v=" "/>
    <s v=" "/>
    <s v=" "/>
  </r>
  <r>
    <s v=" "/>
    <n v="37246"/>
    <s v="HLC-A"/>
    <s v="STB7L0611HLCD"/>
    <x v="17"/>
    <s v="ER"/>
    <x v="5"/>
    <d v="2019-09-20T00:00:00"/>
    <n v="611"/>
    <x v="0"/>
    <s v="M-U7D2S04V.005,_x000a_MO-U7F2S240.005"/>
    <d v="2020-08-14T00:00:00"/>
    <s v="UAT2Y440.012"/>
    <d v="2020-12-15T00:00:00"/>
    <s v=" "/>
    <s v=" "/>
    <s v="Done by NW"/>
    <s v=" "/>
    <s v="Conv-A DONE"/>
    <s v="Conv-A DONE"/>
    <s v=" "/>
    <s v=" "/>
    <s v=" "/>
    <s v="OK"/>
    <s v="OK"/>
    <s v=" "/>
    <s v=" "/>
    <s v=" "/>
    <s v=" "/>
  </r>
  <r>
    <s v=" "/>
    <n v="37246"/>
    <s v="HLC-B"/>
    <s v="STB6L0577HLCD"/>
    <x v="17"/>
    <s v="ER"/>
    <x v="5"/>
    <d v="2019-09-20T00:00:00"/>
    <n v="577"/>
    <x v="0"/>
    <s v="M-U7D2S04V.005,_x000a_MO-U7F2S240.005"/>
    <d v="2020-11-12T00:00:00"/>
    <s v="UAT2Y440.012"/>
    <d v="2020-12-21T00:00:00"/>
    <s v=" "/>
    <s v=" "/>
    <s v="Done by NW"/>
    <s v=" "/>
    <s v="Conv-B DONE"/>
    <s v="Conv-B DONE"/>
    <s v=" "/>
    <s v=" "/>
    <s v=" "/>
    <s v="OK"/>
    <s v="OK"/>
    <s v=" "/>
    <s v=" "/>
    <s v=" "/>
    <s v=" "/>
  </r>
  <r>
    <s v=" "/>
    <n v="37268"/>
    <s v="HLC-A"/>
    <s v="STB7L0612HLCD"/>
    <x v="17"/>
    <s v="ER"/>
    <x v="5"/>
    <d v="2019-10-19T00:00:00"/>
    <n v="612"/>
    <x v="0"/>
    <s v="M-U7D2S04V.005,_x000a_MO-U7F2S240.005"/>
    <d v="2021-02-09T00:00:00"/>
    <s v="UAT2Y440.012"/>
    <d v="2020-12-08T00:00:00"/>
    <s v=" "/>
    <s v=" "/>
    <s v="Done by NW"/>
    <s v="Conv-B DONE"/>
    <s v="Conv-B DONE"/>
    <s v="Conv-B DONE"/>
    <s v=" "/>
    <s v=" "/>
    <s v=" "/>
    <s v="OK"/>
    <s v="OK"/>
    <s v=" "/>
    <s v=" "/>
    <s v=" "/>
    <s v=" "/>
  </r>
  <r>
    <s v=" "/>
    <n v="37268"/>
    <s v="HLC-B"/>
    <s v="STB6L0570HLCD"/>
    <x v="17"/>
    <s v="ER"/>
    <x v="5"/>
    <d v="2019-10-19T00:00:00"/>
    <n v="570"/>
    <x v="0"/>
    <s v="M-U7D2S04V.005,_x000a_MO-U7F2S240.005"/>
    <d v="2020-08-14T00:00:00"/>
    <s v="UAT2Y440.012"/>
    <d v="2020-12-15T00:00:00"/>
    <s v=" "/>
    <s v=" "/>
    <s v="Done by NW"/>
    <s v=" "/>
    <s v="Conv-B DONE"/>
    <s v="Conv-B DONE"/>
    <s v=" "/>
    <s v=" "/>
    <s v=" "/>
    <s v="OK"/>
    <s v="OK"/>
    <s v=" "/>
    <s v=" "/>
    <s v=" "/>
    <s v=" "/>
  </r>
  <r>
    <s v=" "/>
    <n v="37272"/>
    <s v="HLC-A"/>
    <s v="STB7L0644HLCD"/>
    <x v="17"/>
    <s v="ER"/>
    <x v="5"/>
    <d v="2019-10-21T00:00:00"/>
    <n v="644"/>
    <x v="0"/>
    <s v="M-U7D2S04V.005,_x000a_MO-U7F2S240.005"/>
    <d v="2021-01-03T00:00:00"/>
    <s v="UAT2Y440.012"/>
    <d v="2020-12-21T00:00:00"/>
    <s v=" "/>
    <s v=" "/>
    <s v="Done by NW"/>
    <s v=" "/>
    <s v="Conv-A DONE"/>
    <s v="Conv-A DONE"/>
    <s v=" "/>
    <s v=" "/>
    <s v=" "/>
    <s v="OK"/>
    <s v="OK"/>
    <s v=" "/>
    <s v=" "/>
    <s v=" "/>
    <s v=" "/>
  </r>
  <r>
    <s v=" "/>
    <n v="37272"/>
    <s v="HLC-B"/>
    <s v="STB7L0645HLCD"/>
    <x v="17"/>
    <s v="ER"/>
    <x v="5"/>
    <d v="2019-10-21T00:00:00"/>
    <n v="645"/>
    <x v="0"/>
    <s v="M-U7D2S04V.005,_x000a_MO-U7F2S240.005"/>
    <d v="2021-01-03T00:00:00"/>
    <s v="UAT2Y440.012"/>
    <d v="2020-12-21T00:00:00"/>
    <s v=" "/>
    <s v=" "/>
    <s v="Done by NW"/>
    <s v=" "/>
    <s v="Conv-B DONE"/>
    <s v="Conv-B DONE"/>
    <s v=" "/>
    <s v=" "/>
    <s v=" "/>
    <s v="OK"/>
    <s v="OK"/>
    <s v=" "/>
    <s v=" "/>
    <s v=" "/>
    <s v=" "/>
  </r>
  <r>
    <s v=" "/>
    <n v="37357"/>
    <s v="HLC-A"/>
    <s v="STBDL0741HLCD"/>
    <x v="17"/>
    <s v="ER"/>
    <x v="5"/>
    <d v="2020-03-21T00:00:00"/>
    <n v="741"/>
    <x v="0"/>
    <s v="M-U7D2S04V.005,_x000a_MO-U7F2S240.005"/>
    <d v="2021-02-09T00:00:00"/>
    <s v="UAT2Y440.012"/>
    <d v="2020-12-08T00:00:00"/>
    <s v=" "/>
    <d v="2022-03-27T00:00:00"/>
    <s v="Done by NW"/>
    <s v="Conv-A DONE"/>
    <s v="Conv-A DONE"/>
    <s v="Conv-A DONE"/>
    <s v=" "/>
    <s v=" "/>
    <s v=" "/>
    <s v="OK"/>
    <s v="OK"/>
    <s v=" "/>
    <s v=" "/>
    <s v=" "/>
    <s v=" "/>
  </r>
  <r>
    <s v=" "/>
    <n v="37357"/>
    <s v="HLC-B"/>
    <s v="STB7L0613HLCD"/>
    <x v="17"/>
    <s v="ER"/>
    <x v="5"/>
    <d v="2020-03-21T00:00:00"/>
    <n v="613"/>
    <x v="0"/>
    <s v="M-U7D2S04V.005,_x000a_MO-U7F2S240.005"/>
    <s v="Done"/>
    <s v="UAT2Y440.012"/>
    <s v="Done"/>
    <s v=" "/>
    <d v="2022-03-27T00:00:00"/>
    <s v="Done by NW"/>
    <s v=" "/>
    <s v=" "/>
    <s v="Conv-B DONE"/>
    <s v=" "/>
    <s v=" "/>
    <s v=" "/>
    <s v=" "/>
    <s v=" "/>
    <s v=" "/>
    <s v=" "/>
    <s v=" "/>
    <s v=" "/>
  </r>
  <r>
    <s v=" "/>
    <n v="37400"/>
    <s v="HLC-A"/>
    <s v="STB5M0794HLCD"/>
    <x v="17"/>
    <s v="ER"/>
    <x v="5"/>
    <d v="2020-07-25T00:00:00"/>
    <n v="794"/>
    <x v="0"/>
    <s v="M-U7D2S04V.005,_x000a_MO-U7F2S240.005"/>
    <d v="2021-04-04T00:00:00"/>
    <s v="U812Y440.010"/>
    <s v=" "/>
    <s v=" "/>
    <s v=" "/>
    <s v="Done by NW"/>
    <s v="Conv-A DONE"/>
    <s v="Conv-A DONE"/>
    <s v="Conv-A DONE"/>
    <s v=" "/>
    <s v=" "/>
    <s v="Done by NW"/>
    <s v="OK"/>
    <s v="OK"/>
    <s v=" "/>
    <s v=" "/>
    <s v=" "/>
    <s v=" "/>
  </r>
  <r>
    <s v=" "/>
    <n v="37400"/>
    <s v="HLC-B"/>
    <s v="STBNL0721HLCD"/>
    <x v="17"/>
    <s v="ER"/>
    <x v="5"/>
    <d v="2020-07-25T00:00:00"/>
    <n v="721"/>
    <x v="0"/>
    <s v="M-U7D2S04V.005,_x000a_MO-U7F2S240.005"/>
    <d v="2021-04-04T00:00:00"/>
    <s v="U812Y440.010"/>
    <s v=" "/>
    <s v=" "/>
    <s v=" "/>
    <s v="Done by NW"/>
    <s v="Conv-B DONE"/>
    <s v="Conv-B DONE"/>
    <s v="Conv-B DONE"/>
    <s v=" "/>
    <s v=" "/>
    <s v=" "/>
    <s v="OK"/>
    <s v="OK"/>
    <s v=" "/>
    <s v=" "/>
    <s v=" "/>
    <s v=" "/>
  </r>
  <r>
    <s v=" "/>
    <n v="37401"/>
    <s v="HLC-A"/>
    <s v="STB5M0795HLCD"/>
    <x v="17"/>
    <s v="ER"/>
    <x v="5"/>
    <d v="2020-07-27T00:00:00"/>
    <n v="795"/>
    <x v="0"/>
    <s v="Q9J1Z04V.005"/>
    <s v=" "/>
    <s v="UAT2Y440.012"/>
    <d v="2020-12-15T00:00:00"/>
    <s v=" "/>
    <s v=" "/>
    <s v="Done by NW"/>
    <s v="Conv-B DONE"/>
    <s v="Conv-B DONE"/>
    <s v="Conv-B DONE"/>
    <s v=" "/>
    <s v=" "/>
    <s v="Done by NW"/>
    <s v="OK"/>
    <s v="OK"/>
    <s v=" "/>
    <s v=" "/>
    <s v=" "/>
    <s v=" "/>
  </r>
  <r>
    <s v=" "/>
    <n v="37401"/>
    <s v="HLC-B"/>
    <s v="STB5M0797HLCD"/>
    <x v="17"/>
    <s v="ER"/>
    <x v="5"/>
    <d v="2020-07-27T00:00:00"/>
    <n v="797"/>
    <x v="0"/>
    <s v="Q9J1Z04V.005"/>
    <s v=" "/>
    <s v="UAT2Y440.012"/>
    <d v="2020-12-15T00:00:00"/>
    <s v=" "/>
    <s v=" 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403"/>
    <s v="HLC-A"/>
    <s v="STB5M0796HLCD"/>
    <x v="17"/>
    <s v="ER"/>
    <x v="5"/>
    <d v="2020-07-29T00:00:00"/>
    <n v="796"/>
    <x v="0"/>
    <s v="M-U7D2S04V.005,_x000a_MO-U7F2S240.005"/>
    <d v="2021-01-20T00:00:00"/>
    <s v="UAT2Y440.012"/>
    <d v="2020-12-15T00:00:00"/>
    <s v=" "/>
    <s v=" "/>
    <s v="Done by NW"/>
    <s v="Conv-A DONE"/>
    <s v=" "/>
    <s v="Conv-A DONE"/>
    <s v=" "/>
    <s v=" "/>
    <s v="Done by NW"/>
    <s v="OK"/>
    <s v="OK"/>
    <s v=" "/>
    <s v=" "/>
    <s v=" "/>
    <s v=" "/>
  </r>
  <r>
    <s v=" "/>
    <n v="37403"/>
    <s v="HLC-B"/>
    <s v="STB5M0793HLCD"/>
    <x v="17"/>
    <s v="ER"/>
    <x v="5"/>
    <d v="2020-07-29T00:00:00"/>
    <n v="793"/>
    <x v="0"/>
    <s v="M-U7D2S04V.005,_x000a_MO-U7F2S240.005"/>
    <d v="2021-01-20T00:00:00"/>
    <s v="UAT2Y440.012"/>
    <d v="2020-12-15T00:00:00"/>
    <s v=" "/>
    <s v=" "/>
    <s v="Done by NW"/>
    <s v="Conv-B DONE"/>
    <s v=" "/>
    <s v="Conv-B DONE"/>
    <s v=" "/>
    <s v=" "/>
    <s v="Done by NW"/>
    <s v="OK"/>
    <s v="OK"/>
    <s v=" "/>
    <s v=" "/>
    <s v=" "/>
    <s v=" "/>
  </r>
  <r>
    <s v=" "/>
    <n v="37405"/>
    <s v="HLC-A"/>
    <s v="STB5M0790HLCD"/>
    <x v="17"/>
    <s v="ER"/>
    <x v="5"/>
    <d v="2020-07-28T00:00:00"/>
    <n v="790"/>
    <x v="0"/>
    <s v="U7D2S04V.005"/>
    <d v="2021-06-21T00:00:00"/>
    <s v="UAT2Y440.012"/>
    <d v="2020-12-16T00:00:00"/>
    <s v=" "/>
    <s v=" "/>
    <s v="Done by NW"/>
    <s v="Conv-A DONE"/>
    <s v="Conv-A DONE"/>
    <s v="Conv-A DONE"/>
    <s v=" "/>
    <s v=" "/>
    <s v="Done by NW"/>
    <s v="OK"/>
    <s v="OK"/>
    <s v=" "/>
    <s v=" "/>
    <s v=" "/>
    <s v=" "/>
  </r>
  <r>
    <s v=" "/>
    <n v="37405"/>
    <s v="HLC-B"/>
    <s v="STB5M0791HLCD"/>
    <x v="17"/>
    <s v="ER"/>
    <x v="5"/>
    <d v="2020-07-28T00:00:00"/>
    <n v="791"/>
    <x v="0"/>
    <s v="M-U7D2S04V.005,_x000a_MO-U7F2S240.005"/>
    <d v="2021-02-06T00:00:00"/>
    <s v="UAT2Y440.012"/>
    <d v="2020-12-16T00:00:00"/>
    <s v=" "/>
    <s v=" "/>
    <s v="Done by NW"/>
    <s v="Conv-B DONE"/>
    <s v="Conv-B DONE"/>
    <s v="Conv-B DONE"/>
    <s v=" "/>
    <s v=" "/>
    <s v="Done by NW"/>
    <s v="OK"/>
    <s v="OK"/>
    <s v=" "/>
    <s v=" "/>
    <s v=" "/>
    <s v=" "/>
  </r>
  <r>
    <s v=" "/>
    <n v="37408"/>
    <s v="HLC-A"/>
    <s v="STB6M0855HLCD"/>
    <x v="17"/>
    <s v="ER"/>
    <x v="5"/>
    <d v="2020-08-14T00:00:00"/>
    <n v="855"/>
    <x v="0"/>
    <s v="M-U7D2S04V.005,_x000a_MO-U7F2S240.005"/>
    <d v="2021-01-12T00:00:00"/>
    <s v="UAT2Y440.012"/>
    <d v="2020-12-24T00:00:00"/>
    <s v=" "/>
    <s v=" 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408"/>
    <s v="HLC-B"/>
    <s v="STB5M0792HLCD"/>
    <x v="17"/>
    <s v="ER"/>
    <x v="5"/>
    <d v="2020-08-14T00:00:00"/>
    <n v="792"/>
    <x v="0"/>
    <s v="M-U7D2S04V.005,_x000a_MO-U7F2S240.005"/>
    <d v="2021-01-12T00:00:00"/>
    <s v="UAT2Y440.012"/>
    <d v="2020-12-24T00:00:00"/>
    <s v=" "/>
    <d v="2022-03-29T00:00:00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7430"/>
    <s v="HLC-A"/>
    <s v="STB7M0859HLCD"/>
    <x v="17"/>
    <s v="ER"/>
    <x v="5"/>
    <d v="2020-08-25T00:00:00"/>
    <n v="859"/>
    <x v="0"/>
    <s v="M-U7D2S04V.005,_x000a_MO-U7F2S240.005"/>
    <d v="2021-01-11T00:00:00"/>
    <s v="UAT2Y440.012"/>
    <d v="2020-12-04T00:00:00"/>
    <s v=" "/>
    <d v="2022-03-29T00:00:00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430"/>
    <s v="HLC-B"/>
    <s v="STB7M0858HLCD"/>
    <x v="17"/>
    <s v="ER"/>
    <x v="5"/>
    <d v="2020-08-25T00:00:00"/>
    <n v="858"/>
    <x v="0"/>
    <s v="M-U7D2S04V.005,_x000a_MO-U7F2S240.005"/>
    <d v="2021-01-11T00:00:00"/>
    <s v="UAT2Y440.012"/>
    <d v="2020-12-04T00:00:00"/>
    <s v=" "/>
    <s v=" 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7432"/>
    <s v="HLC-A"/>
    <s v="STB5M0811HLCD"/>
    <x v="17"/>
    <s v="ER"/>
    <x v="5"/>
    <d v="2020-08-25T00:00:00"/>
    <n v="811"/>
    <x v="0"/>
    <s v="M-U7D2S04V.005,_x000a_MO-U7F2S240.005"/>
    <d v="2021-01-30T00:00:00"/>
    <s v="UAT2Y440.012"/>
    <d v="2020-12-07T00:00:00"/>
    <s v=" "/>
    <s v=" 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432"/>
    <s v="HLC-B"/>
    <s v="STB5M0810HLCD"/>
    <x v="17"/>
    <s v="ER"/>
    <x v="5"/>
    <d v="2020-08-25T00:00:00"/>
    <n v="810"/>
    <x v="0"/>
    <s v="M-U7D2S04V.005,_x000a_MO-U7F2S240.005"/>
    <d v="2021-01-30T00:00:00"/>
    <s v="UAT2Y440.012"/>
    <d v="2020-12-07T00:00:00"/>
    <s v=" "/>
    <s v=" 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7452"/>
    <s v="HLC-A"/>
    <s v="STB6M0832HLCD"/>
    <x v="17"/>
    <s v="ER"/>
    <x v="5"/>
    <d v="2020-10-20T00:00:00"/>
    <n v="832"/>
    <x v="0"/>
    <s v="S7Q1G04V.005"/>
    <d v="2021-02-24T00:00:00"/>
    <s v="UAT2Y440.012"/>
    <d v="2020-12-08T00:00:00"/>
    <s v=" "/>
    <s v=" "/>
    <s v="Done by NW"/>
    <s v=" "/>
    <s v=" "/>
    <s v="Conv-A DONE"/>
    <s v=" "/>
    <s v=" "/>
    <s v="Done by NW"/>
    <s v="OK"/>
    <s v="OK"/>
    <s v=" "/>
    <s v=" "/>
    <s v=" "/>
    <s v=" "/>
  </r>
  <r>
    <s v=" "/>
    <n v="37452"/>
    <s v="HLC-B"/>
    <s v="STB6M0833HLCD"/>
    <x v="17"/>
    <s v="ER"/>
    <x v="5"/>
    <d v="2020-10-20T00:00:00"/>
    <n v="833"/>
    <x v="0"/>
    <s v="S7Q1G04V.005"/>
    <d v="2021-02-24T00:00:00"/>
    <s v="UAT2Y440.012"/>
    <d v="2020-12-08T00:00:00"/>
    <s v=" "/>
    <s v=" "/>
    <s v="Done by NW"/>
    <s v=" "/>
    <s v=" "/>
    <s v="Conv-B DONE"/>
    <s v=" "/>
    <s v=" "/>
    <s v="Done by NW"/>
    <s v="OK"/>
    <s v="OK"/>
    <s v=" "/>
    <s v=" "/>
    <s v=" "/>
    <s v=" "/>
  </r>
  <r>
    <s v=" "/>
    <n v="37456"/>
    <s v="HLC-A"/>
    <s v="STB8M0920HLCD"/>
    <x v="17"/>
    <s v="ER"/>
    <x v="5"/>
    <d v="2020-10-22T00:00:00"/>
    <n v="920"/>
    <x v="0"/>
    <s v="M-U7D2S04V.005,_x000a_MO-U7F2S240.005"/>
    <s v="Done by NW"/>
    <s v="UAT2Y440.012"/>
    <d v="2020-12-24T00:00:00"/>
    <d v="2021-04-04T00:00:00"/>
    <d v="2022-03-14T00:00:00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456"/>
    <s v="HLC-B"/>
    <s v="STB8M0921HLCD"/>
    <x v="17"/>
    <s v="ER"/>
    <x v="5"/>
    <d v="2020-10-22T00:00:00"/>
    <n v="921"/>
    <x v="0"/>
    <s v="M-U7D2S04V.005,_x000a_MO-U7F2S240.005"/>
    <s v="Done by NW"/>
    <s v="UAT2Y440.012"/>
    <d v="2020-12-24T00:00:00"/>
    <d v="2021-04-04T00:00:00"/>
    <d v="2022-03-14T00:00:00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7502"/>
    <s v="HLC-A"/>
    <s v="STB8M0952HLCD"/>
    <x v="17"/>
    <s v="ER"/>
    <x v="5"/>
    <d v="2020-12-24T00:00:00"/>
    <n v="952"/>
    <x v="0"/>
    <s v="M-U7D2S04V.005,_x000a_MO-U7F2S240.005"/>
    <s v="Done by NW"/>
    <s v="UAT2Y440.012"/>
    <s v="Done by NW"/>
    <s v=" "/>
    <s v=" "/>
    <s v="Done by NW"/>
    <s v=" "/>
    <s v="Conv-A DONE"/>
    <s v="Conv-A DONE"/>
    <s v=" "/>
    <s v=" "/>
    <s v="Done by NW"/>
    <s v="OK"/>
    <s v="OK"/>
    <s v=" "/>
    <s v=" "/>
    <s v=" "/>
    <s v=" "/>
  </r>
  <r>
    <s v=" "/>
    <n v="37502"/>
    <s v="HLC-B"/>
    <s v="STB8M0953HLCD"/>
    <x v="17"/>
    <s v="ER"/>
    <x v="5"/>
    <d v="2020-12-24T00:00:00"/>
    <n v="953"/>
    <x v="0"/>
    <s v="M-U7D2S04V.005,_x000a_MO-U7F2S240.005"/>
    <s v="Done by NW"/>
    <s v="UAT2Y440.012"/>
    <s v="Done by NW"/>
    <s v=" "/>
    <s v=" "/>
    <s v="Done by NW"/>
    <s v=" "/>
    <s v="Conv-B DONE"/>
    <s v="Conv-B DONE"/>
    <s v=" "/>
    <s v=" "/>
    <s v="Done by NW"/>
    <s v="OK"/>
    <s v="OK"/>
    <s v=" "/>
    <s v=" "/>
    <s v=" "/>
    <s v=" "/>
  </r>
  <r>
    <s v=" "/>
    <n v="39093"/>
    <s v="HLC-A"/>
    <s v="STB5L0539HLCD"/>
    <x v="17"/>
    <s v="ER"/>
    <x v="5"/>
    <d v="2019-09-16T00:00:00"/>
    <n v="539"/>
    <x v="0"/>
    <s v="M-U7D2S04V.005,_x000a_MO-U7F2S240.005"/>
    <d v="2020-11-11T00:00:00"/>
    <s v="UAT2Y440.012"/>
    <d v="2020-12-08T00:00:00"/>
    <s v=" "/>
    <s v=" "/>
    <s v="Done by NW"/>
    <s v=" "/>
    <s v="Conv-A DONE"/>
    <s v="Conv-A DONE"/>
    <s v=" "/>
    <s v=" "/>
    <s v=" "/>
    <s v="OK"/>
    <s v="OK"/>
    <s v=" "/>
    <s v=" "/>
    <s v=" "/>
    <s v=" "/>
  </r>
  <r>
    <s v=" "/>
    <n v="39093"/>
    <s v="HLC-B"/>
    <s v="STB5L0536HLCD"/>
    <x v="17"/>
    <s v="ER"/>
    <x v="5"/>
    <d v="2019-09-16T00:00:00"/>
    <n v="536"/>
    <x v="0"/>
    <s v="M-U7D2S04V.005,_x000a_MO-U7F2S240.005"/>
    <d v="2020-11-11T00:00:00"/>
    <s v="UAT2Y440.012"/>
    <d v="2020-12-08T00:00:00"/>
    <s v=" "/>
    <s v=" "/>
    <s v="Done by NW"/>
    <s v=" "/>
    <s v="Conv-B DONE"/>
    <s v="Conv-B DONE"/>
    <s v=" "/>
    <s v=" "/>
    <s v=" "/>
    <s v="OK"/>
    <s v="OK"/>
    <s v=" "/>
    <s v=" "/>
    <s v=" "/>
    <s v=" "/>
  </r>
  <r>
    <s v=" "/>
    <n v="39095"/>
    <s v="HLC-A"/>
    <s v="STB7L0590HLCD"/>
    <x v="17"/>
    <s v="ER"/>
    <x v="5"/>
    <d v="2019-09-20T00:00:00"/>
    <n v="590"/>
    <x v="0"/>
    <s v="M-U7D2S04V.005,_x000a_MO-U7F2S240.005"/>
    <d v="2021-03-01T00:00:00"/>
    <s v="UAT2Y440.012"/>
    <d v="2020-12-14T00:00:00"/>
    <d v="2021-04-01T00:00:00"/>
    <d v="2022-03-17T00:00:00"/>
    <s v="Done by NW"/>
    <s v=" "/>
    <s v="Conv-A DONE"/>
    <s v="Conv-A DONE"/>
    <s v=" "/>
    <s v=" "/>
    <s v=" "/>
    <s v="OK"/>
    <s v="OK"/>
    <s v=" "/>
    <s v=" "/>
    <s v=" "/>
    <s v=" "/>
  </r>
  <r>
    <s v=" "/>
    <n v="39095"/>
    <s v="HLC-B"/>
    <s v="STB7L0591HLCD"/>
    <x v="17"/>
    <s v="ER"/>
    <x v="5"/>
    <d v="2019-09-20T00:00:00"/>
    <n v="591"/>
    <x v="0"/>
    <s v="M-U7D2S04V.005,_x000a_MO-U7F2S240.005"/>
    <d v="2021-03-01T00:00:00"/>
    <s v="UAT2Y440.012"/>
    <d v="2020-12-14T00:00:00"/>
    <d v="2021-04-01T00:00:00"/>
    <d v="2022-03-17T00:00:00"/>
    <s v="Done by NW"/>
    <s v=" "/>
    <s v="Conv-B DONE"/>
    <s v="Conv-B DONE"/>
    <s v=" "/>
    <s v=" "/>
    <s v=" "/>
    <s v="OK"/>
    <s v="OK"/>
    <s v=" "/>
    <s v=" "/>
    <s v=" "/>
    <s v=" "/>
  </r>
  <r>
    <s v=" "/>
    <n v="39132"/>
    <s v="HLC-A"/>
    <s v="STB0L0665HLCD"/>
    <x v="17"/>
    <s v="ER"/>
    <x v="5"/>
    <d v="2020-02-28T00:00:00"/>
    <n v="665"/>
    <x v="0"/>
    <s v="M-U7D2S04V.005,_x000a_MO-U7F2S240.005"/>
    <d v="2020-09-16T00:00:00"/>
    <s v="UAT2Y440.012"/>
    <d v="2021-01-11T00:00:00"/>
    <s v=" "/>
    <s v=" "/>
    <s v="Done by NW"/>
    <s v=" "/>
    <s v="Conv-A DONE"/>
    <s v="Conv-A DONE"/>
    <s v=" "/>
    <s v=" "/>
    <s v=" "/>
    <s v="OK"/>
    <s v="OK"/>
    <s v=" "/>
    <s v=" "/>
    <s v=" "/>
    <s v=" "/>
  </r>
  <r>
    <s v=" "/>
    <n v="39132"/>
    <s v="HLC-B"/>
    <s v="STBOL0667HLCD"/>
    <x v="17"/>
    <s v="ER"/>
    <x v="5"/>
    <d v="2020-02-28T00:00:00"/>
    <n v="667"/>
    <x v="0"/>
    <s v="U7D2S04V.005"/>
    <d v="2020-09-16T00:00:00"/>
    <s v="UAT2Y440.012"/>
    <d v="2021-01-11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0586"/>
    <s v="HLC-A"/>
    <s v="STB1J0100HLCC"/>
    <x v="18"/>
    <s v="SER"/>
    <x v="5"/>
    <d v="2017-07-26T00:00:00"/>
    <n v="100"/>
    <x v="0"/>
    <s v="RJ0D04.005"/>
    <s v=" "/>
    <s v=" "/>
    <s v=" "/>
    <s v=" "/>
    <s v=" "/>
    <s v=" "/>
    <s v=" "/>
    <s v="Conv-A DONE"/>
    <s v="Conv-A DONE"/>
    <s v="Conv-A DONE"/>
    <s v=" "/>
    <s v=" "/>
    <s v=" "/>
    <s v=" "/>
    <s v=" "/>
    <s v=" "/>
    <s v=" "/>
    <s v=" "/>
  </r>
  <r>
    <s v=" "/>
    <n v="30586"/>
    <s v="HLC-B"/>
    <s v="STB1J0101HLCC"/>
    <x v="18"/>
    <s v="SER"/>
    <x v="5"/>
    <d v="2017-07-26T00:00:00"/>
    <n v="101"/>
    <x v="0"/>
    <s v="RJ0D04.005"/>
    <s v=" "/>
    <s v=" "/>
    <s v=" 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0594"/>
    <s v="HLC-A"/>
    <s v="STB7J0124HLCD"/>
    <x v="18"/>
    <s v="SER"/>
    <x v="5"/>
    <d v="2017-11-01T00:00:00"/>
    <n v="124"/>
    <x v="0"/>
    <s v="Q9J1Z04V.005"/>
    <s v=" "/>
    <s v="UAT2Y440.012"/>
    <s v="Done"/>
    <s v=" "/>
    <s v=" "/>
    <s v=" "/>
    <s v=" "/>
    <s v="Conv-A DONE"/>
    <s v="Conv-A DONE"/>
    <s v="Conv-A DONE"/>
    <s v=" "/>
    <s v=" "/>
    <s v=" "/>
    <s v=" "/>
    <s v=" "/>
    <s v=" "/>
    <s v=" "/>
    <s v=" "/>
  </r>
  <r>
    <s v=" "/>
    <n v="30594"/>
    <s v="HLC-B"/>
    <s v="STB7J0125HLCD"/>
    <x v="18"/>
    <s v="SER"/>
    <x v="5"/>
    <d v="2017-11-01T00:00:00"/>
    <n v="125"/>
    <x v="0"/>
    <s v="Q9J1Z04V.005"/>
    <s v=" "/>
    <s v="UAT2Y440.012"/>
    <s v="Done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0601"/>
    <s v="HLC-A"/>
    <s v="STB7J0122HLCD"/>
    <x v="18"/>
    <s v="SER"/>
    <x v="5"/>
    <d v="2017-10-30T00:00:00"/>
    <n v="122"/>
    <x v="0"/>
    <s v="Q9J1Z04V.005"/>
    <s v=" "/>
    <s v="UAT2Y440.012"/>
    <d v="2021-04-03T00:00:00"/>
    <s v=" "/>
    <s v=" "/>
    <s v=" "/>
    <s v=" 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0601"/>
    <s v="HLC-B"/>
    <s v="STB7J0123HLCD"/>
    <x v="18"/>
    <s v="SER"/>
    <x v="5"/>
    <d v="2017-10-30T00:00:00"/>
    <n v="123"/>
    <x v="0"/>
    <s v="Q9J1Z04V.005"/>
    <s v=" "/>
    <s v="UAT2Y440.012"/>
    <d v="2021-04-03T00:00:00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7003"/>
    <s v="HLC-A"/>
    <s v="STB1K0179HLCD"/>
    <x v="18"/>
    <s v="SER"/>
    <x v="5"/>
    <d v="2018-06-28T00:00:00"/>
    <n v="179"/>
    <x v="0"/>
    <s v="Q9J1Z04V.005"/>
    <s v=" "/>
    <s v="UAT2Y440.012"/>
    <s v="Done"/>
    <d v="2020-08-30T00:00:00"/>
    <s v=" "/>
    <s v=" "/>
    <s v=" 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7003"/>
    <s v="HLC-B"/>
    <s v="STB1K0178HLCD"/>
    <x v="18"/>
    <s v="SER"/>
    <x v="5"/>
    <d v="2018-06-28T00:00:00"/>
    <n v="178"/>
    <x v="0"/>
    <s v="RJ0D04.005"/>
    <s v=" "/>
    <s v="UAT2Y440.012"/>
    <s v="Done"/>
    <d v="2020-08-30T00:00:00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7004"/>
    <s v="HLC-A"/>
    <s v="STB1K0172HLCD"/>
    <x v="18"/>
    <s v="SER"/>
    <x v="5"/>
    <d v="2018-06-28T00:00:00"/>
    <n v="172"/>
    <x v="0"/>
    <s v="M-U7D2S04V.005,_x000a_MO-U7F2S240.005"/>
    <d v="2021-01-02T00:00:00"/>
    <s v="UAT2Y440.012"/>
    <s v="Done"/>
    <s v=" "/>
    <s v=" "/>
    <s v=" "/>
    <s v=" 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7004"/>
    <s v="HLC-B"/>
    <s v="STB1K0173HLCD"/>
    <x v="18"/>
    <s v="SER"/>
    <x v="5"/>
    <d v="2018-06-28T00:00:00"/>
    <n v="173"/>
    <x v="0"/>
    <s v="M-U7D2S04V.005,_x000a_MO-U7F2S240.005"/>
    <d v="2021-01-02T00:00:00"/>
    <s v="UAT2Y440.012"/>
    <s v="Done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7106"/>
    <s v="HLC-A"/>
    <s v="STB4K0225HLCD"/>
    <x v="18"/>
    <s v="SER"/>
    <x v="5"/>
    <d v="2019-03-12T00:00:00"/>
    <n v="225"/>
    <x v="0"/>
    <s v="M-U7D2S04V.005,_x000a_MO-U7F2S240.005"/>
    <d v="2021-12-17T00:00:00"/>
    <s v="UAT2Y440.012"/>
    <s v="Done"/>
    <s v=" "/>
    <s v=" "/>
    <s v=" "/>
    <s v="Conv-A DONE"/>
    <s v="Conv-A DONE"/>
    <s v="Conv-A DONE"/>
    <s v="Conv-A DONE"/>
    <s v=" "/>
    <s v=" "/>
    <s v=" "/>
    <s v=" "/>
    <s v=" "/>
    <s v=" "/>
    <s v=" "/>
    <s v=" "/>
  </r>
  <r>
    <s v=" "/>
    <n v="37106"/>
    <s v="HLC-B"/>
    <s v="STB4K0222HLCD"/>
    <x v="18"/>
    <s v="SER"/>
    <x v="5"/>
    <d v="2019-03-12T00:00:00"/>
    <n v="222"/>
    <x v="0"/>
    <s v="M-U7D2S04V.005,_x000a_MO-U7F2S240.005"/>
    <d v="2021-12-17T00:00:00"/>
    <s v="UAT2Y440.012"/>
    <s v="Done"/>
    <s v=" "/>
    <s v=" "/>
    <s v=" "/>
    <s v="Conv-B DONE"/>
    <s v="Conv-B DONE"/>
    <s v="Conv-B DONE"/>
    <s v="Conv-B DONE"/>
    <s v=" "/>
    <s v=" "/>
    <s v=" "/>
    <s v=" "/>
    <s v=" "/>
    <s v=" "/>
    <s v=" "/>
    <s v=" "/>
  </r>
  <r>
    <s v=" "/>
    <n v="37108"/>
    <s v="HLC-A"/>
    <s v="STB4K0217HLCD"/>
    <x v="18"/>
    <s v="SER"/>
    <x v="5"/>
    <d v="2019-03-12T00:00:00"/>
    <n v="217"/>
    <x v="0"/>
    <s v="Q9J1Z04V.005"/>
    <s v=" "/>
    <s v="UAT2Y440.012"/>
    <s v="Done"/>
    <s v=" "/>
    <s v=" "/>
    <s v=" "/>
    <s v=" 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7108"/>
    <s v="HLC-B"/>
    <s v="STB4K0215HLCD"/>
    <x v="18"/>
    <s v="SER"/>
    <x v="5"/>
    <d v="2019-03-12T00:00:00"/>
    <n v="215"/>
    <x v="0"/>
    <s v="RJ0D04.005"/>
    <s v=" "/>
    <s v="UAT2Y440.012"/>
    <s v="Done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7109"/>
    <s v="HLC-A"/>
    <s v="STB4K0216HLCD"/>
    <x v="18"/>
    <s v="SER"/>
    <x v="5"/>
    <d v="2019-03-13T00:00:00"/>
    <n v="216"/>
    <x v="0"/>
    <s v="Q9J1Z04V.005"/>
    <s v=" "/>
    <s v="UAT2Y440.012"/>
    <s v="Done"/>
    <s v=" "/>
    <s v=" "/>
    <s v=" "/>
    <s v="Conv-A DONE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7109"/>
    <s v="HLC-B"/>
    <s v="STB4K0214HLCD"/>
    <x v="18"/>
    <s v="SER"/>
    <x v="5"/>
    <d v="2019-03-13T00:00:00"/>
    <n v="214"/>
    <x v="0"/>
    <s v="Q9J1Z04V.005"/>
    <s v=" "/>
    <s v="UAT2Y440.012"/>
    <s v="Done"/>
    <s v=" "/>
    <s v=" "/>
    <s v=" "/>
    <s v="Conv-B DONE"/>
    <s v="Conv-B DONE"/>
    <s v="Conv-B DONE"/>
    <s v="Conv-B DONE"/>
    <s v=" "/>
    <s v=" "/>
    <s v=" "/>
    <s v=" "/>
    <s v=" "/>
    <s v=" "/>
    <s v=" "/>
    <s v=" "/>
  </r>
  <r>
    <s v=" "/>
    <n v="37152"/>
    <s v="HLC-A"/>
    <s v="STB2L0418HLCD"/>
    <x v="18"/>
    <s v="SER"/>
    <x v="5"/>
    <d v="2019-04-25T00:00:00"/>
    <n v="418"/>
    <x v="0"/>
    <s v="S7Q1G04V.005"/>
    <s v=" "/>
    <s v="UAT2Y440.012"/>
    <s v="Done"/>
    <s v=" "/>
    <s v=" "/>
    <s v=" "/>
    <s v=" "/>
    <s v="Conv-A DONE"/>
    <s v="Conv-A DONE"/>
    <s v="Conv-A DONE"/>
    <s v=" "/>
    <s v=" "/>
    <s v=" "/>
    <s v=" "/>
    <s v=" "/>
    <s v=" "/>
    <s v=" "/>
    <s v=" "/>
  </r>
  <r>
    <s v=" "/>
    <n v="37152"/>
    <s v="HLC-B"/>
    <s v="STB2L0439HLCD"/>
    <x v="18"/>
    <s v="SER"/>
    <x v="5"/>
    <d v="2019-04-25T00:00:00"/>
    <n v="439"/>
    <x v="0"/>
    <s v="S7Q1G04V.005"/>
    <s v=" "/>
    <s v="UAT2Y440.012"/>
    <s v="Done"/>
    <s v=" "/>
    <s v=" "/>
    <s v=" "/>
    <s v=" "/>
    <s v="Conv-B DONE"/>
    <s v="Conv-B DONE"/>
    <s v="Conv-B DONE"/>
    <s v=" "/>
    <s v=" "/>
    <s v=" "/>
    <s v=" "/>
    <s v=" "/>
    <s v=" "/>
    <s v=" "/>
    <s v=" "/>
  </r>
  <r>
    <s v=" "/>
    <n v="37209"/>
    <s v="HLC-A"/>
    <s v="STB5L0518HLCD"/>
    <x v="18"/>
    <s v="SER"/>
    <x v="5"/>
    <d v="2019-06-25T00:00:00"/>
    <n v="518"/>
    <x v="0"/>
    <s v="S7Q1G04V.005"/>
    <s v=" "/>
    <s v=" "/>
    <s v=" "/>
    <s v=" "/>
    <s v=" "/>
    <s v="Done by NW"/>
    <s v=" "/>
    <s v="Conv-A DONE"/>
    <s v="Conv-A DONE"/>
    <s v="Conv-A DONE"/>
    <s v=" "/>
    <s v=" "/>
    <s v=" "/>
    <s v=" "/>
    <s v=" "/>
    <s v=" "/>
    <s v=" "/>
    <s v=" "/>
  </r>
  <r>
    <s v=" "/>
    <n v="37209"/>
    <s v="HLC-B"/>
    <s v="STB5L0498HLCD"/>
    <x v="18"/>
    <s v="SER"/>
    <x v="5"/>
    <d v="2019-06-25T00:00:00"/>
    <n v="498"/>
    <x v="0"/>
    <s v="M-U7D2S04V.005,_x000a_MO-U7F2S240.005"/>
    <d v="2021-02-23T00:00:00"/>
    <s v=" "/>
    <s v=" "/>
    <s v=" "/>
    <s v=" "/>
    <s v=" "/>
    <s v=" "/>
    <s v=" "/>
    <s v="Conv-B DONE"/>
    <s v=" "/>
    <s v=" "/>
    <s v=" "/>
    <s v=" "/>
    <s v=" "/>
    <s v=" "/>
    <s v=" "/>
    <s v=" "/>
    <s v=" "/>
  </r>
  <r>
    <s v=" "/>
    <n v="37212"/>
    <s v="HLC-A"/>
    <s v="STB4L0493HLCD"/>
    <x v="18"/>
    <s v="SER"/>
    <x v="5"/>
    <d v="2019-07-23T00:00:00"/>
    <n v="493"/>
    <x v="0"/>
    <s v="M-U7D2S04V.005,_x000a_MO-U7F2S240.005"/>
    <s v="Done"/>
    <s v="UAT2Y440.012"/>
    <s v="Done"/>
    <s v=" "/>
    <s v=" "/>
    <s v=" "/>
    <s v="Conv-A DONE"/>
    <s v="Conv-A DONE"/>
    <s v="Conv-A DONE"/>
    <s v="Conv-A DONE"/>
    <s v=" "/>
    <s v=" "/>
    <s v="Siled with Silika gell"/>
    <s v="Siled with Silika gell"/>
    <s v=" "/>
    <s v=" "/>
    <s v=" "/>
    <s v=" "/>
  </r>
  <r>
    <s v=" "/>
    <n v="37212"/>
    <s v="HLC-B"/>
    <s v="STB5L0508HLCD"/>
    <x v="18"/>
    <s v="SER"/>
    <x v="5"/>
    <d v="2019-07-23T00:00:00"/>
    <n v="508"/>
    <x v="0"/>
    <s v="S7Q1G04V.005"/>
    <s v=" "/>
    <s v="UAT2Y440.012"/>
    <s v="Done"/>
    <s v=" "/>
    <s v=" "/>
    <s v="Done by NW"/>
    <s v="Conv-B DONE"/>
    <s v="Conv-B DONE"/>
    <s v="Conv-B DONE"/>
    <s v="Conv-B DONE"/>
    <s v=" "/>
    <s v=" "/>
    <s v=" "/>
    <s v=" "/>
    <s v=" "/>
    <s v=" "/>
    <s v=" "/>
    <s v=" "/>
  </r>
  <r>
    <s v=" "/>
    <n v="39058"/>
    <s v="HLC-A"/>
    <s v="STB1L0390HLCD"/>
    <x v="18"/>
    <s v="SER"/>
    <x v="5"/>
    <d v="2019-06-14T00:00:00"/>
    <n v="390"/>
    <x v="0"/>
    <s v="M-U7D2S04V.005,_x000a_MO-U7F2S240.005"/>
    <d v="2020-12-29T00:00:00"/>
    <s v="UAT2Y440.012"/>
    <s v="Done"/>
    <s v=" "/>
    <s v=" "/>
    <s v=" "/>
    <s v="Conv-A DONE"/>
    <s v="Conv-A DONE"/>
    <s v="Conv-A DONE"/>
    <s v="Conv-A DONE"/>
    <s v=" "/>
    <s v=" "/>
    <s v=" "/>
    <s v=" "/>
    <s v=" "/>
    <s v=" "/>
    <s v=" "/>
    <s v=" "/>
  </r>
  <r>
    <s v=" "/>
    <n v="39058"/>
    <s v="HLC-B"/>
    <s v="STB1L0397HLCD"/>
    <x v="18"/>
    <s v="SER"/>
    <x v="5"/>
    <d v="2019-06-14T00:00:00"/>
    <n v="397"/>
    <x v="0"/>
    <s v="M-U7D2S04V.005,_x000a_MO-U7F2S240.005"/>
    <d v="2020-12-29T00:00:00"/>
    <s v="UAT2Y440.012"/>
    <s v="Done"/>
    <s v=" "/>
    <s v=" "/>
    <s v=" "/>
    <s v="Conv-B DONE"/>
    <s v="Conv-B DONE"/>
    <s v="Conv-B DONE"/>
    <s v="Conv-B DONE"/>
    <s v=" "/>
    <s v=" "/>
    <s v=" "/>
    <s v=" "/>
    <s v=" "/>
    <s v=" "/>
    <s v=" "/>
    <s v=" "/>
  </r>
  <r>
    <s v=" "/>
    <n v="39094"/>
    <s v="HLC-A"/>
    <s v="STB6L0588HLCD"/>
    <x v="18"/>
    <s v="SER"/>
    <x v="5"/>
    <d v="2019-09-10T00:00:00"/>
    <n v="588"/>
    <x v="0"/>
    <s v="M-U7D2S04V.005,_x000a_MO-U7F2S240.005"/>
    <d v="2021-02-05T00:00:00"/>
    <s v="UAT2Y440.012"/>
    <d v="2021-01-04T00:00:00"/>
    <s v=" "/>
    <s v=" "/>
    <s v="Done by NW"/>
    <s v=" "/>
    <s v="Conv-A DONE"/>
    <s v="Conv-A DONE"/>
    <s v="Conv-A DONE"/>
    <s v=" "/>
    <s v=" "/>
    <s v=" "/>
    <s v=" "/>
    <s v=" "/>
    <s v=" "/>
    <s v=" "/>
    <s v=" "/>
  </r>
  <r>
    <s v=" "/>
    <n v="39094"/>
    <s v="HLC-B"/>
    <s v="STB6L0589HLCD"/>
    <x v="18"/>
    <s v="SER"/>
    <x v="5"/>
    <d v="2019-09-10T00:00:00"/>
    <n v="589"/>
    <x v="0"/>
    <s v="M-U7D2S04V.005,_x000a_MO-U7F2S240.005"/>
    <d v="2021-02-05T00:00:00"/>
    <s v="UAT2Y440.012"/>
    <d v="2021-01-04T00:00:00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0547"/>
    <s v="HLC-A"/>
    <s v="STB9H0086HLCC"/>
    <x v="19"/>
    <s v="SER"/>
    <x v="5"/>
    <d v="2017-05-15T00:00:00"/>
    <n v="86"/>
    <x v="1"/>
    <s v=" 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547"/>
    <s v="HLC-B"/>
    <s v="STB9H0087HLCC"/>
    <x v="19"/>
    <s v="SER"/>
    <x v="5"/>
    <d v="2017-05-15T00:00:00"/>
    <n v="87"/>
    <x v="1"/>
    <s v=" "/>
    <s v=" "/>
    <s v="L3I2ZY72.008"/>
    <s v="Done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609"/>
    <s v="HLC-A"/>
    <s v="STB7J0133HLCD"/>
    <x v="19"/>
    <s v="SER"/>
    <x v="5"/>
    <d v="2017-12-11T00:00:00"/>
    <n v="133"/>
    <x v="0"/>
    <s v="U7D2S04V.005"/>
    <d v="2021-06-24T00:00:00"/>
    <s v="UAT2Y440.012"/>
    <d v="2020-12-15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609"/>
    <s v="HLC-B"/>
    <s v="STB7J0132HLCD"/>
    <x v="19"/>
    <s v="SER"/>
    <x v="5"/>
    <d v="2017-12-11T00:00:00"/>
    <n v="132"/>
    <x v="0"/>
    <s v="U7D2S04V.005"/>
    <d v="2021-06-24T00:00:00"/>
    <s v="UAT2Y440.012"/>
    <d v="2020-12-15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614"/>
    <s v="HLC-A"/>
    <s v="STB5J0102HLCD"/>
    <x v="19"/>
    <s v="SER"/>
    <x v="5"/>
    <d v="2017-11-23T00:00:00"/>
    <n v="102"/>
    <x v="0"/>
    <s v="U7D2S04V.005"/>
    <d v="2021-06-23T00:00:00"/>
    <s v="UAT2Y440.012"/>
    <d v="2021-03-13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0614"/>
    <s v="HLC-B"/>
    <s v="STB6J0114HLCD"/>
    <x v="19"/>
    <s v="SER"/>
    <x v="5"/>
    <d v="2017-11-23T00:00:00"/>
    <n v="114"/>
    <x v="0"/>
    <s v="U7D2S04V.005"/>
    <d v="2021-06-23T00:00:00"/>
    <s v="UAT2Y440.012"/>
    <d v="2021-03-13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7060"/>
    <s v="HLC-A"/>
    <s v="STB3K0201HLCD"/>
    <x v="19"/>
    <s v="SER"/>
    <x v="5"/>
    <d v="2018-12-13T00:00:00"/>
    <n v="201"/>
    <x v="0"/>
    <s v="Q9J1Z04V.005"/>
    <s v=" "/>
    <s v="UAT2Y440.012"/>
    <d v="2021-04-08T00:00:00"/>
    <s v=" "/>
    <s v=" "/>
    <s v=" "/>
    <s v=" "/>
    <s v="Conv-A DONE"/>
    <s v=" "/>
    <s v=" "/>
    <s v=" "/>
    <s v=" "/>
    <s v="Conv-A DONE"/>
    <s v="Conv-A DONE"/>
    <s v=" "/>
    <s v=" "/>
    <s v=" "/>
    <s v=" "/>
  </r>
  <r>
    <s v=" "/>
    <n v="37060"/>
    <s v="HLC-B"/>
    <s v="STB3K0191HLCD"/>
    <x v="19"/>
    <s v="SER"/>
    <x v="5"/>
    <d v="2018-12-13T00:00:00"/>
    <n v="191"/>
    <x v="0"/>
    <s v="Q9J1Z04V.005"/>
    <s v=" "/>
    <s v="UAT2Y440.012"/>
    <d v="2021-04-08T00:00:00"/>
    <s v=" "/>
    <s v=" "/>
    <s v=" "/>
    <s v=" "/>
    <s v="Conv-B DONE"/>
    <s v=" "/>
    <s v=" "/>
    <s v=" "/>
    <s v=" "/>
    <s v="Conv-B DONE"/>
    <s v="Conv-B DONE"/>
    <s v=" "/>
    <s v=" "/>
    <s v=" "/>
    <s v=" "/>
  </r>
  <r>
    <s v=" "/>
    <n v="37061"/>
    <s v="HLC-A"/>
    <s v="STB3K0202HLCD"/>
    <x v="19"/>
    <s v="SER"/>
    <x v="5"/>
    <d v="2018-12-14T00:00:00"/>
    <n v="202"/>
    <x v="0"/>
    <s v="U7D2S04V.005"/>
    <d v="2021-05-04T00:00:00"/>
    <s v="UAT2Y440.012"/>
    <d v="2021-03-10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7061"/>
    <s v="HLC-B"/>
    <s v="STB3K0203HLCD"/>
    <x v="19"/>
    <s v="SER"/>
    <x v="5"/>
    <d v="2018-12-14T00:00:00"/>
    <n v="203"/>
    <x v="0"/>
    <s v="U7D2S04V.005"/>
    <d v="2021-05-04T00:00:00"/>
    <s v="UAT2Y440.012"/>
    <d v="2021-03-10T00:00:00"/>
    <s v=" "/>
    <s v=" "/>
    <s v=" "/>
    <s v=" "/>
    <s v=" "/>
    <s v=" "/>
    <s v=" "/>
    <s v=" "/>
    <s v=" "/>
    <s v=" "/>
    <s v=" "/>
    <s v=" "/>
    <s v=" "/>
    <s v=" "/>
    <s v=" "/>
  </r>
  <r>
    <s v=" "/>
    <n v="37076"/>
    <s v="HLC-A"/>
    <s v="STB3K0193HLCD"/>
    <x v="19"/>
    <s v="SER"/>
    <x v="5"/>
    <d v="2018-12-31T00:00:00"/>
    <n v="193"/>
    <x v="0"/>
    <s v="U7D2S04V.005"/>
    <d v="2021-06-15T00:00:00"/>
    <s v="UAT2Y440.012"/>
    <d v="2021-05-28T00:00:00"/>
    <s v=" "/>
    <s v=" "/>
    <s v=" "/>
    <s v="Conv-A DONE"/>
    <s v="Conv-A DONE"/>
    <s v=" "/>
    <s v=" "/>
    <s v=" "/>
    <s v=" "/>
    <s v="DONE"/>
    <s v="DONE"/>
    <s v=" "/>
    <s v=" "/>
    <s v=" "/>
    <s v=" "/>
  </r>
  <r>
    <s v=" "/>
    <n v="37076"/>
    <s v="HLC-B"/>
    <s v="STB3K0199HLCD"/>
    <x v="19"/>
    <s v="SER"/>
    <x v="5"/>
    <d v="2018-12-31T00:00:00"/>
    <n v="199"/>
    <x v="0"/>
    <s v="U7D2S04V.005"/>
    <d v="2021-06-15T00:00:00"/>
    <s v="UAT2Y440.012"/>
    <d v="2021-05-28T00:00:00"/>
    <s v=" "/>
    <s v=" "/>
    <s v=" "/>
    <s v="Conv-B DONE"/>
    <s v="Conv-B DONE"/>
    <s v=" "/>
    <s v=" "/>
    <s v=" "/>
    <s v=" "/>
    <s v="DONE"/>
    <s v="DONE"/>
    <s v=" "/>
    <s v=" "/>
    <s v=" "/>
    <s v=" "/>
  </r>
  <r>
    <s v=" "/>
    <n v="37077"/>
    <s v="HLC-A"/>
    <s v="STB3K0200HLCD"/>
    <x v="19"/>
    <s v="SER"/>
    <x v="5"/>
    <d v="2018-12-31T00:00:00"/>
    <n v="200"/>
    <x v="0"/>
    <s v="Q9J1Z04V.005"/>
    <s v=" "/>
    <s v="UAT2Y440.012"/>
    <d v="2020-12-24T00:00:00"/>
    <s v=" "/>
    <s v=" "/>
    <s v=" "/>
    <s v=" "/>
    <s v="Conv-A DONE"/>
    <s v=" "/>
    <s v=" "/>
    <s v=" "/>
    <s v=" "/>
    <s v=" "/>
    <s v=" "/>
    <s v=" "/>
    <s v=" "/>
    <s v=" "/>
    <s v=" "/>
  </r>
  <r>
    <s v=" "/>
    <n v="37077"/>
    <s v="HLC-B"/>
    <s v="STB3K0190HLCD"/>
    <x v="19"/>
    <s v="SER"/>
    <x v="5"/>
    <d v="2018-12-31T00:00:00"/>
    <n v="190"/>
    <x v="0"/>
    <s v="Q9J1Z04V.005"/>
    <s v=" "/>
    <s v="UAT2Y440.012"/>
    <d v="2020-12-24T00:00:00"/>
    <s v=" "/>
    <s v=" "/>
    <s v=" "/>
    <s v=" "/>
    <s v="Conv-B DONE"/>
    <s v=" "/>
    <s v=" "/>
    <s v=" "/>
    <s v=" "/>
    <s v=" "/>
    <s v=" "/>
    <s v=" "/>
    <s v=" "/>
    <s v=" "/>
    <s v=" "/>
  </r>
  <r>
    <s v=" "/>
    <n v="37121"/>
    <s v="HLC-A"/>
    <s v="STB0K0341HLCD"/>
    <x v="19"/>
    <s v="SER"/>
    <x v="5"/>
    <d v="2019-03-23T00:00:00"/>
    <n v="341"/>
    <x v="0"/>
    <s v=" "/>
    <s v=" "/>
    <s v="UAT2Y440.012"/>
    <d v="2021-03-14T00:00:00"/>
    <s v=" "/>
    <s v=" "/>
    <s v=" "/>
    <s v=" "/>
    <s v="Conv-A DONE"/>
    <s v=" "/>
    <s v=" "/>
    <s v=" "/>
    <s v=" "/>
    <s v=" "/>
    <s v=" "/>
    <s v=" "/>
    <s v=" "/>
    <s v=" "/>
    <s v=" "/>
  </r>
  <r>
    <s v=" "/>
    <n v="37121"/>
    <s v="HLC-B"/>
    <s v="STBOK0291HLCD"/>
    <x v="19"/>
    <s v="SER"/>
    <x v="5"/>
    <d v="2019-03-23T00:00:00"/>
    <n v="291"/>
    <x v="0"/>
    <s v="M-U7D2S04V.005,_x000a_MO-U7F2S240.005"/>
    <d v="2020-10-14T00:00:00"/>
    <s v="U9S2Y440.011"/>
    <s v=" "/>
    <s v=" "/>
    <s v=" "/>
    <s v=" "/>
    <s v=" "/>
    <s v="Conv-B DONE"/>
    <s v=" "/>
    <s v=" "/>
    <s v="Conv-B DONE"/>
    <s v=" "/>
    <s v=" "/>
    <s v=" "/>
    <s v=" "/>
    <s v=" "/>
    <s v=" "/>
    <s v=" "/>
  </r>
  <r>
    <s v=" "/>
    <n v="37283"/>
    <s v="HLC-A"/>
    <s v="STB6L0587HLCD"/>
    <x v="19"/>
    <s v="SER"/>
    <x v="5"/>
    <d v="2019-11-26T00:00:00"/>
    <n v="587"/>
    <x v="0"/>
    <s v="U7D2S04V.005"/>
    <d v="2021-06-16T00:00:00"/>
    <s v="UAT2Y440.012"/>
    <d v="2020-12-21T00:00:00"/>
    <s v=" "/>
    <s v=" "/>
    <s v="Done by NW"/>
    <s v="Conv-A DONE"/>
    <s v="Conv-A DONE"/>
    <s v=" "/>
    <s v=" "/>
    <s v=" "/>
    <s v=" "/>
    <s v="Conv-A DONE"/>
    <s v="Conv-A DONE"/>
    <s v=" "/>
    <s v=" "/>
    <s v=" "/>
    <s v=" "/>
  </r>
  <r>
    <s v=" "/>
    <n v="37283"/>
    <s v="HLC-B"/>
    <s v="STB6L0573HLCD"/>
    <x v="19"/>
    <s v="SER"/>
    <x v="5"/>
    <d v="2019-11-26T00:00:00"/>
    <n v="573"/>
    <x v="0"/>
    <s v="U7D2S04V.005"/>
    <d v="2021-06-16T00:00:00"/>
    <s v="UAT2Y440.012"/>
    <d v="2020-12-21T00:00:00"/>
    <s v=" "/>
    <s v=" "/>
    <s v="Done by NW"/>
    <s v="Conv-B DONE"/>
    <s v="Conv-B DONE"/>
    <s v=" "/>
    <s v=" "/>
    <s v=" "/>
    <s v=" "/>
    <s v="Conv-B DONE"/>
    <s v="Conv-B DONE"/>
    <s v=" "/>
    <s v=" "/>
    <s v=" "/>
    <s v=" "/>
  </r>
  <r>
    <s v=" "/>
    <n v="37284"/>
    <s v="HLC-A"/>
    <s v="STB7L0647HLCD"/>
    <x v="19"/>
    <s v="SER"/>
    <x v="5"/>
    <d v="2019-11-27T00:00:00"/>
    <n v="647"/>
    <x v="0"/>
    <s v=" "/>
    <s v=" "/>
    <s v="UAT2Y440.012"/>
    <d v="2021-03-13T00:00:00"/>
    <s v=" "/>
    <s v=" "/>
    <s v="Done by NW"/>
    <s v=" "/>
    <s v="Conv-A DONE"/>
    <s v=" "/>
    <s v=" "/>
    <s v=" "/>
    <s v=" "/>
    <s v="Conv-A DONE"/>
    <s v="Conv-A DONE"/>
    <s v=" "/>
    <s v=" "/>
    <s v=" "/>
    <s v=" "/>
  </r>
  <r>
    <s v=" "/>
    <n v="37284"/>
    <s v="HLC-B"/>
    <s v="STB7L0646HLCD"/>
    <x v="19"/>
    <s v="SER"/>
    <x v="5"/>
    <d v="2019-11-27T00:00:00"/>
    <n v="646"/>
    <x v="0"/>
    <s v=" "/>
    <s v=" "/>
    <s v="UAT2Y440.012"/>
    <d v="2021-03-13T00:00:00"/>
    <s v=" "/>
    <s v=" "/>
    <s v="Done by NW"/>
    <s v=" "/>
    <s v="Conv-B DONE"/>
    <s v=" "/>
    <s v=" "/>
    <s v=" "/>
    <s v=" "/>
    <s v="Conv-B DONE"/>
    <s v="Conv-B DONE"/>
    <s v=" "/>
    <s v=" "/>
    <s v=" "/>
    <s v=" "/>
  </r>
  <r>
    <s v=" "/>
    <n v="37290"/>
    <s v="HLC-A"/>
    <s v="STB7L0630HLCD"/>
    <x v="19"/>
    <s v="SER"/>
    <x v="5"/>
    <d v="2019-11-29T00:00:00"/>
    <n v="630"/>
    <x v="0"/>
    <s v="U7D2S04V.005"/>
    <d v="2021-06-23T00:00:00"/>
    <s v=" "/>
    <s v=" "/>
    <s v=" "/>
    <s v=" "/>
    <s v="Done by NW"/>
    <s v=" "/>
    <s v="Conv-A DONE"/>
    <s v=" "/>
    <s v=" "/>
    <s v=" "/>
    <s v=" "/>
    <s v=" "/>
    <s v=" "/>
    <s v=" "/>
    <s v=" "/>
    <s v=" "/>
    <s v=" "/>
  </r>
  <r>
    <s v=" "/>
    <n v="37290"/>
    <s v="HLC-B"/>
    <s v="STB7L0631HLCD"/>
    <x v="19"/>
    <s v="SER"/>
    <x v="5"/>
    <d v="2019-11-29T00:00:00"/>
    <n v="631"/>
    <x v="0"/>
    <s v="U7D2S04V.005"/>
    <d v="2021-06-23T00:00:00"/>
    <s v=" "/>
    <s v=" "/>
    <s v=" "/>
    <s v=" "/>
    <s v="Done by NW"/>
    <s v=" "/>
    <s v="Conv-B DONE"/>
    <s v=" "/>
    <s v=" "/>
    <s v=" "/>
    <s v=" "/>
    <s v=" "/>
    <s v=" "/>
    <s v=" "/>
    <s v=" "/>
    <s v=" "/>
    <s v=" "/>
  </r>
  <r>
    <s v=" "/>
    <n v="37291"/>
    <s v="HLC-A"/>
    <s v="STB6L0561HLCD"/>
    <x v="19"/>
    <s v="SER"/>
    <x v="5"/>
    <d v="2019-11-30T00:00:00"/>
    <n v="561"/>
    <x v="0"/>
    <s v="U7D2S04V.005"/>
    <d v="2021-06-24T00:00:00"/>
    <s v="U812Y440.010"/>
    <s v=" "/>
    <s v=" "/>
    <s v=" "/>
    <s v="Done by NW"/>
    <s v=" "/>
    <s v="Conv-B DONE"/>
    <s v="Conv-B DONE"/>
    <s v=" "/>
    <s v=" "/>
    <s v=" "/>
    <s v=" "/>
    <s v=" "/>
    <s v=" "/>
    <s v=" "/>
    <s v=" "/>
    <s v=" "/>
  </r>
  <r>
    <s v=" "/>
    <n v="37291"/>
    <s v="HLC-B"/>
    <s v="STB6L0565HLCD"/>
    <x v="19"/>
    <s v="SER"/>
    <x v="5"/>
    <d v="2019-11-30T00:00:00"/>
    <n v="565"/>
    <x v="0"/>
    <s v="U7D2S04V.005"/>
    <d v="2021-06-24T00:00:00"/>
    <s v=" "/>
    <s v=" "/>
    <s v=" "/>
    <s v=" "/>
    <s v="Done by NW"/>
    <s v=" "/>
    <s v="Conv-B DONE"/>
    <s v=" "/>
    <s v=" "/>
    <s v=" "/>
    <s v=" "/>
    <s v=" "/>
    <s v=" "/>
    <s v=" "/>
    <s v=" "/>
    <s v=" "/>
    <s v=" "/>
  </r>
  <r>
    <s v=" "/>
    <n v="37520"/>
    <s v="HLC-A"/>
    <s v="STB8M0924"/>
    <x v="19"/>
    <s v="SER"/>
    <x v="5"/>
    <d v="2021-01-08T00:00:00"/>
    <n v="924"/>
    <x v="0"/>
    <s v="M-U7D2S04V.005,_x000a_MO-U7F2S240.005"/>
    <s v="Done by NW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20"/>
    <s v="HLC-B"/>
    <s v="STB9M0975"/>
    <x v="19"/>
    <s v="SER"/>
    <x v="5"/>
    <d v="2021-01-08T00:00:00"/>
    <n v="975"/>
    <x v="0"/>
    <s v="M-U7D2S04V.005,_x000a_MO-U7F2S240.005"/>
    <s v="Done by NW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082"/>
    <s v="HLC-A"/>
    <s v="STB7K0271HLCD"/>
    <x v="20"/>
    <s v="ECoR"/>
    <x v="5"/>
    <d v="2019-01-24T00:00:00"/>
    <n v="271"/>
    <x v="0"/>
    <s v="M-U7D2S04V.005,_x000a_MO-U7F2S240.005"/>
    <d v="2021-01-01T00:00:00"/>
    <s v="UAT2Y440.012"/>
    <d v="2021-05-11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082"/>
    <s v="HLC-B"/>
    <s v="STB7K0270HLCD"/>
    <x v="20"/>
    <s v="ECoR"/>
    <x v="5"/>
    <d v="2019-01-24T00:00:00"/>
    <n v="270"/>
    <x v="0"/>
    <s v="M-U7D2S04V.005,_x000a_MO-U7F2S240.005"/>
    <d v="2021-01-01T00:00:00"/>
    <s v="UAT2Y440.012"/>
    <d v="2021-05-11T00:00:00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083"/>
    <s v="HLC-A"/>
    <s v="STB7K0267HLCD"/>
    <x v="20"/>
    <s v="ECoR"/>
    <x v="5"/>
    <d v="2019-01-25T00:00:00"/>
    <n v="267"/>
    <x v="0"/>
    <s v="M-U7D2S04V.005,_x000a_MO-U7F2S240.005"/>
    <d v="2020-12-28T00:00:00"/>
    <s v="UAT2Y440.012"/>
    <d v="2021-05-18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083"/>
    <s v="HLC-B"/>
    <s v="STB7K0266HLCD"/>
    <x v="20"/>
    <s v="ECoR"/>
    <x v="5"/>
    <d v="2019-01-25T00:00:00"/>
    <n v="266"/>
    <x v="0"/>
    <s v="M-U7D2S04V.005,_x000a_MO-U7F2S240.005"/>
    <d v="2020-12-28T00:00:00"/>
    <s v="UAT2Y440.012"/>
    <d v="2021-05-18T00:00:00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01"/>
    <s v="HLC-A"/>
    <s v="STB6K0263HLCD"/>
    <x v="20"/>
    <s v="ECoR"/>
    <x v="5"/>
    <d v="2019-02-26T00:00:00"/>
    <n v="263"/>
    <x v="0"/>
    <s v="M-U7D2S04V.005,_x000a_MO-U7F2S240.005"/>
    <d v="2021-01-06T00:00:00"/>
    <s v="UAT2Y440.012"/>
    <d v="2021-05-24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01"/>
    <s v="HLC-B"/>
    <s v="STB6K0262HLCD"/>
    <x v="20"/>
    <s v="ECoR"/>
    <x v="5"/>
    <d v="2019-02-26T00:00:00"/>
    <n v="262"/>
    <x v="0"/>
    <s v="M-U7D2S04V.005,_x000a_MO-U7F2S240.005"/>
    <d v="2021-01-06T00:00:00"/>
    <s v="UAT2Y440.012"/>
    <d v="2021-05-24T00:00:00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15"/>
    <s v="HLC-A"/>
    <s v="STBNK0328HLCD"/>
    <x v="20"/>
    <s v="ECoR"/>
    <x v="5"/>
    <d v="2019-03-18T00:00:00"/>
    <n v="328"/>
    <x v="0"/>
    <s v="M-U7D2S04V.005,_x000a_MO-U7F2S240.005"/>
    <d v="2021-03-04T00:00:00"/>
    <s v="UAT2Y440.012"/>
    <d v="2021-05-24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15"/>
    <s v="HLC-B"/>
    <s v="STBNK0329HLCD"/>
    <x v="20"/>
    <s v="ECoR"/>
    <x v="5"/>
    <d v="2019-03-18T00:00:00"/>
    <n v="329"/>
    <x v="0"/>
    <s v="M-U7D2S04V.005,_x000a_MO-U7F2S240.005"/>
    <d v="2021-03-04T00:00:00"/>
    <s v="UAT2Y440.012"/>
    <d v="2021-05-24T00:00:00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22"/>
    <s v="HLC-A"/>
    <s v="STBNK0321HLCD"/>
    <x v="20"/>
    <s v="ECoR"/>
    <x v="5"/>
    <d v="2019-03-23T00:00:00"/>
    <n v="321"/>
    <x v="0"/>
    <s v="M-U7D2S04V.005,_x000a_MO-U7F2S240.005"/>
    <d v="2020-12-24T00:00:00"/>
    <s v="UAT2Y440.012"/>
    <d v="2021-03-04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22"/>
    <s v="HLC-B"/>
    <s v="STBNK0320HLCD"/>
    <x v="20"/>
    <s v="ECoR"/>
    <x v="5"/>
    <d v="2019-03-23T00:00:00"/>
    <n v="320"/>
    <x v="0"/>
    <s v="M-U7D2S04V.005,_x000a_MO-U7F2S240.005"/>
    <d v="2020-12-24T00:00:00"/>
    <s v="UAT2Y440.012"/>
    <d v="2021-03-04T00:00:00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50"/>
    <s v="HLC-A"/>
    <s v="STB2L0424HLCD"/>
    <x v="20"/>
    <s v="ECoR"/>
    <x v="5"/>
    <d v="2019-04-25T00:00:00"/>
    <n v="424"/>
    <x v="0"/>
    <s v="M-U7D2S04V.005,_x000a_MO-U7F2S240.005"/>
    <d v="2020-12-31T00:00:00"/>
    <s v="S2G2N440.005"/>
    <s v=" "/>
    <d v="2021-04-07T00:00:00"/>
    <s v=" "/>
    <s v=" "/>
    <s v="Conv-A DONE"/>
    <s v="Conv-A DONE"/>
    <s v="Conv-A DONE"/>
    <s v="Conv-A DONE"/>
    <s v="Conv-A DONE"/>
    <s v=" "/>
    <s v="Conv-A DONE"/>
    <s v=" "/>
    <s v=" "/>
    <s v=" "/>
    <s v=" "/>
    <s v=" "/>
  </r>
  <r>
    <s v=" "/>
    <n v="37150"/>
    <s v="HLC-B"/>
    <s v="STBDK0365HLCD"/>
    <x v="20"/>
    <s v="ECoR"/>
    <x v="5"/>
    <d v="2019-04-25T00:00:00"/>
    <n v="365"/>
    <x v="0"/>
    <s v="M-U7D2S04V.005,_x000a_MO-U7F2S240.005"/>
    <d v="2020-12-31T00:00:00"/>
    <s v="UAT2Y440.012"/>
    <d v="2021-04-07T00:00:00"/>
    <d v="2021-04-07T00:00:00"/>
    <s v=" "/>
    <s v=" "/>
    <s v="Conv-B DONE"/>
    <s v="Conv-B DONE"/>
    <s v="Conv-B DONE"/>
    <s v="Conv-B DONE"/>
    <s v="Conv-B DONE"/>
    <s v=" "/>
    <s v="Conv-B DONE"/>
    <s v=" "/>
    <s v=" "/>
    <s v=" "/>
    <s v=" "/>
    <s v=" "/>
  </r>
  <r>
    <s v=" "/>
    <n v="37154"/>
    <s v="HLC-A"/>
    <s v="STB2L0427HLCD"/>
    <x v="20"/>
    <s v="ECoR"/>
    <x v="5"/>
    <d v="2019-04-26T00:00:00"/>
    <n v="427"/>
    <x v="0"/>
    <s v="M-U7D2S04V.005,_x000a_MO-U7F2S240.005"/>
    <d v="2020-12-30T00:00:00"/>
    <s v="UAT2Y440.012"/>
    <d v="2021-05-18T00:00:00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54"/>
    <s v="HLC-B"/>
    <s v="STB2L0422HLCD"/>
    <x v="20"/>
    <s v="ECoR"/>
    <x v="5"/>
    <d v="2019-04-26T00:00:00"/>
    <n v="422"/>
    <x v="0"/>
    <s v="M-U7D2S04V.005,_x000a_MO-U7F2S240.005"/>
    <d v="2020-12-30T00:00:00"/>
    <s v=" "/>
    <s v=" 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91"/>
    <s v="HLC-A"/>
    <s v="STB4L0478HLCD"/>
    <x v="20"/>
    <s v="ECoR"/>
    <x v="5"/>
    <d v="2019-06-16T00:00:00"/>
    <n v="478"/>
    <x v="0"/>
    <s v="M-U7D2S04V.005,_x000a_MO-U7F2S240.005"/>
    <d v="2021-02-24T00:00:00"/>
    <s v=" "/>
    <s v=" 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91"/>
    <s v="HLC-B"/>
    <s v="STB4L0479HLCD"/>
    <x v="20"/>
    <s v="ECoR"/>
    <x v="5"/>
    <d v="2019-06-16T00:00:00"/>
    <n v="479"/>
    <x v="0"/>
    <s v="M-U7D2S04V.005,_x000a_MO-U7F2S240.005"/>
    <d v="2021-02-24T00:00:00"/>
    <s v=" "/>
    <s v=" 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195"/>
    <s v="HLC-A"/>
    <s v="STB4L0456HLCD"/>
    <x v="20"/>
    <s v="ECoR"/>
    <x v="5"/>
    <d v="2019-06-18T00:00:00"/>
    <n v="456"/>
    <x v="0"/>
    <s v="M-U7D2S04V.005,_x000a_MO-U7F2S240.005"/>
    <d v="2021-01-30T00:00:00"/>
    <s v=" "/>
    <s v=" 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195"/>
    <s v="HLC-B"/>
    <s v="STB4L0457HLCD"/>
    <x v="20"/>
    <s v="ECoR"/>
    <x v="5"/>
    <d v="2019-06-18T00:00:00"/>
    <n v="457"/>
    <x v="0"/>
    <s v="M-U7D2S04V.005,_x000a_MO-U7F2S240.005"/>
    <d v="2021-01-30T00:00:00"/>
    <s v=" "/>
    <s v=" 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206"/>
    <s v="HLC-A"/>
    <s v="STB4L0490HLCD"/>
    <x v="20"/>
    <s v="ECoR"/>
    <x v="5"/>
    <d v="2019-06-24T00:00:00"/>
    <n v="490"/>
    <x v="0"/>
    <s v="M-U7D2S04V.005,_x000a_MO-U7F2S240.005"/>
    <d v="2020-12-29T00:00:00"/>
    <s v=" "/>
    <s v=" "/>
    <s v=" "/>
    <s v=" "/>
    <s v=" "/>
    <s v=" "/>
    <s v="Conv-A DONE"/>
    <s v="Conv-A DONE"/>
    <s v=" "/>
    <s v=" "/>
    <s v=" "/>
    <s v="Conv-A DONE"/>
    <s v=" "/>
    <s v=" "/>
    <s v=" "/>
    <s v=" "/>
    <s v=" "/>
  </r>
  <r>
    <s v=" "/>
    <n v="37206"/>
    <s v="HLC-B"/>
    <s v="STB4L0491HLCD"/>
    <x v="20"/>
    <s v="ECoR"/>
    <x v="5"/>
    <d v="2019-06-24T00:00:00"/>
    <n v="491"/>
    <x v="0"/>
    <s v="M-U7D2S04V.005,_x000a_MO-U7F2S240.005"/>
    <d v="2020-12-29T00:00:00"/>
    <s v=" "/>
    <s v=" "/>
    <s v=" "/>
    <s v=" "/>
    <s v=" "/>
    <s v=" "/>
    <s v="Conv-B DONE"/>
    <s v="Conv-B DONE"/>
    <s v=" "/>
    <s v=" "/>
    <s v=" "/>
    <s v="Conv-B DONE"/>
    <s v=" "/>
    <s v=" "/>
    <s v=" "/>
    <s v=" "/>
    <s v=" "/>
  </r>
  <r>
    <s v=" "/>
    <n v="37420"/>
    <s v="HLC-A"/>
    <s v="STB5M0812 HLCD"/>
    <x v="20"/>
    <s v="ECoR"/>
    <x v="5"/>
    <d v="2020-08-14T00:00:00"/>
    <n v="812"/>
    <x v="0"/>
    <s v="M-U7D2S04V.005,_x000a_MO-U7F2S240.005"/>
    <d v="2020-12-24T00:00:00"/>
    <s v="UAT2Y440.012"/>
    <d v="2021-05-05T00:00:00"/>
    <s v=" "/>
    <s v=" "/>
    <s v="Done by NW"/>
    <s v=" "/>
    <s v="Conv-A DONE"/>
    <s v="Conv-A DONE"/>
    <s v=" "/>
    <s v=" "/>
    <s v="Done by NW"/>
    <s v="Conv-A DONE"/>
    <s v=" "/>
    <s v=" "/>
    <s v=" "/>
    <s v=" "/>
    <s v=" "/>
  </r>
  <r>
    <s v=" "/>
    <n v="37420"/>
    <s v="HLC-B"/>
    <s v="STB5M0785 HLCD"/>
    <x v="20"/>
    <s v="ECoR"/>
    <x v="5"/>
    <d v="2020-08-14T00:00:00"/>
    <n v="785"/>
    <x v="0"/>
    <s v="M-U7D2S04V.005,_x000a_MO-U7F2S240.005"/>
    <d v="2020-12-24T00:00:00"/>
    <s v="UAT2Y440.012"/>
    <d v="2021-05-05T00:00:00"/>
    <s v=" "/>
    <s v=" "/>
    <s v="Done by NW"/>
    <s v=" "/>
    <s v="Conv-B DONE"/>
    <s v="Conv-B DONE"/>
    <s v=" "/>
    <s v=" "/>
    <s v="Done by NW"/>
    <s v="Conv-B DONE"/>
    <s v=" "/>
    <s v=" "/>
    <s v=" "/>
    <s v=" "/>
    <s v=" "/>
  </r>
  <r>
    <s v=" "/>
    <n v="37428"/>
    <s v="HLC-A"/>
    <s v="STB5M0814 HLCD"/>
    <x v="20"/>
    <s v="ECoR"/>
    <x v="5"/>
    <d v="2020-08-24T00:00:00"/>
    <n v="814"/>
    <x v="0"/>
    <s v="M-U7D2S04V.005,_x000a_MO-U7F2S240.005"/>
    <d v="2020-12-28T00:00:00"/>
    <s v="UAT2Y440.012"/>
    <d v="2021-04-20T00:00:00"/>
    <d v="2021-04-20T00:00:00"/>
    <s v=" "/>
    <s v="Done by NW"/>
    <s v=" "/>
    <s v="Conv-A DONE"/>
    <s v="Conv-A DONE"/>
    <s v="Conv-A DONE"/>
    <s v="Conv-A DONE"/>
    <s v="Done by NW"/>
    <s v="Conv-A DONE"/>
    <s v=" "/>
    <s v=" "/>
    <s v=" "/>
    <s v=" "/>
    <s v=" "/>
  </r>
  <r>
    <s v=" "/>
    <n v="37428"/>
    <s v="HLC-B"/>
    <s v="STB5M0815 HLCD"/>
    <x v="20"/>
    <s v="ECoR"/>
    <x v="5"/>
    <d v="2020-08-24T00:00:00"/>
    <n v="815"/>
    <x v="0"/>
    <s v="M-U7D2S04V.005,_x000a_MO-U7F2S240.005"/>
    <d v="2020-12-28T00:00:00"/>
    <s v="UAT2Y440.012"/>
    <d v="2021-04-20T00:00:00"/>
    <d v="2021-04-20T00:00:00"/>
    <s v=" "/>
    <s v="Done by NW"/>
    <s v=" "/>
    <s v="Conv-B DONE"/>
    <s v="Conv-B DONE"/>
    <s v="Conv-B DONE"/>
    <s v="Conv-B DONE"/>
    <s v="Done by NW"/>
    <s v="Conv-B DONE"/>
    <s v=" "/>
    <s v=" "/>
    <s v=" "/>
    <s v=" "/>
    <s v=" "/>
  </r>
  <r>
    <s v=" "/>
    <n v="37466"/>
    <s v="HLC-A"/>
    <s v="STB5M0804 HLCD"/>
    <x v="20"/>
    <s v="ECoR"/>
    <x v="5"/>
    <d v="2020-10-30T00:00:00"/>
    <n v="804"/>
    <x v="0"/>
    <s v="M-U7D2S04V.005,_x000a_MO-U7F2S240.005"/>
    <d v="2021-03-04T00:00:00"/>
    <s v="UAT2Y440.012"/>
    <d v="2021-03-04T00:00:00"/>
    <d v="2021-04-22T00:00:00"/>
    <s v=" "/>
    <s v="Done by NW"/>
    <s v=" "/>
    <s v=" "/>
    <s v="Conv-A DONE"/>
    <s v="Conv-A DONE"/>
    <s v=" "/>
    <s v="Done by NW"/>
    <s v="Conv-A DONE"/>
    <s v=" "/>
    <s v=" "/>
    <s v=" "/>
    <s v=" "/>
    <s v=" "/>
  </r>
  <r>
    <s v=" "/>
    <n v="37466"/>
    <s v="HLC-B"/>
    <s v="STB5M0805 HLCD"/>
    <x v="20"/>
    <s v="ECoR"/>
    <x v="5"/>
    <d v="2020-10-30T00:00:00"/>
    <n v="805"/>
    <x v="0"/>
    <s v="M-U7D2S04V.005,_x000a_MO-U7F2S240.005"/>
    <d v="2021-03-04T00:00:00"/>
    <s v="UAT2Y440.012"/>
    <d v="2021-03-04T00:00:00"/>
    <d v="2021-04-22T00:00:00"/>
    <s v=" "/>
    <s v="Done by NW"/>
    <s v=" "/>
    <s v=" "/>
    <s v="Conv-B DONE"/>
    <s v="Conv-B DONE"/>
    <s v=" "/>
    <s v="Done by NW"/>
    <s v="Conv-B DONE"/>
    <s v=" "/>
    <s v=" "/>
    <s v=" "/>
    <s v=" "/>
    <s v=" "/>
  </r>
  <r>
    <s v=" "/>
    <n v="39101"/>
    <s v="HLC-A"/>
    <s v="STB5L0537HLCD"/>
    <x v="20"/>
    <s v="ECoR"/>
    <x v="5"/>
    <d v="2019-10-21T00:00:00"/>
    <n v="537"/>
    <x v="0"/>
    <s v="M-U7D2S04V.005,_x000a_MO-U7F2S240.005"/>
    <d v="2021-01-04T00:00:00"/>
    <s v="UAT2Y440.012"/>
    <d v="2021-05-08T00:00:00"/>
    <s v=" "/>
    <s v=" "/>
    <s v="Done by NW"/>
    <s v=" "/>
    <s v="Conv-A DONE"/>
    <s v="Conv-A DONE"/>
    <s v=" "/>
    <s v=" "/>
    <s v=" "/>
    <s v="Conv-A DONE"/>
    <s v=" "/>
    <s v=" "/>
    <s v=" "/>
    <s v=" "/>
    <s v=" "/>
  </r>
  <r>
    <s v=" "/>
    <n v="39101"/>
    <s v="HLC-B"/>
    <s v="STB5L0530HLCD"/>
    <x v="20"/>
    <s v="ECoR"/>
    <x v="5"/>
    <d v="2019-10-21T00:00:00"/>
    <n v="530"/>
    <x v="0"/>
    <s v="M-U7D2S04V.005,_x000a_MO-U7F2S240.005"/>
    <d v="2021-01-04T00:00:00"/>
    <s v="UAT2Y440.012"/>
    <d v="2021-05-08T00:00:00"/>
    <s v=" "/>
    <s v=" "/>
    <s v="Done by NW"/>
    <s v=" "/>
    <s v="Conv-B DONE"/>
    <s v="Conv-B DONE"/>
    <s v=" "/>
    <s v=" "/>
    <s v=" "/>
    <s v="Conv-B DONE"/>
    <s v=" "/>
    <s v=" "/>
    <s v=" "/>
    <s v=" "/>
    <s v=" "/>
  </r>
  <r>
    <s v=" "/>
    <n v="39102"/>
    <s v="HLC-A"/>
    <s v="STB5L0531HLCD"/>
    <x v="20"/>
    <s v="ECoR"/>
    <x v="5"/>
    <d v="2019-10-24T00:00:00"/>
    <n v="531"/>
    <x v="0"/>
    <s v="M-U7D2S04V.005,_x000a_MO-U7F2S240.005"/>
    <d v="2020-12-28T00:00:00"/>
    <s v=" "/>
    <s v=" "/>
    <s v=" "/>
    <s v=" "/>
    <s v="Done by NW"/>
    <s v=" "/>
    <s v="Conv-A DONE"/>
    <s v="Conv-A DONE"/>
    <s v=" "/>
    <s v=" "/>
    <s v=" "/>
    <s v="Conv-A DONE"/>
    <s v=" "/>
    <s v=" "/>
    <s v=" "/>
    <s v=" "/>
    <s v=" "/>
  </r>
  <r>
    <s v=" "/>
    <n v="39102"/>
    <s v="HLC-B"/>
    <s v="STB5L0533HLCD"/>
    <x v="20"/>
    <s v="ECoR"/>
    <x v="5"/>
    <d v="2019-10-24T00:00:00"/>
    <n v="533"/>
    <x v="0"/>
    <s v="M-U7D2S04V.005,_x000a_MO-U7F2S240.005"/>
    <d v="2020-12-28T00:00:00"/>
    <s v="UAT2Y440.012"/>
    <d v="2021-05-31T00:00:00"/>
    <s v=" "/>
    <s v=" "/>
    <s v="Done by NW"/>
    <s v=" "/>
    <s v="Conv-B DONE"/>
    <s v="Conv-B DONE"/>
    <s v=" "/>
    <s v=" "/>
    <s v=" "/>
    <s v="Conv-B DONE"/>
    <s v=" "/>
    <s v=" "/>
    <s v=" "/>
    <s v=" "/>
    <s v=" "/>
  </r>
  <r>
    <s v=" "/>
    <n v="39143"/>
    <s v="HLC-A"/>
    <s v="STBDL0767 HLCD"/>
    <x v="20"/>
    <s v="ECoR"/>
    <x v="5"/>
    <d v="2020-06-25T00:00:00"/>
    <n v="767"/>
    <x v="0"/>
    <s v="M-U7D2S04V.005,_x000a_MO-U7F2S240.005"/>
    <d v="2020-12-31T00:00:00"/>
    <s v="UAT2Y440.012"/>
    <d v="2021-02-08T00:00:00"/>
    <d v="2021-04-06T00:00:00"/>
    <s v=" "/>
    <s v="Done by NW"/>
    <s v="Conv-A DONE"/>
    <s v="Conv-A DONE"/>
    <s v="Conv-A DONE"/>
    <s v="Conv-A DONE"/>
    <s v="Conv-A DONE"/>
    <s v=" "/>
    <s v="Conv-A DONE"/>
    <s v=" "/>
    <s v=" "/>
    <s v=" "/>
    <s v=" "/>
    <s v=" "/>
  </r>
  <r>
    <s v=" "/>
    <n v="39143"/>
    <s v="HLC-B"/>
    <s v="STBDL0766 HLCD"/>
    <x v="20"/>
    <s v="ECoR"/>
    <x v="5"/>
    <d v="2020-06-25T00:00:00"/>
    <n v="766"/>
    <x v="0"/>
    <s v="M-U7D2S04V.005,_x000a_MO-U7F2S240.005"/>
    <d v="2020-12-31T00:00:00"/>
    <s v="UAT2Y440.012"/>
    <d v="2021-02-08T00:00:00"/>
    <d v="2021-04-06T00:00:00"/>
    <s v=" "/>
    <s v="Done by NW"/>
    <s v="Conv-B DONE"/>
    <s v="Conv-B DONE"/>
    <s v="Conv-B DONE"/>
    <s v="Conv-B DONE"/>
    <s v="Conv-B DONE"/>
    <s v=" "/>
    <s v="Conv-B DONE"/>
    <s v=" "/>
    <s v=" "/>
    <s v=" "/>
    <s v=" "/>
    <s v=" "/>
  </r>
  <r>
    <s v=" "/>
    <n v="39144"/>
    <s v="HLC-A"/>
    <s v="STB1M0770 HLCD"/>
    <x v="20"/>
    <s v="ECoR"/>
    <x v="5"/>
    <d v="2020-06-27T00:00:00"/>
    <n v="770"/>
    <x v="0"/>
    <s v="M-U7D2S04V.005,_x000a_MO-U7F2S240.005"/>
    <d v="2020-12-24T00:00:00"/>
    <s v="UAT2Y440.012"/>
    <d v="2021-02-01T00:00:00"/>
    <s v=" "/>
    <s v=" "/>
    <s v="Done by NW"/>
    <s v=" "/>
    <s v="Conv-A DONE"/>
    <s v="Conv-A DONE"/>
    <s v=" "/>
    <s v=" "/>
    <s v=" "/>
    <s v="Conv-A DONE"/>
    <s v=" "/>
    <s v=" "/>
    <s v=" "/>
    <s v=" "/>
    <s v=" "/>
  </r>
  <r>
    <s v=" "/>
    <n v="39144"/>
    <s v="HLC-B"/>
    <s v="STBDL0764 HLCD"/>
    <x v="20"/>
    <s v="ECoR"/>
    <x v="5"/>
    <d v="2020-06-27T00:00:00"/>
    <n v="764"/>
    <x v="0"/>
    <s v="M-U7D2S04V.005,_x000a_MO-U7F2S240.005"/>
    <d v="2020-12-24T00:00:00"/>
    <s v="UAT2Y440.012"/>
    <d v="2021-02-01T00:00:00"/>
    <s v=" "/>
    <s v=" "/>
    <s v="Done by NW"/>
    <s v=" "/>
    <s v="Conv-B DONE"/>
    <s v="Conv-B DONE"/>
    <s v=" "/>
    <s v=" "/>
    <s v=" "/>
    <s v="Conv-B DONE"/>
    <s v=" "/>
    <s v=" "/>
    <s v=" "/>
    <s v=" "/>
    <s v=" "/>
  </r>
  <r>
    <s v=" "/>
    <n v="39145"/>
    <s v="HLC-A"/>
    <s v="STB1M0776 HLCD"/>
    <x v="20"/>
    <s v="ECoR"/>
    <x v="5"/>
    <d v="2020-07-10T00:00:00"/>
    <n v="776"/>
    <x v="0"/>
    <s v="M-U7D2S04V.005,_x000a_MO-U7F2S240.005"/>
    <d v="2021-02-20T00:00:00"/>
    <s v="UAT2Y440.012"/>
    <d v="2021-02-20T00:00:00"/>
    <d v="2021-04-17T00:00:00"/>
    <s v=" "/>
    <s v="Done by NW"/>
    <s v="Conv-A DONE"/>
    <s v="Conv-A DONE"/>
    <s v="Conv-A DONE"/>
    <s v="Conv-A DONE"/>
    <s v="Conv-A DONE"/>
    <s v=" "/>
    <s v="Conv-A DONE"/>
    <s v=" "/>
    <s v=" "/>
    <s v=" "/>
    <s v=" "/>
    <s v=" "/>
  </r>
  <r>
    <s v=" "/>
    <n v="39145"/>
    <s v="HLC-B"/>
    <s v="STB1M0775 HLCD"/>
    <x v="20"/>
    <s v="ECoR"/>
    <x v="5"/>
    <d v="2020-07-10T00:00:00"/>
    <n v="775"/>
    <x v="0"/>
    <s v="M-U7D2S04V.005,_x000a_MO-U7F2S240.005"/>
    <d v="2021-02-20T00:00:00"/>
    <s v="UAT2Y440.012"/>
    <d v="2021-02-20T00:00:00"/>
    <d v="2021-04-17T00:00:00"/>
    <s v=" "/>
    <s v="Done by NW"/>
    <s v="Conv-B DONE"/>
    <s v="Conv-B DONE"/>
    <s v="Conv-B DONE"/>
    <s v="Conv-B DONE"/>
    <s v="Conv-B DONE"/>
    <s v=" "/>
    <s v="Conv-B DONE"/>
    <s v=" "/>
    <s v=" "/>
    <s v=" "/>
    <s v=" "/>
    <s v=" "/>
  </r>
  <r>
    <s v=" "/>
    <n v="37585"/>
    <s v="HLC-A"/>
    <s v="STBDL0754"/>
    <x v="17"/>
    <s v=" "/>
    <x v="5"/>
    <d v="2021-05-29T00:00:00"/>
    <n v="754"/>
    <x v="0"/>
    <s v=" "/>
    <s v=" "/>
    <s v=" "/>
    <s v=" 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585"/>
    <s v="HLC-B"/>
    <s v="STBDL0760"/>
    <x v="17"/>
    <s v=" "/>
    <x v="5"/>
    <d v="2021-05-29T00:00:00"/>
    <n v="760"/>
    <x v="0"/>
    <s v=" "/>
    <s v=" "/>
    <s v=" "/>
    <s v=" 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591"/>
    <s v="HLC-B"/>
    <s v="STBDL0761"/>
    <x v="18"/>
    <s v=" "/>
    <x v="5"/>
    <d v="2021-05-27T00:00:00"/>
    <n v="761"/>
    <x v="0"/>
    <s v=" "/>
    <s v=" "/>
    <s v=" "/>
    <s v=" "/>
    <s v=" "/>
    <s v=" "/>
    <s v="Done by NW"/>
    <s v=" "/>
    <s v=" "/>
    <s v=" "/>
    <s v=" "/>
    <s v=" "/>
    <s v=" "/>
    <s v=" "/>
    <s v=" "/>
    <s v=" "/>
    <s v=" "/>
    <s v=" "/>
    <s v=" "/>
  </r>
  <r>
    <s v=" "/>
    <n v="37591"/>
    <s v="HLC-A"/>
    <s v="STB7M0868"/>
    <x v="18"/>
    <s v=" "/>
    <x v="5"/>
    <d v="2021-05-27T00:00:00"/>
    <n v="868"/>
    <x v="0"/>
    <s v=" "/>
    <s v=" 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92"/>
    <s v="HLC-B"/>
    <s v="STB7M0869"/>
    <x v="18"/>
    <s v=" "/>
    <x v="5"/>
    <d v="2021-06-05T00:00:00"/>
    <n v="869"/>
    <x v="0"/>
    <s v=" "/>
    <s v=" 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s v=" "/>
    <n v="37586"/>
    <s v="HLC-A"/>
    <s v="STB7M0870"/>
    <x v="17"/>
    <s v=" "/>
    <x v="5"/>
    <d v="2021-06-15T00:00:00"/>
    <n v="870"/>
    <x v="0"/>
    <s v=" "/>
    <s v=" "/>
    <s v=" "/>
    <s v=" "/>
    <s v=" "/>
    <s v=" "/>
    <s v="Done by NW"/>
    <s v=" "/>
    <s v=" "/>
    <s v=" "/>
    <s v=" "/>
    <s v=" "/>
    <s v="Done by NW"/>
    <s v=" "/>
    <s v=" "/>
    <s v=" "/>
    <s v=" "/>
    <s v=" "/>
    <s v=" "/>
  </r>
  <r>
    <m/>
    <n v="37586"/>
    <s v="HLC-B"/>
    <s v="STB7M0871"/>
    <x v="17"/>
    <s v=" "/>
    <x v="5"/>
    <d v="2021-06-15T00:00:00"/>
    <n v="871"/>
    <x v="0"/>
    <s v=" "/>
    <s v=" "/>
    <m/>
    <m/>
    <m/>
    <m/>
    <s v="Done by NW"/>
    <m/>
    <m/>
    <m/>
    <m/>
    <m/>
    <s v="Done by NW"/>
    <m/>
    <m/>
    <m/>
    <s v=" "/>
    <s v=" "/>
    <m/>
  </r>
  <r>
    <m/>
    <n v="37593"/>
    <s v="HLC-B"/>
    <s v="STB7M0886"/>
    <x v="16"/>
    <m/>
    <x v="5"/>
    <d v="2021-06-17T00:00:00"/>
    <n v="886"/>
    <x v="0"/>
    <s v=" "/>
    <s v=" "/>
    <m/>
    <m/>
    <m/>
    <m/>
    <s v="Done by NW"/>
    <m/>
    <m/>
    <m/>
    <m/>
    <m/>
    <s v="Done by NW"/>
    <m/>
    <m/>
    <m/>
    <s v=" "/>
    <s v=" "/>
    <m/>
  </r>
  <r>
    <m/>
    <n v="37593"/>
    <s v="HLC-A"/>
    <s v="STB7M0887"/>
    <x v="16"/>
    <m/>
    <x v="5"/>
    <d v="2021-06-17T00:00:00"/>
    <n v="887"/>
    <x v="0"/>
    <s v=" "/>
    <s v=" "/>
    <m/>
    <m/>
    <m/>
    <m/>
    <s v="Done by NW"/>
    <m/>
    <m/>
    <m/>
    <m/>
    <m/>
    <s v="Done by NW"/>
    <m/>
    <m/>
    <m/>
    <s v=" "/>
    <s v=" "/>
    <m/>
  </r>
  <r>
    <s v=" "/>
    <n v="37592"/>
    <s v="HLC-A"/>
    <s v="STBOM1030"/>
    <x v="18"/>
    <s v=" "/>
    <x v="5"/>
    <s v=" "/>
    <n v="1030"/>
    <x v="0"/>
    <s v="M-U7D2S04V.005,_x000a_MO-U7F2S240.005"/>
    <s v="Done by NW"/>
    <s v="UAT2Y440.012"/>
    <s v="Done by NW"/>
    <m/>
    <m/>
    <s v="Done by NW"/>
    <m/>
    <m/>
    <m/>
    <m/>
    <m/>
    <s v="Done by NW"/>
    <m/>
    <m/>
    <m/>
    <s v=" "/>
    <s v=" "/>
    <m/>
  </r>
  <r>
    <m/>
    <n v="30593"/>
    <s v="HLC-A"/>
    <s v="STB5J0094HLCC"/>
    <x v="21"/>
    <s v="CR"/>
    <x v="6"/>
    <d v="2017-10-30T00:00:00"/>
    <n v="94"/>
    <x v="0"/>
    <s v="M-U7D2S04V.005,_x000a_MO-U7F2S240.005"/>
    <s v="Done"/>
    <s v="UAT2Y440.012"/>
    <s v="Done"/>
    <d v="2020-08-27T00:00:00"/>
    <m/>
    <s v="Conv-A DONE"/>
    <s v="Conv-A DONE"/>
    <m/>
    <m/>
    <m/>
    <s v="Conv-A DONE"/>
    <s v="Conv-A DONE"/>
    <m/>
    <m/>
    <m/>
    <m/>
    <m/>
    <m/>
  </r>
  <r>
    <m/>
    <n v="30593"/>
    <s v="HLC-B"/>
    <s v="STB5J0095HLCC"/>
    <x v="21"/>
    <s v="CR"/>
    <x v="6"/>
    <d v="2017-10-30T00:00:00"/>
    <n v="95"/>
    <x v="0"/>
    <s v="M-U7D2S04V.005,_x000a_MO-U7F2S240.005"/>
    <s v="Done"/>
    <s v="UAT2Y440.012"/>
    <s v="Done"/>
    <d v="2020-08-27T00:00:00"/>
    <m/>
    <s v="Conv-B DONE"/>
    <s v="Conv-B DONE"/>
    <m/>
    <m/>
    <m/>
    <s v="Conv-B DONE"/>
    <s v="Conv-B DONE"/>
    <m/>
    <m/>
    <m/>
    <m/>
    <m/>
    <m/>
  </r>
  <r>
    <m/>
    <n v="30616"/>
    <s v="HLC-A"/>
    <s v="STB5J0103HLCD"/>
    <x v="21"/>
    <s v="CR"/>
    <x v="6"/>
    <d v="2017-12-11T00:00:00"/>
    <n v="103"/>
    <x v="0"/>
    <s v="M-U7D2S04V.005,_x000a_MO-U7F2S240.005"/>
    <d v="2021-06-12T00:00:00"/>
    <s v="UAT2Y440.012"/>
    <s v="Done"/>
    <d v="2020-08-07T00:00:00"/>
    <m/>
    <m/>
    <s v="Conv-A DONE"/>
    <s v="Conv-A DONE"/>
    <s v="DONE"/>
    <m/>
    <m/>
    <s v="Conv-A DONE"/>
    <s v="Conv-A DONE"/>
    <m/>
    <m/>
    <m/>
    <m/>
    <m/>
  </r>
  <r>
    <m/>
    <n v="30616"/>
    <s v="HLC-B"/>
    <s v="STB6J0111HLCD"/>
    <x v="21"/>
    <s v="CR"/>
    <x v="6"/>
    <d v="2017-12-11T00:00:00"/>
    <n v="111"/>
    <x v="0"/>
    <s v="M-U7D2S04V.005,_x000a_MO-U7F2S240.005"/>
    <d v="2021-06-12T00:00:00"/>
    <s v="UAT2Y440.012"/>
    <s v="Done"/>
    <d v="2020-08-07T00:00:00"/>
    <m/>
    <m/>
    <s v="Conv-B DONE"/>
    <s v="Conv-B DONE"/>
    <s v="DONE"/>
    <m/>
    <m/>
    <s v="Conv-B DONE"/>
    <s v="Conv-B DONE"/>
    <m/>
    <m/>
    <m/>
    <m/>
    <m/>
  </r>
  <r>
    <m/>
    <n v="30619"/>
    <s v="HLC-A"/>
    <s v="STB6J0117HLCD"/>
    <x v="21"/>
    <s v="CR"/>
    <x v="6"/>
    <d v="2017-12-09T00:00:00"/>
    <n v="117"/>
    <x v="0"/>
    <s v="M-U7D2S04V.005,_x000a_MO-U7F2S240.005"/>
    <s v="Done"/>
    <s v="UAT2Y440.012"/>
    <d v="2021-07-23T00:00:00"/>
    <d v="2020-06-12T00:00:00"/>
    <m/>
    <m/>
    <s v="Conv-A DONE"/>
    <s v="Conv-A DONE"/>
    <s v="DONE"/>
    <m/>
    <m/>
    <s v="Conv-A DONE"/>
    <m/>
    <m/>
    <m/>
    <m/>
    <m/>
    <m/>
  </r>
  <r>
    <m/>
    <n v="30619"/>
    <s v="HLC-B"/>
    <s v="STB9J0154HLCD"/>
    <x v="21"/>
    <s v="CR"/>
    <x v="6"/>
    <d v="2017-12-09T00:00:00"/>
    <n v="154"/>
    <x v="0"/>
    <s v="M-U7D2S04V.005,_x000a_MO-U7F2S240.005"/>
    <s v="Done"/>
    <s v="UAT2Y440.012"/>
    <d v="2021-07-23T00:00:00"/>
    <d v="2020-06-12T00:00:00"/>
    <m/>
    <m/>
    <s v="Conv-B DONE"/>
    <s v="Conv-B DONE"/>
    <s v="DONE"/>
    <m/>
    <m/>
    <s v="Conv-B DONE"/>
    <m/>
    <m/>
    <m/>
    <m/>
    <m/>
    <m/>
  </r>
  <r>
    <m/>
    <n v="37002"/>
    <s v="HLC-A"/>
    <s v="STB1K0174HLCD"/>
    <x v="21"/>
    <s v="CR"/>
    <x v="6"/>
    <d v="2018-05-31T00:00:00"/>
    <n v="174"/>
    <x v="0"/>
    <s v="M-U7D2S04V.005,_x000a_MO-U7F2S240.005"/>
    <d v="2021-05-06T00:00:00"/>
    <s v="UAT2Y440.012"/>
    <d v="2020-12-18T00:00:00"/>
    <d v="2020-08-10T00:00:00"/>
    <m/>
    <m/>
    <s v="Conv-A DONE"/>
    <m/>
    <m/>
    <m/>
    <m/>
    <s v="Conv-A DONE"/>
    <m/>
    <m/>
    <m/>
    <m/>
    <m/>
    <m/>
  </r>
  <r>
    <m/>
    <n v="37002"/>
    <s v="HLC-B"/>
    <s v="STB1K0175HLCD"/>
    <x v="21"/>
    <s v="CR"/>
    <x v="6"/>
    <d v="2018-05-31T00:00:00"/>
    <n v="175"/>
    <x v="0"/>
    <s v="M-U7D2S04V.005,_x000a_MO-U7F2S240.005"/>
    <d v="2021-05-06T00:00:00"/>
    <s v="UAT2Y440.012"/>
    <d v="2020-12-18T00:00:00"/>
    <d v="2020-08-10T00:00:00"/>
    <m/>
    <m/>
    <s v="Conv-B DONE"/>
    <m/>
    <m/>
    <m/>
    <m/>
    <s v="Conv-B DONE"/>
    <m/>
    <m/>
    <m/>
    <m/>
    <m/>
    <m/>
  </r>
  <r>
    <m/>
    <n v="37006"/>
    <s v="HLC-A"/>
    <s v="STB2K0184HLCD"/>
    <x v="21"/>
    <s v="CR"/>
    <x v="6"/>
    <d v="2018-06-29T00:00:00"/>
    <n v="184"/>
    <x v="0"/>
    <s v="M-U7D2S04V.005,_x000a_MO-U7F2S240.005"/>
    <d v="2021-08-09T00:00:00"/>
    <s v="UAT2Y440.012"/>
    <d v="2021-01-04T00:00:00"/>
    <d v="2021-01-04T00:00:00"/>
    <m/>
    <m/>
    <s v="Conv-A DONE"/>
    <m/>
    <m/>
    <s v="Conv-A DONE"/>
    <m/>
    <s v="Conv-A DONE"/>
    <s v="Conv-A DONE"/>
    <m/>
    <m/>
    <m/>
    <m/>
    <m/>
  </r>
  <r>
    <m/>
    <n v="37006"/>
    <s v="HLC-B"/>
    <s v="STB2K0185HLCD"/>
    <x v="21"/>
    <s v="CR"/>
    <x v="6"/>
    <d v="2018-06-29T00:00:00"/>
    <n v="185"/>
    <x v="0"/>
    <s v="M-U7D2S04V.005,_x000a_MO-U7F2S240.005"/>
    <d v="2021-08-09T00:00:00"/>
    <s v="UAT2Y440.012"/>
    <d v="2021-01-04T00:00:00"/>
    <d v="2021-01-04T00:00:00"/>
    <m/>
    <m/>
    <s v="Conv-B DONE"/>
    <m/>
    <m/>
    <s v="Conv-B DONE"/>
    <m/>
    <s v="Conv-B DONE"/>
    <s v="Conv-B DONE"/>
    <m/>
    <m/>
    <m/>
    <m/>
    <m/>
  </r>
  <r>
    <m/>
    <n v="37021"/>
    <s v="HLC-A"/>
    <s v="STB1K0176HLCD"/>
    <x v="21"/>
    <s v="CR"/>
    <x v="6"/>
    <d v="2018-09-14T00:00:00"/>
    <n v="176"/>
    <x v="0"/>
    <s v="M-U7D2S04V.005,_x000a_MO-U7F2S240.005"/>
    <s v="Done"/>
    <s v="UAT2Y440.012"/>
    <d v="2020-12-10T00:00:00"/>
    <d v="2020-10-13T00:00:00"/>
    <m/>
    <m/>
    <s v="Conv-A DONE"/>
    <s v="Conv-A DONE"/>
    <m/>
    <m/>
    <m/>
    <s v="Conv-A DONE"/>
    <s v="Conv-A DONE"/>
    <m/>
    <m/>
    <m/>
    <m/>
    <m/>
  </r>
  <r>
    <m/>
    <n v="37021"/>
    <s v="HLC-B"/>
    <s v="STB1K0177HLCD"/>
    <x v="21"/>
    <s v="CR"/>
    <x v="6"/>
    <d v="2018-09-14T00:00:00"/>
    <n v="177"/>
    <x v="0"/>
    <s v="M-U7D2S04V.005,_x000a_MO-U7F2S240.005"/>
    <d v="2021-05-15T00:00:00"/>
    <s v="UAT2Y440.012"/>
    <d v="2020-12-10T00:00:00"/>
    <d v="2020-10-13T00:00:00"/>
    <m/>
    <m/>
    <s v="Conv-B DONE"/>
    <s v="Conv-B DONE"/>
    <m/>
    <m/>
    <m/>
    <s v="Conv-B DONE"/>
    <s v="Conv-B DONE"/>
    <m/>
    <m/>
    <m/>
    <m/>
    <m/>
  </r>
  <r>
    <m/>
    <n v="37022"/>
    <s v="HLC-A"/>
    <s v="STB1K0170HLCD"/>
    <x v="21"/>
    <s v="CR"/>
    <x v="6"/>
    <d v="2018-09-20T00:00:00"/>
    <n v="170"/>
    <x v="0"/>
    <s v="U7D2S04V.005"/>
    <d v="2021-06-28T00:00:00"/>
    <s v="UAT2Y440.012"/>
    <d v="2021-02-09T00:00:00"/>
    <d v="2020-08-20T00:00:00"/>
    <m/>
    <m/>
    <s v="Conv-A DONE"/>
    <m/>
    <m/>
    <m/>
    <m/>
    <s v="Conv-A DONE"/>
    <m/>
    <m/>
    <m/>
    <m/>
    <m/>
    <m/>
  </r>
  <r>
    <m/>
    <n v="37022"/>
    <s v="HLC-B"/>
    <s v="STB1K0171HLCD"/>
    <x v="21"/>
    <s v="CR"/>
    <x v="6"/>
    <d v="2018-09-20T00:00:00"/>
    <n v="171"/>
    <x v="0"/>
    <s v="U7D2S04V.005"/>
    <d v="2021-06-28T00:00:00"/>
    <s v="UAT2Y440.012"/>
    <d v="2021-02-09T00:00:00"/>
    <d v="2020-08-20T00:00:00"/>
    <m/>
    <m/>
    <s v="Conv-B DONE"/>
    <m/>
    <m/>
    <m/>
    <m/>
    <s v="Conv-B DONE"/>
    <m/>
    <m/>
    <m/>
    <m/>
    <m/>
    <m/>
  </r>
  <r>
    <m/>
    <n v="37027"/>
    <s v="HLC-A"/>
    <s v="STB2K0182HLCD"/>
    <x v="21"/>
    <s v="CR"/>
    <x v="6"/>
    <d v="2018-09-26T00:00:00"/>
    <n v="182"/>
    <x v="0"/>
    <s v="M-U7D2S04V.005,_x000a_MO-U7F2S240.005"/>
    <s v="Done"/>
    <s v="UAT2Y440.012"/>
    <d v="2020-12-21T00:00:00"/>
    <d v="2020-08-13T00:00:00"/>
    <m/>
    <s v="Conv-A DONE"/>
    <s v="Conv-A DONE"/>
    <s v="Conv-A DONE"/>
    <s v="Conv-A DONE"/>
    <s v="Conv-A DONE"/>
    <m/>
    <s v="Conv-A DONE"/>
    <s v="Conv-A DONE"/>
    <m/>
    <m/>
    <m/>
    <m/>
    <m/>
  </r>
  <r>
    <m/>
    <n v="37027"/>
    <s v="HLC-B"/>
    <s v="STB2K0192HLCD"/>
    <x v="21"/>
    <s v="CR"/>
    <x v="6"/>
    <d v="2018-09-26T00:00:00"/>
    <n v="192"/>
    <x v="0"/>
    <s v="M-U7D2S04V.005,_x000a_MO-U7F2S240.005"/>
    <d v="2021-05-18T00:00:00"/>
    <s v="UAT2Y440.012"/>
    <d v="2020-12-21T00:00:00"/>
    <d v="2020-08-13T00:00:00"/>
    <m/>
    <s v="Conv-B DONE"/>
    <s v="Conv-B DONE"/>
    <s v="Conv-B DONE"/>
    <s v="Conv-B DONE"/>
    <s v="Conv-B DONE"/>
    <m/>
    <s v="Conv-B DONE"/>
    <s v="Conv-B DONE"/>
    <m/>
    <m/>
    <m/>
    <m/>
    <m/>
  </r>
  <r>
    <m/>
    <n v="37028"/>
    <s v="HLC-A"/>
    <s v="STB2K0187HLCD"/>
    <x v="21"/>
    <s v="CR"/>
    <x v="6"/>
    <d v="2018-09-26T00:00:00"/>
    <n v="187"/>
    <x v="0"/>
    <s v="M-U7D2S04V.005,_x000a_MO-U7F2S240.005"/>
    <s v="Done"/>
    <s v="UAT2Y440.012"/>
    <d v="2021-01-10T00:00:00"/>
    <d v="2021-01-10T00:00:00"/>
    <m/>
    <m/>
    <s v="Conv-A DONE"/>
    <s v="Conv-A DONE"/>
    <m/>
    <s v="Conv-A DONE"/>
    <m/>
    <s v="Conv-A DONE"/>
    <m/>
    <m/>
    <m/>
    <m/>
    <m/>
    <m/>
  </r>
  <r>
    <m/>
    <n v="37028"/>
    <s v="HLC-B"/>
    <s v="STB2K0188HLCD"/>
    <x v="21"/>
    <s v="CR"/>
    <x v="6"/>
    <d v="2018-09-26T00:00:00"/>
    <n v="188"/>
    <x v="0"/>
    <s v="M-U7D2S04V.005,_x000a_MO-U7F2S240.005"/>
    <s v="Done"/>
    <s v="UAT2Y440.012"/>
    <d v="2021-01-10T00:00:00"/>
    <d v="2021-01-10T00:00:00"/>
    <m/>
    <m/>
    <s v="Conv-B DONE"/>
    <s v="Conv-B DONE"/>
    <m/>
    <s v="Conv-B DONE"/>
    <m/>
    <s v="Conv-B DONE"/>
    <m/>
    <m/>
    <m/>
    <m/>
    <m/>
    <m/>
  </r>
  <r>
    <m/>
    <n v="37166"/>
    <s v="HLC-A"/>
    <s v="STB2L0445HLCD"/>
    <x v="21"/>
    <s v="CR"/>
    <x v="6"/>
    <d v="2019-05-09T00:00:00"/>
    <n v="445"/>
    <x v="0"/>
    <s v="M-U7D2S04V.005,_x000a_MO-U7F2S240.005"/>
    <d v="2021-08-10T00:00:00"/>
    <s v="UAT2Y440.012"/>
    <d v="2021-01-18T00:00:00"/>
    <d v="2021-01-09T00:00:00"/>
    <m/>
    <m/>
    <s v="Conv-A DONE"/>
    <s v="Conv-A DONE"/>
    <m/>
    <s v="Conv-A DONE"/>
    <m/>
    <s v="Conv-A DONE"/>
    <s v="Conv-A DONE"/>
    <m/>
    <m/>
    <m/>
    <m/>
    <m/>
  </r>
  <r>
    <m/>
    <n v="37166"/>
    <s v="HLC-B"/>
    <s v="STB2L0444HLCD"/>
    <x v="21"/>
    <s v="CR"/>
    <x v="6"/>
    <d v="2019-05-09T00:00:00"/>
    <n v="444"/>
    <x v="0"/>
    <s v="M-U7D2S04V.005,_x000a_MO-U7F2S240.005"/>
    <d v="2021-08-10T00:00:00"/>
    <s v="UAT2Y440.012"/>
    <d v="2021-01-18T00:00:00"/>
    <d v="2021-01-09T00:00:00"/>
    <m/>
    <m/>
    <s v="Conv-B DONE"/>
    <s v="Conv-B DONE"/>
    <m/>
    <m/>
    <m/>
    <s v="Conv-B DONE"/>
    <s v="Conv-B DONE"/>
    <m/>
    <m/>
    <m/>
    <m/>
    <m/>
  </r>
  <r>
    <m/>
    <n v="37167"/>
    <s v="HLC-A"/>
    <s v="STB2L0437HLCD"/>
    <x v="21"/>
    <s v="CR"/>
    <x v="6"/>
    <d v="2019-05-11T00:00:00"/>
    <n v="437"/>
    <x v="0"/>
    <s v="M-U7D2S04V.005,_x000a_MO-U7F2S240.005"/>
    <d v="2021-05-18T00:00:00"/>
    <s v="UAT2Y440.012"/>
    <d v="2020-12-10T00:00:00"/>
    <d v="2021-01-18T00:00:00"/>
    <m/>
    <m/>
    <m/>
    <s v="Conv-A DONE"/>
    <m/>
    <m/>
    <m/>
    <s v="Conv-A DONE"/>
    <m/>
    <m/>
    <m/>
    <m/>
    <m/>
    <m/>
  </r>
  <r>
    <m/>
    <n v="37167"/>
    <s v="HLC-B"/>
    <s v="STB2L0449HLCD"/>
    <x v="21"/>
    <s v="CR"/>
    <x v="6"/>
    <d v="2019-05-11T00:00:00"/>
    <n v="449"/>
    <x v="0"/>
    <s v="M-U7D2S04V.005,_x000a_MO-U7F2S240.005"/>
    <d v="2021-05-18T00:00:00"/>
    <s v="UAT2Y440.012"/>
    <d v="2020-12-10T00:00:00"/>
    <d v="2021-01-18T00:00:00"/>
    <m/>
    <m/>
    <m/>
    <s v="Conv-B DONE"/>
    <m/>
    <m/>
    <m/>
    <s v="Conv-B DONE"/>
    <m/>
    <m/>
    <m/>
    <m/>
    <m/>
    <m/>
  </r>
  <r>
    <m/>
    <n v="37194"/>
    <s v="HLC-A"/>
    <s v="STB4L0463HLCD"/>
    <x v="21"/>
    <s v="CR"/>
    <x v="6"/>
    <d v="2019-06-18T00:00:00"/>
    <n v="463"/>
    <x v="0"/>
    <s v="M-U7D2S04V.005,_x000a_MO-U7F2S240.005"/>
    <d v="2020-12-29T00:00:00"/>
    <s v="UAT2Y440.012"/>
    <d v="2020-12-29T00:00:00"/>
    <d v="2021-01-22T00:00:00"/>
    <m/>
    <m/>
    <s v="Conv-A DONE"/>
    <m/>
    <m/>
    <s v="Conv-A DONE"/>
    <m/>
    <s v="Conv-A DONE"/>
    <m/>
    <m/>
    <m/>
    <m/>
    <m/>
    <m/>
  </r>
  <r>
    <m/>
    <n v="37194"/>
    <s v="HLC-B"/>
    <s v="STB4L0462HLCD"/>
    <x v="21"/>
    <s v="CR"/>
    <x v="6"/>
    <d v="2019-06-18T00:00:00"/>
    <n v="462"/>
    <x v="0"/>
    <s v="M-U7D2S04V.005,_x000a_MO-U7F2S240.005"/>
    <d v="2020-12-29T00:00:00"/>
    <s v="UAT2Y440.012"/>
    <d v="2020-12-29T00:00:00"/>
    <d v="2021-01-22T00:00:00"/>
    <m/>
    <m/>
    <m/>
    <m/>
    <m/>
    <s v="Conv-B DONE"/>
    <m/>
    <s v="Conv-B DONE"/>
    <m/>
    <m/>
    <m/>
    <m/>
    <m/>
    <m/>
  </r>
  <r>
    <m/>
    <n v="37288"/>
    <s v="HLC-A"/>
    <s v="STB6L0548HLCD"/>
    <x v="21"/>
    <s v="CR"/>
    <x v="6"/>
    <d v="2019-11-28T00:00:00"/>
    <n v="548"/>
    <x v="0"/>
    <s v="M-U7D2S04V.005,_x000a_MO-U7F2S240.005"/>
    <s v="Done"/>
    <s v="UAT2Y440.012"/>
    <d v="2020-12-18T00:00:00"/>
    <d v="2020-12-18T00:00:00"/>
    <m/>
    <s v="Done by NW"/>
    <s v="Conv-A DONE"/>
    <m/>
    <m/>
    <m/>
    <m/>
    <s v="Conv-A DONE"/>
    <m/>
    <m/>
    <m/>
    <m/>
    <m/>
    <m/>
  </r>
  <r>
    <m/>
    <n v="37288"/>
    <s v="HLC-B"/>
    <s v="STB7L0649HLCD"/>
    <x v="21"/>
    <s v="CR"/>
    <x v="6"/>
    <d v="2019-11-28T00:00:00"/>
    <n v="649"/>
    <x v="0"/>
    <s v="M-U7D2S04V.005,_x000a_MO-U7F2S240.005"/>
    <s v="Done"/>
    <s v="UAT2Y440.012"/>
    <d v="2020-12-18T00:00:00"/>
    <d v="2020-12-18T00:00:00"/>
    <m/>
    <s v="Done by NW"/>
    <s v="Done by NW"/>
    <m/>
    <s v="DONE"/>
    <m/>
    <m/>
    <s v="Conv-B DONE"/>
    <m/>
    <m/>
    <m/>
    <m/>
    <m/>
    <m/>
  </r>
  <r>
    <m/>
    <n v="37289"/>
    <s v="HLC-A"/>
    <s v="STB6L0549HLCD"/>
    <x v="21"/>
    <s v="CR"/>
    <x v="6"/>
    <d v="2019-11-29T00:00:00"/>
    <n v="549"/>
    <x v="0"/>
    <s v="M-U7D2S04V.005,_x000a_MO-U7F2S240.005"/>
    <s v="Done"/>
    <s v="UAT2Y440.012"/>
    <s v="Done"/>
    <d v="2020-08-12T00:00:00"/>
    <m/>
    <s v="Done by NW"/>
    <s v="Conv-A DONE"/>
    <m/>
    <s v="DONE"/>
    <s v="Conv-A DONE"/>
    <m/>
    <s v="Conv-A DONE"/>
    <m/>
    <m/>
    <m/>
    <m/>
    <m/>
    <m/>
  </r>
  <r>
    <m/>
    <n v="37289"/>
    <s v="HLC-B"/>
    <s v="STB7L0648HLCD"/>
    <x v="21"/>
    <s v="CR"/>
    <x v="6"/>
    <d v="2019-11-29T00:00:00"/>
    <n v="648"/>
    <x v="0"/>
    <s v="M-U7D2S04V.005,_x000a_MO-U7F2S240.005"/>
    <s v="Done"/>
    <s v="UAT2Y440.012"/>
    <s v="Done"/>
    <d v="2020-08-12T00:00:00"/>
    <m/>
    <s v="Done by NW"/>
    <s v="Done by NW"/>
    <m/>
    <m/>
    <s v="Conv-B DONE"/>
    <m/>
    <s v="Conv-B DONE"/>
    <m/>
    <m/>
    <m/>
    <m/>
    <m/>
    <m/>
  </r>
  <r>
    <m/>
    <n v="37343"/>
    <s v="HLC-A"/>
    <s v="STBNL0708HLCD"/>
    <x v="21"/>
    <s v="CR"/>
    <x v="6"/>
    <d v="2020-02-29T00:00:00"/>
    <n v="708"/>
    <x v="0"/>
    <s v="M-U7D2S04V.005,_x000a_MO-U7F2S240.005"/>
    <s v="Done"/>
    <s v="UAT2Y440.012"/>
    <d v="2020-12-11T00:00:00"/>
    <d v="2020-12-12T00:00:00"/>
    <m/>
    <s v="Done by NW"/>
    <s v="Done by NW"/>
    <s v="Conv-A DONE"/>
    <m/>
    <m/>
    <m/>
    <s v="Conv-A DONE"/>
    <m/>
    <m/>
    <m/>
    <m/>
    <m/>
    <m/>
  </r>
  <r>
    <m/>
    <n v="37343"/>
    <s v="HLC-B"/>
    <s v="STBNL0707HLCD"/>
    <x v="21"/>
    <s v="CR"/>
    <x v="6"/>
    <d v="2020-02-29T00:00:00"/>
    <n v="707"/>
    <x v="0"/>
    <s v="M-U7D2S04V.005,_x000a_MO-U7F2S240.005"/>
    <s v="Done"/>
    <s v="UAT2Y440.012"/>
    <d v="2020-12-11T00:00:00"/>
    <d v="2020-12-12T00:00:00"/>
    <m/>
    <s v="Done by NW"/>
    <s v="Done by NW"/>
    <s v="Conv-B DONE"/>
    <m/>
    <m/>
    <m/>
    <s v="Conv-B DONE"/>
    <m/>
    <m/>
    <m/>
    <m/>
    <m/>
    <m/>
  </r>
  <r>
    <m/>
    <n v="37345"/>
    <s v="HLC-A"/>
    <s v="STBNL0686HLCD"/>
    <x v="21"/>
    <s v="CR"/>
    <x v="6"/>
    <d v="2020-03-05T00:00:00"/>
    <n v="686"/>
    <x v="0"/>
    <s v="M-U7D2S04V.005,_x000a_MO-U7F2S240.005"/>
    <d v="2021-05-29T00:00:00"/>
    <s v="UAT2Y440.012"/>
    <d v="2020-12-17T00:00:00"/>
    <m/>
    <m/>
    <s v="Done by NW"/>
    <s v="Done by NW"/>
    <s v="Conv-A DONE"/>
    <m/>
    <m/>
    <m/>
    <s v="Conv-A DONE"/>
    <m/>
    <m/>
    <m/>
    <m/>
    <m/>
    <m/>
  </r>
  <r>
    <m/>
    <n v="37345"/>
    <s v="HLC-B"/>
    <s v="STB6L0563HLCD"/>
    <x v="21"/>
    <s v="CR"/>
    <x v="6"/>
    <d v="2020-03-05T00:00:00"/>
    <n v="563"/>
    <x v="0"/>
    <s v="M-U7D2S04V.005,_x000a_MO-U7F2S240.005"/>
    <d v="2021-05-29T00:00:00"/>
    <s v="UAT2Y440.012"/>
    <d v="2020-12-17T00:00:00"/>
    <m/>
    <m/>
    <s v="Done by NW"/>
    <s v="Done by NW"/>
    <s v="Conv-B DONE"/>
    <m/>
    <m/>
    <m/>
    <s v="Conv-B DONE"/>
    <m/>
    <m/>
    <m/>
    <m/>
    <m/>
    <m/>
  </r>
  <r>
    <m/>
    <n v="37347"/>
    <s v="HLC-A"/>
    <s v="STB6L0556HLCD"/>
    <x v="21"/>
    <s v="CR"/>
    <x v="6"/>
    <d v="2020-03-07T00:00:00"/>
    <n v="556"/>
    <x v="0"/>
    <s v="M-U7D2S04V.005,_x000a_MO-U7F2S240.005"/>
    <d v="2021-08-07T00:00:00"/>
    <s v="UAT2Y440.012"/>
    <d v="2020-12-08T00:00:00"/>
    <d v="2020-08-12T00:00:00"/>
    <m/>
    <s v="Done by NW"/>
    <s v="Done by NW"/>
    <s v="Conv-A DONE"/>
    <s v="DONE"/>
    <m/>
    <m/>
    <s v="Conv-A DONE"/>
    <m/>
    <m/>
    <m/>
    <m/>
    <m/>
    <m/>
  </r>
  <r>
    <m/>
    <n v="37347"/>
    <s v="HLC-B"/>
    <s v="STBNL0687HLCD"/>
    <x v="21"/>
    <s v="CR"/>
    <x v="6"/>
    <d v="2020-03-07T00:00:00"/>
    <n v="687"/>
    <x v="0"/>
    <s v="M-U7D2S04V.005,_x000a_MO-U7F2S240.005"/>
    <d v="2021-08-02T00:00:00"/>
    <s v="UAT2Y440.012"/>
    <d v="2020-12-08T00:00:00"/>
    <d v="2020-08-12T00:00:00"/>
    <m/>
    <s v="Done by NW"/>
    <s v="Done by NW"/>
    <s v="Conv-B DONE"/>
    <s v="DONE"/>
    <m/>
    <m/>
    <s v="Conv-B DONE"/>
    <m/>
    <m/>
    <m/>
    <m/>
    <m/>
    <m/>
  </r>
  <r>
    <m/>
    <n v="37410"/>
    <s v="HLC-A"/>
    <s v="STB6M0854HLCD"/>
    <x v="21"/>
    <s v="CR"/>
    <x v="6"/>
    <d v="2020-07-29T00:00:00"/>
    <n v="854"/>
    <x v="0"/>
    <s v="M-U7D2S04V.005,_x000a_MO-U7F2S240.005"/>
    <d v="2020-12-31T00:00:00"/>
    <s v="UAT2Y440.012"/>
    <d v="2020-12-31T00:00:00"/>
    <m/>
    <m/>
    <s v="Done by NW"/>
    <s v="Done by NW"/>
    <s v="Conv-A DONE"/>
    <s v="DONE"/>
    <s v="Conv-A DONE"/>
    <m/>
    <m/>
    <s v="Done by NW"/>
    <m/>
    <m/>
    <m/>
    <m/>
    <m/>
  </r>
  <r>
    <m/>
    <n v="37410"/>
    <s v="HLC-B"/>
    <s v="STBNL0720HLCD"/>
    <x v="21"/>
    <s v="CR"/>
    <x v="6"/>
    <d v="2020-07-29T00:00:00"/>
    <n v="720"/>
    <x v="0"/>
    <s v="M-U7D2S04V.005,_x000a_MO-U7F2S240.005"/>
    <d v="2020-12-31T00:00:00"/>
    <s v="UAT2Y440.012"/>
    <d v="2020-12-31T00:00:00"/>
    <m/>
    <m/>
    <s v="Done by NW"/>
    <s v="Done by NW"/>
    <s v="Conv-B DONE"/>
    <s v="DONE"/>
    <s v="Conv-B DONE"/>
    <m/>
    <m/>
    <m/>
    <m/>
    <m/>
    <m/>
    <m/>
    <m/>
  </r>
  <r>
    <m/>
    <n v="37412"/>
    <s v="HLC-A"/>
    <s v="STB5M0816HLCD"/>
    <x v="21"/>
    <s v="CR"/>
    <x v="6"/>
    <d v="2020-08-19T00:00:00"/>
    <n v="816"/>
    <x v="0"/>
    <s v="M-U7D2S04V.005,_x000a_MO-U7F2S240.005"/>
    <d v="2020-10-21T00:00:00"/>
    <s v="U812Y440.010"/>
    <m/>
    <m/>
    <m/>
    <s v="Done by NW"/>
    <s v="Done by NW"/>
    <s v="Conv-A DONE"/>
    <s v="Conv-A DONE"/>
    <s v="Conv-A DONE"/>
    <m/>
    <s v="Conv-A DONE"/>
    <s v="Done by NW"/>
    <m/>
    <m/>
    <m/>
    <m/>
    <m/>
  </r>
  <r>
    <m/>
    <n v="37412"/>
    <s v="HLC-B"/>
    <s v="STB5M0817HLCD"/>
    <x v="21"/>
    <s v="CR"/>
    <x v="6"/>
    <d v="2020-08-19T00:00:00"/>
    <n v="817"/>
    <x v="0"/>
    <s v="M-U7D2S04V.005,_x000a_MO-U7F2S240.005"/>
    <d v="2020-10-21T00:00:00"/>
    <s v="U812Y440.010"/>
    <m/>
    <m/>
    <m/>
    <s v="Done by NW"/>
    <s v="Done by NW"/>
    <s v="Conv-B DONE"/>
    <s v="Conv-B DONE"/>
    <s v="Conv-B DONE"/>
    <m/>
    <s v="Conv-B DONE"/>
    <s v="Done by NW"/>
    <m/>
    <m/>
    <m/>
    <m/>
    <m/>
  </r>
  <r>
    <m/>
    <n v="37414"/>
    <s v="HLC-A"/>
    <s v="STBNL0719HLCD"/>
    <x v="21"/>
    <s v="CR"/>
    <x v="6"/>
    <d v="2020-08-06T00:00:00"/>
    <n v="719"/>
    <x v="0"/>
    <s v="M-U7D2S04V.005,_x000a_MO-U7F2S240.005"/>
    <d v="2021-08-07T00:00:00"/>
    <s v="UAT2Y440.012"/>
    <d v="2020-12-18T00:00:00"/>
    <m/>
    <m/>
    <s v="Done by NW"/>
    <s v="Done by NW"/>
    <s v="Conv-A DONE"/>
    <s v="Conv-A DONE"/>
    <s v="Conv-A DONE"/>
    <m/>
    <s v="Conv-A DONE"/>
    <m/>
    <m/>
    <m/>
    <m/>
    <m/>
    <m/>
  </r>
  <r>
    <m/>
    <n v="37414"/>
    <s v="HLC-B"/>
    <s v="STB5M0784HLCD"/>
    <x v="21"/>
    <s v="CR"/>
    <x v="6"/>
    <d v="2020-08-06T00:00:00"/>
    <n v="784"/>
    <x v="0"/>
    <s v="M-U7D2S04V.005,_x000a_MO-U7F2S240.005"/>
    <d v="2021-08-07T00:00:00"/>
    <s v="UAT2Y440.012"/>
    <d v="2020-12-18T00:00:00"/>
    <m/>
    <m/>
    <s v="Done by NW"/>
    <s v="Done by NW"/>
    <s v="Conv-B DONE"/>
    <s v="Conv-B DONE"/>
    <s v="Conv-B DONE"/>
    <m/>
    <s v="Conv-B DONE"/>
    <s v="Done by NW"/>
    <m/>
    <m/>
    <m/>
    <m/>
    <m/>
  </r>
  <r>
    <m/>
    <n v="37454"/>
    <s v="HLC-A"/>
    <s v="STB6M0844HLCD"/>
    <x v="21"/>
    <s v="CR"/>
    <x v="6"/>
    <d v="2021-01-05T00:00:00"/>
    <n v="844"/>
    <x v="0"/>
    <s v="M-U7D2S04V.005,_x000a_MO-U7F2S240.005"/>
    <d v="2021-07-21T00:00:00"/>
    <s v="UAT2Y440.012"/>
    <d v="2020-12-22T00:00:00"/>
    <d v="2021-01-01T00:00:00"/>
    <m/>
    <s v="Done by NW"/>
    <s v="Done by NW"/>
    <s v="Conv-A DONE"/>
    <s v="Conv-A DONE"/>
    <s v="Conv-A DONE"/>
    <m/>
    <s v="Conv-A DONE"/>
    <s v="Done by NW"/>
    <m/>
    <m/>
    <m/>
    <m/>
    <m/>
  </r>
  <r>
    <m/>
    <n v="37454"/>
    <s v="HLC-B"/>
    <s v="STB6M0845HLCD"/>
    <x v="21"/>
    <s v="CR"/>
    <x v="6"/>
    <d v="2021-01-05T00:00:00"/>
    <n v="845"/>
    <x v="0"/>
    <s v="M-U7D2S04V.005,_x000a_MO-U7F2S240.005"/>
    <d v="2021-07-21T00:00:00"/>
    <s v="UAT2Y440.012"/>
    <d v="2020-12-22T00:00:00"/>
    <d v="2021-01-01T00:00:00"/>
    <m/>
    <s v="Done by NW"/>
    <s v="Done by NW"/>
    <s v="Conv-B DONE"/>
    <s v="Conv-B DONE"/>
    <s v="Conv-B DONE"/>
    <m/>
    <s v="Conv-B DONE"/>
    <s v="Done by NW"/>
    <m/>
    <m/>
    <m/>
    <m/>
    <m/>
  </r>
  <r>
    <m/>
    <n v="37561"/>
    <s v="HLC-A"/>
    <s v="STB7M0860"/>
    <x v="21"/>
    <s v="CR"/>
    <x v="6"/>
    <d v="2021-03-22T00:00:00"/>
    <n v="860"/>
    <x v="0"/>
    <s v="M-U7D2S04V.005,_x000a_MO-U7F2S240.005"/>
    <s v="Done"/>
    <s v="UAT2Y440.012"/>
    <s v="Done"/>
    <m/>
    <m/>
    <s v="Done by NW"/>
    <s v="Done by NW"/>
    <s v="Conv-A DONE"/>
    <s v="Conv-A DONE"/>
    <s v="Conv-A DONE"/>
    <m/>
    <m/>
    <s v="Done by NW"/>
    <m/>
    <m/>
    <m/>
    <m/>
    <m/>
  </r>
  <r>
    <m/>
    <n v="37561"/>
    <s v="HLC-B"/>
    <s v="STB7M0861"/>
    <x v="21"/>
    <s v="CR"/>
    <x v="6"/>
    <d v="2021-03-22T00:00:00"/>
    <n v="861"/>
    <x v="0"/>
    <s v="M-U7D2S04V.005,_x000a_MO-U7F2S240.005"/>
    <s v="Done"/>
    <s v="UAT2Y440.012"/>
    <s v="Done"/>
    <m/>
    <m/>
    <s v="Done by NW"/>
    <s v="Done by NW"/>
    <s v="Conv-B DONE"/>
    <s v="Conv-B DONE"/>
    <s v="Conv-B DONE"/>
    <m/>
    <m/>
    <s v="Done by NW"/>
    <m/>
    <m/>
    <m/>
    <m/>
    <m/>
  </r>
  <r>
    <m/>
    <n v="39003"/>
    <s v="HLC-A"/>
    <s v="STB3K0205HLCD"/>
    <x v="21"/>
    <s v="CR"/>
    <x v="6"/>
    <d v="2018-12-30T00:00:00"/>
    <n v="205"/>
    <x v="0"/>
    <s v="U7D2S04V.005"/>
    <d v="2021-06-18T00:00:00"/>
    <s v="UAT2Y440.012"/>
    <d v="2021-01-10T00:00:00"/>
    <d v="2021-01-18T00:00:00"/>
    <m/>
    <s v="Conv-A DONE"/>
    <s v="Conv-A DONE"/>
    <s v="Conv-A DONE"/>
    <s v="Conv-A DONE"/>
    <s v="Conv-A DONE"/>
    <m/>
    <s v="Conv-A DONE"/>
    <s v="Conv-A DONE"/>
    <m/>
    <m/>
    <m/>
    <m/>
    <m/>
  </r>
  <r>
    <m/>
    <n v="39003"/>
    <s v="HLC-B"/>
    <s v="STB3K0204HLCD"/>
    <x v="21"/>
    <s v="CR"/>
    <x v="6"/>
    <d v="2018-12-30T00:00:00"/>
    <n v="204"/>
    <x v="0"/>
    <s v="U7D2S04V.005"/>
    <d v="2021-06-18T00:00:00"/>
    <s v="UAT2Y440.012"/>
    <d v="2021-01-10T00:00:00"/>
    <d v="2021-01-18T00:00:00"/>
    <m/>
    <s v="Conv-B DONE"/>
    <s v="Conv-B DONE"/>
    <s v="Conv-B DONE"/>
    <s v="Conv-B DONE"/>
    <s v="Conv-B DONE"/>
    <m/>
    <s v="Conv-B DONE"/>
    <s v="Conv-B DONE"/>
    <m/>
    <m/>
    <m/>
    <m/>
    <m/>
  </r>
  <r>
    <m/>
    <n v="39076"/>
    <s v="HLC-A"/>
    <s v="STB4L0483HLCD"/>
    <x v="21"/>
    <s v="CR"/>
    <x v="6"/>
    <d v="2019-07-26T00:00:00"/>
    <n v="483"/>
    <x v="0"/>
    <s v="M-U7D2S04V.005,_x000a_MO-U7F2S240.005"/>
    <s v="Done"/>
    <s v="UAT2Y440.012"/>
    <d v="2021-01-02T00:00:00"/>
    <d v="2021-01-02T00:00:00"/>
    <m/>
    <m/>
    <s v="Conv-A DONE"/>
    <s v="Conv-A DONE"/>
    <s v="Conv-A DONE"/>
    <s v="Conv-A DONE"/>
    <m/>
    <s v="Conv-A DONE"/>
    <m/>
    <m/>
    <m/>
    <m/>
    <m/>
    <m/>
  </r>
  <r>
    <m/>
    <n v="39076"/>
    <s v="HLC-B"/>
    <s v="STB4L0484HLCD"/>
    <x v="21"/>
    <s v="CR"/>
    <x v="6"/>
    <d v="2019-07-26T00:00:00"/>
    <n v="484"/>
    <x v="0"/>
    <s v="M-U7D2S04V.005,_x000a_MO-U7F2S240.005"/>
    <s v="Done"/>
    <s v="UAT2Y440.012"/>
    <d v="2021-01-02T00:00:00"/>
    <d v="2021-01-02T00:00:00"/>
    <m/>
    <m/>
    <s v="Conv-B DONE"/>
    <s v="Conv-B DONE"/>
    <s v="Conv-B DONE"/>
    <s v="Conv-B DONE"/>
    <m/>
    <s v="Conv-B DONE"/>
    <m/>
    <m/>
    <m/>
    <m/>
    <m/>
    <m/>
  </r>
  <r>
    <m/>
    <n v="37063"/>
    <s v="HLC-A"/>
    <s v="STB5K0241HLCD"/>
    <x v="22"/>
    <s v="WCR"/>
    <x v="6"/>
    <d v="2018-12-18T00:00:00"/>
    <n v="241"/>
    <x v="0"/>
    <s v="M-U7D2S04V.005,_x000a_MO-U7F2S240.005"/>
    <d v="2021-02-04T00:00:00"/>
    <s v="UAT2Y440.012"/>
    <d v="2021-02-04T00:00:00"/>
    <d v="2021-02-04T00:00:00"/>
    <m/>
    <m/>
    <s v="Conv-A DONE"/>
    <m/>
    <m/>
    <m/>
    <m/>
    <m/>
    <m/>
    <m/>
    <m/>
    <m/>
    <m/>
    <m/>
  </r>
  <r>
    <m/>
    <n v="37063"/>
    <s v="HLC-B"/>
    <s v="STB5K0240HLCD"/>
    <x v="22"/>
    <s v="WCR"/>
    <x v="6"/>
    <d v="2018-12-18T00:00:00"/>
    <n v="240"/>
    <x v="0"/>
    <s v="M-U7D2S04V.005,_x000a_MO-U7F2S240.005"/>
    <d v="2021-02-04T00:00:00"/>
    <s v="UAT2Y440.012"/>
    <d v="2021-02-04T00:00:00"/>
    <m/>
    <m/>
    <m/>
    <s v="Conv-B DONE"/>
    <m/>
    <m/>
    <m/>
    <m/>
    <m/>
    <m/>
    <m/>
    <m/>
    <m/>
    <m/>
    <m/>
  </r>
  <r>
    <m/>
    <n v="37064"/>
    <s v="HLC-A"/>
    <s v="STB5K0243HLCD"/>
    <x v="22"/>
    <s v="WCR"/>
    <x v="6"/>
    <d v="2018-12-23T00:00:00"/>
    <n v="243"/>
    <x v="0"/>
    <s v="M-U7D2S04V.005,_x000a_MO-U7F2S240.005"/>
    <d v="2020-12-19T00:00:00"/>
    <s v="UAT2Y440.012"/>
    <d v="2020-12-19T00:00:00"/>
    <d v="2020-12-19T00:00:00"/>
    <m/>
    <m/>
    <s v="Conv-A DONE"/>
    <m/>
    <m/>
    <m/>
    <m/>
    <m/>
    <m/>
    <m/>
    <m/>
    <m/>
    <m/>
    <m/>
  </r>
  <r>
    <m/>
    <n v="37064"/>
    <s v="HLC-B"/>
    <s v="STB6K0247HLCD"/>
    <x v="22"/>
    <s v="WCR"/>
    <x v="6"/>
    <d v="2018-12-23T00:00:00"/>
    <n v="247"/>
    <x v="0"/>
    <s v="M-U7D2S04V.005,_x000a_MO-U7F2S240.005"/>
    <d v="2020-12-19T00:00:00"/>
    <s v="UAT2Y440.012"/>
    <d v="2020-12-19T00:00:00"/>
    <m/>
    <m/>
    <m/>
    <s v="Conv-B DONE"/>
    <m/>
    <m/>
    <m/>
    <m/>
    <m/>
    <m/>
    <m/>
    <m/>
    <m/>
    <m/>
    <m/>
  </r>
  <r>
    <m/>
    <n v="37065"/>
    <s v="HLC-A"/>
    <s v="STB6K0246HLCD"/>
    <x v="22"/>
    <s v="WCR"/>
    <x v="6"/>
    <d v="2018-12-22T00:00:00"/>
    <n v="246"/>
    <x v="0"/>
    <s v="M-U7D2S04V.005,_x000a_MO-U7F2S240.005"/>
    <d v="2021-02-04T00:00:00"/>
    <s v="UAT2Y440.012"/>
    <d v="2021-02-04T00:00:00"/>
    <d v="2021-02-04T00:00:00"/>
    <m/>
    <m/>
    <s v="Conv-A DONE"/>
    <m/>
    <m/>
    <m/>
    <m/>
    <m/>
    <m/>
    <m/>
    <m/>
    <m/>
    <m/>
    <m/>
  </r>
  <r>
    <m/>
    <n v="37065"/>
    <s v="HLC-B"/>
    <s v="STB5K0242HLCD"/>
    <x v="22"/>
    <s v="WCR"/>
    <x v="6"/>
    <d v="2018-12-22T00:00:00"/>
    <n v="242"/>
    <x v="0"/>
    <s v="M-U7D2S04V.005,_x000a_MO-U7F2S240.005"/>
    <d v="2021-02-04T00:00:00"/>
    <s v="UAT2Y440.012"/>
    <d v="2021-02-04T00:00:00"/>
    <m/>
    <m/>
    <m/>
    <s v="Conv-B DONE"/>
    <m/>
    <m/>
    <m/>
    <m/>
    <m/>
    <m/>
    <m/>
    <m/>
    <m/>
    <m/>
    <m/>
  </r>
  <r>
    <m/>
    <n v="37072"/>
    <s v="HLC-A"/>
    <s v="STB8K0285HLCD"/>
    <x v="22"/>
    <s v="WCR"/>
    <x v="6"/>
    <d v="2018-12-28T00:00:00"/>
    <n v="285"/>
    <x v="0"/>
    <s v="M-U7D2S04V.005,_x000a_MO-U7F2S240.005"/>
    <d v="2021-01-20T00:00:00"/>
    <s v="UAT2Y440.012"/>
    <d v="2021-01-20T00:00:00"/>
    <d v="2021-01-20T00:00:00"/>
    <m/>
    <m/>
    <s v="Conv-A DONE"/>
    <m/>
    <m/>
    <m/>
    <m/>
    <m/>
    <m/>
    <m/>
    <m/>
    <m/>
    <m/>
    <m/>
  </r>
  <r>
    <m/>
    <n v="37072"/>
    <s v="HLC-B"/>
    <s v="STB8K0284HLCD"/>
    <x v="22"/>
    <s v="WCR"/>
    <x v="6"/>
    <d v="2018-12-28T00:00:00"/>
    <n v="284"/>
    <x v="0"/>
    <s v="M-U7D2S04V.005,_x000a_MO-U7F2S240.005"/>
    <d v="2021-01-20T00:00:00"/>
    <s v="UAT2Y440.012"/>
    <d v="2021-01-20T00:00:00"/>
    <m/>
    <m/>
    <m/>
    <s v="Conv-B DONE"/>
    <m/>
    <m/>
    <m/>
    <m/>
    <m/>
    <m/>
    <m/>
    <m/>
    <m/>
    <m/>
    <m/>
  </r>
  <r>
    <m/>
    <n v="37074"/>
    <s v="HLC-A"/>
    <s v="STB7K0276HLCD"/>
    <x v="22"/>
    <s v="WCR"/>
    <x v="6"/>
    <d v="2018-12-29T00:00:00"/>
    <n v="276"/>
    <x v="0"/>
    <s v="M-U7D2S04V.005,_x000a_MO-U7F2S240.005"/>
    <d v="2021-05-06T00:00:00"/>
    <s v="UAT2Y440.012"/>
    <s v="Done"/>
    <m/>
    <m/>
    <m/>
    <s v="Conv-A DONE"/>
    <m/>
    <m/>
    <m/>
    <m/>
    <m/>
    <m/>
    <m/>
    <m/>
    <m/>
    <m/>
    <m/>
  </r>
  <r>
    <m/>
    <n v="37074"/>
    <s v="HLC-B"/>
    <s v="STB7K0277HLCD"/>
    <x v="22"/>
    <s v="WCR"/>
    <x v="6"/>
    <d v="2018-12-29T00:00:00"/>
    <n v="277"/>
    <x v="0"/>
    <m/>
    <m/>
    <s v="UAT2Y440.012"/>
    <s v="Done"/>
    <m/>
    <m/>
    <m/>
    <s v="Conv-B DONE"/>
    <m/>
    <m/>
    <m/>
    <m/>
    <m/>
    <m/>
    <m/>
    <m/>
    <m/>
    <m/>
    <m/>
  </r>
  <r>
    <m/>
    <n v="37228"/>
    <s v="HLC-A"/>
    <s v="STB5L0512HLCD"/>
    <x v="22"/>
    <s v="WCR"/>
    <x v="6"/>
    <d v="2019-07-26T00:00:00"/>
    <n v="512"/>
    <x v="0"/>
    <s v="M-U7D2S04V.005,_x000a_MO-U7F2S240.005"/>
    <d v="2021-02-11T00:00:00"/>
    <s v="U812Y440.010"/>
    <d v="2021-01-17T00:00:00"/>
    <m/>
    <m/>
    <s v="Done by NW"/>
    <s v="Conv-A DONE"/>
    <m/>
    <m/>
    <m/>
    <m/>
    <m/>
    <m/>
    <m/>
    <m/>
    <m/>
    <m/>
    <m/>
  </r>
  <r>
    <m/>
    <n v="37228"/>
    <s v="HLC-B"/>
    <s v="STB5L0513HLCD"/>
    <x v="22"/>
    <s v="WCR"/>
    <x v="6"/>
    <d v="2019-07-26T00:00:00"/>
    <n v="513"/>
    <x v="0"/>
    <s v="M-U7D2S04V.005,_x000a_MO-U7F2S240.005"/>
    <d v="2021-02-11T00:00:00"/>
    <s v="U812Y440.010"/>
    <d v="1921-01-17T00:00:00"/>
    <m/>
    <m/>
    <s v="Done by NW"/>
    <s v="Conv-B DONE"/>
    <m/>
    <m/>
    <m/>
    <m/>
    <m/>
    <m/>
    <m/>
    <m/>
    <m/>
    <m/>
    <m/>
  </r>
  <r>
    <m/>
    <n v="37229"/>
    <s v="HLC-A"/>
    <s v="STB6L0544HLCD"/>
    <x v="22"/>
    <s v="WCR"/>
    <x v="6"/>
    <d v="2019-07-27T00:00:00"/>
    <n v="544"/>
    <x v="0"/>
    <s v="M-U7D2S04V.005,_x000a_MO-U7F2S240.005"/>
    <d v="2021-03-09T00:00:00"/>
    <s v="U812Y440.010"/>
    <d v="2021-03-09T00:00:00"/>
    <m/>
    <m/>
    <s v="Done by NW"/>
    <s v="Conv-A DONE"/>
    <m/>
    <m/>
    <m/>
    <m/>
    <m/>
    <m/>
    <m/>
    <m/>
    <m/>
    <m/>
    <m/>
  </r>
  <r>
    <m/>
    <n v="37229"/>
    <s v="HLC-B"/>
    <s v="STB6L0545HLCD"/>
    <x v="22"/>
    <s v="WCR"/>
    <x v="6"/>
    <d v="2019-07-27T00:00:00"/>
    <n v="545"/>
    <x v="0"/>
    <s v="M-U7D2S04V.005,_x000a_MO-U7F2S240.005"/>
    <d v="2021-03-09T00:00:00"/>
    <s v="U812Y440.010"/>
    <d v="2021-03-09T00:00:00"/>
    <m/>
    <m/>
    <s v="Done by NW"/>
    <s v="Conv-B DONE"/>
    <m/>
    <m/>
    <m/>
    <m/>
    <m/>
    <m/>
    <m/>
    <m/>
    <m/>
    <m/>
    <m/>
  </r>
  <r>
    <m/>
    <n v="37230"/>
    <s v="HLC-A"/>
    <s v="STB6L0560HLCD"/>
    <x v="22"/>
    <s v="WCR"/>
    <x v="6"/>
    <d v="2019-08-25T00:00:00"/>
    <n v="560"/>
    <x v="0"/>
    <s v="M-U7D2S04V.005,_x000a_MO-U7F2S240.005"/>
    <d v="2021-03-10T00:00:00"/>
    <s v="U812Y440.010"/>
    <d v="2020-12-18T00:00:00"/>
    <m/>
    <m/>
    <s v="Done by NW"/>
    <s v="Done by NW"/>
    <m/>
    <m/>
    <m/>
    <m/>
    <m/>
    <m/>
    <m/>
    <m/>
    <m/>
    <m/>
    <m/>
  </r>
  <r>
    <m/>
    <n v="37230"/>
    <s v="HLC-B"/>
    <s v="STB6L0558HLCD"/>
    <x v="22"/>
    <s v="WCR"/>
    <x v="6"/>
    <d v="2019-08-25T00:00:00"/>
    <n v="558"/>
    <x v="0"/>
    <s v="M-U7D2S04V.005,_x000a_MO-U7F2S240.005"/>
    <d v="2021-03-10T00:00:00"/>
    <s v="U812Y440.010"/>
    <d v="2020-12-18T00:00:00"/>
    <m/>
    <m/>
    <s v="Done by NW"/>
    <s v="Done by NW"/>
    <m/>
    <m/>
    <m/>
    <m/>
    <m/>
    <m/>
    <m/>
    <m/>
    <m/>
    <m/>
    <m/>
  </r>
  <r>
    <m/>
    <n v="37541"/>
    <s v="HLC-A"/>
    <s v="STB8M0935HLCD"/>
    <x v="22"/>
    <s v="WCR"/>
    <x v="6"/>
    <d v="2021-02-15T00:00:00"/>
    <n v="935"/>
    <x v="0"/>
    <s v="M-U7D2S04V.005,_x000a_MO-U7F2S240.005"/>
    <s v="Done by NW"/>
    <s v="UAT2Y440.012"/>
    <d v="2021-02-23T00:00:00"/>
    <m/>
    <m/>
    <s v="Done by NW"/>
    <s v="Done by NW"/>
    <m/>
    <m/>
    <m/>
    <m/>
    <m/>
    <s v="Done by NW"/>
    <m/>
    <m/>
    <m/>
    <m/>
    <m/>
  </r>
  <r>
    <m/>
    <n v="37541"/>
    <s v="HLC-B"/>
    <s v="STB8M0909HLCD"/>
    <x v="22"/>
    <s v="WCR"/>
    <x v="6"/>
    <d v="2021-02-15T00:00:00"/>
    <n v="909"/>
    <x v="0"/>
    <s v="M-U7D2S04V.005,_x000a_MO-U7F2S240.005"/>
    <s v="Done by NW"/>
    <s v="UAT2Y440.012"/>
    <d v="2021-02-23T00:00:00"/>
    <m/>
    <m/>
    <s v="Done by NW"/>
    <s v="Done by NW"/>
    <m/>
    <m/>
    <m/>
    <m/>
    <m/>
    <s v="Done by NW"/>
    <m/>
    <m/>
    <m/>
    <m/>
    <m/>
  </r>
  <r>
    <m/>
    <n v="39040"/>
    <s v="HLC-A"/>
    <s v="STB10K0307HLCD"/>
    <x v="22"/>
    <s v="WCR"/>
    <x v="6"/>
    <d v="2019-04-03T00:00:00"/>
    <n v="307"/>
    <x v="0"/>
    <s v="M-U7D2S04V.005,_x000a_MO-U7F2S240.005"/>
    <d v="2020-10-17T00:00:00"/>
    <s v="UAT2Y440.012"/>
    <d v="2021-08-02T00:00:00"/>
    <m/>
    <m/>
    <m/>
    <s v="Conv-A DONE"/>
    <m/>
    <m/>
    <m/>
    <m/>
    <m/>
    <m/>
    <m/>
    <m/>
    <m/>
    <m/>
    <m/>
  </r>
  <r>
    <m/>
    <n v="39040"/>
    <s v="HLC-B"/>
    <s v="STB10K0306HLCD"/>
    <x v="22"/>
    <s v="WCR"/>
    <x v="6"/>
    <d v="2019-04-03T00:00:00"/>
    <n v="306"/>
    <x v="0"/>
    <s v="M-U7D2S04V.005,_x000a_MO-U7F2S240.005"/>
    <d v="2020-10-17T00:00:00"/>
    <s v="UAT2Y440.012"/>
    <d v="2021-08-02T00:00:00"/>
    <m/>
    <m/>
    <m/>
    <s v="Conv-B DONE"/>
    <m/>
    <m/>
    <m/>
    <m/>
    <m/>
    <m/>
    <m/>
    <m/>
    <m/>
    <m/>
    <m/>
  </r>
  <r>
    <m/>
    <n v="39043"/>
    <s v="HLC-A"/>
    <s v="STB10K0302HLCD"/>
    <x v="22"/>
    <s v="WCR"/>
    <x v="6"/>
    <d v="2019-05-02T00:00:00"/>
    <n v="302"/>
    <x v="0"/>
    <s v="M-U7D2S04V.005,_x000a_MO-U7F2S240.005"/>
    <d v="2021-03-06T00:00:00"/>
    <s v="U812Y440.010"/>
    <d v="2021-03-06T00:00:00"/>
    <d v="2021-03-06T00:00:00"/>
    <m/>
    <m/>
    <s v="Conv-A DONE"/>
    <m/>
    <m/>
    <m/>
    <m/>
    <m/>
    <m/>
    <m/>
    <m/>
    <m/>
    <m/>
    <m/>
  </r>
  <r>
    <m/>
    <n v="39043"/>
    <s v="HLC-B"/>
    <s v="STB10K0303HLCD"/>
    <x v="22"/>
    <s v="WCR"/>
    <x v="6"/>
    <d v="2019-05-02T00:00:00"/>
    <n v="303"/>
    <x v="0"/>
    <s v="M-U7D2S04V.005,_x000a_MO-U7F2S240.005"/>
    <d v="2021-03-06T00:00:00"/>
    <s v="U812Y440.010"/>
    <d v="2021-03-06T00:00:00"/>
    <m/>
    <m/>
    <m/>
    <s v="Conv-B DONE"/>
    <m/>
    <m/>
    <m/>
    <m/>
    <m/>
    <m/>
    <m/>
    <m/>
    <m/>
    <m/>
    <m/>
  </r>
  <r>
    <m/>
    <n v="30542"/>
    <s v="HLC-A"/>
    <s v="STB8H0077HLCC"/>
    <x v="23"/>
    <s v="CR"/>
    <x v="6"/>
    <d v="2017-05-10T00:00:00"/>
    <n v="77"/>
    <x v="1"/>
    <s v="M-U7D2S04V.005,_x000a_MO-U7F2S240.005"/>
    <d v="2020-11-26T00:00:00"/>
    <s v="UAT2Y44O.012"/>
    <d v="2021-08-25T00:00:00"/>
    <d v="2020-12-29T00:00:00"/>
    <m/>
    <m/>
    <s v="Conv-A DONE"/>
    <s v="Conv-A DONE"/>
    <m/>
    <m/>
    <m/>
    <m/>
    <s v="Conv-A DONE"/>
    <m/>
    <m/>
    <m/>
    <m/>
    <m/>
  </r>
  <r>
    <m/>
    <n v="30542"/>
    <s v="HLC-B"/>
    <s v="STB7H0072HLCC"/>
    <x v="23"/>
    <s v="CR"/>
    <x v="6"/>
    <d v="2017-05-10T00:00:00"/>
    <n v="72"/>
    <x v="1"/>
    <s v="M-U7D2S04V.005,_x000a_MO-U7F2S240.005"/>
    <d v="2020-11-26T00:00:00"/>
    <s v="UAT2Y44O.012"/>
    <d v="2021-08-25T00:00:00"/>
    <d v="2020-12-19T00:00:00"/>
    <m/>
    <m/>
    <s v="Conv-B DONE"/>
    <s v="Conv-B DONE"/>
    <m/>
    <m/>
    <m/>
    <m/>
    <s v="Conv-B DONE"/>
    <m/>
    <m/>
    <m/>
    <m/>
    <m/>
  </r>
  <r>
    <m/>
    <n v="30543"/>
    <s v="HLC-A"/>
    <s v="STB8H0076HLCC"/>
    <x v="23"/>
    <s v="CR"/>
    <x v="6"/>
    <d v="2017-04-29T00:00:00"/>
    <n v="76"/>
    <x v="1"/>
    <m/>
    <m/>
    <s v="UAT2Y44O.012"/>
    <d v="2022-02-09T00:00:00"/>
    <d v="2021-01-15T00:00:00"/>
    <m/>
    <m/>
    <s v="Conv-A DONE"/>
    <s v="Conv-A DONE"/>
    <s v="Conv-A DONE"/>
    <m/>
    <m/>
    <m/>
    <s v="Conv-A DONE"/>
    <m/>
    <m/>
    <m/>
    <m/>
    <m/>
  </r>
  <r>
    <m/>
    <n v="30543"/>
    <s v="HLC-B"/>
    <s v="STB8H0074HLCC"/>
    <x v="23"/>
    <s v="CR"/>
    <x v="6"/>
    <d v="2017-04-29T00:00:00"/>
    <n v="74"/>
    <x v="1"/>
    <m/>
    <m/>
    <s v="UAT2Y44O.012"/>
    <d v="2022-02-09T00:00:00"/>
    <d v="2021-01-15T00:00:00"/>
    <m/>
    <m/>
    <s v="Conv-B DONE"/>
    <s v="Conv-B DONE"/>
    <s v="Conv-B DONE"/>
    <m/>
    <m/>
    <m/>
    <s v="Conv-B DONE"/>
    <m/>
    <m/>
    <m/>
    <m/>
    <m/>
  </r>
  <r>
    <m/>
    <n v="30546"/>
    <s v="HLC-A"/>
    <s v="STB9H0085HLCD"/>
    <x v="23"/>
    <s v="CR"/>
    <x v="6"/>
    <d v="2017-08-03T00:00:00"/>
    <n v="85"/>
    <x v="1"/>
    <s v="M-U7D2S04V.005,_x000a_MO-U7F2S240.005"/>
    <d v="2020-08-02T00:00:00"/>
    <s v="UAT2Y44O.012"/>
    <d v="2021-09-25T00:00:00"/>
    <d v="2020-02-08T00:00:00"/>
    <m/>
    <s v="Conv-A DONE"/>
    <s v="Conv-A DONE"/>
    <s v="Conv-A DONE"/>
    <m/>
    <s v="Conv-A DONE"/>
    <m/>
    <m/>
    <s v="YES"/>
    <m/>
    <m/>
    <m/>
    <m/>
    <m/>
  </r>
  <r>
    <m/>
    <n v="30546"/>
    <s v="HLC-B"/>
    <s v="STB9H0088HLCD"/>
    <x v="23"/>
    <s v="CR"/>
    <x v="6"/>
    <d v="2017-08-03T00:00:00"/>
    <n v="88"/>
    <x v="1"/>
    <s v="M-U7D2S04V.005,_x000a_MO-U7F2S240.005"/>
    <d v="2020-08-02T00:00:00"/>
    <s v="UAT2Y44O.O12"/>
    <d v="2021-09-25T00:00:00"/>
    <d v="2020-02-08T00:00:00"/>
    <m/>
    <s v="Conv-B DONE"/>
    <s v="Conv-B DONE"/>
    <s v="Conv-B DONE"/>
    <m/>
    <s v="Conv-B DONE"/>
    <m/>
    <m/>
    <m/>
    <m/>
    <m/>
    <m/>
    <m/>
    <m/>
  </r>
  <r>
    <m/>
    <n v="30592"/>
    <s v="HLC-A"/>
    <s v="STB8J0141HLCD"/>
    <x v="23"/>
    <s v="CR"/>
    <x v="6"/>
    <d v="2018-01-29T00:00:00"/>
    <n v="141"/>
    <x v="0"/>
    <s v="M-U7D2S04V.005,_x000a_MO-U7F2S240.005"/>
    <d v="2020-08-23T00:00:00"/>
    <s v="UAT2Y440.012"/>
    <d v="2020-12-12T00:00:00"/>
    <d v="2020-07-17T00:00:00"/>
    <m/>
    <s v="Conv-A DONE"/>
    <s v="Conv-A DONE"/>
    <s v="Conv-A DONE"/>
    <m/>
    <s v="Conv-A DONE"/>
    <m/>
    <m/>
    <s v="YES"/>
    <m/>
    <m/>
    <m/>
    <m/>
    <m/>
  </r>
  <r>
    <m/>
    <n v="30592"/>
    <s v="HLC-B"/>
    <s v="STB8J0139HLCD"/>
    <x v="23"/>
    <s v="CR"/>
    <x v="6"/>
    <d v="2018-01-29T00:00:00"/>
    <n v="139"/>
    <x v="0"/>
    <s v="M-U7D2S04V.005,_x000a_MO-U7F2S240.005"/>
    <d v="2020-08-23T00:00:00"/>
    <s v="UAT2Y440.012"/>
    <d v="2020-12-12T00:00:00"/>
    <d v="2020-07-17T00:00:00"/>
    <m/>
    <s v="Conv-B DONE"/>
    <s v="Conv-B DONE"/>
    <s v="Conv-B DONE"/>
    <m/>
    <s v="Conv-B DONE"/>
    <m/>
    <m/>
    <m/>
    <m/>
    <m/>
    <m/>
    <m/>
    <m/>
  </r>
  <r>
    <m/>
    <n v="30818"/>
    <s v="HLC-A"/>
    <s v="STBDK0358HLCD"/>
    <x v="23"/>
    <s v="CR"/>
    <x v="6"/>
    <d v="2020-12-09T00:00:00"/>
    <n v="358"/>
    <x v="0"/>
    <s v="M-U7D2S04V.005,_x000a_MO-U7F2S240.005"/>
    <d v="2021-05-12T00:00:00"/>
    <s v="UAT2Y44O.012"/>
    <d v="2021-01-16T00:00:00"/>
    <m/>
    <m/>
    <s v="Conv-A DONE"/>
    <s v="Conv-A DONE"/>
    <s v="Conv-A DONE"/>
    <s v="Conv-A DONE"/>
    <s v="Conv-A DONE"/>
    <m/>
    <m/>
    <m/>
    <m/>
    <m/>
    <m/>
    <m/>
    <m/>
  </r>
  <r>
    <m/>
    <n v="30818"/>
    <s v="HLC-B"/>
    <s v="STBDK0369HLCD"/>
    <x v="23"/>
    <s v="CR"/>
    <x v="6"/>
    <d v="2020-12-09T00:00:00"/>
    <n v="369"/>
    <x v="0"/>
    <s v="M-U7D2S04V.005,_x000a_MO-U7F2S240.005"/>
    <d v="2021-05-12T00:00:00"/>
    <s v="UAT2Y44O.012"/>
    <d v="2021-01-16T00:00:00"/>
    <m/>
    <m/>
    <s v="Conv-B DONE"/>
    <s v="Conv-B DONE"/>
    <s v="Conv-B DONE"/>
    <s v="Conv-B DONE"/>
    <s v="Conv-B DONE"/>
    <m/>
    <m/>
    <m/>
    <m/>
    <m/>
    <m/>
    <m/>
    <m/>
  </r>
  <r>
    <m/>
    <n v="37267"/>
    <s v="HLC-A"/>
    <s v="STB7L0628HLCD"/>
    <x v="23"/>
    <s v="CR"/>
    <x v="6"/>
    <d v="2019-10-19T00:00:00"/>
    <n v="628"/>
    <x v="0"/>
    <s v="S7Q1G04"/>
    <m/>
    <s v="UAT2Y44O.012"/>
    <d v="2021-12-15T00:00:00"/>
    <m/>
    <m/>
    <s v="Done by NW"/>
    <s v="Done by NW"/>
    <s v="Conv-B DONE"/>
    <m/>
    <s v="Conv-B DONE"/>
    <m/>
    <m/>
    <m/>
    <m/>
    <m/>
    <m/>
    <m/>
    <m/>
  </r>
  <r>
    <m/>
    <n v="37267"/>
    <s v="HLC-B"/>
    <s v="STB7L0629HLCD"/>
    <x v="23"/>
    <s v="CR"/>
    <x v="6"/>
    <d v="2019-10-19T00:00:00"/>
    <n v="629"/>
    <x v="0"/>
    <s v="S7Q1G04"/>
    <m/>
    <s v="UAT2Y44O.012"/>
    <d v="2020-12-17T00:00:00"/>
    <m/>
    <m/>
    <s v="Done by NW"/>
    <s v="Done by NW"/>
    <s v="Conv-A DONE"/>
    <m/>
    <s v="Conv-A DONE"/>
    <m/>
    <m/>
    <m/>
    <m/>
    <m/>
    <m/>
    <m/>
    <m/>
  </r>
  <r>
    <m/>
    <n v="37270"/>
    <s v="HLC-A"/>
    <s v="STB6L0579HLCD"/>
    <x v="23"/>
    <s v="CR"/>
    <x v="6"/>
    <d v="2019-10-21T00:00:00"/>
    <n v="579"/>
    <x v="0"/>
    <s v="M-U7D2S04V.005,_x000a_MO-U7F2S240.005"/>
    <d v="2020-08-01T00:00:00"/>
    <s v="UAT2Y440.012"/>
    <d v="2020-12-05T00:00:00"/>
    <d v="2020-02-08T00:00:00"/>
    <m/>
    <s v="Done by NW"/>
    <s v="Done by NW"/>
    <s v="Conv-B DONE"/>
    <m/>
    <s v="Conv-B DONE"/>
    <m/>
    <m/>
    <m/>
    <m/>
    <m/>
    <m/>
    <m/>
    <m/>
  </r>
  <r>
    <m/>
    <n v="37270"/>
    <s v="HLC-B"/>
    <s v="STB6L0578HLCD"/>
    <x v="23"/>
    <s v="CR"/>
    <x v="6"/>
    <d v="2019-10-21T00:00:00"/>
    <n v="578"/>
    <x v="0"/>
    <s v="M-U7D2S04V.005,_x000a_MO-U7F2S240.005"/>
    <d v="2020-08-01T00:00:00"/>
    <s v="UAT2Y440.012"/>
    <d v="2020-12-05T00:00:00"/>
    <d v="2020-02-08T00:00:00"/>
    <m/>
    <s v="Done by NW"/>
    <s v="Done by NW"/>
    <s v="Conv-A DONE"/>
    <m/>
    <s v="Conv-A DONE"/>
    <m/>
    <m/>
    <m/>
    <m/>
    <m/>
    <m/>
    <m/>
    <m/>
  </r>
  <r>
    <m/>
    <n v="37274"/>
    <s v="HLC-A"/>
    <s v="STB7L0596HLCD"/>
    <x v="23"/>
    <s v="CR"/>
    <x v="6"/>
    <d v="2019-10-23T00:00:00"/>
    <n v="596"/>
    <x v="0"/>
    <s v="M-U7D2S04V.005,_x000a_MO-U7F2S240.005"/>
    <d v="2020-09-23T00:00:00"/>
    <s v="UAT2Y44O.012"/>
    <d v="2021-08-30T00:00:00"/>
    <d v="2020-03-20T00:00:00"/>
    <m/>
    <s v="Done by NW"/>
    <s v="Done by NW"/>
    <s v="Conv-A DONE"/>
    <m/>
    <s v="Conv-A DONE"/>
    <m/>
    <m/>
    <m/>
    <m/>
    <m/>
    <m/>
    <m/>
    <m/>
  </r>
  <r>
    <m/>
    <n v="37274"/>
    <s v="HLC-B"/>
    <s v="STB7L0597HLCD"/>
    <x v="23"/>
    <s v="CR"/>
    <x v="6"/>
    <d v="2019-10-23T00:00:00"/>
    <n v="597"/>
    <x v="0"/>
    <s v="M-U7D2S04V.005,_x000a_MO-U7F2S240.005"/>
    <d v="2020-09-23T00:00:00"/>
    <s v="UAT2Y44O.012"/>
    <d v="2021-08-30T00:00:00"/>
    <d v="2020-03-20T00:00:00"/>
    <m/>
    <s v="Done by NW"/>
    <s v="Done by NW"/>
    <s v="Conv-B DONE"/>
    <m/>
    <s v="Conv-B DONE"/>
    <m/>
    <m/>
    <m/>
    <m/>
    <m/>
    <m/>
    <m/>
    <m/>
  </r>
  <r>
    <m/>
    <n v="37276"/>
    <s v="HLC-A"/>
    <s v="STB7L0626HLCD"/>
    <x v="23"/>
    <s v="CR"/>
    <x v="6"/>
    <d v="2019-11-29T00:00:00"/>
    <n v="626"/>
    <x v="0"/>
    <s v="M-U7D2S04V.005,_x000a_MO-U7F2S240.005"/>
    <d v="2020-12-22T00:00:00"/>
    <s v="UAT2Y44O.012"/>
    <d v="2021-09-01T00:00:00"/>
    <d v="2020-11-17T00:00:00"/>
    <m/>
    <s v="Done by NW"/>
    <s v="Done by NW"/>
    <s v="Conv-A DONE"/>
    <m/>
    <s v="Conv-A DONE"/>
    <m/>
    <m/>
    <m/>
    <m/>
    <m/>
    <m/>
    <m/>
    <m/>
  </r>
  <r>
    <m/>
    <n v="37276"/>
    <s v="HLC-B"/>
    <s v="STB7L0627HLCD"/>
    <x v="23"/>
    <s v="CR"/>
    <x v="6"/>
    <d v="2019-11-29T00:00:00"/>
    <n v="627"/>
    <x v="0"/>
    <s v="M-U7D2S04V.005,_x000a_MO-U7F2S240.005"/>
    <d v="2020-12-22T00:00:00"/>
    <s v="UAT2Y44O.012"/>
    <d v="2021-09-01T00:00:00"/>
    <d v="2020-11-17T00:00:00"/>
    <m/>
    <s v="Done by NW"/>
    <s v="Done by NW"/>
    <s v="Conv-B DONE"/>
    <m/>
    <s v="Conv-B DONE"/>
    <m/>
    <m/>
    <m/>
    <m/>
    <m/>
    <m/>
    <m/>
    <m/>
  </r>
  <r>
    <m/>
    <n v="37323"/>
    <s v="HLC-A"/>
    <s v="STBNL0698HLCD"/>
    <x v="23"/>
    <s v="CR"/>
    <x v="6"/>
    <d v="2020-01-28T00:00:00"/>
    <n v="698"/>
    <x v="0"/>
    <s v="M-U7D2S04V.005,_x000a_MO-U7F2S240.005"/>
    <d v="2020-10-17T00:00:00"/>
    <s v="UAT2Y44O.012"/>
    <d v="2021-10-13T00:00:00"/>
    <d v="2020-12-03T00:00:00"/>
    <m/>
    <s v="Done by NW"/>
    <s v="Done by NW"/>
    <s v="Conv-A DONE"/>
    <m/>
    <s v="Conv-A DONE"/>
    <m/>
    <m/>
    <m/>
    <m/>
    <m/>
    <m/>
    <m/>
    <m/>
  </r>
  <r>
    <m/>
    <n v="37323"/>
    <s v="HLC-B"/>
    <s v="STBNL0704HLCD"/>
    <x v="23"/>
    <s v="CR"/>
    <x v="6"/>
    <d v="2020-01-28T00:00:00"/>
    <n v="704"/>
    <x v="0"/>
    <s v="M-U7D2S04V.005,_x000a_MO-U7F2S240.005"/>
    <d v="2020-10-17T00:00:00"/>
    <s v="UAT2Y44O.012"/>
    <d v="2021-10-13T00:00:00"/>
    <d v="2020-12-03T00:00:00"/>
    <m/>
    <s v="Done by NW"/>
    <s v="Done by NW"/>
    <s v="Conv-B DONE"/>
    <m/>
    <s v="Conv-B DONE"/>
    <m/>
    <m/>
    <m/>
    <m/>
    <m/>
    <m/>
    <m/>
    <m/>
  </r>
  <r>
    <m/>
    <n v="37325"/>
    <s v="HLC-A"/>
    <s v="STBNL0684HLCD"/>
    <x v="23"/>
    <s v="CR"/>
    <x v="6"/>
    <d v="2020-01-30T00:00:00"/>
    <n v="684"/>
    <x v="0"/>
    <m/>
    <m/>
    <s v="UAT2Y44O.012"/>
    <d v="2022-02-04T00:00:00"/>
    <d v="2021-03-27T00:00:00"/>
    <m/>
    <s v="Done by NW"/>
    <s v="Done by NW"/>
    <s v="Conv-A DONE"/>
    <m/>
    <s v="Conv-A DONE"/>
    <m/>
    <m/>
    <m/>
    <m/>
    <m/>
    <m/>
    <m/>
    <m/>
  </r>
  <r>
    <m/>
    <n v="37325"/>
    <s v="HLC-B"/>
    <s v="STBNL0685HLCD"/>
    <x v="23"/>
    <s v="CR"/>
    <x v="6"/>
    <d v="2020-01-30T00:00:00"/>
    <n v="685"/>
    <x v="0"/>
    <m/>
    <m/>
    <s v="UAT2Y44O.012"/>
    <d v="2022-02-04T00:00:00"/>
    <d v="2021-03-27T00:00:00"/>
    <m/>
    <s v="Done by NW"/>
    <s v="Done by NW"/>
    <s v="Conv-B DONE"/>
    <m/>
    <s v="Conv-B DONE"/>
    <m/>
    <m/>
    <m/>
    <m/>
    <m/>
    <m/>
    <m/>
    <m/>
  </r>
  <r>
    <m/>
    <n v="37329"/>
    <s v="HLC-A"/>
    <s v="STBNL0693HLCD"/>
    <x v="23"/>
    <s v="CR"/>
    <x v="6"/>
    <d v="2020-02-06T00:00:00"/>
    <n v="693"/>
    <x v="0"/>
    <s v="M-U7D2S04V.005,_x000a_MO-U7F2S240.005"/>
    <d v="2020-08-02T00:00:00"/>
    <s v="UAT2Y44O.012"/>
    <d v="2021-03-16T00:00:00"/>
    <d v="2020-02-08T00:00:00"/>
    <m/>
    <s v="Done by NW"/>
    <s v="Done by NW"/>
    <s v="Conv-A DONE"/>
    <m/>
    <s v="Conv-A DONE"/>
    <m/>
    <m/>
    <m/>
    <m/>
    <m/>
    <m/>
    <m/>
    <m/>
  </r>
  <r>
    <m/>
    <n v="37329"/>
    <s v="HLC-B"/>
    <s v="STBNL0701HLCD"/>
    <x v="23"/>
    <s v="CR"/>
    <x v="6"/>
    <d v="2020-02-06T00:00:00"/>
    <n v="701"/>
    <x v="0"/>
    <s v="M-U7D2S04V.005,_x000a_MO-U7F2S240.005"/>
    <d v="2020-08-02T00:00:00"/>
    <s v="UAT2Y44O.012"/>
    <d v="2020-12-28T00:00:00"/>
    <d v="2020-02-08T00:00:00"/>
    <m/>
    <s v="Done by NW"/>
    <s v="Done by NW"/>
    <s v="Conv-B DONE"/>
    <m/>
    <s v="Conv-B DONE"/>
    <m/>
    <m/>
    <m/>
    <m/>
    <m/>
    <m/>
    <m/>
    <m/>
  </r>
  <r>
    <m/>
    <n v="37333"/>
    <s v="HLC-A"/>
    <s v="STB6L0585HLCD"/>
    <x v="23"/>
    <s v="CR"/>
    <x v="6"/>
    <d v="2020-02-18T00:00:00"/>
    <n v="585"/>
    <x v="0"/>
    <s v="M-U7D2S04V.005,_x000a_MO-U7F2S240.005"/>
    <d v="2020-09-12T00:00:00"/>
    <s v="UAT2Y44O.012"/>
    <d v="2022-02-09T00:00:00"/>
    <m/>
    <m/>
    <s v="Done by NW"/>
    <s v="Done by NW"/>
    <s v="Conv-A DONE"/>
    <m/>
    <s v="Conv-A DONE"/>
    <m/>
    <m/>
    <m/>
    <m/>
    <m/>
    <m/>
    <m/>
    <m/>
  </r>
  <r>
    <m/>
    <n v="37333"/>
    <s v="HLC-B"/>
    <s v="STBNL0706HLCD"/>
    <x v="23"/>
    <s v="CR"/>
    <x v="6"/>
    <d v="2020-02-18T00:00:00"/>
    <n v="706"/>
    <x v="0"/>
    <s v="M-U7D2S04V.005,_x000a_MO-U7F2S240.005"/>
    <d v="2020-09-12T00:00:00"/>
    <s v="UAT2Y44O.012"/>
    <d v="2022-02-09T00:00:00"/>
    <m/>
    <m/>
    <s v="Done by NW"/>
    <s v="Done by NW"/>
    <s v="Conv-B DONE"/>
    <m/>
    <s v="Conv-B DONE"/>
    <m/>
    <m/>
    <m/>
    <m/>
    <m/>
    <m/>
    <m/>
    <m/>
  </r>
  <r>
    <m/>
    <n v="37335"/>
    <s v="HLC-A"/>
    <s v="STBNL0697HLCD"/>
    <x v="23"/>
    <s v="CR"/>
    <x v="6"/>
    <d v="2020-02-19T00:00:00"/>
    <n v="697"/>
    <x v="0"/>
    <s v="M-U7D2S04V.005,_x000a_MO-U7F2S240.005"/>
    <s v="Done"/>
    <s v="UAT2Y44O.012"/>
    <d v="2021-11-24T00:00:00"/>
    <m/>
    <m/>
    <s v="Done by NW"/>
    <s v="Done by NW"/>
    <s v="Conv-A DONE"/>
    <m/>
    <s v="Conv-A DONE"/>
    <m/>
    <m/>
    <m/>
    <m/>
    <m/>
    <m/>
    <m/>
    <m/>
  </r>
  <r>
    <m/>
    <n v="37335"/>
    <s v="HLC-B"/>
    <s v="STB6L0572HLCD"/>
    <x v="23"/>
    <s v="CR"/>
    <x v="6"/>
    <d v="2020-02-19T00:00:00"/>
    <n v="572"/>
    <x v="0"/>
    <s v="M-U7D2S04V.005,_x000a_MO-U7F2S240.005"/>
    <s v="Done"/>
    <s v="UAT2Y44O.012"/>
    <d v="2021-11-24T00:00:00"/>
    <m/>
    <m/>
    <s v="Done by NW"/>
    <s v="Done by NW"/>
    <s v="Conv-B DONE"/>
    <m/>
    <s v="Conv-B DONE"/>
    <m/>
    <m/>
    <m/>
    <m/>
    <m/>
    <m/>
    <m/>
    <m/>
  </r>
  <r>
    <m/>
    <n v="37434"/>
    <s v="HLC-A"/>
    <s v="STB6M0839HLCD"/>
    <x v="23"/>
    <s v="CR"/>
    <x v="6"/>
    <d v="2020-08-29T00:00:00"/>
    <n v="839"/>
    <x v="0"/>
    <s v="M-U7D2S04V.005,_x000a_MO-U7F2S240.005"/>
    <d v="2020-12-22T00:00:00"/>
    <s v="UAT2Y44O.012"/>
    <d v="2021-10-09T00:00:00"/>
    <m/>
    <m/>
    <s v="Done by NW"/>
    <s v="Done by NW"/>
    <s v="Conv-A DONE"/>
    <m/>
    <s v="Conv-A DONE"/>
    <m/>
    <m/>
    <s v="Done by NW"/>
    <m/>
    <m/>
    <m/>
    <m/>
    <m/>
  </r>
  <r>
    <m/>
    <n v="37434"/>
    <s v="HLC-B"/>
    <s v="STB6M0837HLCD"/>
    <x v="23"/>
    <s v="CR"/>
    <x v="6"/>
    <d v="2020-08-29T00:00:00"/>
    <n v="837"/>
    <x v="0"/>
    <s v="M-U7D2S04V.005,_x000a_MO-U7F2S240.005"/>
    <d v="2020-12-22T00:00:00"/>
    <s v="UAT2Y44O.012"/>
    <d v="2021-10-09T00:00:00"/>
    <m/>
    <m/>
    <s v="Done by NW"/>
    <s v="Done by NW"/>
    <s v="Conv-B DONE"/>
    <m/>
    <s v="Conv-B DONE"/>
    <m/>
    <m/>
    <s v="Done by NW"/>
    <m/>
    <m/>
    <m/>
    <m/>
    <m/>
  </r>
  <r>
    <m/>
    <n v="37443"/>
    <s v="HLC-A"/>
    <s v="STB6M0841HLCD"/>
    <x v="23"/>
    <s v="CR"/>
    <x v="6"/>
    <d v="2020-09-07T00:00:00"/>
    <n v="841"/>
    <x v="0"/>
    <s v="M-U7D2S04V.005,_x000a_MO-U7F2S240.005"/>
    <s v="Done"/>
    <s v="UAT2Y44O.012"/>
    <d v="2022-02-04T00:00:00"/>
    <m/>
    <m/>
    <s v="Done by NW"/>
    <s v="Done by NW"/>
    <s v="Conv-A DONE"/>
    <m/>
    <s v="Conv-A DONE"/>
    <m/>
    <m/>
    <s v="Done by NW"/>
    <m/>
    <m/>
    <m/>
    <m/>
    <m/>
  </r>
  <r>
    <m/>
    <n v="37443"/>
    <s v="HLC-B"/>
    <s v="STB6M0846HLCD"/>
    <x v="23"/>
    <s v="CR"/>
    <x v="6"/>
    <d v="2020-09-07T00:00:00"/>
    <n v="846"/>
    <x v="0"/>
    <s v="M-U7D2S04V.005,_x000a_MO-U7F2S240.005"/>
    <s v="Done"/>
    <s v="UAT2Y44O.012"/>
    <d v="2022-02-04T00:00:00"/>
    <m/>
    <m/>
    <s v="Done by NW"/>
    <s v="Done by NW"/>
    <s v="Conv-B DONE"/>
    <m/>
    <s v="Conv-B DONE"/>
    <m/>
    <m/>
    <s v="Done by NW"/>
    <m/>
    <m/>
    <m/>
    <m/>
    <m/>
  </r>
  <r>
    <m/>
    <n v="37479"/>
    <s v="HLC-A"/>
    <s v="STB8M0899HLCD"/>
    <x v="23"/>
    <s v="CR"/>
    <x v="6"/>
    <d v="2020-11-26T00:00:00"/>
    <n v="899"/>
    <x v="0"/>
    <s v="M-U7D2S04V.005,_x000a_MO-U7F2S240.005"/>
    <s v="Done by NW"/>
    <s v="UAT2Y44O.012"/>
    <d v="2021-01-02T00:00:00"/>
    <m/>
    <m/>
    <s v="Done by NW"/>
    <s v="Done by NW"/>
    <s v="Conv-A DONE"/>
    <m/>
    <s v="Conv-A DONE"/>
    <m/>
    <m/>
    <s v="Done by NW"/>
    <m/>
    <m/>
    <m/>
    <m/>
    <m/>
  </r>
  <r>
    <m/>
    <n v="37479"/>
    <s v="HLC-B"/>
    <s v="STB8M0903HLCD"/>
    <x v="23"/>
    <s v="CR"/>
    <x v="6"/>
    <d v="2020-11-26T00:00:00"/>
    <n v="903"/>
    <x v="0"/>
    <s v="M-U7D2S04V.005,_x000a_MO-U7F2S240.005"/>
    <s v="Done by NW"/>
    <s v="UAT2Y44O.012"/>
    <d v="2021-01-02T00:00:00"/>
    <m/>
    <m/>
    <s v="Done by NW"/>
    <s v="Done by NW"/>
    <s v="Conv-B DONE"/>
    <m/>
    <s v="Conv-B DONE"/>
    <m/>
    <m/>
    <s v="Done by NW"/>
    <m/>
    <m/>
    <m/>
    <m/>
    <m/>
  </r>
  <r>
    <m/>
    <n v="37488"/>
    <s v="HLC-A"/>
    <s v="STB8M0948HLCD"/>
    <x v="23"/>
    <s v="CR"/>
    <x v="6"/>
    <d v="2020-11-29T00:00:00"/>
    <n v="948"/>
    <x v="0"/>
    <s v="M-U7D2S04V.005,_x000a_MO-U7F2S240.005"/>
    <s v="Done by NW"/>
    <s v="UAT2Y44O.012"/>
    <d v="2021-09-20T00:00:00"/>
    <m/>
    <m/>
    <s v="Done by NW"/>
    <s v="Done by NW"/>
    <s v="Conv-A DONE"/>
    <m/>
    <s v="Conv-A DONE"/>
    <m/>
    <m/>
    <s v="Done by NW"/>
    <m/>
    <m/>
    <m/>
    <m/>
    <m/>
  </r>
  <r>
    <m/>
    <n v="37488"/>
    <s v="HLC-B"/>
    <s v="STB8M0949HLCD"/>
    <x v="23"/>
    <s v="CR"/>
    <x v="6"/>
    <d v="2020-11-29T00:00:00"/>
    <n v="949"/>
    <x v="0"/>
    <s v="M-U7D2S04V.005,_x000a_MO-U7F2S240.005"/>
    <s v="Done by NW"/>
    <s v="UAT2Y44O.012"/>
    <d v="2021-09-20T00:00:00"/>
    <m/>
    <m/>
    <s v="Done by NW"/>
    <s v="Done by NW"/>
    <s v="Conv-B DONE"/>
    <m/>
    <s v="Conv-B DONE"/>
    <m/>
    <m/>
    <s v="Done by NW"/>
    <m/>
    <m/>
    <m/>
    <m/>
    <m/>
  </r>
  <r>
    <m/>
    <n v="37496"/>
    <s v="HLC-A"/>
    <s v="STB6M0848HLCD"/>
    <x v="23"/>
    <s v="CR"/>
    <x v="6"/>
    <d v="2020-12-12T00:00:00"/>
    <n v="848"/>
    <x v="0"/>
    <m/>
    <m/>
    <s v="UAT2Y440.012"/>
    <d v="2021-01-15T00:00:00"/>
    <m/>
    <m/>
    <s v="Done by NW"/>
    <s v="Done by NW"/>
    <s v="Conv-A DONE"/>
    <m/>
    <s v="Conv-A DONE"/>
    <m/>
    <m/>
    <s v="Done by NW"/>
    <m/>
    <m/>
    <m/>
    <m/>
    <m/>
  </r>
  <r>
    <m/>
    <n v="37496"/>
    <s v="HLC-B"/>
    <s v="STB6M0849HLCD"/>
    <x v="23"/>
    <s v="CR"/>
    <x v="6"/>
    <d v="2020-12-12T00:00:00"/>
    <n v="849"/>
    <x v="0"/>
    <m/>
    <m/>
    <s v="UAT2Y440.012"/>
    <d v="2021-01-15T00:00:00"/>
    <m/>
    <m/>
    <s v="Done by NW"/>
    <s v="Done by NW"/>
    <s v="Conv-B DONE"/>
    <m/>
    <s v="Conv-B DONE"/>
    <m/>
    <m/>
    <s v="Done by NW"/>
    <m/>
    <m/>
    <m/>
    <m/>
    <m/>
  </r>
  <r>
    <m/>
    <n v="37498"/>
    <s v="HLC-A"/>
    <s v="STB8M0900HLCD"/>
    <x v="23"/>
    <s v="CR"/>
    <x v="6"/>
    <d v="2020-12-17T00:00:00"/>
    <n v="900"/>
    <x v="0"/>
    <s v="M-U7D2S04V.005,_x000a_MO-U7F2S240.005"/>
    <s v="Done by NW"/>
    <s v="UAT2Y44O.012"/>
    <d v="2022-02-18T00:00:00"/>
    <m/>
    <m/>
    <s v="Done by NW"/>
    <s v="Done by NW"/>
    <s v="Conv-A DONE"/>
    <m/>
    <s v="Conv-A DONE"/>
    <m/>
    <m/>
    <s v="Done by NW"/>
    <m/>
    <m/>
    <m/>
    <m/>
    <m/>
  </r>
  <r>
    <m/>
    <n v="37498"/>
    <s v="HLC-B"/>
    <s v="STB8M0901HLCD"/>
    <x v="23"/>
    <s v="CR"/>
    <x v="6"/>
    <d v="2020-12-17T00:00:00"/>
    <n v="901"/>
    <x v="0"/>
    <s v="M-U7D2S04V.005,_x000a_MO-U7F2S240.005"/>
    <s v="Done by NW"/>
    <s v="UAT2Y44O.012"/>
    <d v="2022-02-18T00:00:00"/>
    <m/>
    <m/>
    <s v="Done by NW"/>
    <s v="Done by NW"/>
    <s v="Conv-B DONE"/>
    <m/>
    <s v="Conv-B DONE"/>
    <m/>
    <m/>
    <s v="Done by NW"/>
    <m/>
    <m/>
    <m/>
    <m/>
    <m/>
  </r>
  <r>
    <m/>
    <n v="37500"/>
    <s v="HLC-A"/>
    <s v="STB7M0874"/>
    <x v="23"/>
    <s v="CR"/>
    <x v="6"/>
    <d v="2020-12-21T00:00:00"/>
    <n v="874"/>
    <x v="0"/>
    <m/>
    <m/>
    <s v="UAT2Y44O.012"/>
    <d v="2022-02-23T00:00:00"/>
    <m/>
    <m/>
    <s v="Done by NW"/>
    <s v="Done by NW"/>
    <s v="Conv-A DONE"/>
    <m/>
    <s v="Conv-A DONE"/>
    <m/>
    <m/>
    <s v="Done by NW"/>
    <m/>
    <m/>
    <m/>
    <m/>
    <m/>
  </r>
  <r>
    <m/>
    <n v="37500"/>
    <s v="HLC-B"/>
    <s v="STB7M0875"/>
    <x v="23"/>
    <s v="CR"/>
    <x v="6"/>
    <d v="2020-12-21T00:00:00"/>
    <n v="875"/>
    <x v="0"/>
    <m/>
    <m/>
    <s v="UAT2Y44O.012"/>
    <d v="2022-02-23T00:00:00"/>
    <m/>
    <m/>
    <s v="Done by NW"/>
    <s v="Done by NW"/>
    <s v="Conv-B DONE"/>
    <m/>
    <s v="Conv-B DONE"/>
    <m/>
    <m/>
    <s v="Done by NW"/>
    <m/>
    <m/>
    <m/>
    <m/>
    <m/>
  </r>
  <r>
    <m/>
    <n v="37537"/>
    <s v="HLC-A"/>
    <s v="STB7M0862HLCD"/>
    <x v="23"/>
    <s v="CR"/>
    <x v="6"/>
    <d v="2021-01-29T00:00:00"/>
    <n v="862"/>
    <x v="0"/>
    <s v="M-U7D2S04V.005,_x000a_MO-U7F2S240.005"/>
    <d v="2021-05-01T00:00:00"/>
    <s v="UAT2Y44O.012"/>
    <d v="2022-02-23T00:00:00"/>
    <m/>
    <m/>
    <s v="Done by NW"/>
    <s v="Done by NW"/>
    <s v="Conv-A DONE"/>
    <s v="Conv-A DONE"/>
    <s v="Conv-A DONE"/>
    <m/>
    <m/>
    <s v="Done by NW"/>
    <m/>
    <m/>
    <m/>
    <m/>
    <m/>
  </r>
  <r>
    <m/>
    <n v="37537"/>
    <s v="HLC-B"/>
    <s v="STB8M0931HLCD"/>
    <x v="23"/>
    <s v="CR"/>
    <x v="6"/>
    <d v="2021-01-29T00:00:00"/>
    <n v="931"/>
    <x v="0"/>
    <s v="M-U7D2S04V.005,_x000a_MO-U7F2S240.005"/>
    <s v="Done by NW"/>
    <s v="UAT2Y44O.012"/>
    <d v="2022-02-23T00:00:00"/>
    <m/>
    <m/>
    <s v="Done by NW"/>
    <s v="Done by NW"/>
    <s v="Conv-B DONE"/>
    <s v="Conv-B DONE"/>
    <s v="Conv-B DONE"/>
    <m/>
    <m/>
    <s v="Done by NW"/>
    <m/>
    <m/>
    <m/>
    <m/>
    <m/>
  </r>
  <r>
    <m/>
    <n v="37565"/>
    <s v="HLC-A"/>
    <s v="STBDL0752"/>
    <x v="23"/>
    <s v="CR"/>
    <x v="6"/>
    <d v="2021-03-24T00:00:00"/>
    <n v="752"/>
    <x v="0"/>
    <s v="M-U7D2S04V.005,_x000a_MO-U7F2S240.005"/>
    <d v="2021-05-10T00:00:00"/>
    <s v="UAT2Y44O.012"/>
    <d v="2021-09-21T00:00:00"/>
    <m/>
    <m/>
    <s v="Done by NW"/>
    <s v="Done by NW"/>
    <s v="Conv-A DONE"/>
    <m/>
    <s v="Conv-A DONE"/>
    <m/>
    <m/>
    <m/>
    <m/>
    <m/>
    <m/>
    <m/>
    <m/>
  </r>
  <r>
    <m/>
    <n v="37565"/>
    <s v="HLC-B"/>
    <s v="STB5M0789"/>
    <x v="23"/>
    <s v="CR"/>
    <x v="6"/>
    <d v="2021-03-24T00:00:00"/>
    <n v="789"/>
    <x v="0"/>
    <s v="M-U7D2S04V.005,_x000a_MO-U7F2S240.005"/>
    <d v="2021-05-10T00:00:00"/>
    <s v="UAT2Y44O.012"/>
    <d v="2021-09-21T00:00:00"/>
    <m/>
    <m/>
    <s v="Done by NW"/>
    <s v="Done by NW"/>
    <s v="Conv-B DONE"/>
    <s v="Conv-B DONE"/>
    <s v="Conv-B DONE"/>
    <m/>
    <m/>
    <s v="Done by NW"/>
    <m/>
    <m/>
    <m/>
    <m/>
    <m/>
  </r>
  <r>
    <m/>
    <n v="37572"/>
    <s v="HLC-A"/>
    <s v="STB5M0798"/>
    <x v="23"/>
    <s v="CR"/>
    <x v="6"/>
    <d v="2021-04-06T00:00:00"/>
    <n v="798"/>
    <x v="0"/>
    <s v="M-U7D2S04V.005,_x000a_MO-U7F2S240.005"/>
    <d v="2021-05-27T00:00:00"/>
    <s v="UAT2Y44O.012"/>
    <d v="2021-09-20T00:00:00"/>
    <m/>
    <m/>
    <s v="Done by NW"/>
    <s v="Done by NW"/>
    <s v="Conv-A DONE"/>
    <m/>
    <s v="Conv-A DONE"/>
    <m/>
    <m/>
    <s v="Done by NW"/>
    <m/>
    <m/>
    <m/>
    <m/>
    <m/>
  </r>
  <r>
    <m/>
    <n v="37572"/>
    <s v="HLC-B"/>
    <s v="STB5M0800"/>
    <x v="23"/>
    <s v="CR"/>
    <x v="6"/>
    <d v="2021-04-06T00:00:00"/>
    <n v="800"/>
    <x v="0"/>
    <s v="M-U7D2S04V.005,_x000a_MO-U7F2S240.005"/>
    <d v="2021-05-27T00:00:00"/>
    <s v="UAT2Y44O.012"/>
    <d v="2021-09-20T00:00:00"/>
    <m/>
    <m/>
    <s v="Done by NW"/>
    <s v="Done by NW"/>
    <s v="Conv-B DONE"/>
    <m/>
    <s v="Conv-B DONE"/>
    <m/>
    <m/>
    <s v="Done by NW"/>
    <m/>
    <m/>
    <m/>
    <m/>
    <m/>
  </r>
  <r>
    <m/>
    <n v="37574"/>
    <s v="HLC-A"/>
    <s v="STB5M0799"/>
    <x v="23"/>
    <s v="CR"/>
    <x v="6"/>
    <d v="2021-04-06T00:00:00"/>
    <n v="799"/>
    <x v="0"/>
    <m/>
    <m/>
    <s v="UAT2Y44O.012"/>
    <d v="2021-09-27T00:00:00"/>
    <m/>
    <m/>
    <s v="Done by NW"/>
    <s v="Done by NW"/>
    <m/>
    <m/>
    <m/>
    <m/>
    <m/>
    <s v="Done by NW"/>
    <m/>
    <m/>
    <m/>
    <m/>
    <m/>
  </r>
  <r>
    <m/>
    <n v="37574"/>
    <s v="HLC-A"/>
    <s v="STBNM1034"/>
    <x v="23"/>
    <s v="CR"/>
    <x v="6"/>
    <d v="2021-04-06T00:00:00"/>
    <n v="1034"/>
    <x v="0"/>
    <s v="M-U7D2S04V.005,_x000a_MO-U7F2S240.005"/>
    <s v="Done by NW"/>
    <s v="UAT2Y44O.012"/>
    <d v="2021-09-27T00:00:00"/>
    <m/>
    <m/>
    <s v="Done by NW"/>
    <s v="Done by NW"/>
    <m/>
    <m/>
    <m/>
    <m/>
    <m/>
    <s v="Done by NW"/>
    <m/>
    <m/>
    <m/>
    <m/>
    <m/>
  </r>
  <r>
    <m/>
    <n v="37575"/>
    <s v="HLC-A"/>
    <s v="STB5M0801"/>
    <x v="23"/>
    <s v="CR"/>
    <x v="6"/>
    <d v="2021-04-06T00:00:00"/>
    <n v="801"/>
    <x v="0"/>
    <s v="M-U7D2S04V.005,_x000a_MO-U7F2S240.005"/>
    <s v="Done"/>
    <s v="UAT2Y44O.012"/>
    <d v="2021-09-20T00:00:00"/>
    <m/>
    <m/>
    <s v="Done by NW"/>
    <s v="Done by NW"/>
    <s v="Conv-A DONE"/>
    <s v="Conv-A DONE"/>
    <m/>
    <m/>
    <m/>
    <s v="Done by NW"/>
    <m/>
    <m/>
    <m/>
    <m/>
    <m/>
  </r>
  <r>
    <m/>
    <n v="37575"/>
    <s v="HLC-B"/>
    <s v="STB5M0803"/>
    <x v="23"/>
    <s v="CR"/>
    <x v="6"/>
    <d v="2021-04-06T00:00:00"/>
    <n v="803"/>
    <x v="0"/>
    <s v="M-U7D2S04V.005,_x000a_MO-U7F2S240.005"/>
    <s v="Done"/>
    <s v="UAT2Y44O.012"/>
    <d v="2021-09-20T00:00:00"/>
    <m/>
    <m/>
    <s v="Done by NW"/>
    <s v="Done by NW"/>
    <s v="Conv-B DONE"/>
    <s v="Conv-B DONE"/>
    <m/>
    <m/>
    <m/>
    <s v="Done by NW"/>
    <m/>
    <m/>
    <m/>
    <m/>
    <m/>
  </r>
  <r>
    <m/>
    <n v="39033"/>
    <s v="HLC-A"/>
    <s v="STB5K0235HLCD"/>
    <x v="23"/>
    <s v="CR"/>
    <x v="6"/>
    <d v="2019-04-13T00:00:00"/>
    <n v="235"/>
    <x v="0"/>
    <s v="M-U7D2S04V.005,_x000a_MO-U7F2S240.005"/>
    <d v="2020-09-23T00:00:00"/>
    <s v="UAT2Y44O.012"/>
    <d v="2022-02-16T00:00:00"/>
    <d v="2020-03-03T00:00:00"/>
    <m/>
    <s v="Conv-A DONE"/>
    <s v="Conv-A DONE"/>
    <s v="Conv-A DONE"/>
    <s v="Conv-A DONE"/>
    <s v="Conv-A DONE"/>
    <m/>
    <m/>
    <m/>
    <m/>
    <m/>
    <m/>
    <m/>
    <m/>
  </r>
  <r>
    <m/>
    <n v="39033"/>
    <s v="HLC-B"/>
    <s v="STB5K0234HLCD"/>
    <x v="23"/>
    <s v="CR"/>
    <x v="6"/>
    <d v="2019-04-13T00:00:00"/>
    <n v="234"/>
    <x v="0"/>
    <s v="M-U7D2S04V.005,_x000a_MO-U7F2S240.005"/>
    <d v="2020-09-23T00:00:00"/>
    <s v="UAT2Y44O.012"/>
    <d v="2022-02-16T00:00:00"/>
    <d v="2020-03-03T00:00:00"/>
    <m/>
    <s v="Conv-B DONE"/>
    <s v="Conv-B DONE"/>
    <s v="Conv-B DONE"/>
    <s v="Conv-B DONE"/>
    <s v="Conv-B DONE"/>
    <m/>
    <m/>
    <m/>
    <m/>
    <m/>
    <m/>
    <m/>
    <m/>
  </r>
  <r>
    <m/>
    <n v="39045"/>
    <s v="HLC-A"/>
    <s v="STB0K0304HLCD"/>
    <x v="23"/>
    <s v="CR"/>
    <x v="6"/>
    <d v="2019-04-23T00:00:00"/>
    <n v="304"/>
    <x v="0"/>
    <s v="M-U7D2S04V.005,_x000a_MO-U7F2S240.005"/>
    <d v="2020-10-23T00:00:00"/>
    <s v="UAT2Y44O.012"/>
    <d v="2022-02-16T00:00:00"/>
    <d v="2020-03-20T00:00:00"/>
    <m/>
    <s v="Conv-A DONE"/>
    <s v="Conv-A DONE"/>
    <s v="Conv-A DONE"/>
    <m/>
    <s v="Conv-A DONE"/>
    <m/>
    <m/>
    <m/>
    <m/>
    <m/>
    <m/>
    <m/>
    <m/>
  </r>
  <r>
    <m/>
    <n v="39045"/>
    <s v="HLC-B"/>
    <s v="STB0K0305HLCD"/>
    <x v="23"/>
    <s v="CR"/>
    <x v="6"/>
    <d v="2019-04-23T00:00:00"/>
    <n v="305"/>
    <x v="0"/>
    <s v="M-U7D2S04V.005,_x000a_MO-U7F2S240.005"/>
    <d v="2020-10-23T00:00:00"/>
    <s v="UAT2Y44O.012"/>
    <d v="2022-02-16T00:00:00"/>
    <d v="2020-03-20T00:00:00"/>
    <m/>
    <s v="Conv-B DONE"/>
    <s v="Conv-B DONE"/>
    <s v="Conv-B DONE"/>
    <m/>
    <s v="Conv-B DONE"/>
    <m/>
    <m/>
    <m/>
    <m/>
    <m/>
    <m/>
    <m/>
    <m/>
  </r>
  <r>
    <m/>
    <n v="39056"/>
    <s v="HLC-A"/>
    <s v="STB1L0391HLCD"/>
    <x v="23"/>
    <s v="CR"/>
    <x v="6"/>
    <d v="2019-06-18T00:00:00"/>
    <n v="391"/>
    <x v="0"/>
    <s v="M-U7D2S04V.005,_x000a_MO-U7F2S240.005"/>
    <d v="2020-09-18T00:00:00"/>
    <s v="UAT2Y44O.012"/>
    <d v="2021-11-25T00:00:00"/>
    <d v="2020-12-03T00:00:00"/>
    <m/>
    <s v="Conv-A DONE"/>
    <s v="Conv-A DONE"/>
    <s v="Conv-A DONE"/>
    <m/>
    <s v="Conv-A DONE"/>
    <m/>
    <m/>
    <m/>
    <m/>
    <m/>
    <m/>
    <m/>
    <m/>
  </r>
  <r>
    <m/>
    <n v="39056"/>
    <s v="HLC-B"/>
    <s v="STB1L0398HLCD"/>
    <x v="23"/>
    <s v="CR"/>
    <x v="6"/>
    <d v="2019-06-18T00:00:00"/>
    <n v="398"/>
    <x v="0"/>
    <s v="M-U7D2S04V.005,_x000a_MO-U7F2S240.005"/>
    <d v="2020-09-18T00:00:00"/>
    <s v="UAT2Y44O.012"/>
    <d v="2021-11-25T00:00:00"/>
    <d v="2020-12-03T00:00:00"/>
    <m/>
    <s v="Conv-B DONE"/>
    <s v="Conv-B DONE"/>
    <s v="Conv-B DONE"/>
    <m/>
    <s v="Conv-B DONE"/>
    <m/>
    <m/>
    <m/>
    <m/>
    <m/>
    <m/>
    <m/>
    <m/>
  </r>
  <r>
    <m/>
    <n v="39061"/>
    <s v="HLC-A"/>
    <s v="STB1L0396HLCD"/>
    <x v="23"/>
    <s v="CR"/>
    <x v="6"/>
    <d v="2019-06-20T00:00:00"/>
    <n v="396"/>
    <x v="0"/>
    <s v="M-U7D2S04V.005,_x000a_MO-U7F2S240.005"/>
    <d v="2020-09-11T00:00:00"/>
    <s v="UAT2Y44O.012"/>
    <d v="2022-02-03T00:00:00"/>
    <d v="2020-02-28T00:00:00"/>
    <m/>
    <s v="Conv-A DONE"/>
    <s v="Conv-A DONE"/>
    <s v="Conv-A DONE"/>
    <m/>
    <s v="Conv-A DONE"/>
    <m/>
    <m/>
    <m/>
    <m/>
    <m/>
    <m/>
    <m/>
    <m/>
  </r>
  <r>
    <m/>
    <n v="39061"/>
    <s v="HLC-B"/>
    <s v="STB1L0394HLCD"/>
    <x v="23"/>
    <s v="CR"/>
    <x v="6"/>
    <d v="2019-06-20T00:00:00"/>
    <n v="394"/>
    <x v="0"/>
    <s v="M-U7D2S04V.005,_x000a_MO-U7F2S240.005"/>
    <d v="2020-09-11T00:00:00"/>
    <s v="UAT2Y44O.012"/>
    <d v="2022-02-03T00:00:00"/>
    <d v="2020-02-28T00:00:00"/>
    <m/>
    <s v="Conv-B DONE"/>
    <s v="Conv-B DONE"/>
    <s v="Conv-B DONE"/>
    <m/>
    <s v="Conv-B DONE"/>
    <m/>
    <m/>
    <m/>
    <m/>
    <m/>
    <m/>
    <m/>
    <m/>
  </r>
  <r>
    <m/>
    <n v="39062"/>
    <s v="HLC-A"/>
    <s v="STB1L0392HLCD"/>
    <x v="23"/>
    <s v="CR"/>
    <x v="6"/>
    <d v="2019-06-24T00:00:00"/>
    <n v="392"/>
    <x v="0"/>
    <s v="M-U7D2S04V.005,_x000a_MO-U7F2S240.005"/>
    <d v="2020-09-23T00:00:00"/>
    <s v="UAT2Y44O.012"/>
    <d v="2021-09-18T00:00:00"/>
    <d v="2020-03-30T00:00:00"/>
    <m/>
    <s v="Conv-A DONE"/>
    <s v="Conv-A DONE"/>
    <s v="Conv-A DONE"/>
    <m/>
    <s v="Conv-A DONE"/>
    <m/>
    <m/>
    <m/>
    <m/>
    <m/>
    <m/>
    <m/>
    <m/>
  </r>
  <r>
    <m/>
    <n v="39062"/>
    <s v="HLC-B"/>
    <s v="STB1L0395HLCD"/>
    <x v="23"/>
    <s v="CR"/>
    <x v="6"/>
    <d v="2019-06-24T00:00:00"/>
    <n v="395"/>
    <x v="0"/>
    <s v="M-U7D2S04V.005,_x000a_MO-U7F2S240.005"/>
    <d v="2020-09-23T00:00:00"/>
    <s v="UAT2Y44O.012"/>
    <d v="2021-09-18T00:00:00"/>
    <d v="2020-03-30T00:00:00"/>
    <m/>
    <s v="Conv-B DONE"/>
    <s v="Conv-B DONE"/>
    <s v="Conv-B DONE"/>
    <m/>
    <s v="Conv-B DONE"/>
    <m/>
    <m/>
    <m/>
    <m/>
    <m/>
    <m/>
    <m/>
    <m/>
  </r>
  <r>
    <m/>
    <n v="39130"/>
    <s v="HLC-A"/>
    <s v="STB0L0656HLCD"/>
    <x v="23"/>
    <s v="CR"/>
    <x v="6"/>
    <d v="2020-02-14T00:00:00"/>
    <n v="656"/>
    <x v="0"/>
    <s v="M-U7D2S04V.005,_x000a_MO-U7F2S240.005"/>
    <d v="2020-08-24T00:00:00"/>
    <s v="UAT2Y44O.012"/>
    <d v="2021-08-28T00:00:00"/>
    <m/>
    <m/>
    <s v="Done by NW"/>
    <s v="Done by NW"/>
    <s v="Conv-A DONE"/>
    <m/>
    <s v="Conv-A DONE"/>
    <m/>
    <m/>
    <m/>
    <m/>
    <m/>
    <m/>
    <m/>
    <m/>
  </r>
  <r>
    <m/>
    <n v="39130"/>
    <s v="HLC-B"/>
    <s v="STB0L0655HLCD"/>
    <x v="23"/>
    <s v="CR"/>
    <x v="6"/>
    <d v="2020-02-14T00:00:00"/>
    <n v="655"/>
    <x v="0"/>
    <s v="M-U7D2S04V.005,_x000a_MO-U7F2S240.005"/>
    <d v="2020-08-24T00:00:00"/>
    <s v="UAT2Y44O.012"/>
    <d v="2021-08-28T00:00:00"/>
    <m/>
    <m/>
    <s v="Done by NW"/>
    <s v="Done by NW"/>
    <s v="Conv-B DONE"/>
    <m/>
    <s v="Conv-B DONE"/>
    <m/>
    <m/>
    <m/>
    <m/>
    <m/>
    <m/>
    <m/>
    <m/>
  </r>
  <r>
    <m/>
    <n v="39167"/>
    <s v="HLC-A"/>
    <s v="STB9M0979HLCD"/>
    <x v="23"/>
    <s v="CR"/>
    <x v="6"/>
    <d v="2020-11-16T00:00:00"/>
    <n v="979"/>
    <x v="0"/>
    <s v="M-U7D2S04V.005,_x000a_MO-U7F2S240.005"/>
    <s v="Done by NW"/>
    <s v="UAT2Y44O.012"/>
    <d v="2021-11-09T00:00:00"/>
    <m/>
    <m/>
    <s v="Done by NW"/>
    <s v="Done by NW"/>
    <m/>
    <m/>
    <m/>
    <m/>
    <m/>
    <s v="Done by NW"/>
    <m/>
    <m/>
    <m/>
    <m/>
    <m/>
  </r>
  <r>
    <m/>
    <n v="39167"/>
    <s v="HLC-B"/>
    <s v="STB9M0978HLCD"/>
    <x v="23"/>
    <s v="CR"/>
    <x v="6"/>
    <d v="2020-11-16T00:00:00"/>
    <n v="978"/>
    <x v="0"/>
    <s v="M-U7D2S04V.005,_x000a_MO-U7F2S240.005"/>
    <s v="Done by NW"/>
    <s v="UAT2Y44O.012"/>
    <d v="2021-11-09T00:00:00"/>
    <m/>
    <m/>
    <s v="Done by NW"/>
    <s v="Done by NW"/>
    <s v="Conv-A DONE"/>
    <m/>
    <s v="Conv-A DONE"/>
    <m/>
    <m/>
    <s v="Done by NW"/>
    <m/>
    <m/>
    <m/>
    <m/>
    <m/>
  </r>
  <r>
    <m/>
    <n v="39168"/>
    <s v="HLC-A"/>
    <s v="STB9M0977HLCD"/>
    <x v="23"/>
    <s v="CR"/>
    <x v="6"/>
    <d v="2020-11-18T00:00:00"/>
    <n v="977"/>
    <x v="0"/>
    <s v="M-U7D2S04V.005,_x000a_MO-U7F2S240.005"/>
    <s v="Done by NW"/>
    <s v="UAT2Y44O.012"/>
    <d v="2022-02-05T00:00:00"/>
    <m/>
    <m/>
    <s v="Done by NW"/>
    <s v="Done by NW"/>
    <s v="Conv-A DONE"/>
    <m/>
    <s v="Conv-A DONE"/>
    <m/>
    <m/>
    <s v="Done by NW"/>
    <m/>
    <m/>
    <m/>
    <m/>
    <m/>
  </r>
  <r>
    <m/>
    <n v="39168"/>
    <s v="HLC-B"/>
    <s v="STB9M0976HLCD"/>
    <x v="23"/>
    <s v="CR"/>
    <x v="6"/>
    <d v="2020-11-18T00:00:00"/>
    <n v="976"/>
    <x v="0"/>
    <s v="M-U7D2S04V.005,_x000a_MO-U7F2S240.005"/>
    <s v="Done by NW"/>
    <s v="UAT2Y44O.012"/>
    <d v="2022-02-05T00:00:00"/>
    <m/>
    <m/>
    <s v="Done by NW"/>
    <s v="Done by NW"/>
    <s v="Conv-B DONE"/>
    <m/>
    <s v="Conv-B DONE"/>
    <m/>
    <m/>
    <s v="Done by NW"/>
    <m/>
    <m/>
    <m/>
    <m/>
    <m/>
  </r>
  <r>
    <m/>
    <n v="39180"/>
    <s v="HLC-A"/>
    <s v="STBDM1054HLCD"/>
    <x v="23"/>
    <m/>
    <x v="6"/>
    <m/>
    <s v="1054"/>
    <x v="0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m/>
    <m/>
    <m/>
  </r>
  <r>
    <m/>
    <n v="39181"/>
    <s v="HLC-A"/>
    <s v="STBDM1053HLCD"/>
    <x v="23"/>
    <m/>
    <x v="6"/>
    <m/>
    <s v="1053"/>
    <x v="0"/>
    <s v="M-U7D2S04V.005,_x000a_MO-U7F2S240.005"/>
    <s v="Done by NW"/>
    <s v="UAT2Y44O.012"/>
    <d v="2021-09-18T00:00:00"/>
    <m/>
    <m/>
    <s v="Done by NW"/>
    <s v="Done by NW"/>
    <s v="Conv-A DONE"/>
    <s v="Conv-A DONE"/>
    <s v="Conv-A DONE"/>
    <m/>
    <m/>
    <s v="Done by NW"/>
    <m/>
    <m/>
    <m/>
    <m/>
    <m/>
  </r>
  <r>
    <m/>
    <n v="39182"/>
    <s v="HLC-A"/>
    <s v="STBDM1059HLCD"/>
    <x v="23"/>
    <m/>
    <x v="6"/>
    <m/>
    <s v="1059"/>
    <x v="0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m/>
    <m/>
    <m/>
  </r>
  <r>
    <m/>
    <n v="39187"/>
    <s v="HLC-A"/>
    <s v="STBDM1069HLCD"/>
    <x v="23"/>
    <s v="WR"/>
    <x v="6"/>
    <d v="2021-03-09T00:00:00"/>
    <s v="1069"/>
    <x v="0"/>
    <s v="M-U7D2S04V.005,_x000a_MO-U7F2S240.005"/>
    <s v="Done by NW"/>
    <s v="UAT2Y44O.012"/>
    <d v="2021-10-03T00:00:00"/>
    <m/>
    <m/>
    <s v="Done by NW"/>
    <s v="Done by NW"/>
    <s v="Conv-A DONE"/>
    <s v="Conv-A DONE"/>
    <s v="Conv-A DONE"/>
    <m/>
    <m/>
    <s v="Done by NW"/>
    <m/>
    <m/>
    <m/>
    <m/>
    <m/>
  </r>
  <r>
    <m/>
    <n v="39187"/>
    <s v="HLC-B"/>
    <s v="STBDM1068HLCD"/>
    <x v="23"/>
    <s v="WR"/>
    <x v="6"/>
    <d v="2021-03-09T00:00:00"/>
    <s v="1068"/>
    <x v="0"/>
    <s v="M-U7D2S04V.005,_x000a_MO-U7F2S240.005"/>
    <s v="Done by NW"/>
    <s v="UAT2Y44O.012"/>
    <d v="2021-10-03T00:00:00"/>
    <m/>
    <m/>
    <s v="Done by NW"/>
    <s v="Done by NW"/>
    <s v="Conv-B DONE"/>
    <s v="Conv-B DONE"/>
    <s v="Conv-B DONE"/>
    <m/>
    <m/>
    <s v="Done by NW"/>
    <m/>
    <m/>
    <m/>
    <m/>
    <m/>
  </r>
  <r>
    <m/>
    <n v="39188"/>
    <m/>
    <s v="STBDM1056HLCD"/>
    <x v="23"/>
    <s v="WR"/>
    <x v="6"/>
    <d v="2021-03-27T00:00:00"/>
    <s v="1056"/>
    <x v="0"/>
    <s v="M-U7D2S04V.005,_x000a_MO-U7F2S240.005"/>
    <s v="Done by NW"/>
    <s v="UAT2Y44O.012"/>
    <d v="2021-10-14T00:00:00"/>
    <m/>
    <m/>
    <s v="Done by NW"/>
    <s v="Done by NW"/>
    <m/>
    <m/>
    <m/>
    <m/>
    <m/>
    <s v="Done by NW"/>
    <m/>
    <m/>
    <m/>
    <m/>
    <m/>
  </r>
  <r>
    <m/>
    <n v="39188"/>
    <m/>
    <s v="STBDM1057HLCD"/>
    <x v="23"/>
    <s v="WR"/>
    <x v="6"/>
    <d v="2021-03-27T00:00:00"/>
    <s v="1057"/>
    <x v="0"/>
    <s v="M-U7D2S04V.005,_x000a_MO-U7F2S240.005"/>
    <s v="Done by NW"/>
    <s v="UAT2Y44O.012"/>
    <d v="2021-10-14T00:00:00"/>
    <m/>
    <m/>
    <s v="Done by NW"/>
    <s v="Done by NW"/>
    <m/>
    <m/>
    <m/>
    <m/>
    <m/>
    <s v="Done by NW"/>
    <m/>
    <m/>
    <m/>
    <m/>
    <m/>
  </r>
  <r>
    <m/>
    <n v="30470"/>
    <s v="HLC-A"/>
    <s v="STBNF0039HLCA"/>
    <x v="24"/>
    <s v="WR"/>
    <x v="6"/>
    <d v="2016-04-30T00:00:00"/>
    <n v="39"/>
    <x v="1"/>
    <s v="Q9J1Z04V.005"/>
    <m/>
    <s v="L3I2ZY72.008"/>
    <s v="Done"/>
    <d v="2021-04-29T00:00:00"/>
    <m/>
    <s v="Conv-A DONE"/>
    <s v="Conv-A DONE"/>
    <m/>
    <s v="Conv-A DONE"/>
    <s v="Conv-A DONE"/>
    <m/>
    <m/>
    <s v="Conv-A DONE"/>
    <s v="Conv-A DONE"/>
    <s v="Conv-A DONE"/>
    <m/>
    <m/>
    <m/>
  </r>
  <r>
    <m/>
    <n v="30470"/>
    <s v="HLC-B"/>
    <s v="STB8F0023HLCA"/>
    <x v="24"/>
    <s v="WR"/>
    <x v="6"/>
    <d v="2016-04-30T00:00:00"/>
    <n v="23"/>
    <x v="1"/>
    <s v="09J1Z04V.005"/>
    <m/>
    <s v="L3I2ZY72.008"/>
    <s v="Done"/>
    <d v="2021-04-29T00:00:00"/>
    <m/>
    <s v="Conv-B DONE"/>
    <s v="Conv-B DONE"/>
    <m/>
    <s v="Conv-B DONE"/>
    <s v="Conv-B DONE"/>
    <m/>
    <m/>
    <s v="Conv-B DONE"/>
    <s v="Conv-B DONE"/>
    <s v="Conv-B DONE"/>
    <m/>
    <m/>
    <m/>
  </r>
  <r>
    <m/>
    <n v="30471"/>
    <s v="HLC-A"/>
    <s v="STB8F0021HLCB"/>
    <x v="24"/>
    <s v="WR"/>
    <x v="6"/>
    <d v="2016-04-27T00:00:00"/>
    <n v="21"/>
    <x v="1"/>
    <s v="M-U7D2S04V.005,_x000a_MO-U7F2S240.005"/>
    <d v="2020-12-24T00:00:00"/>
    <s v="UAT2Y440.012"/>
    <s v="Done"/>
    <d v="2021-04-20T00:00:00"/>
    <m/>
    <s v="Conv-A DONE"/>
    <s v="Conv-A DONE"/>
    <m/>
    <s v="Conv-A DONE"/>
    <m/>
    <m/>
    <m/>
    <s v="Conv-A DONE"/>
    <m/>
    <m/>
    <m/>
    <m/>
    <m/>
  </r>
  <r>
    <m/>
    <n v="30471"/>
    <s v="HLC-B"/>
    <s v="STB7E0016HLCB"/>
    <x v="24"/>
    <s v="WR"/>
    <x v="6"/>
    <d v="2016-04-27T00:00:00"/>
    <n v="16"/>
    <x v="1"/>
    <s v="M-U7D2S04V.005,_x000a_MO-U7F2S240.005"/>
    <d v="2020-12-24T00:00:00"/>
    <s v="UAT2Y440.012"/>
    <s v="Done"/>
    <d v="2021-04-20T00:00:00"/>
    <m/>
    <s v="Conv-B DONE"/>
    <s v="Conv-B DONE"/>
    <m/>
    <s v="Conv-B DONE"/>
    <m/>
    <m/>
    <m/>
    <s v="Conv-B DONE"/>
    <m/>
    <m/>
    <m/>
    <m/>
    <m/>
  </r>
  <r>
    <m/>
    <n v="30472"/>
    <s v="HLC-A"/>
    <s v="STB7F0017HLCB"/>
    <x v="24"/>
    <s v="WR"/>
    <x v="6"/>
    <d v="2016-05-07T00:00:00"/>
    <n v="17"/>
    <x v="1"/>
    <s v="M-U7D2S04V.005,_x000a_MO-U7F2S240.005"/>
    <d v="2020-09-21T00:00:00"/>
    <s v="L3I2ZY72.008"/>
    <s v="Done"/>
    <m/>
    <m/>
    <s v="Conv-A DONE"/>
    <s v="Conv-A DONE"/>
    <m/>
    <m/>
    <m/>
    <m/>
    <m/>
    <s v="Conv-A DONE"/>
    <m/>
    <m/>
    <m/>
    <m/>
    <m/>
  </r>
  <r>
    <m/>
    <n v="30472"/>
    <s v="HLC-B"/>
    <s v="STBNF0036HLCB"/>
    <x v="24"/>
    <s v="WR"/>
    <x v="6"/>
    <d v="2016-05-07T00:00:00"/>
    <n v="36"/>
    <x v="1"/>
    <s v="M-U7D2S04V.005,_x000a_MO-U7F2S240.005"/>
    <d v="2020-09-21T00:00:00"/>
    <s v="L3I2ZY72.008"/>
    <s v="Done"/>
    <m/>
    <m/>
    <s v="Conv-B DONE"/>
    <s v="Conv-B DONE"/>
    <m/>
    <m/>
    <m/>
    <m/>
    <m/>
    <s v="Conv-B DONE"/>
    <m/>
    <m/>
    <m/>
    <m/>
    <m/>
  </r>
  <r>
    <m/>
    <n v="30473"/>
    <s v="HLC-A"/>
    <s v="STBNF0040HLCA"/>
    <x v="24"/>
    <s v="WR"/>
    <x v="6"/>
    <d v="2016-04-30T00:00:00"/>
    <n v="40"/>
    <x v="1"/>
    <s v="M-U7D2S04V.005,_x000a_MO-U7F2S240.005"/>
    <d v="2021-08-05T00:00:00"/>
    <s v="L3I2ZY72.008"/>
    <s v="Done"/>
    <d v="2021-04-10T00:00:00"/>
    <m/>
    <s v="Conv-A DONE"/>
    <s v="Conv-A DONE"/>
    <m/>
    <m/>
    <m/>
    <m/>
    <m/>
    <s v="Conv-A DONE"/>
    <m/>
    <m/>
    <m/>
    <m/>
    <m/>
  </r>
  <r>
    <m/>
    <n v="30473"/>
    <s v="HLC-B"/>
    <s v="STBDF0044HLCA"/>
    <x v="24"/>
    <s v="WR"/>
    <x v="6"/>
    <d v="2016-04-30T00:00:00"/>
    <n v="44"/>
    <x v="1"/>
    <s v="M-U7D2S04V.005,_x000a_MO-U7F2S240.005"/>
    <d v="2021-06-09T00:00:00"/>
    <s v="L3I2ZY72.008"/>
    <s v="Done"/>
    <d v="2021-04-10T00:00:00"/>
    <m/>
    <s v="Conv-B DONE"/>
    <s v="Conv-B DONE"/>
    <m/>
    <m/>
    <m/>
    <m/>
    <m/>
    <s v="Conv-B DONE"/>
    <m/>
    <m/>
    <m/>
    <m/>
    <m/>
  </r>
  <r>
    <m/>
    <n v="30474"/>
    <s v="HLC-A"/>
    <s v="STBDF0043HLCB"/>
    <x v="24"/>
    <s v="WR"/>
    <x v="6"/>
    <d v="2016-05-11T00:00:00"/>
    <n v="43"/>
    <x v="1"/>
    <s v="M-U7D2S04V.005,_x000a_MO-U7F2S240.005"/>
    <d v="2021-02-18T00:00:00"/>
    <s v="L3I2ZY72.008"/>
    <s v="Done"/>
    <s v="NEW FILTER"/>
    <m/>
    <s v="Conv-A DONE"/>
    <s v="Conv-A DONE"/>
    <m/>
    <m/>
    <m/>
    <m/>
    <m/>
    <s v="Conv-A DONE"/>
    <m/>
    <m/>
    <m/>
    <m/>
    <m/>
  </r>
  <r>
    <m/>
    <n v="30474"/>
    <s v="HLC-B"/>
    <s v="STB7F0015HLCB"/>
    <x v="24"/>
    <s v="WR"/>
    <x v="6"/>
    <d v="2016-05-11T00:00:00"/>
    <n v="15"/>
    <x v="1"/>
    <s v="M-U7D2S04V.005,_x000a_MO-U7F2S240.005"/>
    <d v="2021-02-18T00:00:00"/>
    <s v="L3I2ZY72.008"/>
    <s v="Done"/>
    <s v="NEW FILTER"/>
    <m/>
    <s v="Conv-B DONE"/>
    <s v="Conv-B DONE"/>
    <m/>
    <m/>
    <m/>
    <m/>
    <m/>
    <s v="Conv-B DONE"/>
    <m/>
    <m/>
    <m/>
    <m/>
    <m/>
  </r>
  <r>
    <m/>
    <n v="30476"/>
    <s v="HLC-A"/>
    <s v="STB1H0054HLCA"/>
    <x v="24"/>
    <s v="WR"/>
    <x v="6"/>
    <d v="2016-05-23T00:00:00"/>
    <n v="54"/>
    <x v="1"/>
    <s v="M-U7D2S04V.005,_x000a_MO-U7F2S240.005"/>
    <m/>
    <s v="L3I2ZY72.008"/>
    <s v="Done"/>
    <s v="NEW FILTER"/>
    <m/>
    <s v="Conv-A DONE"/>
    <s v="Conv-A DONE"/>
    <m/>
    <m/>
    <m/>
    <m/>
    <m/>
    <s v="Conv-A DONE"/>
    <m/>
    <m/>
    <m/>
    <m/>
    <m/>
  </r>
  <r>
    <m/>
    <n v="30476"/>
    <s v="HLC-B"/>
    <s v="STBNF0041HLCA"/>
    <x v="24"/>
    <s v="WR"/>
    <x v="6"/>
    <d v="2016-05-23T00:00:00"/>
    <n v="41"/>
    <x v="1"/>
    <s v="M-U7D2S04V.005,_x000a_MO-U7F2S240.005"/>
    <m/>
    <s v="L3I2ZY72.008"/>
    <s v="Done"/>
    <s v="NEW FILTER"/>
    <m/>
    <s v="Conv-B DONE"/>
    <s v="Conv-B DONE"/>
    <m/>
    <m/>
    <m/>
    <m/>
    <m/>
    <s v="Conv-B DONE"/>
    <m/>
    <m/>
    <m/>
    <m/>
    <m/>
  </r>
  <r>
    <m/>
    <n v="30480"/>
    <s v="HLC-A"/>
    <s v="STB8F0025HLCA"/>
    <x v="24"/>
    <s v="WR"/>
    <x v="6"/>
    <d v="2016-05-18T00:00:00"/>
    <n v="25"/>
    <x v="1"/>
    <s v="M-U7D2S04V.005,_x000a_MO-U7F2S240.005"/>
    <m/>
    <s v="L3I2ZY72.008"/>
    <s v="Done"/>
    <m/>
    <m/>
    <s v="Conv-A DONE"/>
    <s v="Conv-A DONE"/>
    <m/>
    <m/>
    <m/>
    <m/>
    <m/>
    <s v="Conv-A DONE"/>
    <m/>
    <m/>
    <m/>
    <m/>
    <m/>
  </r>
  <r>
    <m/>
    <n v="30480"/>
    <s v="HLC-B"/>
    <s v="STB1H0055HLCA"/>
    <x v="24"/>
    <s v="WR"/>
    <x v="6"/>
    <d v="2016-05-18T00:00:00"/>
    <n v="55"/>
    <x v="1"/>
    <s v="M-U7D2S04V.005,_x000a_MO-U7F2S240.005"/>
    <m/>
    <s v="L3I2ZY72.008"/>
    <s v="Done"/>
    <m/>
    <m/>
    <s v="Conv-B DONE"/>
    <s v="Conv-B DONE"/>
    <m/>
    <m/>
    <m/>
    <m/>
    <m/>
    <s v="Conv-B DONE"/>
    <m/>
    <m/>
    <m/>
    <m/>
    <m/>
  </r>
  <r>
    <m/>
    <n v="30484"/>
    <s v="HLC-A"/>
    <s v="STB8F0024HLCA"/>
    <x v="24"/>
    <s v="WR"/>
    <x v="6"/>
    <d v="2016-08-10T00:00:00"/>
    <n v="24"/>
    <x v="1"/>
    <s v="M-U7D2S04V.005,_x000a_MO-U7F2S240.005"/>
    <d v="2020-08-16T00:00:00"/>
    <s v="L3I2ZY72.008"/>
    <s v="Done"/>
    <d v="2020-08-14T00:00:00"/>
    <m/>
    <s v="Conv-A DONE"/>
    <s v="Conv-A DONE"/>
    <m/>
    <m/>
    <m/>
    <m/>
    <s v="Conv-A DONE"/>
    <s v="Conv-A DONE"/>
    <m/>
    <m/>
    <m/>
    <m/>
    <m/>
  </r>
  <r>
    <m/>
    <n v="30484"/>
    <s v="HLC-B"/>
    <s v="STBDF0049HLCA"/>
    <x v="24"/>
    <s v="WR"/>
    <x v="6"/>
    <d v="2016-08-10T00:00:00"/>
    <n v="49"/>
    <x v="1"/>
    <s v="M-U7D2S04V.005,_x000a_MO-U7F2S240.005"/>
    <d v="2020-08-16T00:00:00"/>
    <s v="L3I2ZY72.008"/>
    <s v="Done"/>
    <d v="2020-08-14T00:00:00"/>
    <m/>
    <s v="Conv-B DONE"/>
    <s v="Conv-B DONE"/>
    <m/>
    <m/>
    <m/>
    <m/>
    <s v="Conv-B DONE"/>
    <s v="Conv-B DONE"/>
    <s v="Conv-B DONE"/>
    <s v="Conv-B DONE"/>
    <m/>
    <m/>
    <m/>
  </r>
  <r>
    <m/>
    <n v="30531"/>
    <s v="HLC-A"/>
    <s v="STB6H0064HLCC"/>
    <x v="24"/>
    <s v="WR"/>
    <x v="6"/>
    <d v="2017-02-21T00:00:00"/>
    <n v="64"/>
    <x v="1"/>
    <s v="M-U7D2S04V.005,_x000a_MO-U7F2S240.005"/>
    <d v="2020-03-30T00:00:00"/>
    <s v="UAT2Y440.012"/>
    <d v="2020-12-29T00:00:00"/>
    <s v="PROVIDED NEW"/>
    <m/>
    <s v="Conv-A DONE"/>
    <s v="Conv-A DONE"/>
    <m/>
    <s v="Conv-A DONE"/>
    <s v="Conv-A DONE"/>
    <m/>
    <m/>
    <s v="Conv-A DONE"/>
    <m/>
    <m/>
    <m/>
    <m/>
    <m/>
  </r>
  <r>
    <m/>
    <n v="30531"/>
    <s v="HLC-B"/>
    <s v="STB6H0061HLCC"/>
    <x v="24"/>
    <s v="WR"/>
    <x v="6"/>
    <d v="2017-02-21T00:00:00"/>
    <n v="61"/>
    <x v="1"/>
    <s v="M-U7D2S04V.005,_x000a_MO-U7F2S240.005"/>
    <d v="2020-03-30T00:00:00"/>
    <s v="UAT2Y440.012"/>
    <d v="2020-12-29T00:00:00"/>
    <s v="PROVIDED NEW"/>
    <m/>
    <s v="Conv-B DONE"/>
    <s v="Conv-B DONE"/>
    <m/>
    <s v="Conv-B DONE"/>
    <s v="Conv-B DONE"/>
    <m/>
    <m/>
    <s v="Conv-B DONE"/>
    <m/>
    <m/>
    <m/>
    <m/>
    <m/>
  </r>
  <r>
    <m/>
    <n v="30532"/>
    <s v="HLC-A"/>
    <s v="STB6H0062HLCC"/>
    <x v="24"/>
    <s v="WR"/>
    <x v="6"/>
    <d v="2017-02-23T00:00:00"/>
    <n v="62"/>
    <x v="1"/>
    <s v="M-U7D2S04V.005,_x000a_MO-U7F2S240.005"/>
    <m/>
    <s v="UAT2Y440.012"/>
    <d v="2021-02-10T00:00:00"/>
    <m/>
    <m/>
    <s v="Conv-A DONE"/>
    <s v="Conv-A DONE"/>
    <m/>
    <s v="Conv-A DONE"/>
    <m/>
    <m/>
    <m/>
    <s v="Conv-A DONE"/>
    <m/>
    <m/>
    <m/>
    <m/>
    <m/>
  </r>
  <r>
    <m/>
    <n v="30532"/>
    <s v="HLC-B"/>
    <s v="STB6H0060HLCC"/>
    <x v="24"/>
    <s v="WR"/>
    <x v="6"/>
    <d v="2017-02-23T00:00:00"/>
    <n v="60"/>
    <x v="1"/>
    <s v="M-U7D2S04V.005,_x000a_MO-U7F2S240.005"/>
    <m/>
    <s v="UAT2Y440.012"/>
    <d v="2021-02-10T00:00:00"/>
    <m/>
    <m/>
    <s v="Conv-B DONE"/>
    <s v="Conv-B DONE"/>
    <m/>
    <s v="Conv-B DONE"/>
    <m/>
    <m/>
    <m/>
    <s v="Conv-B DONE"/>
    <m/>
    <m/>
    <m/>
    <m/>
    <m/>
  </r>
  <r>
    <m/>
    <n v="30533"/>
    <s v="HLC-A"/>
    <s v="STB6H0059HLCC"/>
    <x v="24"/>
    <s v="WR"/>
    <x v="6"/>
    <d v="2017-02-25T00:00:00"/>
    <n v="59"/>
    <x v="1"/>
    <s v="M-U7D2S04V.005,_x000a_MO-U7F2S240.005"/>
    <d v="2021-04-08T00:00:00"/>
    <s v="UAT2Y440.012"/>
    <d v="2020-12-26T00:00:00"/>
    <s v="NEW FILTER"/>
    <m/>
    <s v="Conv-A DONE"/>
    <s v="Conv-A DONE"/>
    <m/>
    <m/>
    <m/>
    <m/>
    <m/>
    <s v="Conv-A DONE"/>
    <m/>
    <m/>
    <m/>
    <m/>
    <m/>
  </r>
  <r>
    <m/>
    <n v="30533"/>
    <s v="HLC-B"/>
    <s v="STB6H0063HLCC"/>
    <x v="24"/>
    <s v="WR"/>
    <x v="6"/>
    <d v="2017-02-25T00:00:00"/>
    <n v="63"/>
    <x v="1"/>
    <s v="M-U7D2S04V.005,_x000a_MO-U7F2S240.005"/>
    <d v="2021-04-08T00:00:00"/>
    <s v="UAT2Y440.012"/>
    <d v="2020-12-26T00:00:00"/>
    <s v="NEW FILTER"/>
    <m/>
    <s v="Conv-B DONE"/>
    <s v="Conv-B DONE"/>
    <m/>
    <m/>
    <m/>
    <m/>
    <m/>
    <s v="Conv-B DONE"/>
    <m/>
    <m/>
    <m/>
    <m/>
    <m/>
  </r>
  <r>
    <m/>
    <n v="30536"/>
    <s v="HLC-A"/>
    <s v="STB7H0066HLCC"/>
    <x v="24"/>
    <s v="WR"/>
    <x v="6"/>
    <d v="2017-04-06T00:00:00"/>
    <n v="66"/>
    <x v="1"/>
    <s v="M-U7D2S04V.005,_x000a_MO-U7F2S240.005"/>
    <d v="2020-08-16T00:00:00"/>
    <s v="UAT2Y440.012"/>
    <d v="2021-01-30T00:00:00"/>
    <m/>
    <m/>
    <s v="Conv-B DONE"/>
    <s v="Conv-B DONE"/>
    <m/>
    <m/>
    <m/>
    <m/>
    <m/>
    <m/>
    <m/>
    <m/>
    <m/>
    <m/>
    <m/>
  </r>
  <r>
    <m/>
    <n v="30536"/>
    <s v="HLC-B"/>
    <s v="STB7H0067HLCC"/>
    <x v="24"/>
    <s v="WR"/>
    <x v="6"/>
    <d v="2017-04-06T00:00:00"/>
    <n v="67"/>
    <x v="1"/>
    <s v="M-U7D2S04V.005,_x000a_MO-U7F2S240.005"/>
    <d v="2020-08-16T00:00:00"/>
    <s v="UAT2Y440.012"/>
    <d v="2021-01-30T00:00:00"/>
    <m/>
    <m/>
    <s v="Conv-A DONE"/>
    <s v="Conv-A DONE"/>
    <m/>
    <m/>
    <m/>
    <m/>
    <m/>
    <m/>
    <m/>
    <m/>
    <m/>
    <m/>
    <m/>
  </r>
  <r>
    <m/>
    <n v="30548"/>
    <s v="HLC-A"/>
    <s v="STB8H0080HLCC"/>
    <x v="24"/>
    <s v="WR"/>
    <x v="6"/>
    <d v="2017-05-29T00:00:00"/>
    <n v="80"/>
    <x v="1"/>
    <s v="M-U7D2S04V.005,_x000a_MO-U7F2S240.005"/>
    <d v="2020-08-18T00:00:00"/>
    <s v="UAT2Y440.012"/>
    <d v="2020-12-10T00:00:00"/>
    <m/>
    <m/>
    <m/>
    <m/>
    <m/>
    <m/>
    <m/>
    <m/>
    <m/>
    <m/>
    <m/>
    <m/>
    <m/>
    <m/>
    <m/>
  </r>
  <r>
    <m/>
    <n v="30548"/>
    <s v="HLC-B"/>
    <s v="STB8H0078HLCC"/>
    <x v="24"/>
    <s v="WR"/>
    <x v="6"/>
    <d v="2017-05-29T00:00:00"/>
    <n v="78"/>
    <x v="1"/>
    <s v="M-U7D2S04V.005,_x000a_MO-U7F2S240.005"/>
    <d v="2020-08-18T00:00:00"/>
    <s v="UAT2Y440.012"/>
    <d v="2020-12-10T00:00:00"/>
    <m/>
    <m/>
    <m/>
    <m/>
    <m/>
    <m/>
    <m/>
    <m/>
    <m/>
    <m/>
    <m/>
    <m/>
    <m/>
    <m/>
    <m/>
  </r>
  <r>
    <m/>
    <n v="30588"/>
    <s v="HLC-A"/>
    <s v="STB5J0104HLCD"/>
    <x v="24"/>
    <s v="WR"/>
    <x v="6"/>
    <d v="2018-01-09T00:00:00"/>
    <n v="104"/>
    <x v="0"/>
    <s v="M-U7D2S04V.005,_x000a_MO-U7F2S240.005"/>
    <s v="Done"/>
    <s v="UAT2Y440.012"/>
    <d v="2020-12-14T00:00:00"/>
    <m/>
    <m/>
    <s v="Conv-A DONE"/>
    <s v="Conv-A DONE"/>
    <m/>
    <m/>
    <m/>
    <m/>
    <m/>
    <s v="Conv-A DONE"/>
    <m/>
    <m/>
    <d v="2021-10-06T00:00:00"/>
    <m/>
    <m/>
  </r>
  <r>
    <m/>
    <n v="30588"/>
    <s v="HLC-B"/>
    <s v="STB830105HLCD"/>
    <x v="24"/>
    <s v="WR"/>
    <x v="6"/>
    <d v="2018-01-09T00:00:00"/>
    <n v="105"/>
    <x v="0"/>
    <s v="M-U7D2S04V.005,_x000a_MO-U7F2S240.005"/>
    <s v="Done"/>
    <s v="UAT2Y440.012"/>
    <d v="2020-12-14T00:00:00"/>
    <m/>
    <m/>
    <s v="Conv-B DONE"/>
    <s v="Conv-B DONE"/>
    <m/>
    <m/>
    <m/>
    <m/>
    <m/>
    <s v="Conv-B DONE"/>
    <m/>
    <m/>
    <d v="2021-10-06T00:00:00"/>
    <m/>
    <m/>
  </r>
  <r>
    <m/>
    <n v="30598"/>
    <s v="HLC-A"/>
    <s v="STB8J0144HLCC"/>
    <x v="24"/>
    <s v="WR"/>
    <x v="6"/>
    <d v="2017-11-11T00:00:00"/>
    <n v="144"/>
    <x v="0"/>
    <m/>
    <m/>
    <s v="UAT2Y440.012"/>
    <d v="2020-12-15T00:00:00"/>
    <m/>
    <m/>
    <s v="Conv-A DONE"/>
    <m/>
    <m/>
    <m/>
    <m/>
    <m/>
    <m/>
    <s v="Conv-A DONE"/>
    <m/>
    <m/>
    <m/>
    <m/>
    <m/>
  </r>
  <r>
    <m/>
    <n v="30598"/>
    <s v="HLC-B"/>
    <s v="STB8J0145HLCD"/>
    <x v="24"/>
    <s v="WR"/>
    <x v="6"/>
    <d v="2017-11-11T00:00:00"/>
    <n v="145"/>
    <x v="0"/>
    <m/>
    <m/>
    <s v="UAT2Y440.012"/>
    <d v="2020-12-15T00:00:00"/>
    <m/>
    <m/>
    <s v="Conv-B DONE"/>
    <s v="Conv-B DONE"/>
    <m/>
    <m/>
    <m/>
    <m/>
    <m/>
    <s v="Conv-B DONE"/>
    <m/>
    <m/>
    <m/>
    <m/>
    <m/>
  </r>
  <r>
    <m/>
    <n v="30606"/>
    <s v="HLC-A"/>
    <s v="STB6J0107HLCD"/>
    <x v="24"/>
    <s v="WR"/>
    <x v="6"/>
    <d v="2017-12-05T00:00:00"/>
    <n v="107"/>
    <x v="0"/>
    <s v="M-U7D2S04V.005,_x000a_MO-U7F2S240.005"/>
    <d v="2020-10-08T00:00:00"/>
    <s v="UAT2Y440.012"/>
    <d v="2021-02-08T00:00:00"/>
    <m/>
    <m/>
    <s v="Conv-A DONE"/>
    <s v="Conv-A DONE"/>
    <s v="Conv-A DONE"/>
    <m/>
    <m/>
    <m/>
    <m/>
    <s v="Conv-A DONE"/>
    <m/>
    <m/>
    <m/>
    <m/>
    <m/>
  </r>
  <r>
    <m/>
    <n v="30606"/>
    <s v="HLC-B"/>
    <s v="STB6J0106HLCD"/>
    <x v="24"/>
    <s v="WR"/>
    <x v="6"/>
    <d v="2017-12-05T00:00:00"/>
    <n v="106"/>
    <x v="0"/>
    <s v="M-U7D2S04V.005,_x000a_MO-U7F2S240.005"/>
    <d v="2020-10-08T00:00:00"/>
    <s v="UAT2Y440.012"/>
    <d v="2021-02-08T00:00:00"/>
    <m/>
    <m/>
    <s v="Conv-B DONE"/>
    <s v="Conv-B DONE"/>
    <s v="Conv-B DONE"/>
    <m/>
    <m/>
    <m/>
    <m/>
    <s v="Conv-B DONE"/>
    <m/>
    <m/>
    <m/>
    <m/>
    <m/>
  </r>
  <r>
    <m/>
    <n v="30607"/>
    <s v="HLC-A"/>
    <s v="STB7J0126HLCD"/>
    <x v="24"/>
    <s v="WR"/>
    <x v="6"/>
    <d v="2017-12-15T00:00:00"/>
    <n v="126"/>
    <x v="0"/>
    <s v="M-U7D2S04V.005,_x000a_MO-U7F2S240.005"/>
    <d v="2020-08-29T00:00:00"/>
    <s v="UAT2Y440.012"/>
    <d v="2020-12-08T00:00:00"/>
    <s v="NEW FILTER"/>
    <m/>
    <s v="Conv-A DONE"/>
    <s v="Conv-A DONE"/>
    <s v="Conv-A DONE"/>
    <m/>
    <m/>
    <m/>
    <m/>
    <s v="Conv-A DONE"/>
    <m/>
    <m/>
    <m/>
    <m/>
    <m/>
  </r>
  <r>
    <m/>
    <n v="30607"/>
    <s v="HLC-B"/>
    <s v="STB7J0127HLCD"/>
    <x v="24"/>
    <s v="WR"/>
    <x v="6"/>
    <d v="2017-12-15T00:00:00"/>
    <n v="127"/>
    <x v="0"/>
    <s v="M-U7D2S04V.005,_x000a_MO-U7F2S240.005"/>
    <d v="2020-08-29T00:00:00"/>
    <s v="UAT2Y440.012"/>
    <d v="2020-12-08T00:00:00"/>
    <s v="NEW FILTER"/>
    <m/>
    <s v="Conv-B DONE"/>
    <s v="Conv-B DONE"/>
    <s v="Conv-B DONE"/>
    <m/>
    <m/>
    <m/>
    <m/>
    <s v="Conv-B DONE"/>
    <m/>
    <m/>
    <m/>
    <m/>
    <m/>
  </r>
  <r>
    <m/>
    <n v="30821"/>
    <s v="HLC-A"/>
    <s v="STBDK0374HLCD"/>
    <x v="24"/>
    <s v="WR"/>
    <x v="6"/>
    <d v="2021-01-13T00:00:00"/>
    <n v="374"/>
    <x v="0"/>
    <s v="M-U7D2S04V.005,_x000a_MO-U7F2S240.005"/>
    <d v="2021-08-10T00:00:00"/>
    <s v="UAT2Y440.012"/>
    <s v="Done"/>
    <m/>
    <m/>
    <m/>
    <s v="Conv-A DONE"/>
    <m/>
    <s v="Conv-A DONE"/>
    <m/>
    <m/>
    <m/>
    <s v="Conv-A DONE"/>
    <m/>
    <m/>
    <d v="2021-12-01T00:00:00"/>
    <m/>
    <m/>
  </r>
  <r>
    <m/>
    <n v="30821"/>
    <s v="HLC-B"/>
    <s v="STBDK0375HLCD"/>
    <x v="24"/>
    <s v="WR"/>
    <x v="6"/>
    <d v="2021-01-13T00:00:00"/>
    <n v="375"/>
    <x v="0"/>
    <s v="M-U7D2S04V.005,_x000a_MO-U7F2S240.005"/>
    <d v="2021-08-10T00:00:00"/>
    <s v="UAT2Y440.012"/>
    <s v="Done"/>
    <m/>
    <m/>
    <m/>
    <s v="Conv-B DONE"/>
    <m/>
    <s v="Conv-B DONE"/>
    <m/>
    <m/>
    <m/>
    <s v="Conv-B DONE"/>
    <m/>
    <m/>
    <d v="2021-12-01T00:00:00"/>
    <m/>
    <m/>
  </r>
  <r>
    <m/>
    <n v="30822"/>
    <s v="HLC-A"/>
    <s v="STB8M0964HLCD"/>
    <x v="24"/>
    <s v="WR"/>
    <x v="6"/>
    <d v="2021-01-14T00:00:00"/>
    <n v="964"/>
    <x v="0"/>
    <s v="M-U7D2S04V.005,_x000a_MO-U7F2S240.005"/>
    <s v="Done by NW"/>
    <s v="UAT2Y440.012"/>
    <d v="2021-01-25T00:00:00"/>
    <m/>
    <m/>
    <s v="Done by NW"/>
    <s v="Done by NW"/>
    <m/>
    <s v="Conv-A DONE"/>
    <m/>
    <m/>
    <m/>
    <s v="Done by NW"/>
    <m/>
    <m/>
    <m/>
    <m/>
    <m/>
  </r>
  <r>
    <m/>
    <n v="30822"/>
    <s v="HLC-B"/>
    <s v="STB8M0965HLCD"/>
    <x v="24"/>
    <s v="WR"/>
    <x v="6"/>
    <d v="2021-01-14T00:00:00"/>
    <n v="965"/>
    <x v="0"/>
    <s v="M-U7D2S04V.005,_x000a_MO-U7F2S240.005"/>
    <s v="Done by NW"/>
    <s v="UAT2Y440.012"/>
    <d v="2021-01-25T00:00:00"/>
    <m/>
    <m/>
    <s v="Done by NW"/>
    <s v="Done by NW"/>
    <m/>
    <s v="Conv-B DONE"/>
    <m/>
    <m/>
    <m/>
    <s v="Done by NW"/>
    <m/>
    <m/>
    <m/>
    <m/>
    <m/>
  </r>
  <r>
    <m/>
    <n v="30823"/>
    <s v="HLC-A"/>
    <s v="STB0M1008HLCD"/>
    <x v="24"/>
    <s v="WR"/>
    <x v="6"/>
    <d v="2021-01-22T00:00:00"/>
    <n v="1008"/>
    <x v="0"/>
    <s v="M-U7D2S04V.005,_x000a_MO-U7F2S240.005"/>
    <s v="Done by NW"/>
    <s v="UAT2Y440.012"/>
    <s v="Done"/>
    <m/>
    <m/>
    <s v="Done by NW"/>
    <s v="Done by NW"/>
    <m/>
    <s v="Conv-A DONE"/>
    <m/>
    <m/>
    <m/>
    <s v="Done by NW"/>
    <m/>
    <m/>
    <m/>
    <m/>
    <m/>
  </r>
  <r>
    <m/>
    <n v="30823"/>
    <s v="HLC-B"/>
    <s v="STB9M0986HLCD"/>
    <x v="24"/>
    <s v="WR"/>
    <x v="6"/>
    <d v="2021-01-22T00:00:00"/>
    <n v="986"/>
    <x v="0"/>
    <s v="M-U7D2S04V.005,_x000a_MO-U7F2S240.005"/>
    <s v="Done by NW"/>
    <s v="UAT2Y440.012"/>
    <s v="Done"/>
    <m/>
    <m/>
    <s v="Done by NW"/>
    <s v="Done by NW"/>
    <m/>
    <s v="Conv-B DONE"/>
    <m/>
    <m/>
    <m/>
    <s v="Done by NW"/>
    <m/>
    <m/>
    <m/>
    <m/>
    <m/>
  </r>
  <r>
    <m/>
    <n v="37086"/>
    <s v="HLC-A"/>
    <s v="STB5K0244HLCD"/>
    <x v="24"/>
    <s v="WR"/>
    <x v="6"/>
    <d v="2019-02-14T00:00:00"/>
    <n v="244"/>
    <x v="0"/>
    <s v="M-U7D2S04V.005,_x000a_MO-U7F2S240.005"/>
    <d v="2020-01-28T00:00:00"/>
    <s v="UAT2Y440.012"/>
    <d v="2020-12-22T00:00:00"/>
    <m/>
    <m/>
    <s v="Conv-A DONE"/>
    <s v="Conv-A DONE"/>
    <m/>
    <m/>
    <m/>
    <m/>
    <m/>
    <m/>
    <m/>
    <m/>
    <d v="2021-10-25T00:00:00"/>
    <m/>
    <m/>
  </r>
  <r>
    <m/>
    <n v="37086"/>
    <s v="HLC-B"/>
    <s v="STB5K0245HLCD"/>
    <x v="24"/>
    <s v="WR"/>
    <x v="6"/>
    <d v="2019-02-14T00:00:00"/>
    <n v="245"/>
    <x v="0"/>
    <s v="M-U7D2S04V.005,_x000a_MO-U7F2S240.005"/>
    <d v="2020-01-28T00:00:00"/>
    <s v="UAT2Y440.012"/>
    <d v="2020-12-22T00:00:00"/>
    <m/>
    <m/>
    <s v="Conv-B DONE"/>
    <m/>
    <m/>
    <m/>
    <m/>
    <m/>
    <m/>
    <m/>
    <m/>
    <m/>
    <d v="2021-10-25T00:00:00"/>
    <m/>
    <m/>
  </r>
  <r>
    <m/>
    <n v="37088"/>
    <s v="HLC-A"/>
    <s v="STB6K0256HLCD"/>
    <x v="24"/>
    <s v="WR"/>
    <x v="6"/>
    <d v="2019-02-18T00:00:00"/>
    <n v="256"/>
    <x v="0"/>
    <s v="M-U7D2S04V.005,_x000a_MO-U7F2S240.005"/>
    <d v="2021-01-22T00:00:00"/>
    <s v="UAT2Y440.012"/>
    <d v="2020-11-26T00:00:00"/>
    <m/>
    <m/>
    <s v="Conv-A DONE"/>
    <s v="Conv-A DONE"/>
    <m/>
    <m/>
    <m/>
    <m/>
    <m/>
    <m/>
    <m/>
    <m/>
    <d v="2021-11-18T00:00:00"/>
    <m/>
    <m/>
  </r>
  <r>
    <m/>
    <n v="37088"/>
    <s v="HLC-B"/>
    <s v="STB6K0257HLCD"/>
    <x v="24"/>
    <s v="WR"/>
    <x v="6"/>
    <d v="2019-02-18T00:00:00"/>
    <n v="257"/>
    <x v="0"/>
    <s v="M-U7D2S04V.005,_x000a_MO-U7F2S240.005"/>
    <d v="2021-01-22T00:00:00"/>
    <s v="UAT2Y440.012"/>
    <d v="2020-11-26T00:00:00"/>
    <m/>
    <m/>
    <s v="Conv-B DONE"/>
    <s v="Conv-B DONE"/>
    <m/>
    <m/>
    <m/>
    <m/>
    <m/>
    <m/>
    <m/>
    <m/>
    <m/>
    <m/>
    <m/>
  </r>
  <r>
    <m/>
    <n v="37112"/>
    <s v="HLC-A"/>
    <s v="STBOK0318HLCD"/>
    <x v="24"/>
    <s v="WR"/>
    <x v="6"/>
    <d v="2019-03-14T00:00:00"/>
    <n v="318"/>
    <x v="0"/>
    <m/>
    <m/>
    <s v="UAT2Y440.012"/>
    <d v="2020-12-15T00:00:00"/>
    <m/>
    <m/>
    <s v="Conv-A DONE"/>
    <s v="Conv-A DONE"/>
    <m/>
    <m/>
    <m/>
    <m/>
    <m/>
    <m/>
    <m/>
    <m/>
    <d v="2021-11-29T00:00:00"/>
    <m/>
    <m/>
  </r>
  <r>
    <m/>
    <n v="37112"/>
    <s v="HLC-B"/>
    <s v="STBOK0319HLCD"/>
    <x v="24"/>
    <s v="WR"/>
    <x v="6"/>
    <d v="2019-03-14T00:00:00"/>
    <n v="319"/>
    <x v="0"/>
    <m/>
    <m/>
    <s v="UAT2Y440.012"/>
    <d v="2020-12-15T00:00:00"/>
    <m/>
    <m/>
    <s v="Conv-B DONE"/>
    <m/>
    <m/>
    <m/>
    <m/>
    <m/>
    <m/>
    <m/>
    <m/>
    <m/>
    <d v="2021-11-29T00:00:00"/>
    <m/>
    <m/>
  </r>
  <r>
    <m/>
    <n v="37113"/>
    <s v="HLC-A"/>
    <s v="STBDK0355HLCD"/>
    <x v="24"/>
    <s v="WR"/>
    <x v="6"/>
    <d v="2019-03-16T00:00:00"/>
    <n v="355"/>
    <x v="0"/>
    <s v="M-U7D2S04V.005,_x000a_MO-U7F2S240.005"/>
    <d v="2020-03-02T00:00:00"/>
    <s v="UAT2Y440.012"/>
    <d v="2021-02-05T00:00:00"/>
    <m/>
    <m/>
    <s v="Conv-A DONE"/>
    <m/>
    <m/>
    <m/>
    <m/>
    <m/>
    <m/>
    <m/>
    <m/>
    <m/>
    <d v="2021-10-28T00:00:00"/>
    <m/>
    <m/>
  </r>
  <r>
    <m/>
    <n v="37113"/>
    <s v="HLC-B"/>
    <s v="STBNK0336HLCD"/>
    <x v="24"/>
    <s v="WR"/>
    <x v="6"/>
    <d v="2019-03-16T00:00:00"/>
    <n v="336"/>
    <x v="0"/>
    <s v="M-U7D2S04V.005,_x000a_MO-U7F2S240.005"/>
    <d v="2020-03-02T00:00:00"/>
    <s v="UAT2Y440.012"/>
    <d v="2021-02-05T00:00:00"/>
    <m/>
    <m/>
    <s v="Conv-B DONE"/>
    <s v="Conv-B DONE"/>
    <m/>
    <m/>
    <m/>
    <m/>
    <m/>
    <m/>
    <m/>
    <m/>
    <d v="2021-10-28T00:00:00"/>
    <m/>
    <m/>
  </r>
  <r>
    <m/>
    <n v="37128"/>
    <s v="HLC-A"/>
    <s v="STB0K0290HLCD"/>
    <x v="4"/>
    <s v="NR"/>
    <x v="3"/>
    <d v="2019-03-27T00:00:00"/>
    <n v="290"/>
    <x v="0"/>
    <s v="M-U7D2S04V.005,_x000a_MO-U7F2S240.005"/>
    <d v="2020-10-31T00:00:00"/>
    <s v="U812Y440.010"/>
    <d v="2021-02-08T00:00:00"/>
    <d v="2022-05-27T00:00:00"/>
    <m/>
    <s v="Conv-A DONE"/>
    <s v="Conv-A DONE"/>
    <s v="Conv-A DONE"/>
    <s v="Conv-A DONE"/>
    <s v="Conv-A DONE"/>
    <m/>
    <s v="Conv-A DONE"/>
    <s v="Conv-A DONE"/>
    <m/>
    <m/>
    <d v="2021-10-26T00:00:00"/>
    <m/>
    <m/>
  </r>
  <r>
    <m/>
    <n v="37128"/>
    <s v="HLC-B"/>
    <s v="STBDK0351HLCD"/>
    <x v="4"/>
    <s v="NR"/>
    <x v="3"/>
    <d v="2019-03-27T00:00:00"/>
    <n v="351"/>
    <x v="0"/>
    <s v="M-U7D2S04V.005,_x000a_MO-U7F2S240.005"/>
    <d v="2020-10-31T00:00:00"/>
    <s v="U812Y440.010"/>
    <d v="2021-02-08T00:00:00"/>
    <d v="2022-05-27T00:00:00"/>
    <m/>
    <s v="Conv-B DONE"/>
    <s v="Conv-B DONE"/>
    <s v="Conv-B DONE"/>
    <s v="Conv-B DONE"/>
    <s v="Conv-B DONE"/>
    <m/>
    <s v="Conv-B DONE"/>
    <s v="Conv-B DONE"/>
    <m/>
    <m/>
    <d v="2021-10-26T00:00:00"/>
    <m/>
    <m/>
  </r>
  <r>
    <m/>
    <n v="37131"/>
    <s v="HLC-A"/>
    <s v="STB1L0400HLCD"/>
    <x v="24"/>
    <s v="WR"/>
    <x v="6"/>
    <d v="2019-03-28T00:00:00"/>
    <n v="400"/>
    <x v="0"/>
    <s v="M-U7D2S04V.005,_x000a_MO-U7F2S240.005"/>
    <d v="2020-09-05T00:00:00"/>
    <s v="UAT2Y440.012"/>
    <d v="2020-12-28T00:00:00"/>
    <m/>
    <m/>
    <s v="Conv-A DONE"/>
    <s v="Conv-A DONE"/>
    <m/>
    <m/>
    <m/>
    <m/>
    <m/>
    <m/>
    <m/>
    <m/>
    <d v="2021-11-09T00:00:00"/>
    <m/>
    <m/>
  </r>
  <r>
    <m/>
    <n v="37131"/>
    <s v="HLC-B"/>
    <s v="STBNK0323HLCD"/>
    <x v="24"/>
    <s v="WR"/>
    <x v="6"/>
    <d v="2019-03-28T00:00:00"/>
    <n v="323"/>
    <x v="0"/>
    <s v="M-U7D2S04V.005,_x000a_MO-U7F2S240.005"/>
    <d v="2020-09-05T00:00:00"/>
    <s v="UAT2Y440.012"/>
    <d v="2020-12-28T00:00:00"/>
    <m/>
    <m/>
    <s v="Conv-B DONE"/>
    <s v="Conv-B DONE"/>
    <m/>
    <m/>
    <m/>
    <m/>
    <m/>
    <m/>
    <m/>
    <m/>
    <m/>
    <m/>
    <m/>
  </r>
  <r>
    <m/>
    <n v="37175"/>
    <s v="HLC-A"/>
    <s v="STB4L0450HLCD"/>
    <x v="4"/>
    <s v="NR"/>
    <x v="3"/>
    <d v="2019-05-18T00:00:00"/>
    <n v="450"/>
    <x v="0"/>
    <s v="M-U7D2S04V.005,_x000a_MO-U7F2S240.005"/>
    <d v="2020-10-15T00:00:00"/>
    <s v="UAT2Y440.012"/>
    <d v="2020-12-24T00:00:00"/>
    <d v="2022-04-27T00:00:00"/>
    <m/>
    <s v="Conv-A DONE"/>
    <s v="Conv-A DONE"/>
    <s v="Conv-A DONE"/>
    <s v="Conv-A DONE"/>
    <s v="Conv-A DONE"/>
    <m/>
    <m/>
    <s v="Conv-A DONE"/>
    <m/>
    <m/>
    <m/>
    <m/>
    <m/>
  </r>
  <r>
    <m/>
    <n v="37175"/>
    <s v="HLC-B"/>
    <s v="STB4L0451HLCD"/>
    <x v="4"/>
    <s v="NR"/>
    <x v="3"/>
    <d v="2019-05-18T00:00:00"/>
    <n v="451"/>
    <x v="0"/>
    <s v="M-U7D2S04V.005,_x000a_MO-U7F2S240.005"/>
    <d v="2020-10-15T00:00:00"/>
    <s v="UAT2Y440.012"/>
    <d v="2020-12-24T00:00:00"/>
    <d v="2022-04-27T00:00:00"/>
    <m/>
    <s v="Conv-B DONE"/>
    <s v="Conv-B DONE"/>
    <s v="Conv-B DONE"/>
    <s v="Conv-B DONE"/>
    <s v="Conv-B DONE"/>
    <m/>
    <m/>
    <s v="Conv-B DONE"/>
    <m/>
    <m/>
    <m/>
    <m/>
    <m/>
  </r>
  <r>
    <m/>
    <n v="37176"/>
    <s v="HLC-A"/>
    <s v="STB2L0440HLCD"/>
    <x v="3"/>
    <s v="SR"/>
    <x v="1"/>
    <d v="2019-05-20T00:00:00"/>
    <n v="440"/>
    <x v="0"/>
    <m/>
    <m/>
    <s v="UAT2Y440.012"/>
    <d v="2022-04-02T00:00:00"/>
    <m/>
    <m/>
    <s v="Conv-A DONE"/>
    <s v="Conv-A DONE"/>
    <m/>
    <m/>
    <m/>
    <m/>
    <m/>
    <m/>
    <m/>
    <m/>
    <m/>
    <m/>
    <m/>
  </r>
  <r>
    <m/>
    <n v="37176"/>
    <s v="HLC-B"/>
    <s v="STB2L0441HLCD"/>
    <x v="3"/>
    <s v="SR"/>
    <x v="1"/>
    <d v="2019-05-20T00:00:00"/>
    <n v="441"/>
    <x v="0"/>
    <m/>
    <m/>
    <s v="UAT2Y440.012"/>
    <d v="2022-04-02T00:00:00"/>
    <m/>
    <m/>
    <s v="Conv-B DONE"/>
    <s v="Conv-B DONE"/>
    <m/>
    <m/>
    <m/>
    <m/>
    <m/>
    <m/>
    <m/>
    <m/>
    <m/>
    <m/>
    <m/>
  </r>
  <r>
    <m/>
    <n v="37286"/>
    <s v="HLC-A"/>
    <s v="STB6L0554HLCD"/>
    <x v="24"/>
    <s v="WR"/>
    <x v="6"/>
    <d v="2019-11-30T00:00:00"/>
    <n v="554"/>
    <x v="0"/>
    <s v="M-U7D2S04V.005,_x000a_MO-U7F2S240.005"/>
    <d v="2020-03-12T00:00:00"/>
    <s v="UAT2Y440.012"/>
    <d v="2020-12-20T00:00:00"/>
    <m/>
    <m/>
    <s v="Done by NW"/>
    <s v="Done by NW"/>
    <m/>
    <m/>
    <m/>
    <m/>
    <m/>
    <m/>
    <m/>
    <m/>
    <d v="2021-11-24T00:00:00"/>
    <m/>
    <m/>
  </r>
  <r>
    <m/>
    <n v="37286"/>
    <s v="HLC-B"/>
    <s v="STB6L0569HLCD"/>
    <x v="24"/>
    <s v="WR"/>
    <x v="6"/>
    <d v="2019-11-30T00:00:00"/>
    <n v="569"/>
    <x v="0"/>
    <s v="M-U7D2S04V.005,_x000a_MO-U7F2S240.005"/>
    <d v="2020-03-12T00:00:00"/>
    <s v="UAT2Y440.012"/>
    <d v="2020-12-20T00:00:00"/>
    <m/>
    <m/>
    <s v="Done by NW"/>
    <s v="Done by NW"/>
    <m/>
    <m/>
    <m/>
    <m/>
    <m/>
    <m/>
    <m/>
    <m/>
    <d v="2021-11-24T00:00:00"/>
    <m/>
    <m/>
  </r>
  <r>
    <m/>
    <n v="37287"/>
    <s v="HLC-A"/>
    <s v="STB6L0568HLCD"/>
    <x v="24"/>
    <s v="WR"/>
    <x v="6"/>
    <d v="2019-11-27T00:00:00"/>
    <n v="568"/>
    <x v="0"/>
    <m/>
    <m/>
    <s v="UAT2Y440.012"/>
    <d v="2021-02-04T00:00:00"/>
    <m/>
    <m/>
    <s v="Done by NW"/>
    <s v="Done by NW"/>
    <m/>
    <m/>
    <m/>
    <m/>
    <m/>
    <m/>
    <m/>
    <m/>
    <d v="2021-11-10T00:00:00"/>
    <m/>
    <m/>
  </r>
  <r>
    <m/>
    <n v="37287"/>
    <s v="HLC-B"/>
    <s v="STB6L0555HLCD"/>
    <x v="24"/>
    <s v="WR"/>
    <x v="6"/>
    <d v="2019-11-27T00:00:00"/>
    <n v="555"/>
    <x v="0"/>
    <m/>
    <m/>
    <s v="UAT2Y440.012"/>
    <d v="2021-02-04T00:00:00"/>
    <m/>
    <m/>
    <s v="Done by NW"/>
    <s v="Done by NW"/>
    <m/>
    <m/>
    <m/>
    <m/>
    <m/>
    <m/>
    <m/>
    <m/>
    <d v="2021-11-10T00:00:00"/>
    <m/>
    <m/>
  </r>
  <r>
    <m/>
    <n v="37321"/>
    <s v="HLC-A"/>
    <s v="STBNL0722HLCD"/>
    <x v="24"/>
    <s v="WR"/>
    <x v="6"/>
    <d v="2020-01-28T00:00:00"/>
    <n v="722"/>
    <x v="0"/>
    <s v="M-U7D2S04V.005,_x000a_MO-U7F2S240.005"/>
    <d v="2020-08-14T00:00:00"/>
    <s v="UAT2Y440.012"/>
    <d v="2020-12-22T00:00:00"/>
    <d v="2020-08-14T00:00:00"/>
    <m/>
    <s v="Done by NW"/>
    <s v="Done by NW"/>
    <m/>
    <m/>
    <m/>
    <m/>
    <m/>
    <m/>
    <m/>
    <m/>
    <d v="2021-11-20T00:00:00"/>
    <m/>
    <m/>
  </r>
  <r>
    <m/>
    <n v="37321"/>
    <s v="HLC-B"/>
    <s v="STBDL0729HLCD"/>
    <x v="24"/>
    <s v="WR"/>
    <x v="6"/>
    <d v="2020-01-28T00:00:00"/>
    <n v="729"/>
    <x v="0"/>
    <s v="M-U7D2S04V.005,_x000a_MO-U7F2S240.005"/>
    <d v="2020-08-14T00:00:00"/>
    <s v="UAT2Y440.012"/>
    <d v="2020-12-22T00:00:00"/>
    <d v="2020-08-14T00:00:00"/>
    <m/>
    <s v="Done by NW"/>
    <s v="Done by NW"/>
    <m/>
    <m/>
    <m/>
    <m/>
    <m/>
    <m/>
    <m/>
    <m/>
    <d v="2021-11-20T00:00:00"/>
    <m/>
    <m/>
  </r>
  <r>
    <m/>
    <n v="37337"/>
    <s v="HLC-A"/>
    <s v="STBNL0702HLCD"/>
    <x v="24"/>
    <s v="WR"/>
    <x v="6"/>
    <d v="2020-02-20T00:00:00"/>
    <n v="702"/>
    <x v="0"/>
    <m/>
    <m/>
    <s v="UAT2Y440.012"/>
    <d v="2021-01-28T00:00:00"/>
    <m/>
    <m/>
    <s v="Done by NW"/>
    <s v="Done by NW"/>
    <m/>
    <m/>
    <m/>
    <m/>
    <m/>
    <m/>
    <m/>
    <m/>
    <m/>
    <m/>
    <m/>
  </r>
  <r>
    <m/>
    <n v="37337"/>
    <s v="HLC-B"/>
    <s v="STBNL0700HLCD"/>
    <x v="24"/>
    <s v="WR"/>
    <x v="6"/>
    <d v="2020-02-20T00:00:00"/>
    <n v="700"/>
    <x v="0"/>
    <m/>
    <m/>
    <s v="UAT2Y440.012"/>
    <d v="2021-01-28T00:00:00"/>
    <m/>
    <m/>
    <s v="Done by NW"/>
    <s v="Done by NW"/>
    <m/>
    <m/>
    <m/>
    <m/>
    <m/>
    <m/>
    <m/>
    <m/>
    <d v="2021-11-08T00:00:00"/>
    <m/>
    <m/>
  </r>
  <r>
    <m/>
    <n v="37339"/>
    <s v="HLC-A"/>
    <s v="STBNL0696HLCD"/>
    <x v="24"/>
    <s v="WR"/>
    <x v="6"/>
    <d v="2020-02-21T00:00:00"/>
    <n v="696"/>
    <x v="0"/>
    <s v="M-U7D2S04V.005,_x000a_MO-U7F2S240.005"/>
    <d v="2020-11-20T00:00:00"/>
    <s v="UAT2Y440.012"/>
    <d v="2021-01-05T00:00:00"/>
    <m/>
    <m/>
    <s v="Done by NW"/>
    <s v="Done by NW"/>
    <m/>
    <m/>
    <m/>
    <m/>
    <m/>
    <m/>
    <m/>
    <m/>
    <d v="2022-01-07T00:00:00"/>
    <m/>
    <m/>
  </r>
  <r>
    <m/>
    <n v="37339"/>
    <s v="HLC-B"/>
    <s v="STBNL0703HLCD"/>
    <x v="24"/>
    <s v="WR"/>
    <x v="6"/>
    <d v="2020-02-21T00:00:00"/>
    <n v="703"/>
    <x v="0"/>
    <s v="M-U7D2S04V.005,_x000a_MO-U7F2S240.005"/>
    <d v="2020-11-20T00:00:00"/>
    <s v="UAT2Y440.012"/>
    <d v="2021-01-05T00:00:00"/>
    <m/>
    <m/>
    <s v="Done by NW"/>
    <s v="Done by NW"/>
    <m/>
    <m/>
    <m/>
    <m/>
    <m/>
    <m/>
    <m/>
    <m/>
    <d v="2022-01-07T00:00:00"/>
    <m/>
    <m/>
  </r>
  <r>
    <m/>
    <n v="37341"/>
    <s v="HLC-A"/>
    <s v="STB6L0562HLCD"/>
    <x v="24"/>
    <s v="WR"/>
    <x v="6"/>
    <d v="2020-02-27T00:00:00"/>
    <n v="562"/>
    <x v="0"/>
    <s v="M-U7D2S04V.005,_x000a_MO-U7F2S240.005"/>
    <d v="2021-02-20T00:00:00"/>
    <s v="UAT2Y440.012"/>
    <d v="2021-01-29T00:00:00"/>
    <m/>
    <m/>
    <s v="Done by NW"/>
    <s v="Done by NW"/>
    <m/>
    <m/>
    <m/>
    <m/>
    <m/>
    <m/>
    <m/>
    <m/>
    <d v="2021-10-27T00:00:00"/>
    <m/>
    <m/>
  </r>
  <r>
    <m/>
    <n v="37341"/>
    <s v="HLC-B"/>
    <s v="STB7L0606HLCD"/>
    <x v="24"/>
    <s v="WR"/>
    <x v="6"/>
    <d v="2020-02-27T00:00:00"/>
    <n v="606"/>
    <x v="0"/>
    <s v="M-U7D2S04V.005,_x000a_MO-U7F2S240.005"/>
    <d v="2020-12-26T00:00:00"/>
    <s v="UAT2Y440.012"/>
    <d v="2020-12-31T00:00:00"/>
    <m/>
    <m/>
    <s v="Done by NW"/>
    <s v="Done by NW"/>
    <m/>
    <m/>
    <m/>
    <m/>
    <m/>
    <m/>
    <m/>
    <m/>
    <d v="2021-10-27T00:00:00"/>
    <m/>
    <m/>
  </r>
  <r>
    <m/>
    <n v="37353"/>
    <s v="HLC-A"/>
    <s v="STB7L0615HLCD"/>
    <x v="24"/>
    <s v="WR"/>
    <x v="6"/>
    <d v="2020-03-18T00:00:00"/>
    <n v="615"/>
    <x v="0"/>
    <s v="M-U7D2S04V.005,_x000a_MO-U7F2S240.005"/>
    <s v="Done"/>
    <s v="UAT2Y440.012"/>
    <d v="2020-12-29T00:00:00"/>
    <m/>
    <m/>
    <s v="Done by NW"/>
    <s v="Done by NW"/>
    <m/>
    <m/>
    <m/>
    <m/>
    <m/>
    <m/>
    <m/>
    <m/>
    <d v="2021-10-20T00:00:00"/>
    <m/>
    <m/>
  </r>
  <r>
    <m/>
    <n v="37353"/>
    <s v="HLC-B"/>
    <s v="STB7L0614HLCD"/>
    <x v="24"/>
    <s v="WR"/>
    <x v="6"/>
    <d v="2020-03-18T00:00:00"/>
    <n v="614"/>
    <x v="0"/>
    <s v="M-U7D2S04V.005,_x000a_MO-U7F2S240.005"/>
    <s v="Done"/>
    <s v="UAT2Y440.012"/>
    <d v="2020-12-29T00:00:00"/>
    <m/>
    <m/>
    <s v="Done by NW"/>
    <s v="Done by NW"/>
    <m/>
    <m/>
    <m/>
    <m/>
    <m/>
    <m/>
    <m/>
    <m/>
    <d v="2021-10-20T00:00:00"/>
    <m/>
    <m/>
  </r>
  <r>
    <m/>
    <n v="37354"/>
    <s v="HLC-A"/>
    <s v="STBNL0688HLCD"/>
    <x v="24"/>
    <s v="WR"/>
    <x v="6"/>
    <d v="2020-03-19T00:00:00"/>
    <n v="688"/>
    <x v="0"/>
    <s v="M-U7D2S04V.005,_x000a_MO-U7F2S240.005"/>
    <d v="2021-02-17T00:00:00"/>
    <s v="UAT2Y440.012"/>
    <d v="2021-01-04T00:00:00"/>
    <m/>
    <m/>
    <s v="Done by NW"/>
    <s v="Done by NW"/>
    <m/>
    <m/>
    <m/>
    <m/>
    <m/>
    <m/>
    <m/>
    <m/>
    <d v="2021-11-18T00:00:00"/>
    <m/>
    <m/>
  </r>
  <r>
    <m/>
    <n v="37354"/>
    <s v="HLC-B"/>
    <s v="STBNL0689HLCD"/>
    <x v="24"/>
    <s v="WR"/>
    <x v="6"/>
    <d v="2020-03-19T00:00:00"/>
    <n v="689"/>
    <x v="0"/>
    <s v="M-U7D2S04V.005,_x000a_MO-U7F2S240.005"/>
    <d v="2021-02-17T00:00:00"/>
    <s v="UAT2Y440.012"/>
    <d v="2021-01-04T00:00:00"/>
    <m/>
    <m/>
    <s v="Done by NW"/>
    <s v="Done by NW"/>
    <m/>
    <m/>
    <m/>
    <m/>
    <m/>
    <m/>
    <m/>
    <m/>
    <d v="2021-11-18T00:00:00"/>
    <m/>
    <m/>
  </r>
  <r>
    <m/>
    <n v="37382"/>
    <s v="HLC-A"/>
    <s v="STB7L0607HLCD"/>
    <x v="24"/>
    <s v="WR"/>
    <x v="6"/>
    <d v="2020-07-10T00:00:00"/>
    <n v="607"/>
    <x v="0"/>
    <s v="M-U7D2S04V.005,_x000a_MO-U7F2S240.005"/>
    <s v="Done"/>
    <s v="UAT2Y440.012"/>
    <d v="2020-12-24T00:00:00"/>
    <m/>
    <m/>
    <s v="Done by NW"/>
    <s v="Done by NW"/>
    <s v="Conv-B DONE"/>
    <s v="Conv-B DONE"/>
    <s v="Conv-B DONE"/>
    <m/>
    <m/>
    <m/>
    <m/>
    <m/>
    <d v="2021-12-08T00:00:00"/>
    <m/>
    <m/>
  </r>
  <r>
    <m/>
    <n v="37382"/>
    <s v="HLC-B"/>
    <s v="STBDL0750HLCD"/>
    <x v="24"/>
    <s v="WR"/>
    <x v="6"/>
    <d v="2020-07-10T00:00:00"/>
    <n v="750"/>
    <x v="0"/>
    <s v="M-U7D2S04V.005,_x000a_MO-U7F2S240.005"/>
    <d v="2020-12-26T00:00:00"/>
    <s v="UAT2Y440.012"/>
    <d v="2020-12-31T00:00:00"/>
    <m/>
    <m/>
    <s v="Done by NW"/>
    <s v="Done by NW"/>
    <m/>
    <m/>
    <m/>
    <m/>
    <m/>
    <m/>
    <m/>
    <m/>
    <m/>
    <m/>
    <m/>
  </r>
  <r>
    <m/>
    <n v="37383"/>
    <s v="HLC-A"/>
    <s v="STBNL0718HLCD"/>
    <x v="24"/>
    <s v="WR"/>
    <x v="6"/>
    <d v="2020-07-10T00:00:00"/>
    <n v="718"/>
    <x v="0"/>
    <s v="M-U7D2S04V.005,_x000a_MO-U7F2S240.005"/>
    <d v="2020-12-18T00:00:00"/>
    <s v="UAT2Y440.012"/>
    <d v="2020-12-18T00:00:00"/>
    <m/>
    <m/>
    <s v="Done by NW"/>
    <s v="Done by NW"/>
    <m/>
    <m/>
    <m/>
    <m/>
    <m/>
    <m/>
    <m/>
    <m/>
    <d v="2021-12-15T00:00:00"/>
    <m/>
    <m/>
  </r>
  <r>
    <m/>
    <n v="37383"/>
    <s v="HLC-B"/>
    <s v="STBNL0714HLCD"/>
    <x v="24"/>
    <s v="WR"/>
    <x v="6"/>
    <d v="2020-07-10T00:00:00"/>
    <n v="714"/>
    <x v="0"/>
    <s v="M-U7D2S04V.005,_x000a_MO-U7F2S240.005"/>
    <d v="2020-12-18T00:00:00"/>
    <s v="UAT2Y440.012"/>
    <d v="2020-12-18T00:00:00"/>
    <m/>
    <m/>
    <s v="Done by NW"/>
    <s v="Done by NW"/>
    <m/>
    <m/>
    <m/>
    <m/>
    <m/>
    <m/>
    <m/>
    <m/>
    <d v="2021-12-15T00:00:00"/>
    <m/>
    <m/>
  </r>
  <r>
    <m/>
    <n v="37424"/>
    <s v="HLC-A"/>
    <s v="STB5M0807HLCD"/>
    <x v="24"/>
    <s v="WR"/>
    <x v="6"/>
    <d v="2020-08-17T00:00:00"/>
    <n v="807"/>
    <x v="0"/>
    <m/>
    <m/>
    <s v="UAT2Y440.012"/>
    <d v="2020-12-17T00:00:00"/>
    <m/>
    <m/>
    <s v="Done by NW"/>
    <s v="Done by NW"/>
    <m/>
    <m/>
    <m/>
    <m/>
    <m/>
    <s v="Done by NW"/>
    <m/>
    <m/>
    <d v="2022-02-24T00:00:00"/>
    <m/>
    <m/>
  </r>
  <r>
    <m/>
    <n v="37424"/>
    <s v="HLC-B"/>
    <s v="STB5M0813HLCD"/>
    <x v="24"/>
    <s v="WR"/>
    <x v="6"/>
    <d v="2020-08-17T00:00:00"/>
    <n v="813"/>
    <x v="0"/>
    <m/>
    <m/>
    <s v="UAT2Y440.012"/>
    <d v="2020-12-17T00:00:00"/>
    <m/>
    <m/>
    <s v="Done by NW"/>
    <s v="Done by NW"/>
    <m/>
    <m/>
    <m/>
    <m/>
    <m/>
    <s v="Done by NW"/>
    <m/>
    <m/>
    <d v="2022-02-24T00:00:00"/>
    <m/>
    <m/>
  </r>
  <r>
    <m/>
    <n v="37471"/>
    <s v="HLC-A"/>
    <s v="STB8M0960HLCD"/>
    <x v="24"/>
    <s v="WR"/>
    <x v="6"/>
    <d v="2020-11-20T00:00:00"/>
    <n v="960"/>
    <x v="0"/>
    <s v="M-U7D2S04V.005,_x000a_MO-U7F2S240.005"/>
    <s v="Done by NW"/>
    <s v="UAT2Y440.012"/>
    <d v="2020-12-19T00:00:00"/>
    <m/>
    <m/>
    <s v="Done by NW"/>
    <s v="Done by NW"/>
    <m/>
    <m/>
    <m/>
    <m/>
    <m/>
    <s v="Done by NW"/>
    <m/>
    <m/>
    <m/>
    <m/>
    <m/>
  </r>
  <r>
    <m/>
    <n v="37471"/>
    <s v="HLC-B"/>
    <s v="STB8M0961HLCD"/>
    <x v="24"/>
    <s v="WR"/>
    <x v="6"/>
    <d v="2020-11-20T00:00:00"/>
    <n v="961"/>
    <x v="0"/>
    <s v="M-U7D2S04V.005,_x000a_MO-U7F2S240.005"/>
    <s v="Done by NW"/>
    <s v="UAT2Y440.012"/>
    <d v="2020-12-19T00:00:00"/>
    <m/>
    <m/>
    <s v="Done by NW"/>
    <s v="Done by NW"/>
    <m/>
    <m/>
    <m/>
    <m/>
    <m/>
    <s v="Done by NW"/>
    <m/>
    <m/>
    <m/>
    <m/>
    <m/>
  </r>
  <r>
    <m/>
    <n v="37504"/>
    <s v="HLC-A"/>
    <s v="STM0M1003HLCD"/>
    <x v="24"/>
    <s v="WR"/>
    <x v="6"/>
    <d v="2020-12-22T00:00:00"/>
    <n v="1003"/>
    <x v="0"/>
    <s v="M-U7D2S04V.005,_x000a_MO-U7F2S240.005"/>
    <s v="Done by NW"/>
    <s v="UAT2Y440.012"/>
    <d v="2020-12-31T00:00:00"/>
    <m/>
    <m/>
    <s v="Done by NW"/>
    <s v="Done by NW"/>
    <m/>
    <m/>
    <m/>
    <m/>
    <m/>
    <s v="Done by NW"/>
    <m/>
    <m/>
    <m/>
    <m/>
    <m/>
  </r>
  <r>
    <m/>
    <n v="37504"/>
    <s v="HLC-B"/>
    <s v="STB9M0998HLCD"/>
    <x v="24"/>
    <s v="WR"/>
    <x v="6"/>
    <d v="2020-12-22T00:00:00"/>
    <n v="998"/>
    <x v="0"/>
    <s v="M-U7D2S04V.005,_x000a_MO-U7F2S240.005"/>
    <s v="Done by NW"/>
    <s v="UAT2Y440.012"/>
    <d v="2020-12-31T00:00:00"/>
    <m/>
    <m/>
    <s v="Done by NW"/>
    <s v="Done by NW"/>
    <m/>
    <m/>
    <m/>
    <m/>
    <m/>
    <s v="Done by NW"/>
    <m/>
    <m/>
    <m/>
    <m/>
    <m/>
  </r>
  <r>
    <m/>
    <n v="37506"/>
    <s v="HLC-A"/>
    <s v="STB9M0999HLCD"/>
    <x v="24"/>
    <s v="WR"/>
    <x v="6"/>
    <d v="2020-12-26T00:00:00"/>
    <n v="999"/>
    <x v="0"/>
    <s v="M-U7D2S04V.005,_x000a_MO-U7F2S240.005"/>
    <s v="Done by NW"/>
    <s v="UAT2Y440.012"/>
    <d v="2021-01-07T00:00:00"/>
    <m/>
    <m/>
    <s v="Done by NW"/>
    <s v="Done by NW"/>
    <m/>
    <m/>
    <m/>
    <m/>
    <m/>
    <s v="Done by NW"/>
    <m/>
    <m/>
    <m/>
    <m/>
    <m/>
  </r>
  <r>
    <m/>
    <n v="37506"/>
    <s v="HLC-B"/>
    <s v="STB8M0957HLCD"/>
    <x v="24"/>
    <s v="WR"/>
    <x v="6"/>
    <d v="2020-12-26T00:00:00"/>
    <n v="957"/>
    <x v="0"/>
    <s v="M-U7D2S04V.005,_x000a_MO-U7F2S240.005"/>
    <s v="Done by NW"/>
    <s v="UAT2Y440.012"/>
    <s v="Done"/>
    <m/>
    <m/>
    <s v="Done by NW"/>
    <s v="Done by NW"/>
    <m/>
    <m/>
    <m/>
    <m/>
    <m/>
    <s v="Done by NW"/>
    <m/>
    <m/>
    <m/>
    <m/>
    <m/>
  </r>
  <r>
    <m/>
    <n v="37548"/>
    <s v="HLC-A"/>
    <s v="STB5M0788"/>
    <x v="24"/>
    <s v="WR"/>
    <x v="6"/>
    <d v="2021-03-12T00:00:00"/>
    <n v="788"/>
    <x v="0"/>
    <s v="M-U7D2S04V.005,_x000a_MO-U7F2S240.005"/>
    <d v="2020-11-12T00:00:00"/>
    <s v="UAT2Y440.012"/>
    <d v="2020-11-12T00:00:00"/>
    <m/>
    <m/>
    <s v="Done by NW"/>
    <s v="Done by NW"/>
    <m/>
    <m/>
    <s v="Conv-A DONE"/>
    <m/>
    <m/>
    <s v="Done by NW"/>
    <m/>
    <m/>
    <m/>
    <m/>
    <m/>
  </r>
  <r>
    <m/>
    <n v="37548"/>
    <s v="HLC-B"/>
    <s v="STB5M0825"/>
    <x v="24"/>
    <s v="WR"/>
    <x v="6"/>
    <d v="2021-03-12T00:00:00"/>
    <n v="825"/>
    <x v="0"/>
    <s v="M-U7D2S04V.005,_x000a_MO-U7F2S240.005"/>
    <d v="2020-11-12T00:00:00"/>
    <s v="UAT2Y440.012"/>
    <d v="2020-11-12T00:00:00"/>
    <m/>
    <m/>
    <s v="Done by NW"/>
    <s v="Done by NW"/>
    <m/>
    <m/>
    <s v="Conv-B DONE"/>
    <m/>
    <m/>
    <s v="Done by NW"/>
    <m/>
    <m/>
    <d v="2022-01-19T00:00:00"/>
    <m/>
    <m/>
  </r>
  <r>
    <m/>
    <n v="37559"/>
    <s v="HLC-A"/>
    <s v="STB0M1010"/>
    <x v="24"/>
    <s v="WR"/>
    <x v="6"/>
    <d v="2021-03-16T00:00:00"/>
    <n v="1010"/>
    <x v="0"/>
    <s v="M-U7D2S04V.005,_x000a_MO-U7F2S240.005"/>
    <s v="Done by NW"/>
    <s v="UAT2Y440.012"/>
    <d v="2021-03-25T00:00:00"/>
    <m/>
    <m/>
    <s v="Done by NW"/>
    <s v="Done by NW"/>
    <m/>
    <m/>
    <m/>
    <m/>
    <m/>
    <s v="Done by NW"/>
    <m/>
    <m/>
    <m/>
    <m/>
    <m/>
  </r>
  <r>
    <m/>
    <n v="37559"/>
    <s v="HLC-B"/>
    <s v="STB0M1011"/>
    <x v="24"/>
    <s v="WR"/>
    <x v="6"/>
    <d v="2021-03-16T00:00:00"/>
    <n v="1011"/>
    <x v="0"/>
    <s v="M-U7D2S04V.005,_x000a_MO-U7F2S240.005"/>
    <s v="Done by NW"/>
    <s v="UAT2Y440.012"/>
    <d v="2021-03-25T00:00:00"/>
    <m/>
    <m/>
    <s v="Done by NW"/>
    <s v="Done by NW"/>
    <m/>
    <m/>
    <m/>
    <m/>
    <m/>
    <s v="Done by NW"/>
    <m/>
    <m/>
    <m/>
    <m/>
    <m/>
  </r>
  <r>
    <m/>
    <n v="37569"/>
    <s v="HLC-A"/>
    <s v="STBNM1046"/>
    <x v="24"/>
    <s v="WR"/>
    <x v="6"/>
    <d v="2021-04-07T00:00:00"/>
    <s v="1046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69"/>
    <s v="HLC-B"/>
    <s v="STBNM1047"/>
    <x v="24"/>
    <s v="WR"/>
    <x v="6"/>
    <d v="2021-04-07T00:00:00"/>
    <s v="104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71"/>
    <s v="HLC-A"/>
    <s v="STBNM1032"/>
    <x v="24"/>
    <s v="WR"/>
    <x v="6"/>
    <d v="2021-04-07T00:00:00"/>
    <n v="1032"/>
    <x v="0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d v="2022-02-23T00:00:00"/>
    <m/>
    <m/>
  </r>
  <r>
    <m/>
    <n v="37571"/>
    <s v="HLC-B"/>
    <s v="STBNM1038"/>
    <x v="24"/>
    <s v="WR"/>
    <x v="6"/>
    <d v="2021-04-07T00:00:00"/>
    <n v="1038"/>
    <x v="0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</r>
  <r>
    <m/>
    <n v="37579"/>
    <s v="HLC-A"/>
    <s v="STBNM1040"/>
    <x v="24"/>
    <s v="WR"/>
    <x v="6"/>
    <d v="2021-04-29T00:00:00"/>
    <s v="1040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79"/>
    <s v="HLC-B"/>
    <s v="STBNM1041"/>
    <x v="24"/>
    <s v="WR"/>
    <x v="6"/>
    <d v="2021-04-29T00:00:00"/>
    <s v="104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027"/>
    <s v="HLC-A"/>
    <s v="STB6K0250HLCD"/>
    <x v="24"/>
    <s v="WR"/>
    <x v="6"/>
    <d v="2019-01-30T00:00:00"/>
    <n v="250"/>
    <x v="0"/>
    <s v="M-U7D2S04V.005,_x000a_MO-U7F2S240.005"/>
    <d v="2021-02-16T00:00:00"/>
    <s v="UAT2Y440.012"/>
    <d v="2021-02-10T00:00:00"/>
    <m/>
    <m/>
    <s v="Conv-A DONE"/>
    <s v="Conv-A DONE"/>
    <m/>
    <m/>
    <m/>
    <m/>
    <m/>
    <m/>
    <m/>
    <m/>
    <m/>
    <m/>
    <m/>
  </r>
  <r>
    <m/>
    <n v="39027"/>
    <s v="HLC-B"/>
    <s v="STB6K0252HLCD"/>
    <x v="24"/>
    <s v="WR"/>
    <x v="6"/>
    <d v="2019-01-30T00:00:00"/>
    <n v="252"/>
    <x v="0"/>
    <s v="M-U7D2S04V.005,_x000a_MO-U7F2S240.005"/>
    <d v="2021-02-16T00:00:00"/>
    <s v="UAT2Y440.012"/>
    <d v="2021-02-10T00:00:00"/>
    <m/>
    <m/>
    <s v="Conv-B DONE"/>
    <s v="Conv-B DONE"/>
    <m/>
    <m/>
    <m/>
    <m/>
    <m/>
    <m/>
    <m/>
    <m/>
    <d v="2021-09-24T00:00:00"/>
    <m/>
    <m/>
  </r>
  <r>
    <m/>
    <n v="39066"/>
    <s v="HLC-A"/>
    <s v="STB1L0393HLCD"/>
    <x v="24"/>
    <s v="WR"/>
    <x v="6"/>
    <d v="2019-07-12T00:00:00"/>
    <n v="393"/>
    <x v="0"/>
    <s v="M-U7D2S04V.005,_x000a_MO-U7F2S240.005"/>
    <d v="2020-01-23T00:00:00"/>
    <s v="UAT2Y440.012"/>
    <d v="2021-02-11T00:00:00"/>
    <m/>
    <m/>
    <s v="Conv-A DONE"/>
    <s v="Conv-A DONE"/>
    <m/>
    <s v="Conv-A DONE"/>
    <s v="Conv-A DONE"/>
    <m/>
    <m/>
    <m/>
    <s v="YES"/>
    <s v="YES"/>
    <d v="2021-10-23T00:00:00"/>
    <m/>
    <m/>
  </r>
  <r>
    <m/>
    <n v="39066"/>
    <s v="HLC-B"/>
    <s v="STB1L0399HLCD"/>
    <x v="24"/>
    <s v="WR"/>
    <x v="6"/>
    <d v="2019-07-12T00:00:00"/>
    <n v="399"/>
    <x v="0"/>
    <s v="M-U7D2S04V.005,_x000a_MO-U7F2S240.005"/>
    <d v="2020-01-23T00:00:00"/>
    <s v="UAT2Y440.012"/>
    <d v="2021-02-11T00:00:00"/>
    <m/>
    <m/>
    <s v="Conv-B DONE"/>
    <s v="Conv-B DONE"/>
    <m/>
    <s v="Conv-B DONE"/>
    <s v="Conv-B DONE"/>
    <m/>
    <m/>
    <m/>
    <s v="YES"/>
    <s v="YES"/>
    <d v="2021-10-23T00:00:00"/>
    <m/>
    <m/>
  </r>
  <r>
    <m/>
    <n v="39103"/>
    <s v="HLC-A"/>
    <s v="STB5L0526HLCD"/>
    <x v="24"/>
    <s v="WR"/>
    <x v="6"/>
    <d v="2019-10-29T00:00:00"/>
    <n v="526"/>
    <x v="0"/>
    <s v="M-U7D2S04V.005,_x000a_MO-U7F2S240.005"/>
    <d v="2020-03-14T00:00:00"/>
    <s v="UAT2Y440.012"/>
    <d v="2021-02-01T00:00:00"/>
    <m/>
    <m/>
    <s v="Done by NW"/>
    <s v="Conv-A DONE"/>
    <m/>
    <m/>
    <m/>
    <m/>
    <m/>
    <m/>
    <s v="YES"/>
    <s v="YES"/>
    <d v="2021-10-07T00:00:00"/>
    <m/>
    <m/>
  </r>
  <r>
    <m/>
    <n v="39103"/>
    <s v="HLC-B"/>
    <s v="STB5L0527HLCD"/>
    <x v="24"/>
    <s v="WR"/>
    <x v="6"/>
    <d v="2019-10-29T00:00:00"/>
    <n v="527"/>
    <x v="0"/>
    <s v="M-U7D2S04V.005,_x000a_MO-U7F2S240.005"/>
    <d v="2020-03-14T00:00:00"/>
    <s v="UAT2Y440.012"/>
    <d v="2021-02-01T00:00:00"/>
    <m/>
    <m/>
    <s v="Done by NW"/>
    <s v="Conv-B DONE"/>
    <m/>
    <m/>
    <m/>
    <m/>
    <m/>
    <m/>
    <s v="YES"/>
    <s v="YES"/>
    <m/>
    <m/>
    <m/>
  </r>
  <r>
    <m/>
    <n v="39159"/>
    <s v="HLC-A"/>
    <s v="STB7M0884HLCD"/>
    <x v="24"/>
    <s v="WR"/>
    <x v="6"/>
    <d v="2020-09-18T00:00:00"/>
    <n v="884"/>
    <x v="0"/>
    <s v="M-U7D2S04V.005,_x000a_MO-U7F2S240.005"/>
    <m/>
    <s v="UAT2Y440.012"/>
    <d v="2020-12-17T00:00:00"/>
    <m/>
    <m/>
    <s v="Done by NW"/>
    <s v="Done by NW"/>
    <m/>
    <m/>
    <m/>
    <m/>
    <m/>
    <s v="Done by NW"/>
    <m/>
    <m/>
    <m/>
    <m/>
    <m/>
  </r>
  <r>
    <m/>
    <n v="39159"/>
    <s v="HLC-B"/>
    <s v="STB7M0878HLCD"/>
    <x v="24"/>
    <s v="WR"/>
    <x v="6"/>
    <d v="2020-09-18T00:00:00"/>
    <n v="878"/>
    <x v="0"/>
    <s v="M-U7D2S04V.005,_x000a_MO-U7F2S240.005"/>
    <m/>
    <s v="UAT2Y440.012"/>
    <d v="2020-12-17T00:00:00"/>
    <m/>
    <m/>
    <s v="Done by NW"/>
    <s v="Done by NW"/>
    <m/>
    <m/>
    <m/>
    <m/>
    <m/>
    <s v="Done by NW"/>
    <m/>
    <m/>
    <m/>
    <m/>
    <m/>
  </r>
  <r>
    <m/>
    <n v="39160"/>
    <s v="HLC-A"/>
    <s v="STB7M0882HLCD"/>
    <x v="24"/>
    <s v="WR"/>
    <x v="6"/>
    <d v="2020-09-21T00:00:00"/>
    <n v="882"/>
    <x v="0"/>
    <s v="M-U7D2S04V.005,_x000a_MO-U7F2S240.005"/>
    <s v="Done"/>
    <s v="UAT2Y440.012"/>
    <d v="2021-01-13T00:00:00"/>
    <d v="2020-08-16T00:00:00"/>
    <m/>
    <s v="Done by NW"/>
    <s v="Done by NW"/>
    <m/>
    <m/>
    <m/>
    <m/>
    <s v="Conv-A DONE"/>
    <s v="Done by NW"/>
    <m/>
    <m/>
    <m/>
    <m/>
    <m/>
  </r>
  <r>
    <m/>
    <n v="39160"/>
    <s v="HLC-B"/>
    <s v="STB7M0883HLCD"/>
    <x v="24"/>
    <s v="WR"/>
    <x v="6"/>
    <d v="2020-09-21T00:00:00"/>
    <n v="883"/>
    <x v="0"/>
    <s v="M-U7D2S04V.005,_x000a_MO-U7F2S240.005"/>
    <s v="Done"/>
    <s v="UAT2Y440.012"/>
    <d v="2021-01-13T00:00:00"/>
    <d v="2020-08-16T00:00:00"/>
    <m/>
    <s v="Done by NW"/>
    <s v="Done by NW"/>
    <m/>
    <m/>
    <m/>
    <m/>
    <s v="Conv-B DONE"/>
    <s v="Done by NW"/>
    <m/>
    <m/>
    <m/>
    <m/>
    <m/>
  </r>
  <r>
    <m/>
    <n v="39192"/>
    <s v="HLC-A"/>
    <s v="STB1N1085HLCD"/>
    <x v="24"/>
    <s v="WR"/>
    <x v="6"/>
    <d v="2021-04-29T00:00:00"/>
    <s v="1085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92"/>
    <s v="HLC-B"/>
    <s v="STB1N1084HLCD"/>
    <x v="24"/>
    <s v="WR"/>
    <x v="6"/>
    <d v="2021-04-29T00:00:00"/>
    <s v="1084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223"/>
    <s v="HLC-B"/>
    <s v="STB4L0494HLCD"/>
    <x v="1"/>
    <m/>
    <x v="1"/>
    <m/>
    <n v="494"/>
    <x v="0"/>
    <m/>
    <m/>
    <m/>
    <m/>
    <m/>
    <m/>
    <m/>
    <m/>
    <m/>
    <m/>
    <m/>
    <m/>
    <m/>
    <m/>
    <m/>
    <m/>
    <m/>
    <m/>
    <m/>
  </r>
  <r>
    <m/>
    <n v="37249"/>
    <s v="HLC-A"/>
    <s v="STB7L0635HLCD"/>
    <x v="1"/>
    <m/>
    <x v="1"/>
    <d v="2019-09-26T00:00:00"/>
    <n v="635"/>
    <x v="0"/>
    <m/>
    <m/>
    <m/>
    <d v="2021-04-14T00:00:00"/>
    <m/>
    <m/>
    <s v="Done by NW"/>
    <s v="Done by NW"/>
    <m/>
    <m/>
    <s v="Conv-A DONE"/>
    <m/>
    <m/>
    <m/>
    <m/>
    <m/>
    <m/>
    <m/>
    <m/>
  </r>
  <r>
    <m/>
    <n v="37249"/>
    <s v="HLC-B"/>
    <s v="STB7L0634HLCD"/>
    <x v="1"/>
    <m/>
    <x v="1"/>
    <d v="2019-09-26T00:00:00"/>
    <n v="634"/>
    <x v="0"/>
    <m/>
    <m/>
    <m/>
    <d v="2021-04-14T00:00:00"/>
    <m/>
    <m/>
    <s v="Done by NW"/>
    <s v="Done by NW"/>
    <m/>
    <m/>
    <s v="Conv-B DONE"/>
    <m/>
    <m/>
    <m/>
    <m/>
    <m/>
    <m/>
    <m/>
    <m/>
  </r>
  <r>
    <m/>
    <n v="37445"/>
    <s v="HLC-A"/>
    <s v="STB7M0866 HLCD"/>
    <x v="1"/>
    <m/>
    <x v="1"/>
    <d v="2020-09-18T00:00:00"/>
    <n v="866"/>
    <x v="0"/>
    <s v="M-U7D2S04V.005,_x000a_MO-U7F2S240.005"/>
    <d v="2020-12-24T00:00:00"/>
    <s v="UAT2Y440.012"/>
    <d v="2021-01-19T00:00:00"/>
    <m/>
    <m/>
    <s v="Done by NW"/>
    <s v="Done by NW"/>
    <m/>
    <s v="Conv-A DONE"/>
    <s v="Conv-A DONE"/>
    <m/>
    <m/>
    <s v="Done by NW"/>
    <s v="Conv-A DONE"/>
    <m/>
    <m/>
    <m/>
    <m/>
  </r>
  <r>
    <m/>
    <n v="37445"/>
    <s v="HLC-B"/>
    <s v="STB7M0867 HLCD"/>
    <x v="1"/>
    <m/>
    <x v="1"/>
    <d v="2020-09-18T00:00:00"/>
    <n v="867"/>
    <x v="0"/>
    <s v="M-U7D2S04V.005,_x000a_MO-U7F2S240.005"/>
    <d v="2020-12-24T00:00:00"/>
    <s v="UAT2Y440.012"/>
    <d v="2021-01-19T00:00:00"/>
    <m/>
    <m/>
    <s v="Done by NW"/>
    <s v="Done by NW"/>
    <m/>
    <s v="Conv-B DONE"/>
    <s v="Conv-B DONE"/>
    <m/>
    <m/>
    <s v="Done by NW"/>
    <s v="Conv-B DONE"/>
    <m/>
    <m/>
    <m/>
    <m/>
  </r>
  <r>
    <m/>
    <n v="39180"/>
    <m/>
    <s v="STBDM1055HLCD"/>
    <x v="23"/>
    <m/>
    <x v="1"/>
    <m/>
    <s v="1055"/>
    <x v="0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</r>
  <r>
    <m/>
    <m/>
    <m/>
    <s v="STB5K0229HLCD"/>
    <x v="1"/>
    <m/>
    <x v="1"/>
    <m/>
    <n v="229"/>
    <x v="0"/>
    <s v="Q9J1Z04V.005"/>
    <m/>
    <s v="UAT2Y440.012"/>
    <d v="2021-02-22T00:00:00"/>
    <m/>
    <m/>
    <s v=" Short link  Metal "/>
    <s v="Conv-B DONE"/>
    <m/>
    <s v="Conv-B DONE"/>
    <s v="Conv-B DONE"/>
    <m/>
    <m/>
    <m/>
    <m/>
    <m/>
    <m/>
    <m/>
    <m/>
  </r>
  <r>
    <m/>
    <m/>
    <m/>
    <s v="STB6L0564HLCD"/>
    <x v="1"/>
    <m/>
    <x v="1"/>
    <m/>
    <n v="564"/>
    <x v="0"/>
    <m/>
    <m/>
    <m/>
    <m/>
    <m/>
    <m/>
    <s v="Done by NW"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n v="37581"/>
    <s v="HLC-B"/>
    <s v="STBDL0755"/>
    <x v="3"/>
    <s v="SR"/>
    <x v="2"/>
    <d v="2021-05-18T00:00:00"/>
    <n v="755"/>
    <x v="0"/>
    <m/>
    <m/>
    <m/>
    <m/>
    <m/>
    <m/>
    <s v="Done by NW"/>
    <s v="Done by NW"/>
    <m/>
    <m/>
    <m/>
    <m/>
    <m/>
    <m/>
    <m/>
    <m/>
    <m/>
    <m/>
    <m/>
  </r>
  <r>
    <m/>
    <n v="37583"/>
    <s v="HLC-B"/>
    <s v="STBDL0756"/>
    <x v="1"/>
    <m/>
    <x v="1"/>
    <m/>
    <n v="756"/>
    <x v="0"/>
    <m/>
    <d v="2021-06-03T00:00:00"/>
    <s v="UAT2Y440.012"/>
    <d v="2021-06-03T00:00:00"/>
    <m/>
    <m/>
    <s v="Done by NW"/>
    <s v="Done by NW"/>
    <m/>
    <m/>
    <m/>
    <m/>
    <m/>
    <m/>
    <m/>
    <m/>
    <m/>
    <m/>
    <m/>
  </r>
  <r>
    <m/>
    <n v="37581"/>
    <s v="HLC-A"/>
    <s v="STBDL0757"/>
    <x v="3"/>
    <s v="SR"/>
    <x v="2"/>
    <d v="2021-05-18T00:00:00"/>
    <n v="757"/>
    <x v="0"/>
    <m/>
    <m/>
    <m/>
    <m/>
    <m/>
    <m/>
    <s v="Done by NW"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n v="37583"/>
    <s v="HLC-A"/>
    <s v="STB5M0779"/>
    <x v="1"/>
    <m/>
    <x v="1"/>
    <m/>
    <n v="779"/>
    <x v="0"/>
    <m/>
    <d v="2021-06-03T00:00:00"/>
    <s v="UAT2Y440.012"/>
    <d v="2021-06-03T00:00:00"/>
    <m/>
    <m/>
    <s v="Done by NW"/>
    <s v="Done by NW"/>
    <m/>
    <m/>
    <m/>
    <m/>
    <m/>
    <s v="Done by NW"/>
    <m/>
    <m/>
    <m/>
    <m/>
    <m/>
  </r>
  <r>
    <m/>
    <n v="37580"/>
    <s v="HLC-A"/>
    <s v="STB5M0780"/>
    <x v="3"/>
    <m/>
    <x v="2"/>
    <d v="2021-05-20T00:00:00"/>
    <n v="780"/>
    <x v="0"/>
    <m/>
    <m/>
    <m/>
    <m/>
    <m/>
    <m/>
    <s v="Done by NW"/>
    <s v="Done by NW"/>
    <m/>
    <m/>
    <m/>
    <m/>
    <m/>
    <s v="Done by NW"/>
    <m/>
    <m/>
    <m/>
    <m/>
    <m/>
  </r>
  <r>
    <m/>
    <n v="37582"/>
    <s v="HLC-B"/>
    <s v="STB5M0802"/>
    <x v="24"/>
    <m/>
    <x v="6"/>
    <m/>
    <n v="802"/>
    <x v="0"/>
    <s v="M-U7D2S04V.005,_x000a_MO-U7F2S240.005"/>
    <s v="Done"/>
    <m/>
    <m/>
    <m/>
    <m/>
    <s v="Done by NW"/>
    <s v="Done by NW"/>
    <m/>
    <m/>
    <m/>
    <m/>
    <m/>
    <s v="Done by NW"/>
    <m/>
    <m/>
    <m/>
    <m/>
    <m/>
  </r>
  <r>
    <m/>
    <m/>
    <m/>
    <s v="STB5M0820"/>
    <x v="1"/>
    <m/>
    <x v="1"/>
    <m/>
    <n v="820"/>
    <x v="0"/>
    <m/>
    <m/>
    <m/>
    <m/>
    <m/>
    <m/>
    <s v="Done by NW"/>
    <s v="Done by NW"/>
    <m/>
    <m/>
    <m/>
    <m/>
    <m/>
    <s v="Done by NW"/>
    <m/>
    <m/>
    <m/>
    <m/>
    <m/>
  </r>
  <r>
    <m/>
    <n v="37577"/>
    <s v="HLC-B"/>
    <s v="STB5M0826"/>
    <x v="24"/>
    <m/>
    <x v="6"/>
    <m/>
    <n v="826"/>
    <x v="0"/>
    <s v="M-U7D2S04V.005,_x000a_MO-U7F2S240.005"/>
    <m/>
    <s v="UAT2Y440.012"/>
    <d v="2021-06-17T00:00:00"/>
    <m/>
    <m/>
    <s v="Done by NW"/>
    <s v="Done by NW"/>
    <m/>
    <m/>
    <m/>
    <m/>
    <m/>
    <s v="Done by NW"/>
    <m/>
    <m/>
    <d v="2021-12-24T00:00:00"/>
    <m/>
    <m/>
  </r>
  <r>
    <m/>
    <n v="37577"/>
    <s v="HLC-A"/>
    <s v="STB5M0827"/>
    <x v="24"/>
    <m/>
    <x v="6"/>
    <m/>
    <n v="827"/>
    <x v="0"/>
    <s v="M-U7D2S04V.005,_x000a_MO-U7F2S240.005"/>
    <m/>
    <s v="UAT2Y440.012"/>
    <d v="2021-06-17T00:00:00"/>
    <m/>
    <m/>
    <s v="Done by NW"/>
    <s v="Done by NW"/>
    <m/>
    <m/>
    <m/>
    <m/>
    <m/>
    <s v="Done by NW"/>
    <m/>
    <m/>
    <m/>
    <m/>
    <m/>
  </r>
  <r>
    <m/>
    <n v="37587"/>
    <s v="HLC-B"/>
    <s v="STB6M0856"/>
    <x v="25"/>
    <m/>
    <x v="4"/>
    <d v="2021-05-28T00:00:00"/>
    <n v="856"/>
    <x v="0"/>
    <m/>
    <m/>
    <m/>
    <m/>
    <m/>
    <m/>
    <s v="Done by NW"/>
    <s v="Done by NW"/>
    <m/>
    <m/>
    <m/>
    <m/>
    <m/>
    <s v="Done by NW"/>
    <m/>
    <m/>
    <m/>
    <m/>
    <m/>
  </r>
  <r>
    <m/>
    <n v="37587"/>
    <s v="HLC-A"/>
    <s v="STB6M0857"/>
    <x v="25"/>
    <m/>
    <x v="4"/>
    <d v="2021-05-28T00:00:00"/>
    <n v="857"/>
    <x v="0"/>
    <m/>
    <m/>
    <m/>
    <m/>
    <m/>
    <m/>
    <s v="Done by NW"/>
    <s v="Done by NW"/>
    <m/>
    <m/>
    <m/>
    <m/>
    <m/>
    <s v="Done by NW"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m/>
    <m/>
    <s v="STB7M0888"/>
    <x v="1"/>
    <m/>
    <x v="1"/>
    <m/>
    <n v="888"/>
    <x v="0"/>
    <m/>
    <m/>
    <m/>
    <m/>
    <m/>
    <m/>
    <s v="Done by NW"/>
    <s v="Done by NW"/>
    <m/>
    <m/>
    <m/>
    <m/>
    <m/>
    <s v="Done by NW"/>
    <m/>
    <m/>
    <m/>
    <m/>
    <m/>
  </r>
  <r>
    <m/>
    <m/>
    <m/>
    <s v="STB7M0889"/>
    <x v="1"/>
    <m/>
    <x v="1"/>
    <m/>
    <n v="889"/>
    <x v="0"/>
    <m/>
    <m/>
    <m/>
    <m/>
    <m/>
    <m/>
    <s v="Done by NW"/>
    <s v="Done by NW"/>
    <m/>
    <m/>
    <m/>
    <m/>
    <m/>
    <s v="Done by NW"/>
    <m/>
    <m/>
    <m/>
    <m/>
    <m/>
  </r>
  <r>
    <m/>
    <m/>
    <m/>
    <s v="STB7M0894"/>
    <x v="1"/>
    <m/>
    <x v="1"/>
    <m/>
    <n v="894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7M0895"/>
    <x v="1"/>
    <m/>
    <x v="1"/>
    <m/>
    <n v="895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8M0898"/>
    <x v="1"/>
    <m/>
    <x v="1"/>
    <m/>
    <n v="898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8M0914"/>
    <x v="1"/>
    <m/>
    <x v="1"/>
    <m/>
    <n v="914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95"/>
    <s v="HLC-A"/>
    <s v="STB8M0916"/>
    <x v="24"/>
    <m/>
    <x v="6"/>
    <d v="2021-06-19T00:00:00"/>
    <n v="916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95"/>
    <s v="HLC-A"/>
    <s v="STB8M0917"/>
    <x v="24"/>
    <m/>
    <x v="6"/>
    <d v="2021-06-19T00:00:00"/>
    <n v="917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94"/>
    <s v="HLC-A"/>
    <s v="STB8M0936HLCD"/>
    <x v="3"/>
    <m/>
    <x v="2"/>
    <d v="2021-06-20T00:00:00"/>
    <n v="936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94"/>
    <s v="HLC-B"/>
    <s v="STB8M0937HLCD"/>
    <x v="3"/>
    <m/>
    <x v="2"/>
    <d v="2021-06-20T00:00:00"/>
    <n v="937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8M0938HLCD"/>
    <x v="1"/>
    <m/>
    <x v="1"/>
    <m/>
    <n v="938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8M0939HLCD"/>
    <x v="1"/>
    <m/>
    <x v="1"/>
    <m/>
    <n v="939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88"/>
    <s v="HLC-A"/>
    <s v="STB8M0940HLCD"/>
    <x v="12"/>
    <m/>
    <x v="4"/>
    <d v="2021-06-20T00:00:00"/>
    <n v="940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88"/>
    <s v="HLC-B"/>
    <s v="STB8M0941HLCD"/>
    <x v="12"/>
    <m/>
    <x v="4"/>
    <d v="2021-06-20T00:00:00"/>
    <n v="941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7589"/>
    <s v="HLC-A"/>
    <s v="STB8M0926HLCD"/>
    <x v="10"/>
    <s v="NR"/>
    <x v="3"/>
    <d v="2021-06-19T00:00:00"/>
    <n v="944"/>
    <x v="0"/>
    <s v="M-U7D2S04V.005,_x000a_MO-U7F2S240.005"/>
    <s v="Done by NW"/>
    <s v="UAT2Y440.012"/>
    <d v="2022-02-17T00:00:00"/>
    <m/>
    <m/>
    <s v="Done by NW"/>
    <s v="Done by NW"/>
    <m/>
    <s v="Conv-A DONE"/>
    <m/>
    <m/>
    <m/>
    <s v="Done by NW"/>
    <m/>
    <m/>
    <m/>
    <m/>
    <m/>
  </r>
  <r>
    <m/>
    <n v="37589"/>
    <s v="HLC-B"/>
    <s v="STB8M0944HLCD"/>
    <x v="10"/>
    <s v="NR"/>
    <x v="3"/>
    <d v="2021-06-19T00:00:00"/>
    <n v="951"/>
    <x v="0"/>
    <s v="M-U7D2S04V.005,_x000a_MO-U7F2S240.005"/>
    <s v="Done by NW"/>
    <s v="UAT2Y440.012"/>
    <d v="2022-02-17T00:00:00"/>
    <m/>
    <m/>
    <s v="Done by NW"/>
    <s v="Done by NW"/>
    <m/>
    <s v="Conv-B DONE"/>
    <m/>
    <m/>
    <m/>
    <s v="Done by NW"/>
    <m/>
    <m/>
    <m/>
    <m/>
    <m/>
  </r>
  <r>
    <m/>
    <n v="30655"/>
    <s v="HLC-A"/>
    <s v="STB9M0988"/>
    <x v="12"/>
    <m/>
    <x v="4"/>
    <m/>
    <n v="988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56"/>
    <s v="HLC-B"/>
    <s v="STB9M0989"/>
    <x v="12"/>
    <m/>
    <x v="4"/>
    <m/>
    <n v="989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60"/>
    <s v="HLC-B"/>
    <s v="STB9M0990"/>
    <x v="12"/>
    <m/>
    <x v="4"/>
    <m/>
    <n v="990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81"/>
    <s v="HLC-B"/>
    <s v="STB9M0991"/>
    <x v="12"/>
    <m/>
    <x v="4"/>
    <m/>
    <n v="991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60"/>
    <s v="HLC-A"/>
    <s v="STB9M0994"/>
    <x v="12"/>
    <m/>
    <x v="4"/>
    <m/>
    <n v="994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9M0995"/>
    <x v="1"/>
    <m/>
    <x v="1"/>
    <m/>
    <n v="995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88"/>
    <s v="HLC-A"/>
    <s v="STB9M0996"/>
    <x v="12"/>
    <m/>
    <x v="4"/>
    <m/>
    <n v="996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56"/>
    <s v="HLC-A"/>
    <s v="STB9M0997"/>
    <x v="12"/>
    <m/>
    <x v="4"/>
    <m/>
    <n v="997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18"/>
    <x v="1"/>
    <m/>
    <x v="1"/>
    <m/>
    <n v="1018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19"/>
    <x v="1"/>
    <m/>
    <x v="1"/>
    <m/>
    <n v="1019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0"/>
    <x v="1"/>
    <m/>
    <x v="1"/>
    <m/>
    <n v="1020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1"/>
    <x v="1"/>
    <m/>
    <x v="1"/>
    <m/>
    <n v="1021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2"/>
    <x v="1"/>
    <m/>
    <x v="1"/>
    <m/>
    <n v="1022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3"/>
    <x v="1"/>
    <m/>
    <x v="1"/>
    <m/>
    <n v="1023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4"/>
    <x v="1"/>
    <m/>
    <x v="1"/>
    <m/>
    <n v="1024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m/>
    <m/>
    <s v="STBOM1025"/>
    <x v="1"/>
    <m/>
    <x v="1"/>
    <m/>
    <n v="1025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67"/>
    <s v="HLC-B"/>
    <s v="STBOM1026"/>
    <x v="12"/>
    <m/>
    <x v="4"/>
    <m/>
    <n v="1026"/>
    <x v="0"/>
    <s v="M-U7D2S04V.005,_x000a_MO-U7F2S240.005"/>
    <s v="Done by NW"/>
    <m/>
    <m/>
    <m/>
    <m/>
    <s v="Done by NW"/>
    <s v="Done by NW"/>
    <m/>
    <m/>
    <m/>
    <m/>
    <m/>
    <s v="Done by NW"/>
    <m/>
    <m/>
    <m/>
    <m/>
    <m/>
  </r>
  <r>
    <m/>
    <n v="30688"/>
    <s v="HLC-B"/>
    <s v="STBOM1027"/>
    <x v="12"/>
    <m/>
    <x v="4"/>
    <m/>
    <n v="102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OM1028"/>
    <x v="1"/>
    <m/>
    <x v="1"/>
    <m/>
    <n v="1028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OM1029"/>
    <x v="1"/>
    <m/>
    <x v="1"/>
    <m/>
    <n v="1029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m/>
    <x v="1"/>
    <m/>
    <x v="1"/>
    <m/>
    <m/>
    <x v="2"/>
    <m/>
    <m/>
    <m/>
    <m/>
    <m/>
    <m/>
    <m/>
    <s v="Done by NW"/>
    <m/>
    <m/>
    <m/>
    <m/>
    <m/>
    <m/>
    <m/>
    <m/>
    <m/>
    <m/>
    <m/>
  </r>
  <r>
    <m/>
    <n v="37590"/>
    <s v="HLC-A"/>
    <s v="STBOM1031"/>
    <x v="10"/>
    <m/>
    <x v="3"/>
    <d v="2021-05-25T00:00:00"/>
    <n v="103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90"/>
    <s v="HLC-B"/>
    <s v="STBOM1033"/>
    <x v="10"/>
    <m/>
    <x v="3"/>
    <d v="2021-05-25T00:00:00"/>
    <n v="1033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82"/>
    <s v="HLC-A"/>
    <s v="STBOM1035"/>
    <x v="24"/>
    <m/>
    <x v="1"/>
    <m/>
    <n v="1035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84"/>
    <s v="HLC-B"/>
    <s v="STBOM1036"/>
    <x v="26"/>
    <s v="KYN"/>
    <x v="3"/>
    <d v="2021-05-11T00:00:00"/>
    <n v="1036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84"/>
    <s v="HLC-A"/>
    <s v="STBOM1037"/>
    <x v="26"/>
    <s v="KYN"/>
    <x v="3"/>
    <d v="2021-05-11T00:00:00"/>
    <n v="103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7580"/>
    <s v="HLC-B"/>
    <s v="STBNM1039"/>
    <x v="3"/>
    <m/>
    <x v="2"/>
    <d v="2021-05-20T00:00:00"/>
    <n v="1039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OM1042"/>
    <x v="1"/>
    <m/>
    <x v="1"/>
    <m/>
    <n v="1042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OM1043"/>
    <x v="1"/>
    <m/>
    <x v="1"/>
    <m/>
    <n v="1043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667"/>
    <s v="HLC-A"/>
    <s v="STBNM1048"/>
    <x v="12"/>
    <m/>
    <x v="4"/>
    <m/>
    <n v="1048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655"/>
    <s v="HLC-B"/>
    <s v="STBNM1049"/>
    <x v="12"/>
    <m/>
    <x v="4"/>
    <m/>
    <n v="1049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NM1050"/>
    <x v="1"/>
    <m/>
    <x v="1"/>
    <m/>
    <n v="1050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NM1051"/>
    <x v="1"/>
    <m/>
    <x v="1"/>
    <m/>
    <n v="105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81"/>
    <s v="HLC-B"/>
    <s v="STBDM1052HLCD"/>
    <x v="23"/>
    <m/>
    <x v="6"/>
    <d v="2021-02-10T00:00:00"/>
    <n v="1052"/>
    <x v="0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</r>
  <r>
    <m/>
    <n v="39182"/>
    <s v="HLC-B"/>
    <s v="STBDM1058HLCD"/>
    <x v="23"/>
    <m/>
    <x v="6"/>
    <d v="2021-02-20T00:00:00"/>
    <n v="1058"/>
    <x v="0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</r>
  <r>
    <m/>
    <n v="30681"/>
    <s v="HLC-A"/>
    <s v="STBDM1061"/>
    <x v="12"/>
    <m/>
    <x v="4"/>
    <m/>
    <n v="106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62"/>
    <x v="1"/>
    <m/>
    <x v="1"/>
    <m/>
    <n v="1062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63"/>
    <x v="1"/>
    <m/>
    <x v="1"/>
    <m/>
    <n v="1063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717"/>
    <s v="HLC-A"/>
    <s v="STBDM1064"/>
    <x v="2"/>
    <s v="SR"/>
    <x v="2"/>
    <m/>
    <n v="1064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0717"/>
    <s v="HLC-B"/>
    <s v="STBDM1065"/>
    <x v="2"/>
    <s v="SR"/>
    <x v="2"/>
    <m/>
    <n v="1065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66"/>
    <x v="1"/>
    <m/>
    <x v="1"/>
    <m/>
    <n v="1066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67"/>
    <x v="1"/>
    <m/>
    <x v="1"/>
    <m/>
    <n v="106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n v="39183"/>
    <s v="HLC-A"/>
    <s v="STBDM1071HLCD"/>
    <x v="7"/>
    <s v="WCR"/>
    <x v="3"/>
    <d v="2021-02-22T00:00:00"/>
    <n v="107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2"/>
    <x v="1"/>
    <m/>
    <x v="1"/>
    <m/>
    <n v="1072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3"/>
    <x v="1"/>
    <m/>
    <x v="1"/>
    <m/>
    <n v="1073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4"/>
    <x v="1"/>
    <m/>
    <x v="1"/>
    <m/>
    <n v="1074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5"/>
    <x v="1"/>
    <m/>
    <x v="1"/>
    <m/>
    <n v="1075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6"/>
    <x v="1"/>
    <m/>
    <x v="1"/>
    <m/>
    <n v="1076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7"/>
    <x v="1"/>
    <m/>
    <x v="1"/>
    <m/>
    <n v="1077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8"/>
    <x v="1"/>
    <m/>
    <x v="1"/>
    <m/>
    <n v="1078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79"/>
    <x v="1"/>
    <m/>
    <x v="1"/>
    <m/>
    <n v="1079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80"/>
    <x v="1"/>
    <m/>
    <x v="1"/>
    <m/>
    <n v="1080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  <r>
    <m/>
    <m/>
    <m/>
    <s v="STBDM1081"/>
    <x v="1"/>
    <m/>
    <x v="1"/>
    <m/>
    <n v="1081"/>
    <x v="0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n v="1"/>
    <x v="0"/>
    <s v="HLC-A"/>
    <s v="STB5J0099HLCC"/>
    <x v="0"/>
    <s v="SCR"/>
    <s v="HYD"/>
    <d v="2017-07-26T00:00:00"/>
    <m/>
    <s v="Nashik"/>
    <s v="M-U7D2S04V.005,"/>
    <s v="Done"/>
    <s v="UAT2Y440.012"/>
    <d v="2020-12-30T00:00:00"/>
    <m/>
    <m/>
    <s v="Done"/>
    <s v="Conv-A DONE"/>
    <m/>
    <s v="Conv-A DONE"/>
    <s v="Conv-A DONE"/>
    <m/>
    <m/>
    <m/>
    <m/>
    <m/>
    <m/>
    <m/>
    <m/>
    <s v="Done"/>
    <s v="DONE"/>
    <s v="25-07-2025"/>
    <d v="2024-03-08T00:00:00"/>
    <d v="2024-03-08T00:00:00"/>
    <s v="25-07-2024"/>
    <s v="DONE"/>
    <s v="25-07-2024"/>
    <m/>
    <s v="18-11-2024"/>
    <m/>
  </r>
  <r>
    <n v="2"/>
    <x v="0"/>
    <s v="HLC-B"/>
    <s v="STB5J0096HLCC"/>
    <x v="0"/>
    <s v="SCR"/>
    <s v="HYD"/>
    <d v="2017-07-26T00:00:00"/>
    <m/>
    <s v="Nashik"/>
    <s v="M-U7D2S04V.005,"/>
    <s v="Done"/>
    <s v="UAT2Y440.012"/>
    <s v="Done"/>
    <m/>
    <m/>
    <s v="Done"/>
    <s v="Conv-B DONE"/>
    <m/>
    <s v="Conv-B DONE"/>
    <s v="Conv-B DONE"/>
    <m/>
    <m/>
    <m/>
    <m/>
    <m/>
    <m/>
    <m/>
    <m/>
    <s v="Done"/>
    <s v="DONE"/>
    <s v="25-07-2024"/>
    <d v="2024-03-08T00:00:00"/>
    <d v="2024-03-08T00:00:00"/>
    <s v="25-07-2024"/>
    <s v="DONE"/>
    <s v="25-07-2024"/>
    <m/>
    <s v="18-11-2024"/>
    <m/>
  </r>
  <r>
    <n v="3"/>
    <x v="1"/>
    <s v="HLC-A"/>
    <s v="STB7J0131HLCD"/>
    <x v="0"/>
    <s v="SCR"/>
    <s v="HYD"/>
    <d v="2017-11-15T00:00:00"/>
    <m/>
    <s v="Nashik"/>
    <s v="M-U7D2S04V.005,"/>
    <s v="Done"/>
    <s v="UAT2Y440.012"/>
    <d v="2020-12-26T00:00:00"/>
    <m/>
    <m/>
    <s v="Done"/>
    <s v="Conv-A DONE"/>
    <m/>
    <s v="Conv-A DONE"/>
    <s v="Conv-A DONE"/>
    <m/>
    <m/>
    <m/>
    <m/>
    <m/>
    <m/>
    <m/>
    <m/>
    <m/>
    <s v="DONE"/>
    <s v="13-07-2024"/>
    <s v="15-07-2024"/>
    <s v="15-07-2024"/>
    <s v="13-07-2024"/>
    <s v="DONE"/>
    <s v="13-07-2024"/>
    <m/>
    <s v="18-06-2024"/>
    <m/>
  </r>
  <r>
    <n v="4"/>
    <x v="1"/>
    <s v="HLC-B"/>
    <s v="STB7J0130HLCD"/>
    <x v="0"/>
    <s v="SCR"/>
    <s v="HYD"/>
    <d v="2017-11-15T00:00:00"/>
    <m/>
    <s v="Nashik"/>
    <s v="M-U7D2S04V.005,"/>
    <s v="Done"/>
    <s v="UAT2Y440.012"/>
    <d v="2021-01-23T00:00:00"/>
    <m/>
    <m/>
    <s v="Done"/>
    <s v="Conv-B DONE"/>
    <m/>
    <s v="Conv-B DONE"/>
    <s v="Conv-B DONE"/>
    <m/>
    <m/>
    <m/>
    <m/>
    <m/>
    <m/>
    <m/>
    <m/>
    <m/>
    <s v="DONE"/>
    <s v="13-07-2024"/>
    <s v="15-07-2024"/>
    <s v="15-07-2024"/>
    <s v="13-07-2024"/>
    <s v="DONE"/>
    <s v="13-07-2024"/>
    <m/>
    <s v="18-06-2024"/>
    <m/>
  </r>
  <r>
    <n v="5"/>
    <x v="2"/>
    <s v="HLC-A"/>
    <s v="STB5J0097HLCD"/>
    <x v="0"/>
    <s v="SCR"/>
    <s v="HYD"/>
    <d v="2017-10-18T00:00:00"/>
    <m/>
    <s v="Nashik"/>
    <s v="M-U7D2S04V.005,"/>
    <s v="Done"/>
    <s v="UAT2Y440.012"/>
    <s v="Done"/>
    <m/>
    <m/>
    <s v="Done"/>
    <s v="Conv-B DONE"/>
    <m/>
    <s v="Conv-A DONE"/>
    <s v="Conv-A DONE"/>
    <m/>
    <m/>
    <m/>
    <m/>
    <m/>
    <m/>
    <m/>
    <m/>
    <s v="Done"/>
    <s v="DONE"/>
    <s v="22-07-2024"/>
    <s v="24-07-2024"/>
    <s v="24-07-2024"/>
    <s v="22-07-2024"/>
    <s v="DONE"/>
    <s v="22-07-2024"/>
    <m/>
    <d v="2024-08-10T00:00:00"/>
    <m/>
  </r>
  <r>
    <n v="6"/>
    <x v="2"/>
    <s v="HLC-B"/>
    <s v="STB5J0098HLCD"/>
    <x v="0"/>
    <s v="SCR"/>
    <s v="HYD"/>
    <d v="2017-10-18T00:00:00"/>
    <m/>
    <s v="Nashik"/>
    <s v="M-U7D2S04V.005,"/>
    <s v="Done"/>
    <s v="UAT2Y440.012"/>
    <d v="2021-03-15T00:00:00"/>
    <m/>
    <m/>
    <s v="Done"/>
    <s v="Conv-A DONE"/>
    <m/>
    <s v="Conv-B DONE"/>
    <s v="Conv-B DONE"/>
    <m/>
    <m/>
    <m/>
    <m/>
    <m/>
    <m/>
    <m/>
    <m/>
    <s v="Done"/>
    <s v="DONE"/>
    <s v="22-07-2024"/>
    <s v="24-07-2024"/>
    <s v="24-07-2024"/>
    <s v="22-07-2024"/>
    <s v="DONE"/>
    <s v="22-07-2024"/>
    <m/>
    <d v="2024-08-10T00:00:00"/>
    <m/>
  </r>
  <r>
    <n v="7"/>
    <x v="3"/>
    <s v="HLC-A"/>
    <s v="STB8J0148HLCD"/>
    <x v="1"/>
    <s v="SCR"/>
    <s v="HYD"/>
    <d v="2017-11-14T00:00:00"/>
    <m/>
    <s v="Nashik"/>
    <s v="M-U7D2S04V.005,"/>
    <s v="Done"/>
    <s v="UAT2Y440.012"/>
    <s v="Done"/>
    <m/>
    <m/>
    <s v="Done"/>
    <s v="Conv-A DONE"/>
    <m/>
    <s v="Conv-A DONE"/>
    <s v="Conv-A DONE"/>
    <m/>
    <m/>
    <m/>
    <m/>
    <m/>
    <m/>
    <m/>
    <m/>
    <m/>
    <m/>
    <m/>
    <s v="28-06-2024"/>
    <s v="28-06-2024"/>
    <s v="27-06-2024"/>
    <s v="DONE"/>
    <s v="27-06-2024"/>
    <m/>
    <m/>
    <m/>
  </r>
  <r>
    <n v="8"/>
    <x v="3"/>
    <s v="HLC-B"/>
    <s v="STB8J0149HLCD"/>
    <x v="1"/>
    <s v="SCR"/>
    <s v="HYD"/>
    <d v="2017-11-14T00:00:00"/>
    <m/>
    <s v="Nashik"/>
    <s v="M-U7D2S04V.005,"/>
    <s v="Done"/>
    <s v="UAT2Y440.012"/>
    <d v="2020-12-18T00:00:00"/>
    <m/>
    <m/>
    <s v="Done"/>
    <s v="Conv-B DONE"/>
    <m/>
    <s v="Conv-B DONE"/>
    <s v="Conv-B DONE"/>
    <m/>
    <m/>
    <m/>
    <m/>
    <m/>
    <m/>
    <d v="2021-11-23T00:00:00"/>
    <m/>
    <m/>
    <m/>
    <m/>
    <s v="28-06-2024"/>
    <s v="28-06-2024"/>
    <s v="27-06-2024"/>
    <s v="DONE"/>
    <s v="27-06-2024"/>
    <m/>
    <m/>
    <m/>
  </r>
  <r>
    <n v="9"/>
    <x v="4"/>
    <s v="HLC-A"/>
    <s v="STB8J0150HLCD"/>
    <x v="0"/>
    <s v="SCR"/>
    <s v="HYD"/>
    <d v="2017-11-25T00:00:00"/>
    <m/>
    <s v="Nashik"/>
    <s v="M-U7D2S04V.005,"/>
    <s v="Done"/>
    <s v="UAT2Y440.012"/>
    <d v="2020-12-11T00:00:00"/>
    <m/>
    <m/>
    <s v="Done"/>
    <s v="Conv-A DONE"/>
    <m/>
    <s v="Conv-A DONE"/>
    <s v="Conv-A DONE"/>
    <m/>
    <m/>
    <m/>
    <m/>
    <m/>
    <m/>
    <d v="2022-08-05T00:00:00"/>
    <m/>
    <s v="Done"/>
    <s v="DONE"/>
    <d v="2024-06-12T00:00:00"/>
    <s v="13-07-2024"/>
    <s v="13-07-2024"/>
    <d v="2024-11-07T00:00:00"/>
    <s v="DONE"/>
    <d v="2024-11-07T00:00:00"/>
    <m/>
    <d v="2024-06-12T00:00:00"/>
    <m/>
  </r>
  <r>
    <n v="10"/>
    <x v="4"/>
    <s v="HLC-B"/>
    <s v="STB8J0151HLCD"/>
    <x v="0"/>
    <s v="SCR"/>
    <s v="HYD"/>
    <d v="2017-11-25T00:00:00"/>
    <m/>
    <s v="Nashik"/>
    <s v="M-U7D2S04V.005,"/>
    <s v="Done"/>
    <s v="UAT2Y440.012"/>
    <d v="2020-12-15T00:00:00"/>
    <m/>
    <m/>
    <s v="Done"/>
    <s v="Conv-B DONE"/>
    <m/>
    <s v="Conv-B DONE"/>
    <s v="Conv-B DONE"/>
    <m/>
    <m/>
    <m/>
    <m/>
    <m/>
    <m/>
    <d v="2021-02-09T00:00:00"/>
    <m/>
    <s v="Done"/>
    <s v="DONE"/>
    <d v="2024-06-12T00:00:00"/>
    <s v="13-07-2024"/>
    <s v="13-07-2024"/>
    <d v="2024-11-07T00:00:00"/>
    <s v="DONE"/>
    <d v="2024-11-07T00:00:00"/>
    <m/>
    <d v="2024-06-12T00:00:00"/>
    <m/>
  </r>
  <r>
    <n v="11"/>
    <x v="5"/>
    <s v="HLC-A"/>
    <s v="STB7J0120HLCD"/>
    <x v="1"/>
    <s v="SCR"/>
    <s v="HYD"/>
    <d v="2017-11-21T00:00:00"/>
    <m/>
    <s v="Nashik"/>
    <s v="M-U7D2S04V.005,"/>
    <s v="Done"/>
    <s v="UAT2Y440.012"/>
    <d v="2020-12-12T00:00:00"/>
    <m/>
    <m/>
    <s v="Done"/>
    <s v="Conv-A DONE"/>
    <m/>
    <s v="Conv-A DONE"/>
    <s v="Conv-A DONE"/>
    <m/>
    <m/>
    <m/>
    <m/>
    <m/>
    <m/>
    <d v="2022-08-05T00:00:00"/>
    <m/>
    <s v="Done"/>
    <s v="DONE"/>
    <m/>
    <s v="31-07-2024"/>
    <s v="31-07-2024"/>
    <s v="31-07-2024"/>
    <s v="DONE"/>
    <s v="31-07-2024"/>
    <m/>
    <m/>
    <m/>
  </r>
  <r>
    <n v="12"/>
    <x v="5"/>
    <s v="HLC-B"/>
    <s v="STB7J0121HLCD"/>
    <x v="1"/>
    <s v="SCR"/>
    <s v="HYD"/>
    <d v="2017-11-21T00:00:00"/>
    <m/>
    <s v="Nashik"/>
    <s v="M-U7D2S04V.005,"/>
    <s v="Done"/>
    <s v="UAT2Y440.012"/>
    <s v="Done"/>
    <m/>
    <m/>
    <s v="Done"/>
    <s v="Conv-B DONE"/>
    <m/>
    <s v="Conv-B DONE"/>
    <s v="Conv-B DONE"/>
    <m/>
    <m/>
    <m/>
    <m/>
    <m/>
    <m/>
    <d v="2021-04-15T00:00:00"/>
    <m/>
    <s v="Done"/>
    <s v="DONE"/>
    <m/>
    <s v="31-07-2024"/>
    <s v="31-07-2024"/>
    <s v="31-07-2024"/>
    <s v="DONE"/>
    <s v="31-07-2024"/>
    <m/>
    <m/>
    <m/>
  </r>
  <r>
    <n v="13"/>
    <x v="6"/>
    <s v="HLC-A"/>
    <s v="STB7J0129HLCD"/>
    <x v="1"/>
    <s v="SCR"/>
    <s v="HYD"/>
    <d v="2017-12-13T00:00:00"/>
    <m/>
    <s v="Nashik"/>
    <s v="M-U7D2S04V.005,"/>
    <s v="Done"/>
    <s v="UAT2Y440.012"/>
    <d v="2020-12-28T00:00:00"/>
    <m/>
    <m/>
    <s v="Done"/>
    <s v="Conv-A DONE"/>
    <m/>
    <s v="Conv-A DONE"/>
    <s v="Conv-A DONE"/>
    <m/>
    <m/>
    <m/>
    <m/>
    <m/>
    <m/>
    <m/>
    <m/>
    <m/>
    <m/>
    <m/>
    <s v="22-07-2024"/>
    <s v="22-07-2024"/>
    <s v="22-07-2024"/>
    <s v="DONE"/>
    <s v="22-07-2024"/>
    <m/>
    <s v="26-10-2024"/>
    <m/>
  </r>
  <r>
    <n v="14"/>
    <x v="6"/>
    <s v="HLC-B"/>
    <s v="STB1J0156HLCD"/>
    <x v="1"/>
    <s v="SCR"/>
    <s v="HYD"/>
    <d v="2017-12-13T00:00:00"/>
    <m/>
    <s v="Nashik"/>
    <s v="M-U7D2S04V.005,"/>
    <s v="Done"/>
    <s v="UAT2Y440.012"/>
    <d v="2020-12-26T00:00:00"/>
    <m/>
    <m/>
    <s v="Done"/>
    <s v="Conv-B DONE"/>
    <m/>
    <s v="Conv-B DONE"/>
    <s v="Conv-B DONE"/>
    <m/>
    <m/>
    <m/>
    <m/>
    <m/>
    <m/>
    <d v="2021-11-12T00:00:00"/>
    <m/>
    <m/>
    <m/>
    <m/>
    <s v="22-07-2024"/>
    <s v="22-07-2024"/>
    <s v="22-07-2024"/>
    <s v="DONE"/>
    <s v="22-07-2024"/>
    <m/>
    <s v="26-10-2024"/>
    <m/>
  </r>
  <r>
    <n v="15"/>
    <x v="7"/>
    <s v="HLC-A"/>
    <s v="STB9J0159HLCD"/>
    <x v="0"/>
    <s v="SCR"/>
    <s v="HYD"/>
    <d v="2017-11-29T00:00:00"/>
    <m/>
    <s v="Nashik"/>
    <s v="M-U7D2S04V.005,"/>
    <s v="Done"/>
    <s v="UAT2Y440.012"/>
    <d v="2021-01-19T00:00:00"/>
    <m/>
    <m/>
    <s v="Done"/>
    <s v="Conv-A DONE"/>
    <m/>
    <s v="Conv-A DONE"/>
    <s v="Conv-A DONE"/>
    <m/>
    <m/>
    <m/>
    <m/>
    <m/>
    <m/>
    <d v="2022-06-09T00:00:00"/>
    <m/>
    <m/>
    <s v="DONE"/>
    <d v="2025-09-01T00:00:00"/>
    <d v="2024-01-07T00:00:00"/>
    <d v="2024-01-07T00:00:00"/>
    <s v="25-06-2024"/>
    <s v="DONE"/>
    <s v="25-06-2024"/>
    <m/>
    <s v="28-06-2024"/>
    <m/>
  </r>
  <r>
    <n v="16"/>
    <x v="7"/>
    <s v="HLC-B"/>
    <s v="STB8J0136HLCD"/>
    <x v="0"/>
    <s v="SCR"/>
    <s v="HYD"/>
    <d v="2017-11-29T00:00:00"/>
    <m/>
    <s v="Nashik"/>
    <s v="M-U7D2S04V.005,"/>
    <s v="Done"/>
    <s v="UAT2Y440.012"/>
    <d v="2021-02-11T00:00:00"/>
    <m/>
    <m/>
    <s v="Done"/>
    <s v="Conv-B DONE"/>
    <m/>
    <s v="Conv-B DONE"/>
    <s v="Conv-B DONE"/>
    <m/>
    <m/>
    <m/>
    <m/>
    <m/>
    <m/>
    <d v="2022-09-02T00:00:00"/>
    <m/>
    <m/>
    <s v="DONE"/>
    <d v="2025-09-01T00:00:00"/>
    <d v="2024-01-07T00:00:00"/>
    <d v="2024-01-07T00:00:00"/>
    <s v="25-06-2024"/>
    <s v="DONE"/>
    <s v="25-06-2024"/>
    <m/>
    <s v="28-06-2024"/>
    <m/>
  </r>
  <r>
    <n v="17"/>
    <x v="8"/>
    <s v="HLC-A"/>
    <s v="STB6J0118HLCD"/>
    <x v="1"/>
    <s v="SCR"/>
    <s v="HYD"/>
    <d v="2017-12-31T00:00:00"/>
    <m/>
    <s v="Nashik"/>
    <s v="M-U7D2S04V.005,"/>
    <s v="Done"/>
    <s v="UAT2Y440.012"/>
    <d v="2021-01-21T00:00:00"/>
    <m/>
    <m/>
    <s v="Done"/>
    <s v="Conv-A DONE"/>
    <m/>
    <s v="Conv-A DONE"/>
    <s v="Conv-A DONE"/>
    <m/>
    <m/>
    <m/>
    <m/>
    <m/>
    <m/>
    <m/>
    <m/>
    <s v="Done"/>
    <s v="DONE"/>
    <m/>
    <s v="19-07-2024"/>
    <s v="19-07-2024"/>
    <s v="19-07-2024"/>
    <s v="DONE"/>
    <d v="2024-07-08T00:00:00"/>
    <m/>
    <s v="20-09-2024"/>
    <m/>
  </r>
  <r>
    <n v="18"/>
    <x v="8"/>
    <s v="HLC-B"/>
    <s v="STB6J0108HLCD"/>
    <x v="1"/>
    <s v="SCR"/>
    <s v="HYD"/>
    <d v="2017-12-31T00:00:00"/>
    <m/>
    <s v="Nashik"/>
    <s v="M-U7D2S04V.005,"/>
    <s v="Done"/>
    <s v="UAT2Y440.012"/>
    <d v="2021-01-04T00:00:00"/>
    <m/>
    <m/>
    <s v="Done"/>
    <s v="Conv-B DONE"/>
    <m/>
    <s v="Conv-B DONE"/>
    <s v="Conv-B DONE"/>
    <m/>
    <m/>
    <m/>
    <m/>
    <m/>
    <m/>
    <m/>
    <m/>
    <s v="Done"/>
    <s v="DONE"/>
    <m/>
    <s v="19-07-2024"/>
    <s v="19-07-2024"/>
    <s v="19-07-2024"/>
    <s v="DONE"/>
    <d v="2024-07-08T00:00:00"/>
    <m/>
    <s v="20-09-2024"/>
    <m/>
  </r>
  <r>
    <n v="19"/>
    <x v="9"/>
    <s v="HLC-A"/>
    <s v="STB9J0164HLCD"/>
    <x v="1"/>
    <s v="SCR"/>
    <s v="HYD"/>
    <d v="2018-01-30T00:00:00"/>
    <m/>
    <s v="Nashik"/>
    <s v="M-U7D2S04V.005,"/>
    <s v="Done"/>
    <s v="UAT2Y440.012"/>
    <d v="2021-01-21T00:00:00"/>
    <m/>
    <m/>
    <s v="Done"/>
    <s v="Conv-A DONE"/>
    <m/>
    <s v="Conv-A DONE"/>
    <s v="Conv-A DONE"/>
    <m/>
    <m/>
    <m/>
    <m/>
    <m/>
    <m/>
    <m/>
    <m/>
    <s v="Done"/>
    <m/>
    <m/>
    <s v="22-06-2024"/>
    <s v="22-06-2024"/>
    <s v="22-06-2024"/>
    <s v="DONE"/>
    <s v="26-06-2024"/>
    <m/>
    <s v="26-09-2024"/>
    <m/>
  </r>
  <r>
    <n v="20"/>
    <x v="9"/>
    <s v="HLC-B"/>
    <s v="STB9J0165HLCD"/>
    <x v="1"/>
    <s v="SCR"/>
    <s v="HYD"/>
    <d v="2018-01-30T00:00:00"/>
    <m/>
    <s v="Nashik"/>
    <s v="M-U7D2S04V.005,"/>
    <s v="Done"/>
    <s v="UAT2Y440.012"/>
    <d v="2021-04-14T00:00:00"/>
    <d v="2020-09-12T00:00:00"/>
    <m/>
    <s v="Done"/>
    <s v="Conv-B DONE"/>
    <m/>
    <s v="Conv-B DONE"/>
    <s v="Conv-B DONE"/>
    <m/>
    <s v="Conv-B DONE"/>
    <m/>
    <m/>
    <m/>
    <m/>
    <m/>
    <m/>
    <s v="Done"/>
    <m/>
    <m/>
    <s v="22-06-2024"/>
    <s v="22-06-2024"/>
    <s v="22-06-2024"/>
    <s v="DONE"/>
    <s v="26-06-2024"/>
    <m/>
    <s v="26-09-2024"/>
    <m/>
  </r>
  <r>
    <n v="21"/>
    <x v="10"/>
    <s v="HLC-A"/>
    <s v="STB8J0143HLCD"/>
    <x v="1"/>
    <s v="SCR"/>
    <s v="HYD"/>
    <d v="2018-01-02T00:00:00"/>
    <m/>
    <s v="Nashik"/>
    <s v="M-U7D2S04V.005,"/>
    <s v="Done"/>
    <s v="UAT2Y440.012"/>
    <d v="2021-04-15T00:00:00"/>
    <m/>
    <m/>
    <s v="Done"/>
    <s v="Conv-A DONE"/>
    <m/>
    <s v="Conv-A DONE"/>
    <s v="Conv-A DONE"/>
    <m/>
    <m/>
    <m/>
    <m/>
    <m/>
    <m/>
    <m/>
    <m/>
    <s v="Done"/>
    <s v="DONE"/>
    <m/>
    <d v="2024-10-09T00:00:00"/>
    <d v="2024-10-09T00:00:00"/>
    <d v="2024-10-09T00:00:00"/>
    <s v="DONE"/>
    <d v="2024-12-12T00:00:00"/>
    <m/>
    <d v="2024-10-09T00:00:00"/>
    <m/>
  </r>
  <r>
    <n v="22"/>
    <x v="10"/>
    <s v="HLC-B"/>
    <s v="STB8J0142HLCD"/>
    <x v="1"/>
    <s v="SCR"/>
    <s v="HYD"/>
    <d v="2018-01-02T00:00:00"/>
    <m/>
    <s v="Nashik"/>
    <s v="M-U7D2S04V.005,"/>
    <s v="Done"/>
    <s v="UAT2Y440.012"/>
    <d v="2021-02-03T00:00:00"/>
    <m/>
    <m/>
    <s v="Done"/>
    <s v="Conv-B DONE"/>
    <m/>
    <s v="Conv-B DONE"/>
    <s v="Conv-B DONE"/>
    <m/>
    <m/>
    <m/>
    <m/>
    <m/>
    <m/>
    <m/>
    <m/>
    <s v="Done"/>
    <s v="DONE"/>
    <m/>
    <d v="2024-10-09T00:00:00"/>
    <d v="2024-10-09T00:00:00"/>
    <d v="2024-10-09T00:00:00"/>
    <s v="DONE"/>
    <d v="2024-12-12T00:00:00"/>
    <m/>
    <d v="2024-10-09T00:00:00"/>
    <m/>
  </r>
  <r>
    <n v="23"/>
    <x v="11"/>
    <s v="HLC-A"/>
    <s v="STB6J0119HLCD"/>
    <x v="1"/>
    <s v="SCR"/>
    <s v="HYD"/>
    <d v="2017-12-30T00:00:00"/>
    <m/>
    <s v="Nashik"/>
    <s v="M-U7D2S04V.005,"/>
    <s v="Done"/>
    <s v="UAT2Y440.012"/>
    <d v="2021-03-08T00:00:00"/>
    <m/>
    <m/>
    <s v="Done"/>
    <s v="Conv-A DONE"/>
    <m/>
    <s v="Conv-A DONE"/>
    <s v="Conv-A DONE"/>
    <m/>
    <m/>
    <m/>
    <m/>
    <m/>
    <m/>
    <m/>
    <m/>
    <s v="Done"/>
    <s v="DONE"/>
    <m/>
    <d v="2024-12-08T00:00:00"/>
    <d v="2012-12-08T00:00:00"/>
    <d v="2024-12-08T00:00:00"/>
    <s v="DONE"/>
    <d v="2024-10-08T00:00:00"/>
    <m/>
    <m/>
    <m/>
  </r>
  <r>
    <n v="24"/>
    <x v="11"/>
    <s v="HLC-B"/>
    <s v="STB6J0109HLCD"/>
    <x v="1"/>
    <s v="SCR"/>
    <s v="HYD"/>
    <d v="2017-12-30T00:00:00"/>
    <m/>
    <s v="Nashik"/>
    <s v="M-U7D2S04V.005,"/>
    <s v="Done"/>
    <s v="UAT2Y440.012"/>
    <d v="2021-03-25T00:00:00"/>
    <m/>
    <m/>
    <s v="Done"/>
    <s v="Conv-B DONE"/>
    <m/>
    <s v="Conv-B DONE"/>
    <s v="Conv-B DONE"/>
    <m/>
    <m/>
    <m/>
    <m/>
    <m/>
    <m/>
    <m/>
    <m/>
    <s v="Done"/>
    <s v="DONE"/>
    <m/>
    <d v="2024-12-08T00:00:00"/>
    <d v="2024-12-08T00:00:00"/>
    <d v="2024-12-08T00:00:00"/>
    <s v="DONE"/>
    <d v="2024-10-08T00:00:00"/>
    <m/>
    <m/>
    <m/>
  </r>
  <r>
    <n v="25"/>
    <x v="12"/>
    <s v="HLC-A"/>
    <s v="STB2K0180HLCD"/>
    <x v="0"/>
    <s v="SCR"/>
    <s v="HYD"/>
    <d v="2018-12-22T00:00:00"/>
    <m/>
    <s v="Nashik"/>
    <s v="M-U7D2S04V.005,"/>
    <s v="Done"/>
    <s v="UAT2Y440.012"/>
    <d v="2020-12-11T00:00:00"/>
    <m/>
    <m/>
    <s v="Done"/>
    <s v="Conv-A DONE"/>
    <m/>
    <s v="Conv-A DONE"/>
    <s v="Conv-A DONE"/>
    <m/>
    <m/>
    <m/>
    <m/>
    <m/>
    <m/>
    <m/>
    <m/>
    <s v="Done"/>
    <s v="DONE"/>
    <d v="2024-10-08T00:00:00"/>
    <d v="2024-10-08T00:00:00"/>
    <d v="2024-10-08T00:00:00"/>
    <d v="2024-10-08T00:00:00"/>
    <s v="DONE"/>
    <d v="2024-10-08T00:00:00"/>
    <m/>
    <s v="13-06-2024"/>
    <m/>
  </r>
  <r>
    <n v="26"/>
    <x v="12"/>
    <s v="HLC-B"/>
    <s v="STB3K0196HLCD"/>
    <x v="0"/>
    <s v="SCR"/>
    <s v="HYD"/>
    <d v="2018-12-22T00:00:00"/>
    <m/>
    <s v="Nashik"/>
    <s v="M-U7D2S04V.005,"/>
    <s v="Done"/>
    <s v="UAT2Y440.012"/>
    <d v="2020-12-19T00:00:00"/>
    <m/>
    <m/>
    <s v="Done"/>
    <s v="Conv-B DONE"/>
    <m/>
    <s v="Conv-B DONE"/>
    <s v="Conv-B DONE"/>
    <m/>
    <m/>
    <m/>
    <m/>
    <m/>
    <m/>
    <d v="2021-07-31T00:00:00"/>
    <m/>
    <s v="Done"/>
    <s v="DONE"/>
    <d v="2024-10-08T00:00:00"/>
    <d v="2024-10-08T00:00:00"/>
    <d v="2024-10-08T00:00:00"/>
    <d v="2024-10-08T00:00:00"/>
    <s v="DONE"/>
    <d v="2024-10-08T00:00:00"/>
    <m/>
    <s v="13-06-2024"/>
    <m/>
  </r>
  <r>
    <n v="27"/>
    <x v="13"/>
    <s v="HLC-A"/>
    <s v="STB6K0258HLCD"/>
    <x v="0"/>
    <s v="SCR"/>
    <s v="HYD"/>
    <d v="2019-02-11T00:00:00"/>
    <m/>
    <s v="Nashik"/>
    <s v="M-U7D2S04V.005,"/>
    <s v="Done"/>
    <s v="UAT2Y440.012"/>
    <d v="2021-01-18T00:00:00"/>
    <m/>
    <m/>
    <s v="Done"/>
    <s v="Conv-A DONE"/>
    <m/>
    <s v="Conv-A DONE"/>
    <s v="Conv-A DONE"/>
    <m/>
    <m/>
    <m/>
    <m/>
    <m/>
    <m/>
    <d v="2020-07-08T00:00:00"/>
    <m/>
    <m/>
    <s v="DONE"/>
    <s v="16-07-2024"/>
    <s v="18-07-2024"/>
    <s v="18-07-2024"/>
    <s v="16-07-2024"/>
    <s v="DONE"/>
    <s v="16-07-2024"/>
    <m/>
    <s v="29-07-2024"/>
    <m/>
  </r>
  <r>
    <n v="28"/>
    <x v="13"/>
    <s v="HLC-B"/>
    <s v="STB6K0259HLCD"/>
    <x v="0"/>
    <s v="SCR"/>
    <s v="HYD"/>
    <d v="2019-02-11T00:00:00"/>
    <m/>
    <s v="Nashik"/>
    <s v="M-U7D2S04V.005,"/>
    <s v="Done"/>
    <s v="UAT2Y440.012"/>
    <s v="Done by NW"/>
    <m/>
    <m/>
    <s v="Done"/>
    <s v="Conv-B DONE"/>
    <m/>
    <s v="Conv-B DONE"/>
    <s v="Conv-B DONE"/>
    <m/>
    <m/>
    <m/>
    <m/>
    <m/>
    <m/>
    <m/>
    <m/>
    <m/>
    <s v="DONE"/>
    <s v="16-07-2024"/>
    <s v="18-07-2024"/>
    <s v="18-07-2024"/>
    <s v="16-07-2024"/>
    <s v="DONE"/>
    <s v="16-07-2024"/>
    <m/>
    <s v="29-07-2024"/>
    <m/>
  </r>
  <r>
    <n v="29"/>
    <x v="14"/>
    <s v="HLC-A"/>
    <s v="STBDL0742"/>
    <x v="0"/>
    <s v="SCR"/>
    <s v="HYD"/>
    <d v="2020-05-26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m/>
    <s v="DONE"/>
    <s v="15-11-2024"/>
    <s v="17-08-2024"/>
    <s v="17-08-2024"/>
    <s v="17-08-2024"/>
    <s v="DONE"/>
    <s v="15-11-2024"/>
    <m/>
    <s v="14-11-2024"/>
    <m/>
  </r>
  <r>
    <n v="30"/>
    <x v="14"/>
    <s v="HLC-B"/>
    <s v="STBDL0740HLCD"/>
    <x v="0"/>
    <s v="SCR"/>
    <s v="HYD"/>
    <d v="2020-05-26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m/>
    <m/>
    <m/>
    <m/>
    <m/>
    <m/>
    <m/>
    <s v="DONE"/>
    <s v="15-11-2024"/>
    <s v="17-08-2024"/>
    <s v="17-08-2024"/>
    <s v="17-08-2024"/>
    <s v="DONE"/>
    <s v="15-11-2024"/>
    <m/>
    <s v="14-11-2024"/>
    <m/>
  </r>
  <r>
    <n v="31"/>
    <x v="15"/>
    <s v="HLC-A"/>
    <s v="STBNL0711HLCD"/>
    <x v="0"/>
    <s v="SCR"/>
    <s v="HYD"/>
    <d v="2020-06-22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m/>
    <s v="DONE"/>
    <d v="2024-06-09T00:00:00"/>
    <d v="2024-07-09T00:00:00"/>
    <d v="2024-07-09T00:00:00"/>
    <d v="2024-06-09T00:00:00"/>
    <s v="DONE"/>
    <d v="2024-06-09T00:00:00"/>
    <m/>
    <d v="2024-06-09T00:00:00"/>
    <m/>
  </r>
  <r>
    <n v="32"/>
    <x v="15"/>
    <s v="HLC-B"/>
    <s v="STB7L0608HLCD"/>
    <x v="0"/>
    <s v="SCR"/>
    <s v="HYD"/>
    <d v="2020-06-22T00:00:00"/>
    <m/>
    <s v="Nashik"/>
    <s v="M-U7D2S04V.005,"/>
    <s v="Done by NW"/>
    <s v="UAT2Y440.012"/>
    <s v="Done by NW"/>
    <d v="2020-09-01T00:00:00"/>
    <m/>
    <s v="Done by NW"/>
    <s v="Done by NW"/>
    <s v="Conv-A DONE"/>
    <s v="Conv-B DONE"/>
    <s v="Conv-B DONE"/>
    <m/>
    <m/>
    <m/>
    <m/>
    <m/>
    <m/>
    <m/>
    <m/>
    <m/>
    <s v="DONE"/>
    <d v="2024-06-09T00:00:00"/>
    <d v="2024-07-09T00:00:00"/>
    <d v="2024-07-09T00:00:00"/>
    <d v="2024-06-09T00:00:00"/>
    <s v="DONE"/>
    <d v="2024-06-09T00:00:00"/>
    <m/>
    <d v="2024-06-09T00:00:00"/>
    <m/>
  </r>
  <r>
    <n v="33"/>
    <x v="16"/>
    <s v="HLC-A"/>
    <s v="STBNL0716HLCD"/>
    <x v="0"/>
    <s v="SCR"/>
    <s v="HYD"/>
    <d v="2020-06-24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s v="Done"/>
    <s v="DONE"/>
    <d v="2024-12-07T00:00:00"/>
    <s v="29-06-2024"/>
    <s v="29-06-2024"/>
    <s v="29-06-2024"/>
    <s v="DONE"/>
    <d v="2024-06-07T00:00:00"/>
    <m/>
    <m/>
    <m/>
  </r>
  <r>
    <n v="34"/>
    <x v="16"/>
    <s v="HLC-B"/>
    <s v="STB7L0595"/>
    <x v="0"/>
    <s v="SCR"/>
    <s v="HYD"/>
    <d v="2020-06-24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m/>
    <m/>
    <m/>
    <m/>
    <m/>
    <m/>
    <s v="Done"/>
    <s v="DONE"/>
    <d v="2024-12-07T00:00:00"/>
    <s v="29-06-2024"/>
    <s v="29-06-2024"/>
    <s v="29-06-2024"/>
    <s v="DONE"/>
    <d v="2024-06-07T00:00:00"/>
    <m/>
    <m/>
    <m/>
  </r>
  <r>
    <n v="35"/>
    <x v="17"/>
    <s v="HLC-A"/>
    <s v="STB8M0910HLCD"/>
    <x v="0"/>
    <s v="SCR"/>
    <s v="HYD"/>
    <d v="2020-11-18T00:00:00"/>
    <m/>
    <s v="Nashik"/>
    <s v="M-U7D2S04V.005,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m/>
    <m/>
    <m/>
    <s v="Done"/>
    <s v="DONE"/>
    <s v="16-09-2024"/>
    <s v="24-07-2024"/>
    <s v="24-07-2024"/>
    <s v="25-08-2024"/>
    <s v="DONE"/>
    <s v="25-08-2024"/>
    <m/>
    <s v="16-09-2024"/>
    <m/>
  </r>
  <r>
    <n v="36"/>
    <x v="17"/>
    <s v="HLC-B"/>
    <s v="STB8M0911HLCD"/>
    <x v="0"/>
    <s v="SCR"/>
    <s v="HYD"/>
    <d v="2020-11-18T00:00:00"/>
    <m/>
    <s v="Nashik"/>
    <s v="M-U7D2S04V.005,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  <s v="Done"/>
    <s v="DONE"/>
    <s v="16-09-2024"/>
    <s v="24-07-2024"/>
    <s v="24-07-2024"/>
    <s v="25-08-2024"/>
    <s v="DONE"/>
    <s v="25-08-2024"/>
    <m/>
    <s v="16-09-2024"/>
    <m/>
  </r>
  <r>
    <n v="37"/>
    <x v="18"/>
    <s v="HLC-A"/>
    <s v="STB8M0959HLCD"/>
    <x v="0"/>
    <s v="SCR"/>
    <s v="HYD"/>
    <d v="2020-11-22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s v="Done by NW"/>
    <m/>
    <m/>
    <m/>
    <m/>
    <m/>
    <s v="Done "/>
    <s v="DONE"/>
    <s v="15-07-2024"/>
    <s v="23-06-2024"/>
    <s v="23-06-2024"/>
    <s v="21-06-2024"/>
    <s v="DONE"/>
    <s v="22-06-2024"/>
    <m/>
    <s v="27-12-2024"/>
    <m/>
  </r>
  <r>
    <n v="38"/>
    <x v="18"/>
    <s v="HLC-B"/>
    <s v="STB8M0958HLCD"/>
    <x v="0"/>
    <s v="SCR"/>
    <s v="HYD"/>
    <d v="2020-11-22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s v="Done by NW"/>
    <m/>
    <m/>
    <m/>
    <m/>
    <m/>
    <s v="Done "/>
    <s v="DONE"/>
    <s v="15-07-2024"/>
    <s v="23-06-2024"/>
    <s v="23-06-2024"/>
    <s v="21-06-2024"/>
    <s v="DONE"/>
    <s v="22-06-2024"/>
    <m/>
    <s v="27-12-2024"/>
    <m/>
  </r>
  <r>
    <n v="39"/>
    <x v="19"/>
    <s v="HLC-A"/>
    <s v="STB8M0928HLCD"/>
    <x v="0"/>
    <s v="SCR"/>
    <s v="HYD"/>
    <d v="2021-01-30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s v="Done by NW"/>
    <m/>
    <m/>
    <m/>
    <m/>
    <m/>
    <m/>
    <s v="DONE"/>
    <d v="2024-10-09T00:00:00"/>
    <s v="15-06-2024"/>
    <s v="15-06-2024"/>
    <d v="2024-11-09T00:00:00"/>
    <s v="DONE"/>
    <d v="2024-10-09T00:00:00"/>
    <m/>
    <d v="2024-11-09T00:00:00"/>
    <m/>
  </r>
  <r>
    <n v="40"/>
    <x v="19"/>
    <s v="HLC-B"/>
    <s v="STB8M0929HLCD"/>
    <x v="0"/>
    <s v="SCR"/>
    <s v="HYD"/>
    <d v="2021-01-30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s v="Done by NW"/>
    <m/>
    <m/>
    <m/>
    <m/>
    <m/>
    <m/>
    <s v="DONE"/>
    <d v="2024-10-09T00:00:00"/>
    <s v="15-06-2024"/>
    <s v="15-06-2024"/>
    <d v="2024-11-09T00:00:00"/>
    <s v="DONE"/>
    <d v="2024-10-09T00:00:00"/>
    <m/>
    <d v="2024-11-09T00:00:00"/>
    <m/>
  </r>
  <r>
    <n v="41"/>
    <x v="20"/>
    <s v="HLC-A"/>
    <s v="STB8M0918HLCD"/>
    <x v="0"/>
    <s v="SCR"/>
    <s v="HYD"/>
    <d v="2021-01-30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s v="Done by NW"/>
    <m/>
    <m/>
    <m/>
    <m/>
    <m/>
    <s v="Done"/>
    <s v="DONE"/>
    <d v="2024-06-08T00:00:00"/>
    <d v="2024-06-08T00:00:00"/>
    <d v="2024-06-08T00:00:00"/>
    <d v="2024-06-08T00:00:00"/>
    <s v="DONE"/>
    <d v="2024-06-08T00:00:00"/>
    <m/>
    <s v="16-11-2024"/>
    <m/>
  </r>
  <r>
    <n v="42"/>
    <x v="20"/>
    <s v="HLC-B"/>
    <s v="STB8M0919HLCD"/>
    <x v="0"/>
    <s v="SCR"/>
    <s v="HYD"/>
    <d v="2021-01-30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s v="Done by NW"/>
    <m/>
    <m/>
    <m/>
    <m/>
    <m/>
    <s v="Done"/>
    <s v="DONE"/>
    <d v="2024-06-08T00:00:00"/>
    <d v="2024-06-08T00:00:00"/>
    <d v="2024-06-08T00:00:00"/>
    <d v="2024-06-08T00:00:00"/>
    <s v="DONE"/>
    <d v="2024-06-08T00:00:00"/>
    <m/>
    <s v="16-11-2024"/>
    <m/>
  </r>
  <r>
    <n v="43"/>
    <x v="21"/>
    <s v="HLC-A"/>
    <s v="STB0L0677HLCD"/>
    <x v="0"/>
    <s v="SCR"/>
    <s v="HYD"/>
    <d v="2019-12-27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s v="Done"/>
    <s v="DONE"/>
    <s v="18-07-2024"/>
    <s v="16-07-2024"/>
    <s v="16-07-2024"/>
    <s v="18-07-2024"/>
    <s v="DONE"/>
    <s v="18-07-2024"/>
    <m/>
    <s v="29-07-2024"/>
    <m/>
  </r>
  <r>
    <n v="44"/>
    <x v="21"/>
    <s v="HLC-B"/>
    <s v="STB0L0676HLCD"/>
    <x v="0"/>
    <s v="SCR"/>
    <s v="HYD"/>
    <d v="2019-12-27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m/>
    <m/>
    <m/>
    <m/>
    <m/>
    <m/>
    <s v="Done"/>
    <s v="DONE"/>
    <s v="18-07-2024"/>
    <s v="16-07-2024"/>
    <s v="16-07-2024"/>
    <s v="18-07-2024"/>
    <s v="DONE"/>
    <s v="18-07-2024"/>
    <m/>
    <s v="29-07-2024"/>
    <m/>
  </r>
  <r>
    <n v="45"/>
    <x v="22"/>
    <s v="HLC-A"/>
    <s v="STB0L0663HLCD"/>
    <x v="0"/>
    <s v="SCR"/>
    <s v="HYD"/>
    <d v="2020-01-08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s v="Done"/>
    <s v="DONE"/>
    <d v="2024-12-07T00:00:00"/>
    <d v="2024-06-07T00:00:00"/>
    <d v="2024-06-07T00:00:00"/>
    <d v="2024-10-07T00:00:00"/>
    <s v="DONE"/>
    <d v="2024-10-07T00:00:00"/>
    <m/>
    <s v="30-10-2024"/>
    <m/>
  </r>
  <r>
    <n v="46"/>
    <x v="22"/>
    <s v="HLC-B"/>
    <s v="STB0L0664HLCD"/>
    <x v="0"/>
    <s v="SCR"/>
    <s v="HYD"/>
    <d v="2020-01-08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m/>
    <m/>
    <m/>
    <m/>
    <m/>
    <m/>
    <s v="Done"/>
    <s v="DONE"/>
    <d v="2024-12-07T00:00:00"/>
    <d v="2024-06-07T00:00:00"/>
    <d v="2024-06-07T00:00:00"/>
    <d v="2024-10-07T00:00:00"/>
    <s v="DONE"/>
    <d v="2024-10-07T00:00:00"/>
    <m/>
    <s v="30-10-2024"/>
    <m/>
  </r>
  <r>
    <n v="47"/>
    <x v="23"/>
    <s v="HLC-A"/>
    <s v="STBOL0653HLCD"/>
    <x v="1"/>
    <s v="SCR"/>
    <s v="HYD"/>
    <d v="2020-03-17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m/>
    <m/>
    <m/>
    <d v="2024-06-07T00:00:00"/>
    <d v="2024-06-07T00:00:00"/>
    <d v="2024-06-07T00:00:00"/>
    <s v="DONE"/>
    <d v="2024-09-07T00:00:00"/>
    <m/>
    <d v="2024-06-07T00:00:00"/>
    <m/>
  </r>
  <r>
    <n v="48"/>
    <x v="23"/>
    <s v="HLC-B"/>
    <s v="STBOL0654HLCD"/>
    <x v="1"/>
    <s v="SCR"/>
    <s v="HYD"/>
    <d v="2020-03-17T00:00:00"/>
    <m/>
    <s v="Nashik"/>
    <s v="M-U7D2S04V.005,"/>
    <s v="Done by NW"/>
    <s v="UAT2Y440.012"/>
    <s v="Done by NW"/>
    <m/>
    <m/>
    <s v="Done by NW"/>
    <s v="Done by NW"/>
    <m/>
    <s v="Conv-B DONE"/>
    <s v="Conv-B DONE"/>
    <m/>
    <m/>
    <m/>
    <m/>
    <m/>
    <m/>
    <m/>
    <m/>
    <m/>
    <m/>
    <m/>
    <d v="2024-06-07T00:00:00"/>
    <d v="2024-06-07T00:00:00"/>
    <d v="2024-06-07T00:00:00"/>
    <s v="DONE"/>
    <d v="2024-09-07T00:00:00"/>
    <m/>
    <d v="2024-06-07T00:00:00"/>
    <m/>
  </r>
  <r>
    <n v="49"/>
    <x v="24"/>
    <s v="HLC-A"/>
    <s v="STB1M0772HLCD"/>
    <x v="1"/>
    <s v="SCR"/>
    <s v="HYD"/>
    <d v="2020-06-06T00:00:00"/>
    <m/>
    <s v="Nashik"/>
    <s v="M-U7D2S04V.005,"/>
    <s v="Done by NW"/>
    <s v="UAT2Y440.012"/>
    <s v="Done by NW"/>
    <m/>
    <m/>
    <s v="Done by NW"/>
    <s v="Done by NW"/>
    <m/>
    <s v="Conv-A DONE"/>
    <s v="Conv-A DONE"/>
    <m/>
    <m/>
    <m/>
    <m/>
    <m/>
    <m/>
    <m/>
    <m/>
    <m/>
    <s v="DONE"/>
    <m/>
    <s v="29-08-2024"/>
    <s v="29-08-2024"/>
    <s v="29-11-2024"/>
    <s v="DONE"/>
    <s v="29-11-2024"/>
    <m/>
    <m/>
    <m/>
  </r>
  <r>
    <n v="50"/>
    <x v="24"/>
    <s v="HLC-B"/>
    <s v="STB0L0658HLCD"/>
    <x v="1"/>
    <s v="SCR"/>
    <s v="HYD"/>
    <d v="2020-06-06T00:00:00"/>
    <m/>
    <s v="Nashik"/>
    <s v="M-U7D2S04V.005,"/>
    <m/>
    <m/>
    <m/>
    <m/>
    <m/>
    <s v="Done by NW"/>
    <s v="Done by NW"/>
    <m/>
    <s v="Conv-B DONE"/>
    <s v="Conv-B DONE"/>
    <m/>
    <m/>
    <m/>
    <m/>
    <m/>
    <m/>
    <m/>
    <m/>
    <m/>
    <s v="DONE"/>
    <m/>
    <s v="29-08-2024"/>
    <s v="29-08-2024"/>
    <s v="29-11-2024"/>
    <s v="DONE"/>
    <s v="29-11-2024"/>
    <m/>
    <m/>
    <m/>
  </r>
  <r>
    <n v="51"/>
    <x v="25"/>
    <s v="HLC-A"/>
    <s v="STBDL0762HLCD"/>
    <x v="0"/>
    <s v="SCR"/>
    <s v="HYD"/>
    <d v="2020-07-23T00:00:00"/>
    <m/>
    <s v="Nashik"/>
    <s v="M-U7D2S04V.005,"/>
    <d v="2021-03-04T00:00:00"/>
    <s v="UAT2Y440.012"/>
    <s v="Done (ver-Nimesh)"/>
    <m/>
    <m/>
    <s v="Done by NW"/>
    <s v="Done by NW"/>
    <m/>
    <s v="Conv-A DONE"/>
    <s v="Conv-A DONE"/>
    <m/>
    <m/>
    <m/>
    <m/>
    <m/>
    <m/>
    <m/>
    <m/>
    <s v="Done"/>
    <s v="DONE"/>
    <m/>
    <s v="31-05-2024"/>
    <s v="31-05-2024"/>
    <s v="20-06-2024"/>
    <s v="DONE"/>
    <s v="19-06-2024"/>
    <m/>
    <s v="18-12-2024"/>
    <m/>
  </r>
  <r>
    <n v="52"/>
    <x v="25"/>
    <s v="HLC-B"/>
    <s v="STBDL0765HLCD"/>
    <x v="0"/>
    <s v="SCR"/>
    <s v="HYD"/>
    <d v="2020-07-23T00:00:00"/>
    <m/>
    <s v="Nashik"/>
    <s v="M-U7D2S04V.005,"/>
    <m/>
    <m/>
    <m/>
    <m/>
    <m/>
    <s v="Done by NW"/>
    <s v="Done by NW"/>
    <m/>
    <s v="Conv-B DONE"/>
    <s v="Conv-B DONE"/>
    <m/>
    <m/>
    <m/>
    <m/>
    <m/>
    <m/>
    <m/>
    <m/>
    <s v="Done"/>
    <s v="DONE"/>
    <m/>
    <s v="31-05-2024"/>
    <s v="31-05-2024"/>
    <s v="20-06-2024"/>
    <s v="DONE"/>
    <s v="19-06-2024"/>
    <m/>
    <s v="18-12-2024"/>
    <m/>
  </r>
  <r>
    <n v="53"/>
    <x v="26"/>
    <s v="HLC-A"/>
    <s v="STB1M0777HLCD"/>
    <x v="1"/>
    <s v="SCR"/>
    <s v="HYD"/>
    <d v="2020-08-24T00:00:00"/>
    <m/>
    <s v="Nashik"/>
    <s v="M-U7D2S04V.005,"/>
    <m/>
    <m/>
    <m/>
    <m/>
    <m/>
    <s v="Done by NW"/>
    <s v="Done by NW"/>
    <m/>
    <s v="Conv-A DONE"/>
    <s v="Conv-A DONE"/>
    <m/>
    <m/>
    <m/>
    <m/>
    <m/>
    <m/>
    <m/>
    <m/>
    <m/>
    <s v="DONE"/>
    <m/>
    <s v="19-07-2024"/>
    <s v="19-07-2024"/>
    <s v="19-07-2024"/>
    <s v="DONE"/>
    <s v="25-01-2025"/>
    <m/>
    <s v="21-10-2024"/>
    <m/>
  </r>
  <r>
    <n v="54"/>
    <x v="26"/>
    <s v="HLC-B"/>
    <s v="STBDL0763HLCD"/>
    <x v="1"/>
    <s v="SCR"/>
    <s v="HYD"/>
    <d v="2020-08-24T00:00:00"/>
    <m/>
    <s v="Nashik"/>
    <s v="M-U7D2S04V.005,"/>
    <m/>
    <m/>
    <m/>
    <m/>
    <m/>
    <s v="Done by NW"/>
    <s v="Done by NW"/>
    <m/>
    <s v="Conv-B DONE"/>
    <s v="Conv-B DONE"/>
    <m/>
    <m/>
    <m/>
    <m/>
    <m/>
    <m/>
    <m/>
    <m/>
    <m/>
    <s v="DONE"/>
    <m/>
    <s v="19-07-2024"/>
    <s v="19-07-2024"/>
    <s v="19-07-2024"/>
    <s v="DONE"/>
    <s v="25-01-2025"/>
    <m/>
    <s v="21-10-2024"/>
    <m/>
  </r>
  <r>
    <n v="55"/>
    <x v="27"/>
    <s v="HLC-B"/>
    <s v="STB7M0856"/>
    <x v="1"/>
    <s v="SCR"/>
    <s v="HYD"/>
    <d v="2021-05-28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m/>
    <s v="17-01-2025"/>
    <d v="2024-10-07T00:00:00"/>
    <d v="2024-10-07T00:00:00"/>
    <d v="2024-10-07T00:00:00"/>
    <s v="DONE"/>
    <s v="17-01-2025"/>
    <m/>
    <d v="2024-10-10T00:00:00"/>
    <m/>
  </r>
  <r>
    <n v="56"/>
    <x v="27"/>
    <s v="HLC-A"/>
    <s v="STB7M0857"/>
    <x v="1"/>
    <s v="SCR"/>
    <s v="HYD"/>
    <d v="2021-05-28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m/>
    <s v="17-01-2025"/>
    <d v="2024-10-07T00:00:00"/>
    <d v="2024-10-07T00:00:00"/>
    <d v="2024-10-07T00:00:00"/>
    <s v="DONE"/>
    <s v="17-01-2025"/>
    <m/>
    <d v="2024-10-10T00:00:00"/>
    <m/>
  </r>
  <r>
    <n v="57"/>
    <x v="28"/>
    <s v="HLC-A"/>
    <s v="STB8M0940HLCD"/>
    <x v="1"/>
    <s v="SCR"/>
    <s v="HYD"/>
    <d v="2021-06-20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m/>
    <m/>
    <s v="28-06-2024"/>
    <s v="28-06-2024"/>
    <s v="28-06-2024"/>
    <s v="DONE"/>
    <d v="2024-03-07T00:00:00"/>
    <m/>
    <d v="2024-03-07T00:00:00"/>
    <m/>
  </r>
  <r>
    <n v="58"/>
    <x v="28"/>
    <s v="HLC-B"/>
    <s v="STB8M0941HLCD"/>
    <x v="1"/>
    <s v="SCR"/>
    <s v="HYD"/>
    <d v="2021-06-20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m/>
    <m/>
    <s v="28-06-2024"/>
    <s v="28-06-2024"/>
    <s v="28-06-2024"/>
    <s v="DONE"/>
    <d v="2024-03-07T00:00:00"/>
    <m/>
    <d v="2024-03-07T00:00:00"/>
    <m/>
  </r>
  <r>
    <n v="59"/>
    <x v="29"/>
    <s v="HLC-A"/>
    <s v="STB9M0988"/>
    <x v="0"/>
    <s v="SCR"/>
    <s v="HYD"/>
    <s v="30-5-2021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m/>
    <s v="25-06-2024"/>
    <s v="25-06-2024"/>
    <s v="21-06-2024"/>
    <s v="DONE"/>
    <s v="21-06-2024"/>
    <m/>
    <s v="15-10-2024"/>
    <m/>
  </r>
  <r>
    <n v="60"/>
    <x v="29"/>
    <s v="HLC-B"/>
    <s v="STBNM1049"/>
    <x v="0"/>
    <s v="SCR"/>
    <s v="HYD"/>
    <s v="30-5-2021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m/>
    <s v="25-06-2024"/>
    <s v="25-06-2024"/>
    <s v="21-06-2024"/>
    <s v="DONE"/>
    <s v="21-06-2024"/>
    <m/>
    <s v="15-10-2024"/>
    <m/>
  </r>
  <r>
    <n v="61"/>
    <x v="30"/>
    <s v="HLC-A"/>
    <s v="STB9M0997"/>
    <x v="0"/>
    <s v="SCR"/>
    <s v="HYD"/>
    <s v="17-6-2021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s v="DONE"/>
    <m/>
    <d v="2024-05-07T00:00:00"/>
    <d v="2024-05-07T00:00:00"/>
    <s v="27-06-2024"/>
    <s v="DONE"/>
    <s v="27-06-2024"/>
    <m/>
    <s v="28-06-2024"/>
    <m/>
  </r>
  <r>
    <n v="62"/>
    <x v="30"/>
    <s v="HLC-B"/>
    <s v="STB9M0989"/>
    <x v="0"/>
    <s v="SCR"/>
    <s v="HYD"/>
    <s v="17-6-2021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s v="DONE"/>
    <m/>
    <d v="2024-05-07T00:00:00"/>
    <d v="2024-05-07T00:00:00"/>
    <s v="27-06-2024"/>
    <s v="DONE"/>
    <s v="27-06-2024"/>
    <m/>
    <s v="28-06-2024"/>
    <m/>
  </r>
  <r>
    <n v="63"/>
    <x v="31"/>
    <s v="HLC-A"/>
    <s v="STB9M0994"/>
    <x v="0"/>
    <s v="SCR"/>
    <s v="HYD"/>
    <d v="2021-05-05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m/>
    <s v="20-06-2024"/>
    <s v="20-06-2024"/>
    <s v="21-06-2024"/>
    <s v="DONE"/>
    <s v="16-08-2024"/>
    <m/>
    <s v="17-08-2024"/>
    <m/>
  </r>
  <r>
    <n v="64"/>
    <x v="31"/>
    <s v="HLC-B"/>
    <s v="STB9M0990"/>
    <x v="0"/>
    <s v="SCR"/>
    <s v="HYD"/>
    <d v="2021-05-05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m/>
    <s v="20-06-2024"/>
    <s v="20-06-2024"/>
    <s v="21-06-2024"/>
    <s v="DONE"/>
    <s v="16-08-2024"/>
    <m/>
    <s v="17-08-2024"/>
    <m/>
  </r>
  <r>
    <n v="65"/>
    <x v="32"/>
    <s v="HLC-A"/>
    <s v="STBDM1061"/>
    <x v="1"/>
    <s v="SCR"/>
    <s v="HYD"/>
    <d v="2021-01-07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s v="DONE"/>
    <m/>
    <s v="20-07-2024"/>
    <s v="20-07-2024"/>
    <s v="20-07-2024"/>
    <s v="DONE"/>
    <s v="21-11-2024"/>
    <m/>
    <m/>
    <m/>
  </r>
  <r>
    <n v="66"/>
    <x v="32"/>
    <s v="HLC-B"/>
    <s v="STB9M0991"/>
    <x v="1"/>
    <s v="SCR"/>
    <s v="HYD"/>
    <d v="2021-01-07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s v="DONE"/>
    <m/>
    <s v="20-07-2024"/>
    <s v="20-07-2024"/>
    <s v="20-07-2024"/>
    <s v="DONE"/>
    <s v="21-11-2024"/>
    <m/>
    <m/>
    <m/>
  </r>
  <r>
    <n v="67"/>
    <x v="33"/>
    <s v="HLC-A"/>
    <s v="STB9M0996"/>
    <x v="1"/>
    <s v="SCR"/>
    <s v="HYD"/>
    <d v="2020-01-09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s v="DONE"/>
    <s v="31-12-2024"/>
    <d v="2024-11-07T00:00:00"/>
    <d v="2024-11-07T00:00:00"/>
    <d v="2024-11-07T00:00:00"/>
    <s v="DONE"/>
    <s v="30-12-2024"/>
    <m/>
    <s v="23-09-2024"/>
    <m/>
  </r>
  <r>
    <n v="68"/>
    <x v="33"/>
    <s v="HLC-B"/>
    <s v="STB0M1027"/>
    <x v="1"/>
    <s v="SCR"/>
    <s v="HYD"/>
    <d v="2020-01-09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s v="DONE"/>
    <s v="31-12-2024"/>
    <d v="2024-11-07T00:00:00"/>
    <d v="2024-11-07T00:00:00"/>
    <d v="2024-11-07T00:00:00"/>
    <s v="DONE"/>
    <s v="30-12-2024"/>
    <m/>
    <s v="23-09-2024"/>
    <m/>
  </r>
  <r>
    <n v="69"/>
    <x v="34"/>
    <s v="HLC-A"/>
    <s v="STBNM1048"/>
    <x v="0"/>
    <s v="SCR"/>
    <s v="HYD"/>
    <d v="2021-07-04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s v="24-12-2024"/>
    <s v="29-06-2024"/>
    <s v="29-06-2024"/>
    <s v="29-06-2024"/>
    <s v="DONE"/>
    <s v="24-12-2024"/>
    <m/>
    <s v="26-12-2024"/>
    <m/>
  </r>
  <r>
    <n v="70"/>
    <x v="34"/>
    <s v="HLC-B"/>
    <s v="STBOM1026"/>
    <x v="0"/>
    <s v="SCR"/>
    <s v="HYD"/>
    <d v="2021-07-04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s v="24-12-2024"/>
    <s v="29-06-2024"/>
    <s v="29-06-2024"/>
    <s v="29-06-2024"/>
    <s v="DONE"/>
    <s v="24-12-2024"/>
    <m/>
    <s v="26-12-2024"/>
    <m/>
  </r>
  <r>
    <n v="71"/>
    <x v="35"/>
    <s v="HLC-A"/>
    <s v="STBNN1166"/>
    <x v="0"/>
    <s v="SCR"/>
    <s v="HYD"/>
    <d v="2021-06-10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s v="DONE"/>
    <d v="2024-07-11T00:00:00"/>
    <s v="17-08-2024"/>
    <s v="17-08-2024"/>
    <s v="17-08-2024"/>
    <s v="DONE"/>
    <d v="2024-07-11T00:00:00"/>
    <m/>
    <d v="2024-09-11T00:00:00"/>
    <m/>
  </r>
  <r>
    <n v="72"/>
    <x v="35"/>
    <s v="HLC-B"/>
    <s v="STBOM1018"/>
    <x v="0"/>
    <s v="SCR"/>
    <s v="HYD"/>
    <d v="2021-06-10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s v="DONE"/>
    <d v="2024-07-11T00:00:00"/>
    <s v="17-08-2024"/>
    <s v="17-08-2024"/>
    <s v="17-08-2024"/>
    <s v="DONE"/>
    <d v="2024-07-11T00:00:00"/>
    <m/>
    <d v="2024-09-11T00:00:00"/>
    <m/>
  </r>
  <r>
    <n v="73"/>
    <x v="36"/>
    <s v="HLC-A"/>
    <s v="STB9M0995HLCD"/>
    <x v="1"/>
    <s v="SCR"/>
    <s v="HYD"/>
    <s v="21-10-2021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m/>
    <m/>
    <d v="2024-02-07T00:00:00"/>
    <d v="2024-02-07T00:00:00"/>
    <d v="2024-02-07T00:00:00"/>
    <s v="DONE"/>
    <s v="14-08-2024"/>
    <m/>
    <d v="2024-03-07T00:00:00"/>
    <m/>
  </r>
  <r>
    <n v="74"/>
    <x v="36"/>
    <s v="HLC-B"/>
    <s v="STB8M0898HLCD"/>
    <x v="1"/>
    <s v="SCR"/>
    <s v="HYD"/>
    <s v="21-10-2021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m/>
    <m/>
    <d v="2024-02-07T00:00:00"/>
    <d v="2024-02-07T00:00:00"/>
    <d v="2024-02-07T00:00:00"/>
    <s v="DONE"/>
    <s v="14-08-2024"/>
    <m/>
    <d v="2024-03-07T00:00:00"/>
    <m/>
  </r>
  <r>
    <n v="75"/>
    <x v="37"/>
    <s v="HLC-A"/>
    <s v="STB7M0894HLCD"/>
    <x v="0"/>
    <s v="SCR"/>
    <s v="HYD"/>
    <s v="16-8-2021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m/>
    <s v="DONE"/>
    <d v="2024-03-08T00:00:00"/>
    <d v="2024-01-08T00:00:00"/>
    <d v="2024-01-08T00:00:00"/>
    <d v="2024-02-08T00:00:00"/>
    <s v="DONE"/>
    <d v="2024-03-08T00:00:00"/>
    <m/>
    <d v="2024-03-08T00:00:00"/>
    <m/>
  </r>
  <r>
    <n v="76"/>
    <x v="37"/>
    <s v="HLC-B"/>
    <s v="STB7M0895HLCD"/>
    <x v="0"/>
    <s v="SCR"/>
    <s v="HYD"/>
    <s v="16-8-2021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m/>
    <s v="DONE"/>
    <d v="2024-03-08T00:00:00"/>
    <d v="2024-01-08T00:00:00"/>
    <d v="2024-01-08T00:00:00"/>
    <d v="2024-02-08T00:00:00"/>
    <s v="DONE"/>
    <d v="2024-03-08T00:00:00"/>
    <m/>
    <d v="2024-03-08T00:00:00"/>
    <m/>
  </r>
  <r>
    <n v="77"/>
    <x v="38"/>
    <s v="HLC-A"/>
    <s v="STBNM1042HLCD"/>
    <x v="0"/>
    <s v="SCR"/>
    <s v="HYD"/>
    <d v="2021-09-11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s v="25-11-2024"/>
    <s v="25-08-2024"/>
    <s v="25-08-2024"/>
    <s v="24-08-2024"/>
    <s v="DONE"/>
    <s v="24-08-2024"/>
    <m/>
    <s v="27-08-2024"/>
    <m/>
  </r>
  <r>
    <n v="78"/>
    <x v="38"/>
    <s v="HLC-B"/>
    <s v="STBNM1043HLCD"/>
    <x v="0"/>
    <s v="SCR"/>
    <s v="HYD"/>
    <d v="2021-09-11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s v="25-11-2024"/>
    <s v="25-08-2024"/>
    <s v="25-08-2024"/>
    <s v="24-08-2024"/>
    <s v="DONE"/>
    <s v="24-08-2024"/>
    <m/>
    <s v="27-08-2024"/>
    <m/>
  </r>
  <r>
    <n v="79"/>
    <x v="39"/>
    <s v="HLC-A"/>
    <s v="STB0M1025HLCD"/>
    <x v="0"/>
    <s v="SCR"/>
    <s v="HYD"/>
    <d v="2021-09-01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s v="22-11-2024"/>
    <s v="13-08-2024"/>
    <s v="13-08-2024"/>
    <s v="13-08-2024"/>
    <s v="DONE"/>
    <s v="22-11-2024"/>
    <m/>
    <s v="21-11-2024"/>
    <m/>
  </r>
  <r>
    <n v="80"/>
    <x v="39"/>
    <s v="HLC-B"/>
    <s v="STB0M1024HLCD"/>
    <x v="0"/>
    <s v="SCR"/>
    <s v="HYD"/>
    <d v="2021-09-01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s v="22-11-2024"/>
    <s v="13-08-2024"/>
    <s v="13-08-2024"/>
    <s v="13-08-2024"/>
    <s v="DONE"/>
    <s v="22-11-2024"/>
    <m/>
    <s v="21-11-2024"/>
    <m/>
  </r>
  <r>
    <n v="81"/>
    <x v="40"/>
    <s v="HLC-A"/>
    <s v="STB8M0951HLCD"/>
    <x v="0"/>
    <s v="SCR"/>
    <s v="HYD"/>
    <d v="2021-10-11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m/>
    <d v="2024-04-07T00:00:00"/>
    <d v="2024-04-07T00:00:00"/>
    <d v="2024-04-07T00:00:00"/>
    <s v="DONE"/>
    <d v="2024-04-07T00:00:00"/>
    <m/>
    <s v="27-11-2024"/>
    <m/>
  </r>
  <r>
    <n v="82"/>
    <x v="40"/>
    <s v="HLC-B"/>
    <s v="STB8M0914HLCD"/>
    <x v="0"/>
    <s v="SCR"/>
    <s v="HYD"/>
    <d v="2021-10-11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m/>
    <d v="2024-04-07T00:00:00"/>
    <d v="2024-04-07T00:00:00"/>
    <d v="2024-04-07T00:00:00"/>
    <s v="DONE"/>
    <d v="2024-04-07T00:00:00"/>
    <m/>
    <s v="27-11-2024"/>
    <m/>
  </r>
  <r>
    <n v="83"/>
    <x v="41"/>
    <s v="HLC-A"/>
    <m/>
    <x v="0"/>
    <s v="SCR"/>
    <s v="HYD"/>
    <s v="27-9-2021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d v="2024-04-09T00:00:00"/>
    <d v="2024-02-09T00:00:00"/>
    <d v="2024-02-09T00:00:00"/>
    <d v="2024-04-09T00:00:00"/>
    <s v="DONE"/>
    <d v="2024-04-09T00:00:00"/>
    <m/>
    <d v="2024-02-09T00:00:00"/>
    <m/>
  </r>
  <r>
    <n v="84"/>
    <x v="41"/>
    <s v="HLC-B"/>
    <s v="STBM0888HLCD"/>
    <x v="0"/>
    <s v="SCR"/>
    <s v="HYD"/>
    <s v="27-9-2021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d v="2024-04-09T00:00:00"/>
    <d v="2024-02-09T00:00:00"/>
    <d v="2024-02-09T00:00:00"/>
    <d v="2024-04-09T00:00:00"/>
    <s v="DONE"/>
    <d v="2024-04-09T00:00:00"/>
    <m/>
    <d v="2024-02-09T00:00:00"/>
    <m/>
  </r>
  <r>
    <n v="85"/>
    <x v="42"/>
    <s v="HLC-A"/>
    <s v="STB8M0939HLCD"/>
    <x v="0"/>
    <s v="SCR"/>
    <s v="HYD"/>
    <s v="26-3-2022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d v="2024-11-12T00:00:00"/>
    <s v="28-06-2024"/>
    <s v="28-06-2024"/>
    <s v="29-06-2024"/>
    <s v="DONE"/>
    <d v="2024-11-12T00:00:00"/>
    <m/>
    <d v="2024-12-12T00:00:00"/>
    <m/>
  </r>
  <r>
    <n v="86"/>
    <x v="42"/>
    <s v="HLC-B"/>
    <s v="STB8M0938HLCD"/>
    <x v="0"/>
    <s v="SCR"/>
    <s v="HYD"/>
    <s v="26-3-2022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d v="2024-11-12T00:00:00"/>
    <s v="28-06-2024"/>
    <s v="28-06-2024"/>
    <s v="29-06-2024"/>
    <s v="DONE"/>
    <d v="2024-11-12T00:00:00"/>
    <m/>
    <d v="2024-12-12T00:00:00"/>
    <m/>
  </r>
  <r>
    <n v="87"/>
    <x v="43"/>
    <s v="HLC-A"/>
    <s v="STBNN1163HLCD"/>
    <x v="0"/>
    <s v="SCR"/>
    <s v="HYD"/>
    <d v="2022-06-09T00:00:00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s v="DONE"/>
    <s v="27-08-2024"/>
    <s v="27-08-2024"/>
    <s v="21-06-2024"/>
    <s v="DONE"/>
    <d v="2025-02-02T00:00:00"/>
    <m/>
    <s v="23.5.25"/>
    <m/>
  </r>
  <r>
    <n v="88"/>
    <x v="43"/>
    <s v="HLC-B"/>
    <s v="STBNN1162HLCD"/>
    <x v="0"/>
    <s v="SCR"/>
    <s v="HYD"/>
    <d v="2022-06-09T00:00:00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s v="DONE"/>
    <s v="27-08-2024"/>
    <s v="27-08-2024"/>
    <s v="21-06-2024"/>
    <s v="DONE"/>
    <d v="2025-02-02T00:00:00"/>
    <m/>
    <s v="23.5.25"/>
    <m/>
  </r>
  <r>
    <n v="89"/>
    <x v="44"/>
    <s v="HLC-A"/>
    <s v="STBNN1160HLCD"/>
    <x v="0"/>
    <s v="SCR"/>
    <s v="HYD"/>
    <s v="23-5-2022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m/>
    <d v="2024-09-07T00:00:00"/>
    <d v="2024-09-07T00:00:00"/>
    <d v="2024-08-07T00:00:00"/>
    <s v="DONE"/>
    <d v="2024-08-07T00:00:00"/>
    <m/>
    <s v="15.4.25"/>
    <m/>
  </r>
  <r>
    <n v="90"/>
    <x v="44"/>
    <s v="HLC-B"/>
    <s v="STBNN1161HLCD"/>
    <x v="0"/>
    <s v="SCR"/>
    <s v="HYD"/>
    <s v="23-5-2022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m/>
    <d v="2024-09-07T00:00:00"/>
    <d v="2024-09-07T00:00:00"/>
    <d v="2024-08-07T00:00:00"/>
    <s v="DONE"/>
    <d v="2024-08-07T00:00:00"/>
    <m/>
    <s v="15.4.25"/>
    <m/>
  </r>
  <r>
    <n v="91"/>
    <x v="45"/>
    <s v="HLC-A"/>
    <s v="NO"/>
    <x v="1"/>
    <s v="SCR"/>
    <s v="HYD"/>
    <s v="NO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N/A"/>
    <s v="N/A"/>
    <s v="N/A"/>
    <s v="N/A"/>
    <s v="N/A"/>
    <s v="N/A"/>
    <s v="N/A"/>
    <s v="N/A"/>
    <s v="N/A"/>
    <s v="N/A"/>
    <m/>
  </r>
  <r>
    <n v="92"/>
    <x v="45"/>
    <s v="HLC-B"/>
    <s v="NO"/>
    <x v="1"/>
    <s v="SCR"/>
    <s v="HYD"/>
    <s v="NO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N/A"/>
    <s v="N/A"/>
    <s v="N/A"/>
    <s v="N/A"/>
    <s v="N/A"/>
    <s v="N/A"/>
    <s v="N/A"/>
    <s v="N/A"/>
    <s v="N/A"/>
    <s v="N/A"/>
    <m/>
  </r>
  <r>
    <n v="93"/>
    <x v="46"/>
    <s v="HLC-A"/>
    <s v="STBNN1167HLCD"/>
    <x v="0"/>
    <s v="SCR"/>
    <s v="HYD"/>
    <s v="25-7-2022"/>
    <m/>
    <s v="Nashik"/>
    <s v="M-U7D2S04V.005,"/>
    <m/>
    <m/>
    <m/>
    <m/>
    <m/>
    <s v="Done by NW"/>
    <s v="Done by NW"/>
    <m/>
    <s v="Conv-A DONE"/>
    <s v="Conv-A DONE"/>
    <m/>
    <m/>
    <s v="Done by NW"/>
    <m/>
    <m/>
    <m/>
    <m/>
    <m/>
    <s v="Done"/>
    <s v="DONE"/>
    <s v="29-11-2024"/>
    <d v="2024-02-08T00:00:00"/>
    <d v="2024-02-08T00:00:00"/>
    <d v="2024-02-08T00:00:00"/>
    <s v="DONE"/>
    <s v="14-12-2024"/>
    <m/>
    <s v="16-12-2024"/>
    <m/>
  </r>
  <r>
    <n v="94"/>
    <x v="46"/>
    <s v="HLC-B"/>
    <s v="STB0M1021HLCD"/>
    <x v="0"/>
    <s v="SCR"/>
    <s v="HYD"/>
    <s v="25-7-2022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s v="29-11-2024"/>
    <d v="2024-02-08T00:00:00"/>
    <d v="2024-02-08T00:00:00"/>
    <d v="2024-02-08T00:00:00"/>
    <s v="DONE"/>
    <s v="14-12-2024"/>
    <m/>
    <s v="16-12-2024"/>
    <m/>
  </r>
  <r>
    <n v="95"/>
    <x v="47"/>
    <s v="HLC-A"/>
    <s v="STB0M1020HLCD"/>
    <x v="0"/>
    <s v="SCR"/>
    <s v="HYD"/>
    <s v="16-8-2022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d v="2024-05-11T00:00:00"/>
    <d v="2024-01-07T00:00:00"/>
    <d v="2024-01-07T00:00:00"/>
    <s v="26-06-2024"/>
    <s v="DONE"/>
    <s v="26-06-2024"/>
    <m/>
    <s v="28-06-2024"/>
    <m/>
  </r>
  <r>
    <n v="96"/>
    <x v="47"/>
    <s v="HLC-B"/>
    <s v="STBOM1019HLCD"/>
    <x v="0"/>
    <s v="SCR"/>
    <s v="HYD"/>
    <s v="16-8-2022"/>
    <m/>
    <s v="Nashik"/>
    <s v="M-U7D2S04V.005,"/>
    <m/>
    <m/>
    <m/>
    <m/>
    <m/>
    <s v="Done by NW"/>
    <s v="Done by NW"/>
    <m/>
    <s v="Conv-B DONE"/>
    <s v="Conv-B DONE"/>
    <m/>
    <m/>
    <s v="Done by NW"/>
    <m/>
    <m/>
    <m/>
    <m/>
    <m/>
    <s v="Done"/>
    <s v="DONE"/>
    <d v="2024-05-11T00:00:00"/>
    <d v="2024-01-07T00:00:00"/>
    <d v="2024-01-07T00:00:00"/>
    <s v="26-06-2024"/>
    <s v="DONE"/>
    <s v="26-06-2024"/>
    <m/>
    <s v="28-06-2024"/>
    <m/>
  </r>
  <r>
    <n v="97"/>
    <x v="48"/>
    <s v="HLC-A"/>
    <s v="STBNN1164HLCD"/>
    <x v="0"/>
    <s v="SCR"/>
    <s v="HYD"/>
    <s v="14-08-2022"/>
    <m/>
    <m/>
    <m/>
    <m/>
    <m/>
    <m/>
    <m/>
    <m/>
    <m/>
    <m/>
    <m/>
    <m/>
    <m/>
    <m/>
    <m/>
    <m/>
    <m/>
    <m/>
    <m/>
    <m/>
    <m/>
    <s v="Done"/>
    <s v="DONE"/>
    <m/>
    <d v="2024-04-07T00:00:00"/>
    <d v="2024-04-07T00:00:00"/>
    <d v="2024-04-07T00:00:00"/>
    <s v="DONE"/>
    <s v="19-09-2024"/>
    <m/>
    <s v="17-09-2024"/>
    <m/>
  </r>
  <r>
    <n v="98"/>
    <x v="48"/>
    <s v="HLC-B"/>
    <s v="STBNN1165HLCD"/>
    <x v="0"/>
    <s v="SCR"/>
    <s v="HYD"/>
    <s v="14-08-2022"/>
    <m/>
    <m/>
    <m/>
    <m/>
    <m/>
    <m/>
    <m/>
    <m/>
    <m/>
    <m/>
    <m/>
    <m/>
    <m/>
    <m/>
    <m/>
    <m/>
    <m/>
    <m/>
    <m/>
    <m/>
    <m/>
    <s v="Done"/>
    <s v="DONE"/>
    <m/>
    <d v="2024-04-07T00:00:00"/>
    <d v="2024-04-07T00:00:00"/>
    <d v="2024-04-07T00:00:00"/>
    <s v="DONE"/>
    <s v="19-09-2024"/>
    <m/>
    <s v="17-09-2024"/>
    <m/>
  </r>
  <r>
    <n v="99"/>
    <x v="49"/>
    <s v="HLC-A"/>
    <s v="STB4P1283HLCD"/>
    <x v="0"/>
    <s v="SCR"/>
    <s v="HYD"/>
    <s v="23-9-2022"/>
    <m/>
    <m/>
    <m/>
    <m/>
    <m/>
    <m/>
    <m/>
    <m/>
    <m/>
    <m/>
    <m/>
    <m/>
    <m/>
    <m/>
    <m/>
    <m/>
    <m/>
    <m/>
    <m/>
    <m/>
    <m/>
    <s v="Done"/>
    <s v="DONE"/>
    <d v="2024-09-09T00:00:00"/>
    <d v="2024-10-09T00:00:00"/>
    <d v="2024-10-09T00:00:00"/>
    <d v="2024-09-09T00:00:00"/>
    <s v="DONE"/>
    <d v="2024-09-09T00:00:00"/>
    <m/>
    <d v="2024-11-09T00:00:00"/>
    <m/>
  </r>
  <r>
    <n v="100"/>
    <x v="49"/>
    <s v="HLC-B"/>
    <s v="STB4P1282HLCD"/>
    <x v="0"/>
    <s v="SCR"/>
    <s v="HYD"/>
    <s v="23-9-2022"/>
    <m/>
    <m/>
    <m/>
    <m/>
    <m/>
    <m/>
    <m/>
    <m/>
    <m/>
    <m/>
    <m/>
    <m/>
    <m/>
    <m/>
    <m/>
    <m/>
    <m/>
    <m/>
    <m/>
    <m/>
    <m/>
    <s v="Done"/>
    <s v="DONE"/>
    <d v="2024-09-09T00:00:00"/>
    <d v="2024-10-09T00:00:00"/>
    <d v="2024-10-09T00:00:00"/>
    <d v="2024-09-09T00:00:00"/>
    <s v="DONE"/>
    <d v="2024-09-09T00:00:00"/>
    <m/>
    <d v="2024-11-09T00:00:00"/>
    <m/>
  </r>
  <r>
    <n v="101"/>
    <x v="50"/>
    <s v="HLC-A"/>
    <s v="STB8R1527HLCD"/>
    <x v="0"/>
    <s v="SCR"/>
    <s v="HYD"/>
    <s v="20-05-2024"/>
    <m/>
    <m/>
    <m/>
    <m/>
    <m/>
    <m/>
    <m/>
    <m/>
    <m/>
    <m/>
    <m/>
    <m/>
    <m/>
    <m/>
    <m/>
    <m/>
    <m/>
    <m/>
    <m/>
    <m/>
    <m/>
    <m/>
    <s v="DONE"/>
    <s v="DONE"/>
    <d v="2024-12-08T00:00:00"/>
    <d v="2024-12-08T00:00:00"/>
    <d v="2024-12-08T00:00:00"/>
    <s v="DONE"/>
    <m/>
    <m/>
    <m/>
    <m/>
  </r>
  <r>
    <n v="102"/>
    <x v="50"/>
    <s v="HLC-B"/>
    <s v="STB8R1526HLCD"/>
    <x v="0"/>
    <s v="SCR"/>
    <s v="HYD"/>
    <s v="20-05-2024"/>
    <m/>
    <m/>
    <m/>
    <m/>
    <m/>
    <m/>
    <m/>
    <m/>
    <m/>
    <m/>
    <m/>
    <m/>
    <m/>
    <m/>
    <m/>
    <m/>
    <m/>
    <m/>
    <m/>
    <m/>
    <m/>
    <m/>
    <s v="DONE"/>
    <s v="DONE"/>
    <d v="2024-12-08T00:00:00"/>
    <d v="2024-12-08T00:00:00"/>
    <d v="2024-12-08T00:00:00"/>
    <s v="DONE"/>
    <m/>
    <m/>
    <m/>
    <m/>
  </r>
  <r>
    <n v="103"/>
    <x v="51"/>
    <s v="HLC-A"/>
    <s v="STB4P1307 HLCD"/>
    <x v="0"/>
    <s v="SCR"/>
    <s v="HYD"/>
    <s v="28-02-2023"/>
    <m/>
    <m/>
    <m/>
    <m/>
    <m/>
    <m/>
    <m/>
    <m/>
    <m/>
    <m/>
    <m/>
    <m/>
    <m/>
    <m/>
    <m/>
    <m/>
    <m/>
    <m/>
    <m/>
    <m/>
    <m/>
    <m/>
    <s v="DONE"/>
    <s v="DONE"/>
    <s v="23-06-2024"/>
    <s v="23-06-2024"/>
    <s v="23-06-2024"/>
    <s v="DONE"/>
    <d v="2025-01-01T00:00:00"/>
    <m/>
    <d v="2025-02-01T00:00:00"/>
    <m/>
  </r>
  <r>
    <n v="104"/>
    <x v="51"/>
    <s v="HLC-B"/>
    <s v="STB5P1315 HLCD"/>
    <x v="0"/>
    <s v="SCR"/>
    <s v="HYD"/>
    <s v="28-02-2023"/>
    <m/>
    <m/>
    <m/>
    <m/>
    <m/>
    <m/>
    <m/>
    <m/>
    <m/>
    <m/>
    <m/>
    <m/>
    <m/>
    <m/>
    <m/>
    <m/>
    <m/>
    <m/>
    <m/>
    <m/>
    <m/>
    <m/>
    <s v="DONE"/>
    <s v="DONE"/>
    <s v="23-06-2024"/>
    <s v="23-07-2024"/>
    <s v="23-06-2024"/>
    <s v="DONE"/>
    <d v="2025-01-01T00:00:00"/>
    <m/>
    <d v="2025-02-01T00:00:00"/>
    <m/>
  </r>
  <r>
    <n v="105"/>
    <x v="52"/>
    <s v="HLC-A"/>
    <s v="STB3R1417HLCD"/>
    <x v="0"/>
    <s v="SCR"/>
    <s v="HYD"/>
    <s v="31-12-2023"/>
    <m/>
    <m/>
    <m/>
    <m/>
    <m/>
    <m/>
    <m/>
    <m/>
    <m/>
    <m/>
    <m/>
    <m/>
    <m/>
    <m/>
    <m/>
    <m/>
    <m/>
    <m/>
    <m/>
    <m/>
    <m/>
    <m/>
    <s v="DONE"/>
    <s v="DONE"/>
    <s v="17-09-2024"/>
    <s v="17-09-2024"/>
    <s v="17-09-2024"/>
    <s v="DONE"/>
    <m/>
    <m/>
    <s v="21.6.25"/>
    <m/>
  </r>
  <r>
    <n v="106"/>
    <x v="52"/>
    <s v="HLC-B"/>
    <s v="STB4R1449HLCD"/>
    <x v="0"/>
    <s v="SCR"/>
    <s v="HYD"/>
    <s v="31-12-2023"/>
    <m/>
    <m/>
    <m/>
    <m/>
    <m/>
    <m/>
    <m/>
    <m/>
    <m/>
    <m/>
    <m/>
    <m/>
    <m/>
    <m/>
    <m/>
    <m/>
    <m/>
    <m/>
    <m/>
    <m/>
    <m/>
    <m/>
    <s v="DONE"/>
    <s v="DONE"/>
    <s v="17-09-2024"/>
    <s v="17-09-2024"/>
    <s v="17-09-2024"/>
    <s v="DONE"/>
    <m/>
    <m/>
    <s v="21.6.25"/>
    <m/>
  </r>
  <r>
    <n v="107"/>
    <x v="53"/>
    <s v="HLC-A"/>
    <s v="STBR1546HLCD"/>
    <x v="1"/>
    <s v="SCR"/>
    <s v="HYD"/>
    <s v="31-03-2024"/>
    <m/>
    <m/>
    <m/>
    <m/>
    <m/>
    <m/>
    <m/>
    <m/>
    <m/>
    <m/>
    <m/>
    <m/>
    <m/>
    <m/>
    <m/>
    <m/>
    <m/>
    <m/>
    <m/>
    <m/>
    <m/>
    <m/>
    <m/>
    <s v="DONE"/>
    <s v="22-06-2024"/>
    <s v="22-06-2024"/>
    <s v="22-06-2024"/>
    <s v="DONE"/>
    <m/>
    <m/>
    <s v="30-09-2024"/>
    <m/>
  </r>
  <r>
    <n v="108"/>
    <x v="53"/>
    <s v="HLC-B"/>
    <s v="STBR1549HLCD"/>
    <x v="1"/>
    <s v="SCR"/>
    <s v="HYD"/>
    <s v="31-03-2024"/>
    <m/>
    <m/>
    <m/>
    <m/>
    <m/>
    <m/>
    <m/>
    <m/>
    <m/>
    <m/>
    <m/>
    <m/>
    <m/>
    <m/>
    <m/>
    <m/>
    <m/>
    <m/>
    <m/>
    <m/>
    <m/>
    <m/>
    <m/>
    <s v="DONE"/>
    <s v="22-06-2024"/>
    <s v="22-06-2024"/>
    <s v="22-06-2024"/>
    <s v="DONE"/>
    <m/>
    <m/>
    <s v="30-09-2024"/>
    <m/>
  </r>
  <r>
    <n v="109"/>
    <x v="54"/>
    <s v="HLC-A"/>
    <s v="STBNR1564HLCD"/>
    <x v="1"/>
    <s v="SCR"/>
    <s v="HYD"/>
    <s v="30-04-2024"/>
    <m/>
    <m/>
    <m/>
    <m/>
    <m/>
    <m/>
    <m/>
    <m/>
    <m/>
    <m/>
    <m/>
    <m/>
    <m/>
    <m/>
    <m/>
    <m/>
    <m/>
    <m/>
    <m/>
    <m/>
    <m/>
    <m/>
    <m/>
    <s v="DONE"/>
    <d v="2024-05-07T00:00:00"/>
    <d v="2024-05-07T00:00:00"/>
    <d v="2024-05-07T00:00:00"/>
    <s v="DONE"/>
    <m/>
    <m/>
    <d v="2024-05-07T00:00:00"/>
    <m/>
  </r>
  <r>
    <n v="110"/>
    <x v="54"/>
    <s v="HLC-B"/>
    <s v="STB9R1547HLCD"/>
    <x v="1"/>
    <s v="SCR"/>
    <s v="HYD"/>
    <s v="30-04-2024"/>
    <m/>
    <m/>
    <m/>
    <m/>
    <m/>
    <m/>
    <m/>
    <m/>
    <m/>
    <m/>
    <m/>
    <m/>
    <m/>
    <m/>
    <m/>
    <m/>
    <m/>
    <m/>
    <m/>
    <m/>
    <m/>
    <m/>
    <m/>
    <s v="DONE"/>
    <d v="2024-05-07T00:00:00"/>
    <d v="2024-05-07T00:00:00"/>
    <d v="2024-05-07T00:00:00"/>
    <s v="DONE"/>
    <m/>
    <m/>
    <d v="2024-05-07T00:00:00"/>
    <m/>
  </r>
  <r>
    <n v="111"/>
    <x v="55"/>
    <s v="HLC-A"/>
    <s v="STBNR1563HLCD"/>
    <x v="1"/>
    <s v="SCR"/>
    <s v="HYD"/>
    <s v="31-03-2024"/>
    <m/>
    <m/>
    <m/>
    <m/>
    <m/>
    <m/>
    <m/>
    <m/>
    <m/>
    <m/>
    <m/>
    <m/>
    <m/>
    <m/>
    <m/>
    <m/>
    <m/>
    <m/>
    <m/>
    <m/>
    <m/>
    <m/>
    <m/>
    <s v="DONE"/>
    <d v="2024-09-07T00:00:00"/>
    <d v="2024-09-07T00:00:00"/>
    <d v="2024-09-07T00:00:00"/>
    <s v="DONE"/>
    <m/>
    <m/>
    <d v="2024-09-07T00:00:00"/>
    <m/>
  </r>
  <r>
    <n v="112"/>
    <x v="55"/>
    <s v="HLC-B"/>
    <s v="STBNR1565HLCD"/>
    <x v="1"/>
    <s v="SCR"/>
    <s v="HYD"/>
    <s v="31-03-2024"/>
    <m/>
    <m/>
    <m/>
    <m/>
    <m/>
    <m/>
    <m/>
    <m/>
    <m/>
    <m/>
    <m/>
    <m/>
    <m/>
    <m/>
    <m/>
    <m/>
    <m/>
    <m/>
    <m/>
    <m/>
    <m/>
    <m/>
    <m/>
    <s v="DONE"/>
    <d v="2024-09-07T00:00:00"/>
    <d v="2024-09-07T00:00:00"/>
    <d v="2024-09-07T00:00:00"/>
    <s v="DONE"/>
    <m/>
    <m/>
    <d v="2024-09-07T00:00:00"/>
    <m/>
  </r>
  <r>
    <n v="113"/>
    <x v="56"/>
    <s v="HLC-A"/>
    <s v="STBNR1572HLCD"/>
    <x v="1"/>
    <s v="SCR"/>
    <s v="HYD"/>
    <d v="2024-09-06T00:00:00"/>
    <m/>
    <m/>
    <m/>
    <m/>
    <m/>
    <m/>
    <m/>
    <m/>
    <m/>
    <m/>
    <m/>
    <m/>
    <m/>
    <m/>
    <m/>
    <m/>
    <m/>
    <m/>
    <m/>
    <m/>
    <m/>
    <m/>
    <m/>
    <s v="DONE"/>
    <s v="18-09-2024"/>
    <s v="18-09-2024"/>
    <s v="18-09-2024"/>
    <m/>
    <m/>
    <m/>
    <s v="17-09-2024"/>
    <m/>
  </r>
  <r>
    <n v="114"/>
    <x v="56"/>
    <s v="HLC-B"/>
    <s v="STBNR1573HLCD"/>
    <x v="1"/>
    <s v="SCR"/>
    <s v="HYD"/>
    <d v="2024-09-06T00:00:00"/>
    <m/>
    <m/>
    <m/>
    <m/>
    <m/>
    <m/>
    <m/>
    <m/>
    <m/>
    <m/>
    <m/>
    <m/>
    <m/>
    <m/>
    <m/>
    <m/>
    <m/>
    <m/>
    <m/>
    <m/>
    <m/>
    <m/>
    <m/>
    <s v="DONE"/>
    <s v="18-09-2024"/>
    <s v="18-09-2024"/>
    <s v="18-09-2024"/>
    <m/>
    <m/>
    <m/>
    <s v="17-09-2024"/>
    <m/>
  </r>
  <r>
    <n v="115"/>
    <x v="57"/>
    <s v="HLC-A"/>
    <s v="STB9R1543HLCD"/>
    <x v="1"/>
    <s v="SCR"/>
    <s v="HYD"/>
    <s v="30-04-2024"/>
    <m/>
    <m/>
    <m/>
    <m/>
    <m/>
    <m/>
    <m/>
    <m/>
    <m/>
    <m/>
    <m/>
    <m/>
    <m/>
    <m/>
    <m/>
    <m/>
    <m/>
    <m/>
    <m/>
    <m/>
    <m/>
    <m/>
    <s v="DONE"/>
    <s v="DONE"/>
    <s v="22-07-2024"/>
    <s v="22-07-2024"/>
    <s v="22-07-2024"/>
    <s v="DONE"/>
    <m/>
    <m/>
    <s v="30-09-2024"/>
    <m/>
  </r>
  <r>
    <n v="116"/>
    <x v="57"/>
    <s v="HLC-B"/>
    <s v="STB9R1542HLCD"/>
    <x v="1"/>
    <s v="SCR"/>
    <s v="HYD"/>
    <s v="30-04-2024"/>
    <m/>
    <m/>
    <m/>
    <m/>
    <m/>
    <m/>
    <m/>
    <m/>
    <m/>
    <m/>
    <m/>
    <m/>
    <m/>
    <m/>
    <m/>
    <m/>
    <m/>
    <m/>
    <m/>
    <m/>
    <m/>
    <m/>
    <s v="DONE"/>
    <s v="DONE"/>
    <s v="22-07-2024"/>
    <s v="22-07-2024"/>
    <s v="22-07-2024"/>
    <s v="DONE"/>
    <m/>
    <m/>
    <s v="30-09-2024"/>
    <m/>
  </r>
  <r>
    <n v="117"/>
    <x v="58"/>
    <s v="HLC-A"/>
    <s v="STBNR1588HLCD"/>
    <x v="1"/>
    <s v="SCR"/>
    <s v="HYD"/>
    <d v="2023-01-11T00:00:00"/>
    <m/>
    <m/>
    <m/>
    <m/>
    <m/>
    <m/>
    <m/>
    <m/>
    <m/>
    <m/>
    <m/>
    <m/>
    <m/>
    <m/>
    <m/>
    <m/>
    <m/>
    <m/>
    <m/>
    <m/>
    <m/>
    <m/>
    <s v="DONE"/>
    <s v="DONE"/>
    <d v="2024-11-07T00:00:00"/>
    <d v="2024-11-07T00:00:00"/>
    <d v="2024-11-07T00:00:00"/>
    <s v="DONE"/>
    <m/>
    <m/>
    <m/>
    <m/>
  </r>
  <r>
    <n v="118"/>
    <x v="58"/>
    <s v="HLC-B"/>
    <s v="STBNR1589HLCD"/>
    <x v="1"/>
    <s v="SCR"/>
    <s v="HYD"/>
    <d v="2023-01-11T00:00:00"/>
    <m/>
    <m/>
    <m/>
    <m/>
    <m/>
    <m/>
    <m/>
    <m/>
    <m/>
    <m/>
    <m/>
    <m/>
    <m/>
    <m/>
    <m/>
    <m/>
    <m/>
    <m/>
    <m/>
    <m/>
    <m/>
    <m/>
    <s v="DONE"/>
    <s v="DONE"/>
    <d v="2024-11-07T00:00:00"/>
    <d v="2024-11-07T00:00:00"/>
    <d v="2024-11-07T00:00:00"/>
    <s v="DONE"/>
    <m/>
    <m/>
    <m/>
    <m/>
  </r>
  <r>
    <n v="119"/>
    <x v="59"/>
    <s v="HLC-A"/>
    <s v="STB9P1336HLCD"/>
    <x v="0"/>
    <s v="SCR"/>
    <s v="HYD"/>
    <d v="2022-09-02T00:00:00"/>
    <m/>
    <m/>
    <m/>
    <m/>
    <m/>
    <m/>
    <m/>
    <m/>
    <m/>
    <m/>
    <m/>
    <m/>
    <m/>
    <m/>
    <m/>
    <m/>
    <m/>
    <m/>
    <m/>
    <m/>
    <m/>
    <m/>
    <s v="DONE"/>
    <s v="DONE"/>
    <d v="2024-02-08T00:00:00"/>
    <d v="2024-02-08T00:00:00"/>
    <d v="2024-02-08T00:00:00"/>
    <s v="DONE"/>
    <s v="10.5.25"/>
    <m/>
    <m/>
    <m/>
  </r>
  <r>
    <n v="120"/>
    <x v="59"/>
    <s v="HLC-B"/>
    <s v="STB3P1254HLCD"/>
    <x v="0"/>
    <s v="SCR"/>
    <s v="HYD"/>
    <d v="2022-09-02T00:00:00"/>
    <m/>
    <m/>
    <m/>
    <m/>
    <m/>
    <m/>
    <m/>
    <m/>
    <m/>
    <m/>
    <m/>
    <m/>
    <m/>
    <m/>
    <m/>
    <m/>
    <m/>
    <m/>
    <m/>
    <m/>
    <m/>
    <m/>
    <s v="DONE"/>
    <s v="DONE"/>
    <d v="2024-02-08T00:00:00"/>
    <d v="2024-02-08T00:00:00"/>
    <d v="2024-02-08T00:00:00"/>
    <s v="DONE"/>
    <s v="10.5.25"/>
    <m/>
    <m/>
    <m/>
  </r>
  <r>
    <n v="121"/>
    <x v="60"/>
    <s v="HLC-A"/>
    <s v="STB2R1406HLCD"/>
    <x v="0"/>
    <s v="SCR"/>
    <s v="HYD"/>
    <d v="2023-08-02T00:00:00"/>
    <m/>
    <m/>
    <m/>
    <m/>
    <m/>
    <m/>
    <m/>
    <m/>
    <m/>
    <m/>
    <m/>
    <m/>
    <m/>
    <m/>
    <m/>
    <m/>
    <m/>
    <m/>
    <m/>
    <m/>
    <m/>
    <m/>
    <s v="DONE"/>
    <s v="DONE"/>
    <d v="2024-05-06T00:00:00"/>
    <d v="2024-05-06T00:00:00"/>
    <d v="2024-05-06T00:00:00"/>
    <s v="DONE"/>
    <m/>
    <m/>
    <m/>
    <m/>
  </r>
  <r>
    <n v="122"/>
    <x v="60"/>
    <s v="HLC-B"/>
    <s v="STB2R1405HLCD"/>
    <x v="0"/>
    <s v="SCR"/>
    <s v="HYD"/>
    <d v="2023-08-02T00:00:00"/>
    <m/>
    <m/>
    <m/>
    <m/>
    <m/>
    <m/>
    <m/>
    <m/>
    <m/>
    <m/>
    <m/>
    <m/>
    <m/>
    <m/>
    <m/>
    <m/>
    <m/>
    <m/>
    <m/>
    <m/>
    <m/>
    <m/>
    <s v="DONE"/>
    <s v="DONE"/>
    <d v="2024-05-06T00:00:00"/>
    <d v="2024-05-06T00:00:00"/>
    <d v="2024-05-06T00:00:00"/>
    <s v="DONE"/>
    <m/>
    <m/>
    <m/>
    <m/>
  </r>
  <r>
    <n v="123"/>
    <x v="61"/>
    <s v="HLC-A"/>
    <s v="STB9P1337HLCD"/>
    <x v="0"/>
    <s v="SCR"/>
    <s v="HYD"/>
    <s v="31-05-2023"/>
    <m/>
    <m/>
    <m/>
    <m/>
    <m/>
    <m/>
    <m/>
    <m/>
    <m/>
    <m/>
    <m/>
    <m/>
    <m/>
    <m/>
    <m/>
    <m/>
    <m/>
    <m/>
    <m/>
    <m/>
    <m/>
    <m/>
    <s v="DONE"/>
    <s v="DONE"/>
    <s v="23-09-2024"/>
    <s v="23-09-2024"/>
    <s v="23-09-2024"/>
    <s v="DONE"/>
    <s v="7.6.25"/>
    <m/>
    <s v="6.6.25"/>
    <m/>
  </r>
  <r>
    <n v="124"/>
    <x v="61"/>
    <s v="HLC-B"/>
    <s v="STB9P1247HLCD"/>
    <x v="0"/>
    <s v="SCR"/>
    <s v="HYD"/>
    <s v="31-05-2023"/>
    <m/>
    <m/>
    <m/>
    <m/>
    <m/>
    <m/>
    <m/>
    <m/>
    <m/>
    <m/>
    <m/>
    <m/>
    <m/>
    <m/>
    <m/>
    <m/>
    <m/>
    <m/>
    <m/>
    <m/>
    <m/>
    <m/>
    <s v="DONE"/>
    <s v="DONE"/>
    <s v="23-09-2024"/>
    <s v="23-09-2024"/>
    <s v="23-09-2024"/>
    <s v="DONE"/>
    <s v="7.6.25"/>
    <m/>
    <s v="6.6.25"/>
    <m/>
  </r>
  <r>
    <n v="125"/>
    <x v="62"/>
    <s v="HLC-A"/>
    <s v="STB 5P 1329 HLCD"/>
    <x v="0"/>
    <s v="SCR"/>
    <s v="HYD"/>
    <s v="31-05-2023"/>
    <m/>
    <m/>
    <m/>
    <m/>
    <m/>
    <m/>
    <m/>
    <m/>
    <m/>
    <m/>
    <m/>
    <m/>
    <m/>
    <m/>
    <m/>
    <m/>
    <m/>
    <m/>
    <m/>
    <m/>
    <m/>
    <m/>
    <s v="DONE"/>
    <s v="DONE"/>
    <s v="21-06-2024"/>
    <s v="21-06-2024"/>
    <s v="21-06-2024"/>
    <s v="DONE"/>
    <m/>
    <m/>
    <m/>
    <m/>
  </r>
  <r>
    <n v="126"/>
    <x v="62"/>
    <s v="HLC-B"/>
    <s v="STB 5P 1328 HLCD"/>
    <x v="0"/>
    <s v="SCR"/>
    <s v="HYD"/>
    <s v="31-05-2023"/>
    <m/>
    <m/>
    <m/>
    <m/>
    <m/>
    <m/>
    <m/>
    <m/>
    <m/>
    <m/>
    <m/>
    <m/>
    <m/>
    <m/>
    <m/>
    <m/>
    <m/>
    <m/>
    <m/>
    <m/>
    <m/>
    <m/>
    <s v="DONE"/>
    <s v="DONE"/>
    <s v="21-06-2024"/>
    <s v="21-06-2024"/>
    <s v="21-06-2024"/>
    <s v="DONE"/>
    <m/>
    <m/>
    <m/>
    <m/>
  </r>
  <r>
    <n v="127"/>
    <x v="63"/>
    <s v="HLC-A"/>
    <s v="STB4R1442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s v="17-06-2024"/>
    <s v="17-06-2024"/>
    <s v="21-06-2024"/>
    <s v="DONE"/>
    <m/>
    <m/>
    <m/>
    <m/>
  </r>
  <r>
    <n v="128"/>
    <x v="63"/>
    <s v="HLC-B"/>
    <s v="STB4R1437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s v="17-06-2024"/>
    <s v="17-06-2024"/>
    <s v="21-06-2024"/>
    <s v="DONE"/>
    <m/>
    <m/>
    <m/>
    <m/>
  </r>
  <r>
    <n v="129"/>
    <x v="64"/>
    <s v="HLC-A"/>
    <s v="STB3R1428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12-07T00:00:00"/>
    <d v="2024-12-07T00:00:00"/>
    <d v="2024-12-07T00:00:00"/>
    <s v="DONE"/>
    <m/>
    <m/>
    <s v="14.6.25"/>
    <m/>
  </r>
  <r>
    <n v="130"/>
    <x v="64"/>
    <s v="HLC-B"/>
    <s v="STB3R1429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12-07T00:00:00"/>
    <d v="2024-12-07T00:00:00"/>
    <d v="2024-12-07T00:00:00"/>
    <s v="DONE"/>
    <m/>
    <m/>
    <s v="14.6.25"/>
    <m/>
  </r>
  <r>
    <n v="131"/>
    <x v="65"/>
    <s v="HLC-A"/>
    <s v="STB5R1457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s v="17-06-2024"/>
    <s v="17-06-2024"/>
    <s v="17-06-2024"/>
    <s v="DONE"/>
    <m/>
    <m/>
    <m/>
    <m/>
  </r>
  <r>
    <n v="132"/>
    <x v="65"/>
    <s v="HLC-B"/>
    <s v="STB5R1456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s v="17-06-2024"/>
    <s v="17-06-2024"/>
    <s v="17-06-2024"/>
    <s v="DONE"/>
    <m/>
    <m/>
    <m/>
    <m/>
  </r>
  <r>
    <n v="133"/>
    <x v="66"/>
    <s v="HLC-A"/>
    <s v="STB5R1454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08-07T00:00:00"/>
    <d v="2024-08-07T00:00:00"/>
    <s v="17-09-2024"/>
    <s v="DONE"/>
    <m/>
    <m/>
    <m/>
    <m/>
  </r>
  <r>
    <n v="134"/>
    <x v="66"/>
    <s v="HLC-B"/>
    <s v="STB5R1455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08-07T00:00:00"/>
    <d v="2024-08-07T00:00:00"/>
    <s v="17-09-2024"/>
    <s v="DONE"/>
    <m/>
    <m/>
    <m/>
    <m/>
  </r>
  <r>
    <n v="135"/>
    <x v="67"/>
    <s v="HLC-A"/>
    <s v="STB6R1476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03-08T00:00:00"/>
    <d v="2024-03-08T00:00:00"/>
    <d v="2024-03-08T00:00:00"/>
    <s v="DONE"/>
    <m/>
    <m/>
    <m/>
    <m/>
  </r>
  <r>
    <n v="136"/>
    <x v="67"/>
    <s v="HLC-B"/>
    <s v="STB6R1477HLCD"/>
    <x v="0"/>
    <s v="SCR"/>
    <s v="HYD"/>
    <s v="31-10-2023"/>
    <m/>
    <m/>
    <m/>
    <m/>
    <m/>
    <m/>
    <m/>
    <m/>
    <m/>
    <m/>
    <m/>
    <m/>
    <m/>
    <m/>
    <m/>
    <m/>
    <m/>
    <m/>
    <m/>
    <m/>
    <m/>
    <m/>
    <s v="DONE"/>
    <s v="DONE"/>
    <d v="2024-03-08T00:00:00"/>
    <d v="2024-03-08T00:00:00"/>
    <d v="2024-03-08T00:00:00"/>
    <s v="DONE"/>
    <m/>
    <m/>
    <m/>
    <m/>
  </r>
  <r>
    <n v="137"/>
    <x v="68"/>
    <s v="HLC-A"/>
    <s v="STB5R1463HLCD"/>
    <x v="0"/>
    <s v="SCR"/>
    <s v="HYD"/>
    <s v="30-11-2023"/>
    <m/>
    <m/>
    <m/>
    <m/>
    <m/>
    <m/>
    <m/>
    <m/>
    <m/>
    <m/>
    <m/>
    <m/>
    <m/>
    <m/>
    <m/>
    <m/>
    <m/>
    <m/>
    <m/>
    <m/>
    <m/>
    <m/>
    <s v="DONE"/>
    <s v="DONE"/>
    <s v="19-08-2024"/>
    <s v="19-08-2024"/>
    <s v="19-08-2024"/>
    <s v="DONE"/>
    <m/>
    <m/>
    <m/>
    <m/>
  </r>
  <r>
    <n v="138"/>
    <x v="68"/>
    <s v="HLC-B"/>
    <s v="STB6R1479HLCD"/>
    <x v="0"/>
    <s v="SCR"/>
    <s v="HYD"/>
    <s v="30-11-2023"/>
    <m/>
    <m/>
    <m/>
    <m/>
    <m/>
    <m/>
    <m/>
    <m/>
    <m/>
    <m/>
    <m/>
    <m/>
    <m/>
    <m/>
    <m/>
    <m/>
    <m/>
    <m/>
    <m/>
    <m/>
    <m/>
    <m/>
    <s v="DONE"/>
    <s v="DONE"/>
    <s v="19-08-2024"/>
    <s v="19-08-2024"/>
    <s v="19-08-2024"/>
    <s v="DONE"/>
    <m/>
    <m/>
    <m/>
    <m/>
  </r>
  <r>
    <n v="139"/>
    <x v="69"/>
    <s v="HLC-A"/>
    <s v="STB6R1478HLCD"/>
    <x v="0"/>
    <s v="SCR"/>
    <s v="HYD"/>
    <s v="30-11-2023"/>
    <m/>
    <m/>
    <m/>
    <m/>
    <m/>
    <m/>
    <m/>
    <m/>
    <m/>
    <m/>
    <m/>
    <m/>
    <m/>
    <m/>
    <m/>
    <m/>
    <m/>
    <m/>
    <m/>
    <m/>
    <m/>
    <m/>
    <s v="DONE"/>
    <s v="DONE"/>
    <d v="2024-05-08T00:00:00"/>
    <d v="2024-05-08T00:00:00"/>
    <d v="2024-05-08T00:00:00"/>
    <s v="DONE"/>
    <m/>
    <m/>
    <s v="24.6.25"/>
    <m/>
  </r>
  <r>
    <n v="140"/>
    <x v="69"/>
    <s v="HLC-B"/>
    <s v="STB5R1462HLCD"/>
    <x v="0"/>
    <s v="SCR"/>
    <s v="HYD"/>
    <s v="30-11-2023"/>
    <m/>
    <m/>
    <m/>
    <m/>
    <m/>
    <m/>
    <m/>
    <m/>
    <m/>
    <m/>
    <m/>
    <m/>
    <m/>
    <m/>
    <m/>
    <m/>
    <m/>
    <m/>
    <m/>
    <m/>
    <m/>
    <m/>
    <s v="DONE"/>
    <s v="DONE"/>
    <d v="2024-05-08T00:00:00"/>
    <d v="2024-05-08T00:00:00"/>
    <d v="2024-05-08T00:00:00"/>
    <s v="DONE"/>
    <m/>
    <m/>
    <s v="24.6.25"/>
    <m/>
  </r>
  <r>
    <n v="141"/>
    <x v="70"/>
    <s v="HLC-A"/>
    <s v="STB4R1446HLCD"/>
    <x v="0"/>
    <s v="SCR"/>
    <s v="HYD"/>
    <s v="31-12-2023"/>
    <m/>
    <m/>
    <m/>
    <m/>
    <m/>
    <m/>
    <m/>
    <m/>
    <m/>
    <m/>
    <m/>
    <m/>
    <m/>
    <m/>
    <m/>
    <m/>
    <m/>
    <m/>
    <m/>
    <m/>
    <m/>
    <m/>
    <s v="DONE"/>
    <s v="DONE"/>
    <d v="2024-03-06T00:00:00"/>
    <d v="2024-03-06T00:00:00"/>
    <s v="29-06-2024"/>
    <s v="DONE"/>
    <m/>
    <m/>
    <m/>
    <m/>
  </r>
  <r>
    <n v="142"/>
    <x v="70"/>
    <s v="HLC-B"/>
    <s v="STB4R1447HLCD"/>
    <x v="0"/>
    <s v="SCR"/>
    <s v="HYD"/>
    <s v="31-12-2023"/>
    <m/>
    <m/>
    <m/>
    <m/>
    <m/>
    <m/>
    <m/>
    <m/>
    <m/>
    <m/>
    <m/>
    <m/>
    <m/>
    <m/>
    <m/>
    <m/>
    <m/>
    <m/>
    <m/>
    <m/>
    <m/>
    <m/>
    <s v="DONE"/>
    <s v="DONE"/>
    <d v="2024-03-06T00:00:00"/>
    <d v="2024-03-06T00:00:00"/>
    <s v="29-06-2024"/>
    <s v="DONE"/>
    <m/>
    <m/>
    <m/>
    <m/>
  </r>
  <r>
    <n v="143"/>
    <x v="71"/>
    <s v="HLC-A"/>
    <s v="STB4R1441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19-07-2024"/>
    <s v="19-07-2024"/>
    <s v="19-07-2024"/>
    <s v="DONE"/>
    <m/>
    <m/>
    <m/>
    <m/>
  </r>
  <r>
    <n v="144"/>
    <x v="71"/>
    <s v="HLC-B"/>
    <s v="STB4R1440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19-07-2024"/>
    <s v="19-07-2024"/>
    <s v="19-07-2024"/>
    <s v="DONE"/>
    <m/>
    <m/>
    <m/>
    <m/>
  </r>
  <r>
    <n v="145"/>
    <x v="72"/>
    <s v="HLC-A"/>
    <s v="STB6R1475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24-07-2024"/>
    <s v="24-07-2024"/>
    <s v="24-07-2024"/>
    <s v="DONE"/>
    <m/>
    <m/>
    <m/>
    <m/>
  </r>
  <r>
    <n v="146"/>
    <x v="72"/>
    <s v="HLC-B"/>
    <s v="STB5R1466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24-07-2024"/>
    <s v="24-07-2024"/>
    <s v="24-07-2024"/>
    <s v="DONE"/>
    <m/>
    <m/>
    <m/>
    <m/>
  </r>
  <r>
    <n v="147"/>
    <x v="73"/>
    <s v="HLC-A"/>
    <s v="STB5R1448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18-07-2024"/>
    <s v="18-07-2024"/>
    <s v="21-10-2024"/>
    <s v="DONE"/>
    <m/>
    <m/>
    <m/>
    <m/>
  </r>
  <r>
    <n v="148"/>
    <x v="73"/>
    <s v="HLC-B"/>
    <s v="STB6R1416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18-07-2024"/>
    <s v="18-07-2024"/>
    <s v="21-10-2024"/>
    <s v="DONE"/>
    <m/>
    <m/>
    <m/>
    <m/>
  </r>
  <r>
    <n v="149"/>
    <x v="74"/>
    <s v="HLC-A"/>
    <s v="STB4R1433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d v="2024-12-08T00:00:00"/>
    <d v="2024-12-08T00:00:00"/>
    <d v="2024-12-08T00:00:00"/>
    <s v="DONE"/>
    <m/>
    <m/>
    <m/>
    <m/>
  </r>
  <r>
    <n v="150"/>
    <x v="74"/>
    <s v="HLC-B"/>
    <s v="STB4R1445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d v="2024-12-08T00:00:00"/>
    <d v="2024-12-08T00:00:00"/>
    <d v="2024-12-08T00:00:00"/>
    <s v="DONE"/>
    <m/>
    <m/>
    <m/>
    <m/>
  </r>
  <r>
    <n v="151"/>
    <x v="75"/>
    <s v="HLC-A"/>
    <s v="STB4R1439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29-07-2024"/>
    <d v="2024-04-06T00:00:00"/>
    <s v="29-07-2024"/>
    <s v="DONE"/>
    <m/>
    <m/>
    <m/>
    <m/>
  </r>
  <r>
    <n v="152"/>
    <x v="75"/>
    <s v="HLC-B"/>
    <s v="STB4R1438HLCD"/>
    <x v="0"/>
    <s v="SCR"/>
    <s v="HYD"/>
    <s v="31-01-2024"/>
    <m/>
    <m/>
    <m/>
    <m/>
    <m/>
    <m/>
    <m/>
    <m/>
    <m/>
    <m/>
    <m/>
    <m/>
    <m/>
    <m/>
    <m/>
    <m/>
    <m/>
    <m/>
    <m/>
    <m/>
    <m/>
    <m/>
    <s v="DONE"/>
    <s v="DONE"/>
    <s v="29-07-2024"/>
    <d v="2024-04-06T00:00:00"/>
    <s v="29-07-2024"/>
    <s v="DONE"/>
    <m/>
    <m/>
    <m/>
    <m/>
  </r>
  <r>
    <n v="153"/>
    <x v="76"/>
    <s v="HLC-A"/>
    <s v="STB5R1469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d v="2024-04-07T00:00:00"/>
    <d v="2024-04-07T00:00:00"/>
    <d v="2024-04-07T00:00:00"/>
    <s v="DONE"/>
    <m/>
    <m/>
    <s v="14.6.25"/>
    <m/>
  </r>
  <r>
    <n v="154"/>
    <x v="76"/>
    <s v="HLC-B"/>
    <s v="STB5R1468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d v="2024-04-07T00:00:00"/>
    <d v="2024-04-07T00:00:00"/>
    <d v="2024-04-07T00:00:00"/>
    <s v="DONE"/>
    <m/>
    <m/>
    <s v="14.6.25"/>
    <m/>
  </r>
  <r>
    <n v="155"/>
    <x v="77"/>
    <s v="HLC-A"/>
    <s v="STB6R1482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d v="2024-04-06T00:00:00"/>
    <d v="2024-04-06T00:00:00"/>
    <s v="16-09-2024"/>
    <s v="DONE"/>
    <m/>
    <m/>
    <s v="18.6.25"/>
    <m/>
  </r>
  <r>
    <n v="156"/>
    <x v="77"/>
    <s v="HLC-B"/>
    <s v="STB6R1483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d v="2024-04-06T00:00:00"/>
    <d v="2024-04-06T00:00:00"/>
    <s v="16-09-2024"/>
    <s v="DONE"/>
    <m/>
    <m/>
    <s v="18.6.25"/>
    <m/>
  </r>
  <r>
    <n v="157"/>
    <x v="78"/>
    <s v="HLC-A"/>
    <s v="STB8R1533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s v="15-06-2024"/>
    <s v="15-06-2024"/>
    <s v="15-06-2024"/>
    <s v="DONE"/>
    <m/>
    <m/>
    <s v="24.6.25"/>
    <m/>
  </r>
  <r>
    <n v="158"/>
    <x v="78"/>
    <s v="HLC-B"/>
    <s v="STB8R1532HLCD"/>
    <x v="0"/>
    <s v="SCR"/>
    <s v="HYD"/>
    <s v="29-02-2024"/>
    <m/>
    <m/>
    <m/>
    <m/>
    <m/>
    <m/>
    <m/>
    <m/>
    <m/>
    <m/>
    <m/>
    <m/>
    <m/>
    <m/>
    <m/>
    <m/>
    <m/>
    <m/>
    <m/>
    <m/>
    <m/>
    <m/>
    <s v="DONE"/>
    <s v="DONE"/>
    <s v="15-06-2024"/>
    <s v="15-06-2024"/>
    <s v="15-06-2024"/>
    <s v="DONE"/>
    <m/>
    <m/>
    <s v="24.6.25"/>
    <m/>
  </r>
  <r>
    <n v="159"/>
    <x v="79"/>
    <s v="HLC-A"/>
    <s v="STB9R1551HLCD"/>
    <x v="0"/>
    <s v="SCR"/>
    <s v="HYD"/>
    <s v="31-03-2024"/>
    <m/>
    <m/>
    <m/>
    <m/>
    <m/>
    <m/>
    <m/>
    <m/>
    <m/>
    <m/>
    <m/>
    <m/>
    <m/>
    <m/>
    <m/>
    <m/>
    <m/>
    <m/>
    <m/>
    <m/>
    <m/>
    <m/>
    <s v="DONE"/>
    <s v="DONE"/>
    <s v="24-06-2024"/>
    <s v="24-06-2024"/>
    <s v="24-06-2024"/>
    <s v="DONE"/>
    <m/>
    <m/>
    <m/>
    <m/>
  </r>
  <r>
    <n v="160"/>
    <x v="79"/>
    <s v="HLC-B"/>
    <s v="STB9R1550HLCD"/>
    <x v="0"/>
    <s v="SCR"/>
    <s v="HYD"/>
    <s v="31-03-2024"/>
    <m/>
    <m/>
    <m/>
    <m/>
    <m/>
    <m/>
    <m/>
    <m/>
    <m/>
    <m/>
    <m/>
    <m/>
    <m/>
    <m/>
    <m/>
    <m/>
    <m/>
    <m/>
    <m/>
    <m/>
    <m/>
    <m/>
    <s v="DONE"/>
    <s v="DONE"/>
    <s v="24-06-2024"/>
    <s v="24-06-2024"/>
    <s v="24-06-2024"/>
    <s v="DONE"/>
    <m/>
    <m/>
    <m/>
    <m/>
  </r>
  <r>
    <n v="161"/>
    <x v="80"/>
    <s v="HLC-A"/>
    <s v="STB9R1536HLCD"/>
    <x v="0"/>
    <s v="SCR"/>
    <s v="HYD"/>
    <d v="2024-10-04T00:00:00"/>
    <m/>
    <m/>
    <m/>
    <m/>
    <m/>
    <m/>
    <m/>
    <m/>
    <m/>
    <m/>
    <m/>
    <m/>
    <m/>
    <m/>
    <m/>
    <m/>
    <m/>
    <m/>
    <m/>
    <m/>
    <m/>
    <m/>
    <s v="DONE"/>
    <s v="DONE"/>
    <s v="18-06-2024"/>
    <s v="18-06-2024"/>
    <s v="24-06-2024"/>
    <s v="DONE"/>
    <m/>
    <m/>
    <m/>
    <m/>
  </r>
  <r>
    <n v="162"/>
    <x v="80"/>
    <s v="HLC-B"/>
    <s v="STB9R1535HLCD"/>
    <x v="0"/>
    <s v="SCR"/>
    <s v="HYD"/>
    <d v="2024-10-04T00:00:00"/>
    <m/>
    <m/>
    <m/>
    <m/>
    <m/>
    <m/>
    <m/>
    <m/>
    <m/>
    <m/>
    <m/>
    <m/>
    <m/>
    <m/>
    <m/>
    <m/>
    <m/>
    <m/>
    <m/>
    <m/>
    <m/>
    <m/>
    <s v="DONE"/>
    <s v="DONE"/>
    <s v="18-06-2024"/>
    <s v="18-06-2024"/>
    <s v="24-06-2024"/>
    <s v="DONE"/>
    <m/>
    <m/>
    <m/>
    <m/>
  </r>
  <r>
    <n v="163"/>
    <x v="81"/>
    <s v="HLC-A"/>
    <s v="STB3P1278HLCD"/>
    <x v="0"/>
    <s v="SCR"/>
    <s v="HYD"/>
    <d v="2022-07-10T00:00:00"/>
    <m/>
    <m/>
    <m/>
    <m/>
    <m/>
    <m/>
    <m/>
    <m/>
    <m/>
    <m/>
    <m/>
    <m/>
    <m/>
    <m/>
    <m/>
    <m/>
    <m/>
    <m/>
    <m/>
    <m/>
    <m/>
    <m/>
    <s v="DONE"/>
    <s v="DONE"/>
    <s v="16-08-2024"/>
    <s v="16-08-2024"/>
    <s v="16-08-2024"/>
    <s v="DONE"/>
    <s v="31-12-2024"/>
    <m/>
    <s v="31-12-2024"/>
    <m/>
  </r>
  <r>
    <n v="164"/>
    <x v="81"/>
    <s v="HLC-B"/>
    <s v="STB3P1279HLCD"/>
    <x v="0"/>
    <s v="SCR"/>
    <s v="HYD"/>
    <d v="2022-07-10T00:00:00"/>
    <m/>
    <m/>
    <m/>
    <m/>
    <m/>
    <m/>
    <m/>
    <m/>
    <m/>
    <m/>
    <m/>
    <m/>
    <m/>
    <m/>
    <m/>
    <m/>
    <m/>
    <m/>
    <m/>
    <m/>
    <m/>
    <m/>
    <s v="DONE"/>
    <s v="DONE"/>
    <s v="16-08-2024"/>
    <s v="16-08-2024"/>
    <s v="16-08-2024"/>
    <s v="DONE"/>
    <s v="31-12-2024"/>
    <m/>
    <s v="31-12-2024"/>
    <m/>
  </r>
  <r>
    <n v="165"/>
    <x v="82"/>
    <s v="HLC-A"/>
    <s v="STB1S1599HLCD"/>
    <x v="0"/>
    <s v="SCR"/>
    <s v="HYD"/>
    <d v="2024-10-10T00:00:00"/>
    <m/>
    <m/>
    <m/>
    <m/>
    <m/>
    <m/>
    <m/>
    <m/>
    <m/>
    <m/>
    <m/>
    <m/>
    <m/>
    <m/>
    <m/>
    <m/>
    <m/>
    <m/>
    <m/>
    <m/>
    <m/>
    <m/>
    <s v="DONE"/>
    <s v="DONE"/>
    <d v="2024-08-10T00:00:00"/>
    <d v="2024-08-08T00:00:00"/>
    <d v="2024-08-10T00:00:00"/>
    <s v="DONE"/>
    <m/>
    <m/>
    <m/>
    <m/>
  </r>
  <r>
    <n v="166"/>
    <x v="82"/>
    <s v="HLC-B"/>
    <s v="STB1S1598HLCD"/>
    <x v="0"/>
    <s v="SCR"/>
    <s v="HYD"/>
    <d v="2024-10-10T00:00:00"/>
    <m/>
    <m/>
    <m/>
    <m/>
    <m/>
    <m/>
    <m/>
    <m/>
    <m/>
    <m/>
    <m/>
    <m/>
    <m/>
    <m/>
    <m/>
    <m/>
    <m/>
    <m/>
    <m/>
    <m/>
    <m/>
    <m/>
    <s v="DONE"/>
    <s v="DONE"/>
    <d v="2024-08-10T00:00:00"/>
    <d v="2024-08-10T00:00:00"/>
    <d v="2024-08-08T00:00:00"/>
    <s v="DONE"/>
    <m/>
    <m/>
    <m/>
    <m/>
  </r>
  <r>
    <n v="167"/>
    <x v="83"/>
    <s v="HLC-A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"/>
    <x v="83"/>
    <s v="HLC-B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"/>
    <x v="84"/>
    <s v="HLC-A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0"/>
    <x v="84"/>
    <s v="HLC-B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"/>
    <x v="85"/>
    <s v="HLC-A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2"/>
    <x v="85"/>
    <s v="HLC-B"/>
    <m/>
    <x v="0"/>
    <s v="SCR"/>
    <s v="HY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86"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">
  <r>
    <n v="1"/>
    <n v="30782"/>
    <s v="HLC-A"/>
    <s v="STBNK0346HLCD"/>
    <x v="0"/>
    <s v="SR"/>
    <s v="CHE"/>
    <d v="2019-12-19T00:00:00"/>
    <n v="346"/>
    <s v="Nashik"/>
    <s v="M-U7D2S04V.005,_x000a_MO-U7F2S240.005"/>
    <d v="2021-03-11T00:00:00"/>
    <s v="UAT2Y440.012"/>
    <d v="2020-12-14T00:00:00"/>
    <d v="2024-06-21T00:00:00"/>
    <d v="2022-06-10T00:00:00"/>
    <m/>
    <s v="Conv-A DONE"/>
    <s v="Conv-A DONE"/>
    <s v="Conv-A DONE"/>
    <s v="Conv-A DONE"/>
    <m/>
    <s v="Conv-A DONE"/>
    <s v="Conv-A DONE"/>
    <s v="Conv-A DONE"/>
    <s v="Conv-A DONE"/>
    <m/>
    <m/>
    <m/>
    <s v="Conv-A DONE"/>
    <m/>
    <s v="Conv-A DONE"/>
    <d v="2024-07-24T00:00:00"/>
    <m/>
    <d v="2023-12-21T00:00:00"/>
    <s v="1amp/10 sec"/>
    <m/>
    <m/>
    <s v="Old type mesh"/>
    <m/>
  </r>
  <r>
    <n v="2"/>
    <n v="30782"/>
    <s v="HLC-B"/>
    <s v="STBNK0347HLCD"/>
    <x v="0"/>
    <s v="SR"/>
    <s v="CHE"/>
    <d v="2019-12-19T00:00:00"/>
    <n v="347"/>
    <s v="Nashik"/>
    <s v="M-U7D2S04V.005,_x000a_MO-U7F2S240.005"/>
    <d v="2021-03-11T00:00:00"/>
    <s v="UAT2Y440.012"/>
    <d v="2020-12-14T00:00:00"/>
    <d v="2024-06-21T00:00:00"/>
    <d v="2022-06-10T00:00:00"/>
    <m/>
    <s v="Conv-B DONE"/>
    <s v="Conv-B DONE"/>
    <s v="Conv-B DONE"/>
    <s v="Conv-B DONE"/>
    <m/>
    <s v="Conv-B DONE"/>
    <s v="Conv-B DONE"/>
    <s v="Conv-B DONE"/>
    <s v="Conv-B DONE"/>
    <m/>
    <m/>
    <m/>
    <s v="Conv-B DONE"/>
    <m/>
    <s v="Conv-B DONE"/>
    <d v="2024-07-24T00:00:00"/>
    <m/>
    <d v="2023-12-21T00:00:00"/>
    <s v="1amp/10 sec"/>
    <m/>
    <m/>
    <s v="Old type mesh"/>
    <m/>
  </r>
  <r>
    <n v="3"/>
    <n v="30783"/>
    <s v="HLC-A"/>
    <s v="STBDK0361HLCD"/>
    <x v="0"/>
    <s v="SR"/>
    <s v="CHE"/>
    <d v="2020-01-04T00:00:00"/>
    <n v="361"/>
    <s v="Nashik"/>
    <s v="M-U7D2S04V.005,_x000a_MO-U7F2S240.005"/>
    <d v="2021-01-21T00:00:00"/>
    <s v="UAT2Y440.012"/>
    <d v="2021-01-02T00:00:00"/>
    <m/>
    <d v="2022-06-10T00:00:00"/>
    <m/>
    <s v="Conv-A DONE"/>
    <m/>
    <s v="Conv-A DONE"/>
    <s v="Conv-A DONE"/>
    <m/>
    <m/>
    <m/>
    <m/>
    <s v="Conv-A DONE"/>
    <m/>
    <m/>
    <m/>
    <s v="Conv-A DONE"/>
    <m/>
    <s v="Conv-A DONE"/>
    <d v="2024-07-26T00:00:00"/>
    <m/>
    <d v="2023-12-08T00:00:00"/>
    <s v="1amp/10 sec"/>
    <d v="2024-11-11T00:00:00"/>
    <m/>
    <s v="Old type mesh"/>
    <m/>
  </r>
  <r>
    <n v="4"/>
    <n v="30783"/>
    <s v="HLC-B"/>
    <s v="STBDK0352HLCD"/>
    <x v="0"/>
    <s v="SR"/>
    <s v="CHE"/>
    <d v="2020-01-04T00:00:00"/>
    <n v="352"/>
    <s v="Nashik"/>
    <s v="M-U7D2S04V.005,_x000a_MO-U7F2S240.005"/>
    <d v="2021-01-21T00:00:00"/>
    <s v="UAT2Y440.012"/>
    <d v="2021-01-02T00:00:00"/>
    <m/>
    <d v="2022-06-10T00:00:00"/>
    <m/>
    <s v="Conv-B DONE"/>
    <m/>
    <s v="Conv-B DONE"/>
    <s v="Conv-B DONE"/>
    <m/>
    <m/>
    <m/>
    <m/>
    <s v="Conv-B DONE"/>
    <m/>
    <m/>
    <m/>
    <s v="Conv-B DONE"/>
    <m/>
    <s v="Conv-B DONE"/>
    <d v="2024-07-26T00:00:00"/>
    <m/>
    <d v="2023-12-08T00:00:00"/>
    <s v="1amp/10 sec"/>
    <d v="2024-11-11T00:00:00"/>
    <m/>
    <s v="Old type mesh"/>
    <m/>
  </r>
  <r>
    <n v="5"/>
    <n v="30784"/>
    <s v="HLC-A"/>
    <s v="STBDK0360HLCD"/>
    <x v="1"/>
    <s v="SR"/>
    <s v="CHE"/>
    <d v="2020-01-06T00:00:00"/>
    <n v="360"/>
    <s v="Nashik"/>
    <s v="M-U7D2S04V.005,_x000a_MO-U7F2S240.005"/>
    <d v="2021-01-07T00:00:00"/>
    <s v="UAT2Y440.012"/>
    <d v="2021-01-07T00:00:00"/>
    <d v="2024-04-22T00:00:00"/>
    <m/>
    <m/>
    <s v="Conv-A DONE"/>
    <m/>
    <s v="Conv-A DONE"/>
    <s v="Conv-A DONE"/>
    <m/>
    <m/>
    <m/>
    <s v="Conv-A DONE"/>
    <s v="Conv-A DONE"/>
    <m/>
    <m/>
    <m/>
    <s v="Conv-A DONE"/>
    <m/>
    <s v="Conv-A DONE"/>
    <d v="2024-07-20T00:00:00"/>
    <s v="Done "/>
    <d v="2023-08-22T00:00:00"/>
    <s v="Done "/>
    <m/>
    <m/>
    <d v="2024-08-23T00:00:00"/>
    <m/>
  </r>
  <r>
    <n v="6"/>
    <n v="30784"/>
    <s v="HLC-B"/>
    <s v="STBDK0353HLCD"/>
    <x v="1"/>
    <s v="SR"/>
    <s v="CHE"/>
    <d v="2020-01-06T00:00:00"/>
    <n v="353"/>
    <s v="Nashik"/>
    <s v="M-U7D2S04V.005,_x000a_MO-U7F2S240.005"/>
    <d v="2021-01-07T00:00:00"/>
    <s v="UAT2Y440.012"/>
    <d v="2021-01-07T00:00:00"/>
    <d v="2024-04-22T00:00:00"/>
    <m/>
    <m/>
    <s v="Conv-B DONE"/>
    <m/>
    <s v="Conv-B DONE"/>
    <s v="Conv-B DONE"/>
    <m/>
    <m/>
    <m/>
    <s v="Conv-B DONE"/>
    <s v="Conv-B DONE"/>
    <m/>
    <m/>
    <m/>
    <s v="Conv-B DONE"/>
    <m/>
    <s v="Conv-B DONE"/>
    <d v="2024-07-20T00:00:00"/>
    <s v="Done "/>
    <d v="2023-08-22T00:00:00"/>
    <s v="Done "/>
    <m/>
    <m/>
    <d v="2024-08-23T00:00:00"/>
    <m/>
  </r>
  <r>
    <n v="7"/>
    <n v="30802"/>
    <s v="HLC-A"/>
    <s v="STBNM1044HLCD"/>
    <x v="1"/>
    <s v="SR"/>
    <s v="CHE"/>
    <m/>
    <s v="1044"/>
    <s v="Nashik"/>
    <s v="M-U7D2S04V.005,_x000a_MO-U7F2S240.005"/>
    <s v="Done by NW"/>
    <s v="UAT2Y440.012"/>
    <s v="Done by NW"/>
    <d v="2024-05-22T00:00:00"/>
    <m/>
    <s v="Done by NW"/>
    <s v="Done by NW"/>
    <s v="Conv-A DONE"/>
    <s v="Conv-A DONE"/>
    <s v="Conv-A DONE"/>
    <m/>
    <s v="Conv-A DONE"/>
    <s v="Done by NW"/>
    <s v="Conv-A DONE"/>
    <s v="Conv-A DONE"/>
    <m/>
    <m/>
    <m/>
    <s v="Conv-A DONE"/>
    <m/>
    <s v="Conv-A DONE"/>
    <d v="2024-06-29T00:00:00"/>
    <s v="Done "/>
    <d v="2023-08-25T00:00:00"/>
    <s v="Done "/>
    <m/>
    <m/>
    <d v="2024-06-29T00:00:00"/>
    <m/>
  </r>
  <r>
    <n v="8"/>
    <n v="30802"/>
    <s v="HLC-B"/>
    <s v="STBNM1045HLCD"/>
    <x v="1"/>
    <s v="SR"/>
    <s v="CHE"/>
    <m/>
    <s v="1045"/>
    <s v="Nashik"/>
    <s v="M-U7D2S04V.005,_x000a_MO-U7F2S240.005"/>
    <s v="Done by NW"/>
    <s v="UAT2Y440.012"/>
    <s v="Done by NW"/>
    <d v="2024-05-22T00:00:00"/>
    <m/>
    <s v="Done by NW"/>
    <s v="Done by NW"/>
    <s v="Conv-B DONE"/>
    <s v="Conv-B DONE"/>
    <s v="Conv-B DONE"/>
    <m/>
    <s v="Conv-B DONE"/>
    <s v="Done by NW"/>
    <s v="Conv-B DONE"/>
    <s v="Conv-B DONE"/>
    <m/>
    <m/>
    <m/>
    <s v="Conv-B DONE"/>
    <m/>
    <s v="Conv-B DONE"/>
    <d v="2024-06-29T00:00:00"/>
    <s v="Done "/>
    <d v="2023-08-25T00:00:00"/>
    <s v="Done "/>
    <m/>
    <m/>
    <d v="2024-06-29T00:00:00"/>
    <m/>
  </r>
  <r>
    <n v="9"/>
    <n v="37142"/>
    <s v="HLC-A"/>
    <s v="STBDK0367HLCD"/>
    <x v="1"/>
    <s v="SR"/>
    <s v="CHE"/>
    <d v="2019-04-16T00:00:00"/>
    <n v="367"/>
    <s v="Nashik"/>
    <s v="M-U7D2S04V.005,_x000a_MO-U7F2S240.005"/>
    <d v="2021-01-04T00:00:00"/>
    <s v="UAT2Y440.012"/>
    <d v="2020-12-15T00:00:00"/>
    <d v="2024-08-03T00:00:00"/>
    <m/>
    <m/>
    <s v="Conv-A DONE"/>
    <s v="Conv-A DONE"/>
    <s v="Conv-A DONE"/>
    <s v="Conv-A DONE"/>
    <m/>
    <s v="Conv-A DONE"/>
    <s v="Conv-A DONE"/>
    <s v="Conv-A DONE"/>
    <s v="Conv-A DONE"/>
    <m/>
    <m/>
    <m/>
    <s v="Conv-A DONE"/>
    <m/>
    <s v="Conv-A DONE"/>
    <d v="2024-06-27T00:00:00"/>
    <s v="Done "/>
    <d v="2023-10-24T00:00:00"/>
    <s v="Done "/>
    <m/>
    <m/>
    <s v="Old type mesh"/>
    <m/>
  </r>
  <r>
    <n v="10"/>
    <n v="37142"/>
    <s v="HLC-B"/>
    <s v="STBNK0334HLCD"/>
    <x v="1"/>
    <s v="SR"/>
    <s v="CHE"/>
    <d v="2019-04-16T00:00:00"/>
    <n v="334"/>
    <s v="Nashik"/>
    <s v="M-U7D2S04V.005,_x000a_MO-U7F2S240.005"/>
    <d v="2021-01-04T00:00:00"/>
    <s v="UAT2Y440.012"/>
    <d v="2020-12-15T00:00:00"/>
    <d v="2024-08-03T00:00:00"/>
    <m/>
    <m/>
    <s v="Conv-B DONE"/>
    <s v="Conv-B DONE"/>
    <s v="Conv-B DONE"/>
    <s v="Conv-B DONE"/>
    <m/>
    <s v="Conv-B DONE"/>
    <s v="Conv-B DONE"/>
    <s v="Conv-B DONE"/>
    <s v="Conv-B DONE"/>
    <m/>
    <m/>
    <m/>
    <s v="Conv-B DONE"/>
    <m/>
    <s v="Conv-B DONE"/>
    <d v="2024-06-27T00:00:00"/>
    <s v="Done "/>
    <d v="2023-10-24T00:00:00"/>
    <s v="Done "/>
    <m/>
    <m/>
    <s v="Old type mesh"/>
    <m/>
  </r>
  <r>
    <n v="11"/>
    <n v="37149"/>
    <s v="HLC-A"/>
    <s v="STB2L0438HLCD"/>
    <x v="1"/>
    <s v="SR"/>
    <s v="CHE"/>
    <d v="2019-04-25T00:00:00"/>
    <n v="438"/>
    <s v="Nashik"/>
    <s v="M-U7D2S04V.005,_x000a_MO-U7F2S240.005"/>
    <d v="2021-01-09T00:00:00"/>
    <s v="UAT2Y440.012"/>
    <d v="2021-01-09T00:00:00"/>
    <d v="2024-08-08T00:00:00"/>
    <m/>
    <m/>
    <s v="Conv-A DONE"/>
    <m/>
    <s v="Conv-A DONE"/>
    <s v="Conv-A DONE"/>
    <m/>
    <s v="Conv-A DONE"/>
    <s v="Conv-A DONE"/>
    <s v="Conv-A DONE"/>
    <s v="Conv-A DONE"/>
    <m/>
    <m/>
    <m/>
    <s v="Conv-A DONE"/>
    <m/>
    <s v="Conv-A DONE"/>
    <d v="2024-08-09T00:00:00"/>
    <s v="Done "/>
    <d v="2023-09-01T00:00:00"/>
    <s v="Done "/>
    <m/>
    <m/>
    <s v="Old type mesh"/>
    <m/>
  </r>
  <r>
    <n v="12"/>
    <n v="37149"/>
    <s v="HLC-B"/>
    <s v="STB0K0315HLCD"/>
    <x v="1"/>
    <s v="SR"/>
    <s v="CHE"/>
    <d v="2019-04-25T00:00:00"/>
    <n v="315"/>
    <s v="Nashik"/>
    <s v="M-U7D2S04V.005,_x000a_MO-U7F2S240.005"/>
    <d v="2021-01-09T00:00:00"/>
    <s v="UAT2Y440.012"/>
    <d v="2021-01-09T00:00:00"/>
    <d v="2024-08-08T00:00:00"/>
    <m/>
    <m/>
    <s v="Conv-B DONE"/>
    <m/>
    <s v="Conv-B DONE"/>
    <s v="Conv-B DONE"/>
    <m/>
    <s v="Conv-B DONE"/>
    <s v="Conv-B DONE"/>
    <s v="Conv-B DONE"/>
    <s v="Conv-B DONE"/>
    <m/>
    <m/>
    <m/>
    <s v="Conv-B DONE"/>
    <m/>
    <s v="Conv-B DONE"/>
    <d v="2024-08-09T00:00:00"/>
    <s v="Done "/>
    <d v="2023-09-01T00:00:00"/>
    <s v="Done "/>
    <m/>
    <m/>
    <s v="Old type mesh"/>
    <m/>
  </r>
  <r>
    <n v="13"/>
    <n v="37151"/>
    <s v="HLC-A"/>
    <s v="STB2L0426 HLCD"/>
    <x v="1"/>
    <s v="SR"/>
    <s v="CHE"/>
    <d v="2019-04-25T00:00:00"/>
    <n v="426"/>
    <s v="Nashik"/>
    <s v="M-U7D2S04V.005,_x000a_MO-U7F2S240.005"/>
    <d v="2021-01-13T00:00:00"/>
    <s v="UAT2Y440.012"/>
    <d v="2021-01-13T00:00:00"/>
    <d v="2024-06-17T00:00:00"/>
    <m/>
    <m/>
    <s v="Conv-A DONE"/>
    <m/>
    <s v="Conv-A DONE"/>
    <s v="Conv-A DONE"/>
    <m/>
    <s v="Conv-A DONE"/>
    <s v="Conv-A DONE"/>
    <s v="Conv-A DONE"/>
    <s v="Conv-A DONE"/>
    <m/>
    <m/>
    <m/>
    <s v="Conv-A DONE"/>
    <m/>
    <s v="Conv-A DONE"/>
    <d v="2024-08-09T00:00:00"/>
    <s v="Done "/>
    <d v="2023-11-10T00:00:00"/>
    <s v="Done "/>
    <m/>
    <m/>
    <s v="Old type mesh"/>
    <m/>
  </r>
  <r>
    <n v="14"/>
    <n v="37151"/>
    <s v="HLC-B"/>
    <s v="STB2L0419HLCD"/>
    <x v="1"/>
    <s v="SR"/>
    <s v="CHE"/>
    <d v="2019-04-25T00:00:00"/>
    <n v="419"/>
    <s v="Nashik"/>
    <s v="M-U7D2S04V.005,_x000a_MO-U7F2S240.005"/>
    <d v="2021-01-13T00:00:00"/>
    <s v="UAT2Y440.012"/>
    <d v="2021-01-13T00:00:00"/>
    <d v="2024-06-17T00:00:00"/>
    <m/>
    <m/>
    <s v="Conv-B DONE"/>
    <m/>
    <s v="Conv-B DONE"/>
    <s v="Conv-B DONE"/>
    <m/>
    <s v="Conv-B DONE"/>
    <s v="Conv-B DONE"/>
    <s v="Conv-B DONE"/>
    <s v="Conv-B DONE"/>
    <m/>
    <m/>
    <m/>
    <s v="Conv-B DONE"/>
    <m/>
    <s v="Conv-B DONE"/>
    <d v="2024-08-09T00:00:00"/>
    <s v="Done "/>
    <d v="2023-11-10T00:00:00"/>
    <s v="Done "/>
    <m/>
    <m/>
    <s v="Old type mesh"/>
    <m/>
  </r>
  <r>
    <n v="15"/>
    <n v="37153"/>
    <s v="HLC-A"/>
    <s v="STB2L0423HLCD"/>
    <x v="1"/>
    <s v="SR"/>
    <s v="CHE"/>
    <d v="2019-04-26T00:00:00"/>
    <n v="423"/>
    <s v="Nashik"/>
    <s v="M-U7D2S04V.005,_x000a_MO-U7F2S240.005"/>
    <d v="2021-01-16T00:00:00"/>
    <s v="UAT2Y440.012"/>
    <d v="2021-01-16T00:00:00"/>
    <d v="2024-08-10T00:00:00"/>
    <m/>
    <m/>
    <s v="Conv-A DONE"/>
    <m/>
    <s v="Conv-A DONE"/>
    <s v="Conv-A DONE"/>
    <m/>
    <s v="Conv-A DONE"/>
    <m/>
    <s v="Conv-A DONE"/>
    <s v="Conv-A DONE"/>
    <m/>
    <s v="5/16/2022(EL19C01071-R)"/>
    <m/>
    <s v="Conv-A DONE"/>
    <m/>
    <s v="Conv-A DONE"/>
    <d v="2024-07-20T00:00:00"/>
    <s v="Done "/>
    <d v="2023-11-02T00:00:00"/>
    <s v="Done "/>
    <m/>
    <m/>
    <s v="Old type mesh"/>
    <m/>
  </r>
  <r>
    <n v="16"/>
    <n v="37153"/>
    <s v="HLC-B"/>
    <s v="STB2L0442HLCD"/>
    <x v="1"/>
    <s v="SR"/>
    <s v="CHE"/>
    <d v="2019-04-26T00:00:00"/>
    <n v="442"/>
    <s v="Nashik"/>
    <s v="M-U7D2S04V.005,_x000a_MO-U7F2S240.005"/>
    <d v="2021-01-16T00:00:00"/>
    <s v="UAT2Y440.012"/>
    <d v="2021-01-16T00:00:00"/>
    <d v="2024-08-10T00:00:00"/>
    <m/>
    <m/>
    <s v="Conv-B DONE"/>
    <m/>
    <s v="Conv-B DONE"/>
    <s v="Conv-B DONE"/>
    <m/>
    <s v="Conv-B DONE"/>
    <m/>
    <s v="Conv-B DONE"/>
    <s v="Conv-B DONE"/>
    <m/>
    <m/>
    <m/>
    <s v="Conv-B DONE"/>
    <m/>
    <s v="Conv-B DONE"/>
    <d v="2024-07-20T00:00:00"/>
    <s v="Done "/>
    <d v="2023-11-02T00:00:00"/>
    <s v="Done "/>
    <m/>
    <m/>
    <s v="Old type mesh"/>
    <m/>
  </r>
  <r>
    <n v="17"/>
    <n v="37179"/>
    <s v="HLC-A"/>
    <s v="STB4L0454HLCD"/>
    <x v="1"/>
    <s v="SR"/>
    <s v="CHE"/>
    <d v="2019-05-22T00:00:00"/>
    <n v="454"/>
    <s v="Nashik"/>
    <s v="M-U7D2S04V.005,_x000a_MO-U7F2S240.005"/>
    <d v="2021-01-12T00:00:00"/>
    <s v="UAT2Y440.012"/>
    <d v="2021-01-12T00:00:00"/>
    <d v="2024-09-06T00:00:00"/>
    <m/>
    <m/>
    <s v="Conv-A DONE"/>
    <m/>
    <s v="Conv-A DONE"/>
    <s v="Conv-A DONE"/>
    <m/>
    <s v="Conv-A DONE"/>
    <m/>
    <s v="Conv-A DONE"/>
    <s v="Conv-A DONE"/>
    <m/>
    <m/>
    <m/>
    <m/>
    <m/>
    <s v="Conv-A DONE"/>
    <d v="2024-09-09T00:00:00"/>
    <s v="Done "/>
    <d v="2023-08-30T00:00:00"/>
    <s v="Done "/>
    <m/>
    <m/>
    <m/>
    <m/>
  </r>
  <r>
    <n v="18"/>
    <n v="37179"/>
    <s v="HLC-B"/>
    <s v="STB4L0455HLCD"/>
    <x v="1"/>
    <s v="SR"/>
    <s v="CHE"/>
    <d v="2019-05-22T00:00:00"/>
    <n v="455"/>
    <s v="Nashik"/>
    <s v="M-U7D2S04V.005,_x000a_MO-U7F2S240.005"/>
    <d v="2021-01-12T00:00:00"/>
    <s v="UAT2Y440.012"/>
    <d v="2021-01-12T00:00:00"/>
    <d v="2024-09-06T00:00:00"/>
    <m/>
    <m/>
    <s v="Conv-B DONE"/>
    <m/>
    <s v="Conv-B DONE"/>
    <s v="Conv-B DONE"/>
    <m/>
    <s v="Conv-B DONE"/>
    <m/>
    <s v="Conv-B DONE"/>
    <s v="Conv-B DONE"/>
    <m/>
    <m/>
    <m/>
    <m/>
    <m/>
    <s v="Conv-B DONE"/>
    <d v="2024-09-09T00:00:00"/>
    <s v="Done "/>
    <d v="2023-08-30T00:00:00"/>
    <s v="Done "/>
    <m/>
    <m/>
    <m/>
    <m/>
  </r>
  <r>
    <n v="19"/>
    <n v="37180"/>
    <s v="HLC-A"/>
    <s v="STB1L0386HLCD"/>
    <x v="1"/>
    <s v="SR"/>
    <s v="CHE"/>
    <d v="2019-05-23T00:00:00"/>
    <n v="386"/>
    <s v="Nashik"/>
    <s v="M-U7D2S04V.005,_x000a_MO-U7F2S240.005"/>
    <d v="2021-02-02T00:00:00"/>
    <s v="UAT2Y440.012"/>
    <d v="2020-12-09T00:00:00"/>
    <d v="2024-05-23T00:00:00"/>
    <m/>
    <m/>
    <s v="Conv-B DONE"/>
    <m/>
    <s v="Conv-B DONE"/>
    <s v="Conv-B DONE"/>
    <m/>
    <s v="Conv-B DONE"/>
    <m/>
    <s v="Conv-A DONE"/>
    <s v="Conv-B DONE"/>
    <m/>
    <m/>
    <m/>
    <s v="Conv-A DONE"/>
    <m/>
    <s v="Conv-A DONE"/>
    <d v="2024-07-09T00:00:00"/>
    <s v="Done "/>
    <d v="2023-10-05T00:00:00"/>
    <s v="Done "/>
    <m/>
    <m/>
    <s v="Old type mesh"/>
    <m/>
  </r>
  <r>
    <n v="20"/>
    <n v="37180"/>
    <s v="HLC-B"/>
    <s v="STB1L0387HLCD"/>
    <x v="1"/>
    <s v="SR"/>
    <s v="CHE"/>
    <d v="2019-05-23T00:00:00"/>
    <n v="387"/>
    <s v="Nashik"/>
    <s v="M-U7D2S04V.005,_x000a_MO-U7F2S240.005"/>
    <d v="2021-02-02T00:00:00"/>
    <s v="UAT2Y440.012"/>
    <d v="2020-12-09T00:00:00"/>
    <d v="2024-05-23T00:00:00"/>
    <m/>
    <m/>
    <s v="Conv-A DONE"/>
    <m/>
    <s v="Conv-A DONE"/>
    <s v="Conv-A DONE"/>
    <m/>
    <s v="Conv-A DONE"/>
    <m/>
    <s v="Conv-B DONE"/>
    <s v="Conv-A DONE"/>
    <m/>
    <m/>
    <m/>
    <s v="Conv-B DONE"/>
    <m/>
    <s v="Conv-B DONE"/>
    <d v="2024-07-09T00:00:00"/>
    <s v="Done "/>
    <d v="2023-10-05T00:00:00"/>
    <s v="Done "/>
    <m/>
    <m/>
    <s v="Old type mesh"/>
    <m/>
  </r>
  <r>
    <n v="21"/>
    <n v="37183"/>
    <s v="HLC-A"/>
    <s v="STB4L0469HLCD"/>
    <x v="1"/>
    <s v="SR"/>
    <s v="CHE"/>
    <d v="2019-05-24T00:00:00"/>
    <n v="469"/>
    <s v="Nashik"/>
    <s v="M-U7D2S04V.005,_x000a_MO-U7F2S240.005"/>
    <d v="2021-01-19T00:00:00"/>
    <s v="UAT2Y440.012"/>
    <d v="2021-01-18T00:00:00"/>
    <d v="2024-05-13T00:00:00"/>
    <m/>
    <m/>
    <s v="Conv-A DONE"/>
    <m/>
    <s v="Conv-A DONE"/>
    <s v="Conv-A DONE"/>
    <m/>
    <s v="Conv-A DONE"/>
    <m/>
    <s v="Conv-A DONE"/>
    <s v="Conv-A DONE"/>
    <m/>
    <m/>
    <m/>
    <s v="Conv-A DONE"/>
    <m/>
    <s v="Conv-A DONE"/>
    <d v="2024-09-20T00:00:00"/>
    <s v="Done "/>
    <d v="2023-08-16T00:00:00"/>
    <s v="Done "/>
    <m/>
    <m/>
    <d v="2024-09-19T00:00:00"/>
    <m/>
  </r>
  <r>
    <n v="22"/>
    <n v="37183"/>
    <s v="HLC-B"/>
    <s v="STB4L0468HLCD"/>
    <x v="1"/>
    <s v="SR"/>
    <s v="CHE"/>
    <d v="2019-05-24T00:00:00"/>
    <n v="468"/>
    <s v="Nashik"/>
    <s v="M-U7D2S04V.005,_x000a_MO-U7F2S240.005"/>
    <d v="2021-01-19T00:00:00"/>
    <s v="UAT2Y440.012"/>
    <d v="2021-01-18T00:00:00"/>
    <d v="2024-05-13T00:00:00"/>
    <m/>
    <m/>
    <s v="Conv-B DONE"/>
    <m/>
    <s v="Conv-B DONE"/>
    <s v="Conv-B DONE"/>
    <m/>
    <m/>
    <m/>
    <s v="Conv-B DONE"/>
    <s v="Conv-B DONE"/>
    <m/>
    <s v="EL19J04159-R"/>
    <m/>
    <s v="Conv-B DONE"/>
    <m/>
    <s v="Conv-B DONE"/>
    <d v="2024-09-20T00:00:00"/>
    <s v="Done "/>
    <d v="2023-08-16T00:00:00"/>
    <s v="Done "/>
    <m/>
    <m/>
    <d v="2024-09-19T00:00:00"/>
    <m/>
  </r>
  <r>
    <n v="23"/>
    <n v="37202"/>
    <s v="HLC-A"/>
    <s v="STB4K0211HLCD"/>
    <x v="1"/>
    <s v="SR"/>
    <s v="CHE"/>
    <d v="2019-06-22T00:00:00"/>
    <n v="211"/>
    <s v="Nashik"/>
    <s v="M-U7D2S04V.005,_x000a_MO-U7F2S240.005"/>
    <d v="2021-06-25T00:00:00"/>
    <s v="UAT2Y440.012"/>
    <d v="2020-12-15T00:00:00"/>
    <d v="2024-08-12T00:00:00"/>
    <m/>
    <m/>
    <s v="Conv-A DONE"/>
    <s v="Conv-A DONE"/>
    <s v="Conv-A DONE"/>
    <s v="Conv-A DONE"/>
    <m/>
    <s v="Conv-A DONE"/>
    <m/>
    <s v="Conv-A DONE"/>
    <s v="Conv-A DONE"/>
    <m/>
    <s v="EL18J03033-R"/>
    <m/>
    <s v="Conv-A DONE"/>
    <m/>
    <s v="Conv-A DONE"/>
    <d v="2024-07-29T00:00:00"/>
    <s v="Done "/>
    <d v="2023-09-15T00:00:00"/>
    <s v="Done "/>
    <m/>
    <m/>
    <m/>
    <m/>
  </r>
  <r>
    <n v="24"/>
    <n v="37202"/>
    <s v="HLC-B"/>
    <s v="STB4K0213HLCD"/>
    <x v="1"/>
    <s v="SR"/>
    <s v="CHE"/>
    <d v="2019-06-22T00:00:00"/>
    <n v="213"/>
    <s v="Nashik"/>
    <s v="M-U7D2S04V.005,_x000a_MO-U7F2S240.005"/>
    <d v="2021-06-25T00:00:00"/>
    <s v="UAT2Y440.012"/>
    <d v="2020-12-15T00:00:00"/>
    <d v="2024-08-12T00:00:00"/>
    <m/>
    <m/>
    <s v="Conv-B DONE"/>
    <s v="Conv-B DONE"/>
    <s v="Conv-B DONE"/>
    <s v="Conv-B DONE"/>
    <m/>
    <s v="Conv-B DONE"/>
    <m/>
    <s v="Conv-B DONE"/>
    <s v="Conv-B DONE"/>
    <m/>
    <d v="2021-09-29T00:00:00"/>
    <m/>
    <s v="Conv-B DONE"/>
    <m/>
    <s v="Conv-B DONE"/>
    <d v="2024-07-29T00:00:00"/>
    <s v="Done "/>
    <d v="2023-09-15T00:00:00"/>
    <s v="Done "/>
    <m/>
    <m/>
    <m/>
    <m/>
  </r>
  <r>
    <n v="25"/>
    <n v="37204"/>
    <s v="HLC-A"/>
    <s v="STB5L0500HLCD"/>
    <x v="1"/>
    <s v="SR"/>
    <s v="CHE"/>
    <d v="2019-06-23T00:00:00"/>
    <n v="500"/>
    <s v="Nashik"/>
    <s v="M-U7D2S04V.005,_x000a_MO-U7F2S240.005"/>
    <d v="2021-06-25T00:00:00"/>
    <s v="UAT2Y440.012"/>
    <d v="2021-01-02T00:00:00"/>
    <d v="2024-06-19T00:00:00"/>
    <d v="2022-10-08T00:00:00"/>
    <m/>
    <s v="Conv-A DONE"/>
    <s v="Conv-A DONE"/>
    <s v="Conv-A DONE"/>
    <s v="Conv-A DONE"/>
    <m/>
    <s v="Conv-A DONE"/>
    <m/>
    <s v="Conv-A DONE"/>
    <s v="Conv-A DONE"/>
    <m/>
    <m/>
    <m/>
    <s v="Conv-A DONE"/>
    <m/>
    <s v="Conv-A DONE"/>
    <d v="2024-07-31T00:00:00"/>
    <s v="Done "/>
    <d v="2023-09-18T00:00:00"/>
    <s v="Done "/>
    <m/>
    <m/>
    <d v="2024-09-24T00:00:00"/>
    <m/>
  </r>
  <r>
    <n v="26"/>
    <n v="37204"/>
    <s v="HLC-B"/>
    <s v="STB5L0501HLCD"/>
    <x v="1"/>
    <s v="SR"/>
    <s v="CHE"/>
    <d v="2019-06-23T00:00:00"/>
    <n v="501"/>
    <s v="Nashik"/>
    <s v="M-U7D2S04V.005,_x000a_MO-U7F2S240.005"/>
    <d v="2021-01-02T00:00:00"/>
    <s v="UAT2Y440.012"/>
    <d v="2021-01-02T00:00:00"/>
    <d v="2024-06-19T00:00:00"/>
    <d v="2022-10-08T00:00:00"/>
    <m/>
    <s v="Conv-B DONE"/>
    <s v="Conv-B DONE"/>
    <s v="Conv-B DONE"/>
    <s v="Conv-B DONE"/>
    <m/>
    <s v="Conv-B DONE"/>
    <m/>
    <s v="Conv-B DONE"/>
    <s v="Conv-B DONE"/>
    <m/>
    <s v="EL18J03036-R"/>
    <m/>
    <s v="Conv-B DONE"/>
    <m/>
    <s v="Conv-B DONE"/>
    <d v="2024-07-31T00:00:00"/>
    <s v="Done "/>
    <d v="2023-09-18T00:00:00"/>
    <s v="Done "/>
    <m/>
    <m/>
    <d v="2024-09-24T00:00:00"/>
    <m/>
  </r>
  <r>
    <n v="27"/>
    <n v="37222"/>
    <s v="HLC-A"/>
    <s v="STB5L0507HLCD"/>
    <x v="1"/>
    <s v="SR"/>
    <s v="CHE"/>
    <d v="2019-07-28T00:00:00"/>
    <n v="507"/>
    <s v="Nashik"/>
    <s v="M-U7D2S04V.005,_x000a_MO-U7F2S240.005"/>
    <d v="2021-01-12T00:00:00"/>
    <s v="UAT2Y440.012"/>
    <d v="2020-12-15T00:00:00"/>
    <d v="2024-04-12T00:00:00"/>
    <m/>
    <s v="Done by NW"/>
    <s v="Conv-A DONE"/>
    <s v="Conv-A DONE"/>
    <s v="Conv-A DONE"/>
    <s v="Conv-A DONE"/>
    <m/>
    <s v="Conv-A DONE"/>
    <m/>
    <s v="Conv-A DONE"/>
    <s v="Conv-A DONE"/>
    <m/>
    <d v="2022-11-04T00:00:00"/>
    <m/>
    <s v="Conv-A DONE"/>
    <m/>
    <s v="Conv-A DONE"/>
    <d v="2024-07-16T00:00:00"/>
    <s v="Done "/>
    <d v="2023-09-18T00:00:00"/>
    <s v="Done "/>
    <m/>
    <m/>
    <d v="2024-10-24T00:00:00"/>
    <m/>
  </r>
  <r>
    <n v="28"/>
    <n v="37222"/>
    <s v="HLC-B"/>
    <s v="STB5L0506HLCD"/>
    <x v="1"/>
    <s v="SR"/>
    <s v="CHE"/>
    <d v="2019-07-28T00:00:00"/>
    <n v="506"/>
    <s v="Nashik"/>
    <s v="M-U7D2S04V.005,_x000a_MO-U7F2S240.005"/>
    <d v="2021-01-12T00:00:00"/>
    <s v="UAT2Y440.012"/>
    <d v="2020-12-15T00:00:00"/>
    <d v="2024-04-12T00:00:00"/>
    <m/>
    <s v="Done by NW"/>
    <s v="Conv-B DONE"/>
    <s v="Conv-B DONE"/>
    <s v="Conv-B DONE"/>
    <s v="Conv-B DONE"/>
    <m/>
    <s v="Conv-B DONE"/>
    <m/>
    <s v="Conv-B DONE"/>
    <s v="Conv-B DONE"/>
    <m/>
    <s v="EL15G02007-R"/>
    <m/>
    <s v="Conv-B DONE"/>
    <m/>
    <s v="Conv-B DONE"/>
    <d v="2024-07-16T00:00:00"/>
    <s v="Done "/>
    <d v="2023-09-18T00:00:00"/>
    <s v="Done "/>
    <m/>
    <m/>
    <d v="2024-10-24T00:00:00"/>
    <m/>
  </r>
  <r>
    <n v="29"/>
    <n v="37297"/>
    <s v="HLC-A"/>
    <s v="STB6L0542HLCD"/>
    <x v="1"/>
    <s v="SR"/>
    <s v="CHE"/>
    <d v="2019-12-07T00:00:00"/>
    <n v="542"/>
    <s v="Nashik"/>
    <s v="M-U7D2S04V.005,_x000a_MO-U7F2S240.005"/>
    <d v="2021-01-27T00:00:00"/>
    <s v="UAT2Y440.012"/>
    <d v="2020-12-16T00:00:00"/>
    <d v="2024-05-29T00:00:00"/>
    <m/>
    <s v="Done by NW"/>
    <s v="Conv-A DONE"/>
    <s v="Conv-A DONE"/>
    <s v="Conv-A DONE"/>
    <s v="Conv-A DONE"/>
    <m/>
    <s v="Conv-A DONE"/>
    <m/>
    <s v="Conv-A DONE"/>
    <s v="Conv-A DONE"/>
    <m/>
    <s v="EL19J04141-R"/>
    <m/>
    <s v="Conv-A DONE"/>
    <m/>
    <s v="Conv-A DONE"/>
    <d v="2024-07-18T00:00:00"/>
    <s v="Done "/>
    <d v="2023-11-18T00:00:00"/>
    <s v="Done "/>
    <m/>
    <m/>
    <m/>
    <m/>
  </r>
  <r>
    <n v="30"/>
    <n v="37297"/>
    <s v="HLC-B"/>
    <s v="STB6L0543HLCD"/>
    <x v="1"/>
    <s v="SR"/>
    <s v="CHE"/>
    <d v="2019-12-07T00:00:00"/>
    <n v="543"/>
    <s v="Nashik"/>
    <s v="M-U7D2S04V.005,_x000a_MO-U7F2S240.005"/>
    <d v="2021-01-27T00:00:00"/>
    <s v="UAT2Y440.012"/>
    <d v="2020-12-16T00:00:00"/>
    <d v="2024-05-29T00:00:00"/>
    <m/>
    <s v="Done by NW"/>
    <s v="Conv-B DONE"/>
    <s v="Conv-B DONE"/>
    <s v="Conv-B DONE"/>
    <s v="Conv-B DONE"/>
    <m/>
    <s v="Conv-B DONE"/>
    <m/>
    <s v="Conv-B DONE"/>
    <s v="Conv-B DONE"/>
    <m/>
    <m/>
    <m/>
    <s v="Conv-B DONE"/>
    <m/>
    <s v="Conv-B DONE"/>
    <d v="2024-07-18T00:00:00"/>
    <s v="Done "/>
    <d v="2023-11-18T00:00:00"/>
    <s v="Done "/>
    <m/>
    <m/>
    <m/>
    <m/>
  </r>
  <r>
    <n v="31"/>
    <n v="37306"/>
    <s v="HLC-A"/>
    <s v="STBNL0709HLCD"/>
    <x v="1"/>
    <s v="SR"/>
    <s v="CHE"/>
    <d v="2019-12-31T00:00:00"/>
    <n v="709"/>
    <s v="Nashik"/>
    <s v="M-U7D2S04V.005,_x000a_MO-U7F2S240.005"/>
    <d v="2021-01-20T00:00:00"/>
    <s v="UAT2Y440.012"/>
    <d v="2020-12-28T00:00:00"/>
    <d v="2024-04-10T00:00:00"/>
    <m/>
    <s v="Done by NW"/>
    <s v="Done by NW"/>
    <m/>
    <s v="Conv-A DONE"/>
    <s v="Conv-A DONE"/>
    <m/>
    <s v="Conv-A DONE"/>
    <m/>
    <s v="Conv-A DONE"/>
    <s v="Conv-A DONE"/>
    <m/>
    <m/>
    <m/>
    <s v="Conv-A DONE"/>
    <m/>
    <s v="Conv-A DONE"/>
    <d v="2024-07-19T00:00:00"/>
    <s v="Done "/>
    <d v="2023-09-30T00:00:00"/>
    <s v="Done "/>
    <d v="2024-08-13T00:00:00"/>
    <m/>
    <d v="2024-08-29T00:00:00"/>
    <m/>
  </r>
  <r>
    <n v="32"/>
    <n v="37306"/>
    <s v="HLC-B"/>
    <s v="STBNL0690HLCD"/>
    <x v="1"/>
    <s v="SR"/>
    <s v="CHE"/>
    <d v="2019-12-31T00:00:00"/>
    <n v="690"/>
    <s v="Nashik"/>
    <s v="M-U7D2S04V.005,_x000a_MO-U7F2S240.005"/>
    <d v="2021-01-20T00:00:00"/>
    <s v="UAT2Y440.012"/>
    <d v="2020-12-28T00:00:00"/>
    <d v="2024-04-10T00:00:00"/>
    <m/>
    <s v="Done by NW"/>
    <s v="Done by NW"/>
    <m/>
    <s v="Conv-B DONE"/>
    <s v="Conv-B DONE"/>
    <m/>
    <s v="Conv-B DONE"/>
    <m/>
    <s v="Conv-B DONE"/>
    <s v="Conv-B DONE"/>
    <m/>
    <m/>
    <m/>
    <s v="Conv-B DONE"/>
    <m/>
    <s v="Conv-B DONE"/>
    <d v="2024-07-19T00:00:00"/>
    <s v="Done "/>
    <d v="2023-09-30T00:00:00"/>
    <s v="Done "/>
    <d v="2024-08-13T00:00:00"/>
    <m/>
    <d v="2024-08-29T00:00:00"/>
    <m/>
  </r>
  <r>
    <n v="33"/>
    <n v="37308"/>
    <s v="HLC-A"/>
    <s v="STBOL0679HLCD"/>
    <x v="1"/>
    <s v="SR"/>
    <s v="CHE"/>
    <d v="2020-01-08T00:00:00"/>
    <n v="679"/>
    <s v="Nashik"/>
    <s v="M-U7D2S04V.005,_x000a_MO-U7F2S240.005"/>
    <d v="2021-02-05T00:00:00"/>
    <s v="UAT2Y440.012"/>
    <d v="2020-12-19T00:00:00"/>
    <m/>
    <m/>
    <s v="Done by NW"/>
    <s v="Done by NW"/>
    <s v="Conv-A DONE"/>
    <s v="Conv-A DONE"/>
    <s v="Conv-A DONE"/>
    <m/>
    <s v="Conv-A DONE"/>
    <m/>
    <s v="Conv-A DONE"/>
    <s v="Conv-A DONE"/>
    <m/>
    <m/>
    <m/>
    <s v="Conv-A DONE"/>
    <m/>
    <s v="Conv-A DONE"/>
    <d v="2024-08-06T00:00:00"/>
    <s v="Done "/>
    <d v="2023-08-26T00:00:00"/>
    <s v="Done "/>
    <d v="2024-08-17T00:00:00"/>
    <m/>
    <d v="2024-08-23T00:00:00"/>
    <m/>
  </r>
  <r>
    <n v="34"/>
    <n v="37308"/>
    <s v="HLC-B"/>
    <s v="STBOL0678HLCD"/>
    <x v="1"/>
    <s v="SR"/>
    <s v="CHE"/>
    <d v="2020-01-08T00:00:00"/>
    <n v="678"/>
    <s v="Nashik"/>
    <s v="M-U7D2S04V.005,_x000a_MO-U7F2S240.005"/>
    <d v="2021-02-05T00:00:00"/>
    <s v="UAT2Y440.012"/>
    <d v="2020-12-19T00:00:00"/>
    <m/>
    <m/>
    <s v="Done by NW"/>
    <s v="Done by NW"/>
    <s v="Conv-B DONE"/>
    <s v="Conv-B DONE"/>
    <s v="Conv-B DONE"/>
    <m/>
    <s v="Conv-B DONE"/>
    <m/>
    <s v="Conv-B DONE"/>
    <s v="Conv-B DONE"/>
    <m/>
    <m/>
    <m/>
    <s v="Conv-B DONE"/>
    <m/>
    <s v="Conv-B DONE"/>
    <d v="2024-08-06T00:00:00"/>
    <s v="Done "/>
    <d v="2023-08-26T00:00:00"/>
    <s v="Done "/>
    <d v="2024-08-17T00:00:00"/>
    <m/>
    <d v="2024-08-23T00:00:00"/>
    <m/>
  </r>
  <r>
    <n v="35"/>
    <n v="37310"/>
    <s v="HLC-A"/>
    <s v="STBNL0683HLCD"/>
    <x v="1"/>
    <s v="SR"/>
    <s v="CHE"/>
    <d v="2020-01-09T00:00:00"/>
    <n v="683"/>
    <s v="Nashik"/>
    <s v="M-U7D2S04V.005,_x000a_MO-U7F2S240.005"/>
    <d v="2021-02-02T00:00:00"/>
    <s v="UAT2Y440.012"/>
    <d v="2020-12-10T00:00:00"/>
    <d v="2024-05-21T00:00:00"/>
    <m/>
    <s v="Done by NW"/>
    <s v="Done by NW"/>
    <s v="Conv-A DONE"/>
    <s v="Conv-A DONE"/>
    <s v="Conv-A DONE"/>
    <m/>
    <m/>
    <m/>
    <s v="Conv-A DONE"/>
    <s v="Conv-A DONE"/>
    <m/>
    <m/>
    <m/>
    <s v="Conv-A DONE"/>
    <m/>
    <s v="Conv-A DONE"/>
    <d v="2024-07-18T00:00:00"/>
    <s v="Done "/>
    <d v="2023-11-09T00:00:00"/>
    <s v="Done "/>
    <m/>
    <m/>
    <m/>
    <m/>
  </r>
  <r>
    <n v="36"/>
    <n v="37310"/>
    <s v="HLC-B"/>
    <s v="STBNL0682HLCD"/>
    <x v="1"/>
    <s v="SR"/>
    <s v="CHE"/>
    <d v="2020-01-09T00:00:00"/>
    <n v="682"/>
    <s v="Nashik"/>
    <s v="M-U7D2S04V.005,_x000a_MO-U7F2S240.005"/>
    <d v="2021-02-02T00:00:00"/>
    <s v="UAT2Y440.012"/>
    <d v="2020-12-10T00:00:00"/>
    <d v="2024-05-21T00:00:00"/>
    <m/>
    <s v="Done by NW"/>
    <s v="Done by NW"/>
    <s v="Conv-B DONE"/>
    <s v="Conv-B DONE"/>
    <s v="Conv-B DONE"/>
    <m/>
    <m/>
    <m/>
    <s v="Conv-B DONE"/>
    <s v="Conv-B DONE"/>
    <m/>
    <m/>
    <m/>
    <s v="Conv-B DONE"/>
    <m/>
    <s v="Conv-B DONE"/>
    <d v="2024-07-18T00:00:00"/>
    <s v="Done "/>
    <d v="2023-11-09T00:00:00"/>
    <s v="Done "/>
    <m/>
    <m/>
    <m/>
    <m/>
  </r>
  <r>
    <n v="37"/>
    <n v="37312"/>
    <s v="HLC-A"/>
    <s v="STBNL0680HLCD"/>
    <x v="1"/>
    <s v="SR"/>
    <s v="CHE"/>
    <d v="2020-01-14T00:00:00"/>
    <n v="680"/>
    <s v="Nashik"/>
    <s v="M-U7D2S04V.005,_x000a_MO-U7F2S240.005"/>
    <d v="2021-02-04T00:00:00"/>
    <s v="UAT2Y440.012"/>
    <d v="2020-12-17T00:00:00"/>
    <d v="2024-05-15T00:00:00"/>
    <m/>
    <s v="Done by NW"/>
    <s v="Done by NW"/>
    <m/>
    <s v="Conv-A DONE"/>
    <s v="Conv-A DONE"/>
    <m/>
    <m/>
    <m/>
    <s v="Conv-A DONE"/>
    <s v="Conv-A DONE"/>
    <m/>
    <m/>
    <m/>
    <m/>
    <m/>
    <s v="Conv-A DONE"/>
    <d v="2024-08-27T00:00:00"/>
    <s v="Done "/>
    <d v="2023-09-26T00:00:00"/>
    <s v="Done "/>
    <d v="2024-09-11T00:00:00"/>
    <m/>
    <d v="2024-08-29T00:00:00"/>
    <m/>
  </r>
  <r>
    <n v="38"/>
    <n v="37312"/>
    <s v="HLC-B"/>
    <s v="STBNL0681HLCD"/>
    <x v="1"/>
    <s v="SR"/>
    <s v="CHE"/>
    <d v="2020-01-14T00:00:00"/>
    <n v="681"/>
    <s v="Nashik"/>
    <s v="M-U7D2S04V.005,_x000a_MO-U7F2S240.005"/>
    <d v="2021-02-04T00:00:00"/>
    <s v="UAT2Y440.012"/>
    <d v="2020-12-17T00:00:00"/>
    <d v="2024-05-15T00:00:00"/>
    <m/>
    <s v="Done by NW"/>
    <s v="Done by NW"/>
    <m/>
    <s v="Conv-B DONE"/>
    <s v="Conv-B DONE"/>
    <m/>
    <m/>
    <m/>
    <s v="Conv-B DONE"/>
    <s v="Conv-B DONE"/>
    <m/>
    <m/>
    <m/>
    <m/>
    <m/>
    <s v="Conv-B DONE"/>
    <d v="2024-08-27T00:00:00"/>
    <s v="Done "/>
    <d v="2023-09-26T00:00:00"/>
    <s v="Done "/>
    <d v="2024-09-11T00:00:00"/>
    <m/>
    <d v="2024-08-29T00:00:00"/>
    <m/>
  </r>
  <r>
    <n v="39"/>
    <n v="37315"/>
    <s v="HLC-A"/>
    <s v="STBDL0724HLCD"/>
    <x v="1"/>
    <s v="SR"/>
    <s v="CHE"/>
    <d v="2020-01-16T00:00:00"/>
    <n v="724"/>
    <s v="Nashik"/>
    <s v="M-U7D2S04V.005,_x000a_MO-U7F2S240.005"/>
    <d v="2020-12-26T00:00:00"/>
    <s v="UAT2Y440.012"/>
    <d v="2020-12-11T00:00:00"/>
    <d v="2024-04-17T00:00:00"/>
    <m/>
    <s v="Done by NW"/>
    <s v="Done by NW"/>
    <s v="Conv-A DONE"/>
    <s v="Conv-A DONE"/>
    <s v="Conv-A DONE"/>
    <m/>
    <s v="Conv-A DONE"/>
    <m/>
    <s v="Conv-A DONE"/>
    <s v="Conv-A DONE"/>
    <m/>
    <m/>
    <m/>
    <s v="Conv-A DONE"/>
    <m/>
    <s v="Conv-A DONE"/>
    <d v="2024-07-26T00:00:00"/>
    <s v="Done "/>
    <d v="2023-10-09T00:00:00"/>
    <s v="Done "/>
    <d v="2024-09-19T00:00:00"/>
    <m/>
    <d v="2024-09-19T00:00:00"/>
    <m/>
  </r>
  <r>
    <n v="40"/>
    <n v="37315"/>
    <s v="HLC-B"/>
    <s v="STBDL0725HLCD"/>
    <x v="1"/>
    <s v="SR"/>
    <s v="CHE"/>
    <d v="2020-01-16T00:00:00"/>
    <n v="725"/>
    <s v="Nashik"/>
    <s v="M-U7D2S04V.005,_x000a_MO-U7F2S240.005"/>
    <d v="2020-12-26T00:00:00"/>
    <s v="UAT2Y440.012"/>
    <d v="2020-12-11T00:00:00"/>
    <d v="2024-04-17T00:00:00"/>
    <m/>
    <s v="Done by NW"/>
    <s v="Done by NW"/>
    <s v="Conv-B DONE"/>
    <s v="Conv-B DONE"/>
    <s v="Conv-B DONE"/>
    <m/>
    <s v="Conv-B DONE"/>
    <m/>
    <s v="Conv-B DONE"/>
    <s v="Conv-B DONE"/>
    <m/>
    <m/>
    <m/>
    <s v="Conv-B DONE"/>
    <m/>
    <s v="Conv-B DONE"/>
    <d v="2024-07-26T00:00:00"/>
    <s v="Done "/>
    <d v="2023-10-09T00:00:00"/>
    <s v="Done "/>
    <d v="2024-09-19T00:00:00"/>
    <m/>
    <d v="2024-09-19T00:00:00"/>
    <m/>
  </r>
  <r>
    <n v="41"/>
    <n v="37317"/>
    <s v="HLC-A"/>
    <s v="STBNL0723HLCD"/>
    <x v="1"/>
    <s v="SR"/>
    <s v="CHE"/>
    <d v="2020-01-23T00:00:00"/>
    <n v="723"/>
    <s v="Nashik"/>
    <s v="M-U7D2S04V.005,_x000a_MO-U7F2S240.005"/>
    <d v="2021-01-25T00:00:00"/>
    <s v="UAT2Y440.012"/>
    <d v="2021-01-25T00:00:00"/>
    <d v="2024-04-19T00:00:00"/>
    <m/>
    <s v="Done by NW"/>
    <s v="Done by NW"/>
    <m/>
    <s v="Conv-A DONE"/>
    <s v="Conv-A DONE"/>
    <m/>
    <s v="Conv-A DONE"/>
    <m/>
    <s v="Conv-A DONE"/>
    <s v="Conv-A DONE"/>
    <m/>
    <m/>
    <m/>
    <s v="Conv-A DONE"/>
    <m/>
    <s v="Conv-A DONE"/>
    <d v="2024-07-24T00:00:00"/>
    <s v="Done "/>
    <d v="2023-09-21T00:00:00"/>
    <s v="Done "/>
    <d v="2024-09-23T00:00:00"/>
    <m/>
    <d v="2024-09-24T00:00:00"/>
    <m/>
  </r>
  <r>
    <n v="42"/>
    <n v="37317"/>
    <s v="HLC-B"/>
    <s v="STBDL0728HLCD"/>
    <x v="1"/>
    <s v="SR"/>
    <s v="CHE"/>
    <d v="2020-01-23T00:00:00"/>
    <n v="728"/>
    <s v="Nashik"/>
    <s v="M-U7D2S04V.005,_x000a_MO-U7F2S240.005"/>
    <d v="2021-01-25T00:00:00"/>
    <s v="UAT2Y440.012"/>
    <d v="2021-01-25T00:00:00"/>
    <d v="2024-04-19T00:00:00"/>
    <m/>
    <s v="Done by NW"/>
    <s v="Done by NW"/>
    <m/>
    <s v="Conv-B DONE"/>
    <s v="Conv-B DONE"/>
    <m/>
    <s v="Conv-B DONE"/>
    <m/>
    <s v="Conv-B DONE"/>
    <s v="Conv-B DONE"/>
    <m/>
    <m/>
    <m/>
    <s v="Conv-B DONE"/>
    <m/>
    <s v="Conv-B DONE"/>
    <d v="2024-07-24T00:00:00"/>
    <s v="Done "/>
    <d v="2023-09-21T00:00:00"/>
    <s v="Done "/>
    <d v="2024-09-23T00:00:00"/>
    <m/>
    <d v="2024-09-24T00:00:00"/>
    <m/>
  </r>
  <r>
    <n v="43"/>
    <n v="37319"/>
    <s v="HLC-A"/>
    <s v="STBNL0695HLCD"/>
    <x v="1"/>
    <s v="SR"/>
    <s v="CHE"/>
    <d v="2020-01-27T00:00:00"/>
    <n v="695"/>
    <s v="Nashik"/>
    <s v="M-U7D2S04V.005,_x000a_MO-U7F2S240.005"/>
    <d v="2021-01-28T00:00:00"/>
    <s v="UAT2Y440.012"/>
    <d v="2021-01-28T00:00:00"/>
    <d v="2024-04-10T00:00:00"/>
    <m/>
    <s v="Done by NW"/>
    <s v="Done by NW"/>
    <s v="Conv-A DONE"/>
    <s v="Conv-A DONE"/>
    <s v="Conv-A DONE"/>
    <m/>
    <s v="Conv-A DONE"/>
    <m/>
    <s v="Conv-A DONE"/>
    <s v="Conv-A DONE"/>
    <m/>
    <s v="EL17D05030-R"/>
    <m/>
    <s v="Conv-A DONE"/>
    <m/>
    <s v="Conv-A DONE"/>
    <d v="2024-07-15T00:00:00"/>
    <s v="Done "/>
    <d v="2023-10-04T00:00:00"/>
    <s v="Done "/>
    <d v="2024-10-14T00:00:00"/>
    <m/>
    <d v="2024-10-15T00:00:00"/>
    <m/>
  </r>
  <r>
    <n v="44"/>
    <n v="37319"/>
    <s v="HLC-B"/>
    <s v="STBNL0691HLCD"/>
    <x v="1"/>
    <s v="SR"/>
    <s v="CHE"/>
    <d v="2020-01-27T00:00:00"/>
    <n v="691"/>
    <s v="Nashik"/>
    <s v="M-U7D2S04V.005,_x000a_MO-U7F2S240.005"/>
    <d v="2021-01-28T00:00:00"/>
    <s v="UAT2Y440.012"/>
    <d v="2021-01-28T00:00:00"/>
    <d v="2024-04-10T00:00:00"/>
    <m/>
    <s v="Done by NW"/>
    <s v="Done by NW"/>
    <s v="Conv-B DONE"/>
    <s v="Conv-B DONE"/>
    <s v="Conv-B DONE"/>
    <m/>
    <s v="Conv-B DONE"/>
    <m/>
    <s v="Conv-B DONE"/>
    <s v="Conv-B DONE"/>
    <m/>
    <m/>
    <m/>
    <s v="Conv-B DONE"/>
    <m/>
    <s v="Conv-B DONE"/>
    <d v="2024-07-15T00:00:00"/>
    <s v="Done "/>
    <d v="2023-10-04T00:00:00"/>
    <s v="Done "/>
    <d v="2024-10-14T00:00:00"/>
    <m/>
    <d v="2024-10-15T00:00:00"/>
    <m/>
  </r>
  <r>
    <n v="45"/>
    <n v="37371"/>
    <s v="HLC-A"/>
    <s v="STBDL0746HLCD"/>
    <x v="1"/>
    <s v="SR"/>
    <s v="CHE"/>
    <d v="2020-06-13T00:00:00"/>
    <n v="746"/>
    <s v="Nashik"/>
    <s v="M-U7D2S04V.005,_x000a_MO-U7F2S240.005"/>
    <d v="2021-02-04T00:00:00"/>
    <s v="UAT2Y440.012"/>
    <d v="2020-12-10T00:00:00"/>
    <d v="2024-05-20T00:00:00"/>
    <m/>
    <s v="Done by NW"/>
    <s v="Done by NW"/>
    <s v="Conv-A DONE"/>
    <s v="Conv-A DONE"/>
    <s v="Conv-A DONE"/>
    <m/>
    <s v="Conv-A DONE"/>
    <s v="Conv-A DONE"/>
    <s v="Conv-A DONE"/>
    <s v="Conv-A DONE"/>
    <m/>
    <m/>
    <m/>
    <s v="Conv-A DONE"/>
    <m/>
    <s v="Conv-A DONE"/>
    <d v="2024-10-29T00:00:00"/>
    <s v="Done "/>
    <d v="2023-11-15T00:00:00"/>
    <s v="Done "/>
    <d v="2025-01-29T00:00:00"/>
    <m/>
    <d v="2024-08-23T00:00:00"/>
    <m/>
  </r>
  <r>
    <n v="46"/>
    <n v="37371"/>
    <s v="HLC-B"/>
    <s v="STBDL0733HLCD"/>
    <x v="1"/>
    <s v="SR"/>
    <s v="CHE"/>
    <d v="2020-06-13T00:00:00"/>
    <n v="733"/>
    <s v="Nashik"/>
    <s v="M-U7D2S04V.005,_x000a_MO-U7F2S240.005"/>
    <d v="2021-02-04T00:00:00"/>
    <s v="UAT2Y440.012"/>
    <d v="2020-12-10T00:00:00"/>
    <d v="2024-05-20T00:00:00"/>
    <m/>
    <s v="Done by NW"/>
    <s v="Done by NW"/>
    <s v="Conv-B DONE"/>
    <s v="Conv-B DONE"/>
    <s v="Conv-B DONE"/>
    <m/>
    <s v="Conv-B DONE"/>
    <s v="Conv-B DONE"/>
    <s v="Conv-B DONE"/>
    <s v="Conv-B DONE"/>
    <m/>
    <m/>
    <m/>
    <s v="Conv-B DONE"/>
    <m/>
    <s v="Conv-B DONE"/>
    <d v="2024-10-29T00:00:00"/>
    <s v="Done "/>
    <d v="2023-11-15T00:00:00"/>
    <s v="Done "/>
    <d v="2025-01-29T00:00:00"/>
    <m/>
    <d v="2024-08-23T00:00:00"/>
    <m/>
  </r>
  <r>
    <n v="47"/>
    <n v="37373"/>
    <s v="HLC-A"/>
    <s v="STBDL0749HLCD"/>
    <x v="1"/>
    <s v="SR"/>
    <s v="CHE"/>
    <d v="2020-06-16T00:00:00"/>
    <n v="749"/>
    <s v="Nashik"/>
    <s v="M-U7D2S04V.005,_x000a_MO-U7F2S240.005"/>
    <d v="2021-01-10T00:00:00"/>
    <s v="UAT2Y440.012"/>
    <d v="2020-12-11T00:00:00"/>
    <d v="2024-04-12T00:00:00"/>
    <m/>
    <s v="Done by NW"/>
    <s v="Done by NW"/>
    <s v="Conv-A DONE"/>
    <s v="Conv-A DONE"/>
    <s v="Conv-A DONE"/>
    <m/>
    <s v="Conv-A DONE"/>
    <m/>
    <s v="Conv-A DONE"/>
    <s v="Conv-A DONE"/>
    <m/>
    <m/>
    <m/>
    <s v="Conv-A DONE"/>
    <m/>
    <s v="Conv-A DONE"/>
    <d v="2024-07-20T00:00:00"/>
    <s v="Done "/>
    <d v="2023-09-28T00:00:00"/>
    <s v="Done "/>
    <d v="2025-04-15T00:00:00"/>
    <m/>
    <d v="2024-10-01T00:00:00"/>
    <m/>
  </r>
  <r>
    <n v="48"/>
    <n v="37373"/>
    <s v="HLC-B"/>
    <s v="STBDL0731HLCD"/>
    <x v="1"/>
    <s v="SR"/>
    <s v="CHE"/>
    <d v="2020-06-16T00:00:00"/>
    <n v="731"/>
    <s v="Nashik"/>
    <s v="M-U7D2S04V.005,_x000a_MO-U7F2S240.005"/>
    <d v="2021-01-10T00:00:00"/>
    <s v="UAT2Y440.012"/>
    <d v="2020-12-11T00:00:00"/>
    <d v="2024-04-12T00:00:00"/>
    <m/>
    <s v="Done by NW"/>
    <s v="Done by NW"/>
    <s v="Conv-B DONE"/>
    <s v="Conv-B DONE"/>
    <s v="Conv-B DONE"/>
    <m/>
    <s v="Conv-B DONE"/>
    <m/>
    <s v="Conv-B DONE"/>
    <s v="Conv-B DONE"/>
    <m/>
    <m/>
    <m/>
    <s v="Conv-B DONE"/>
    <m/>
    <s v="Conv-B DONE"/>
    <d v="2024-07-20T00:00:00"/>
    <s v="Done "/>
    <d v="2023-09-28T00:00:00"/>
    <s v="Done "/>
    <d v="2025-04-15T00:00:00"/>
    <m/>
    <d v="2024-10-01T00:00:00"/>
    <m/>
  </r>
  <r>
    <n v="49"/>
    <n v="37436"/>
    <s v="HLC-A"/>
    <s v="STB5M0828HLCD"/>
    <x v="1"/>
    <s v="SR"/>
    <s v="CHE"/>
    <d v="2020-08-28T00:00:00"/>
    <n v="828"/>
    <s v="Nashik"/>
    <s v="M-U7D2S04V.005,_x000a_MO-U7F2S240.005"/>
    <d v="2021-01-07T00:00:00"/>
    <s v="UAT2Y440.012"/>
    <d v="2020-12-28T00:00:00"/>
    <d v="2024-06-17T00:00:00"/>
    <m/>
    <s v="Done by NW"/>
    <s v="Done by NW"/>
    <s v="Conv-A DONE"/>
    <s v="Conv-B DONE"/>
    <s v="Conv-B DONE"/>
    <m/>
    <s v="Conv-B DONE"/>
    <s v="Done by NW"/>
    <s v="Conv-A DONE"/>
    <s v="Conv-B DONE"/>
    <m/>
    <m/>
    <m/>
    <s v="Conv-A DONE"/>
    <m/>
    <s v="Conv-A DONE"/>
    <d v="2024-09-14T00:00:00"/>
    <s v="Done "/>
    <d v="2023-08-23T00:00:00"/>
    <s v="Done "/>
    <d v="2025-05-08T00:00:00"/>
    <m/>
    <d v="2024-09-16T00:00:00"/>
    <m/>
  </r>
  <r>
    <n v="50"/>
    <n v="37436"/>
    <s v="HLC-B"/>
    <s v="STB5M0829HLCD"/>
    <x v="1"/>
    <s v="SR"/>
    <s v="CHE"/>
    <d v="2020-08-28T00:00:00"/>
    <n v="829"/>
    <s v="Nashik"/>
    <s v="M-U7D2S04V.005,_x000a_MO-U7F2S240.005"/>
    <d v="2021-01-07T00:00:00"/>
    <s v="UAT2Y440.012"/>
    <d v="2020-12-28T00:00:00"/>
    <d v="2024-06-17T00:00:00"/>
    <m/>
    <s v="Done by NW"/>
    <s v="Done by NW"/>
    <s v="Conv-B DONE"/>
    <s v="Conv-A DONE"/>
    <s v="Conv-A DONE"/>
    <m/>
    <s v="Conv-A DONE"/>
    <s v="Done by NW"/>
    <s v="Conv-B DONE"/>
    <s v="Conv-A DONE"/>
    <m/>
    <s v="EL17G01005-R"/>
    <m/>
    <s v="Conv-B DONE"/>
    <m/>
    <s v="Conv-B DONE"/>
    <d v="2024-09-14T00:00:00"/>
    <s v="Done "/>
    <d v="2023-08-23T00:00:00"/>
    <s v="Done "/>
    <d v="2025-05-08T00:00:00"/>
    <m/>
    <d v="2024-09-16T00:00:00"/>
    <m/>
  </r>
  <r>
    <n v="51"/>
    <n v="37448"/>
    <s v="HLC-A"/>
    <s v="STB6M0852HLCD"/>
    <x v="1"/>
    <s v="SR"/>
    <s v="CHE"/>
    <d v="2020-09-14T00:00:00"/>
    <n v="852"/>
    <s v="Nashik"/>
    <s v="M-U7D2S04V.005,_x000a_MO-U7F2S240.005"/>
    <d v="2021-01-21T00:00:00"/>
    <s v="UAT2Y440.012"/>
    <d v="2020-12-19T00:00:00"/>
    <d v="2024-04-09T00:00:00"/>
    <m/>
    <s v="Done by NW"/>
    <s v="Done by NW"/>
    <m/>
    <s v="Conv-A DONE"/>
    <s v="Conv-A DONE"/>
    <m/>
    <s v="Conv-A DONE"/>
    <s v="Done by NW"/>
    <s v="Conv-A DONE"/>
    <s v="Conv-A DONE"/>
    <m/>
    <m/>
    <m/>
    <s v="Conv-A DONE"/>
    <m/>
    <s v="Conv-A DONE"/>
    <d v="2024-07-12T00:00:00"/>
    <s v="Done "/>
    <d v="2023-09-18T00:00:00"/>
    <s v="Done "/>
    <d v="2025-05-15T00:00:00"/>
    <m/>
    <d v="2024-10-29T00:00:00"/>
    <m/>
  </r>
  <r>
    <n v="52"/>
    <n v="37448"/>
    <s v="HLC-B"/>
    <s v="STB6M0853HLCD"/>
    <x v="1"/>
    <s v="SR"/>
    <s v="CHE"/>
    <d v="2020-09-14T00:00:00"/>
    <n v="853"/>
    <s v="Nashik"/>
    <s v="M-U7D2S04V.005,_x000a_MO-U7F2S240.005"/>
    <d v="2021-01-21T00:00:00"/>
    <s v="UAT2Y440.012"/>
    <d v="2020-12-19T00:00:00"/>
    <d v="2024-04-09T00:00:00"/>
    <m/>
    <s v="Done by NW"/>
    <s v="Done by NW"/>
    <m/>
    <s v="Conv-B DONE"/>
    <s v="Conv-B DONE"/>
    <m/>
    <s v="Conv-B DONE"/>
    <s v="Done by NW"/>
    <s v="Conv-B DONE"/>
    <s v="Conv-B DONE"/>
    <m/>
    <m/>
    <m/>
    <s v="Conv-B DONE"/>
    <m/>
    <s v="Conv-B DONE"/>
    <d v="2024-07-12T00:00:00"/>
    <s v="Done "/>
    <d v="2023-09-18T00:00:00"/>
    <s v="Done "/>
    <d v="2025-05-15T00:00:00"/>
    <m/>
    <d v="2024-10-29T00:00:00"/>
    <m/>
  </r>
  <r>
    <n v="53"/>
    <n v="37462"/>
    <s v="HLC-A"/>
    <s v="STB8M0943HLCD"/>
    <x v="1"/>
    <s v="SR"/>
    <s v="CHE"/>
    <d v="2020-12-08T00:00:00"/>
    <n v="943"/>
    <s v="Nashik"/>
    <s v="M-U7D2S04V.005,_x000a_MO-U7F2S240.005"/>
    <s v="Done by NW"/>
    <s v="UAT2Y440.012"/>
    <d v="2021-01-18T00:00:00"/>
    <d v="2024-05-02T00:00:00"/>
    <m/>
    <s v="Done by NW"/>
    <s v="Done by NW"/>
    <s v="Conv-A DONE"/>
    <s v="Conv-A DONE"/>
    <s v="Conv-A DONE"/>
    <m/>
    <s v="Conv-A DONE"/>
    <s v="Done by NW"/>
    <s v="Conv-A DONE"/>
    <s v="Conv-A DONE"/>
    <m/>
    <m/>
    <m/>
    <s v="Conv-A DONE"/>
    <m/>
    <s v="Conv-A DONE"/>
    <d v="2024-07-01T00:00:00"/>
    <s v="Done "/>
    <d v="2023-09-30T00:00:00"/>
    <s v="Done "/>
    <m/>
    <m/>
    <d v="2024-07-01T00:00:00"/>
    <m/>
  </r>
  <r>
    <n v="54"/>
    <n v="37462"/>
    <s v="HLC-B"/>
    <s v="STB8M0942HLCD"/>
    <x v="1"/>
    <s v="SR"/>
    <s v="CHE"/>
    <d v="2020-12-08T00:00:00"/>
    <n v="942"/>
    <s v="Nashik"/>
    <s v="M-U7D2S04V.005,_x000a_MO-U7F2S240.005"/>
    <s v="Done by NW"/>
    <s v="UAT2Y440.012"/>
    <d v="2021-01-18T00:00:00"/>
    <d v="2024-05-02T00:00:00"/>
    <m/>
    <s v="Done by NW"/>
    <s v="Done by NW"/>
    <s v="Conv-B DONE"/>
    <s v="Conv-B DONE"/>
    <s v="Conv-B DONE"/>
    <m/>
    <s v="Conv-B DONE"/>
    <s v="Done by NW"/>
    <s v="Conv-B DONE"/>
    <s v="Conv-B DONE"/>
    <m/>
    <m/>
    <m/>
    <s v="Conv-B DONE"/>
    <m/>
    <s v="Conv-B DONE"/>
    <d v="2024-07-01T00:00:00"/>
    <s v="Done "/>
    <d v="2023-09-30T00:00:00"/>
    <s v="Done "/>
    <m/>
    <m/>
    <d v="2024-07-01T00:00:00"/>
    <m/>
  </r>
  <r>
    <n v="55"/>
    <n v="37482"/>
    <s v="HLC-A"/>
    <s v="STB8M0904HLCD"/>
    <x v="1"/>
    <s v="SR"/>
    <s v="CHE"/>
    <d v="2020-11-18T00:00:00"/>
    <n v="904"/>
    <s v="Nashik"/>
    <s v="M-U7D2S04V.005,_x000a_MO-U7F2S240.005"/>
    <s v="Done by NW"/>
    <s v="UAT2Y440.012"/>
    <d v="2020-12-28T00:00:00"/>
    <d v="2024-04-09T00:00:00"/>
    <m/>
    <s v="Done by NW"/>
    <s v="Done by NW"/>
    <s v="Conv-A DONE"/>
    <s v="Conv-A DONE"/>
    <s v="Conv-A DONE"/>
    <m/>
    <s v="Conv-A DONE"/>
    <s v="Done by NW"/>
    <s v="Conv-A DONE"/>
    <s v="Conv-A DONE"/>
    <m/>
    <m/>
    <m/>
    <s v="Conv-A DONE"/>
    <m/>
    <s v="Conv-A DONE"/>
    <d v="2024-06-22T00:00:00"/>
    <s v="Done "/>
    <d v="2023-09-15T00:00:00"/>
    <s v="Done "/>
    <m/>
    <m/>
    <d v="2024-06-29T00:00:00"/>
    <m/>
  </r>
  <r>
    <n v="56"/>
    <n v="37482"/>
    <s v="HLC-B"/>
    <s v="STB8M0905HLCD"/>
    <x v="1"/>
    <s v="SR"/>
    <s v="CHE"/>
    <d v="2020-11-18T00:00:00"/>
    <n v="905"/>
    <s v="Nashik"/>
    <s v="M-U7D2S04V.005,_x000a_MO-U7F2S240.005"/>
    <s v="Done by NW"/>
    <s v="UAT2Y440.012"/>
    <d v="2020-12-28T00:00:00"/>
    <d v="2024-04-09T00:00:00"/>
    <m/>
    <s v="Done by NW"/>
    <s v="Done by NW"/>
    <s v="Conv-B DONE"/>
    <s v="Conv-B DONE"/>
    <s v="Conv-B DONE"/>
    <m/>
    <s v="Conv-B DONE"/>
    <s v="Done by NW"/>
    <s v="Conv-B DONE"/>
    <s v="Conv-B DONE"/>
    <m/>
    <m/>
    <m/>
    <s v="Conv-B DONE"/>
    <m/>
    <s v="Conv-B DONE"/>
    <d v="2024-06-22T00:00:00"/>
    <s v="Done "/>
    <d v="2023-09-15T00:00:00"/>
    <s v="Done "/>
    <m/>
    <m/>
    <d v="2024-06-29T00:00:00"/>
    <m/>
  </r>
  <r>
    <n v="57"/>
    <n v="37485"/>
    <s v="HLC-A"/>
    <s v="STB9M0970HLCD"/>
    <x v="1"/>
    <s v="SR"/>
    <s v="CHE"/>
    <d v="2020-11-27T00:00:00"/>
    <n v="970"/>
    <s v="Nashik"/>
    <s v="M-U7D2S04V.005,_x000a_MO-U7F2S240.005"/>
    <s v="Done by NW"/>
    <s v="UAT2Y440.012"/>
    <d v="2021-01-23T00:00:00"/>
    <d v="2023-08-12T00:00:00"/>
    <m/>
    <s v="Done by NW"/>
    <s v="Done by NW"/>
    <m/>
    <s v="Conv-A DONE"/>
    <s v="Conv-A DONE"/>
    <m/>
    <s v="Conv-A DONE"/>
    <s v="Done by NW"/>
    <s v="Conv-A DONE"/>
    <s v="Conv-A DONE"/>
    <m/>
    <m/>
    <m/>
    <s v="Conv-A DONE"/>
    <m/>
    <s v="Conv-A DONE"/>
    <d v="2024-07-03T00:00:00"/>
    <s v="Done "/>
    <d v="2023-09-26T00:00:00"/>
    <s v="Done "/>
    <m/>
    <m/>
    <d v="2024-07-01T00:00:00"/>
    <m/>
  </r>
  <r>
    <n v="58"/>
    <n v="37485"/>
    <s v="HLC-B"/>
    <s v="STB9M0971HLCD"/>
    <x v="1"/>
    <s v="SR"/>
    <s v="CHE"/>
    <d v="2020-11-27T00:00:00"/>
    <n v="971"/>
    <s v="Nashik"/>
    <s v="M-U7D2S04V.005,_x000a_MO-U7F2S240.005"/>
    <s v="Done by NW"/>
    <s v="UAT2Y440.012"/>
    <d v="2021-01-23T00:00:00"/>
    <d v="2023-08-12T00:00:00"/>
    <m/>
    <s v="Done by NW"/>
    <s v="Done by NW"/>
    <m/>
    <s v="Conv-B DONE"/>
    <s v="Conv-B DONE"/>
    <m/>
    <s v="Conv-B DONE"/>
    <s v="Done by NW"/>
    <s v="Conv-B DONE"/>
    <s v="Conv-B DONE"/>
    <m/>
    <m/>
    <m/>
    <s v="Conv-B DONE"/>
    <m/>
    <s v="Conv-B DONE"/>
    <d v="2024-07-03T00:00:00"/>
    <s v="Done "/>
    <d v="2023-09-26T00:00:00"/>
    <s v="Done "/>
    <m/>
    <m/>
    <d v="2024-07-01T00:00:00"/>
    <m/>
  </r>
  <r>
    <n v="59"/>
    <n v="37494"/>
    <s v="HLC-A"/>
    <s v="STB8M0950HLCD"/>
    <x v="1"/>
    <s v="SR"/>
    <s v="CHE"/>
    <d v="2020-12-19T00:00:00"/>
    <n v="950"/>
    <s v="Nashik"/>
    <s v="M-U7D2S04V.005,_x000a_MO-U7F2S240.005"/>
    <s v="Done by NW"/>
    <s v="UAT2Y440.012"/>
    <d v="2021-02-02T00:00:00"/>
    <d v="2024-05-21T00:00:00"/>
    <m/>
    <s v="Done by NW"/>
    <s v="Done by NW"/>
    <m/>
    <s v="Conv-A DONE"/>
    <s v="Conv-A DONE"/>
    <m/>
    <s v="Conv-A DONE"/>
    <s v="Done by NW"/>
    <s v="Conv-A DONE"/>
    <s v="Conv-A DONE"/>
    <m/>
    <m/>
    <m/>
    <m/>
    <m/>
    <s v="Conv-A DONE"/>
    <d v="2024-08-29T00:00:00"/>
    <s v="Done "/>
    <d v="2023-11-16T00:00:00"/>
    <s v="Done "/>
    <m/>
    <m/>
    <d v="2024-08-30T00:00:00"/>
    <m/>
  </r>
  <r>
    <n v="60"/>
    <n v="37494"/>
    <s v="HLC-B"/>
    <s v="STBOM1001HLCD"/>
    <x v="1"/>
    <s v="SR"/>
    <s v="CHE"/>
    <d v="2020-12-19T00:00:00"/>
    <n v="1001"/>
    <s v="Nashik"/>
    <s v="M-U7D2S04V.005,_x000a_MO-U7F2S240.005"/>
    <s v="Done by NW"/>
    <s v="UAT2Y440.012"/>
    <d v="2021-02-02T00:00:00"/>
    <d v="2024-05-21T00:00:00"/>
    <m/>
    <s v="Done by NW"/>
    <s v="Done by NW"/>
    <m/>
    <s v="Conv-B DONE"/>
    <s v="Conv-B DONE"/>
    <m/>
    <s v="Conv-B DONE"/>
    <s v="Done by NW"/>
    <s v="Conv-B DONE"/>
    <s v="Conv-B DONE"/>
    <m/>
    <m/>
    <m/>
    <m/>
    <m/>
    <s v="Conv-B DONE"/>
    <d v="2024-08-29T00:00:00"/>
    <s v="Done "/>
    <d v="2023-11-16T00:00:00"/>
    <s v="Done "/>
    <m/>
    <m/>
    <d v="2024-08-30T00:00:00"/>
    <m/>
  </r>
  <r>
    <n v="61"/>
    <n v="37544"/>
    <s v="HLC-A"/>
    <s v="STB8M0906HLCD"/>
    <x v="1"/>
    <s v="SR"/>
    <s v="CHE"/>
    <d v="2021-02-28T00:00:00"/>
    <n v="906"/>
    <s v="Nashik"/>
    <s v="M-U7D2S04V.005,_x000a_MO-U7F2S240.005"/>
    <s v="Done by NW"/>
    <s v="UAT2Y440.012"/>
    <s v="25.03.21"/>
    <d v="2023-08-30T00:00:00"/>
    <d v="2024-04-05T00:00:00"/>
    <s v="Done by NW"/>
    <s v="Done by NW"/>
    <s v="Conv-A DONE"/>
    <s v="Conv-A DONE"/>
    <s v="Conv-A DONE"/>
    <m/>
    <s v="Conv-A DONE"/>
    <s v="Done by NW"/>
    <s v="Conv-A DONE"/>
    <s v="Conv-A DONE"/>
    <m/>
    <m/>
    <m/>
    <s v="Conv-A DONE"/>
    <m/>
    <s v="Conv-A DONE"/>
    <d v="2024-07-04T00:00:00"/>
    <s v="Done "/>
    <d v="2023-08-30T00:00:00"/>
    <s v="Done "/>
    <m/>
    <m/>
    <m/>
    <m/>
  </r>
  <r>
    <n v="62"/>
    <n v="37544"/>
    <s v="HLC-B"/>
    <s v="STB8M0907HLCD"/>
    <x v="1"/>
    <s v="SR"/>
    <s v="CHE"/>
    <d v="2021-02-28T00:00:00"/>
    <n v="907"/>
    <s v="Nashik"/>
    <s v="M-U7D2S04V.005,_x000a_MO-U7F2S240.005"/>
    <s v="Done by NW"/>
    <s v="UAT2Y440.012"/>
    <s v="25.03.21"/>
    <d v="2023-08-30T00:00:00"/>
    <d v="2024-04-05T00:00:00"/>
    <s v="Done by NW"/>
    <s v="Done by NW"/>
    <s v="Conv-B DONE"/>
    <s v="Conv-B DONE"/>
    <s v="Conv-B DONE"/>
    <m/>
    <s v="Conv-B DONE"/>
    <s v="Done by NW"/>
    <s v="Conv-B DONE"/>
    <s v="Conv-B DONE"/>
    <m/>
    <m/>
    <m/>
    <s v="Conv-B DONE"/>
    <m/>
    <s v="Conv-B DONE"/>
    <d v="2024-07-04T00:00:00"/>
    <s v="Done "/>
    <d v="2023-08-30T00:00:00"/>
    <s v="Done "/>
    <m/>
    <m/>
    <m/>
    <m/>
  </r>
  <r>
    <n v="63"/>
    <n v="37546"/>
    <s v="HLC-A"/>
    <s v="STB0M1007HLCD"/>
    <x v="1"/>
    <s v="SR"/>
    <s v="CHE"/>
    <d v="2021-02-28T00:00:00"/>
    <n v="1007"/>
    <s v="Nashik"/>
    <s v="M-U7D2S04V.005,_x000a_MO-U7F2S240.005"/>
    <s v="Done by NW"/>
    <s v="UAT2Y440.012"/>
    <s v="19.04.21"/>
    <d v="2024-04-13T00:00:00"/>
    <d v="2024-05-06T00:00:00"/>
    <s v="Done by NW"/>
    <s v="Done by NW"/>
    <m/>
    <s v="Conv-A DONE"/>
    <s v="Conv-A DONE"/>
    <m/>
    <s v="Conv-A DONE"/>
    <s v="Done by NW"/>
    <s v="Conv-A DONE"/>
    <s v="Conv-A DONE"/>
    <m/>
    <m/>
    <m/>
    <s v="Conv-A DONE"/>
    <m/>
    <s v="Conv-A DONE"/>
    <d v="2024-08-24T00:00:00"/>
    <s v="Done "/>
    <d v="2023-08-24T00:00:00"/>
    <s v="Done "/>
    <m/>
    <m/>
    <d v="2024-08-23T00:00:00"/>
    <m/>
  </r>
  <r>
    <n v="64"/>
    <n v="37546"/>
    <s v="HLC-B"/>
    <s v="STB0M1013HLCD"/>
    <x v="1"/>
    <s v="SR"/>
    <s v="CHE"/>
    <d v="2021-02-28T00:00:00"/>
    <n v="1013"/>
    <s v="Nashik"/>
    <s v="M-U7D2S04V.005,_x000a_MO-U7F2S240.005"/>
    <s v="Done by NW"/>
    <s v="UAT2Y440.012"/>
    <s v="19.04.21"/>
    <d v="2024-04-13T00:00:00"/>
    <d v="2024-05-06T00:00:00"/>
    <s v="Done by NW"/>
    <s v="Done by NW"/>
    <m/>
    <s v="Conv-B DONE"/>
    <s v="Conv-B DONE"/>
    <m/>
    <s v="Conv-B DONE"/>
    <s v="Done by NW"/>
    <s v="Conv-B DONE"/>
    <s v="Conv-B DONE"/>
    <m/>
    <m/>
    <m/>
    <s v="Conv-B DONE"/>
    <m/>
    <s v="Conv-B DONE"/>
    <d v="2024-08-24T00:00:00"/>
    <s v="Done "/>
    <d v="2023-08-24T00:00:00"/>
    <s v="Done "/>
    <m/>
    <m/>
    <d v="2024-08-23T00:00:00"/>
    <m/>
  </r>
  <r>
    <n v="65"/>
    <n v="37563"/>
    <s v="HLC-A"/>
    <s v="STB7M0865HLCD"/>
    <x v="0"/>
    <s v="SR"/>
    <s v="CHE"/>
    <d v="2021-04-05T00:00:00"/>
    <n v="865"/>
    <s v="Nashik"/>
    <s v="M-U7D2S04V.005,_x000a_MO-U7F2S240.005"/>
    <s v="Done by NW"/>
    <s v="UAT2Y440.012"/>
    <s v="Done"/>
    <s v=" "/>
    <d v="2024-06-15T00:00:00"/>
    <s v="Done by NW"/>
    <s v="Done by NW"/>
    <m/>
    <s v="Conv-A DONE"/>
    <m/>
    <m/>
    <m/>
    <s v="Done by NW"/>
    <m/>
    <s v="Conv-A DONE"/>
    <m/>
    <m/>
    <m/>
    <s v="Conv-A DONE"/>
    <m/>
    <s v="Conv-A DONE"/>
    <d v="2024-07-04T00:00:00"/>
    <s v="Done "/>
    <d v="2023-07-12T00:00:00"/>
    <s v="Done "/>
    <m/>
    <m/>
    <d v="2024-07-18T00:00:00"/>
    <m/>
  </r>
  <r>
    <n v="66"/>
    <n v="37563"/>
    <s v="HLC-B"/>
    <s v="STB7M0864HLCD"/>
    <x v="0"/>
    <s v="SR"/>
    <s v="CHE"/>
    <d v="2021-04-05T00:00:00"/>
    <n v="864"/>
    <s v="Nashik"/>
    <s v="M-U7D2S04V.005,_x000a_MO-U7F2S240.005"/>
    <s v="Done by NW"/>
    <s v="UAT2Y440.012"/>
    <s v="Done "/>
    <s v=" "/>
    <d v="2024-06-15T00:00:00"/>
    <s v="Done by NW"/>
    <s v="Done by NW"/>
    <m/>
    <s v="Conv-B DONE"/>
    <m/>
    <m/>
    <m/>
    <s v="Done by NW"/>
    <m/>
    <s v="Conv-B DONE"/>
    <m/>
    <m/>
    <m/>
    <s v="Conv-B DONE"/>
    <m/>
    <s v="Conv-B DONE"/>
    <d v="2024-07-04T00:00:00"/>
    <s v="Done "/>
    <d v="2023-07-12T00:00:00"/>
    <s v="Done "/>
    <m/>
    <m/>
    <d v="2024-07-18T00:00:00"/>
    <m/>
  </r>
  <r>
    <n v="67"/>
    <n v="39123"/>
    <s v="HLC-A"/>
    <s v="STBOL0666HLCD"/>
    <x v="1"/>
    <s v="SR"/>
    <s v="CHE"/>
    <d v="2020-01-21T00:00:00"/>
    <n v="666"/>
    <s v="Nashik"/>
    <s v="M-U7D2S04V.005,_x000a_MO-U7F2S240.005"/>
    <d v="2021-12-13T00:00:00"/>
    <s v="UAT2Y440.012"/>
    <d v="2020-12-10T00:00:00"/>
    <d v="2023-08-02T00:00:00"/>
    <m/>
    <s v="Done by NW"/>
    <s v="Done by NW"/>
    <s v="Conv-A DONE"/>
    <s v="Conv-A DONE"/>
    <s v="Conv-A DONE"/>
    <m/>
    <s v="Conv-A DONE"/>
    <m/>
    <s v="Conv-A DONE"/>
    <s v="Conv-A DONE"/>
    <m/>
    <m/>
    <m/>
    <m/>
    <m/>
    <s v="Conv-A DONE"/>
    <d v="2024-07-15T00:00:00"/>
    <s v="Done "/>
    <d v="2023-09-14T00:00:00"/>
    <s v="Done "/>
    <d v="2024-08-05T00:00:00"/>
    <m/>
    <d v="2024-08-23T00:00:00"/>
    <m/>
  </r>
  <r>
    <n v="68"/>
    <n v="39123"/>
    <s v="HLC-B"/>
    <s v="STBOL0652HLCD"/>
    <x v="1"/>
    <s v="SR"/>
    <s v="CHE"/>
    <d v="2020-01-21T00:00:00"/>
    <n v="652"/>
    <s v="Nashik"/>
    <s v="M-U7D2S04V.005,_x000a_MO-U7F2S240.005"/>
    <d v="2021-12-13T00:00:00"/>
    <s v="UAT2Y440.012"/>
    <d v="2020-12-10T00:00:00"/>
    <d v="2023-08-02T00:00:00"/>
    <m/>
    <s v="Done by NW"/>
    <s v="Done by NW"/>
    <s v="Conv-B DONE"/>
    <s v="Conv-B DONE"/>
    <s v="Conv-B DONE"/>
    <m/>
    <s v="Conv-B DONE"/>
    <m/>
    <s v="Conv-B DONE"/>
    <s v="Conv-B DONE"/>
    <m/>
    <m/>
    <m/>
    <m/>
    <m/>
    <s v="Conv-B DONE"/>
    <d v="2024-07-15T00:00:00"/>
    <s v="Done "/>
    <d v="2023-09-14T00:00:00"/>
    <s v="Done "/>
    <d v="2024-08-05T00:00:00"/>
    <m/>
    <d v="2024-08-23T00:00:00"/>
    <m/>
  </r>
  <r>
    <n v="69"/>
    <n v="39125"/>
    <s v="HLC-A"/>
    <s v="STBOL0669HLCD"/>
    <x v="1"/>
    <s v="SR"/>
    <s v="CHE"/>
    <d v="2020-01-28T00:00:00"/>
    <n v="669"/>
    <s v="Nashik"/>
    <s v="M-U7D2S04V.005,_x000a_MO-U7F2S240.005"/>
    <d v="2021-03-13T00:00:00"/>
    <s v="UAT2Y440.012"/>
    <d v="2020-12-10T00:00:00"/>
    <d v="2023-08-28T00:00:00"/>
    <d v="2024-05-06T00:00:00"/>
    <s v="Done by NW"/>
    <s v="Done by NW"/>
    <s v="Conv-A DONE"/>
    <s v="Conv-A DONE"/>
    <s v="Conv-A DONE"/>
    <m/>
    <m/>
    <m/>
    <s v="Conv-A DONE"/>
    <s v="Conv-A DONE"/>
    <m/>
    <s v="EL18B07014-R"/>
    <m/>
    <s v="Conv-A DONE"/>
    <m/>
    <s v="Conv-A DONE"/>
    <d v="2024-07-11T00:00:00"/>
    <s v="Done "/>
    <d v="2023-08-28T00:00:00"/>
    <s v="Done "/>
    <d v="2024-07-02T00:00:00"/>
    <m/>
    <d v="2024-07-02T00:00:00"/>
    <m/>
  </r>
  <r>
    <n v="70"/>
    <n v="39125"/>
    <s v="HLC-B"/>
    <s v="STB5L0529HLCD"/>
    <x v="1"/>
    <s v="SR"/>
    <s v="CHE"/>
    <d v="2020-01-28T00:00:00"/>
    <n v="529"/>
    <s v="Nashik"/>
    <s v="M-U7D2S04V.005,_x000a_MO-U7F2S240.005"/>
    <d v="2021-03-13T00:00:00"/>
    <s v="UAT2Y440.012"/>
    <d v="2020-12-10T00:00:00"/>
    <d v="2023-08-28T00:00:00"/>
    <d v="2024-05-06T00:00:00"/>
    <s v="Done by NW"/>
    <s v="Conv-B DONE"/>
    <s v="Conv-B DONE"/>
    <s v="Conv-B DONE"/>
    <s v="Conv-B DONE"/>
    <m/>
    <m/>
    <m/>
    <s v="Conv-B DONE"/>
    <s v="Conv-B DONE"/>
    <m/>
    <m/>
    <m/>
    <s v="Conv-B DONE"/>
    <m/>
    <s v="Conv-B DONE"/>
    <d v="2024-07-11T00:00:00"/>
    <s v="Done "/>
    <d v="2023-08-28T00:00:00"/>
    <s v="Done "/>
    <d v="2024-07-02T00:00:00"/>
    <m/>
    <d v="2024-07-02T00:00:00"/>
    <m/>
  </r>
  <r>
    <n v="71"/>
    <n v="30475"/>
    <s v="HLC-A"/>
    <s v="STBDF0047HLCA"/>
    <x v="0"/>
    <s v="SR"/>
    <s v="CHE"/>
    <d v="2016-05-21T00:00:00"/>
    <n v="47"/>
    <s v="Imported"/>
    <s v="M-U7D2S04V.005,_x000a_MO-U7F2S240.005"/>
    <d v="2020-12-03T00:00:00"/>
    <s v="L3I2ZY72.008"/>
    <s v="Done"/>
    <d v="2023-12-21T00:00:00"/>
    <m/>
    <m/>
    <s v="Conv-A DONE"/>
    <m/>
    <s v="Conv-A DONE"/>
    <m/>
    <m/>
    <m/>
    <m/>
    <s v="Conv-A DONE"/>
    <s v="Conv-A DONE"/>
    <m/>
    <m/>
    <m/>
    <s v="Conv-A DONE"/>
    <m/>
    <s v="NA(Old type bus bar)"/>
    <d v="2024-06-27T00:00:00"/>
    <s v="Done "/>
    <d v="2023-09-23T00:00:00"/>
    <s v="Done "/>
    <m/>
    <d v="2024-12-21T00:00:00"/>
    <s v="NA(Existing  arrangement not feasible )"/>
    <m/>
  </r>
  <r>
    <n v="72"/>
    <n v="30475"/>
    <s v="HLC-B"/>
    <s v="STBDF0048HLCA"/>
    <x v="0"/>
    <s v="SR"/>
    <s v="CHE"/>
    <d v="2016-05-21T00:00:00"/>
    <n v="48"/>
    <s v="Imported"/>
    <s v="M-U7D2S04V.005,_x000a_MO-U7F2S240.005"/>
    <d v="2020-12-03T00:00:00"/>
    <s v="L3I2ZY72.008"/>
    <s v="Done"/>
    <d v="2023-12-21T00:00:00"/>
    <m/>
    <m/>
    <s v="Conv-B DONE"/>
    <m/>
    <s v="Conv-B DONE"/>
    <m/>
    <m/>
    <m/>
    <m/>
    <s v="Conv-B DONE"/>
    <s v="Conv-B DONE"/>
    <m/>
    <m/>
    <m/>
    <s v="Conv-B DONE"/>
    <m/>
    <s v="NA(Old type bus bar)"/>
    <d v="2024-06-27T00:00:00"/>
    <s v="Done "/>
    <d v="2023-09-23T00:00:00"/>
    <s v="Done "/>
    <m/>
    <d v="2024-12-21T00:00:00"/>
    <s v="NA(Existing  arrangement not feasible )"/>
    <m/>
  </r>
  <r>
    <n v="73"/>
    <n v="30477"/>
    <s v="HLC-A"/>
    <s v="STB1F0042HLCB"/>
    <x v="0"/>
    <s v="SR"/>
    <s v="CHE"/>
    <d v="2016-05-30T00:00:00"/>
    <n v="42"/>
    <s v="Imported"/>
    <s v="M-U7D2S04V.005,_x000a_MO-U7F2S240.005"/>
    <d v="2020-10-20T00:00:00"/>
    <s v="L3I2ZY72.008"/>
    <s v="Done"/>
    <d v="2023-05-15T00:00:00"/>
    <m/>
    <m/>
    <s v="Conv-A DONE"/>
    <m/>
    <s v="Conv-A DONE"/>
    <m/>
    <m/>
    <m/>
    <m/>
    <s v="Conv-A DONE"/>
    <s v="Conv-A DONE"/>
    <m/>
    <m/>
    <m/>
    <s v="Conv-A DONE"/>
    <m/>
    <s v="NA(Old type bus bar)"/>
    <d v="2024-07-29T00:00:00"/>
    <s v="Done "/>
    <d v="2023-08-23T00:00:00"/>
    <s v="Done "/>
    <m/>
    <m/>
    <s v="NA(Existing  arrangement not feasible )"/>
    <m/>
  </r>
  <r>
    <n v="74"/>
    <n v="30477"/>
    <s v="HLC-B"/>
    <s v="STB1N0037HLCB"/>
    <x v="0"/>
    <s v="SR"/>
    <s v="CHE"/>
    <d v="2016-05-30T00:00:00"/>
    <n v="37"/>
    <s v="Imported"/>
    <s v="M-U7D2S04V.005,_x000a_MO-U7F2S240.005"/>
    <d v="2020-10-20T00:00:00"/>
    <s v="L3I2ZY72.008"/>
    <s v="Done"/>
    <d v="2023-05-15T00:00:00"/>
    <m/>
    <m/>
    <s v="Conv-B DONE"/>
    <m/>
    <s v="Conv-B DONE"/>
    <m/>
    <m/>
    <m/>
    <m/>
    <s v="Conv-B DONE"/>
    <s v="Conv-B DONE"/>
    <m/>
    <m/>
    <m/>
    <s v="Conv-B DONE"/>
    <m/>
    <s v="NA(Old type bus bar)"/>
    <d v="2024-07-29T00:00:00"/>
    <s v="Done "/>
    <d v="2023-08-23T00:00:00"/>
    <s v="Done "/>
    <m/>
    <m/>
    <s v="NA(Existing  arrangement not feasible )"/>
    <m/>
  </r>
  <r>
    <n v="75"/>
    <n v="30479"/>
    <s v="HLC-A"/>
    <s v="STB9F0030HLCB"/>
    <x v="0"/>
    <s v="SR"/>
    <s v="CHE"/>
    <d v="2016-05-26T00:00:00"/>
    <n v="30"/>
    <s v="Imported"/>
    <s v="M-U7D2S04V.005,_x000a_MO-U7F2S240.005"/>
    <d v="2020-12-05T00:00:00"/>
    <s v="L3I2ZY72.008"/>
    <s v="Done"/>
    <d v="2023-06-07T00:00:00"/>
    <d v="2022-05-02T00:00:00"/>
    <m/>
    <s v="Conv-A DONE"/>
    <m/>
    <s v="Conv-A DONE"/>
    <m/>
    <m/>
    <m/>
    <m/>
    <s v="Conv-A DONE"/>
    <s v="Conv-A DONE"/>
    <m/>
    <m/>
    <m/>
    <s v="Conv-A DONE"/>
    <m/>
    <s v="NA(Old type bus bar)"/>
    <d v="2024-07-02T00:00:00"/>
    <s v="Done "/>
    <d v="2023-10-06T00:00:00"/>
    <s v="Done "/>
    <m/>
    <d v="2024-12-26T00:00:00"/>
    <s v="NA(Existing  arrangement not feasible )"/>
    <m/>
  </r>
  <r>
    <n v="76"/>
    <n v="30479"/>
    <s v="HLC-B"/>
    <s v="STB9F0029HLCB"/>
    <x v="0"/>
    <s v="SR"/>
    <s v="CHE"/>
    <d v="2016-05-26T00:00:00"/>
    <n v="29"/>
    <s v="Imported"/>
    <s v="M-U7D2S04V.005,_x000a_MO-U7F2S240.005"/>
    <d v="2020-12-05T00:00:00"/>
    <s v="L3I2ZY72.008"/>
    <s v="Done"/>
    <d v="2023-06-07T00:00:00"/>
    <d v="2022-05-02T00:00:00"/>
    <m/>
    <s v="Conv-B DONE"/>
    <m/>
    <s v="Conv-B DONE"/>
    <m/>
    <m/>
    <m/>
    <m/>
    <s v="Conv-B DONE"/>
    <s v="Conv-B DONE"/>
    <m/>
    <m/>
    <m/>
    <s v="Conv-B DONE"/>
    <m/>
    <s v="NA(Old type bus bar)"/>
    <d v="2024-07-02T00:00:00"/>
    <s v="Done "/>
    <d v="2023-10-06T00:00:00"/>
    <s v="Done "/>
    <m/>
    <d v="2024-12-26T00:00:00"/>
    <s v="NA(Existing  arrangement not feasible )"/>
    <m/>
  </r>
  <r>
    <n v="77"/>
    <n v="30482"/>
    <s v="HLC-A"/>
    <s v="STB8F0022HLDA"/>
    <x v="0"/>
    <s v="SR"/>
    <s v="CHE"/>
    <d v="2016-07-19T00:00:00"/>
    <n v="22"/>
    <s v="Imported"/>
    <s v="M-U7D2S04V.005,_x000a_MO-U7F2S240.005"/>
    <s v="Done"/>
    <s v="L3I2ZY72.008"/>
    <s v="Done"/>
    <d v="2024-04-09T00:00:00"/>
    <d v="2022-05-18T00:00:00"/>
    <s v="Conv-A DONE"/>
    <s v="Conv-A DONE"/>
    <m/>
    <s v="Conv-A DONE"/>
    <m/>
    <m/>
    <m/>
    <m/>
    <s v="Conv-A DONE"/>
    <s v="Conv-A DONE"/>
    <m/>
    <m/>
    <m/>
    <s v="Conv-A DONE"/>
    <m/>
    <s v="NA(Old type bus bar)"/>
    <d v="2024-07-22T00:00:00"/>
    <s v="Done "/>
    <d v="2023-08-14T00:00:00"/>
    <s v="Done "/>
    <m/>
    <m/>
    <s v="NA(Existing  arrangement not feasible )"/>
    <m/>
  </r>
  <r>
    <n v="78"/>
    <n v="30482"/>
    <s v="HLC-B"/>
    <s v="STB8F0046HLDA"/>
    <x v="0"/>
    <s v="SR"/>
    <s v="CHE"/>
    <d v="2016-07-19T00:00:00"/>
    <n v="46"/>
    <s v="Imported"/>
    <s v="M-U7D2S04V.005,_x000a_MO-U7F2S240.005"/>
    <s v="Done"/>
    <s v="L3I2ZY72.008"/>
    <s v="Done"/>
    <d v="2024-04-09T00:00:00"/>
    <d v="2022-05-18T00:00:00"/>
    <s v="Conv-B DONE"/>
    <s v="Conv-B DONE"/>
    <m/>
    <s v="Conv-B DONE"/>
    <m/>
    <m/>
    <m/>
    <m/>
    <s v="Conv-B DONE"/>
    <s v="Conv-B DONE"/>
    <m/>
    <m/>
    <m/>
    <s v="Conv-B DONE"/>
    <m/>
    <s v="NA(Old type bus bar)"/>
    <d v="2024-07-22T00:00:00"/>
    <s v="Done "/>
    <d v="2023-08-14T00:00:00"/>
    <s v="Done "/>
    <m/>
    <m/>
    <s v="NA(Existing  arrangement not feasible )"/>
    <m/>
  </r>
  <r>
    <n v="79"/>
    <n v="30528"/>
    <s v="HLC-A"/>
    <s v="STB7H0068HLCC"/>
    <x v="0"/>
    <s v="SR"/>
    <s v="CHE"/>
    <d v="2017-04-24T00:00:00"/>
    <n v="68"/>
    <s v="Imported"/>
    <s v="M-U7D2S04V.005,_x000a_MO-U7F2S240.005"/>
    <d v="2021-03-10T00:00:00"/>
    <s v="UAT2Y440.012"/>
    <d v="2021-03-10T00:00:00"/>
    <d v="2023-05-25T00:00:00"/>
    <d v="2022-05-19T00:00:00"/>
    <s v="Conv-A DONE"/>
    <s v="Conv-A DONE"/>
    <m/>
    <s v="Conv-A DONE"/>
    <m/>
    <m/>
    <m/>
    <m/>
    <s v="Conv-A DONE"/>
    <s v="Conv-A DONE"/>
    <m/>
    <m/>
    <m/>
    <s v="Conv-A DONE"/>
    <m/>
    <s v="NA(Old type bus bar)"/>
    <d v="2024-07-24T00:00:00"/>
    <s v="Done "/>
    <d v="2023-08-28T00:00:00"/>
    <s v="Done "/>
    <m/>
    <d v="2024-10-25T00:00:00"/>
    <s v="NA(Existing  arrangement not feasible )"/>
    <m/>
  </r>
  <r>
    <n v="80"/>
    <n v="30528"/>
    <s v="HLC-B"/>
    <s v="STB7H0071HLCC"/>
    <x v="0"/>
    <s v="SR"/>
    <s v="CHE"/>
    <d v="2017-04-24T00:00:00"/>
    <n v="71"/>
    <s v="Imported"/>
    <s v="M-U7D2S04V.005,_x000a_MO-U7F2S240.005"/>
    <d v="2021-03-10T00:00:00"/>
    <s v="UAT2Y440.012"/>
    <d v="2021-03-10T00:00:00"/>
    <d v="2023-05-25T00:00:00"/>
    <d v="2022-05-19T00:00:00"/>
    <s v="Conv-B DONE"/>
    <s v="Conv-B DONE"/>
    <m/>
    <s v="Conv-B DONE"/>
    <m/>
    <m/>
    <m/>
    <m/>
    <s v="Conv-B DONE"/>
    <s v="Conv-B DONE"/>
    <m/>
    <s v="EL22B02001"/>
    <m/>
    <s v="Conv-B DONE"/>
    <m/>
    <s v="NA(Old type bus bar)"/>
    <d v="2024-07-24T00:00:00"/>
    <s v="Done "/>
    <d v="2023-08-28T00:00:00"/>
    <s v="Done "/>
    <m/>
    <d v="2024-10-25T00:00:00"/>
    <s v="NA(Existing  arrangement not feasible )"/>
    <m/>
  </r>
  <r>
    <n v="81"/>
    <n v="30545"/>
    <s v="HLC-A"/>
    <s v="STB9H0083HLCC"/>
    <x v="0"/>
    <s v="SR"/>
    <s v="CHE"/>
    <d v="2017-05-31T00:00:00"/>
    <n v="83"/>
    <s v="Imported"/>
    <s v="M-U7D2S04V.005,_x000a_MO-U7F2S240.005"/>
    <d v="2020-12-11T00:00:00"/>
    <s v="UAT2Y440.012"/>
    <d v="2020-12-31T00:00:00"/>
    <d v="2024-09-24T00:00:00"/>
    <d v="2022-04-12T00:00:00"/>
    <m/>
    <s v="Conv-A DONE"/>
    <m/>
    <s v="Conv-A DONE"/>
    <m/>
    <m/>
    <m/>
    <m/>
    <s v="Conv-A DONE"/>
    <s v="Conv-A DONE"/>
    <m/>
    <m/>
    <m/>
    <s v="Conv-A DONE"/>
    <m/>
    <s v="NA(Old type bus bar)"/>
    <d v="2024-06-27T00:00:00"/>
    <s v="Done "/>
    <d v="2023-09-23T00:00:00"/>
    <s v="Done "/>
    <m/>
    <m/>
    <s v="NA(Existing  arrangement not feasible )"/>
    <m/>
  </r>
  <r>
    <n v="82"/>
    <n v="30545"/>
    <s v="HLC-B"/>
    <s v="STB9H0082HLCC"/>
    <x v="0"/>
    <s v="SR"/>
    <s v="CHE"/>
    <d v="2017-05-31T00:00:00"/>
    <n v="82"/>
    <s v="Imported"/>
    <s v="M-U7D2S04V.005,_x000a_MO-U7F2S240.005"/>
    <d v="2020-12-11T00:00:00"/>
    <s v="UAT2Y440.012"/>
    <d v="2020-12-31T00:00:00"/>
    <d v="2024-09-24T00:00:00"/>
    <d v="2022-04-12T00:00:00"/>
    <m/>
    <s v="Conv-B DONE"/>
    <m/>
    <s v="Conv-B DONE"/>
    <m/>
    <m/>
    <m/>
    <m/>
    <s v="Conv-B DONE"/>
    <s v="Conv-B DONE"/>
    <m/>
    <m/>
    <m/>
    <s v="Conv-B DONE"/>
    <m/>
    <s v="NA(Old type bus bar)"/>
    <d v="2024-06-27T00:00:00"/>
    <s v="Done "/>
    <d v="2023-09-23T00:00:00"/>
    <s v="Done "/>
    <m/>
    <m/>
    <s v="NA(Existing  arrangement not feasible )"/>
    <m/>
  </r>
  <r>
    <n v="83"/>
    <n v="30597"/>
    <s v="HLC-A"/>
    <s v="STB6J0110HLCD"/>
    <x v="0"/>
    <s v="SR"/>
    <s v="CHE"/>
    <d v="2017-11-14T00:00:00"/>
    <n v="110"/>
    <s v="Nashik"/>
    <s v="M-U7D2S04V.005,_x000a_MO-U7F2S240.005"/>
    <d v="2021-05-19T00:00:00"/>
    <s v="UAT2Y440.012"/>
    <d v="2021-09-25T00:00:00"/>
    <d v="2024-08-28T00:00:00"/>
    <m/>
    <m/>
    <s v="Conv-A DONE"/>
    <m/>
    <s v="Conv-A DONE"/>
    <m/>
    <m/>
    <m/>
    <m/>
    <m/>
    <s v="Conv-A DONE"/>
    <m/>
    <m/>
    <m/>
    <s v="Conv-A DONE"/>
    <m/>
    <s v="Conv-A DONE"/>
    <d v="2024-06-21T00:00:00"/>
    <s v="Done "/>
    <d v="2023-10-10T00:00:00"/>
    <s v="Done "/>
    <m/>
    <m/>
    <s v="Old type mesh"/>
    <m/>
  </r>
  <r>
    <n v="84"/>
    <n v="30597"/>
    <s v="HLC-B"/>
    <s v="STB6J0113HLCD"/>
    <x v="0"/>
    <s v="SR"/>
    <s v="CHE"/>
    <d v="2017-11-14T00:00:00"/>
    <n v="113"/>
    <s v="Nashik"/>
    <s v="M-U7D2S04V.005,_x000a_MO-U7F2S240.005"/>
    <d v="2021-05-19T00:00:00"/>
    <s v="UAT2Y440.012"/>
    <d v="2021-09-25T00:00:00"/>
    <d v="2024-08-28T00:00:00"/>
    <m/>
    <m/>
    <s v="Conv-B DONE"/>
    <m/>
    <s v="Conv-B DONE"/>
    <m/>
    <m/>
    <m/>
    <m/>
    <m/>
    <s v="Conv-B DONE"/>
    <m/>
    <m/>
    <m/>
    <s v="Conv-B DONE"/>
    <m/>
    <s v="Conv-B DONE"/>
    <d v="2024-06-21T00:00:00"/>
    <s v="Done "/>
    <d v="2023-10-10T00:00:00"/>
    <s v="Done "/>
    <m/>
    <m/>
    <s v="Old type mesh"/>
    <m/>
  </r>
  <r>
    <n v="85"/>
    <n v="30615"/>
    <s v="HLC-A"/>
    <s v="STB8J0137HLCD"/>
    <x v="0"/>
    <s v="SR"/>
    <s v="CHE"/>
    <d v="2017-12-02T00:00:00"/>
    <n v="137"/>
    <s v="Nashik"/>
    <s v="M-U7D2S04V.005,_x000a_MO-U7F2S240.005"/>
    <d v="2020-12-20T00:00:00"/>
    <s v="UAT2Y440.012"/>
    <d v="2020-12-20T00:00:00"/>
    <m/>
    <m/>
    <s v="Conv-A DONE"/>
    <s v="Conv-A DONE"/>
    <s v="Conv-A DONE"/>
    <s v="Conv-A DONE"/>
    <s v="Conv-A DONE"/>
    <m/>
    <m/>
    <m/>
    <m/>
    <s v="Conv-A DONE"/>
    <m/>
    <m/>
    <m/>
    <s v="Conv-A DONE"/>
    <m/>
    <s v="Conv-A DONE"/>
    <d v="2024-08-26T00:00:00"/>
    <s v="Done "/>
    <d v="2023-11-23T00:00:00"/>
    <s v="Done "/>
    <d v="2024-11-14T00:00:00"/>
    <m/>
    <s v="Old type mesh"/>
    <m/>
  </r>
  <r>
    <n v="86"/>
    <n v="30615"/>
    <s v="HLC-B"/>
    <s v="STB9J0157HLCD"/>
    <x v="0"/>
    <s v="SR"/>
    <s v="CHE"/>
    <d v="2017-12-02T00:00:00"/>
    <n v="157"/>
    <s v="Nashik"/>
    <s v="M-U7D2S04V.005,_x000a_MO-U7F2S240.005"/>
    <d v="2020-12-20T00:00:00"/>
    <s v="UAT2Y440.012"/>
    <d v="2020-12-20T00:00:00"/>
    <m/>
    <m/>
    <s v="Conv-B DONE"/>
    <s v="Conv-B DONE"/>
    <s v="Conv-B DONE"/>
    <s v="Conv-B DONE"/>
    <s v="Conv-B DONE"/>
    <m/>
    <m/>
    <m/>
    <m/>
    <s v="Conv-B DONE"/>
    <m/>
    <s v="EL19H01015-R"/>
    <m/>
    <s v="Conv-B DONE"/>
    <m/>
    <s v="Conv-B DONE"/>
    <d v="2024-08-26T00:00:00"/>
    <s v="Done "/>
    <d v="2023-11-23T00:00:00"/>
    <s v="Done "/>
    <d v="2024-11-14T00:00:00"/>
    <m/>
    <s v="Old type mesh"/>
    <m/>
  </r>
  <r>
    <n v="87"/>
    <n v="30749"/>
    <s v="HLC-A"/>
    <s v="STB4K0227HLCD"/>
    <x v="1"/>
    <s v="SR"/>
    <s v="CHE"/>
    <d v="2019-07-03T00:00:00"/>
    <n v="227"/>
    <s v="Nashik"/>
    <s v="M-U7D2S04V.005,_x000a_MO-U7F2S240.005"/>
    <d v="2021-01-19T00:00:00"/>
    <s v="UAT2Y440.012"/>
    <d v="2020-12-16T00:00:00"/>
    <d v="2023-04-17T00:00:00"/>
    <m/>
    <m/>
    <s v="Conv-A DONE"/>
    <m/>
    <s v="Conv-A DONE"/>
    <s v="Conv-A DONE"/>
    <m/>
    <s v="Conv-A DONE"/>
    <m/>
    <m/>
    <m/>
    <m/>
    <s v="EL16H03004-R"/>
    <m/>
    <m/>
    <m/>
    <s v="Conv-A DONE"/>
    <d v="2024-08-29T00:00:00"/>
    <s v="Done "/>
    <d v="2023-09-14T00:00:00"/>
    <s v="Done "/>
    <m/>
    <m/>
    <s v="Old type mesh"/>
    <m/>
  </r>
  <r>
    <n v="88"/>
    <n v="30749"/>
    <s v="HLC-B"/>
    <s v="STB5K0228HLCD"/>
    <x v="1"/>
    <s v="SR"/>
    <s v="CHE"/>
    <d v="2019-07-03T00:00:00"/>
    <n v="228"/>
    <s v="Nashik"/>
    <s v="M-U7D2S04V.005,_x000a_MO-U7F2S240.005"/>
    <d v="2021-01-19T00:00:00"/>
    <s v="UAT2Y440.012"/>
    <d v="2020-12-16T00:00:00"/>
    <d v="2023-04-17T00:00:00"/>
    <m/>
    <m/>
    <s v="Conv-B DONE"/>
    <m/>
    <s v="Conv-B DONE"/>
    <s v="Conv-B DONE"/>
    <m/>
    <s v="Conv-B DONE"/>
    <m/>
    <m/>
    <m/>
    <m/>
    <m/>
    <m/>
    <m/>
    <m/>
    <s v="Conv-B DONE"/>
    <d v="2024-08-29T00:00:00"/>
    <s v="Done "/>
    <d v="2023-09-14T00:00:00"/>
    <s v="Done "/>
    <m/>
    <m/>
    <s v="Old type mesh"/>
    <m/>
  </r>
  <r>
    <n v="89"/>
    <n v="37068"/>
    <s v="HLC-A"/>
    <s v="STB6K0255HLCD"/>
    <x v="0"/>
    <s v="SR"/>
    <s v="CHE"/>
    <d v="2018-12-25T00:00:00"/>
    <n v="255"/>
    <s v="Nashik"/>
    <s v="M-U7D2S04V.005,_x000a_MO-U7F2S240.005"/>
    <d v="2021-05-26T00:00:00"/>
    <s v="UAT2Y440.012"/>
    <d v="2021-01-07T00:00:00"/>
    <d v="2023-06-01T00:00:00"/>
    <d v="2024-06-15T00:00:00"/>
    <m/>
    <s v="Conv-A DONE"/>
    <m/>
    <s v="Conv-A DONE"/>
    <s v="Conv-A DONE"/>
    <m/>
    <m/>
    <m/>
    <s v="Conv-A DONE"/>
    <s v="Conv-A DONE"/>
    <m/>
    <s v="EL20L01030"/>
    <m/>
    <s v="Conv-A DONE"/>
    <m/>
    <s v="Conv-A DONE"/>
    <d v="2024-07-29T00:00:00"/>
    <s v="Done "/>
    <d v="2023-09-25T00:00:00"/>
    <s v="Done "/>
    <m/>
    <m/>
    <s v="Old type mesh"/>
    <m/>
  </r>
  <r>
    <n v="90"/>
    <n v="37068"/>
    <s v="HLC-B"/>
    <s v="STB7K0265HLCD"/>
    <x v="0"/>
    <s v="SR"/>
    <s v="CHE"/>
    <d v="2018-12-25T00:00:00"/>
    <n v="265"/>
    <s v="Nashik"/>
    <s v="M-U7D2S04V.005,_x000a_MO-U7F2S240.005"/>
    <d v="2021-05-26T00:00:00"/>
    <s v="UAT2Y440.012"/>
    <d v="2021-01-07T00:00:00"/>
    <d v="2023-06-01T00:00:00"/>
    <d v="2024-06-15T00:00:00"/>
    <m/>
    <s v="Conv-B DONE"/>
    <m/>
    <s v="Conv-B DONE"/>
    <s v="Conv-B DONE"/>
    <m/>
    <m/>
    <m/>
    <s v="Conv-B DONE"/>
    <s v="Conv-B DONE"/>
    <m/>
    <m/>
    <m/>
    <s v="Conv-B DONE"/>
    <m/>
    <s v="Conv-B DONE"/>
    <d v="2024-07-29T00:00:00"/>
    <s v="Done "/>
    <d v="2023-09-25T00:00:00"/>
    <s v="Done "/>
    <m/>
    <m/>
    <s v="Old type mesh"/>
    <m/>
  </r>
  <r>
    <n v="91"/>
    <n v="37069"/>
    <s v="HLC-A"/>
    <s v="STB6K0254HLCD"/>
    <x v="0"/>
    <s v="SR"/>
    <s v="CHE"/>
    <d v="2018-12-27T00:00:00"/>
    <n v="254"/>
    <s v="Nashik"/>
    <s v="M-U7D2S04V.005,_x000a_MO-U7F2S240.005"/>
    <d v="2021-03-15T00:00:00"/>
    <s v="UAT2Y440.012"/>
    <d v="2021-03-15T00:00:00"/>
    <d v="2023-12-26T00:00:00"/>
    <d v="2023-05-03T00:00:00"/>
    <m/>
    <s v="Conv-A DONE"/>
    <m/>
    <s v="Conv-A DONE"/>
    <s v="Conv-A DONE"/>
    <m/>
    <m/>
    <m/>
    <s v="Conv-A DONE"/>
    <s v="Conv-A DONE"/>
    <m/>
    <m/>
    <m/>
    <s v="Conv-A DONE"/>
    <m/>
    <s v="Conv-A DONE"/>
    <d v="2024-06-22T00:00:00"/>
    <s v="Done "/>
    <d v="2023-09-25T00:00:00"/>
    <s v="Done "/>
    <m/>
    <d v="2024-10-03T00:00:00"/>
    <s v="Old type mesh"/>
    <m/>
  </r>
  <r>
    <n v="92"/>
    <n v="37069"/>
    <s v="HLC-B"/>
    <s v="STB7K0264HLCD"/>
    <x v="0"/>
    <s v="SR"/>
    <s v="CHE"/>
    <d v="2018-12-27T00:00:00"/>
    <n v="264"/>
    <s v="Nashik"/>
    <s v="M-U7D2S04V.005,_x000a_MO-U7F2S240.005"/>
    <d v="2021-03-15T00:00:00"/>
    <s v="UAT2Y440.012"/>
    <d v="2021-03-15T00:00:00"/>
    <d v="2023-12-26T00:00:00"/>
    <d v="2023-05-03T00:00:00"/>
    <m/>
    <s v="Conv-B DONE"/>
    <m/>
    <s v="Conv-B DONE"/>
    <s v="Conv-B DONE"/>
    <m/>
    <m/>
    <m/>
    <s v="Conv-B DONE"/>
    <s v="Conv-B DONE"/>
    <m/>
    <m/>
    <m/>
    <s v="Conv-B DONE"/>
    <m/>
    <s v="Conv-B DONE"/>
    <d v="2024-06-22T00:00:00"/>
    <s v="Done "/>
    <d v="2023-09-25T00:00:00"/>
    <s v="Done "/>
    <d v="2024-07-09T00:00:00"/>
    <d v="2024-10-03T00:00:00"/>
    <s v="Old type mesh"/>
    <m/>
  </r>
  <r>
    <n v="93"/>
    <n v="37114"/>
    <s v="HLC-A"/>
    <s v="STB0K0317HLCD"/>
    <x v="0"/>
    <s v="SR"/>
    <s v="CHE"/>
    <d v="2019-03-18T00:00:00"/>
    <n v="317"/>
    <s v="Nashik"/>
    <s v="M-U7D2S04V.005,_x000a_MO-U7F2S240.005"/>
    <d v="2020-12-26T00:00:00"/>
    <s v="UAT2Y440.012"/>
    <d v="2020-12-26T00:00:00"/>
    <m/>
    <d v="2022-06-23T00:00:00"/>
    <m/>
    <s v="Conv-A DONE"/>
    <m/>
    <s v="Conv-A DONE"/>
    <s v="Conv-A DONE"/>
    <m/>
    <m/>
    <m/>
    <s v="Conv-A DONE"/>
    <s v="Conv-A DONE"/>
    <m/>
    <m/>
    <m/>
    <s v="Conv-A DONE"/>
    <m/>
    <s v="Conv-A DONE"/>
    <d v="2024-07-05T00:00:00"/>
    <s v="Done "/>
    <d v="2023-09-07T00:00:00"/>
    <s v="Done "/>
    <m/>
    <m/>
    <m/>
    <m/>
  </r>
  <r>
    <n v="94"/>
    <n v="37114"/>
    <s v="HLC-B"/>
    <s v="STB0K0316HLCD"/>
    <x v="0"/>
    <s v="SR"/>
    <s v="CHE"/>
    <d v="2019-03-18T00:00:00"/>
    <n v="316"/>
    <s v="Nashik"/>
    <s v="M-U7D2S04V.005,_x000a_MO-U7F2S240.005"/>
    <d v="2020-12-26T00:00:00"/>
    <s v="UAT2Y440.012"/>
    <d v="2020-12-26T00:00:00"/>
    <m/>
    <d v="2022-06-23T00:00:00"/>
    <m/>
    <s v="Conv-B DONE"/>
    <m/>
    <s v="Conv-B DONE"/>
    <s v="Conv-B DONE"/>
    <m/>
    <m/>
    <m/>
    <s v="Conv-B DONE"/>
    <s v="Conv-B DONE"/>
    <m/>
    <s v="EL18B07009-R"/>
    <s v="EL20L05038"/>
    <s v="Conv-B DONE"/>
    <m/>
    <s v="Conv-B DONE"/>
    <d v="2024-07-05T00:00:00"/>
    <s v="Done "/>
    <d v="2023-09-07T00:00:00"/>
    <s v="Done "/>
    <m/>
    <m/>
    <m/>
    <m/>
  </r>
  <r>
    <n v="95"/>
    <n v="37143"/>
    <s v="HLC-A"/>
    <s v="STB2L0413HLCD"/>
    <x v="0"/>
    <s v="SR"/>
    <s v="CHE"/>
    <d v="2019-04-16T00:00:00"/>
    <n v="413"/>
    <s v="Nashik"/>
    <s v="M-U7D2S04V.005,_x000a_MO-U7F2S240.005"/>
    <d v="2020-12-15T00:00:00"/>
    <s v="UAT2Y440.012"/>
    <d v="2020-12-15T00:00:00"/>
    <d v="2023-08-10T00:00:00"/>
    <d v="1900-01-06T00:00:00"/>
    <m/>
    <s v="Conv-A DONE"/>
    <m/>
    <s v="Conv-A DONE"/>
    <s v="Conv-A DONE"/>
    <m/>
    <m/>
    <m/>
    <s v="Conv-A DONE"/>
    <s v="Conv-A DONE"/>
    <m/>
    <s v="EL18K02045-R"/>
    <m/>
    <s v="Conv-A DONE"/>
    <m/>
    <s v="Conv-A DONE"/>
    <d v="2024-06-27T00:00:00"/>
    <s v="Done "/>
    <d v="2023-10-16T00:00:00"/>
    <s v="Done "/>
    <m/>
    <m/>
    <s v="Old type mesh"/>
    <m/>
  </r>
  <r>
    <n v="96"/>
    <n v="37143"/>
    <s v="HLC-B"/>
    <s v="STB2L0412HLCD"/>
    <x v="0"/>
    <s v="SR"/>
    <s v="CHE"/>
    <d v="2019-04-16T00:00:00"/>
    <n v="412"/>
    <s v="Nashik"/>
    <s v="M-U7D2S04V.005,_x000a_MO-U7F2S240.005"/>
    <d v="2020-12-15T00:00:00"/>
    <s v="UAT2Y440.012"/>
    <d v="2020-12-15T00:00:00"/>
    <d v="2023-08-10T00:00:00"/>
    <m/>
    <s v="Con-B done"/>
    <s v="Conv-B DONE"/>
    <m/>
    <s v="Conv-B DONE"/>
    <s v="Conv-B DONE"/>
    <m/>
    <m/>
    <m/>
    <s v="Conv-B DONE"/>
    <s v="Conv-B DONE"/>
    <m/>
    <m/>
    <m/>
    <s v="Conv-B DONE"/>
    <m/>
    <s v="Conv-B DONE"/>
    <d v="2024-06-27T00:00:00"/>
    <s v="Done "/>
    <d v="2023-10-16T00:00:00"/>
    <s v="Done "/>
    <m/>
    <m/>
    <s v="Old type mesh"/>
    <m/>
  </r>
  <r>
    <n v="97"/>
    <n v="37201"/>
    <s v="HLC-A"/>
    <s v="STB4L0470HLCD"/>
    <x v="0"/>
    <s v="SR"/>
    <s v="CHE"/>
    <d v="2019-06-21T00:00:00"/>
    <n v="470"/>
    <s v="Nashik"/>
    <s v="M-U7D2S04V.005,_x000a_MO-U7F2S240.005"/>
    <d v="2020-10-07T00:00:00"/>
    <s v="UAT2Y440.012"/>
    <d v="2020-12-23T00:00:00"/>
    <d v="2023-06-06T00:00:00"/>
    <m/>
    <m/>
    <s v="Conv-A DONE"/>
    <m/>
    <s v="Conv-A DONE"/>
    <s v="Conv-A DONE"/>
    <m/>
    <m/>
    <s v="Conv-A DONE"/>
    <m/>
    <s v="Conv-A DONE"/>
    <m/>
    <m/>
    <m/>
    <s v="Conv-A DONE"/>
    <m/>
    <s v="Conv-A DONE"/>
    <d v="2024-07-11T00:00:00"/>
    <s v="Done "/>
    <d v="2023-09-19T00:00:00"/>
    <s v="Done "/>
    <m/>
    <m/>
    <d v="2024-10-12T00:00:00"/>
    <m/>
  </r>
  <r>
    <n v="98"/>
    <n v="37201"/>
    <s v="HLC-B"/>
    <s v="STB1L0497HLCD"/>
    <x v="0"/>
    <s v="SR"/>
    <s v="CHE"/>
    <d v="2019-06-21T00:00:00"/>
    <n v="497"/>
    <s v="Nashik"/>
    <s v="M-U7D2S04V.005,_x000a_MO-U7F2S240.005"/>
    <d v="2020-10-07T00:00:00"/>
    <s v="UAT2Y440.012"/>
    <d v="2020-12-23T00:00:00"/>
    <d v="2023-06-06T00:00:00"/>
    <m/>
    <m/>
    <s v="Conv-B DONE"/>
    <m/>
    <s v="Conv-B DONE"/>
    <s v="Conv-B DONE"/>
    <m/>
    <m/>
    <s v="Conv-B DONE"/>
    <m/>
    <s v="Conv-B DONE"/>
    <m/>
    <s v="EL19H01007-R"/>
    <m/>
    <s v="Conv-B DONE"/>
    <m/>
    <s v="Conv-B DONE"/>
    <d v="2024-07-11T00:00:00"/>
    <s v="Done "/>
    <d v="2023-09-19T00:00:00"/>
    <s v="Done "/>
    <m/>
    <m/>
    <d v="2024-10-12T00:00:00"/>
    <m/>
  </r>
  <r>
    <n v="99"/>
    <n v="37203"/>
    <s v="HLC-A"/>
    <s v="STB5L0496HLCD"/>
    <x v="0"/>
    <s v="SR"/>
    <s v="CHE"/>
    <d v="2019-06-22T00:00:00"/>
    <n v="496"/>
    <s v="Nashik"/>
    <s v="M-U7D2S04V.005,_x000a_MO-U7F2S240.005"/>
    <d v="2021-04-05T00:00:00"/>
    <s v="UAT2Y440.012"/>
    <d v="2020-12-31T00:00:00"/>
    <d v="2024-01-18T00:00:00"/>
    <m/>
    <m/>
    <s v="Conv-A DONE"/>
    <m/>
    <s v="Conv-A DONE"/>
    <s v="Conv-A DONE"/>
    <m/>
    <m/>
    <m/>
    <s v="Conv-A DONE"/>
    <s v="Conv-A DONE"/>
    <m/>
    <m/>
    <m/>
    <s v="Conv-A DONE"/>
    <m/>
    <s v="Conv-A DONE"/>
    <d v="2024-06-22T00:00:00"/>
    <s v="Done "/>
    <d v="2023-10-12T00:00:00"/>
    <s v="Done "/>
    <m/>
    <d v="2024-10-24T00:00:00"/>
    <d v="2024-10-24T00:00:00"/>
    <m/>
  </r>
  <r>
    <n v="100"/>
    <n v="37203"/>
    <s v="HLC-B"/>
    <s v="STB4L0471HLCD"/>
    <x v="0"/>
    <s v="SR"/>
    <s v="CHE"/>
    <d v="2019-06-22T00:00:00"/>
    <n v="471"/>
    <s v="Nashik"/>
    <s v="M-U7D2S04V.005,_x000a_MO-U7F2S240.005"/>
    <d v="2021-04-05T00:00:00"/>
    <s v="UAT2Y440.012"/>
    <d v="2020-12-31T00:00:00"/>
    <d v="2024-01-18T00:00:00"/>
    <m/>
    <m/>
    <s v="Conv-B DONE"/>
    <m/>
    <s v="Conv-B DONE"/>
    <s v="Conv-B DONE"/>
    <m/>
    <m/>
    <m/>
    <s v="Conv-B DONE"/>
    <s v="Conv-B DONE"/>
    <m/>
    <m/>
    <m/>
    <s v="Conv-B DONE"/>
    <m/>
    <s v="Conv-B DONE"/>
    <d v="2024-06-22T00:00:00"/>
    <s v="Done "/>
    <d v="2023-10-12T00:00:00"/>
    <s v="Done "/>
    <m/>
    <d v="2024-10-24T00:00:00"/>
    <d v="2024-10-24T00:00:00"/>
    <m/>
  </r>
  <r>
    <n v="101"/>
    <n v="37205"/>
    <s v="HLC-A"/>
    <s v="STB5L0502HLCD"/>
    <x v="0"/>
    <s v="SR"/>
    <s v="CHE"/>
    <d v="2019-06-23T00:00:00"/>
    <n v="502"/>
    <s v="Nashik"/>
    <s v="M-U7D2S04V.005,_x000a_MO-U7F2S240.005"/>
    <d v="2021-12-28T00:00:00"/>
    <s v="UAT2Y440.012"/>
    <d v="2022-08-27T00:00:00"/>
    <d v="2023-05-04T00:00:00"/>
    <m/>
    <m/>
    <s v="Conv-A DONE"/>
    <m/>
    <s v="Conv-A DONE"/>
    <s v="Conv-A DONE"/>
    <m/>
    <m/>
    <m/>
    <s v="Conv-A DONE"/>
    <s v="Conv-A DONE"/>
    <m/>
    <m/>
    <m/>
    <s v="Conv-A DONE"/>
    <m/>
    <s v="Conv-A DONE"/>
    <d v="2024-07-07T00:00:00"/>
    <s v="Done "/>
    <s v="NA"/>
    <s v="Done "/>
    <m/>
    <d v="2025-01-15T00:00:00"/>
    <d v="2024-10-14T00:00:00"/>
    <m/>
  </r>
  <r>
    <n v="102"/>
    <n v="37205"/>
    <s v="HLC-B"/>
    <s v="STB5L0511HLCD"/>
    <x v="0"/>
    <s v="SR"/>
    <s v="CHE"/>
    <d v="2019-06-23T00:00:00"/>
    <n v="511"/>
    <s v="Nashik"/>
    <s v="M-U7D2S04V.005,_x000a_MO-U7F2S240.005"/>
    <d v="2021-12-28T00:00:00"/>
    <s v="UAT2Y440.012"/>
    <d v="2022-08-27T00:00:00"/>
    <d v="2023-05-04T00:00:00"/>
    <m/>
    <s v="Done by NW"/>
    <s v="Conv-B DONE"/>
    <m/>
    <s v="Conv-B DONE"/>
    <s v="Conv-B DONE"/>
    <m/>
    <m/>
    <m/>
    <s v="Conv-B DONE"/>
    <s v="Conv-B DONE"/>
    <m/>
    <m/>
    <m/>
    <s v="Conv-B DONE"/>
    <m/>
    <s v="Conv-B DONE"/>
    <d v="2024-07-07T00:00:00"/>
    <s v="Done "/>
    <s v="NA"/>
    <s v="Done "/>
    <m/>
    <d v="2025-01-15T00:00:00"/>
    <d v="2024-10-14T00:00:00"/>
    <m/>
  </r>
  <r>
    <n v="103"/>
    <n v="37207"/>
    <s v="HLC-A"/>
    <s v="STB5L0503HLCD"/>
    <x v="0"/>
    <s v="SR"/>
    <s v="CHE"/>
    <d v="2019-06-24T00:00:00"/>
    <n v="503"/>
    <s v="Nashik"/>
    <s v="M-U7D2S04V.005,_x000a_MO-U7F2S240.005"/>
    <d v="2021-01-21T00:00:00"/>
    <s v="UAT2Y440.012"/>
    <d v="2021-01-21T00:00:00"/>
    <m/>
    <m/>
    <m/>
    <s v="Conv-A DONE"/>
    <m/>
    <s v="Conv-A DONE"/>
    <s v="Conv-A DONE"/>
    <m/>
    <m/>
    <m/>
    <s v="Conv-A DONE"/>
    <s v="Conv-A DONE"/>
    <m/>
    <s v="EL17 G01 012 -R"/>
    <m/>
    <s v="Conv-A DONE"/>
    <m/>
    <s v="Conv-A DONE"/>
    <d v="2024-09-16T00:00:00"/>
    <m/>
    <d v="2023-09-05T00:00:00"/>
    <s v="Done"/>
    <m/>
    <m/>
    <d v="2024-06-20T00:00:00"/>
    <m/>
  </r>
  <r>
    <n v="104"/>
    <n v="37207"/>
    <s v="HLC-B"/>
    <s v="STB5L0510HLCD"/>
    <x v="0"/>
    <s v="SR"/>
    <s v="CHE"/>
    <d v="2019-06-24T00:00:00"/>
    <n v="510"/>
    <s v="Nashik"/>
    <s v="M-U7D2S04V.005,_x000a_MO-U7F2S240.005"/>
    <d v="2021-01-21T00:00:00"/>
    <s v="UAT2Y440.012"/>
    <d v="2021-01-21T00:00:00"/>
    <m/>
    <m/>
    <s v="Done by NW"/>
    <s v="Conv-B DONE"/>
    <m/>
    <s v="Conv-B DONE"/>
    <s v="Conv-B DONE"/>
    <m/>
    <m/>
    <m/>
    <s v="Conv-B DONE"/>
    <s v="Conv-B DONE"/>
    <m/>
    <m/>
    <m/>
    <s v="Conv-B DONE"/>
    <m/>
    <s v="Conv-B DONE"/>
    <d v="2024-09-16T00:00:00"/>
    <m/>
    <d v="2023-09-05T00:00:00"/>
    <s v="Done"/>
    <m/>
    <m/>
    <d v="2024-06-20T00:00:00"/>
    <m/>
  </r>
  <r>
    <n v="105"/>
    <n v="37208"/>
    <s v="HLC-A"/>
    <s v="STB5L0499HLCD"/>
    <x v="0"/>
    <s v="SR"/>
    <s v="CHE"/>
    <d v="2019-06-25T00:00:00"/>
    <n v="499"/>
    <s v="Nashik"/>
    <s v="M-U7D2S04V.005,_x000a_MO-U7F2S240.005"/>
    <d v="2021-02-23T00:00:00"/>
    <s v="UAT2Y440.012"/>
    <d v="2020-12-23T00:00:00"/>
    <d v="2023-07-07T00:00:00"/>
    <m/>
    <m/>
    <s v="Conv-A DONE"/>
    <m/>
    <s v="Conv-A DONE"/>
    <s v="Conv-A DONE"/>
    <m/>
    <m/>
    <m/>
    <s v="Conv-A DONE"/>
    <s v="Conv-A DONE"/>
    <m/>
    <m/>
    <m/>
    <s v="Conv-A DONE"/>
    <m/>
    <s v="Conv-A DONE"/>
    <d v="2024-06-22T00:00:00"/>
    <m/>
    <d v="2023-10-07T00:00:00"/>
    <s v="Done"/>
    <m/>
    <d v="2024-12-21T00:00:00"/>
    <d v="2024-06-24T00:00:00"/>
    <m/>
  </r>
  <r>
    <n v="106"/>
    <n v="37208"/>
    <s v="HLC-B"/>
    <s v="STB5L0519HLCD"/>
    <x v="0"/>
    <s v="SR"/>
    <s v="CHE"/>
    <d v="2019-06-25T00:00:00"/>
    <n v="519"/>
    <s v="Nashik"/>
    <s v="M-U7D2S04V.005,_x000a_MO-U7F2S240.005"/>
    <s v="Done"/>
    <s v="UAT2Y440.012"/>
    <d v="2021-06-28T00:00:00"/>
    <d v="2023-07-07T00:00:00"/>
    <m/>
    <s v="Done by NW"/>
    <s v="Conv-B DONE"/>
    <m/>
    <s v="Conv-B DONE"/>
    <m/>
    <m/>
    <m/>
    <m/>
    <s v="Conv-B DONE"/>
    <s v="Conv-B DONE"/>
    <m/>
    <m/>
    <m/>
    <s v="Conv-B DONE"/>
    <m/>
    <s v="Conv-B DONE"/>
    <d v="2024-06-22T00:00:00"/>
    <m/>
    <d v="2023-10-07T00:00:00"/>
    <s v="Done"/>
    <m/>
    <d v="2024-12-21T00:00:00"/>
    <d v="2024-06-24T00:00:00"/>
    <m/>
  </r>
  <r>
    <n v="107"/>
    <n v="37210"/>
    <s v="HLC-A"/>
    <s v="STB1L0381HLCD"/>
    <x v="0"/>
    <s v="SR"/>
    <s v="CHE"/>
    <d v="2019-07-23T00:00:00"/>
    <n v="381"/>
    <s v="Nashik"/>
    <s v="M-U7D2S04V.005,_x000a_MO-U7F2S240.005"/>
    <d v="2021-11-21T00:00:00"/>
    <s v="UAT2Y440.012"/>
    <d v="2021-01-08T00:00:00"/>
    <m/>
    <d v="2023-05-02T00:00:00"/>
    <m/>
    <s v="Conv-A DONE"/>
    <m/>
    <s v="Conv-A DONE"/>
    <s v="Conv-A DONE"/>
    <m/>
    <m/>
    <m/>
    <m/>
    <s v="Conv-A DONE"/>
    <m/>
    <m/>
    <m/>
    <s v="Conv-A DONE"/>
    <m/>
    <s v="Conv-A DONE"/>
    <d v="2024-09-06T00:00:00"/>
    <m/>
    <d v="2023-07-28T00:00:00"/>
    <s v="Done"/>
    <m/>
    <m/>
    <d v="2024-09-05T00:00:00"/>
    <m/>
  </r>
  <r>
    <n v="108"/>
    <n v="37210"/>
    <s v="HLC-B"/>
    <s v="STB5L0514HLCD"/>
    <x v="0"/>
    <s v="SR"/>
    <s v="CHE"/>
    <d v="2019-07-23T00:00:00"/>
    <n v="514"/>
    <s v="Nashik"/>
    <s v="M-U7D2S04V.005,_x000a_MO-U7F2S240.005"/>
    <d v="2021-11-21T00:00:00"/>
    <s v="UAT2Y440.012"/>
    <d v="2021-01-08T00:00:00"/>
    <m/>
    <d v="2023-05-02T00:00:00"/>
    <s v="Done by NW"/>
    <s v="Conv-B DONE"/>
    <m/>
    <s v="Conv-B DONE"/>
    <s v="Conv-B DONE"/>
    <m/>
    <m/>
    <m/>
    <m/>
    <s v="Conv-B DONE"/>
    <m/>
    <m/>
    <m/>
    <s v="Conv-B DONE"/>
    <m/>
    <s v="Conv-B DONE"/>
    <d v="2024-09-06T00:00:00"/>
    <m/>
    <d v="2023-07-28T00:00:00"/>
    <s v="Done"/>
    <m/>
    <m/>
    <d v="2024-09-05T00:00:00"/>
    <m/>
  </r>
  <r>
    <n v="109"/>
    <n v="37211"/>
    <s v="HLC-A"/>
    <s v="STB5L0515HLCD"/>
    <x v="0"/>
    <s v="SR"/>
    <s v="CHE"/>
    <d v="2019-07-23T00:00:00"/>
    <n v="515"/>
    <s v="Nashik"/>
    <s v="M-U7D2S04V.005,_x000a_MO-U7F2S240.005"/>
    <d v="2020-12-24T00:00:00"/>
    <s v="UAT2Y440.012"/>
    <d v="2020-12-24T00:00:00"/>
    <d v="2023-05-20T00:00:00"/>
    <m/>
    <s v="Done by NW"/>
    <s v="Conv-A DONE"/>
    <s v="Conv-A DONE"/>
    <s v="Conv -A Done"/>
    <s v="Conv-A DONE"/>
    <m/>
    <m/>
    <m/>
    <s v="Conv-A DONE"/>
    <s v="Conv-A DONE"/>
    <m/>
    <m/>
    <m/>
    <s v="Conv-A DONE"/>
    <m/>
    <s v="Conv-A DONE"/>
    <d v="2024-07-16T00:00:00"/>
    <m/>
    <d v="2023-08-26T00:00:00"/>
    <s v="Done"/>
    <m/>
    <m/>
    <m/>
    <m/>
  </r>
  <r>
    <n v="110"/>
    <n v="37211"/>
    <s v="HLC-B"/>
    <s v="STB1L0380HLCD"/>
    <x v="0"/>
    <s v="SR"/>
    <s v="CHE"/>
    <d v="2019-07-23T00:00:00"/>
    <n v="380"/>
    <s v="Nashik"/>
    <s v="M-U7D2S04V.005,_x000a_MO-U7F2S240.005"/>
    <d v="2020-12-24T00:00:00"/>
    <s v="UAT2Y440.012"/>
    <d v="2020-12-24T00:00:00"/>
    <d v="2023-05-20T00:00:00"/>
    <m/>
    <m/>
    <s v="Conv-B DONE"/>
    <s v="Conv-B DONE"/>
    <s v="Conv-B DONE"/>
    <s v="Conv-B DONE"/>
    <m/>
    <m/>
    <m/>
    <s v="Conv-B DONE"/>
    <s v="Conv-B DONE"/>
    <m/>
    <m/>
    <m/>
    <s v="Conv-B DONE"/>
    <m/>
    <s v="Conv-B DONE"/>
    <d v="2024-07-16T00:00:00"/>
    <m/>
    <d v="2023-08-26T00:00:00"/>
    <s v="Done"/>
    <m/>
    <m/>
    <m/>
    <m/>
  </r>
  <r>
    <n v="111"/>
    <n v="37213"/>
    <s v="HLC-A"/>
    <s v="STB5L0509HLCD"/>
    <x v="0"/>
    <s v="SR"/>
    <s v="CHE"/>
    <d v="2019-07-24T00:00:00"/>
    <n v="509"/>
    <s v="Nashik"/>
    <s v="M-U7D2S04V.005,_x000a_MO-U7F2S240.005"/>
    <d v="2021-02-28T00:00:00"/>
    <s v="UAT2Y440.012"/>
    <d v="2021-01-03T00:00:00"/>
    <d v="2024-01-19T00:00:00"/>
    <m/>
    <s v="Done by NW"/>
    <s v="Conv-A DONE"/>
    <m/>
    <s v="Conv-A DONE"/>
    <s v="Conv-A DONE"/>
    <m/>
    <m/>
    <m/>
    <m/>
    <s v="Conv-A DONE"/>
    <m/>
    <m/>
    <m/>
    <s v="Conv-A DONE"/>
    <m/>
    <s v="Conv-A DONE"/>
    <d v="2024-06-28T00:00:00"/>
    <m/>
    <d v="2023-07-27T00:00:00"/>
    <s v="Done"/>
    <m/>
    <d v="2024-10-25T00:00:00"/>
    <d v="2024-07-24T00:00:00"/>
    <m/>
  </r>
  <r>
    <n v="112"/>
    <n v="37213"/>
    <s v="HLC-B"/>
    <s v="STB4L0492HLCD"/>
    <x v="0"/>
    <s v="SR"/>
    <s v="CHE"/>
    <d v="2019-07-24T00:00:00"/>
    <n v="492"/>
    <s v="Nashik"/>
    <s v="M-U7D2S04V.005,_x000a_MO-U7F2S240.005"/>
    <d v="2021-02-28T00:00:00"/>
    <s v="UAT2Y440.012"/>
    <d v="2021-01-03T00:00:00"/>
    <d v="2024-01-19T00:00:00"/>
    <m/>
    <m/>
    <s v="Conv-B DONE"/>
    <m/>
    <s v="Conv-B DONE"/>
    <s v="Conv-B DONE"/>
    <m/>
    <m/>
    <m/>
    <m/>
    <s v="Conv-B DONE"/>
    <m/>
    <m/>
    <m/>
    <s v="Conv-B DONE"/>
    <m/>
    <s v="Conv-B DONE"/>
    <d v="2024-06-28T00:00:00"/>
    <m/>
    <d v="2023-07-27T00:00:00"/>
    <s v="Done"/>
    <m/>
    <d v="2024-10-25T00:00:00"/>
    <d v="2024-07-24T00:00:00"/>
    <m/>
  </r>
  <r>
    <n v="113"/>
    <n v="37301"/>
    <s v="HLC-A"/>
    <s v="STB6L0574HLCD"/>
    <x v="0"/>
    <s v="SR"/>
    <s v="CHE"/>
    <d v="2019-12-16T00:00:00"/>
    <n v="574"/>
    <s v="Nashik"/>
    <s v="M-U7D2S04V.005,_x000a_MO-U7F2S240.005"/>
    <d v="2020-12-15T00:00:00"/>
    <s v="UAT2Y440.012"/>
    <d v="2020-12-15T00:00:00"/>
    <d v="2023-07-12T00:00:00"/>
    <m/>
    <s v="Done by NW"/>
    <s v="Done by NW"/>
    <m/>
    <s v="Conv-A DONE"/>
    <s v="Conv-A DONE"/>
    <m/>
    <m/>
    <m/>
    <s v="Conv-A DONE"/>
    <s v="Conv-A DONE"/>
    <m/>
    <s v="EL22A03 016"/>
    <m/>
    <s v="Conv-A DONE"/>
    <m/>
    <s v="Conv-A DONE"/>
    <d v="2024-07-05T00:00:00"/>
    <m/>
    <d v="2023-11-25T00:00:00"/>
    <s v="1amp/10 sec"/>
    <d v="2024-09-07T00:00:00"/>
    <m/>
    <s v="Old type mesh"/>
    <m/>
  </r>
  <r>
    <n v="114"/>
    <n v="37301"/>
    <s v="HLC-B"/>
    <s v="STB6L0557HLCD"/>
    <x v="0"/>
    <s v="SR"/>
    <s v="CHE"/>
    <d v="2019-12-16T00:00:00"/>
    <n v="557"/>
    <s v="Nashik"/>
    <s v="M-U7D2S04V.005,_x000a_MO-U7F2S240.005"/>
    <d v="2020-12-15T00:00:00"/>
    <s v="UAT2Y440.012"/>
    <d v="2020-12-15T00:00:00"/>
    <d v="2023-07-12T00:00:00"/>
    <m/>
    <s v="Done by NW"/>
    <s v="Done by NW"/>
    <m/>
    <s v="Conv-B DONE"/>
    <s v="Conv-B DONE"/>
    <m/>
    <m/>
    <m/>
    <s v="Conv-B DONE"/>
    <s v="Conv-B DONE"/>
    <m/>
    <s v="EL17 G01 024 -R"/>
    <s v="EL20L05040"/>
    <s v="Conv-B DONE"/>
    <m/>
    <s v="Conv-B DONE"/>
    <d v="2024-07-05T00:00:00"/>
    <m/>
    <d v="2023-11-25T00:00:00"/>
    <s v="1amp/10 sec"/>
    <d v="2024-09-07T00:00:00"/>
    <m/>
    <s v="Old type mesh"/>
    <m/>
  </r>
  <r>
    <n v="115"/>
    <n v="37514"/>
    <s v="HLC-A"/>
    <s v="STB8M0925HLCD"/>
    <x v="0"/>
    <s v="SR"/>
    <s v="CHE"/>
    <d v="2020-12-30T00:00:00"/>
    <n v="925"/>
    <s v="Nashik"/>
    <s v="M-U7D2S04V.005,_x000a_MO-U7F2S240.005"/>
    <s v="Done by NW"/>
    <s v="UAT2Y440.012"/>
    <d v="2021-05-30T00:00:00"/>
    <m/>
    <m/>
    <s v="Done by NW"/>
    <s v="Done by NW"/>
    <m/>
    <s v="Conv-A DONE"/>
    <s v="Conv-A DONE"/>
    <m/>
    <m/>
    <s v="Done by NW"/>
    <m/>
    <s v="Conv-A DONE"/>
    <m/>
    <m/>
    <m/>
    <s v="Conv-A DONE"/>
    <m/>
    <s v="Conv-A DONE"/>
    <d v="2024-06-29T00:00:00"/>
    <m/>
    <d v="2023-10-28T00:00:00"/>
    <s v="Done"/>
    <m/>
    <m/>
    <d v="2024-10-01T00:00:00"/>
    <m/>
  </r>
  <r>
    <n v="116"/>
    <n v="37514"/>
    <s v="HLC-B"/>
    <s v="STBDL0759HLCD"/>
    <x v="0"/>
    <s v="SR"/>
    <s v="CHE"/>
    <d v="2020-12-30T00:00:00"/>
    <n v="759"/>
    <s v="Nashik"/>
    <s v="M-U7D2S04V.005,_x000a_MO-U7F2S240.005"/>
    <d v="2021-05-11T00:00:00"/>
    <s v="UAT2Y440.012"/>
    <d v="2021-05-30T00:00:00"/>
    <m/>
    <m/>
    <s v="Done by NW"/>
    <s v="Done by NW"/>
    <m/>
    <s v="Conv-B DONE"/>
    <s v="Conv-B DONE"/>
    <m/>
    <m/>
    <s v="Done by NW"/>
    <m/>
    <s v="Conv-B DONE"/>
    <m/>
    <m/>
    <m/>
    <s v="Conv-B DONE"/>
    <m/>
    <s v="Conv-B DONE"/>
    <d v="2024-06-29T00:00:00"/>
    <m/>
    <d v="2023-10-28T00:00:00"/>
    <s v="Done"/>
    <m/>
    <m/>
    <d v="2024-10-01T00:00:00"/>
    <m/>
  </r>
  <r>
    <n v="117"/>
    <n v="37547"/>
    <s v="HLC-A"/>
    <s v="STBOM1012HLCD"/>
    <x v="0"/>
    <s v="SR"/>
    <s v="CHE"/>
    <d v="2021-03-30T00:00:00"/>
    <n v="1012"/>
    <s v="Nashik"/>
    <s v="M-U7D2S04V.005,_x000a_MO-U7F2S240.005"/>
    <s v="Done by NW"/>
    <s v="UAT2Y440.012"/>
    <d v="2022-02-23T00:00:00"/>
    <d v="2023-06-12T00:00:00"/>
    <m/>
    <s v="Done by NW"/>
    <s v="Done by NW"/>
    <m/>
    <s v="Conv-A DONE"/>
    <s v="Conv-A DONE"/>
    <m/>
    <m/>
    <s v="Done by NW"/>
    <m/>
    <s v="Conv-A DONE"/>
    <m/>
    <m/>
    <m/>
    <s v="Conv-A DONE"/>
    <m/>
    <s v="Conv-A DONE"/>
    <d v="2024-07-01T00:00:00"/>
    <m/>
    <d v="2023-06-15T00:00:00"/>
    <s v="Done"/>
    <m/>
    <m/>
    <m/>
    <m/>
  </r>
  <r>
    <n v="118"/>
    <n v="37547"/>
    <s v="HLC-B"/>
    <s v="STB8M0915HLCD"/>
    <x v="0"/>
    <s v="SR"/>
    <s v="CHE"/>
    <d v="2021-03-30T00:00:00"/>
    <n v="915"/>
    <s v="Nashik"/>
    <s v="M-U7D2S04V.005,_x000a_MO-U7F2S240.005"/>
    <s v="Done by NW"/>
    <s v="UAT2Y440.012"/>
    <d v="2022-04-23T00:00:00"/>
    <d v="2023-06-12T00:00:00"/>
    <m/>
    <s v="Done by NW"/>
    <s v="Done by NW"/>
    <m/>
    <s v="Conv-B DONE"/>
    <s v="Conv-B DONE"/>
    <m/>
    <m/>
    <s v="Done by NW"/>
    <m/>
    <s v="Conv-B DONE"/>
    <m/>
    <m/>
    <m/>
    <s v="Conv-B DONE"/>
    <m/>
    <s v="Conv-B DONE"/>
    <d v="2024-07-01T00:00:00"/>
    <m/>
    <d v="2023-06-15T00:00:00"/>
    <m/>
    <m/>
    <m/>
    <d v="2024-09-25T00:00:00"/>
    <m/>
  </r>
  <r>
    <n v="119"/>
    <n v="39002"/>
    <s v="HLC-A"/>
    <s v="STB3K0206HLCD"/>
    <x v="0"/>
    <s v="SR"/>
    <s v="CHE"/>
    <d v="2018-11-30T00:00:00"/>
    <n v="206"/>
    <s v="Nashik"/>
    <s v="M-U7D2S04V.005,_x000a_MO-U7F2S240.005"/>
    <d v="2021-07-30T00:00:00"/>
    <s v="UAT2Y440.012"/>
    <d v="2020-12-30T00:00:00"/>
    <d v="2023-05-11T00:00:00"/>
    <m/>
    <m/>
    <s v="Conv-A DONE"/>
    <m/>
    <s v="Conv-A DONE"/>
    <s v="Conv-A DONE"/>
    <m/>
    <m/>
    <m/>
    <m/>
    <s v="Conv-A DONE"/>
    <m/>
    <s v="EL18K03 026-R"/>
    <m/>
    <s v="Conv-A DONE"/>
    <m/>
    <s v="Conv-A DONE"/>
    <d v="2024-07-15T00:00:00"/>
    <m/>
    <d v="2023-11-29T00:00:00"/>
    <s v="1amp/10 sec"/>
    <m/>
    <m/>
    <s v="Old type mesh"/>
    <m/>
  </r>
  <r>
    <n v="120"/>
    <n v="39002"/>
    <s v="HLC-B"/>
    <s v="STB3K0207HLCD"/>
    <x v="0"/>
    <s v="SR"/>
    <s v="CHE"/>
    <d v="2018-11-30T00:00:00"/>
    <n v="207"/>
    <s v="Nashik"/>
    <s v="M-U7D2S04V.005,_x000a_MO-U7F2S240.005"/>
    <d v="2021-07-30T00:00:00"/>
    <s v="UAT2Y440.012"/>
    <d v="2020-12-20T00:00:00"/>
    <d v="2023-05-11T00:00:00"/>
    <m/>
    <m/>
    <s v="Conv-B DONE"/>
    <m/>
    <s v="Conv-B DONE"/>
    <s v="Conv-B DONE"/>
    <m/>
    <m/>
    <m/>
    <m/>
    <s v="Conv-B DONE"/>
    <m/>
    <m/>
    <m/>
    <s v="Conv-B DONE"/>
    <m/>
    <s v="Conv-B DONE"/>
    <d v="2024-07-15T00:00:00"/>
    <m/>
    <d v="2023-11-29T00:00:00"/>
    <s v="1amp/10 sec"/>
    <m/>
    <m/>
    <s v="Old type mesh"/>
    <m/>
  </r>
  <r>
    <n v="121"/>
    <n v="39081"/>
    <s v="HLC-A"/>
    <s v="STB4L0485HLCD"/>
    <x v="0"/>
    <s v="SR"/>
    <s v="CHE"/>
    <d v="2019-08-14T00:00:00"/>
    <n v="485"/>
    <s v="Nashik"/>
    <s v="M-U7D2S04V.005,_x000a_MO-U7F2S240.005"/>
    <d v="2020-11-26T00:00:00"/>
    <s v="UAT2Y440.012"/>
    <d v="2020-12-17T00:00:00"/>
    <d v="2023-06-03T00:00:00"/>
    <m/>
    <m/>
    <s v="Conv-A DONE"/>
    <m/>
    <s v="Conv-A DONE"/>
    <s v="Conv-A DONE"/>
    <m/>
    <m/>
    <m/>
    <s v="Conv-A DONE"/>
    <s v="Conv-A DONE"/>
    <m/>
    <m/>
    <m/>
    <s v="Conv-A DONE"/>
    <m/>
    <s v="Conv-A DONE"/>
    <d v="2024-06-28T00:00:00"/>
    <m/>
    <d v="2023-12-08T00:00:00"/>
    <s v="1amp/10 sec"/>
    <m/>
    <m/>
    <d v="2024-10-09T00:00:00"/>
    <m/>
  </r>
  <r>
    <n v="122"/>
    <n v="39081"/>
    <s v="HLC-B"/>
    <s v="STB4L0480HLCD"/>
    <x v="0"/>
    <s v="SR"/>
    <s v="CHE"/>
    <d v="2019-08-14T00:00:00"/>
    <n v="480"/>
    <s v="Nashik"/>
    <s v="M-U7D2S04V.005,_x000a_MO-U7F2S240.005"/>
    <d v="2020-11-26T00:00:00"/>
    <s v="UAT2Y440.012"/>
    <d v="2020-12-17T00:00:00"/>
    <d v="2023-06-03T00:00:00"/>
    <m/>
    <m/>
    <s v="Conv-B DONE"/>
    <m/>
    <s v="Conv-B DONE"/>
    <s v="Conv-B DONE"/>
    <m/>
    <m/>
    <m/>
    <s v="Conv-B DONE"/>
    <s v="Conv-B DONE"/>
    <m/>
    <m/>
    <m/>
    <s v="Conv-B DONE"/>
    <m/>
    <s v="Conv-B DONE"/>
    <d v="2024-06-28T00:00:00"/>
    <m/>
    <d v="2023-12-08T00:00:00"/>
    <s v="1amp/10 sec"/>
    <m/>
    <m/>
    <d v="2024-10-09T00:00:00"/>
    <m/>
  </r>
  <r>
    <n v="123"/>
    <n v="39082"/>
    <s v="HLC-A"/>
    <s v="STB4L0488HLCD"/>
    <x v="0"/>
    <s v="SR"/>
    <s v="CHE"/>
    <d v="2019-08-09T00:00:00"/>
    <n v="488"/>
    <s v="Nashik"/>
    <s v="M-U7D2S04V.005,_x000a_MO-U7F2S240.005"/>
    <d v="2021-02-19T00:00:00"/>
    <s v="UAT2Y440.012"/>
    <d v="2021-01-03T00:00:00"/>
    <m/>
    <m/>
    <m/>
    <s v="Conv-A DONE"/>
    <m/>
    <s v="Conv-A DONE"/>
    <s v="Conv-A DONE"/>
    <m/>
    <m/>
    <m/>
    <m/>
    <s v="Conv-A DONE"/>
    <m/>
    <s v="EL19J04040"/>
    <m/>
    <s v="Conv-A DONE"/>
    <m/>
    <s v="Conv-A DONE"/>
    <d v="2024-06-25T00:00:00"/>
    <m/>
    <d v="2023-08-30T00:00:00"/>
    <s v="Done"/>
    <m/>
    <m/>
    <d v="2024-09-25T00:00:00"/>
    <m/>
  </r>
  <r>
    <n v="124"/>
    <n v="39082"/>
    <s v="HLC-B"/>
    <s v="STB4L0486HLCD"/>
    <x v="0"/>
    <s v="SR"/>
    <s v="CHE"/>
    <d v="2019-08-09T00:00:00"/>
    <n v="486"/>
    <s v="Nashik"/>
    <s v="M-U7D2S04V.005,_x000a_MO-U7F2S240.005"/>
    <d v="2021-02-19T00:00:00"/>
    <s v="UAT2Y440.012"/>
    <d v="2021-01-03T00:00:00"/>
    <m/>
    <m/>
    <m/>
    <s v="Conv-B DONE"/>
    <m/>
    <s v="Conv-B DONE"/>
    <s v="Conv-B DONE"/>
    <m/>
    <m/>
    <m/>
    <m/>
    <s v="Conv-B DONE"/>
    <m/>
    <m/>
    <m/>
    <s v="Conv-B DONE"/>
    <m/>
    <s v="Conv-B DONE"/>
    <d v="2024-06-25T00:00:00"/>
    <m/>
    <d v="2023-08-30T00:00:00"/>
    <s v="Done"/>
    <m/>
    <m/>
    <m/>
    <m/>
  </r>
  <r>
    <n v="125"/>
    <n v="39119"/>
    <s v="HLC-A"/>
    <s v="STB0L0660HLCD"/>
    <x v="0"/>
    <s v="SR"/>
    <s v="CHE"/>
    <d v="2019-12-31T00:00:00"/>
    <n v="660"/>
    <s v="Nashik"/>
    <s v="M-U7D2S04V.005,_x000a_MO-U7F2S240.005"/>
    <d v="2021-03-01T00:00:00"/>
    <s v="UAT2Y440.012"/>
    <d v="2021-06-15T00:00:00"/>
    <d v="2023-04-27T00:00:00"/>
    <d v="2022-06-10T00:00:00"/>
    <s v="Done by NW"/>
    <s v="Done by NW"/>
    <m/>
    <s v="Conv-A DONE"/>
    <s v="Conv-A DONE"/>
    <m/>
    <m/>
    <m/>
    <m/>
    <s v="Conv-A DONE"/>
    <m/>
    <m/>
    <m/>
    <s v="Conv-A DONE"/>
    <m/>
    <s v="Conv-A DONE"/>
    <d v="2024-07-08T00:00:00"/>
    <m/>
    <d v="2023-10-30T00:00:00"/>
    <s v="Done"/>
    <d v="2024-08-26T00:00:00"/>
    <m/>
    <d v="2024-08-29T00:00:00"/>
    <m/>
  </r>
  <r>
    <n v="126"/>
    <n v="39119"/>
    <s v="HLC-B"/>
    <s v="STB0L0657HLCD"/>
    <x v="0"/>
    <s v="SR"/>
    <s v="CHE"/>
    <d v="2019-12-31T00:00:00"/>
    <n v="657"/>
    <s v="Nashik"/>
    <s v="M-U7D2S04V.005,_x000a_MO-U7F2S240.005"/>
    <d v="2021-03-01T00:00:00"/>
    <s v="UAT2Y440.012"/>
    <d v="2021-06-15T00:00:00"/>
    <d v="2023-04-27T00:00:00"/>
    <d v="2022-06-10T00:00:00"/>
    <s v="Done by NW"/>
    <s v="Done by NW"/>
    <m/>
    <s v="Conv-B DONE"/>
    <s v="Conv-B DONE"/>
    <m/>
    <m/>
    <m/>
    <m/>
    <s v="Conv-B DONE"/>
    <m/>
    <m/>
    <m/>
    <s v="Conv-B DONE"/>
    <m/>
    <s v="Conv-B DONE"/>
    <d v="2024-07-08T00:00:00"/>
    <m/>
    <d v="2023-10-30T00:00:00"/>
    <s v="Done"/>
    <d v="2024-08-26T00:00:00"/>
    <m/>
    <d v="2024-08-29T00:00:00"/>
    <m/>
  </r>
  <r>
    <n v="127"/>
    <n v="39121"/>
    <s v="HLC-A"/>
    <s v="STBOL0670HLCD"/>
    <x v="0"/>
    <s v="SR"/>
    <s v="CHE"/>
    <d v="2020-01-10T00:00:00"/>
    <n v="670"/>
    <s v="Nashik"/>
    <s v="M-U7D2S04V.005,_x000a_MO-U7F2S240.005"/>
    <d v="2021-12-21T00:00:00"/>
    <s v="UAT2Y440.012"/>
    <d v="2021-12-19T00:00:00"/>
    <d v="2023-05-26T00:00:00"/>
    <m/>
    <s v="Done by NW"/>
    <s v="Done by NW"/>
    <m/>
    <s v="Conv-A DONE"/>
    <s v="Conv-A DONE"/>
    <m/>
    <s v="Conv-A DONE"/>
    <m/>
    <m/>
    <s v="Conv-A DONE"/>
    <m/>
    <m/>
    <m/>
    <s v="Conv-A DONE"/>
    <m/>
    <s v="Conv-A DONE"/>
    <d v="2024-06-26T00:00:00"/>
    <m/>
    <d v="2023-08-31T00:00:00"/>
    <m/>
    <m/>
    <m/>
    <d v="2024-09-18T00:00:00"/>
    <m/>
  </r>
  <r>
    <n v="128"/>
    <n v="39121"/>
    <s v="HLC-B"/>
    <s v="STBOL0675HLCD"/>
    <x v="0"/>
    <s v="SR"/>
    <s v="CHE"/>
    <d v="2020-01-10T00:00:00"/>
    <n v="675"/>
    <s v="Nashik"/>
    <s v="M-U7D2S04V.005,_x000a_MO-U7F2S240.005"/>
    <d v="2021-12-21T00:00:00"/>
    <s v="UAT2Y440.012"/>
    <d v="2022-03-23T00:00:00"/>
    <d v="2023-05-26T00:00:00"/>
    <m/>
    <s v="Done by NW"/>
    <s v="Done by NW"/>
    <m/>
    <s v="Conv-B DONE"/>
    <s v="Conv-B DONE"/>
    <m/>
    <s v="Conv-B DONE"/>
    <m/>
    <m/>
    <s v="Conv-B DONE"/>
    <m/>
    <m/>
    <m/>
    <s v="Conv-B DONE"/>
    <m/>
    <s v="Conv-B DONE"/>
    <d v="2024-06-26T00:00:00"/>
    <m/>
    <d v="2023-08-31T00:00:00"/>
    <m/>
    <m/>
    <m/>
    <d v="2024-09-18T00:00:00"/>
    <m/>
  </r>
  <r>
    <n v="129"/>
    <n v="39190"/>
    <s v="HLC-A"/>
    <s v="STB1N1086HLCD"/>
    <x v="1"/>
    <s v="SR"/>
    <s v="CHE"/>
    <d v="2021-03-23T00:00:00"/>
    <s v="1086"/>
    <s v="Nashik"/>
    <s v="M-U7D2S04V.005,_x000a_MO-U7F2S240.005"/>
    <s v="Done by NW"/>
    <s v="UAT2Y440.012"/>
    <s v="Done by NW"/>
    <d v="2023-07-24T00:00:00"/>
    <m/>
    <s v="Done by NW"/>
    <s v="Done by NW"/>
    <m/>
    <s v="Conv-A DONE"/>
    <s v="Conv-A DONE"/>
    <m/>
    <m/>
    <s v="Done by NW"/>
    <s v="Conv-A DONE"/>
    <s v="Conv-A DONE"/>
    <m/>
    <m/>
    <m/>
    <s v="Conv-A DONE"/>
    <m/>
    <s v="Conv-A DONE"/>
    <d v="2024-08-02T00:00:00"/>
    <s v="Done "/>
    <d v="2023-08-28T00:00:00"/>
    <s v="Done "/>
    <m/>
    <m/>
    <d v="2024-10-29T00:00:00"/>
    <m/>
  </r>
  <r>
    <n v="130"/>
    <n v="39190"/>
    <s v="HLC-B"/>
    <s v="STB1N1087HLCD"/>
    <x v="1"/>
    <s v="SR"/>
    <s v="CHE"/>
    <d v="2021-03-23T00:00:00"/>
    <s v="1087"/>
    <s v="Nashik"/>
    <s v="M-U7D2S04V.005,_x000a_MO-U7F2S240.005"/>
    <s v="Done by NW"/>
    <s v="UAT2Y440.012"/>
    <s v="Done by NW"/>
    <d v="2023-07-24T00:00:00"/>
    <m/>
    <s v="Done by NW"/>
    <s v="Done by NW"/>
    <m/>
    <s v="Conv-B DONE"/>
    <s v="Conv-B DONE"/>
    <m/>
    <m/>
    <s v="Done by NW"/>
    <s v="Conv-B DONE"/>
    <s v="Conv-B DONE"/>
    <m/>
    <m/>
    <m/>
    <s v="Conv-B DONE"/>
    <m/>
    <s v="Conv-B DONE"/>
    <d v="2024-08-02T00:00:00"/>
    <s v="Done "/>
    <d v="2023-08-28T00:00:00"/>
    <s v="Done "/>
    <m/>
    <m/>
    <d v="2024-10-29T00:00:00"/>
    <m/>
  </r>
  <r>
    <n v="131"/>
    <n v="39191"/>
    <s v="HLC-A"/>
    <s v="STB1N1082HLCD"/>
    <x v="1"/>
    <s v="SR"/>
    <s v="CHE"/>
    <d v="2021-04-29T00:00:00"/>
    <s v="1082"/>
    <s v="Nashik"/>
    <s v="M-U7D2S04V.005,_x000a_MO-U7F2S240.005"/>
    <s v="Done by NW"/>
    <s v="UAT2Y440.012"/>
    <s v="Done by NW"/>
    <d v="2023-06-28T00:00:00"/>
    <m/>
    <s v="Done by NW"/>
    <s v="Done by NW"/>
    <m/>
    <s v="Conv-A DONE"/>
    <s v="Conv-A DONE"/>
    <m/>
    <m/>
    <s v="Done by NW"/>
    <s v="Conv-A DONE"/>
    <s v="Conv-A DONE"/>
    <m/>
    <m/>
    <m/>
    <m/>
    <m/>
    <s v="Conv-A DONE"/>
    <d v="2024-07-04T00:00:00"/>
    <s v="Done "/>
    <d v="2023-08-30T00:00:00"/>
    <s v="Done "/>
    <m/>
    <m/>
    <d v="2024-06-29T00:00:00"/>
    <m/>
  </r>
  <r>
    <n v="132"/>
    <n v="39191"/>
    <s v="HLC-B"/>
    <s v="STB1N1083HLCD"/>
    <x v="1"/>
    <s v="SR"/>
    <s v="CHE"/>
    <d v="2021-04-29T00:00:00"/>
    <s v="1083"/>
    <s v="Nashik"/>
    <s v="M-U7D2S04V.005,_x000a_MO-U7F2S240.005"/>
    <s v="Done by NW"/>
    <s v="UAT2Y440.012"/>
    <s v="Done by NW"/>
    <d v="2023-06-28T00:00:00"/>
    <m/>
    <s v="Done by NW"/>
    <s v="Done by NW"/>
    <m/>
    <s v="Conv-B DONE"/>
    <s v="Conv-B DONE"/>
    <m/>
    <m/>
    <s v="Done by NW"/>
    <s v="Conv-B DONE"/>
    <s v="Conv-B DONE"/>
    <m/>
    <m/>
    <m/>
    <m/>
    <m/>
    <s v="Conv-B DONE"/>
    <d v="2024-07-04T00:00:00"/>
    <s v="Done "/>
    <d v="2023-08-30T00:00:00"/>
    <s v="Done "/>
    <m/>
    <m/>
    <d v="2024-06-29T00:00:00"/>
    <m/>
  </r>
  <r>
    <n v="133"/>
    <n v="37176"/>
    <s v="HLC-A"/>
    <s v="STB2L0440HLCD"/>
    <x v="1"/>
    <s v="SR"/>
    <s v="CHE"/>
    <d v="2019-05-20T00:00:00"/>
    <n v="440"/>
    <s v="Nashik"/>
    <s v="M-U7D2S04V.005,_x000a_MO-U7F2S240.005"/>
    <m/>
    <s v="UAT2Y440.012"/>
    <d v="2022-04-02T00:00:00"/>
    <m/>
    <m/>
    <s v="Conv-A DONE"/>
    <s v="Conv-A DONE"/>
    <m/>
    <s v="Conv-A DONE"/>
    <s v="Conv-A DONE"/>
    <m/>
    <m/>
    <m/>
    <s v="Conv-A DONE"/>
    <s v="Conv-A DONE"/>
    <m/>
    <m/>
    <m/>
    <s v="Conv-A DONE"/>
    <m/>
    <s v="Conv-A DONE"/>
    <d v="2024-07-08T00:00:00"/>
    <s v="Done "/>
    <d v="2023-09-06T00:00:00"/>
    <s v="Done "/>
    <d v="2024-06-27T00:00:00"/>
    <m/>
    <d v="2024-07-02T00:00:00"/>
    <m/>
  </r>
  <r>
    <n v="134"/>
    <n v="37176"/>
    <s v="HLC-B"/>
    <s v="STB2L0441HLCD"/>
    <x v="1"/>
    <s v="SR"/>
    <s v="CHE"/>
    <d v="2019-05-20T00:00:00"/>
    <n v="441"/>
    <s v="Nashik"/>
    <s v="M-U7D2S04V.005,_x000a_MO-U7F2S240.005"/>
    <m/>
    <s v="UAT2Y440.012"/>
    <d v="2022-04-02T00:00:00"/>
    <m/>
    <m/>
    <s v="Conv-B DONE"/>
    <s v="Conv-B DONE"/>
    <m/>
    <s v="Conv-B DONE"/>
    <s v="Conv-B DONE"/>
    <m/>
    <m/>
    <m/>
    <s v="Conv-B DONE"/>
    <s v="Conv-B DONE"/>
    <m/>
    <m/>
    <m/>
    <s v="Conv-B DONE"/>
    <m/>
    <s v="Conv-B DONE"/>
    <d v="2024-07-08T00:00:00"/>
    <s v="Done "/>
    <d v="2023-09-06T00:00:00"/>
    <s v="Done "/>
    <d v="2024-06-27T00:00:00"/>
    <m/>
    <d v="2024-07-02T00:00:00"/>
    <m/>
  </r>
  <r>
    <n v="135"/>
    <n v="37581"/>
    <s v="HLC-B"/>
    <s v="STBDL0755HLCD"/>
    <x v="0"/>
    <s v="SR"/>
    <s v="CHE"/>
    <d v="2021-05-18T00:00:00"/>
    <n v="755"/>
    <s v="Nashik"/>
    <s v="M-U7D2S04V.005,_x000a_MO-U7F2S240.005"/>
    <s v="Done"/>
    <s v="UAT2Y440.012"/>
    <s v="Done by NW"/>
    <d v="2023-08-07T00:00:00"/>
    <m/>
    <s v="Done by NW"/>
    <s v="Done by NW"/>
    <m/>
    <s v="Conv-A DONE"/>
    <s v="Conv-A DONE"/>
    <m/>
    <m/>
    <m/>
    <m/>
    <s v="Conv-A DONE"/>
    <m/>
    <m/>
    <m/>
    <s v="Conv-A DONE"/>
    <m/>
    <s v="Conv-A DONE"/>
    <d v="2024-06-27T00:00:00"/>
    <s v="Done "/>
    <d v="2023-11-02T00:00:00"/>
    <s v="Done "/>
    <m/>
    <m/>
    <m/>
    <m/>
  </r>
  <r>
    <n v="136"/>
    <n v="37581"/>
    <s v="HLC-A"/>
    <s v="STBDL0757HLCD"/>
    <x v="0"/>
    <s v="SR"/>
    <s v="CHE"/>
    <d v="2021-05-18T00:00:00"/>
    <n v="757"/>
    <s v="Nashik"/>
    <s v="M-U7D2S04V.005,_x000a_MO-U7F2S240.005"/>
    <s v="Done"/>
    <s v="UAT2Y440.012"/>
    <s v="Done by NW"/>
    <d v="2023-08-07T00:00:00"/>
    <m/>
    <s v="Done by NW"/>
    <s v="Done by NW"/>
    <m/>
    <s v="Conv-B DONE"/>
    <s v="Conv-B DONE"/>
    <m/>
    <m/>
    <m/>
    <m/>
    <s v="Conv-B DONE"/>
    <m/>
    <m/>
    <m/>
    <s v="Conv-B DONE"/>
    <m/>
    <s v="Conv-B DONE"/>
    <d v="2024-06-27T00:00:00"/>
    <s v="Done "/>
    <d v="2023-11-02T00:00:00"/>
    <s v="Done "/>
    <m/>
    <m/>
    <m/>
    <m/>
  </r>
  <r>
    <n v="137"/>
    <n v="37580"/>
    <s v="HLC-A"/>
    <s v="STB5M0780HLCD"/>
    <x v="0"/>
    <s v="SR"/>
    <s v="CHE"/>
    <d v="2021-05-20T00:00:00"/>
    <n v="780"/>
    <s v="Nashik"/>
    <s v="M-U7D2S04V.005,_x000a_MO-U7F2S240.005"/>
    <s v="Done "/>
    <s v="UAT2Y440.012"/>
    <s v="Done by NW"/>
    <d v="2023-07-24T00:00:00"/>
    <m/>
    <s v="Done by NW"/>
    <s v="Done by NW"/>
    <m/>
    <s v="Conv-A DONE"/>
    <s v="Conv-A DONE"/>
    <m/>
    <m/>
    <s v="Done by NW"/>
    <m/>
    <s v="Conv-A DONE"/>
    <m/>
    <m/>
    <m/>
    <s v="Conv-A DONE"/>
    <m/>
    <s v="Conv-A DONE"/>
    <d v="2024-07-11T00:00:00"/>
    <s v="Done "/>
    <d v="2023-09-06T00:00:00"/>
    <s v="Done "/>
    <m/>
    <m/>
    <d v="2024-09-13T00:00:00"/>
    <m/>
  </r>
  <r>
    <n v="138"/>
    <n v="37594"/>
    <s v="HLC-A"/>
    <s v="STB8M0936HLCD"/>
    <x v="0"/>
    <s v="SR"/>
    <s v="CHE"/>
    <d v="2021-06-20T00:00:00"/>
    <n v="936"/>
    <s v="Nashik"/>
    <s v="M-U7D2S04V.005,_x000a_MO-U7F2S240.005"/>
    <s v="Done by NW"/>
    <m/>
    <m/>
    <d v="2023-06-26T00:00:00"/>
    <m/>
    <s v="Done by NW"/>
    <s v="Done by NW"/>
    <m/>
    <s v="Conv-A DONE"/>
    <s v="Conv-A DONE"/>
    <m/>
    <m/>
    <s v="Done by NW"/>
    <m/>
    <s v="Conv-A DONE"/>
    <m/>
    <m/>
    <m/>
    <s v="Conv-A DONE"/>
    <m/>
    <s v="NA(Old type bus bar)"/>
    <d v="2024-07-23T00:00:00"/>
    <s v="Done "/>
    <d v="2023-09-06T00:00:00"/>
    <s v="Done "/>
    <m/>
    <m/>
    <d v="2024-07-23T00:00:00"/>
    <m/>
  </r>
  <r>
    <n v="139"/>
    <n v="37594"/>
    <s v="HLC-B"/>
    <s v="STB8M0937HLCD"/>
    <x v="0"/>
    <s v="SR"/>
    <s v="CHE"/>
    <d v="2021-06-20T00:00:00"/>
    <n v="937"/>
    <s v="Nashik"/>
    <s v="M-U7D2S04V.005,_x000a_MO-U7F2S240.005"/>
    <s v="Done by NW"/>
    <m/>
    <m/>
    <d v="2023-06-26T00:00:00"/>
    <m/>
    <s v="Done by NW"/>
    <s v="Done by NW"/>
    <m/>
    <s v="Conv-B DONE"/>
    <s v="Conv-B DONE"/>
    <m/>
    <m/>
    <s v="Done by NW"/>
    <m/>
    <s v="Conv-B DONE"/>
    <m/>
    <m/>
    <m/>
    <s v="Conv-B DONE"/>
    <m/>
    <s v="NA(Old type bus bar)"/>
    <d v="2024-07-23T00:00:00"/>
    <s v="Done "/>
    <d v="2023-08-24T00:00:00"/>
    <s v="Done "/>
    <m/>
    <m/>
    <d v="2024-07-23T00:00:00"/>
    <m/>
  </r>
  <r>
    <n v="140"/>
    <n v="37580"/>
    <s v="HLC-B"/>
    <s v="STBNM1039"/>
    <x v="0"/>
    <s v="SR"/>
    <s v="CHE"/>
    <d v="2021-05-20T00:00:00"/>
    <n v="1039"/>
    <s v="Nashik"/>
    <s v="M-U7D2S04V.005,_x000a_MO-U7F2S240.005"/>
    <s v="Done by NW"/>
    <s v="UAT2Y440.012"/>
    <s v="Done by NW"/>
    <d v="2023-07-24T00:00:00"/>
    <m/>
    <s v="Done by NW"/>
    <s v="Done by NW"/>
    <m/>
    <s v="Conv-B DONE"/>
    <s v="Conv-B DONE"/>
    <m/>
    <m/>
    <s v="Done by NW"/>
    <m/>
    <s v="Conv-B DONE"/>
    <m/>
    <m/>
    <m/>
    <s v="Conv-B DONE"/>
    <m/>
    <s v="Conv-B DONE"/>
    <d v="2024-07-11T00:00:00"/>
    <s v="Done "/>
    <d v="2023-08-24T00:00:00"/>
    <s v="Done "/>
    <m/>
    <m/>
    <d v="2024-09-13T00:00:00"/>
    <m/>
  </r>
  <r>
    <n v="141"/>
    <n v="30717"/>
    <s v="HLC-A"/>
    <s v="STBDM1064"/>
    <x v="1"/>
    <s v="SR"/>
    <s v="CHE"/>
    <m/>
    <n v="1064"/>
    <s v="Nashik"/>
    <s v="M-U7D2S04V.005,_x000a_MO-U7F2S240.005"/>
    <s v="Done by NW"/>
    <s v="UAT2Y440.012"/>
    <s v="Done by NW"/>
    <d v="2023-07-13T00:00:00"/>
    <m/>
    <s v="Done by NW"/>
    <s v="Done by NW"/>
    <s v="Conv-A DONE"/>
    <s v="Conv-A DONE"/>
    <s v="Conv-A DONE"/>
    <m/>
    <m/>
    <s v="Done by NW"/>
    <s v="Conv-A DONE"/>
    <s v="Conv-A DONE"/>
    <m/>
    <m/>
    <m/>
    <s v="Conv-A DONE"/>
    <m/>
    <s v="Conv-A DONE"/>
    <d v="2024-07-03T00:00:00"/>
    <s v="Done "/>
    <d v="2023-11-02T00:00:00"/>
    <s v="Done "/>
    <m/>
    <m/>
    <d v="2024-07-03T00:00:00"/>
    <m/>
  </r>
  <r>
    <n v="142"/>
    <n v="30717"/>
    <s v="HLC-B"/>
    <s v="STBDM1065"/>
    <x v="1"/>
    <s v="SR"/>
    <s v="CHE"/>
    <m/>
    <n v="1065"/>
    <s v="Nashik"/>
    <s v="M-U7D2S04V.005,_x000a_MO-U7F2S240.005"/>
    <s v="Done by NW"/>
    <s v="UAT2Y440.012"/>
    <s v="Done by NW"/>
    <d v="2023-07-13T00:00:00"/>
    <m/>
    <s v="Done by NW"/>
    <s v="Done by NW"/>
    <s v="Conv-B DONE"/>
    <s v="Conv-B DONE"/>
    <s v="Conv-B DONE"/>
    <m/>
    <m/>
    <s v="Done by NW"/>
    <s v="Conv-B DONE"/>
    <s v="Conv-B DONE"/>
    <m/>
    <m/>
    <m/>
    <s v="Conv-B DONE"/>
    <m/>
    <s v="Conv-B DONE"/>
    <d v="2024-07-03T00:00:00"/>
    <s v="Done "/>
    <d v="2023-11-02T00:00:00"/>
    <s v="Done "/>
    <m/>
    <m/>
    <d v="2024-07-03T00:00:00"/>
    <m/>
  </r>
  <r>
    <n v="143"/>
    <n v="30562"/>
    <s v="HLC-A"/>
    <s v="STB4N1116HLCD"/>
    <x v="0"/>
    <s v="SR"/>
    <s v="CHE"/>
    <d v="2022-06-03T00:00:00"/>
    <n v="1116"/>
    <s v="Nashik"/>
    <s v="M-U7D2S04V.005,_x000a_MO-U7F2S240.005"/>
    <s v="Done by NW"/>
    <s v="UAT2Y440.012"/>
    <s v="Done by NW"/>
    <d v="2023-06-09T00:00:00"/>
    <m/>
    <s v="Done by NW"/>
    <s v="Done by NW"/>
    <s v="Done by NW"/>
    <s v="Conv-A DONE"/>
    <s v="Conv-A DONE"/>
    <m/>
    <m/>
    <s v="Done by NW"/>
    <s v="Conv-A DONE"/>
    <s v="Conv-A DONE"/>
    <m/>
    <m/>
    <m/>
    <s v="Conv-A DONE"/>
    <m/>
    <s v="Conv-A DONE"/>
    <d v="2024-07-03T00:00:00"/>
    <s v="Done "/>
    <d v="2023-11-30T00:00:00"/>
    <s v="Done "/>
    <d v="2024-06-29T00:00:00"/>
    <m/>
    <d v="2024-06-27T00:00:00"/>
    <m/>
  </r>
  <r>
    <n v="144"/>
    <n v="30562"/>
    <s v="HLC-B"/>
    <s v="STB4N1117HLCD"/>
    <x v="0"/>
    <s v="SR"/>
    <s v="CHE"/>
    <d v="2022-06-03T00:00:00"/>
    <n v="1117"/>
    <s v="Nashik"/>
    <s v="M-U7D2S04V.005,_x000a_MO-U7F2S240.005"/>
    <s v="Done by NW"/>
    <s v="UAT2Y440.012"/>
    <s v="Done by NW"/>
    <d v="2023-06-09T00:00:00"/>
    <m/>
    <s v="Done by NW"/>
    <s v="Done by NW"/>
    <s v="Done by NW"/>
    <s v="Conv-B DONE"/>
    <s v="Conv-B DONE"/>
    <m/>
    <m/>
    <s v="Done by NW"/>
    <s v="Conv-B DONE"/>
    <s v="Conv-B DONE"/>
    <m/>
    <m/>
    <m/>
    <s v="Conv-B DONE"/>
    <m/>
    <s v="Conv-B DONE"/>
    <d v="2024-07-03T00:00:00"/>
    <s v="Done "/>
    <d v="2023-11-30T00:00:00"/>
    <s v="Done "/>
    <d v="2024-06-29T00:00:00"/>
    <m/>
    <d v="2024-06-27T00:00:00"/>
    <m/>
  </r>
  <r>
    <n v="145"/>
    <n v="30350"/>
    <s v="HLC-A"/>
    <s v="STB4N1120HLCD"/>
    <x v="0"/>
    <s v="SR"/>
    <s v="CHE"/>
    <m/>
    <n v="1120"/>
    <s v="Nashik"/>
    <s v="M-U7D2S04V.005,_x000a_MO-U7F2S240.005"/>
    <s v="Done by NW"/>
    <s v="UAT2Y440.012"/>
    <s v="Done by NW"/>
    <d v="2023-12-29T00:00:00"/>
    <m/>
    <s v="Done by NW"/>
    <s v="Done by NW"/>
    <s v="Done by NW"/>
    <s v="Conv-A DONE"/>
    <s v="Conv-A DONE"/>
    <m/>
    <m/>
    <s v="Done by NW"/>
    <s v="Conv-A DONE"/>
    <s v="Conv-A DONE"/>
    <m/>
    <m/>
    <m/>
    <s v="Conv-A DONE"/>
    <m/>
    <s v="Conv-A DONE"/>
    <d v="2024-06-26T00:00:00"/>
    <s v="Done "/>
    <d v="2023-09-29T00:00:00"/>
    <s v="Done "/>
    <m/>
    <m/>
    <d v="2024-06-20T00:00:00"/>
    <m/>
  </r>
  <r>
    <n v="146"/>
    <n v="30350"/>
    <s v="HLC-B"/>
    <s v="STB4N1118HLCD"/>
    <x v="0"/>
    <s v="SR"/>
    <s v="CHE"/>
    <m/>
    <n v="1118"/>
    <s v="Nashik"/>
    <s v="M-U7D2S04V.005,_x000a_MO-U7F2S240.005"/>
    <s v="Done by NW"/>
    <s v="UAT2Y440.012"/>
    <s v="Done by NW"/>
    <d v="2023-12-29T00:00:00"/>
    <m/>
    <s v="Done by NW"/>
    <s v="Done by NW"/>
    <s v="Done by NW"/>
    <s v="Conv-B DONE"/>
    <s v="Conv-B DONE"/>
    <m/>
    <m/>
    <s v="Done by NW"/>
    <s v="Conv-B DONE"/>
    <s v="Conv-B DONE"/>
    <m/>
    <m/>
    <m/>
    <s v="Conv-B DONE"/>
    <m/>
    <s v="Conv-B DONE"/>
    <d v="2024-06-26T00:00:00"/>
    <s v="Done "/>
    <d v="2023-09-29T00:00:00"/>
    <s v="Done "/>
    <m/>
    <m/>
    <d v="2024-06-20T00:00:00"/>
    <m/>
  </r>
  <r>
    <n v="147"/>
    <n v="30679"/>
    <s v="HLC-A"/>
    <s v="STB4N1119HLCD"/>
    <x v="0"/>
    <s v="SR"/>
    <s v="CHE"/>
    <d v="2022-03-28T00:00:00"/>
    <n v="1119"/>
    <s v="Nashik"/>
    <s v="M-U7D2S04V.005,_x000a_MO-U7F2S240.005"/>
    <s v="Done by NW"/>
    <s v="UAT2Y440.012"/>
    <s v="Done by NW"/>
    <d v="2023-08-19T00:00:00"/>
    <m/>
    <s v="Done by NW"/>
    <s v="Done by NW"/>
    <s v="Done by NW"/>
    <s v="Conv-A DONE"/>
    <s v="Conv-A DONE"/>
    <m/>
    <m/>
    <s v="Done by NW"/>
    <s v="Conv-A DONE"/>
    <s v="Conv-A DONE"/>
    <m/>
    <m/>
    <m/>
    <s v="Conv-A DONE"/>
    <m/>
    <s v="Conv-A DONE"/>
    <d v="2024-07-12T00:00:00"/>
    <s v="Done "/>
    <d v="2023-08-19T00:00:00"/>
    <s v="Done "/>
    <m/>
    <m/>
    <d v="2024-08-30T00:00:00"/>
    <m/>
  </r>
  <r>
    <n v="148"/>
    <n v="30679"/>
    <s v="HLC-B"/>
    <s v="STB4N1121HLCD"/>
    <x v="0"/>
    <s v="SR"/>
    <s v="CHE"/>
    <d v="2022-03-28T00:00:00"/>
    <n v="1121"/>
    <s v="Nashik"/>
    <s v="M-U7D2S04V.005,_x000a_MO-U7F2S240.005"/>
    <s v="Done by NW"/>
    <s v="UAT2Y440.012"/>
    <s v="Done by NW"/>
    <d v="2023-08-19T00:00:00"/>
    <m/>
    <s v="Done by NW"/>
    <s v="Done by NW"/>
    <s v="Done by NW"/>
    <s v="Conv-B DONE"/>
    <s v="Conv-B DONE"/>
    <m/>
    <m/>
    <s v="Done by NW"/>
    <s v="Conv-B DONE"/>
    <s v="Conv-B DONE"/>
    <m/>
    <m/>
    <m/>
    <s v="Conv-B DONE"/>
    <m/>
    <s v="Conv-B DONE"/>
    <d v="2024-07-12T00:00:00"/>
    <s v="Done "/>
    <d v="2023-08-19T00:00:00"/>
    <s v="Done "/>
    <m/>
    <m/>
    <d v="2024-08-30T00:00:00"/>
    <m/>
  </r>
  <r>
    <n v="149"/>
    <n v="30341"/>
    <s v="HLC-A"/>
    <s v="STBNN1174HLCD"/>
    <x v="1"/>
    <s v="SR"/>
    <s v="CHE"/>
    <d v="2020-02-04T00:00:00"/>
    <m/>
    <s v="Nashik"/>
    <s v="M-U7D2S04V.005,_x000a_MO-U7F2S240.005"/>
    <s v="Done by NW"/>
    <s v="UAT2Y440.012"/>
    <s v="Done by NW"/>
    <d v="2023-06-28T00:00:00"/>
    <m/>
    <m/>
    <s v="Done by NW"/>
    <m/>
    <s v="Conv-A DONE"/>
    <s v="Conv-A DONE"/>
    <m/>
    <m/>
    <m/>
    <s v="Conv-A DONE"/>
    <s v="Conv-A DONE"/>
    <m/>
    <m/>
    <m/>
    <s v="Conv-A DONE"/>
    <m/>
    <s v="Conv-A DONE"/>
    <d v="2024-07-05T00:00:00"/>
    <s v="Done "/>
    <d v="2023-09-06T00:00:00"/>
    <s v="Done "/>
    <d v="2024-07-26T00:00:00"/>
    <m/>
    <d v="2024-10-29T00:00:00"/>
    <m/>
  </r>
  <r>
    <n v="150"/>
    <n v="30341"/>
    <s v="HLC-B"/>
    <s v="STBNN1175HLCD"/>
    <x v="1"/>
    <s v="SR"/>
    <s v="CHE"/>
    <d v="2020-02-04T00:00:00"/>
    <m/>
    <s v="Nashik"/>
    <s v="M-U7D2S04V.005,_x000a_MO-U7F2S240.005"/>
    <s v="Done by NW"/>
    <s v="UAT2Y440.012"/>
    <s v="Done by NW"/>
    <d v="2023-06-28T00:00:00"/>
    <m/>
    <m/>
    <s v="Done by NW"/>
    <m/>
    <s v="Conv-B DONE"/>
    <s v="Conv-B DONE"/>
    <m/>
    <m/>
    <m/>
    <s v="Conv-B DONE"/>
    <s v="Conv-B DONE"/>
    <m/>
    <m/>
    <m/>
    <s v="Conv-B DONE"/>
    <m/>
    <s v="Conv-B DONE"/>
    <d v="2024-07-05T00:00:00"/>
    <s v="Done "/>
    <d v="2023-09-06T00:00:00"/>
    <s v="Done "/>
    <d v="2024-07-26T00:00:00"/>
    <m/>
    <d v="2024-07-02T00:00:00"/>
    <m/>
  </r>
  <r>
    <n v="151"/>
    <n v="30349"/>
    <s v="HLC-A"/>
    <s v="STBNN1176HLCD"/>
    <x v="1"/>
    <s v="SR"/>
    <s v="CHE"/>
    <d v="2021-02-06T00:00:00"/>
    <m/>
    <s v="Nashik"/>
    <s v="M-U7D2S04V.005,_x000a_MO-U7F2S240.005"/>
    <s v="Done by NW"/>
    <s v="UAT2Y440.012"/>
    <s v="Done by NW"/>
    <d v="2023-08-24T00:00:00"/>
    <m/>
    <m/>
    <s v="Done by NW"/>
    <m/>
    <s v="Conv-A DONE"/>
    <s v="Conv-A DONE"/>
    <m/>
    <m/>
    <m/>
    <s v="Conv-A DONE"/>
    <s v="Conv-A DONE"/>
    <m/>
    <m/>
    <m/>
    <s v="Conv-A DONE"/>
    <m/>
    <s v="Conv-A DONE"/>
    <d v="2024-06-27T00:00:00"/>
    <s v="Done "/>
    <d v="2023-08-24T00:00:00"/>
    <s v="Done "/>
    <m/>
    <m/>
    <d v="2024-09-23T00:00:00"/>
    <m/>
  </r>
  <r>
    <n v="152"/>
    <n v="30349"/>
    <s v="HLC-B"/>
    <s v="STBNN1177HLCD"/>
    <x v="1"/>
    <s v="SR"/>
    <s v="CHE"/>
    <d v="2021-02-06T00:00:00"/>
    <m/>
    <s v="Nashik"/>
    <s v="M-U7D2S04V.005,_x000a_MO-U7F2S240.005"/>
    <s v="Done by NW"/>
    <s v="UAT2Y440.012"/>
    <s v="Done by NW"/>
    <d v="2023-08-24T00:00:00"/>
    <m/>
    <m/>
    <s v="Done by NW"/>
    <m/>
    <s v="Conv-B DONE"/>
    <s v="Conv-B DONE"/>
    <m/>
    <m/>
    <m/>
    <s v="Conv-B DONE"/>
    <s v="Conv-B DONE"/>
    <m/>
    <m/>
    <m/>
    <s v="Conv-B DONE"/>
    <m/>
    <s v="Conv-B DONE"/>
    <d v="2024-06-27T00:00:00"/>
    <s v="Done "/>
    <d v="2023-08-24T00:00:00"/>
    <s v="Done "/>
    <m/>
    <m/>
    <d v="2024-09-23T00:00:00"/>
    <m/>
  </r>
  <r>
    <n v="153"/>
    <n v="30644"/>
    <s v="HLC-A"/>
    <s v="STBNM1050HLCD"/>
    <x v="1"/>
    <s v="SR"/>
    <s v="CHE"/>
    <d v="2021-09-11T00:00:00"/>
    <m/>
    <s v="Nashik"/>
    <s v="M-U7D2S04V.005,_x000a_MO-U7F2S240.005"/>
    <s v="Done by NW"/>
    <s v="UAT2Y440.012"/>
    <s v="Done by NW"/>
    <d v="2023-07-11T00:00:00"/>
    <m/>
    <s v="Done by NW"/>
    <s v="Done by NW"/>
    <s v="Conv-A DONE"/>
    <s v="Conv-A DONE"/>
    <s v="Conv-A DONE"/>
    <m/>
    <s v="Conv-A DONE"/>
    <s v="Conv-A DONE"/>
    <s v="Conv-A DONE"/>
    <s v="Conv-A DONE"/>
    <m/>
    <m/>
    <m/>
    <s v="Conv-A DONE"/>
    <m/>
    <s v="Conv-A DONE"/>
    <d v="2024-07-01T00:00:00"/>
    <s v="Done "/>
    <d v="2023-10-09T00:00:00"/>
    <s v="Done "/>
    <d v="2024-09-27T00:00:00"/>
    <m/>
    <m/>
    <m/>
  </r>
  <r>
    <n v="154"/>
    <n v="30644"/>
    <s v="HLC-B"/>
    <s v="STBNM1051HLCD"/>
    <x v="1"/>
    <s v="SR"/>
    <s v="CHE"/>
    <d v="2021-09-11T00:00:00"/>
    <m/>
    <s v="Nashik"/>
    <s v="M-U7D2S04V.005,_x000a_MO-U7F2S240.005"/>
    <s v="Done by NW"/>
    <s v="UAT2Y440.012"/>
    <s v="Done by NW"/>
    <d v="2023-07-11T00:00:00"/>
    <m/>
    <s v="Done by NW"/>
    <s v="Done by NW"/>
    <s v="Conv-B DONE"/>
    <s v="Conv-B DONE"/>
    <s v="Conv-B DONE"/>
    <m/>
    <s v="Conv-B DONE"/>
    <s v="Conv-B DONE"/>
    <s v="Conv-B DONE"/>
    <s v="Conv-B DONE"/>
    <m/>
    <m/>
    <m/>
    <s v="Conv-B DONE"/>
    <m/>
    <s v="Conv-B DONE"/>
    <d v="2024-07-01T00:00:00"/>
    <s v="Done "/>
    <d v="2023-10-09T00:00:00"/>
    <s v="Done "/>
    <d v="2024-09-27T00:00:00"/>
    <m/>
    <m/>
    <m/>
  </r>
  <r>
    <n v="155"/>
    <n v="37522"/>
    <s v="HLC-A"/>
    <s v="STB7M0872HLCD"/>
    <x v="1"/>
    <s v="SR"/>
    <s v="CHE"/>
    <d v="2021-01-14T00:00:00"/>
    <n v="872"/>
    <s v="Nashik"/>
    <s v="M-U7D2S04V.005,_x000a_MO-U7F2S240.005"/>
    <d v="2021-04-13T00:00:00"/>
    <s v="UAT2Y440.012"/>
    <s v="13.04.21"/>
    <d v="2023-07-12T00:00:00"/>
    <m/>
    <s v="Done by NW"/>
    <s v="Done by NW"/>
    <m/>
    <s v="Conv-A DONE"/>
    <s v="Conv-A DONE"/>
    <m/>
    <s v="Conv-A DONE"/>
    <s v="Done by NW"/>
    <s v="Conv-A DONE"/>
    <s v="Conv-A DONE"/>
    <m/>
    <m/>
    <m/>
    <m/>
    <m/>
    <s v="Conv-A DONE"/>
    <d v="2024-07-30T00:00:00"/>
    <s v="Done "/>
    <d v="2023-10-31T00:00:00"/>
    <s v="Done "/>
    <m/>
    <m/>
    <d v="2024-10-29T00:00:00"/>
    <m/>
  </r>
  <r>
    <n v="156"/>
    <n v="37522"/>
    <s v="HLC-B"/>
    <s v="STB7M0873HLCD"/>
    <x v="1"/>
    <s v="SR"/>
    <s v="CHE"/>
    <d v="2021-01-14T00:00:00"/>
    <n v="873"/>
    <s v="Nashik"/>
    <s v="M-U7D2S04V.005,_x000a_MO-U7F2S240.005"/>
    <d v="2021-04-13T00:00:00"/>
    <s v="UAT2Y440.012"/>
    <s v="13.04.21"/>
    <d v="2023-07-12T00:00:00"/>
    <m/>
    <s v="Done by NW"/>
    <s v="Done by NW"/>
    <m/>
    <s v="Conv-B DONE"/>
    <s v="Conv-B DONE"/>
    <m/>
    <s v="Conv-B DONE"/>
    <s v="Done by NW"/>
    <s v="Conv-B DONE"/>
    <s v="Conv-B DONE"/>
    <m/>
    <m/>
    <m/>
    <m/>
    <m/>
    <s v="Conv-B DONE"/>
    <d v="2024-07-30T00:00:00"/>
    <s v="Done "/>
    <d v="2023-10-31T00:00:00"/>
    <s v="Done "/>
    <m/>
    <m/>
    <d v="2024-10-29T00:00:00"/>
    <m/>
  </r>
  <r>
    <n v="157"/>
    <n v="30801"/>
    <s v="HLC-A"/>
    <s v="STBDM1066HLCD"/>
    <x v="1"/>
    <s v="SR"/>
    <s v="CHE"/>
    <d v="2021-09-20T00:00:00"/>
    <m/>
    <s v="Nashik"/>
    <s v="M-U7D2S04V.005,_x000a_MO-U7F2S240.005"/>
    <s v="Done by NW"/>
    <s v="UAT2Y440.012"/>
    <s v="Done by NW"/>
    <d v="2022-08-06T00:00:00"/>
    <m/>
    <s v="Done by NW"/>
    <s v="Done by NW"/>
    <s v="Conv-A DONE"/>
    <s v="Conv-A DONE"/>
    <s v="Conv-A DONE"/>
    <m/>
    <s v="Conv-A DONE"/>
    <s v="Done by NW"/>
    <s v="Conv-A DONE"/>
    <s v="Conv-A DONE"/>
    <m/>
    <m/>
    <m/>
    <s v="Conv-A DONE"/>
    <m/>
    <s v="Conv-A DONE"/>
    <d v="2024-07-11T00:00:00"/>
    <s v="Done "/>
    <d v="2023-09-11T00:00:00"/>
    <s v="Done "/>
    <m/>
    <m/>
    <d v="2024-08-23T00:00:00"/>
    <m/>
  </r>
  <r>
    <n v="158"/>
    <n v="30801"/>
    <s v="HLC-B"/>
    <s v="STBDM1067HLCD"/>
    <x v="1"/>
    <s v="SR"/>
    <s v="CHE"/>
    <d v="2021-09-20T00:00:00"/>
    <m/>
    <s v="Nashik"/>
    <s v="M-U7D2S04V.005,_x000a_MO-U7F2S240.005"/>
    <s v="Done by NW"/>
    <s v="UAT2Y440.012"/>
    <s v="Done by NW"/>
    <d v="2022-08-06T00:00:00"/>
    <m/>
    <s v="Done by NW"/>
    <s v="Done by NW"/>
    <s v="Conv-B DONE"/>
    <s v="Conv-B DONE"/>
    <s v="Conv-B DONE"/>
    <m/>
    <s v="Conv-B DONE"/>
    <s v="Done by NW"/>
    <s v="Conv-B DONE"/>
    <s v="Conv-B DONE"/>
    <m/>
    <m/>
    <m/>
    <s v="Conv-B DONE"/>
    <m/>
    <s v="Conv-B DONE"/>
    <d v="2024-07-11T00:00:00"/>
    <s v="Done "/>
    <d v="2023-09-11T00:00:00"/>
    <s v="Done "/>
    <m/>
    <m/>
    <d v="2024-08-23T00:00:00"/>
    <m/>
  </r>
  <r>
    <n v="159"/>
    <n v="30748"/>
    <s v="HLC-A"/>
    <s v="STBDM1073HLCD"/>
    <x v="1"/>
    <s v="SR"/>
    <s v="CHE"/>
    <d v="2019-08-09T00:00:00"/>
    <m/>
    <s v="Nashik"/>
    <s v="M-U7D2S04V.005,_x000a_MO-U7F2S240.005"/>
    <s v="Done by NW"/>
    <s v="UAT2Y440.012"/>
    <s v="Done by NW"/>
    <d v="2023-08-05T00:00:00"/>
    <m/>
    <m/>
    <s v="Done by NW"/>
    <m/>
    <s v="Conv-A DONE"/>
    <s v="Conv-A DONE"/>
    <m/>
    <m/>
    <m/>
    <s v="Conv-A DONE"/>
    <s v="Conv-A DONE"/>
    <m/>
    <m/>
    <m/>
    <s v="Conv-A DONE"/>
    <m/>
    <s v="Conv-A DONE"/>
    <d v="2024-07-08T00:00:00"/>
    <s v="Done "/>
    <d v="2023-09-05T00:00:00"/>
    <s v="Done "/>
    <m/>
    <m/>
    <m/>
    <m/>
  </r>
  <r>
    <n v="160"/>
    <n v="30748"/>
    <s v="HLC-B"/>
    <s v="STB4K0213HLCD"/>
    <x v="1"/>
    <s v="SR"/>
    <s v="CHE"/>
    <d v="2019-08-09T00:00:00"/>
    <m/>
    <s v="Nashik"/>
    <s v="M-U7D2S04V.005,_x000a_MO-U7F2S240.005"/>
    <s v="Done by NW"/>
    <s v="UAT2Y440.012"/>
    <s v="Done by NW"/>
    <d v="2023-08-05T00:00:00"/>
    <m/>
    <m/>
    <s v="Done by NW"/>
    <m/>
    <s v="Conv-B DONE"/>
    <s v="Conv-B DONE"/>
    <m/>
    <m/>
    <m/>
    <s v="Conv-B DONE"/>
    <s v="Conv-B DONE"/>
    <m/>
    <s v="EL20L01023"/>
    <m/>
    <s v="Conv-B DONE"/>
    <m/>
    <s v="Conv-B DONE"/>
    <d v="2024-07-08T00:00:00"/>
    <s v="Done "/>
    <d v="2023-09-05T00:00:00"/>
    <s v="Done "/>
    <m/>
    <m/>
    <m/>
    <m/>
  </r>
  <r>
    <n v="161"/>
    <n v="30436"/>
    <s v="HLC-A"/>
    <s v="STB9P1333HLCD"/>
    <x v="0"/>
    <s v="SR"/>
    <s v="CHE"/>
    <m/>
    <n v="1333"/>
    <s v="Nashik"/>
    <s v="M-U7D2S04V.005,_x000a_MO-U7F2S240.005"/>
    <s v="Done by NW"/>
    <s v="UAT2Y440.012"/>
    <s v="Done by NW"/>
    <d v="2024-01-21T00:00:00"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31T00:00:00"/>
    <s v="Done "/>
    <d v="2023-10-25T00:00:00"/>
    <s v="Done "/>
    <m/>
    <m/>
    <m/>
    <m/>
  </r>
  <r>
    <n v="162"/>
    <n v="30436"/>
    <s v="HLC-B"/>
    <s v="STB9P1332HLCD"/>
    <x v="0"/>
    <s v="SR"/>
    <s v="CHE"/>
    <m/>
    <n v="1332"/>
    <s v="Nashik"/>
    <s v="M-U7D2S04V.005,_x000a_MO-U7F2S240.005"/>
    <s v="Done by NW"/>
    <s v="UAT2Y440.012"/>
    <s v="Done by NW"/>
    <d v="2024-01-21T00:00:00"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31T00:00:00"/>
    <s v="Done "/>
    <d v="2023-10-25T00:00:00"/>
    <s v="Done "/>
    <m/>
    <m/>
    <m/>
    <m/>
  </r>
  <r>
    <n v="163"/>
    <n v="30354"/>
    <s v="HLC-A"/>
    <s v="8STBNN1178HLCD"/>
    <x v="1"/>
    <s v="SR"/>
    <s v="CHE"/>
    <d v="2022-11-21T00:00:00"/>
    <n v="1178"/>
    <s v="Nashik"/>
    <s v="M-U7D2S04V.005,_x000a_MO-U7F2S240.005"/>
    <s v="Done by NW"/>
    <s v="UAT2Y440.012"/>
    <s v="Done by NW"/>
    <d v="2022-12-14T00:00:00"/>
    <m/>
    <m/>
    <m/>
    <m/>
    <m/>
    <m/>
    <m/>
    <m/>
    <m/>
    <m/>
    <m/>
    <m/>
    <m/>
    <m/>
    <m/>
    <m/>
    <s v="Done by NW"/>
    <d v="2024-08-29T00:00:00"/>
    <s v="Done "/>
    <d v="2023-08-02T00:00:00"/>
    <s v="Done "/>
    <m/>
    <m/>
    <d v="2024-08-29T00:00:00"/>
    <m/>
  </r>
  <r>
    <n v="164"/>
    <n v="30354"/>
    <s v="HLC-B"/>
    <s v="STBNN1179HLCD"/>
    <x v="1"/>
    <s v="SR"/>
    <s v="CHE"/>
    <d v="2022-11-21T00:00:00"/>
    <n v="1179"/>
    <s v="Nashik"/>
    <s v="M-U7D2S04V.005,_x000a_MO-U7F2S240.005"/>
    <s v="Done by NW"/>
    <s v="UAT2Y440.012"/>
    <s v="Done by NW"/>
    <d v="2022-12-14T00:00:00"/>
    <m/>
    <m/>
    <m/>
    <m/>
    <m/>
    <m/>
    <m/>
    <m/>
    <m/>
    <m/>
    <m/>
    <m/>
    <m/>
    <m/>
    <m/>
    <m/>
    <s v="Done by NW"/>
    <d v="2024-08-29T00:00:00"/>
    <s v="Done "/>
    <d v="2023-08-02T00:00:00"/>
    <s v="Done "/>
    <m/>
    <m/>
    <d v="2024-08-29T00:00:00"/>
    <m/>
  </r>
  <r>
    <n v="165"/>
    <n v="39221"/>
    <s v="HLC-A"/>
    <s v="STB2P1236HLCD"/>
    <x v="1"/>
    <s v="SR"/>
    <s v="CHE"/>
    <d v="2023-01-24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10T00:00:00"/>
    <s v="Done "/>
    <d v="2023-09-29T00:00:00"/>
    <s v="Done "/>
    <m/>
    <m/>
    <d v="2024-08-23T00:00:00"/>
    <m/>
  </r>
  <r>
    <n v="166"/>
    <n v="39221"/>
    <s v="HLC-B"/>
    <s v="STB2P1221HLCD"/>
    <x v="1"/>
    <s v="SR"/>
    <s v="CHE"/>
    <d v="2023-01-24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10T00:00:00"/>
    <s v="Done "/>
    <d v="2023-09-29T00:00:00"/>
    <s v="Done "/>
    <m/>
    <m/>
    <d v="2024-08-23T00:00:00"/>
    <m/>
  </r>
  <r>
    <n v="167"/>
    <n v="39222"/>
    <s v="HLC-A"/>
    <s v="STB2P1202HLCD"/>
    <x v="1"/>
    <s v="SR"/>
    <s v="CHE"/>
    <d v="2023-01-27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s v="Done "/>
    <d v="2023-10-28T00:00:00"/>
    <s v="Done "/>
    <m/>
    <m/>
    <d v="2024-07-03T00:00:00"/>
    <m/>
  </r>
  <r>
    <n v="168"/>
    <n v="39222"/>
    <s v="HLC-B"/>
    <s v="STB2P1208HLCD"/>
    <x v="1"/>
    <s v="SR"/>
    <s v="CHE"/>
    <d v="2023-01-27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s v="Done "/>
    <d v="2023-10-28T00:00:00"/>
    <s v="Done "/>
    <m/>
    <m/>
    <d v="2024-07-03T00:00:00"/>
    <m/>
  </r>
  <r>
    <n v="169"/>
    <n v="39230"/>
    <s v="HLC-A"/>
    <s v="STB2P1218HLCD"/>
    <x v="1"/>
    <s v="SR"/>
    <s v="CHE"/>
    <d v="2023-02-10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8-05T00:00:00"/>
    <s v="Done "/>
    <d v="2023-08-23T00:00:00"/>
    <s v="Done "/>
    <m/>
    <m/>
    <d v="2024-10-18T00:00:00"/>
    <m/>
  </r>
  <r>
    <n v="170"/>
    <n v="39230"/>
    <s v="HLC-B"/>
    <s v="STB2P1219HLCD"/>
    <x v="1"/>
    <s v="SR"/>
    <s v="CHE"/>
    <d v="2023-02-10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8-05T00:00:00"/>
    <s v="Done "/>
    <d v="2023-08-23T00:00:00"/>
    <s v="Done "/>
    <m/>
    <m/>
    <d v="2024-10-18T00:00:00"/>
    <m/>
  </r>
  <r>
    <n v="171"/>
    <n v="39231"/>
    <s v="HLC-A"/>
    <s v="STB2P1225HLCD"/>
    <x v="1"/>
    <s v="SR"/>
    <s v="CHE"/>
    <d v="2023-02-15T00:00:00"/>
    <s v=" "/>
    <s v="Nashik"/>
    <s v="M-U7D2S04V.005,_x000a_MO-U7F2S240.005"/>
    <s v="Done by NW"/>
    <s v="UAT2Y440.012"/>
    <s v="Done by NW"/>
    <d v="2023-09-01T00:00:00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19T00:00:00"/>
    <s v="Done "/>
    <d v="2023-09-09T00:00:00"/>
    <s v="Done "/>
    <m/>
    <m/>
    <m/>
    <m/>
  </r>
  <r>
    <n v="172"/>
    <n v="39231"/>
    <s v="HLC-B"/>
    <s v="STB2P1209HLCD"/>
    <x v="1"/>
    <s v="SR"/>
    <s v="CHE"/>
    <d v="2023-02-15T00:00:00"/>
    <s v=" "/>
    <s v="Nashik"/>
    <s v="M-U7D2S04V.005,_x000a_MO-U7F2S240.005"/>
    <s v="Done by NW"/>
    <s v="UAT2Y440.012"/>
    <s v="Done by NW"/>
    <d v="2023-09-01T00:00:00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19T00:00:00"/>
    <s v="Done "/>
    <d v="2023-09-09T00:00:00"/>
    <s v="Done "/>
    <m/>
    <m/>
    <m/>
    <m/>
  </r>
  <r>
    <n v="173"/>
    <n v="39232"/>
    <s v="HLC-A"/>
    <s v="STB3P1245HLCD"/>
    <x v="1"/>
    <s v="SR"/>
    <s v="CHE"/>
    <d v="2023-02-18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06T00:00:00"/>
    <s v="Done "/>
    <d v="2023-08-23T00:00:00"/>
    <s v="Done "/>
    <m/>
    <m/>
    <d v="2024-09-18T00:00:00"/>
    <m/>
  </r>
  <r>
    <n v="174"/>
    <n v="39232"/>
    <s v="HLC-B"/>
    <s v="STB3P1244HLCD"/>
    <x v="1"/>
    <s v="SR"/>
    <s v="CHE"/>
    <d v="2023-02-18T00:00:00"/>
    <s v=" 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06T00:00:00"/>
    <s v="Done "/>
    <d v="2023-08-23T00:00:00"/>
    <s v="Done "/>
    <m/>
    <m/>
    <d v="2024-09-18T00:00:00"/>
    <m/>
  </r>
  <r>
    <n v="175"/>
    <n v="39228"/>
    <s v="HLC-A"/>
    <s v="STB2P1238HLCD"/>
    <x v="0"/>
    <s v="SR"/>
    <s v="CHE"/>
    <d v="2023-02-15T00:00:00"/>
    <n v="1238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m/>
    <d v="2023-08-29T00:00:00"/>
    <s v="Done "/>
    <m/>
    <m/>
    <d v="2025-05-08T00:00:00"/>
    <m/>
  </r>
  <r>
    <n v="176"/>
    <n v="39228"/>
    <s v="HLC-B"/>
    <s v="STB2P1239HLCD"/>
    <x v="0"/>
    <s v="SR"/>
    <s v="CHE"/>
    <d v="2023-02-15T00:00:00"/>
    <n v="1239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m/>
    <d v="2023-08-29T00:00:00"/>
    <s v="Done "/>
    <m/>
    <m/>
    <d v="2025-05-08T00:00:00"/>
    <m/>
  </r>
  <r>
    <n v="177"/>
    <n v="39229"/>
    <s v="HLC-A"/>
    <s v="STB2P1235HLCD"/>
    <x v="0"/>
    <s v="SR"/>
    <s v="CHE"/>
    <d v="2023-02-20T00:00:00"/>
    <n v="1235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m/>
    <d v="2023-08-29T00:00:00"/>
    <s v="Done "/>
    <m/>
    <m/>
    <d v="2024-08-30T00:00:00"/>
    <m/>
  </r>
  <r>
    <n v="178"/>
    <n v="39229"/>
    <s v="HLC-B"/>
    <s v="STB2P1232HLCD"/>
    <x v="0"/>
    <s v="SR"/>
    <s v="CHE"/>
    <d v="2023-02-20T00:00:00"/>
    <n v="1232"/>
    <s v="Nashik"/>
    <s v="M-U7D2S04V.005,_x000a_MO-U7F2S240.005"/>
    <s v="Done by NW"/>
    <s v="UAT2Y440.012"/>
    <s v="Done by NW"/>
    <s v=" 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7-29T00:00:00"/>
    <m/>
    <d v="2023-08-29T00:00:00"/>
    <s v="Done "/>
    <m/>
    <m/>
    <d v="2024-08-30T00:00:00"/>
    <m/>
  </r>
  <r>
    <n v="179"/>
    <n v="30421"/>
    <s v="HLC-A"/>
    <s v="STBDP1391HLCD"/>
    <x v="0"/>
    <s v="SR"/>
    <s v="CHE"/>
    <d v="2023-03-08T00:00:00"/>
    <n v="1391"/>
    <s v="Nashik"/>
    <s v="M-U7D2S04V.005,_x000a_MO-U7F2S240.005"/>
    <s v="Done by NW"/>
    <s v="UAT2Y440.012"/>
    <s v="Done by NW"/>
    <d v="2024-01-20T00:00:00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8-08T00:00:00"/>
    <m/>
    <d v="2024-01-20T00:00:00"/>
    <s v="Done "/>
    <m/>
    <m/>
    <d v="2024-07-27T00:00:00"/>
    <m/>
  </r>
  <r>
    <n v="180"/>
    <n v="30421"/>
    <s v="HLC-B"/>
    <s v="STBDP1390HLCD"/>
    <x v="0"/>
    <s v="SR"/>
    <s v="CHE"/>
    <d v="2023-03-08T00:00:00"/>
    <n v="1390"/>
    <s v="Nashik"/>
    <s v="M-U7D2S04V.005,_x000a_MO-U7F2S240.005"/>
    <s v="Done by NW"/>
    <s v="UAT2Y440.012"/>
    <s v="Done by NW"/>
    <d v="2024-01-20T00:00:00"/>
    <s v=" "/>
    <s v="Done by NW"/>
    <s v="Done by NW"/>
    <s v="Done by NW"/>
    <s v="Done by NW"/>
    <s v="Done by NW"/>
    <s v=" "/>
    <s v=" "/>
    <s v="Done by NW"/>
    <s v=" "/>
    <s v="Done by NW"/>
    <s v=" "/>
    <m/>
    <s v=" "/>
    <s v="Done by NW"/>
    <s v=" "/>
    <s v="Done by NW"/>
    <d v="2024-08-08T00:00:00"/>
    <m/>
    <d v="2024-01-20T00:00:00"/>
    <s v="Done "/>
    <m/>
    <m/>
    <d v="2024-07-27T00:00:00"/>
    <m/>
  </r>
  <r>
    <n v="181"/>
    <n v="30367"/>
    <s v="HLC-A"/>
    <s v="STBDP1388HLCD"/>
    <x v="0"/>
    <s v="SR"/>
    <s v="CHE"/>
    <d v="2023-03-20T00:00:00"/>
    <n v="1388"/>
    <s v="Nashik"/>
    <m/>
    <m/>
    <m/>
    <m/>
    <d v="2023-12-29T00:00:00"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6-26T00:00:00"/>
    <m/>
    <d v="2023-09-27T00:00:00"/>
    <s v="Done "/>
    <m/>
    <m/>
    <d v="2024-09-26T00:00:00"/>
    <m/>
  </r>
  <r>
    <m/>
    <n v="30367"/>
    <s v="HLC-B"/>
    <s v="STBDP1386HLCD"/>
    <x v="0"/>
    <s v="SR"/>
    <s v="CHE"/>
    <d v="2023-03-20T00:00:00"/>
    <n v="1386"/>
    <s v="Nashik"/>
    <m/>
    <m/>
    <m/>
    <m/>
    <d v="2023-12-29T00:00:00"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6-26T00:00:00"/>
    <m/>
    <d v="2023-09-27T00:00:00"/>
    <s v="Done "/>
    <m/>
    <m/>
    <d v="2024-09-26T00:00:00"/>
    <m/>
  </r>
  <r>
    <n v="182"/>
    <n v="39237"/>
    <s v="HLC-A"/>
    <s v="STB3P1258HLCD"/>
    <x v="0"/>
    <s v="SR"/>
    <s v="CHE"/>
    <d v="2023-03-23T00:00:00"/>
    <n v="1258"/>
    <s v="Nashik"/>
    <m/>
    <m/>
    <m/>
    <m/>
    <m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7-23T00:00:00"/>
    <m/>
    <d v="2023-09-27T00:00:00"/>
    <s v="Done "/>
    <m/>
    <m/>
    <d v="2024-07-23T00:00:00"/>
    <m/>
  </r>
  <r>
    <m/>
    <n v="39237"/>
    <s v="HLC-B"/>
    <s v="STB3P1255HLCD"/>
    <x v="0"/>
    <s v="SR"/>
    <s v="CHE"/>
    <d v="2023-03-23T00:00:00"/>
    <n v="1255"/>
    <s v="Nashik"/>
    <m/>
    <m/>
    <m/>
    <m/>
    <m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7-23T00:00:00"/>
    <m/>
    <d v="2023-09-27T00:00:00"/>
    <s v="Done "/>
    <m/>
    <m/>
    <d v="2024-07-23T00:00:00"/>
    <m/>
  </r>
  <r>
    <n v="183"/>
    <n v="37600"/>
    <s v="HLC-A"/>
    <s v="STB4P1295HLCD"/>
    <x v="0"/>
    <s v="SR"/>
    <s v="CHE"/>
    <d v="2023-03-31T00:00:00"/>
    <n v="1295"/>
    <s v="Nashik"/>
    <m/>
    <m/>
    <m/>
    <m/>
    <m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7-01T00:00:00"/>
    <m/>
    <d v="2023-11-07T00:00:00"/>
    <s v="Done "/>
    <m/>
    <m/>
    <d v="2024-10-09T00:00:00"/>
    <m/>
  </r>
  <r>
    <m/>
    <n v="37600"/>
    <s v="HLC-B"/>
    <s v="STB4P1301HLCD"/>
    <x v="0"/>
    <s v="SR"/>
    <s v="CHE"/>
    <d v="2023-03-31T00:00:00"/>
    <n v="1301"/>
    <s v="Nashik"/>
    <m/>
    <m/>
    <m/>
    <m/>
    <m/>
    <m/>
    <s v="Done by NW"/>
    <s v="Done by NW"/>
    <s v="Done by NW"/>
    <s v="Done by NW"/>
    <s v="Done by NW"/>
    <m/>
    <m/>
    <s v="Done by NW"/>
    <s v=" "/>
    <s v="Done by NW"/>
    <m/>
    <m/>
    <m/>
    <s v="Done by NW"/>
    <s v=" "/>
    <s v="Done by NW"/>
    <d v="2024-07-01T00:00:00"/>
    <m/>
    <d v="2023-11-07T00:00:00"/>
    <s v="Done "/>
    <m/>
    <m/>
    <d v="2024-10-09T00:00:00"/>
    <m/>
  </r>
  <r>
    <n v="184"/>
    <n v="39240"/>
    <s v="HLC-A"/>
    <s v="STB3P1265HLCD"/>
    <x v="0"/>
    <s v="SR"/>
    <s v="CHE"/>
    <d v="2023-04-24T00:00:00"/>
    <n v="1265"/>
    <s v="Nashik"/>
    <s v=" "/>
    <s v=" "/>
    <s v="Done by NW"/>
    <s v="Done by NW"/>
    <d v="2024-01-24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31T00:00:00"/>
    <m/>
    <d v="2023-09-26T00:00:00"/>
    <s v="Done "/>
    <m/>
    <m/>
    <d v="2024-08-30T00:00:00"/>
    <m/>
  </r>
  <r>
    <m/>
    <n v="39240"/>
    <s v="HLC-B"/>
    <s v="STB3P1259HLCD"/>
    <x v="0"/>
    <s v="SR"/>
    <s v="CHE"/>
    <d v="2023-04-24T00:00:00"/>
    <n v="1259"/>
    <s v="Nashik"/>
    <s v=" "/>
    <s v=" "/>
    <s v="Done by NW"/>
    <s v="Done by NW"/>
    <d v="2024-01-24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31T00:00:00"/>
    <m/>
    <d v="2023-09-26T00:00:00"/>
    <s v="Done "/>
    <m/>
    <m/>
    <d v="2024-08-30T00:00:00"/>
    <m/>
  </r>
  <r>
    <n v="185"/>
    <n v="30378"/>
    <s v="HLC-A"/>
    <s v="STBDP1380HLCD"/>
    <x v="0"/>
    <s v="SR"/>
    <s v="CHE"/>
    <d v="2023-05-12T00:00:00"/>
    <n v="1380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13T00:00:00"/>
    <m/>
    <d v="2023-11-04T00:00:00"/>
    <s v="Done "/>
    <m/>
    <m/>
    <d v="2025-05-08T00:00:00"/>
    <m/>
  </r>
  <r>
    <m/>
    <n v="30378"/>
    <s v="HLC-B"/>
    <s v="STBDP1382HLCD"/>
    <x v="0"/>
    <s v="SR"/>
    <s v="CHE"/>
    <d v="2023-05-12T00:00:00"/>
    <n v="1382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13T00:00:00"/>
    <m/>
    <d v="2023-11-04T00:00:00"/>
    <s v="Done "/>
    <m/>
    <m/>
    <d v="2025-05-08T00:00:00"/>
    <m/>
  </r>
  <r>
    <n v="186"/>
    <n v="30411"/>
    <s v="HLC-A"/>
    <s v="STB9P1351HLCD"/>
    <x v="0"/>
    <s v="SR"/>
    <s v="CHE"/>
    <d v="2023-06-08T00:00:00"/>
    <n v="1351"/>
    <s v="Nashik"/>
    <s v=" "/>
    <s v=" "/>
    <s v="Done by NW"/>
    <s v="Done by NW"/>
    <d v="2024-01-24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17T00:00:00"/>
    <m/>
    <d v="2023-07-31T00:00:00"/>
    <s v="Done "/>
    <m/>
    <m/>
    <d v="2024-10-03T00:00:00"/>
    <m/>
  </r>
  <r>
    <m/>
    <n v="30411"/>
    <s v="HLC-B"/>
    <s v="STBDN1181HLCD"/>
    <x v="0"/>
    <s v="SR"/>
    <s v="CHE"/>
    <d v="2023-06-08T00:00:00"/>
    <n v="1181"/>
    <s v="Nashik"/>
    <s v=" "/>
    <s v=" "/>
    <s v="Done by NW"/>
    <s v="Done by NW"/>
    <d v="2024-01-24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17T00:00:00"/>
    <m/>
    <d v="2023-07-31T00:00:00"/>
    <s v="Done "/>
    <m/>
    <m/>
    <d v="2024-10-03T00:00:00"/>
    <m/>
  </r>
  <r>
    <n v="187"/>
    <n v="30392"/>
    <s v="HLC-A"/>
    <s v="STBOP1361HLCD"/>
    <x v="0"/>
    <s v="SR"/>
    <s v="CHE"/>
    <d v="2023-07-03T00:00:00"/>
    <n v="1361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01T00:00:00"/>
    <m/>
    <d v="2023-10-05T00:00:00"/>
    <s v="Done "/>
    <m/>
    <m/>
    <d v="2024-08-31T00:00:00"/>
    <m/>
  </r>
  <r>
    <m/>
    <n v="30392"/>
    <s v="HLC-B"/>
    <s v="STBDN1180HLCD"/>
    <x v="0"/>
    <s v="SR"/>
    <s v="CHE"/>
    <d v="2023-07-03T00:00:00"/>
    <n v="1180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01T00:00:00"/>
    <m/>
    <d v="2023-10-05T00:00:00"/>
    <s v="Done "/>
    <m/>
    <m/>
    <d v="2024-08-31T00:00:00"/>
    <m/>
  </r>
  <r>
    <n v="188"/>
    <n v="30393"/>
    <s v="HLC-A"/>
    <s v="STB9P1359HLCD"/>
    <x v="0"/>
    <s v="SR"/>
    <s v="CHE"/>
    <d v="2023-07-03T00:00:00"/>
    <n v="1359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11T00:00:00"/>
    <m/>
    <d v="2024-01-21T00:00:00"/>
    <s v="Done "/>
    <m/>
    <m/>
    <d v="2024-10-15T00:00:00"/>
    <m/>
  </r>
  <r>
    <m/>
    <n v="30393"/>
    <s v="HLC-B"/>
    <s v="STB9P1354HLCD"/>
    <x v="0"/>
    <s v="SR"/>
    <s v="CHE"/>
    <d v="2023-07-03T00:00:00"/>
    <n v="1354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11T00:00:00"/>
    <m/>
    <d v="2024-01-21T00:00:00"/>
    <s v="Done "/>
    <m/>
    <m/>
    <d v="2024-10-15T00:00:00"/>
    <m/>
  </r>
  <r>
    <n v="189"/>
    <n v="30342"/>
    <s v="HLC-A"/>
    <s v="STBDP1385HLCD"/>
    <x v="0"/>
    <s v="SR"/>
    <s v="CHE"/>
    <d v="2023-07-18T00:00:00"/>
    <n v="1385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08T00:00:00"/>
    <m/>
    <d v="2023-09-28T00:00:00"/>
    <s v="Done "/>
    <m/>
    <m/>
    <d v="2024-08-30T00:00:00"/>
    <m/>
  </r>
  <r>
    <m/>
    <n v="30342"/>
    <s v="HLC-B"/>
    <s v="STBDP1389HLCD"/>
    <x v="0"/>
    <s v="SR"/>
    <s v="CHE"/>
    <d v="2023-07-18T00:00:00"/>
    <n v="1389"/>
    <s v="Nashik"/>
    <s v=" "/>
    <s v=" "/>
    <s v="Done by NW"/>
    <s v="Done by NW"/>
    <m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8-08T00:00:00"/>
    <m/>
    <d v="2023-09-28T00:00:00"/>
    <s v="Done "/>
    <m/>
    <m/>
    <d v="2024-08-30T00:00:00"/>
    <m/>
  </r>
  <r>
    <n v="190"/>
    <n v="30424"/>
    <s v="HLC-A"/>
    <s v="STBDP1338HLCD"/>
    <x v="0"/>
    <s v="SR"/>
    <s v="CHE"/>
    <d v="2023-08-25T00:00:00"/>
    <n v="1338"/>
    <s v="Nashik"/>
    <s v=" "/>
    <s v=" "/>
    <s v="Done by NW"/>
    <s v="Done by NW"/>
    <d v="2024-01-19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19T00:00:00"/>
    <m/>
    <d v="2023-08-24T00:00:00"/>
    <s v="Done "/>
    <m/>
    <m/>
    <d v="2024-09-11T00:00:00"/>
    <m/>
  </r>
  <r>
    <m/>
    <n v="30424"/>
    <s v="HLC-B"/>
    <s v="STBDP1339HLCD"/>
    <x v="0"/>
    <s v="SR"/>
    <s v="CHE"/>
    <d v="2023-08-25T00:00:00"/>
    <n v="1339"/>
    <s v="Nashik"/>
    <s v=" "/>
    <s v=" "/>
    <s v="Done by NW"/>
    <s v="Done by NW"/>
    <d v="2024-01-19T00:00:00"/>
    <m/>
    <s v="Done by NW"/>
    <s v="Done by NW"/>
    <s v="Done by NW"/>
    <s v="Done by NW"/>
    <s v="Done by NW"/>
    <m/>
    <s v=" "/>
    <s v="Done by NW"/>
    <s v=" "/>
    <s v="Done by NW"/>
    <s v=" "/>
    <m/>
    <s v=" "/>
    <s v="Done by NW"/>
    <s v=" "/>
    <s v="Done by NW"/>
    <d v="2024-07-19T00:00:00"/>
    <m/>
    <d v="2023-08-24T00:00:00"/>
    <s v="Done "/>
    <m/>
    <m/>
    <d v="2024-09-11T00:00:00"/>
    <m/>
  </r>
  <r>
    <n v="191"/>
    <n v="37618"/>
    <s v="HLC-A"/>
    <s v="STB5P1316HLCD"/>
    <x v="1"/>
    <s v="SR"/>
    <s v="CHE"/>
    <d v="2023-10-14T00:00:00"/>
    <n v="1316"/>
    <s v="Nashik"/>
    <s v=" "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19T00:00:00"/>
    <s v="Done by NW"/>
    <d v="2023-10-24T00:00:00"/>
    <s v="Done "/>
    <m/>
    <m/>
    <d v="2024-10-29T00:00:00"/>
    <m/>
  </r>
  <r>
    <m/>
    <n v="37618"/>
    <s v="HLC-B"/>
    <s v="STB5P1317HLCD"/>
    <x v="1"/>
    <s v="SR"/>
    <s v="CHE"/>
    <d v="2023-10-14T00:00:00"/>
    <n v="1317"/>
    <s v="Nashik"/>
    <s v=" "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19T00:00:00"/>
    <s v="Done by NW"/>
    <d v="2023-10-24T00:00:00"/>
    <s v="Done "/>
    <m/>
    <m/>
    <d v="2024-10-29T00:00:00"/>
    <m/>
  </r>
  <r>
    <n v="192"/>
    <n v="30409"/>
    <s v="HLC-A"/>
    <s v="STB9P1348HLCD"/>
    <x v="0"/>
    <s v="SR"/>
    <s v="CHE"/>
    <d v="2023-09-08T00:00:00"/>
    <n v="1348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8-22T00:00:00"/>
    <m/>
    <d v="2023-09-08T00:00:00"/>
    <s v="Done "/>
    <m/>
    <m/>
    <m/>
    <m/>
  </r>
  <r>
    <m/>
    <n v="30409"/>
    <s v="HLC-B"/>
    <s v="STBDN1183HLCD"/>
    <x v="0"/>
    <s v="SR"/>
    <s v="CHE"/>
    <d v="2023-09-08T00:00:00"/>
    <n v="1183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8-22T00:00:00"/>
    <m/>
    <d v="2023-09-08T00:00:00"/>
    <s v="Done "/>
    <m/>
    <m/>
    <m/>
    <m/>
  </r>
  <r>
    <n v="193"/>
    <n v="30419"/>
    <s v="HLC-A"/>
    <s v="STB9P1357HLCD"/>
    <x v="0"/>
    <s v="SR"/>
    <s v="CHE"/>
    <d v="2023-09-23T00:00:00"/>
    <n v="1357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03T00:00:00"/>
    <m/>
    <d v="2023-09-23T00:00:00"/>
    <s v="Done "/>
    <m/>
    <m/>
    <d v="2024-09-27T00:00:00"/>
    <m/>
  </r>
  <r>
    <m/>
    <n v="30419"/>
    <s v="HLC-B"/>
    <s v="STB9P1346HLCD"/>
    <x v="0"/>
    <s v="SR"/>
    <s v="CHE"/>
    <d v="2023-09-23T00:00:00"/>
    <n v="1346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03T00:00:00"/>
    <m/>
    <d v="2023-09-23T00:00:00"/>
    <s v="Done "/>
    <m/>
    <m/>
    <d v="2024-09-27T00:00:00"/>
    <m/>
  </r>
  <r>
    <n v="194"/>
    <n v="30390"/>
    <s v="HLC-A"/>
    <s v="STBDP1387HLCD"/>
    <x v="0"/>
    <s v="SR"/>
    <s v="CHE"/>
    <d v="2023-10-17T00:00:00"/>
    <n v="1387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6-28T00:00:00"/>
    <m/>
    <d v="2023-10-17T00:00:00"/>
    <s v="Done "/>
    <m/>
    <m/>
    <d v="2024-07-18T00:00:00"/>
    <m/>
  </r>
  <r>
    <m/>
    <n v="30390"/>
    <s v="HLC-B"/>
    <s v="STBDP1384HLCD"/>
    <x v="0"/>
    <s v="SR"/>
    <s v="CHE"/>
    <d v="2023-10-17T00:00:00"/>
    <n v="1384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6-28T00:00:00"/>
    <m/>
    <d v="2023-10-17T00:00:00"/>
    <s v="Done "/>
    <m/>
    <m/>
    <d v="2024-07-18T00:00:00"/>
    <m/>
  </r>
  <r>
    <n v="195"/>
    <n v="30389"/>
    <s v="HLC-A"/>
    <s v="STB9P1350HLCD"/>
    <x v="0"/>
    <s v="SR"/>
    <s v="CHE"/>
    <d v="2023-11-25T00:00:00"/>
    <n v="1350"/>
    <s v="Nashik"/>
    <s v=" "/>
    <s v=" "/>
    <s v="Done by NW"/>
    <s v="Done by NW"/>
    <s v="Done by NW"/>
    <s v="Done by NW"/>
    <s v="Done by NW"/>
    <s v=" "/>
    <s v=" "/>
    <s v="Done by NW"/>
    <s v=" "/>
    <s v="Done by NW"/>
    <s v=" "/>
    <s v=" "/>
    <s v=" "/>
    <s v="Done by NW"/>
    <s v=" "/>
    <m/>
    <s v=" "/>
    <s v=" "/>
    <s v=" "/>
    <s v="Done by NW"/>
    <d v="2024-08-19T00:00:00"/>
    <m/>
    <d v="2023-11-25T00:00:00"/>
    <s v="Done "/>
    <m/>
    <m/>
    <d v="2024-08-13T00:00:00"/>
    <m/>
  </r>
  <r>
    <m/>
    <n v="30389"/>
    <s v="HLC-B"/>
    <s v="STB9P1344HLCD"/>
    <x v="0"/>
    <s v="SR"/>
    <s v="CHE"/>
    <d v="2023-11-25T00:00:00"/>
    <n v="1344"/>
    <s v="Nashik"/>
    <s v=" "/>
    <s v=" "/>
    <s v="Done by NW"/>
    <s v="Done by NW"/>
    <s v="Done by NW"/>
    <s v="Done by NW"/>
    <s v="Done by NW"/>
    <s v=" "/>
    <s v=" "/>
    <s v="Done by NW"/>
    <s v=" "/>
    <s v="Done by NW"/>
    <s v=" "/>
    <s v=" "/>
    <s v=" "/>
    <s v="Done by NW"/>
    <s v=" "/>
    <m/>
    <s v=" "/>
    <s v=" "/>
    <s v=" "/>
    <s v="Done by NW"/>
    <d v="2024-08-19T00:00:00"/>
    <m/>
    <d v="2023-11-25T00:00:00"/>
    <s v="Done "/>
    <m/>
    <m/>
    <d v="2024-08-13T00:00:00"/>
    <m/>
  </r>
  <r>
    <n v="196"/>
    <n v="30410"/>
    <s v="HLC-A"/>
    <s v="STB9P1356HLCD"/>
    <x v="0"/>
    <s v="SR"/>
    <s v="CHE"/>
    <d v="2024-01-09T00:00:00"/>
    <n v="1356"/>
    <s v="Nashik"/>
    <s v=" "/>
    <s v=" "/>
    <s v="Done by NW"/>
    <s v="Done by NW"/>
    <s v="Done by NW"/>
    <s v="Done by NW"/>
    <s v="Done by NW"/>
    <s v=" "/>
    <s v=" "/>
    <s v="Done by NW"/>
    <s v=" "/>
    <s v="Done by NW"/>
    <s v=" "/>
    <s v=" "/>
    <s v=" "/>
    <s v="Done by NW"/>
    <s v=" "/>
    <m/>
    <s v=" "/>
    <s v=" "/>
    <d v="2024-01-09T00:00:00"/>
    <s v="Done by NW"/>
    <d v="2024-06-26T00:00:00"/>
    <m/>
    <d v="2024-01-09T00:00:00"/>
    <s v="Done "/>
    <m/>
    <m/>
    <d v="2024-09-18T00:00:00"/>
    <m/>
  </r>
  <r>
    <m/>
    <n v="30410"/>
    <s v="HLC-B"/>
    <s v="STB9P1345HLCD"/>
    <x v="0"/>
    <s v="SR"/>
    <s v="CHE"/>
    <d v="2024-01-09T00:00:00"/>
    <n v="1345"/>
    <s v="Nashik"/>
    <s v=" "/>
    <s v=" "/>
    <s v="Done by NW"/>
    <s v="Done by NW"/>
    <s v="Done by NW"/>
    <s v="Done by NW"/>
    <s v="Done by NW"/>
    <s v=" "/>
    <s v=" "/>
    <s v="Done by NW"/>
    <s v=" "/>
    <s v="Done by NW"/>
    <s v=" "/>
    <s v=" "/>
    <s v=" "/>
    <s v="Done by NW"/>
    <s v=" "/>
    <m/>
    <s v=" "/>
    <s v=" "/>
    <d v="2024-01-09T00:00:00"/>
    <s v="Done by NW"/>
    <d v="2024-06-26T00:00:00"/>
    <m/>
    <d v="2024-01-09T00:00:00"/>
    <s v="Done "/>
    <m/>
    <m/>
    <d v="2024-09-18T00:00:00"/>
    <m/>
  </r>
  <r>
    <n v="197"/>
    <n v="37619"/>
    <s v="HLC-A"/>
    <s v="ST5R1452HLCD"/>
    <x v="0"/>
    <s v="SR"/>
    <s v="CHE"/>
    <d v="2023-11-17T00:00:00"/>
    <n v="1452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8-16T00:00:00"/>
    <s v="Done "/>
    <s v="Done by NW"/>
    <s v="Done "/>
    <m/>
    <m/>
    <m/>
    <m/>
  </r>
  <r>
    <m/>
    <n v="37619"/>
    <s v="HLC-B"/>
    <s v="STB5R1453HLCD"/>
    <x v="0"/>
    <s v="SR"/>
    <s v="CHE"/>
    <d v="2023-11-17T00:00:00"/>
    <n v="1453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8-16T00:00:00"/>
    <s v="Done "/>
    <s v="Done by NW"/>
    <s v="Done "/>
    <m/>
    <m/>
    <m/>
    <m/>
  </r>
  <r>
    <n v="198"/>
    <n v="37646"/>
    <s v="HLC-A"/>
    <s v="STB7R1509HLCD"/>
    <x v="0"/>
    <s v="SR"/>
    <s v="CHE"/>
    <d v="2024-02-09T00:00:00"/>
    <n v="1509"/>
    <s v="Nashik"/>
    <m/>
    <m/>
    <m/>
    <m/>
    <m/>
    <m/>
    <s v="Done by NW"/>
    <s v="Done by NW"/>
    <s v="Done by NW"/>
    <s v="Done by NW"/>
    <s v="Done by NW"/>
    <m/>
    <s v=" "/>
    <s v="Done by NW"/>
    <s v=" "/>
    <m/>
    <s v=" "/>
    <m/>
    <m/>
    <s v="Done by NW"/>
    <m/>
    <s v="Done by NW"/>
    <d v="2024-08-09T00:00:00"/>
    <s v="Done "/>
    <s v="Done by NW"/>
    <s v="Done "/>
    <m/>
    <m/>
    <d v="2024-11-05T00:00:00"/>
    <m/>
  </r>
  <r>
    <m/>
    <n v="37646"/>
    <s v="HLC-B"/>
    <s v="STB7R1508HLCD"/>
    <x v="0"/>
    <s v="SR"/>
    <s v="CHE"/>
    <d v="2024-02-09T00:00:00"/>
    <n v="1508"/>
    <s v="Nashik"/>
    <m/>
    <m/>
    <m/>
    <m/>
    <m/>
    <m/>
    <s v="Done by NW"/>
    <s v="Done by NW"/>
    <s v="Done by NW"/>
    <s v="Done by NW"/>
    <s v="Done by NW"/>
    <m/>
    <s v=" "/>
    <s v="Done by NW"/>
    <s v=" "/>
    <m/>
    <s v=" "/>
    <m/>
    <m/>
    <s v="Done by NW"/>
    <m/>
    <s v="Done by NW"/>
    <d v="2024-08-09T00:00:00"/>
    <s v="Done "/>
    <s v="Done by NW"/>
    <s v="Done "/>
    <m/>
    <m/>
    <d v="2024-11-05T00:00:00"/>
    <m/>
  </r>
  <r>
    <n v="199"/>
    <n v="30420"/>
    <s v="HLC-A"/>
    <s v="STB7R1493HLCD"/>
    <x v="0"/>
    <s v="SR"/>
    <s v="CHE"/>
    <d v="2024-02-10T00:00:00"/>
    <n v="1493"/>
    <s v="Nashik"/>
    <m/>
    <m/>
    <m/>
    <m/>
    <m/>
    <m/>
    <s v="Done by NW"/>
    <s v="Done by NW"/>
    <s v="Done by NW"/>
    <s v="Done by NW"/>
    <s v="Done by NW"/>
    <m/>
    <s v=" "/>
    <s v="Done by NW"/>
    <s v=" "/>
    <m/>
    <s v=" "/>
    <m/>
    <m/>
    <s v="Done by NW"/>
    <m/>
    <s v="Done by NW"/>
    <d v="2024-07-04T00:00:00"/>
    <s v="Done "/>
    <s v="Done by NW"/>
    <s v="Done "/>
    <m/>
    <m/>
    <m/>
    <m/>
  </r>
  <r>
    <m/>
    <n v="30420"/>
    <s v="HLC-B"/>
    <s v="STB7R1492HLCD"/>
    <x v="0"/>
    <s v="SR"/>
    <s v="CHE"/>
    <d v="2024-02-10T00:00:00"/>
    <n v="1492"/>
    <s v="Nashik"/>
    <m/>
    <m/>
    <m/>
    <m/>
    <m/>
    <m/>
    <s v="Done by NW"/>
    <s v="Done by NW"/>
    <s v="Done by NW"/>
    <s v="Done by NW"/>
    <s v="Done by NW"/>
    <m/>
    <s v=" "/>
    <s v="Done by NW"/>
    <s v=" "/>
    <m/>
    <s v=" "/>
    <m/>
    <m/>
    <s v="Done by NW"/>
    <m/>
    <s v="Done by NW"/>
    <d v="2024-07-04T00:00:00"/>
    <s v="Done "/>
    <s v="Done by NW"/>
    <s v="Done "/>
    <m/>
    <m/>
    <m/>
    <m/>
  </r>
  <r>
    <n v="200"/>
    <n v="30332"/>
    <s v="HLC-A"/>
    <s v="STB6R1490HLCD"/>
    <x v="0"/>
    <s v="SR"/>
    <s v="CHE"/>
    <d v="2024-05-25T00:00:00"/>
    <n v="1490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04T00:00:00"/>
    <s v="Done "/>
    <s v="Done by NW"/>
    <s v="Done "/>
    <m/>
    <m/>
    <m/>
    <m/>
  </r>
  <r>
    <m/>
    <n v="30332"/>
    <s v="HLC-B"/>
    <s v="STB6R1487HLCD"/>
    <x v="0"/>
    <s v="SR"/>
    <s v="CHE"/>
    <d v="2024-05-25T00:00:00"/>
    <n v="1487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04T00:00:00"/>
    <s v="Done "/>
    <s v="Done by NW"/>
    <s v="Done "/>
    <m/>
    <m/>
    <m/>
    <m/>
  </r>
  <r>
    <n v="201"/>
    <n v="30413"/>
    <s v="HLC A"/>
    <s v="STB2S1625HLCD"/>
    <x v="0"/>
    <s v="SR"/>
    <s v="CHE"/>
    <d v="2024-07-29T00:00:00"/>
    <n v="1625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29T00:00:00"/>
    <s v="Done "/>
    <s v="Done by NW"/>
    <s v="Done "/>
    <m/>
    <m/>
    <m/>
    <m/>
  </r>
  <r>
    <m/>
    <n v="30413"/>
    <s v="HLC B"/>
    <s v="STB2S1626HLCD"/>
    <x v="0"/>
    <s v="SR"/>
    <s v="CHE"/>
    <d v="2024-07-29T00:00:00"/>
    <n v="1626"/>
    <s v="Nashik"/>
    <m/>
    <m/>
    <m/>
    <m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7-29T00:00:00"/>
    <s v="Done "/>
    <s v="Done by NW"/>
    <s v="Done "/>
    <m/>
    <m/>
    <m/>
    <m/>
  </r>
  <r>
    <n v="202"/>
    <n v="30398"/>
    <s v="HLC A"/>
    <s v="STB2S1624HLCD"/>
    <x v="0"/>
    <s v="SR"/>
    <s v="CHE"/>
    <d v="2024-09-02T00:00:00"/>
    <n v="1624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9-02T00:00:00"/>
    <s v="Done "/>
    <s v="Done by NW"/>
    <s v="Done "/>
    <m/>
    <m/>
    <m/>
    <m/>
  </r>
  <r>
    <m/>
    <n v="30398"/>
    <s v="HLC B"/>
    <s v="STB2S1628HLCD"/>
    <x v="0"/>
    <s v="SR"/>
    <s v="CHE"/>
    <d v="2024-09-02T00:00:00"/>
    <n v="1628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09-02T00:00:00"/>
    <s v="Done "/>
    <s v="Done by NW"/>
    <s v="Done "/>
    <m/>
    <m/>
    <m/>
    <m/>
  </r>
  <r>
    <n v="203"/>
    <n v="30408"/>
    <s v="HLC A"/>
    <s v="STB6R1487HLCD"/>
    <x v="0"/>
    <s v="SR"/>
    <s v="CHE"/>
    <d v="2024-12-20T00:00:00"/>
    <n v="1487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12-20T00:00:00"/>
    <s v="Done "/>
    <s v="Done by NW"/>
    <s v="Done "/>
    <m/>
    <m/>
    <m/>
    <m/>
  </r>
  <r>
    <m/>
    <n v="30408"/>
    <s v="HLC B"/>
    <s v="STB7R1500HLCD"/>
    <x v="0"/>
    <s v="SR"/>
    <s v="CHE"/>
    <d v="2024-12-20T00:00:00"/>
    <n v="1500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4-12-20T00:00:00"/>
    <s v="Done "/>
    <s v="Done by NW"/>
    <s v="Done "/>
    <m/>
    <m/>
    <m/>
    <m/>
  </r>
  <r>
    <n v="204"/>
    <n v="30416"/>
    <s v="HLC A"/>
    <s v="STB6R1486HLCD"/>
    <x v="0"/>
    <s v="SR"/>
    <s v="CHE"/>
    <d v="2025-02-26T00:00:00"/>
    <n v="1486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5-02-26T00:00:00"/>
    <s v="Done"/>
    <s v="Done by NW"/>
    <s v="Done "/>
    <m/>
    <m/>
    <m/>
    <m/>
  </r>
  <r>
    <m/>
    <n v="30416"/>
    <s v="HLC B"/>
    <s v="STB7R1501HLCD"/>
    <x v="0"/>
    <s v="SR"/>
    <s v="CHE"/>
    <d v="2025-02-26T00:00:00"/>
    <n v="1501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5-02-26T00:00:00"/>
    <s v="Done "/>
    <s v="Done by NW"/>
    <s v="Done "/>
    <m/>
    <m/>
    <m/>
    <m/>
  </r>
  <r>
    <n v="205"/>
    <n v="30422"/>
    <s v="HLC A"/>
    <s v="STB2S1627HLCD"/>
    <x v="0"/>
    <s v="SR"/>
    <s v="CHE"/>
    <d v="2025-03-04T00:00:00"/>
    <n v="1627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5-03-04T00:00:00"/>
    <s v="Done "/>
    <s v="Done by NW"/>
    <s v="Done "/>
    <m/>
    <m/>
    <m/>
    <m/>
  </r>
  <r>
    <m/>
    <n v="30422"/>
    <s v="HLC B"/>
    <s v="STB2S1629HLCD"/>
    <x v="0"/>
    <s v="SR"/>
    <s v="CHE"/>
    <d v="2025-03-04T00:00:00"/>
    <n v="1629"/>
    <s v="Nashik"/>
    <m/>
    <m/>
    <s v="Done by NW"/>
    <s v="Done by NW"/>
    <m/>
    <m/>
    <s v="Done by NW"/>
    <s v="Done by NW"/>
    <s v="Done by NW"/>
    <s v="Done by NW"/>
    <s v="Done by NW"/>
    <m/>
    <m/>
    <s v="Done by NW"/>
    <m/>
    <m/>
    <m/>
    <m/>
    <m/>
    <s v="Done by NW"/>
    <m/>
    <s v="Done by NW"/>
    <d v="2025-03-04T00:00:00"/>
    <s v="Done "/>
    <s v="Done by NW"/>
    <s v="Done "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n v="1"/>
    <n v="30277"/>
    <s v="HLC-A"/>
    <s v="Ger-00001"/>
    <x v="0"/>
    <s v="NR"/>
    <s v="DEL"/>
    <d v="2010-07-01T00:00:00"/>
    <n v="1"/>
    <s v="Imported"/>
    <s v="M-U7D2S04V.005,_x000a_MO-U7F2S240.005"/>
    <d v="2020-11-19T00:00:00"/>
    <s v="L3I2ZY72.008"/>
    <s v="Done"/>
    <s v="AMC"/>
    <d v="2024-03-19T00:00:00"/>
    <s v="Conv-A DONE"/>
    <s v="Conv-A DONE"/>
    <s v="Conv-A DONE"/>
    <s v="Conv-A DONE"/>
    <m/>
    <m/>
    <s v="Conv-A DONE"/>
    <s v="Conv-A DONE"/>
    <m/>
    <m/>
    <m/>
    <m/>
    <m/>
    <d v="2022-04-07T00:00:00"/>
    <s v="imported "/>
    <d v="2023-01-17T00:00:00"/>
    <d v="2024-07-16T00:00:00"/>
    <m/>
    <d v="2023-09-17T00:00:00"/>
    <s v="Done"/>
    <d v="2024-06-10T00:00:00"/>
    <s v="Done"/>
    <d v="2025-03-21T00:00:00"/>
    <m/>
  </r>
  <r>
    <n v="2"/>
    <n v="30277"/>
    <s v="HLC-B"/>
    <s v="Ger-00002"/>
    <x v="0"/>
    <s v="NR"/>
    <s v="DEL"/>
    <d v="2010-07-01T00:00:00"/>
    <n v="2"/>
    <s v="Imported"/>
    <s v="M-U7D2S04V.005,_x000a_MO-U7F2S240.005"/>
    <d v="2020-11-19T00:00:00"/>
    <s v="L3I2ZY72.008"/>
    <s v="Done"/>
    <s v="AMC"/>
    <d v="2024-03-19T00:00:00"/>
    <s v="Conv-B DONE"/>
    <s v="Conv-B DONE"/>
    <s v="Conv-B DONE"/>
    <s v="Conv-B DONE"/>
    <m/>
    <m/>
    <s v="Conv-B DONE"/>
    <s v="Conv-B DONE"/>
    <m/>
    <m/>
    <m/>
    <m/>
    <m/>
    <d v="2022-04-07T00:00:00"/>
    <s v="imported "/>
    <d v="2023-01-17T00:00:00"/>
    <d v="2024-07-16T00:00:00"/>
    <m/>
    <d v="2023-09-17T00:00:00"/>
    <s v="Done"/>
    <d v="2024-06-10T00:00:00"/>
    <s v="Done"/>
    <d v="2025-03-21T00:00:00"/>
    <m/>
  </r>
  <r>
    <n v="3"/>
    <n v="30365"/>
    <s v="HLC-A"/>
    <s v="Ger-00004"/>
    <x v="0"/>
    <s v="NR"/>
    <s v="DEL"/>
    <d v="2013-11-01T00:00:00"/>
    <n v="4"/>
    <s v="Imported"/>
    <s v="M-U7D2S04V.005,_x000a_MO-U7F2S240.005"/>
    <d v="2020-09-19T00:00:00"/>
    <s v="L3I2ZY72.008"/>
    <s v="Done"/>
    <s v="AMC"/>
    <d v="2024-02-17T00:00:00"/>
    <s v="Conv-A DONE"/>
    <s v="Conv-A DONE"/>
    <s v="Conv-A DONE"/>
    <s v="Conv-A DONE"/>
    <m/>
    <m/>
    <s v="Conv-B DONE"/>
    <s v="Conv-A DONE"/>
    <m/>
    <m/>
    <m/>
    <m/>
    <m/>
    <d v="2022-02-07T00:00:00"/>
    <s v="Conv-A done"/>
    <s v="Conv-A done"/>
    <d v="2024-08-28T00:00:00"/>
    <m/>
    <d v="2024-02-17T00:00:00"/>
    <s v="Conv-A done"/>
    <d v="2024-05-24T00:00:00"/>
    <d v="2024-02-19T00:00:00"/>
    <d v="2024-10-09T00:00:00"/>
    <m/>
  </r>
  <r>
    <n v="4"/>
    <n v="30365"/>
    <s v="HLC-B"/>
    <s v="12V000006"/>
    <x v="0"/>
    <s v="NR"/>
    <s v="DEL"/>
    <d v="2013-11-01T00:00:00"/>
    <n v="6"/>
    <s v="Imported"/>
    <s v="M-U7D2S04V.005,_x000a_MO-U7F2S240.005"/>
    <d v="2020-09-19T00:00:00"/>
    <s v="L3I2ZY72.008"/>
    <s v="Done"/>
    <s v="AMC"/>
    <d v="2024-02-17T00:00:00"/>
    <s v="Conv-B DONE"/>
    <s v="Conv-B DONE"/>
    <s v="Conv-B DONE"/>
    <s v="Conv-B DONE"/>
    <m/>
    <m/>
    <s v="Conv-B DONE"/>
    <s v="Conv-B DONE"/>
    <m/>
    <m/>
    <m/>
    <m/>
    <m/>
    <d v="2022-02-07T00:00:00"/>
    <s v="Conv-B done"/>
    <s v="Conv-B done"/>
    <d v="2024-08-28T00:00:00"/>
    <m/>
    <d v="2024-02-17T00:00:00"/>
    <s v="Conv-B done"/>
    <d v="2024-05-24T00:00:00"/>
    <d v="2024-02-19T00:00:00"/>
    <d v="2024-10-09T00:00:00"/>
    <m/>
  </r>
  <r>
    <n v="5"/>
    <n v="30406"/>
    <s v="HLC-A"/>
    <s v="12V000007"/>
    <x v="0"/>
    <s v="NR"/>
    <s v="DEL"/>
    <d v="2015-01-01T00:00:00"/>
    <n v="7"/>
    <s v="Imported"/>
    <s v="M-U7D2S04V.005,_x000a_MO-U7F2S240.005"/>
    <d v="2020-09-07T00:00:00"/>
    <s v="UAT2Y440.012"/>
    <s v="Done"/>
    <s v="AMC"/>
    <m/>
    <s v="Conv-A DONE"/>
    <s v="Conv-A DONE"/>
    <s v="Conv-A DONE"/>
    <s v="Conv-A DONE"/>
    <m/>
    <m/>
    <m/>
    <s v="Conv-A DONE"/>
    <m/>
    <m/>
    <m/>
    <m/>
    <m/>
    <d v="2022-01-27T00:00:00"/>
    <s v="Done"/>
    <d v="2021-11-24T00:00:00"/>
    <d v="2024-09-10T00:00:00"/>
    <m/>
    <s v="Done without washer"/>
    <m/>
    <d v="2022-04-25T00:00:00"/>
    <m/>
    <d v="2024-09-11T00:00:00"/>
    <m/>
  </r>
  <r>
    <n v="6"/>
    <n v="30406"/>
    <s v="HLC-B"/>
    <s v="STBNF0036HLCB"/>
    <x v="0"/>
    <s v="NR"/>
    <s v="DEL"/>
    <d v="2015-01-01T00:00:00"/>
    <n v="36"/>
    <s v="Nashik"/>
    <s v="M-U7D2S04V.005,_x000a_MO-U7F2S240.005"/>
    <d v="2020-09-07T00:00:00"/>
    <s v="L3I2ZY72.008"/>
    <s v="Done"/>
    <s v="AMC"/>
    <m/>
    <s v="Conv-B DONE"/>
    <s v="Conv-B DONE"/>
    <s v="Conv-B DONE"/>
    <s v="Conv-B DONE"/>
    <m/>
    <m/>
    <m/>
    <s v="Conv-B DONE"/>
    <m/>
    <m/>
    <m/>
    <m/>
    <m/>
    <d v="2022-01-27T00:00:00"/>
    <s v="Done"/>
    <d v="2021-11-24T00:00:00"/>
    <d v="2024-09-10T00:00:00"/>
    <m/>
    <s v="Done without washer"/>
    <m/>
    <d v="2022-04-25T00:00:00"/>
    <m/>
    <d v="2024-09-11T00:00:00"/>
    <m/>
  </r>
  <r>
    <n v="7"/>
    <n v="30445"/>
    <s v="HLC-A"/>
    <s v="STB6F0008HLCB"/>
    <x v="0"/>
    <s v="NR"/>
    <s v="DEL"/>
    <d v="2015-12-26T00:00:00"/>
    <n v="8"/>
    <s v="Nashik"/>
    <s v="M-U7D2S04V.005,_x000a_MO-U7F2S240.005"/>
    <d v="2020-08-13T00:00:00"/>
    <s v="L3I2ZY72.008"/>
    <s v="Done"/>
    <d v="2024-04-30T00:00:00"/>
    <d v="2024-01-15T00:00:00"/>
    <s v="Conv-A DONE"/>
    <s v="Conv-A DONE"/>
    <m/>
    <s v="Conv-A DONE"/>
    <s v="Conv-A DONE"/>
    <m/>
    <s v="Conv-A DONE"/>
    <s v="Conv-A DONE"/>
    <m/>
    <m/>
    <m/>
    <m/>
    <m/>
    <d v="2022-02-07T00:00:00"/>
    <s v="Done"/>
    <d v="2021-12-28T00:00:00"/>
    <d v="2024-07-18T00:00:00"/>
    <m/>
    <d v="2023-10-18T00:00:00"/>
    <s v="Conv-A done"/>
    <d v="2022-04-16T00:00:00"/>
    <d v="2024-01-15T00:00:00"/>
    <d v="2024-11-11T00:00:00"/>
    <m/>
  </r>
  <r>
    <n v="8"/>
    <n v="30445"/>
    <s v="HLC-B"/>
    <s v="STB6F0009HLCB"/>
    <x v="0"/>
    <s v="NR"/>
    <s v="DEL"/>
    <d v="2015-12-26T00:00:00"/>
    <n v="9"/>
    <s v="Nashik"/>
    <s v="M-U7D2S04V.005,_x000a_MO-U7F2S240.005"/>
    <d v="2020-08-22T00:00:00"/>
    <s v="L3I2ZY72.008"/>
    <s v="Done"/>
    <d v="2024-04-30T00:00:00"/>
    <d v="2024-01-15T00:00:00"/>
    <s v="Conv-B DONE"/>
    <s v="Conv-B DONE"/>
    <m/>
    <s v="Conv-B DONE"/>
    <s v="Conv-B DONE"/>
    <m/>
    <s v="Conv-B DONE"/>
    <s v="Conv-B DONE"/>
    <m/>
    <m/>
    <m/>
    <m/>
    <m/>
    <d v="2022-02-07T00:00:00"/>
    <s v="Done"/>
    <d v="2021-12-28T00:00:00"/>
    <d v="2024-07-18T00:00:00"/>
    <m/>
    <d v="2023-10-18T00:00:00"/>
    <s v="Conv-B done"/>
    <d v="2022-04-16T00:00:00"/>
    <d v="2024-01-15T00:00:00"/>
    <d v="2024-11-11T00:00:00"/>
    <m/>
  </r>
  <r>
    <n v="9"/>
    <n v="30453"/>
    <s v="HLC-A"/>
    <s v="STB9F0035HLCA"/>
    <x v="0"/>
    <s v="NR"/>
    <s v="DEL"/>
    <d v="2016-03-29T00:00:00"/>
    <n v="35"/>
    <s v="Nashik"/>
    <s v="M-U7D2S04V.005,_x000a_MO-U7F2S240.005"/>
    <d v="2020-09-30T00:00:00"/>
    <s v="L3I2ZY72.008"/>
    <s v="Done"/>
    <s v="AMC"/>
    <d v="2024-03-02T00:00:00"/>
    <s v="Conv-A DONE"/>
    <s v="Conv-A DONE"/>
    <s v="Conv-A DONE"/>
    <s v="Conv-A DONE"/>
    <s v="Conv-A DONE"/>
    <m/>
    <s v="Conv-A DONE"/>
    <s v="Conv-A DONE"/>
    <m/>
    <m/>
    <m/>
    <m/>
    <m/>
    <s v="Conv-A DONE"/>
    <s v="Done"/>
    <s v="Conv-A done"/>
    <d v="2024-08-20T00:00:00"/>
    <m/>
    <s v="tighness done without washer (12-03-24)"/>
    <s v="Conv-A done"/>
    <d v="2022-04-29T00:00:00"/>
    <s v="Done"/>
    <d v="2024-08-17T00:00:00"/>
    <m/>
  </r>
  <r>
    <n v="10"/>
    <n v="30453"/>
    <s v="HLC-B"/>
    <s v="STB9F0034HLCA"/>
    <x v="0"/>
    <s v="NR"/>
    <s v="DEL"/>
    <d v="2016-03-29T00:00:00"/>
    <n v="34"/>
    <s v="Nashik"/>
    <s v="M-U7D2S04V.005,_x000a_MO-U7F2S240.005"/>
    <d v="2020-09-30T00:00:00"/>
    <s v="L3I2ZY72.008"/>
    <s v="Done"/>
    <s v="AMC"/>
    <d v="2024-03-02T00:00:00"/>
    <s v="Conv-B DONE"/>
    <s v="Conv-B DONE"/>
    <s v="Conv-B DONE"/>
    <s v="Conv-B DONE"/>
    <s v="Conv-B DONE"/>
    <m/>
    <s v="Conv-B DONE"/>
    <s v="Conv-B DONE"/>
    <m/>
    <m/>
    <m/>
    <m/>
    <m/>
    <s v="Conv-B DONE"/>
    <s v="Done"/>
    <s v="Conv-B done"/>
    <d v="2024-08-20T00:00:00"/>
    <m/>
    <s v="tighness done without washer (12-03-24)"/>
    <s v="Conv-B done"/>
    <d v="2022-04-29T00:00:00"/>
    <s v="Done"/>
    <d v="2024-08-17T00:00:00"/>
    <m/>
  </r>
  <r>
    <n v="11"/>
    <n v="30483"/>
    <s v="HLC-A"/>
    <s v="STBNF0038HLCA"/>
    <x v="0"/>
    <s v="NR"/>
    <s v="DEL"/>
    <d v="2016-07-19T00:00:00"/>
    <n v="38"/>
    <s v="Imported"/>
    <s v="M-U7D2S04V.005,_x000a_MO-U7F2S240.005"/>
    <d v="2020-09-05T00:00:00"/>
    <s v="L3I2ZY72.008"/>
    <s v="Done"/>
    <s v="AMC"/>
    <d v="2024-01-05T00:00:00"/>
    <s v="Conv-A DONE"/>
    <s v="Conv-A DONE"/>
    <s v="Conv-A DONE"/>
    <s v="Conv-A DONE"/>
    <m/>
    <m/>
    <s v="Conv-A DONE"/>
    <s v="Conv-A DONE"/>
    <m/>
    <m/>
    <m/>
    <m/>
    <m/>
    <d v="2022-03-23T00:00:00"/>
    <s v="Done"/>
    <s v="Conv-A done"/>
    <d v="2024-06-29T00:00:00"/>
    <m/>
    <d v="2023-10-05T00:00:00"/>
    <s v="Conv-A done"/>
    <d v="2024-07-17T00:00:00"/>
    <d v="2024-01-05T00:00:00"/>
    <d v="2024-10-18T00:00:00"/>
    <m/>
  </r>
  <r>
    <n v="12"/>
    <n v="30483"/>
    <s v="HLC-B"/>
    <s v="STBDF0045HLCA"/>
    <x v="0"/>
    <s v="NR"/>
    <s v="DEL"/>
    <d v="2016-07-19T00:00:00"/>
    <n v="45"/>
    <s v="Imported"/>
    <s v="M-U7D2S04V.005,_x000a_MO-U7F2S240.005"/>
    <d v="2020-09-07T00:00:00"/>
    <s v="L3I2ZY72.008"/>
    <s v="Done"/>
    <s v="AMC"/>
    <d v="2024-01-05T00:00:00"/>
    <s v="Conv-B DONE"/>
    <s v="Conv-B DONE"/>
    <s v="Conv-B DONE"/>
    <s v="Conv-B DONE"/>
    <m/>
    <m/>
    <s v="Conv-B DONE"/>
    <s v="Conv-B DONE"/>
    <m/>
    <m/>
    <m/>
    <m/>
    <m/>
    <d v="2022-03-23T00:00:00"/>
    <s v="Done"/>
    <s v="Conv-B done"/>
    <d v="2024-06-29T00:00:00"/>
    <m/>
    <d v="2023-10-05T00:00:00"/>
    <s v="Conv-B done"/>
    <d v="2024-07-17T00:00:00"/>
    <d v="2024-01-05T00:00:00"/>
    <d v="2024-10-18T00:00:00"/>
    <m/>
  </r>
  <r>
    <n v="13"/>
    <n v="30600"/>
    <s v="HLC-A"/>
    <s v="STB0H0091HLCC"/>
    <x v="0"/>
    <s v="NR"/>
    <s v="DEL"/>
    <d v="2017-11-03T00:00:00"/>
    <n v="91"/>
    <s v="Nashik"/>
    <s v="M-U7D2S04V.005,_x000a_MO-U7F2S240.005"/>
    <s v="Done"/>
    <s v="V1E1SZ56.000"/>
    <d v="2022-06-20T00:00:00"/>
    <d v="2024-02-28T00:00:00"/>
    <m/>
    <m/>
    <s v="Conv-A DONE"/>
    <s v="Conv-A DONE"/>
    <s v="Conv-A DONE"/>
    <s v="Conv-A DONE"/>
    <s v="Conv-A DONE"/>
    <s v="Conv-A DONE"/>
    <s v="Conv-A DONE"/>
    <m/>
    <m/>
    <m/>
    <m/>
    <m/>
    <s v="Conv-A DONE"/>
    <s v="Conv-A done"/>
    <s v="Conv-A done"/>
    <d v="2024-08-16T00:00:00"/>
    <m/>
    <s v="Tighness done without washer (28-feb-24)"/>
    <s v="Conv-A done"/>
    <s v="Conv-A DONE"/>
    <s v="Conv-A DONE"/>
    <d v="2024-08-20T00:00:00"/>
    <m/>
  </r>
  <r>
    <n v="14"/>
    <n v="30600"/>
    <s v="HLC-B"/>
    <s v="STB0H0090HLCC"/>
    <x v="0"/>
    <s v="NR"/>
    <s v="DEL"/>
    <d v="2017-11-03T00:00:00"/>
    <n v="90"/>
    <s v="Nashik"/>
    <s v="M-U7D2S04V.005,_x000a_MO-U7F2S240.005"/>
    <s v="Done"/>
    <s v="UAT2Y440.012"/>
    <d v="2022-06-20T00:00:00"/>
    <d v="2024-02-28T00:00:00"/>
    <m/>
    <m/>
    <s v="Conv-B DONE"/>
    <s v="Conv-B DONE"/>
    <s v="Conv-B DONE"/>
    <s v="Conv-B DONE"/>
    <s v="Conv-B DONE"/>
    <s v="Conv-B DONE"/>
    <s v="Conv-B DONE"/>
    <m/>
    <m/>
    <m/>
    <m/>
    <m/>
    <s v="Conv-B DONE"/>
    <s v="Conv-B done"/>
    <s v="Conv-B done"/>
    <d v="2024-08-16T00:00:00"/>
    <m/>
    <s v="Tighness done without washer (28-feb-24)"/>
    <s v="Conv-B done"/>
    <d v="2024-06-04T00:00:00"/>
    <s v="Conv-B DONE"/>
    <d v="2024-08-20T00:00:00"/>
    <m/>
  </r>
  <r>
    <n v="15"/>
    <n v="30626"/>
    <s v="HLC-A"/>
    <s v="STBNK0331HLCD"/>
    <x v="1"/>
    <s v="NR"/>
    <s v="DEL"/>
    <d v="2020-03-18T00:00:00"/>
    <n v="331"/>
    <s v="Nashik"/>
    <s v="M-U7D2S04V.005,_x000a_MO-U7F2S240.005"/>
    <d v="2020-08-19T00:00:00"/>
    <s v="UAT2Y440.012"/>
    <m/>
    <d v="2022-06-24T00:00:00"/>
    <m/>
    <m/>
    <s v="Conv-A DONE"/>
    <s v="Conv-A DONE"/>
    <s v="Conv-A DONE"/>
    <s v="Conv-A DONE"/>
    <s v="Conv-A DONE"/>
    <m/>
    <s v="Conv-A DONE"/>
    <s v="Conv-A DONE"/>
    <m/>
    <m/>
    <m/>
    <m/>
    <s v="Conv-A DONE"/>
    <s v="Conv-A done"/>
    <s v="Conv-A done"/>
    <d v="2024-07-27T00:00:00"/>
    <s v="Conv-A DONE"/>
    <s v="Conv-A DONE"/>
    <s v="Conv-A done"/>
    <s v="Conv-A DONE"/>
    <m/>
    <s v="Done"/>
    <m/>
  </r>
  <r>
    <n v="16"/>
    <n v="30626"/>
    <s v="HLC-B"/>
    <s v="STBNK0324HLCD"/>
    <x v="1"/>
    <s v="NR"/>
    <s v="DEL"/>
    <d v="2020-03-18T00:00:00"/>
    <n v="324"/>
    <s v="Nashik"/>
    <s v="M-U7D2S04V.005,_x000a_MO-U7F2S240.005"/>
    <d v="2020-08-19T00:00:00"/>
    <s v="UAT2Y440.012"/>
    <m/>
    <d v="2022-06-24T00:00:00"/>
    <m/>
    <m/>
    <s v="Conv-B DONE"/>
    <s v="Conv-B DONE"/>
    <s v="Conv-B DONE"/>
    <s v="Conv-B DONE"/>
    <s v="Conv-B DONE"/>
    <m/>
    <s v="Conv-B DONE"/>
    <s v="Conv-A DONE"/>
    <m/>
    <m/>
    <m/>
    <m/>
    <s v="Conv-B DONE"/>
    <s v="Conv-B done"/>
    <s v="Conv-B done"/>
    <d v="2024-07-27T00:00:00"/>
    <s v="Conv-B DONE"/>
    <s v="Conv-B DONE"/>
    <s v="Conv-B done"/>
    <s v="Conv-B DONE"/>
    <m/>
    <s v="Done"/>
    <m/>
  </r>
  <r>
    <n v="17"/>
    <n v="30638"/>
    <s v="HLC-A"/>
    <s v="STBNK0348HLCD"/>
    <x v="0"/>
    <s v="NR"/>
    <s v="DEL"/>
    <d v="2020-07-25T00:00:00"/>
    <n v="348"/>
    <s v="Nashik"/>
    <s v="M-U7D2S04V.005,_x000a_MO-U7F2S240.005"/>
    <d v="2020-10-26T00:00:00"/>
    <s v="UAT2Y440.012"/>
    <d v="2022-01-03T00:00:00"/>
    <d v="2024-06-19T00:00:00"/>
    <m/>
    <m/>
    <s v="Conv-A DONE"/>
    <s v="Conv-A DONE"/>
    <s v="Conv-A DONE"/>
    <s v="Conv-A DONE"/>
    <m/>
    <s v="Conv-A DONE"/>
    <s v="Conv-A DONE"/>
    <m/>
    <m/>
    <m/>
    <m/>
    <m/>
    <s v="Conv-A DONE"/>
    <s v="Conv-A done"/>
    <s v="Conv-A done"/>
    <d v="2024-07-26T00:00:00"/>
    <m/>
    <d v="2023-09-11T00:00:00"/>
    <s v="Conv-A done"/>
    <d v="2024-05-22T00:00:00"/>
    <s v="Conv-A DONE"/>
    <d v="2024-06-19T00:00:00"/>
    <m/>
  </r>
  <r>
    <n v="18"/>
    <n v="30638"/>
    <s v="HLC-B"/>
    <s v="STBNK0325HLCD"/>
    <x v="0"/>
    <s v="NR"/>
    <s v="DEL"/>
    <d v="2020-07-25T00:00:00"/>
    <n v="325"/>
    <s v="Nashik"/>
    <s v="M-U7D2S04V.005,_x000a_MO-U7F2S240.005"/>
    <d v="2020-10-26T00:00:00"/>
    <s v="UAT2Y440.012"/>
    <d v="2022-01-03T00:00:00"/>
    <d v="2024-06-19T00:00:00"/>
    <m/>
    <m/>
    <s v="Conv-B DONE"/>
    <s v="Conv-B DONE"/>
    <s v="Conv-B DONE"/>
    <s v="Conv-B DONE"/>
    <m/>
    <s v="Conv-B DONE"/>
    <s v="Conv-B DONE"/>
    <m/>
    <m/>
    <m/>
    <s v="EL21C01015"/>
    <m/>
    <s v="Conv-B DONE"/>
    <s v="Done"/>
    <s v="Conv-B done"/>
    <d v="2024-07-26T00:00:00"/>
    <m/>
    <d v="2023-09-11T00:00:00"/>
    <s v="Conv-B done"/>
    <d v="2024-05-22T00:00:00"/>
    <s v="Conv-B DONE"/>
    <d v="2024-06-19T00:00:00"/>
    <m/>
  </r>
  <r>
    <n v="19"/>
    <n v="30649"/>
    <s v="HLC-A"/>
    <s v="STB9J0163HLCD"/>
    <x v="0"/>
    <s v="NR"/>
    <s v="DEL"/>
    <d v="2018-01-31T00:00:00"/>
    <n v="163"/>
    <s v="Nashik"/>
    <s v="M-U7D2S04V.005,_x000a_MO-U7F2S240.005"/>
    <d v="2020-09-07T00:00:00"/>
    <s v="U9S2Y440.011"/>
    <s v="Done (ver-Nimesh)"/>
    <d v="2024-07-06T00:00:00"/>
    <d v="2024-01-17T00:00:00"/>
    <m/>
    <s v="Conv-B DONE"/>
    <s v="Conv-A DONE"/>
    <s v="Conv-A DONE"/>
    <s v="Conv-A DONE"/>
    <m/>
    <s v="Conv-A DONE"/>
    <s v="Conv-B DONE"/>
    <m/>
    <m/>
    <m/>
    <m/>
    <m/>
    <s v="Conv-A DONE"/>
    <s v="Conv-A done"/>
    <s v="Conv-A done"/>
    <d v="2024-07-03T00:00:00"/>
    <d v="2024-01-18T00:00:00"/>
    <s v="Tightness done(without washer)"/>
    <s v="Conv-A done"/>
    <d v="2024-07-06T00:00:00"/>
    <d v="2024-01-17T00:00:00"/>
    <d v="2025-01-11T00:00:00"/>
    <m/>
  </r>
  <r>
    <n v="20"/>
    <n v="30649"/>
    <s v="HLC-B"/>
    <s v="STB9J0161HLCD"/>
    <x v="0"/>
    <s v="NR"/>
    <s v="DEL"/>
    <d v="2018-01-31T00:00:00"/>
    <n v="161"/>
    <s v="Nashik"/>
    <s v="M-U7D2S04V.005,_x000a_MO-U7F2S240.005"/>
    <d v="2020-09-07T00:00:00"/>
    <s v="U9S2Y440.011"/>
    <s v="Done (ver-Nimesh)"/>
    <d v="2024-07-06T00:00:00"/>
    <d v="2024-01-17T00:00:00"/>
    <m/>
    <s v="Conv-A DONE"/>
    <s v="Conv-B DONE"/>
    <s v="Conv-B DONE"/>
    <s v="Conv-B DONE"/>
    <m/>
    <s v="Conv-B DONE"/>
    <s v="Conv-A DONE"/>
    <m/>
    <m/>
    <m/>
    <m/>
    <m/>
    <s v="Conv-B DONE"/>
    <s v="Conv-B done"/>
    <s v="Conv-B done"/>
    <d v="2024-07-03T00:00:00"/>
    <d v="2024-01-18T00:00:00"/>
    <s v="Tightness done(without washer)"/>
    <s v="Conv-B done"/>
    <d v="2024-07-06T00:00:00"/>
    <d v="2024-01-17T00:00:00"/>
    <d v="2025-01-11T00:00:00"/>
    <m/>
  </r>
  <r>
    <n v="21"/>
    <n v="30662"/>
    <s v="HLC-A"/>
    <s v="STBNK0349HLCD"/>
    <x v="0"/>
    <s v="NR"/>
    <s v="DEL"/>
    <d v="2020-09-22T00:00:00"/>
    <n v="349"/>
    <s v="Nashik"/>
    <s v="M-U7D2S04V.005,_x000a_MO-U7F2S240.005"/>
    <d v="2020-09-27T00:00:00"/>
    <s v="U9S2Y440.011"/>
    <s v="Done (ver-Nimesh)"/>
    <d v="2024-03-09T00:00:00"/>
    <m/>
    <m/>
    <s v="Conv-A DONE"/>
    <s v="Conv-A DONE"/>
    <s v="Conv-A DONE"/>
    <s v="Conv-A DONE"/>
    <m/>
    <m/>
    <m/>
    <m/>
    <m/>
    <m/>
    <s v="EL18F06044"/>
    <m/>
    <s v="Conv-A DONE"/>
    <s v="Conv-A done"/>
    <s v="Conv-A done"/>
    <d v="2024-06-24T00:00:00"/>
    <m/>
    <s v="Conv-A DONE"/>
    <s v="Conv-A done"/>
    <d v="2024-06-25T00:00:00"/>
    <s v="Conv-A DONE"/>
    <d v="2024-09-25T00:00:00"/>
    <m/>
  </r>
  <r>
    <n v="22"/>
    <n v="30662"/>
    <s v="HLC-B"/>
    <s v="STBNK0330HLCD"/>
    <x v="0"/>
    <s v="NR"/>
    <s v="DEL"/>
    <d v="2020-09-22T00:00:00"/>
    <n v="330"/>
    <s v="Nashik"/>
    <s v="M-U7D2S04V.005,_x000a_MO-U7F2S240.005"/>
    <d v="2020-09-27T00:00:00"/>
    <s v="U9S2Y440.011"/>
    <s v="Done (ver-Nimesh)"/>
    <d v="2024-03-09T00:00:00"/>
    <m/>
    <m/>
    <s v="Conv-B DONE"/>
    <s v="Conv-B DONE"/>
    <s v="Conv-B DONE"/>
    <s v="Conv-B DONE"/>
    <m/>
    <m/>
    <m/>
    <m/>
    <m/>
    <m/>
    <s v="EL20L01027"/>
    <m/>
    <s v="Conv-B DONE"/>
    <s v="Done"/>
    <s v="Conv-B done"/>
    <d v="2024-06-24T00:00:00"/>
    <m/>
    <s v="Conv-B DONE"/>
    <s v="Conv-B done"/>
    <d v="2024-06-25T00:00:00"/>
    <s v="Conv-B DONE"/>
    <d v="2024-09-25T00:00:00"/>
    <m/>
  </r>
  <r>
    <n v="23"/>
    <n v="30756"/>
    <s v="HLC-A"/>
    <s v="STBDK0383HLCD"/>
    <x v="0"/>
    <s v="NR"/>
    <s v="DEL"/>
    <d v="2019-09-05T00:00:00"/>
    <n v="383"/>
    <s v="Nashik"/>
    <s v="M-U7D2S04V.005,_x000a_MO-U7F2S240.005"/>
    <d v="2020-09-07T00:00:00"/>
    <m/>
    <s v="Done (ver-Nimesh)"/>
    <d v="2024-01-09T00:00:00"/>
    <m/>
    <m/>
    <s v="Conv-A DONE"/>
    <s v="Conv-A DONE"/>
    <s v="Conv-A DONE"/>
    <s v="Conv-A DONE"/>
    <m/>
    <s v="Conv-A DONE"/>
    <s v="Conv-A DONE"/>
    <m/>
    <m/>
    <m/>
    <s v="EL20I01028"/>
    <m/>
    <d v="2022-02-07T00:00:00"/>
    <s v="Done"/>
    <s v="Conv-A done"/>
    <d v="2024-07-05T00:00:00"/>
    <m/>
    <s v="Tightness done without washer"/>
    <s v="Conv-A done"/>
    <d v="2024-07-29T00:00:00"/>
    <d v="2024-01-09T00:00:00"/>
    <d v="2024-10-05T00:00:00"/>
    <m/>
  </r>
  <r>
    <n v="24"/>
    <n v="30756"/>
    <s v="HLC-B"/>
    <s v="STBDK0382HLCD"/>
    <x v="0"/>
    <s v="NR"/>
    <s v="DEL"/>
    <d v="2019-09-05T00:00:00"/>
    <n v="382"/>
    <s v="Nashik"/>
    <s v="U7D2S04V.005"/>
    <d v="2020-09-07T00:00:00"/>
    <s v="UAT2Y440.012"/>
    <s v="Done (ver-Nimesh)"/>
    <d v="2024-01-09T00:00:00"/>
    <m/>
    <m/>
    <s v="Conv-A DONE"/>
    <s v="Conv-B DONE"/>
    <s v="Conv-B DONE"/>
    <s v="Conv-B DONE"/>
    <m/>
    <s v="Conv-B DONE"/>
    <s v="Conv-B DONE"/>
    <m/>
    <m/>
    <m/>
    <s v="EL20L01037"/>
    <m/>
    <d v="2022-02-07T00:00:00"/>
    <s v="Done"/>
    <s v="Conv-B done"/>
    <d v="2024-07-05T00:00:00"/>
    <m/>
    <s v="Tightness done without washer"/>
    <s v="Conv-B done"/>
    <d v="2024-07-29T00:00:00"/>
    <d v="2024-01-09T00:00:00"/>
    <d v="2024-10-05T00:00:00"/>
    <m/>
  </r>
  <r>
    <n v="25"/>
    <n v="30785"/>
    <s v="HLC-A"/>
    <s v="STBDK0372HLCD"/>
    <x v="0"/>
    <s v="NR"/>
    <s v="DEL"/>
    <d v="2020-01-20T00:00:00"/>
    <n v="372"/>
    <s v="Nashik"/>
    <s v="M-U7D2S04V.005,_x000a_MO-U7F2S240.005"/>
    <d v="2020-08-24T00:00:00"/>
    <s v="UAT2Y440.012"/>
    <s v="Done (ver-Nimesh)"/>
    <d v="2024-05-17T00:00:00"/>
    <m/>
    <m/>
    <s v="Conv-A DONE"/>
    <s v="Conv-A DONE"/>
    <s v="Conv-A DONE"/>
    <s v="Conv-A DONE"/>
    <m/>
    <s v="Conv-A DONE"/>
    <s v="Conv-A DONE"/>
    <m/>
    <m/>
    <m/>
    <m/>
    <m/>
    <d v="2022-03-21T00:00:00"/>
    <s v="Done"/>
    <s v="Conv-A done"/>
    <d v="2024-06-28T00:00:00"/>
    <d v="2024-02-03T00:00:00"/>
    <s v="Tightness done ( without washer)"/>
    <s v="Done"/>
    <d v="2024-08-01T00:00:00"/>
    <d v="2024-02-03T00:00:00"/>
    <d v="2025-06-19T00:00:00"/>
    <m/>
  </r>
  <r>
    <n v="26"/>
    <n v="30785"/>
    <s v="HLC-B"/>
    <s v="STBDK0373HLCD"/>
    <x v="0"/>
    <s v="NR"/>
    <s v="DEL"/>
    <d v="2020-01-20T00:00:00"/>
    <n v="373"/>
    <s v="Nashik"/>
    <s v="M-U7D2S04V.005,_x000a_MO-U7F2S240.005"/>
    <d v="2020-08-24T00:00:00"/>
    <s v="UAT2Y440.012"/>
    <s v="Done (ver-Nimesh)"/>
    <d v="2024-05-17T00:00:00"/>
    <m/>
    <m/>
    <s v="Conv-B DONE"/>
    <s v="Conv-B DONE"/>
    <s v="Conv-B DONE"/>
    <s v="Conv-B DONE"/>
    <m/>
    <s v="Conv-B DONE"/>
    <s v="Conv-B DONE"/>
    <m/>
    <m/>
    <m/>
    <m/>
    <m/>
    <d v="2022-03-21T00:00:00"/>
    <s v="Done"/>
    <s v="Conv-B done"/>
    <d v="2024-06-28T00:00:00"/>
    <d v="2024-02-03T00:00:00"/>
    <s v="Tightness done ( without washer)"/>
    <s v="Done"/>
    <d v="2024-08-01T00:00:00"/>
    <d v="2024-02-03T00:00:00"/>
    <d v="2025-06-19T00:00:00"/>
    <m/>
  </r>
  <r>
    <n v="27"/>
    <n v="30786"/>
    <s v="HLC-A"/>
    <s v="STBDK0368HLCD"/>
    <x v="0"/>
    <s v="NR"/>
    <s v="DEL"/>
    <d v="2020-02-03T00:00:00"/>
    <n v="368"/>
    <s v="Nashik"/>
    <s v="M-U7D2S04V.005,_x000a_MO-U7F2S240.005"/>
    <d v="2020-08-24T00:00:00"/>
    <s v="UAT2Y440.012"/>
    <s v="Done (ver-Nimesh)"/>
    <d v="2024-02-05T00:00:00"/>
    <m/>
    <m/>
    <s v="Conv-A DONE"/>
    <s v="Conv-A DONE"/>
    <s v="Conv-A DONE"/>
    <s v="Conv-A DONE"/>
    <m/>
    <s v="Conv-A DONE"/>
    <s v="Conv-A DONE"/>
    <m/>
    <m/>
    <m/>
    <m/>
    <m/>
    <d v="2022-03-29T00:00:00"/>
    <s v="Done"/>
    <d v="2023-01-19T00:00:00"/>
    <d v="2024-06-28T00:00:00"/>
    <m/>
    <s v="tightness done (without washer)"/>
    <s v="Done"/>
    <d v="2024-06-12T00:00:00"/>
    <m/>
    <d v="2024-10-14T00:00:00"/>
    <m/>
  </r>
  <r>
    <n v="28"/>
    <n v="30786"/>
    <s v="HLC-B"/>
    <s v="STBDK0359HLCD"/>
    <x v="0"/>
    <s v="NR"/>
    <s v="DEL"/>
    <d v="2020-02-03T00:00:00"/>
    <n v="359"/>
    <s v="Nashik"/>
    <s v="M-U7D2S04V.005,_x000a_MO-U7F2S240.005"/>
    <d v="2020-08-24T00:00:00"/>
    <s v="UAT2Y440.012"/>
    <s v="Done (ver-Nimesh)"/>
    <d v="2024-02-05T00:00:00"/>
    <m/>
    <m/>
    <s v="Conv-B DONE"/>
    <s v="Conv-B DONE"/>
    <s v="Conv-B DONE"/>
    <s v="Conv-B DONE"/>
    <m/>
    <s v="Conv-B DONE"/>
    <s v="Conv-B DONE"/>
    <m/>
    <m/>
    <m/>
    <m/>
    <m/>
    <d v="2022-03-29T00:00:00"/>
    <s v="Done"/>
    <d v="2023-01-19T00:00:00"/>
    <d v="2024-06-28T00:00:00"/>
    <m/>
    <s v="tightness done (without washer)"/>
    <s v="Done"/>
    <d v="2024-06-12T00:00:00"/>
    <m/>
    <d v="2024-10-14T00:00:00"/>
    <m/>
  </r>
  <r>
    <n v="29"/>
    <n v="37155"/>
    <s v="HLC-A"/>
    <s v="STB2L0425HLCD"/>
    <x v="0"/>
    <s v="NR"/>
    <s v="DEL"/>
    <d v="2019-04-26T00:00:00"/>
    <n v="425"/>
    <s v="Nashik"/>
    <s v="M-U7D2S04V.005,_x000a_MO-U7F2S240.005"/>
    <d v="2020-10-29T00:00:00"/>
    <s v="UAT2Y440.012"/>
    <s v="Done (ver-Nimesh)"/>
    <d v="2024-04-27T00:00:00"/>
    <m/>
    <s v="Conv-A DONE"/>
    <s v="Conv-A DONE"/>
    <s v="Conv-A DONE"/>
    <s v="Conv-A DONE"/>
    <s v="Conv-A DONE"/>
    <m/>
    <s v="Conv-A DONE"/>
    <s v="Conv-A DONE"/>
    <m/>
    <m/>
    <m/>
    <m/>
    <m/>
    <s v="Conv-A DONE"/>
    <s v="Done"/>
    <s v="Done"/>
    <d v="2024-07-15T00:00:00"/>
    <m/>
    <s v="Tightness done without washer"/>
    <s v="Done"/>
    <d v="2024-08-13T00:00:00"/>
    <d v="2024-04-27T00:00:00"/>
    <d v="2024-11-15T00:00:00"/>
    <m/>
  </r>
  <r>
    <n v="30"/>
    <n v="37155"/>
    <s v="HLC-B"/>
    <s v="STB2L0443HLCD"/>
    <x v="0"/>
    <s v="NR"/>
    <s v="DEL"/>
    <d v="2019-04-26T00:00:00"/>
    <n v="443"/>
    <s v="Nashik"/>
    <s v="M-U7D2S04V.005,_x000a_MO-U7F2S240.005"/>
    <d v="2020-08-18T00:00:00"/>
    <s v="UAT2Y440.012"/>
    <s v="Done (ver-Nimesh)"/>
    <d v="2024-04-27T00:00:00"/>
    <m/>
    <s v="Conv-B DONE"/>
    <s v="Conv-B DONE"/>
    <s v="Conv-B DONE"/>
    <s v="Conv-B DONE"/>
    <s v="Conv-B DONE"/>
    <m/>
    <s v="Conv-B DONE"/>
    <s v="Conv-B DONE"/>
    <m/>
    <m/>
    <m/>
    <m/>
    <m/>
    <s v="Conv-B DONE"/>
    <s v="Done"/>
    <s v="Done"/>
    <d v="2024-07-15T00:00:00"/>
    <m/>
    <s v="Titgthness done without washer"/>
    <s v="Done"/>
    <d v="2024-08-13T00:00:00"/>
    <d v="2024-04-27T00:00:00"/>
    <d v="2024-11-15T00:00:00"/>
    <m/>
  </r>
  <r>
    <n v="31"/>
    <n v="37170"/>
    <s v="HLC-A"/>
    <s v="STB1L0402HLCD"/>
    <x v="0"/>
    <s v="NR"/>
    <s v="DEL"/>
    <d v="2019-05-15T00:00:00"/>
    <n v="402"/>
    <s v="Nashik"/>
    <s v="M-U7D2S04V.005,_x000a_MO-U7F2S240.005"/>
    <d v="2020-08-25T00:00:00"/>
    <s v="U9S2Y440.011"/>
    <s v="Done (ver-Nimesh)"/>
    <d v="2024-01-20T00:00:00"/>
    <m/>
    <m/>
    <s v="Conv-A DONE"/>
    <s v="Conv-A DONE"/>
    <s v="Conv-A DONE"/>
    <s v="Conv-A DONE"/>
    <m/>
    <s v="Conv-A DONE"/>
    <s v="Conv-A DONE"/>
    <m/>
    <m/>
    <m/>
    <m/>
    <m/>
    <d v="2022-02-21T00:00:00"/>
    <d v="2024-10-04T00:00:00"/>
    <d v="2021-11-16T00:00:00"/>
    <d v="2024-07-05T00:00:00"/>
    <d v="2024-01-20T00:00:00"/>
    <s v="Tightness done( without washer)"/>
    <s v="Conv-A done"/>
    <d v="2024-07-31T00:00:00"/>
    <d v="2024-01-20T00:00:00"/>
    <d v="2024-10-27T00:00:00"/>
    <m/>
  </r>
  <r>
    <n v="32"/>
    <n v="37170"/>
    <s v="HLC-B"/>
    <s v="STB1L0403HLCD"/>
    <x v="0"/>
    <s v="NR"/>
    <s v="DEL"/>
    <d v="2019-05-15T00:00:00"/>
    <n v="403"/>
    <s v="Nashik"/>
    <s v="M-U7D2S04V.005,_x000a_MO-U7F2S240.005"/>
    <d v="2020-08-25T00:00:00"/>
    <s v="U9S2Y440.011"/>
    <s v="Done (ver-Nimesh)"/>
    <d v="2024-01-20T00:00:00"/>
    <m/>
    <m/>
    <s v="Conv-B DONE"/>
    <s v="Conv-B DONE"/>
    <s v="Conv-B DONE"/>
    <s v="Conv-B DONE"/>
    <m/>
    <s v="Conv-B DONE"/>
    <s v="Conv-B DONE"/>
    <m/>
    <m/>
    <m/>
    <m/>
    <m/>
    <d v="2022-02-21T00:00:00"/>
    <d v="2024-10-04T00:00:00"/>
    <d v="2021-11-16T00:00:00"/>
    <d v="2024-07-05T00:00:00"/>
    <d v="2024-01-20T00:00:00"/>
    <s v="Tightness done( without washer)"/>
    <s v="Conv-B done"/>
    <d v="2024-07-31T00:00:00"/>
    <d v="2024-01-20T00:00:00"/>
    <d v="2024-10-27T00:00:00"/>
    <m/>
  </r>
  <r>
    <n v="33"/>
    <n v="37171"/>
    <s v="HLC-A"/>
    <s v="STB2L0421HLCD"/>
    <x v="0"/>
    <s v="NR"/>
    <s v="DEL"/>
    <d v="2019-05-15T00:00:00"/>
    <n v="421"/>
    <s v="Nashik"/>
    <s v="M-U7D2S04V.005,_x000a_MO-U7F2S240.005"/>
    <d v="2020-10-16T00:00:00"/>
    <s v="UAT2Y440.012"/>
    <s v="Done (ver-Nimesh)"/>
    <d v="2023-09-12T00:00:00"/>
    <m/>
    <m/>
    <s v="Conv-A DONE"/>
    <s v="Conv-A DONE"/>
    <s v="Conv-A DONE"/>
    <s v="Conv-A DONE"/>
    <m/>
    <s v="Conv-A DONE"/>
    <s v="Conv-A DONE"/>
    <m/>
    <m/>
    <m/>
    <m/>
    <m/>
    <s v="Conv-A DONE"/>
    <s v="Done"/>
    <s v="Conv-A done"/>
    <d v="2024-08-24T00:00:00"/>
    <m/>
    <s v="Done without washer"/>
    <s v="Conv-A done"/>
    <s v="Conv-A DONE"/>
    <m/>
    <d v="2024-11-13T00:00:00"/>
    <m/>
  </r>
  <r>
    <n v="34"/>
    <n v="37171"/>
    <s v="HLC-B"/>
    <s v="STB2L0420HLCD"/>
    <x v="0"/>
    <s v="NR"/>
    <s v="DEL"/>
    <d v="2019-05-15T00:00:00"/>
    <n v="420"/>
    <s v="Nashik"/>
    <s v="M-U7D2S04V.005,_x000a_MO-U7F2S240.005"/>
    <d v="2020-10-16T00:00:00"/>
    <s v="UAT2Y440.012"/>
    <s v="Done (ver-Nimesh)"/>
    <d v="2023-09-12T00:00:00"/>
    <m/>
    <m/>
    <s v="Conv-B DONE"/>
    <s v="Conv-B DONE"/>
    <s v="Conv-B DONE"/>
    <s v="Conv-B DONE"/>
    <m/>
    <s v="Conv-B DONE"/>
    <s v="Conv-B DONE"/>
    <m/>
    <m/>
    <m/>
    <m/>
    <m/>
    <s v="Conv-B DONE"/>
    <s v="Conv-B done"/>
    <s v="Conv-B done"/>
    <d v="2024-08-24T00:00:00"/>
    <m/>
    <s v="Done without washer"/>
    <s v="Conv-B done"/>
    <s v="Conv-B DONE"/>
    <m/>
    <d v="2024-11-13T00:00:00"/>
    <m/>
  </r>
  <r>
    <n v="35"/>
    <n v="37218"/>
    <s v="HLC-A"/>
    <s v="STB1L0388HLCD"/>
    <x v="2"/>
    <s v="WCR"/>
    <s v="DEL"/>
    <d v="2019-07-26T00:00:00"/>
    <n v="388"/>
    <s v="Nashik"/>
    <s v="M-U7D2S04V.005,_x000a_MO-U7F2S240.005"/>
    <d v="2020-11-01T00:00:00"/>
    <s v="UAT2Y440.012"/>
    <s v="Done (ver-Nimesh)"/>
    <d v="2021-07-03T00:00:00"/>
    <m/>
    <m/>
    <s v="Conv-A DONE"/>
    <s v="Conv-A DONE"/>
    <s v="Conv-A DONE"/>
    <s v="Conv-A DONE"/>
    <m/>
    <m/>
    <s v="Conv-A DONE"/>
    <s v="Conv-A DONE"/>
    <m/>
    <m/>
    <m/>
    <m/>
    <s v="Conv-A DONE"/>
    <m/>
    <m/>
    <m/>
    <m/>
    <m/>
    <s v="Conv-A done"/>
    <m/>
    <m/>
    <m/>
    <m/>
  </r>
  <r>
    <n v="36"/>
    <n v="37218"/>
    <s v="HLC-B"/>
    <s v="STB1L0389HLCD"/>
    <x v="2"/>
    <s v="WCR"/>
    <s v="DEL"/>
    <d v="2019-07-26T00:00:00"/>
    <n v="389"/>
    <s v="Nashik"/>
    <s v="M-U7D2S04V.005,_x000a_MO-U7F2S240.005"/>
    <d v="2020-11-01T00:00:00"/>
    <s v="UAT2Y440.012"/>
    <s v="Done (ver-Nimesh)"/>
    <d v="2021-07-03T00:00:00"/>
    <m/>
    <m/>
    <s v="Conv-B DONE"/>
    <s v="Conv-B DONE"/>
    <s v="Conv-B DONE"/>
    <s v="Conv-B DONE"/>
    <m/>
    <m/>
    <s v="Conv-B DONE"/>
    <s v="Conv-B DONE"/>
    <m/>
    <m/>
    <m/>
    <m/>
    <s v="Conv-B DONE"/>
    <m/>
    <m/>
    <m/>
    <m/>
    <m/>
    <s v="Conv-B done"/>
    <m/>
    <m/>
    <m/>
    <m/>
  </r>
  <r>
    <n v="37"/>
    <n v="37219"/>
    <s v="HLC-A"/>
    <s v="STBDK0376HLCD"/>
    <x v="2"/>
    <s v="WCR"/>
    <s v="DEL"/>
    <d v="2019-07-28T00:00:00"/>
    <n v="376"/>
    <s v="Nashik"/>
    <s v="M-U7D2S04V.005,_x000a_MO-U7F2S240.005"/>
    <d v="2020-10-26T00:00:00"/>
    <s v="U9S2Y440.011"/>
    <s v="Done (ver-Nimesh)"/>
    <d v="2021-06-14T00:00:00"/>
    <m/>
    <m/>
    <s v="Conv-A DONE"/>
    <s v="Conv-A DONE"/>
    <s v="Conv-A DONE"/>
    <s v="Conv-A DONE"/>
    <m/>
    <m/>
    <m/>
    <s v="Conv-A DONE"/>
    <m/>
    <m/>
    <m/>
    <m/>
    <s v="Conv-A DONE"/>
    <m/>
    <m/>
    <m/>
    <m/>
    <m/>
    <s v="Conv-A done"/>
    <m/>
    <m/>
    <m/>
    <m/>
  </r>
  <r>
    <n v="38"/>
    <n v="37219"/>
    <s v="HLC-B"/>
    <s v="STBDK0377HLCD"/>
    <x v="2"/>
    <s v="WCR"/>
    <s v="DEL"/>
    <d v="2019-07-28T00:00:00"/>
    <n v="377"/>
    <s v="Nashik"/>
    <s v="M-U7D2S04V.005,_x000a_MO-U7F2S240.005"/>
    <d v="2020-09-07T00:00:00"/>
    <s v="U9S2Y440.011"/>
    <s v="Done (ver-Nimesh)"/>
    <d v="2021-06-14T00:00:00"/>
    <m/>
    <m/>
    <s v="Conv-B DONE"/>
    <s v="Conv-B DONE"/>
    <s v="Conv-B DONE"/>
    <s v="Conv-B DONE"/>
    <m/>
    <m/>
    <m/>
    <s v="Conv-B DONE"/>
    <m/>
    <m/>
    <m/>
    <m/>
    <s v="Conv-B DONE"/>
    <m/>
    <m/>
    <m/>
    <m/>
    <m/>
    <s v="Conv-B done"/>
    <m/>
    <m/>
    <m/>
    <m/>
  </r>
  <r>
    <n v="39"/>
    <n v="37261"/>
    <s v="HLC-A"/>
    <s v="STB6L0581HLCD"/>
    <x v="2"/>
    <s v="WCR"/>
    <s v="DEL"/>
    <d v="2019-09-28T00:00:00"/>
    <n v="581"/>
    <s v="Nashik"/>
    <s v="M-U7D2S04V.005,_x000a_MO-U7F2S240.005"/>
    <d v="2020-09-04T00:00:00"/>
    <s v="UAT2Y440.012"/>
    <d v="2022-02-12T00:00:00"/>
    <d v="2024-06-03T00:00:00"/>
    <d v="2023-05-04T00:00:00"/>
    <s v="Done by NW"/>
    <s v="Done by NW"/>
    <s v="Conv-A DONE"/>
    <s v="Conv-A DONE"/>
    <m/>
    <s v="Conv-A DONE"/>
    <s v="Conv-A DONE"/>
    <s v="Conv-A DONE"/>
    <s v="Conv-A DONE"/>
    <m/>
    <m/>
    <m/>
    <m/>
    <s v="Conv-A DONE"/>
    <s v="Done"/>
    <s v="Done"/>
    <m/>
    <d v="2023-06-19T00:00:00"/>
    <s v="DONE"/>
    <s v="Done"/>
    <m/>
    <m/>
    <m/>
    <m/>
  </r>
  <r>
    <n v="40"/>
    <n v="37261"/>
    <s v="HLC-B"/>
    <s v="STB7L0610HLCD"/>
    <x v="2"/>
    <s v="WCR"/>
    <s v="DEL"/>
    <d v="2019-09-28T00:00:00"/>
    <n v="610"/>
    <s v="Nashik"/>
    <s v="M-U7D2S04V.005,_x000a_MO-U7F2S240.005"/>
    <d v="2020-11-12T00:00:00"/>
    <s v="UAT2Y440.012"/>
    <d v="1922-02-12T00:00:00"/>
    <d v="2024-06-03T00:00:00"/>
    <d v="2023-05-04T00:00:00"/>
    <s v="Done by NW"/>
    <s v="Done by NW"/>
    <m/>
    <s v="Conv-A DONE"/>
    <s v="Conv-A DONE"/>
    <s v="Conv-B DONE"/>
    <s v="Conv-B DONE"/>
    <s v="Conv-B DONE"/>
    <s v="Conv-B DONE"/>
    <s v="OK"/>
    <m/>
    <m/>
    <m/>
    <s v="Conv-B DONE"/>
    <s v="Done"/>
    <s v="Done"/>
    <m/>
    <d v="2023-06-19T00:00:00"/>
    <s v="DONE"/>
    <s v="Done"/>
    <m/>
    <m/>
    <m/>
    <m/>
  </r>
  <r>
    <n v="41"/>
    <n v="37264"/>
    <s v="HLC-A"/>
    <s v="STB7L0642HLCD"/>
    <x v="2"/>
    <s v="WCR"/>
    <s v="DEL"/>
    <d v="2019-10-18T00:00:00"/>
    <n v="642"/>
    <s v="Nashik"/>
    <s v="M-U7D2S04V.005,_x000a_MO-U7F2S240.005"/>
    <d v="2020-10-03T00:00:00"/>
    <s v="UAT2Y44O.012"/>
    <d v="2022-10-17T00:00:00"/>
    <d v="2024-05-31T00:00:00"/>
    <d v="2023-08-05T00:00:00"/>
    <s v="Done by NW"/>
    <s v="Done by NW"/>
    <s v="Conv-A DONE"/>
    <s v="Conv-A DONE"/>
    <m/>
    <s v="Conv-A DONE"/>
    <s v="Conv-A DONE"/>
    <s v="Conv-A DONE"/>
    <s v="Conv-A DONE"/>
    <m/>
    <m/>
    <s v="EL19C01074-R"/>
    <m/>
    <s v="Conv-A DONE"/>
    <d v="2023-11-30T00:00:00"/>
    <d v="2023-11-30T00:00:00"/>
    <m/>
    <d v="2023-08-21T00:00:00"/>
    <d v="2023-11-30T00:00:00"/>
    <s v="Done"/>
    <m/>
    <m/>
    <m/>
    <m/>
  </r>
  <r>
    <n v="42"/>
    <n v="37264"/>
    <s v="HLC-B"/>
    <s v="STB7L0643HLCD"/>
    <x v="2"/>
    <s v="WCR"/>
    <s v="DEL"/>
    <d v="2019-10-18T00:00:00"/>
    <n v="643"/>
    <s v="Nashik"/>
    <s v="M-U7D2S04V.005,_x000a_MO-U7F2S240.005"/>
    <d v="2020-10-06T00:00:00"/>
    <s v="UAT2Y44O.012"/>
    <d v="2022-10-17T00:00:00"/>
    <d v="2024-05-31T00:00:00"/>
    <d v="2023-08-05T00:00:00"/>
    <s v="Done by NW"/>
    <s v="Done by NW"/>
    <s v="Conv-B DONE"/>
    <s v="Conv-B DONE"/>
    <m/>
    <s v="Conv-B DONE"/>
    <s v="Conv-B DONE"/>
    <s v="Conv-B DONE"/>
    <s v="Conv-B DONE"/>
    <m/>
    <m/>
    <s v="EL18K03011-R"/>
    <m/>
    <s v="Conv-B DONE"/>
    <d v="2023-11-30T00:00:00"/>
    <d v="2023-11-30T00:00:00"/>
    <m/>
    <d v="2023-08-21T00:00:00"/>
    <d v="2023-11-30T00:00:00"/>
    <s v="Done"/>
    <m/>
    <m/>
    <m/>
    <m/>
  </r>
  <r>
    <n v="43"/>
    <n v="37327"/>
    <s v="HLC-A"/>
    <s v="STBNL0694HLCD"/>
    <x v="0"/>
    <s v="NR"/>
    <s v="DEL"/>
    <d v="2020-02-03T00:00:00"/>
    <n v="694"/>
    <s v="Nashik"/>
    <s v="M-U7D2S04V.005,_x000a_MO-U7F2S240.005"/>
    <d v="2021-01-05T00:00:00"/>
    <s v="U9S2Y440.011"/>
    <s v="Done (ver-Nimesh)"/>
    <d v="2024-01-11T00:00:00"/>
    <m/>
    <s v="Done by NW"/>
    <s v="Done by NW"/>
    <s v="Conv-A DONE"/>
    <s v="Conv-A DONE"/>
    <s v="Conv-A DONE"/>
    <m/>
    <s v="Conv-A DONE"/>
    <s v="Conv-A DONE"/>
    <m/>
    <m/>
    <m/>
    <m/>
    <m/>
    <s v="Conv-A DONE"/>
    <s v="Done"/>
    <d v="2023-04-25T00:00:00"/>
    <d v="2024-06-21T00:00:00"/>
    <s v="Conv-A DONE"/>
    <s v="tightness done (without washer)"/>
    <s v="Conv-A done"/>
    <d v="2024-09-03T00:00:00"/>
    <d v="2024-01-11T00:00:00"/>
    <d v="2025-06-02T00:00:00"/>
    <m/>
  </r>
  <r>
    <n v="44"/>
    <n v="37327"/>
    <s v="HLC-B"/>
    <s v="STBNL0699HLCD"/>
    <x v="0"/>
    <s v="NR"/>
    <s v="DEL"/>
    <d v="2020-02-03T00:00:00"/>
    <n v="699"/>
    <s v="Nashik"/>
    <s v="M-U7D2S04V.005,_x000a_MO-U7F2S240.005"/>
    <d v="2021-01-05T00:00:00"/>
    <s v="U9S2Y440.011"/>
    <s v="Done (ver-Nimesh)"/>
    <d v="2024-01-11T00:00:00"/>
    <m/>
    <s v="Done by NW"/>
    <s v="Done by NW"/>
    <s v="Conv-B DONE"/>
    <s v="Conv-B DONE"/>
    <s v="Conv-B DONE"/>
    <m/>
    <s v="Conv-B DONE"/>
    <s v="Conv-B DONE"/>
    <m/>
    <m/>
    <m/>
    <m/>
    <m/>
    <s v="Conv-B DONE"/>
    <s v="Done"/>
    <d v="2023-04-25T00:00:00"/>
    <d v="2024-06-21T00:00:00"/>
    <s v="Conv-B DONE"/>
    <s v="tightness done (without washer)"/>
    <s v="Conv-B done"/>
    <d v="2024-09-03T00:00:00"/>
    <d v="2024-01-11T00:00:00"/>
    <d v="2025-06-02T00:00:00"/>
    <m/>
  </r>
  <r>
    <n v="45"/>
    <n v="37331"/>
    <s v="HLC-A"/>
    <s v="STBNL0692HLCD"/>
    <x v="0"/>
    <s v="NR"/>
    <s v="DEL"/>
    <d v="2020-02-07T00:00:00"/>
    <n v="692"/>
    <s v="Nashik"/>
    <s v="M-U7D2S04V.005,_x000a_MO-U7F2S240.005"/>
    <d v="2020-08-24T00:00:00"/>
    <s v="U9S2Y440.011"/>
    <s v="Done (ver-Nimesh)"/>
    <d v="2024-02-20T00:00:00"/>
    <m/>
    <s v="Done by NW"/>
    <s v="Done by NW"/>
    <s v="Conv-A DONE"/>
    <s v="Conv-A DONE"/>
    <s v="Conv-A DONE"/>
    <m/>
    <s v="Conv-A DONE"/>
    <s v="Conv-A DONE"/>
    <m/>
    <m/>
    <m/>
    <m/>
    <m/>
    <s v="Conv-A DONE"/>
    <s v="Conv-A done"/>
    <s v="Conv-A done"/>
    <d v="2024-09-18T00:00:00"/>
    <m/>
    <s v="Conv-A DONE"/>
    <s v="Conv-A done"/>
    <d v="2024-07-13T00:00:00"/>
    <d v="2024-02-20T00:00:00"/>
    <d v="2024-09-19T00:00:00"/>
    <m/>
  </r>
  <r>
    <n v="46"/>
    <n v="37331"/>
    <s v="HLC-B"/>
    <s v="STBNL0705HLCD"/>
    <x v="0"/>
    <s v="NR"/>
    <s v="DEL"/>
    <d v="2020-02-07T00:00:00"/>
    <n v="705"/>
    <s v="Nashik"/>
    <s v="M-U7D2S04V.005,_x000a_MO-U7F2S240.005"/>
    <d v="2020-08-24T00:00:00"/>
    <s v="U9S2Y440.011"/>
    <s v="Done (ver-Nimesh)"/>
    <d v="2024-02-20T00:00:00"/>
    <m/>
    <s v="Done by NW"/>
    <s v="Done by NW"/>
    <s v="Conv-B DONE"/>
    <s v="Conv-B DONE"/>
    <s v="Conv-B DONE"/>
    <m/>
    <s v="Conv-B DONE"/>
    <s v="Conv-B DONE"/>
    <m/>
    <m/>
    <m/>
    <s v="EL20L01013"/>
    <m/>
    <s v="Conv-B DONE"/>
    <s v="Conv-B done"/>
    <s v="Conv-B done"/>
    <d v="2024-09-18T00:00:00"/>
    <s v="done"/>
    <s v="Conv-B DONE"/>
    <s v="Conv-B done"/>
    <d v="2024-07-13T00:00:00"/>
    <d v="2024-02-20T00:00:00"/>
    <d v="2024-09-19T00:00:00"/>
    <m/>
  </r>
  <r>
    <n v="47"/>
    <n v="37365"/>
    <s v="HLC-A"/>
    <s v="STBDL0743HLCD"/>
    <x v="0"/>
    <s v="NR"/>
    <s v="DEL"/>
    <d v="2020-05-30T00:00:00"/>
    <n v="743"/>
    <s v="Nashik"/>
    <s v="M-U7D2S04V.005,_x000a_MO-U7F2S240.005"/>
    <d v="2020-10-10T00:00:00"/>
    <s v="UAT2Y440.012"/>
    <s v="Done (ver-Nimesh)"/>
    <d v="2024-03-13T00:00:00"/>
    <m/>
    <s v="Done by NW"/>
    <s v="Done by NW"/>
    <s v="Conv-A DONE"/>
    <s v="Conv-A DONE"/>
    <s v="Conv-A DONE"/>
    <m/>
    <m/>
    <s v="Conv-A DONE"/>
    <m/>
    <m/>
    <m/>
    <n v="411"/>
    <m/>
    <s v="Conv-A DONE"/>
    <s v="Done"/>
    <s v="Conv-A done"/>
    <d v="2024-08-09T00:00:00"/>
    <m/>
    <s v="Conv-A DONE"/>
    <s v="Conv-A done"/>
    <d v="2024-06-20T00:00:00"/>
    <s v="Conv-A DONE"/>
    <s v="Done"/>
    <m/>
  </r>
  <r>
    <n v="48"/>
    <n v="37365"/>
    <s v="HLC-B"/>
    <s v="STBDL0737HLCD"/>
    <x v="0"/>
    <s v="NR"/>
    <s v="DEL"/>
    <d v="2020-05-30T00:00:00"/>
    <n v="737"/>
    <s v="Nashik"/>
    <s v="M-U7D2S04V.005,_x000a_MO-U7F2S240.005"/>
    <d v="2020-10-10T00:00:00"/>
    <s v="UAT2Y440.012"/>
    <s v="Done (ver-Nimesh)"/>
    <d v="2024-03-13T00:00:00"/>
    <m/>
    <s v="Done by NW"/>
    <s v="Done by NW"/>
    <s v="Conv-B DONE"/>
    <s v="Conv-B DONE"/>
    <s v="Conv-B DONE"/>
    <m/>
    <m/>
    <s v="Conv-B DONE"/>
    <m/>
    <m/>
    <m/>
    <m/>
    <m/>
    <s v="Conv-B DONE"/>
    <s v="Done"/>
    <s v="Conv-B done"/>
    <d v="2024-08-09T00:00:00"/>
    <m/>
    <s v="Conv-B DONE"/>
    <s v="Conv-B done"/>
    <d v="2024-06-20T00:00:00"/>
    <s v="Conv-B DONE"/>
    <s v="Done"/>
    <m/>
  </r>
  <r>
    <n v="49"/>
    <n v="37377"/>
    <s v="HLC-A"/>
    <s v="STB7L0609HLCD"/>
    <x v="2"/>
    <s v="WCR"/>
    <s v="DEL"/>
    <d v="2020-06-27T00:00:00"/>
    <n v="609"/>
    <s v="Nashik"/>
    <s v="M-U7D2S04V.005,_x000a_MO-U7F2S240.005"/>
    <d v="2020-09-04T00:00:00"/>
    <s v="UAT2Y440.012"/>
    <s v="Done (ver-Nimesh)"/>
    <d v="2024-06-18T00:00:00"/>
    <m/>
    <s v="Done by NW"/>
    <s v="Done by NW"/>
    <s v="Conv-A DONE"/>
    <s v="Conv-A DONE"/>
    <s v="Conv-A DONE"/>
    <s v="Conv-A DONE"/>
    <s v="Conv-A DONE"/>
    <s v="Conv-A DONE"/>
    <s v="Conv-A DONE"/>
    <m/>
    <m/>
    <m/>
    <m/>
    <s v="Conv-A DONE"/>
    <s v="Done"/>
    <s v="Done"/>
    <d v="2024-06-22T00:00:00"/>
    <d v="2023-06-15T00:00:00"/>
    <d v="2023-12-01T00:00:00"/>
    <s v="Done"/>
    <d v="2024-06-21T00:00:00"/>
    <m/>
    <d v="2024-06-22T00:00:00"/>
    <m/>
  </r>
  <r>
    <n v="50"/>
    <n v="37377"/>
    <s v="HLC-B"/>
    <s v="STB6L0580HLCD"/>
    <x v="2"/>
    <s v="WCR"/>
    <s v="DEL"/>
    <d v="2020-06-27T00:00:00"/>
    <n v="580"/>
    <s v="Nashik"/>
    <s v="M-U7D2S04V.005,_x000a_MO-U7F2S240.005"/>
    <d v="2020-09-05T00:00:00"/>
    <s v="UAT2Y440.012"/>
    <s v="Done (ver-Nimesh)"/>
    <d v="2024-06-18T00:00:00"/>
    <m/>
    <s v="Done by NW"/>
    <s v="Done by NW"/>
    <s v="Conv-B DONE"/>
    <s v="Conv-B DONE"/>
    <s v="Conv-B DONE"/>
    <s v="Conv-B DONE"/>
    <s v="Conv-B DONE"/>
    <s v="Conv-B DONE"/>
    <s v="Conv-B DONE"/>
    <m/>
    <m/>
    <m/>
    <m/>
    <s v="Conv-B DONE"/>
    <s v="Done"/>
    <s v="Done"/>
    <d v="2024-06-22T00:00:00"/>
    <d v="2023-06-15T00:00:00"/>
    <d v="2023-12-01T00:00:00"/>
    <s v="Done"/>
    <d v="2024-06-21T00:00:00"/>
    <m/>
    <d v="2024-06-22T00:00:00"/>
    <m/>
  </r>
  <r>
    <n v="51"/>
    <n v="37378"/>
    <s v="HLC-A"/>
    <s v="STB7L0599HLCD"/>
    <x v="2"/>
    <s v="WCR"/>
    <s v="DEL"/>
    <d v="2020-06-26T00:00:00"/>
    <n v="600"/>
    <s v="Nashik"/>
    <s v="M-U7D2S04V.005,_x000a_MO-U7F2S240.005"/>
    <d v="2020-08-31T00:00:00"/>
    <s v="UAT2Y440.012"/>
    <d v="2022-12-13T00:00:00"/>
    <d v="2022-12-13T00:00:00"/>
    <d v="2022-08-16T00:00:00"/>
    <s v="Done by NW"/>
    <s v="Done by NW"/>
    <m/>
    <s v="Conv-A DONE"/>
    <s v="Conv-A DONE"/>
    <m/>
    <m/>
    <s v="Conv-A DONE"/>
    <m/>
    <m/>
    <m/>
    <s v="EL19F01037-R"/>
    <m/>
    <s v="Conv-A DONE"/>
    <m/>
    <m/>
    <m/>
    <m/>
    <m/>
    <m/>
    <m/>
    <m/>
    <m/>
    <m/>
  </r>
  <r>
    <n v="52"/>
    <n v="37378"/>
    <s v="HLC-B"/>
    <s v="STBNL0715HLCD"/>
    <x v="2"/>
    <s v="WCR"/>
    <s v="DEL"/>
    <d v="2020-06-26T00:00:00"/>
    <n v="715"/>
    <s v="Nashik"/>
    <s v="M-U7D2S04V.005,_x000a_MO-U7F2S240.005"/>
    <d v="2020-08-31T00:00:00"/>
    <s v="UAT2Y440.012"/>
    <d v="2022-12-13T00:00:00"/>
    <d v="2022-12-13T00:00:00"/>
    <d v="2022-08-16T00:00:00"/>
    <s v="Done by NW"/>
    <s v="Done by NW"/>
    <m/>
    <s v="Conv-B DONE"/>
    <s v="Conv-B DONE"/>
    <m/>
    <m/>
    <s v="Conv-B DONE"/>
    <m/>
    <m/>
    <m/>
    <s v="EL20J05003-R"/>
    <m/>
    <s v="Conv-B DONE"/>
    <m/>
    <m/>
    <m/>
    <m/>
    <m/>
    <m/>
    <m/>
    <m/>
    <m/>
    <m/>
  </r>
  <r>
    <n v="53"/>
    <n v="37438"/>
    <s v="HLC-A"/>
    <s v="STB6M0838HLCD"/>
    <x v="2"/>
    <s v="WCR"/>
    <s v="DEL"/>
    <d v="2020-09-09T00:00:00"/>
    <n v="838"/>
    <s v="Nashik"/>
    <s v="M-U7D2S04V.005,_x000a_MO-U7F2S240.005"/>
    <d v="2020-10-19T00:00:00"/>
    <s v="UAT2Y440.012"/>
    <s v="Done (ver-Nimesh)"/>
    <d v="2023-05-24T00:00:00"/>
    <d v="2023-09-05T00:00:00"/>
    <s v="Done by NW"/>
    <s v="Done by NW"/>
    <s v="Conv-A DONE"/>
    <s v="Conv-A DONE"/>
    <s v="Conv-A DONE"/>
    <s v="Conv-A DONE"/>
    <s v="Conv-A DONE"/>
    <s v="Done by NW"/>
    <s v="Conv-A DONE"/>
    <m/>
    <m/>
    <m/>
    <m/>
    <s v="Conv-A DONE"/>
    <s v="Done"/>
    <s v="Done"/>
    <d v="2024-07-04T00:00:00"/>
    <d v="2023-09-05T00:00:00"/>
    <d v="2023-12-15T00:00:00"/>
    <s v="Done"/>
    <m/>
    <m/>
    <m/>
    <m/>
  </r>
  <r>
    <n v="54"/>
    <n v="37438"/>
    <s v="HLC-B"/>
    <s v="STB6M0836HLCD"/>
    <x v="2"/>
    <s v="WCR"/>
    <s v="DEL"/>
    <d v="2020-09-09T00:00:00"/>
    <n v="836"/>
    <s v="Nashik"/>
    <s v="M-U7D2S04V.005,_x000a_MO-U7F2S240.005"/>
    <d v="2020-10-19T00:00:00"/>
    <s v="UAT2Y440.012"/>
    <s v="Done (ver-Nimesh)"/>
    <d v="2023-05-24T00:00:00"/>
    <d v="2023-09-05T00:00:00"/>
    <s v="Done by NW"/>
    <s v="Done by NW"/>
    <s v="Conv-B DONE"/>
    <s v="Conv-B DONE"/>
    <s v="Conv-B DONE"/>
    <s v="Conv-B DONE"/>
    <s v="Conv-B DONE"/>
    <s v="Done by NW"/>
    <s v="Conv-B DONE"/>
    <m/>
    <m/>
    <m/>
    <m/>
    <s v="Conv-B DONE"/>
    <s v="Done"/>
    <s v="Done"/>
    <d v="2024-07-04T00:00:00"/>
    <d v="2023-09-05T00:00:00"/>
    <d v="2023-12-15T00:00:00"/>
    <s v="Done"/>
    <m/>
    <m/>
    <m/>
    <m/>
  </r>
  <r>
    <n v="55"/>
    <n v="37450"/>
    <s v="HLC-A"/>
    <s v="STB6M0850HLCD"/>
    <x v="2"/>
    <s v="WCR"/>
    <s v="DEL"/>
    <d v="2020-09-24T00:00:00"/>
    <n v="850"/>
    <s v="Nashik"/>
    <s v="M-U7D2S04V.005,_x000a_MO-U7F2S240.005"/>
    <d v="2021-08-18T00:00:00"/>
    <s v="UAT2Y440.012"/>
    <d v="2022-10-22T00:00:00"/>
    <d v="2024-06-06T00:00:00"/>
    <d v="2023-08-19T00:00:00"/>
    <s v="Done by NW"/>
    <s v="Done by NW"/>
    <s v="Conv-A DONE"/>
    <s v="Conv-A DONE"/>
    <s v="Conv-A DONE"/>
    <s v="Conv-A DONE"/>
    <s v="Conv-A DONE"/>
    <s v="Done by NW"/>
    <s v="Conv-A DONE"/>
    <m/>
    <m/>
    <m/>
    <m/>
    <s v="Conv-A DONE"/>
    <d v="2023-11-30T00:00:00"/>
    <d v="2023-11-30T00:00:00"/>
    <m/>
    <d v="2023-08-19T00:00:00"/>
    <d v="2023-11-30T00:00:00"/>
    <s v="Done"/>
    <m/>
    <m/>
    <m/>
    <m/>
  </r>
  <r>
    <n v="56"/>
    <n v="37450"/>
    <s v="HLC-B"/>
    <s v="STB6M0851HLCD"/>
    <x v="2"/>
    <s v="WCR"/>
    <s v="DEL"/>
    <d v="2020-09-24T00:00:00"/>
    <n v="851"/>
    <s v="Nashik"/>
    <s v="M-U7D2S04V.005,_x000a_MO-U7F2S240.005"/>
    <d v="2021-08-18T00:00:00"/>
    <s v="UAT2Y440.012"/>
    <d v="2022-10-22T00:00:00"/>
    <d v="2024-06-06T00:00:00"/>
    <d v="2023-08-19T00:00:00"/>
    <s v="Done by NW"/>
    <s v="Done by NW"/>
    <s v="Conv-B DONE"/>
    <s v="Conv-B DONE"/>
    <s v="Conv-B DONE"/>
    <s v="Conv-B DONE"/>
    <s v="Conv-B DONE"/>
    <s v="Done by NW"/>
    <s v="Conv-B DONE"/>
    <m/>
    <m/>
    <m/>
    <m/>
    <s v="Conv-B DONE"/>
    <d v="2023-11-30T00:00:00"/>
    <d v="2023-11-30T00:00:00"/>
    <m/>
    <d v="2023-08-19T00:00:00"/>
    <d v="2023-11-30T00:00:00"/>
    <s v="Done"/>
    <m/>
    <m/>
    <m/>
    <m/>
  </r>
  <r>
    <n v="57"/>
    <n v="39021"/>
    <s v="HLC-A"/>
    <s v="STB4K0219HLCD"/>
    <x v="0"/>
    <s v="NR"/>
    <s v="DEL"/>
    <d v="2018-11-08T00:00:00"/>
    <n v="219"/>
    <s v="Nashik"/>
    <s v="M-U7D2S04V.005,_x000a_MO-U7F2S240.005"/>
    <d v="2020-08-28T00:00:00"/>
    <s v="UAT2Y440.012"/>
    <s v="Done (ver-Nimesh)"/>
    <d v="2024-06-27T00:00:00"/>
    <m/>
    <m/>
    <s v="Conv-A DONE"/>
    <s v="Conv-A DONE"/>
    <s v="Conv-A DONE"/>
    <s v="Conv-A DONE"/>
    <m/>
    <s v="Conv-A DONE"/>
    <s v="Conv-A DONE"/>
    <m/>
    <m/>
    <m/>
    <s v="EL20L01039"/>
    <m/>
    <s v="Conv-A DONE"/>
    <s v="Done"/>
    <s v="Conv-A done"/>
    <d v="2024-06-29T00:00:00"/>
    <m/>
    <s v="Conv-A DONE"/>
    <s v="Conv-A done"/>
    <s v="Conv-A DONE"/>
    <s v="Conv-A DONE"/>
    <d v="2024-06-27T00:00:00"/>
    <m/>
  </r>
  <r>
    <n v="58"/>
    <n v="39021"/>
    <s v="HLC-B"/>
    <s v="STB4K0218HLCD"/>
    <x v="0"/>
    <s v="NR"/>
    <s v="DEL"/>
    <d v="2018-11-08T00:00:00"/>
    <n v="218"/>
    <s v="Nashik"/>
    <s v="M-U7D2S04V.005,_x000a_MO-U7F2S240.005"/>
    <d v="2020-08-25T00:00:00"/>
    <s v="UAT2Y440.012"/>
    <s v="Done (ver-Nimesh)"/>
    <d v="2024-06-27T00:00:00"/>
    <m/>
    <m/>
    <s v="Conv-B DONE"/>
    <s v="Conv-B DONE"/>
    <s v="Conv-B DONE"/>
    <s v="Conv-B DONE"/>
    <m/>
    <s v="Conv-B DONE"/>
    <s v="Conv-B DONE"/>
    <m/>
    <m/>
    <m/>
    <s v="EL18J03031"/>
    <m/>
    <s v="Conv-B DONE"/>
    <s v="Done"/>
    <s v="Conv-B done"/>
    <d v="2024-06-29T00:00:00"/>
    <m/>
    <s v="Conv-B DONE"/>
    <s v="Conv-B done"/>
    <s v="Conv-B DONE"/>
    <s v="Conv-B DONE"/>
    <d v="2024-06-27T00:00:00"/>
    <m/>
  </r>
  <r>
    <n v="59"/>
    <n v="39022"/>
    <s v="HLC-A"/>
    <s v="STB4K0220HLCD"/>
    <x v="0"/>
    <s v="NR"/>
    <s v="DEL"/>
    <d v="2019-01-12T00:00:00"/>
    <n v="220"/>
    <s v="Nashik"/>
    <s v="M-U7D2S04V.005,_x000a_MO-U7F2S240.005"/>
    <d v="2020-08-25T00:00:00"/>
    <s v="UAT2Y440.012"/>
    <s v="Done (ver-Nimesh)"/>
    <d v="2023-08-26T00:00:00"/>
    <m/>
    <m/>
    <s v="Conv-A DONE"/>
    <s v="Conv-A DONE"/>
    <s v="Conv-A DONE"/>
    <s v="Conv-A DONE"/>
    <m/>
    <s v="Conv-A DONE"/>
    <m/>
    <m/>
    <m/>
    <m/>
    <s v="EL20L05025"/>
    <m/>
    <s v="Conv-A DONE"/>
    <s v="Done"/>
    <d v="2023-01-19T00:00:00"/>
    <d v="2024-07-15T00:00:00"/>
    <s v="done"/>
    <s v="Conv-A DONE"/>
    <s v="Conv-A done"/>
    <d v="2024-06-14T00:00:00"/>
    <s v="Conv-A DONE"/>
    <s v="15-06-24"/>
    <m/>
  </r>
  <r>
    <n v="60"/>
    <n v="39022"/>
    <s v="HLC-B"/>
    <s v="STB4K0221HLCD"/>
    <x v="0"/>
    <s v="NR"/>
    <s v="DEL"/>
    <d v="2019-01-12T00:00:00"/>
    <n v="221"/>
    <s v="Nashik"/>
    <s v="M-U7D2S04V.005,_x000a_MO-U7F2S240.005"/>
    <d v="2020-08-25T00:00:00"/>
    <s v="UAT2Y440.012"/>
    <s v="Done (ver-Nimesh)"/>
    <d v="2023-08-26T00:00:00"/>
    <m/>
    <m/>
    <s v="Conv-B DONE"/>
    <s v="Conv-B DONE"/>
    <s v="Conv-B DONE"/>
    <s v="Conv-B DONE"/>
    <m/>
    <s v="Conv-B DONE"/>
    <m/>
    <m/>
    <m/>
    <m/>
    <s v="EL18B07022"/>
    <m/>
    <s v="Conv-B DONE"/>
    <s v="Done"/>
    <d v="2023-01-19T00:00:00"/>
    <d v="2024-07-15T00:00:00"/>
    <s v="done"/>
    <s v="Tighntness done without washer in both side"/>
    <s v="Conv-B done"/>
    <d v="2024-06-14T00:00:00"/>
    <s v="Conv-B DONE"/>
    <s v="15-06-24"/>
    <m/>
  </r>
  <r>
    <n v="61"/>
    <n v="39023"/>
    <s v="HLC-A"/>
    <s v="STB4K0237HLCD"/>
    <x v="2"/>
    <s v="WCR"/>
    <s v="DEL"/>
    <d v="2019-01-15T00:00:00"/>
    <n v="237"/>
    <s v="Nashik"/>
    <s v="M-U7D2S04V.005,_x000a_MO-U7F2S240.005"/>
    <d v="2020-11-04T00:00:00"/>
    <s v="U9S2Y440.011"/>
    <d v="2022-07-27T00:00:00"/>
    <d v="2025-03-15T00:00:00"/>
    <d v="2025-03-15T00:00:00"/>
    <m/>
    <s v="Conv-A DONE"/>
    <s v="Conv-A DONE"/>
    <s v="Conv-A DONE"/>
    <s v="Conv-A DONE"/>
    <s v="DONE"/>
    <s v="DONE"/>
    <s v="Done by NW"/>
    <s v="DONE"/>
    <m/>
    <m/>
    <s v="EL18B07008-R"/>
    <m/>
    <s v="Conv-A DONE"/>
    <d v="2023-12-15T00:00:00"/>
    <s v="Done"/>
    <m/>
    <d v="2023-12-17T00:00:00"/>
    <d v="2023-12-15T00:00:00"/>
    <s v="Done"/>
    <d v="2024-06-11T00:00:00"/>
    <m/>
    <d v="2024-09-02T00:00:00"/>
    <m/>
  </r>
  <r>
    <n v="62"/>
    <n v="39023"/>
    <s v="HLC-B"/>
    <s v="STB4K0224HLCD"/>
    <x v="2"/>
    <s v="WCR"/>
    <s v="DEL"/>
    <d v="2019-01-15T00:00:00"/>
    <n v="224"/>
    <s v="Nashik"/>
    <s v="M-U7D2S04V.005,_x000a_MO-U7F2S240.005"/>
    <d v="2020-11-04T00:00:00"/>
    <s v="U9S2Y440.011"/>
    <d v="2022-07-27T00:00:00"/>
    <d v="2025-03-15T00:00:00"/>
    <d v="2025-03-15T00:00:00"/>
    <m/>
    <s v="Conv-B DONE"/>
    <s v="Conv-B DONE"/>
    <s v="Conv-B DONE"/>
    <s v="Conv-B DONE"/>
    <s v="DONE"/>
    <s v="DONE"/>
    <s v="Done by NW"/>
    <s v="DONE"/>
    <m/>
    <m/>
    <s v="EL19C01085-R"/>
    <m/>
    <s v="Conv-B DONE"/>
    <d v="2023-12-16T00:00:00"/>
    <s v="Done"/>
    <m/>
    <d v="2023-12-17T00:00:00"/>
    <d v="2023-12-15T00:00:00"/>
    <s v="Done"/>
    <d v="2024-06-11T00:00:00"/>
    <m/>
    <d v="2024-09-02T00:00:00"/>
    <m/>
  </r>
  <r>
    <n v="63"/>
    <n v="39032"/>
    <s v="HLC-A"/>
    <s v="STB6K0253HLCD"/>
    <x v="0"/>
    <s v="NR"/>
    <s v="DEL"/>
    <d v="2019-02-18T00:00:00"/>
    <n v="253"/>
    <s v="Nashik"/>
    <s v="M-U7D2S04V.005,_x000a_MO-U7F2S240.005"/>
    <d v="2020-09-04T00:00:00"/>
    <s v="UAT2Y440.012"/>
    <s v="Done (ver-Nimesh)"/>
    <d v="2024-03-27T00:00:00"/>
    <m/>
    <m/>
    <s v="Conv-A DONE"/>
    <s v="Conv-A DONE"/>
    <s v="Conv-A DONE"/>
    <s v="Conv-A DONE"/>
    <m/>
    <m/>
    <m/>
    <m/>
    <m/>
    <m/>
    <s v="EL20L05003"/>
    <m/>
    <s v="Conv-A DONE"/>
    <s v="Conv-A done"/>
    <s v="Conv-A done"/>
    <d v="2024-08-29T00:00:00"/>
    <d v="2024-04-01T00:00:00"/>
    <s v="Conv-A DONE"/>
    <s v="Conv-A done"/>
    <d v="2024-04-26T00:00:00"/>
    <s v="Conv-A DONE"/>
    <d v="2024-08-31T00:00:00"/>
    <m/>
  </r>
  <r>
    <n v="64"/>
    <n v="39032"/>
    <s v="HLC-B"/>
    <s v="STB6K0248HLCD"/>
    <x v="0"/>
    <s v="NR"/>
    <s v="DEL"/>
    <d v="2019-02-18T00:00:00"/>
    <n v="248"/>
    <s v="Nashik"/>
    <s v="M-U7D2S04V.005,_x000a_MO-U7F2S240.005"/>
    <d v="2020-09-04T00:00:00"/>
    <s v="UAT2Y440.012"/>
    <s v="Done (ver-Nimesh)"/>
    <d v="2024-03-27T00:00:00"/>
    <m/>
    <m/>
    <s v="Conv-B DONE"/>
    <s v="Conv-B DONE"/>
    <s v="Conv-B DONE"/>
    <s v="Conv-B DONE"/>
    <m/>
    <m/>
    <m/>
    <m/>
    <m/>
    <m/>
    <s v="EL19K01166"/>
    <m/>
    <s v="Conv-B DONE"/>
    <s v="Conv-B done"/>
    <s v="Conv-B done"/>
    <d v="2024-08-29T00:00:00"/>
    <m/>
    <s v="Conv-B DONE"/>
    <s v="Conv-B done"/>
    <d v="2024-04-26T00:00:00"/>
    <s v="Conv-B DONE"/>
    <d v="2024-08-31T00:00:00"/>
    <m/>
  </r>
  <r>
    <n v="65"/>
    <n v="39041"/>
    <s v="HLC-A"/>
    <s v="STB10K0311HLCD"/>
    <x v="0"/>
    <s v="NR"/>
    <s v="DEL"/>
    <d v="2019-04-27T00:00:00"/>
    <n v="311"/>
    <s v="Nashik"/>
    <s v="M-U7D2S04V.005,_x000a_MO-U7F2S240.005"/>
    <d v="2020-08-19T00:00:00"/>
    <s v="U9S2Y440.011"/>
    <s v="Done (ver-Nimesh)"/>
    <s v="Under AMC"/>
    <m/>
    <m/>
    <s v="Conv-A DONE"/>
    <s v="Conv-A DONE"/>
    <s v="Conv-A DONE"/>
    <s v="Conv-A DONE"/>
    <m/>
    <s v="Conv-A DONE"/>
    <s v="Conv-A DONE"/>
    <m/>
    <m/>
    <m/>
    <s v="EL21C01016"/>
    <m/>
    <s v="Conv-A DONE"/>
    <s v="Done"/>
    <s v="Conv-A done"/>
    <d v="2024-09-05T00:00:00"/>
    <d v="2024-01-22T00:00:00"/>
    <s v="tightness done (without washer)"/>
    <s v="Conv-A done"/>
    <d v="2024-05-23T00:00:00"/>
    <d v="2024-01-22T00:00:00"/>
    <d v="2024-09-05T00:00:00"/>
    <m/>
  </r>
  <r>
    <n v="66"/>
    <n v="39041"/>
    <s v="HLC-B"/>
    <s v="STB10K0308HLCD"/>
    <x v="0"/>
    <s v="NR"/>
    <s v="DEL"/>
    <d v="2019-04-27T00:00:00"/>
    <n v="308"/>
    <s v="Nashik"/>
    <s v="M-U7D2S04V.005,_x000a_MO-U7F2S240.005"/>
    <d v="2020-08-19T00:00:00"/>
    <s v="U9S2Y440.011"/>
    <s v="Done (ver-Nimesh)"/>
    <s v="Under AMC"/>
    <m/>
    <m/>
    <s v="Conv-B DONE"/>
    <s v="Conv-B DONE"/>
    <s v="Conv-B DONE"/>
    <s v="Conv-B DONE"/>
    <m/>
    <s v="Conv-B DONE"/>
    <s v="Conv-B DONE"/>
    <m/>
    <m/>
    <m/>
    <s v="EL21A01001"/>
    <m/>
    <s v="Conv-B DONE"/>
    <s v="Done"/>
    <s v="Conv-B done"/>
    <d v="2024-09-05T00:00:00"/>
    <d v="2024-01-22T00:00:00"/>
    <s v="tightness done (without washer)"/>
    <s v="Conv-B done"/>
    <d v="2024-05-23T00:00:00"/>
    <d v="2024-01-22T00:00:00"/>
    <d v="2024-09-05T00:00:00"/>
    <m/>
  </r>
  <r>
    <n v="67"/>
    <n v="39044"/>
    <s v="HLC-A"/>
    <s v="STB10K0312HLCD"/>
    <x v="0"/>
    <s v="NR"/>
    <s v="DEL"/>
    <d v="2019-04-20T00:00:00"/>
    <n v="312"/>
    <s v="Nashik"/>
    <s v="M-U7D2S04V.005,_x000a_MO-U7F2S240.005"/>
    <d v="2020-08-29T00:00:00"/>
    <s v="U9S2Y440.011"/>
    <s v="Done (ver-Nimesh)"/>
    <d v="2024-01-03T00:00:00"/>
    <m/>
    <m/>
    <s v="Conv-A DONE"/>
    <s v="Conv-A DONE"/>
    <s v="Conv-A DONE"/>
    <s v="Conv-A DONE"/>
    <m/>
    <s v="Conv-A DONE"/>
    <s v="Conv-A DONE"/>
    <m/>
    <m/>
    <m/>
    <m/>
    <m/>
    <s v="Conv-A DONE"/>
    <s v="Done"/>
    <d v="2023-01-17T00:00:00"/>
    <d v="2024-08-16T00:00:00"/>
    <m/>
    <d v="2024-03-01T00:00:00"/>
    <s v="Conv- A DONE"/>
    <d v="2024-05-15T00:00:00"/>
    <d v="2024-01-03T00:00:00"/>
    <d v="2024-10-18T00:00:00"/>
    <m/>
  </r>
  <r>
    <n v="68"/>
    <n v="39044"/>
    <s v="HLC-B"/>
    <s v="STB10K0313HLCD"/>
    <x v="0"/>
    <s v="NR"/>
    <s v="DEL"/>
    <d v="2019-04-20T00:00:00"/>
    <n v="313"/>
    <s v="Nashik"/>
    <s v="M-U7D2S04V.005,_x000a_MO-U7F2S240.005"/>
    <d v="2020-08-29T00:00:00"/>
    <s v="U9S2Y440.011"/>
    <s v="Done (ver-Nimesh)"/>
    <d v="2024-01-03T00:00:00"/>
    <m/>
    <m/>
    <s v="Conv-B DONE"/>
    <s v="Conv-B DONE"/>
    <s v="Conv-B DONE"/>
    <s v="Conv-B DONE"/>
    <m/>
    <s v="Conv-B DONE"/>
    <s v="Conv-B DONE"/>
    <m/>
    <m/>
    <m/>
    <m/>
    <m/>
    <s v="Conv-B DONE"/>
    <s v="Done"/>
    <d v="2023-01-17T00:00:00"/>
    <d v="2024-08-16T00:00:00"/>
    <m/>
    <d v="2024-03-01T00:00:00"/>
    <s v="COnv- B DONE"/>
    <d v="2024-05-15T00:00:00"/>
    <d v="2024-01-03T00:00:00"/>
    <d v="2024-10-18T00:00:00"/>
    <m/>
  </r>
  <r>
    <n v="69"/>
    <n v="39075"/>
    <s v="HLC-A"/>
    <s v="STBNK0332HLCD"/>
    <x v="2"/>
    <s v="WCR"/>
    <s v="DEL"/>
    <d v="2019-07-30T00:00:00"/>
    <n v="332"/>
    <s v="Nashik"/>
    <s v="M-U7D2S04V.005,_x000a_MO-U7F2S240.005"/>
    <d v="2020-10-14T00:00:00"/>
    <s v="U9S2Y440.011"/>
    <s v="Done (ver-Nimesh)"/>
    <d v="2025-03-21T00:00:00"/>
    <d v="2025-03-21T00:00:00"/>
    <m/>
    <s v="Conv-A DONE"/>
    <s v="DONE"/>
    <s v="Conv-A DONE"/>
    <s v="Conv-A DONE"/>
    <s v="DONE"/>
    <s v="Conv-A DONE"/>
    <s v="Conv-A DONE"/>
    <s v="DONE"/>
    <m/>
    <m/>
    <m/>
    <m/>
    <s v="Conv-A DONE"/>
    <d v="2023-11-14T00:00:00"/>
    <s v="Done"/>
    <d v="2024-06-25T00:00:00"/>
    <d v="2023-07-11T00:00:00"/>
    <d v="2023-11-11T00:00:00"/>
    <s v="Done"/>
    <d v="2024-03-06T00:00:00"/>
    <m/>
    <d v="2024-06-25T00:00:00"/>
    <m/>
  </r>
  <r>
    <n v="70"/>
    <n v="39075"/>
    <s v="HLC-B"/>
    <s v="STBNK0342HLCD"/>
    <x v="2"/>
    <s v="WCR"/>
    <s v="DEL"/>
    <d v="2019-07-30T00:00:00"/>
    <n v="342"/>
    <s v="Nashik"/>
    <s v="U7D2S04V.005"/>
    <d v="2020-10-14T00:00:00"/>
    <s v="U9S2Y440.011"/>
    <s v="Done (ver-Nimesh)"/>
    <d v="2025-03-21T00:00:00"/>
    <d v="2025-03-21T00:00:00"/>
    <m/>
    <s v="Conv-B DONE"/>
    <s v="DONE"/>
    <s v="Conv-B DONE"/>
    <s v="Conv-B DONE"/>
    <s v="DONE"/>
    <s v="Conv-B DONE"/>
    <s v="Conv-B DONE"/>
    <s v="DONE"/>
    <m/>
    <m/>
    <m/>
    <m/>
    <s v="Conv-B DONE"/>
    <d v="2023-11-14T00:00:00"/>
    <s v="Done"/>
    <d v="2024-06-25T00:00:00"/>
    <d v="2023-07-11T00:00:00"/>
    <d v="2023-11-11T00:00:00"/>
    <s v="Done"/>
    <d v="2024-03-07T00:00:00"/>
    <m/>
    <d v="2024-06-25T00:00:00"/>
    <m/>
  </r>
  <r>
    <n v="71"/>
    <n v="39141"/>
    <s v="HLC-A"/>
    <s v="STBDL0768HLCD"/>
    <x v="2"/>
    <s v="WCR"/>
    <s v="DEL"/>
    <d v="2020-06-12T00:00:00"/>
    <n v="768"/>
    <s v="Nashik"/>
    <s v="M-U7D2S04V.005,_x000a_MO-U7F2S240.005"/>
    <d v="2020-08-31T00:00:00"/>
    <s v="U9S2Y440.011"/>
    <s v="Done (ver-Nimesh)"/>
    <d v="2025-05-05T00:00:00"/>
    <m/>
    <s v="Done by NW"/>
    <s v="Done by NW"/>
    <s v="DONE"/>
    <s v="Conv-A DONE"/>
    <s v="Conv-A DONE"/>
    <s v="DONE"/>
    <s v="Conv-A DONE"/>
    <s v="Conv-A DONE"/>
    <s v="DONE"/>
    <m/>
    <m/>
    <m/>
    <m/>
    <s v="Done"/>
    <s v="Done"/>
    <s v="Done"/>
    <m/>
    <d v="2023-08-12T00:00:00"/>
    <s v="DONE"/>
    <s v="Done"/>
    <d v="2024-07-01T00:00:00"/>
    <m/>
    <d v="2024-06-27T00:00:00"/>
    <m/>
  </r>
  <r>
    <n v="72"/>
    <n v="39141"/>
    <s v="HLC-B"/>
    <s v="STBDL0769HLCD"/>
    <x v="2"/>
    <s v="WCR"/>
    <s v="DEL"/>
    <d v="2020-06-12T00:00:00"/>
    <n v="769"/>
    <s v="Nashik"/>
    <s v="M-U7D2S04V.005,_x000a_MO-U7F2S240.005"/>
    <d v="2020-08-31T00:00:00"/>
    <s v="U9S2Y440.011"/>
    <s v="Done (ver-Nimesh)"/>
    <d v="2025-05-05T00:00:00"/>
    <m/>
    <s v="Done by NW"/>
    <s v="Done by NW"/>
    <s v="DONE"/>
    <s v="Conv-B DONE"/>
    <s v="Conv-B DONE"/>
    <s v="DONE"/>
    <s v="Conv-B DONE"/>
    <s v="Conv-B DONE"/>
    <s v="DONE"/>
    <m/>
    <m/>
    <m/>
    <m/>
    <s v="Done"/>
    <s v="Done"/>
    <s v="Done"/>
    <m/>
    <d v="2023-08-12T00:00:00"/>
    <s v="DONE"/>
    <s v="Done"/>
    <d v="2024-07-01T00:00:00"/>
    <m/>
    <d v="2024-06-27T00:00:00"/>
    <m/>
  </r>
  <r>
    <n v="73"/>
    <n v="39142"/>
    <s v="HLC-A"/>
    <s v="STB1M0774HLCD"/>
    <x v="2"/>
    <s v="WCR"/>
    <s v="DEL"/>
    <d v="2020-06-22T00:00:00"/>
    <n v="774"/>
    <s v="Nashik"/>
    <s v="M-U7D2S04V.005,_x000a_MO-U7F2S240.005"/>
    <d v="2020-10-21T00:00:00"/>
    <s v="U9S2Y440.011"/>
    <d v="2022-10-18T00:00:00"/>
    <d v="2025-05-17T00:00:00"/>
    <m/>
    <s v="Done by NW"/>
    <s v="Done by NW"/>
    <s v="DONE"/>
    <s v="Conv-A DONE"/>
    <s v="Conv-A DONE"/>
    <s v="DONE"/>
    <s v="Conv-A DONE"/>
    <s v="DONE"/>
    <s v="DONE"/>
    <m/>
    <m/>
    <m/>
    <m/>
    <s v="Cov-A Done"/>
    <s v="Done"/>
    <d v="2023-12-14T00:00:00"/>
    <m/>
    <d v="2023-07-22T00:00:00"/>
    <s v="DONE"/>
    <s v="Done"/>
    <d v="2024-09-12T00:00:00"/>
    <m/>
    <d v="2024-09-11T00:00:00"/>
    <m/>
  </r>
  <r>
    <n v="74"/>
    <n v="39142"/>
    <s v="HLC-B"/>
    <s v="STB1M0771HLCD"/>
    <x v="2"/>
    <s v="WCR"/>
    <s v="DEL"/>
    <d v="2020-06-22T00:00:00"/>
    <n v="771"/>
    <s v="Nashik"/>
    <s v="M-U7D2S04V.005,_x000a_MO-U7F2S240.005"/>
    <d v="2020-10-21T00:00:00"/>
    <s v="UAT2Y44O.012"/>
    <d v="2022-12-13T00:00:00"/>
    <d v="2025-05-17T00:00:00"/>
    <m/>
    <s v="Done by NW"/>
    <s v="Done by NW"/>
    <s v="DONE"/>
    <s v="Conv-B DONE"/>
    <s v="Conv-B DONE"/>
    <s v="DONE"/>
    <s v="Conv-B DONE"/>
    <s v="DONE"/>
    <s v="DONE"/>
    <m/>
    <m/>
    <m/>
    <m/>
    <s v="Cov-B Done"/>
    <s v="Done"/>
    <d v="2023-12-14T00:00:00"/>
    <m/>
    <d v="2023-07-22T00:00:00"/>
    <s v="DONE"/>
    <s v="Done"/>
    <d v="2024-09-12T00:00:00"/>
    <m/>
    <d v="2024-09-11T00:00:00"/>
    <m/>
  </r>
  <r>
    <n v="75"/>
    <n v="37578"/>
    <s v="HLC-A"/>
    <s v="STB5M078HLCD"/>
    <x v="3"/>
    <s v="NER"/>
    <s v="DEL"/>
    <d v="2021-04-29T00:00:00"/>
    <n v="781"/>
    <s v="Nashik"/>
    <m/>
    <m/>
    <m/>
    <s v="Done"/>
    <m/>
    <m/>
    <s v="Done by NW"/>
    <s v="Done by NW"/>
    <m/>
    <s v="Conv-A DONE"/>
    <s v="Conv-A DONE"/>
    <s v="Conv-A DONE"/>
    <m/>
    <s v="Done by NW"/>
    <m/>
    <m/>
    <m/>
    <m/>
    <m/>
    <s v="Conv-A DONE"/>
    <s v="OK"/>
    <d v="2024-04-13T00:00:00"/>
    <m/>
    <d v="2023-07-04T00:00:00"/>
    <d v="2023-11-04T00:00:00"/>
    <s v="Done"/>
    <s v="done"/>
    <m/>
    <s v="13.07.24"/>
    <m/>
  </r>
  <r>
    <n v="76"/>
    <n v="37578"/>
    <s v="HLC-B"/>
    <s v="STB5M0778HLCD"/>
    <x v="3"/>
    <s v="NER"/>
    <s v="DEL"/>
    <d v="2021-04-29T00:00:00"/>
    <n v="778"/>
    <s v="Nashik"/>
    <m/>
    <m/>
    <m/>
    <s v="Done"/>
    <m/>
    <m/>
    <s v="Done by NW"/>
    <s v="Done by NW"/>
    <m/>
    <s v="Conv-B DONE"/>
    <s v="Conv-B DONE"/>
    <s v="Conv-B DONE"/>
    <m/>
    <s v="Done by NW"/>
    <m/>
    <m/>
    <m/>
    <m/>
    <m/>
    <s v="Conv-B DONE"/>
    <s v="OK"/>
    <d v="2024-04-13T00:00:00"/>
    <m/>
    <d v="2023-07-04T00:00:00"/>
    <d v="2023-11-04T00:00:00"/>
    <s v="Done"/>
    <s v="Done"/>
    <m/>
    <s v="13.07.24"/>
    <m/>
  </r>
  <r>
    <n v="77"/>
    <n v="30817"/>
    <s v="HLC-A"/>
    <s v="STB8M0897 HLCD"/>
    <x v="4"/>
    <s v="NCR"/>
    <s v="DEL"/>
    <d v="2020-12-16T00:00:00"/>
    <n v="897"/>
    <s v="Nashik"/>
    <s v="M-U7D2S04V.005,_x000a_MO-U7F2S240.005"/>
    <d v="2022-09-15T00:00:00"/>
    <s v="UAT2Y440.012"/>
    <d v="2022-09-15T00:00:00"/>
    <d v="2022-09-29T00:00:00"/>
    <m/>
    <s v="Done by NW"/>
    <s v="Done by NW"/>
    <s v="Conv-A DONE"/>
    <s v="Conv-A DONE"/>
    <s v="Conv-A DONE"/>
    <m/>
    <s v="Conv-A DONE"/>
    <s v="Done by NW"/>
    <m/>
    <m/>
    <m/>
    <m/>
    <m/>
    <s v="Done"/>
    <m/>
    <m/>
    <d v="2024-05-18T00:00:00"/>
    <d v="2024-05-18T00:00:00"/>
    <d v="2024-01-19T00:00:00"/>
    <s v="Done"/>
    <s v="08.10.2024"/>
    <m/>
    <s v="08.10.2024"/>
    <m/>
  </r>
  <r>
    <n v="78"/>
    <n v="30817"/>
    <s v="HLC-B"/>
    <s v="STB8M0896 HLCD"/>
    <x v="4"/>
    <s v="NCR"/>
    <s v="DEL"/>
    <d v="2020-12-16T00:00:00"/>
    <n v="896"/>
    <s v="Nashik"/>
    <s v="M-U7D2S04V.005,_x000a_MO-U7F2S240.005"/>
    <d v="2022-09-15T00:00:00"/>
    <s v="UAT2Y440.012"/>
    <d v="2022-09-15T00:00:00"/>
    <d v="2022-09-29T00:00:00"/>
    <m/>
    <s v="Done by NW"/>
    <s v="Done by NW"/>
    <s v="Conv-B DONE"/>
    <s v="Conv-B DONE"/>
    <s v="Conv-B DONE"/>
    <m/>
    <s v="Conv-B DONE"/>
    <s v="Done by NW"/>
    <m/>
    <m/>
    <m/>
    <m/>
    <m/>
    <s v="Done"/>
    <m/>
    <m/>
    <d v="2024-05-18T00:00:00"/>
    <d v="2024-05-18T00:00:00"/>
    <d v="2024-01-19T00:00:00"/>
    <s v="Done by NW"/>
    <s v="09.10.2024"/>
    <m/>
    <s v="08.10.2024"/>
    <m/>
  </r>
  <r>
    <n v="79"/>
    <n v="30819"/>
    <s v="HLC-A"/>
    <s v="STB8M0963 HLCD"/>
    <x v="4"/>
    <s v="NCR"/>
    <s v="DEL"/>
    <d v="2020-12-18T00:00:00"/>
    <n v="963"/>
    <s v="Nashik"/>
    <s v="M-U7D2S04V.005,_x000a_MO-U7F2S240.005"/>
    <s v="Done by NW"/>
    <s v="UAT2Y440.012"/>
    <s v="Done"/>
    <m/>
    <d v="2022-12-14T00:00:00"/>
    <s v="Done by NW"/>
    <s v="Done by NW"/>
    <s v="Conv-A DONE"/>
    <s v="Conv-A DONE"/>
    <s v="Conv-A DONE"/>
    <m/>
    <s v="Conv-A DONE"/>
    <s v="Done by NW"/>
    <m/>
    <m/>
    <m/>
    <m/>
    <m/>
    <s v="Done"/>
    <m/>
    <d v="2023-12-26T00:00:00"/>
    <d v="2024-06-10T00:00:00"/>
    <d v="2024-06-10T00:00:00"/>
    <d v="2023-12-26T00:00:00"/>
    <d v="2023-12-26T00:00:00"/>
    <s v="11.07.2024"/>
    <m/>
    <s v="07.10.2024"/>
    <m/>
  </r>
  <r>
    <n v="80"/>
    <n v="30819"/>
    <s v="HLC-B"/>
    <s v="STB0M1005 HLCD"/>
    <x v="4"/>
    <s v="NCR"/>
    <s v="DEL"/>
    <d v="2020-12-18T00:00:00"/>
    <n v="1005"/>
    <s v="Nashik"/>
    <s v="M-U7D2S04V.005,_x000a_MO-U7F2S240.005"/>
    <s v="Done by NW"/>
    <s v="UAT2Y440.012"/>
    <s v="Done"/>
    <m/>
    <d v="2022-12-14T00:00:00"/>
    <s v="Done by NW"/>
    <s v="Done by NW"/>
    <s v="Conv-B DONE"/>
    <s v="Conv-B DONE"/>
    <s v="Conv-B DONE"/>
    <m/>
    <s v="Conv-B DONE"/>
    <s v="Done by NW"/>
    <m/>
    <m/>
    <m/>
    <m/>
    <m/>
    <s v="Done"/>
    <m/>
    <d v="2023-12-26T00:00:00"/>
    <d v="2024-06-10T00:00:00"/>
    <d v="2024-06-10T00:00:00"/>
    <d v="2023-12-26T00:00:00"/>
    <d v="2023-12-26T00:00:00"/>
    <s v="09.10.2024"/>
    <m/>
    <s v="07.10.2024"/>
    <m/>
  </r>
  <r>
    <n v="81"/>
    <n v="30820"/>
    <s v="HLC-A"/>
    <s v="STB8M0962"/>
    <x v="4"/>
    <s v="NCR"/>
    <s v="DEL"/>
    <d v="2020-12-26T00:00:00"/>
    <n v="962"/>
    <s v="Nashik"/>
    <s v="M-U7D2S04V.005,_x000a_MO-U7F2S240.005"/>
    <d v="2022-10-07T00:00:00"/>
    <s v="UAT2Y440.012"/>
    <d v="2022-10-07T00:00:00"/>
    <d v="2022-10-07T00:00:00"/>
    <m/>
    <s v="Done by NW"/>
    <s v="Done by NW"/>
    <s v="Conv-A DONE"/>
    <s v="Conv-A DONE"/>
    <s v="Conv-A DONE"/>
    <s v="Conv-A DONE"/>
    <m/>
    <s v="Done by NW"/>
    <m/>
    <m/>
    <m/>
    <m/>
    <m/>
    <s v="Done"/>
    <s v="Done"/>
    <d v="2024-01-18T00:00:00"/>
    <d v="2024-06-29T00:00:00"/>
    <d v="2024-06-29T00:00:00"/>
    <d v="2024-01-18T00:00:00"/>
    <d v="2024-01-18T00:00:00"/>
    <d v="2024-07-03T00:00:00"/>
    <m/>
    <d v="2024-07-03T00:00:00"/>
    <m/>
  </r>
  <r>
    <n v="82"/>
    <n v="30820"/>
    <s v="HLC-B"/>
    <s v="STB0M1004"/>
    <x v="4"/>
    <s v="NCR"/>
    <s v="DEL"/>
    <d v="2020-12-26T00:00:00"/>
    <n v="1004"/>
    <s v="Nashik"/>
    <s v="M-U7D2S04V.005,_x000a_MO-U7F2S240.005"/>
    <d v="2022-10-07T00:00:00"/>
    <s v="UAT2Y440.012"/>
    <d v="2022-10-07T00:00:00"/>
    <d v="2022-10-07T00:00:00"/>
    <m/>
    <s v="Done by NW"/>
    <s v="Done by NW"/>
    <s v="Conv-B DONE"/>
    <s v="Conv-B DONE"/>
    <s v="Conv-B DONE"/>
    <s v="Conv-B DONE"/>
    <m/>
    <s v="Done by NW"/>
    <m/>
    <m/>
    <m/>
    <m/>
    <m/>
    <s v="Done"/>
    <m/>
    <d v="2023-12-18T00:00:00"/>
    <d v="2024-06-29T00:00:00"/>
    <d v="2024-06-29T00:00:00"/>
    <d v="2023-12-18T00:00:00"/>
    <d v="2023-12-18T00:00:00"/>
    <d v="2024-07-03T00:00:00"/>
    <m/>
    <d v="2024-07-03T00:00:00"/>
    <m/>
  </r>
  <r>
    <n v="83"/>
    <n v="37096"/>
    <s v="HLC-A"/>
    <s v="STB8K0286 HLCD"/>
    <x v="4"/>
    <s v="NCR"/>
    <s v="DEL"/>
    <d v="2019-02-24T00:00:00"/>
    <n v="286"/>
    <s v="Nashik"/>
    <s v="M-U7D2S04V.005,_x000a_MO-U7F2S240.005"/>
    <d v="2020-11-04T00:00:00"/>
    <s v="UAT2Y440.012"/>
    <d v="2020-11-04T00:00:00"/>
    <d v="2021-05-10T00:00:00"/>
    <m/>
    <m/>
    <s v="Conv-A DONE"/>
    <s v="Conv-A DONE"/>
    <s v="Conv-A DONE"/>
    <s v="Conv-A DONE"/>
    <m/>
    <s v="Conv-A DONE"/>
    <m/>
    <m/>
    <m/>
    <m/>
    <m/>
    <m/>
    <s v="Conv-A DONE"/>
    <m/>
    <m/>
    <d v="2024-06-06T00:00:00"/>
    <d v="2024-06-06T00:00:00"/>
    <d v="2023-08-04T00:00:00"/>
    <d v="2023-08-04T00:00:00"/>
    <d v="2023-08-04T00:00:00"/>
    <m/>
    <s v="15-12-2024"/>
    <m/>
  </r>
  <r>
    <n v="84"/>
    <n v="37096"/>
    <s v="HLC-B"/>
    <s v="STB5K0231 HLCD"/>
    <x v="4"/>
    <s v="NCR"/>
    <s v="DEL"/>
    <d v="2019-02-24T00:00:00"/>
    <n v="231"/>
    <s v="Nashik"/>
    <s v="M-U7D2S04V.005,_x000a_MO-U7F2S240.005"/>
    <d v="2020-11-04T00:00:00"/>
    <s v="UAT2Y440.012"/>
    <d v="2020-11-04T00:00:00"/>
    <d v="2021-05-11T00:00:00"/>
    <m/>
    <m/>
    <s v="Conv-B DONE"/>
    <s v="Conv-B DONE"/>
    <s v="Conv-B DONE"/>
    <s v="Conv-B DONE"/>
    <m/>
    <s v="Conv-B DONE"/>
    <m/>
    <m/>
    <m/>
    <m/>
    <s v="EL19J04177"/>
    <m/>
    <s v="Conv-B DONE"/>
    <m/>
    <m/>
    <d v="2024-06-06T00:00:00"/>
    <d v="2024-06-06T00:00:00"/>
    <d v="2023-08-04T00:00:00"/>
    <d v="2023-08-04T00:00:00"/>
    <d v="2023-08-04T00:00:00"/>
    <m/>
    <s v="15-12-2024"/>
    <m/>
  </r>
  <r>
    <n v="85"/>
    <n v="37097"/>
    <s v="HLC-A"/>
    <s v="STBOK0298HLCD"/>
    <x v="4"/>
    <s v="NCR"/>
    <s v="DEL"/>
    <d v="2019-02-27T00:00:00"/>
    <n v="298"/>
    <s v="Nashik"/>
    <s v="M-U7D2S04V.005,_x000a_MO-U7F2S240.005"/>
    <d v="2022-07-19T00:00:00"/>
    <s v="UAT2Y440.012"/>
    <d v="2022-07-19T00:00:00"/>
    <d v="2022-10-19T00:00:00"/>
    <m/>
    <s v="Conv-A DONE"/>
    <s v="Conv-A DONE"/>
    <s v="Conv-A DONE"/>
    <s v="Conv-A DONE"/>
    <s v="Conv-A DONE"/>
    <m/>
    <s v="Conv-A DONE"/>
    <m/>
    <m/>
    <m/>
    <m/>
    <s v="EL20K03027"/>
    <m/>
    <s v="Done"/>
    <s v="Done"/>
    <d v="2024-03-11T00:00:00"/>
    <d v="2024-06-21T00:00:00"/>
    <d v="2024-06-21T00:00:00"/>
    <d v="2023-08-19T00:00:00"/>
    <d v="2023-08-19T00:00:00"/>
    <d v="2023-08-19T00:00:00"/>
    <m/>
    <s v="15-12-2024"/>
    <m/>
  </r>
  <r>
    <n v="86"/>
    <n v="37097"/>
    <s v="HLC-B"/>
    <s v="STBOK0299HLCD"/>
    <x v="4"/>
    <s v="NCR"/>
    <s v="DEL"/>
    <d v="2019-02-27T00:00:00"/>
    <n v="299"/>
    <s v="Nashik"/>
    <s v="M-U7D2S04V.005,_x000a_MO-U7F2S240.005"/>
    <d v="2022-07-19T00:00:00"/>
    <s v="UAT2Y440.012"/>
    <d v="2022-07-19T00:00:00"/>
    <d v="2022-10-19T00:00:00"/>
    <m/>
    <m/>
    <s v="Conv-B DONE"/>
    <s v="Conv-B DONE"/>
    <s v="Conv-B DONE"/>
    <s v="Conv-B DONE"/>
    <m/>
    <s v="Conv-B DONE"/>
    <m/>
    <m/>
    <m/>
    <m/>
    <s v="EL20L05020"/>
    <m/>
    <s v="Done"/>
    <s v="Done"/>
    <d v="2024-03-11T00:00:00"/>
    <d v="2024-06-21T00:00:00"/>
    <d v="2024-06-21T00:00:00"/>
    <d v="2023-08-19T00:00:00"/>
    <d v="2023-08-19T00:00:00"/>
    <d v="2023-08-19T00:00:00"/>
    <m/>
    <s v="15-12-2024"/>
    <m/>
  </r>
  <r>
    <n v="87"/>
    <n v="37099"/>
    <s v="HLC-A"/>
    <s v="STB7K0279 HLCD"/>
    <x v="4"/>
    <s v="NCR"/>
    <s v="DEL"/>
    <d v="2019-02-26T00:00:00"/>
    <n v="279"/>
    <s v="Nashik"/>
    <s v="M-U7D2S04V.005,_x000a_MO-U7F2S240.005"/>
    <s v="Done"/>
    <s v="UAT2Y440.012"/>
    <s v="Done"/>
    <d v="2022-09-20T00:00:00"/>
    <d v="2022-11-24T00:00:00"/>
    <m/>
    <s v="Conv-A DONE"/>
    <s v="Conv-A DONE"/>
    <s v="Conv-A DONE"/>
    <s v="Conv-A DONE"/>
    <m/>
    <s v="Conv-A DONE"/>
    <m/>
    <m/>
    <m/>
    <m/>
    <s v="EL18B07020"/>
    <m/>
    <s v="Conv-A DONE"/>
    <m/>
    <m/>
    <s v="12.08.2024"/>
    <s v="12.08.2024"/>
    <d v="2023-10-21T00:00:00"/>
    <d v="2023-10-21T00:00:00"/>
    <d v="2023-10-21T00:00:00"/>
    <m/>
    <s v="15-12-2024"/>
    <m/>
  </r>
  <r>
    <n v="88"/>
    <n v="37099"/>
    <s v="HLC-B"/>
    <s v="STB5K0232 HLCD"/>
    <x v="4"/>
    <s v="NCR"/>
    <s v="DEL"/>
    <d v="2019-02-26T00:00:00"/>
    <n v="232"/>
    <s v="Nashik"/>
    <s v="M-U7D2S04V.005,_x000a_MO-U7F2S240.005"/>
    <s v="Done"/>
    <s v="UAT2Y440.012"/>
    <s v="Done"/>
    <d v="2022-09-20T00:00:00"/>
    <d v="2022-11-24T00:00:00"/>
    <m/>
    <s v="Conv-B DONE"/>
    <s v="Conv-B DONE"/>
    <s v="Conv-B DONE"/>
    <s v="Conv-B DONE"/>
    <s v="Conv-B DONE"/>
    <s v="Conv-B DONE"/>
    <m/>
    <m/>
    <m/>
    <m/>
    <m/>
    <m/>
    <s v="Conv-B DONE"/>
    <m/>
    <m/>
    <s v="12.08.2024"/>
    <s v="12.08.2024"/>
    <d v="2023-10-28T00:00:00"/>
    <d v="2023-10-28T00:00:00"/>
    <d v="2023-10-28T00:00:00"/>
    <m/>
    <s v="15-12-2024"/>
    <m/>
  </r>
  <r>
    <n v="89"/>
    <n v="37100"/>
    <s v="HLC-A"/>
    <s v="STB5K0238 HLCD"/>
    <x v="4"/>
    <s v="NCR"/>
    <s v="DEL"/>
    <d v="2019-02-26T00:00:00"/>
    <n v="238"/>
    <s v="Nashik"/>
    <s v="M-U7D2S04V.005,_x000a_MO-U7F2S240.005"/>
    <d v="2022-09-12T00:00:00"/>
    <s v="UAT2Y440.012"/>
    <d v="2020-12-07T00:00:00"/>
    <d v="2022-09-20T00:00:00"/>
    <d v="2022-12-15T00:00:00"/>
    <m/>
    <s v="Conv-A DONE"/>
    <s v="Conv-A DONE"/>
    <s v="Conv-A DONE"/>
    <s v="Conv-A DONE"/>
    <m/>
    <s v="Conv-A DONE"/>
    <m/>
    <m/>
    <m/>
    <m/>
    <m/>
    <m/>
    <s v="Done"/>
    <m/>
    <d v="2024-01-17T00:00:00"/>
    <s v="28.07.2024"/>
    <s v="28.07.2024"/>
    <d v="2023-06-19T00:00:00"/>
    <d v="2023-06-19T00:00:00"/>
    <d v="2023-06-19T00:00:00"/>
    <m/>
    <s v="done"/>
    <m/>
  </r>
  <r>
    <n v="90"/>
    <n v="37100"/>
    <s v="HLC-B"/>
    <s v="STB5K0239 HLCD"/>
    <x v="4"/>
    <s v="NCR"/>
    <s v="DEL"/>
    <d v="2019-02-26T00:00:00"/>
    <n v="239"/>
    <s v="Nashik"/>
    <s v="M-U7D2S04V.005,_x000a_MO-U7F2S240.005"/>
    <d v="2022-09-12T00:00:00"/>
    <s v="UAT2Y440.012"/>
    <d v="2020-12-07T00:00:00"/>
    <d v="2022-09-20T00:00:00"/>
    <d v="2022-12-15T00:00:00"/>
    <m/>
    <s v="Conv-A DONE"/>
    <s v="Conv-B DONE"/>
    <s v="Conv-B DONE"/>
    <s v="Conv-B DONE"/>
    <m/>
    <s v="Conv-B DONE"/>
    <m/>
    <m/>
    <m/>
    <m/>
    <m/>
    <m/>
    <s v="Done"/>
    <m/>
    <d v="2024-01-17T00:00:00"/>
    <s v="28.07.2024"/>
    <s v="28.07.2024"/>
    <d v="2023-06-19T00:00:00"/>
    <d v="2023-06-19T00:00:00"/>
    <d v="2023-06-19T00:00:00"/>
    <m/>
    <s v="done"/>
    <m/>
  </r>
  <r>
    <n v="91"/>
    <n v="37102"/>
    <s v="HLC-A"/>
    <s v="STBOK0300 HLCD"/>
    <x v="4"/>
    <s v="NCR"/>
    <s v="DEL"/>
    <d v="2019-02-27T00:00:00"/>
    <n v="300"/>
    <s v="Nashik"/>
    <s v="M-U7D2S04V.005,_x000a_MO-U7F2S240.005"/>
    <d v="2020-11-23T00:00:00"/>
    <s v="UAT2Y440.012"/>
    <d v="2020-11-23T00:00:00"/>
    <d v="2022-09-08T00:00:00"/>
    <m/>
    <m/>
    <s v="Conv-A DONE"/>
    <s v="Conv-A DONE"/>
    <s v="Conv-A DONE"/>
    <s v="Conv-A DONE"/>
    <m/>
    <s v="Conv-A DONE"/>
    <s v="Done by NW"/>
    <m/>
    <m/>
    <m/>
    <s v="EL18G03030"/>
    <m/>
    <s v="Done"/>
    <m/>
    <d v="2023-12-21T00:00:00"/>
    <d v="2024-07-07T00:00:00"/>
    <d v="2024-07-07T00:00:00"/>
    <d v="2023-12-21T00:00:00"/>
    <d v="2023-12-21T00:00:00"/>
    <d v="2024-07-07T00:00:00"/>
    <m/>
    <s v="07.07.2024"/>
    <m/>
  </r>
  <r>
    <n v="92"/>
    <n v="37102"/>
    <s v="HLC-B"/>
    <s v="STBOK0301 HLCD"/>
    <x v="4"/>
    <s v="NCR"/>
    <s v="DEL"/>
    <d v="2019-02-27T00:00:00"/>
    <n v="301"/>
    <s v="Nashik"/>
    <s v="M-U7D2S04V.005,_x000a_MO-U7F2S240.005"/>
    <d v="2020-11-23T00:00:00"/>
    <s v="UAT2Y440.012"/>
    <d v="2021-09-09T00:00:00"/>
    <d v="2022-09-08T00:00:00"/>
    <m/>
    <m/>
    <s v="Conv-A DONE"/>
    <s v="Conv-B DONE"/>
    <s v="Conv-B DONE"/>
    <s v="Conv-B DONE"/>
    <m/>
    <s v="Conv-B DONE"/>
    <s v="Done by NW"/>
    <m/>
    <m/>
    <m/>
    <s v="EL20L01016"/>
    <m/>
    <s v="Done"/>
    <m/>
    <d v="2023-12-21T00:00:00"/>
    <d v="2024-07-07T00:00:00"/>
    <d v="2024-07-07T00:00:00"/>
    <d v="2023-12-21T00:00:00"/>
    <d v="2023-12-21T00:00:00"/>
    <d v="2024-07-07T00:00:00"/>
    <m/>
    <d v="2024-07-07T00:00:00"/>
    <m/>
  </r>
  <r>
    <n v="93"/>
    <n v="37105"/>
    <s v="HLC-A"/>
    <s v="STBOK0297 HLCD"/>
    <x v="4"/>
    <s v="NCR"/>
    <s v="DEL"/>
    <d v="2019-02-27T00:00:00"/>
    <n v="297"/>
    <s v="Nashik"/>
    <s v="M-U7D2S04V.005,_x000a_MO-U7F2S240.005"/>
    <s v="Done"/>
    <s v="UAT2Y440.012"/>
    <s v="Done"/>
    <d v="2021-04-19T00:00:00"/>
    <m/>
    <m/>
    <s v="Conv-A DONE"/>
    <s v="Conv-A DONE"/>
    <s v="Conv-A DONE"/>
    <s v="Conv-A DONE"/>
    <m/>
    <m/>
    <m/>
    <m/>
    <m/>
    <m/>
    <s v="EL19I02036"/>
    <m/>
    <s v="Done"/>
    <m/>
    <m/>
    <d v="2024-06-08T00:00:00"/>
    <d v="2024-06-08T00:00:00"/>
    <d v="2023-12-21T00:00:00"/>
    <s v="Done"/>
    <d v="2023-11-08T00:00:00"/>
    <m/>
    <d v="2024-06-08T00:00:00"/>
    <m/>
  </r>
  <r>
    <n v="94"/>
    <n v="37105"/>
    <s v="HLC-B"/>
    <s v="STB4K0212 HLCD"/>
    <x v="4"/>
    <s v="NCR"/>
    <s v="DEL"/>
    <d v="2019-02-27T00:00:00"/>
    <n v="212"/>
    <s v="Nashik"/>
    <s v="M-U7D2S04V.005,_x000a_MO-U7F2S240.005"/>
    <s v="Done"/>
    <s v="UAT2Y440.012"/>
    <s v="Done"/>
    <d v="2021-04-19T00:00:00"/>
    <m/>
    <m/>
    <s v="Conv-B DONE"/>
    <s v="Conv-B DONE"/>
    <s v="Conv-B DONE"/>
    <s v="Conv-B DONE"/>
    <m/>
    <m/>
    <m/>
    <m/>
    <m/>
    <m/>
    <s v="EL19J04173"/>
    <m/>
    <s v="Done"/>
    <m/>
    <m/>
    <d v="2024-06-08T00:00:00"/>
    <d v="2024-06-08T00:00:00"/>
    <d v="2024-01-25T00:00:00"/>
    <s v="Done"/>
    <d v="2023-11-09T00:00:00"/>
    <m/>
    <d v="2024-06-08T00:00:00"/>
    <m/>
  </r>
  <r>
    <n v="95"/>
    <n v="37123"/>
    <s v="HLC-A"/>
    <s v="STBDK0357 HLCD"/>
    <x v="4"/>
    <s v="NCR"/>
    <s v="DEL"/>
    <d v="2019-03-23T00:00:00"/>
    <n v="357"/>
    <s v="Nashik"/>
    <s v="M-U7D2S04V.005,_x000a_MO-U7F2S240.005"/>
    <d v="2022-09-07T00:00:00"/>
    <s v="UAT2Y440.012"/>
    <d v="2022-09-07T00:00:00"/>
    <m/>
    <m/>
    <m/>
    <s v="Conv-A DONE"/>
    <s v="Conv-A DONE"/>
    <s v="Conv-A DONE"/>
    <s v="Conv-A DONE"/>
    <m/>
    <s v="Conv-A DONE"/>
    <m/>
    <m/>
    <m/>
    <m/>
    <s v="EL18K02025"/>
    <m/>
    <s v="Done"/>
    <s v="Done"/>
    <m/>
    <d v="2024-06-22T00:00:00"/>
    <d v="2024-06-22T00:00:00"/>
    <d v="2024-01-25T00:00:00"/>
    <d v="2023-11-22T00:00:00"/>
    <d v="2023-11-22T00:00:00"/>
    <m/>
    <d v="2024-06-21T00:00:00"/>
    <m/>
  </r>
  <r>
    <n v="96"/>
    <n v="37123"/>
    <s v="HLC-B"/>
    <s v="STBNK0326 HLCD"/>
    <x v="4"/>
    <s v="NCR"/>
    <s v="DEL"/>
    <d v="2019-03-23T00:00:00"/>
    <n v="326"/>
    <s v="Nashik"/>
    <s v="M-U7D2S04V.005,_x000a_MO-U7F2S240.005"/>
    <d v="2022-09-07T00:00:00"/>
    <s v="UAT2Y440.012"/>
    <d v="2022-09-07T00:00:00"/>
    <d v="2021-04-06T00:00:00"/>
    <m/>
    <m/>
    <s v="Conv-B DONE"/>
    <s v="Conv-B DONE"/>
    <s v="Conv-B DONE"/>
    <s v="Conv-B DONE"/>
    <m/>
    <s v="Conv-B DONE"/>
    <m/>
    <m/>
    <m/>
    <m/>
    <s v="EL20K03025"/>
    <m/>
    <s v="Done"/>
    <s v="Done"/>
    <d v="2023-11-28T00:00:00"/>
    <d v="2024-06-22T00:00:00"/>
    <d v="2024-06-22T00:00:00"/>
    <d v="2023-11-28T00:00:00"/>
    <d v="2023-11-28T00:00:00"/>
    <d v="2023-11-28T00:00:00"/>
    <m/>
    <d v="2024-06-21T00:00:00"/>
    <m/>
  </r>
  <r>
    <n v="97"/>
    <n v="37125"/>
    <s v="HLC-A"/>
    <s v="STBNK0340 HLCD"/>
    <x v="4"/>
    <s v="NCR"/>
    <s v="DEL"/>
    <d v="2019-03-25T00:00:00"/>
    <n v="340"/>
    <s v="Nashik"/>
    <s v="M-U7D2S04V.005,_x000a_MO-U7F2S240.005"/>
    <d v="2020-11-02T00:00:00"/>
    <s v="UAT2Y440.012"/>
    <d v="2020-11-02T00:00:00"/>
    <d v="2022-09-09T00:00:00"/>
    <m/>
    <m/>
    <s v="Conv-A DONE"/>
    <s v="Conv-A DONE"/>
    <s v="Conv-A DONE"/>
    <s v="Conv-A DONE"/>
    <m/>
    <s v="Conv-A DONE"/>
    <m/>
    <m/>
    <m/>
    <m/>
    <m/>
    <m/>
    <s v="Done"/>
    <m/>
    <d v="2023-07-04T00:00:00"/>
    <d v="2024-06-28T00:00:00"/>
    <d v="2024-06-28T00:00:00"/>
    <d v="2023-07-04T00:00:00"/>
    <d v="2023-07-04T00:00:00"/>
    <d v="2023-07-04T00:00:00"/>
    <m/>
    <s v="06.08.2024"/>
    <m/>
  </r>
  <r>
    <n v="98"/>
    <n v="37125"/>
    <s v="HLC-B"/>
    <s v="STBDK0354 HLCD"/>
    <x v="4"/>
    <s v="NCR"/>
    <s v="DEL"/>
    <d v="2019-03-25T00:00:00"/>
    <n v="354"/>
    <s v="Nashik"/>
    <s v="M-U7D2S04V.005,_x000a_MO-U7F2S240.005"/>
    <s v="Done"/>
    <s v="UAT2Y440.012"/>
    <s v="Done"/>
    <d v="2022-09-09T00:00:00"/>
    <m/>
    <m/>
    <s v="Conv-A DONE"/>
    <s v="Conv-B DONE"/>
    <s v="Conv-B DONE"/>
    <s v="Conv-B DONE"/>
    <m/>
    <s v="Conv-B DONE"/>
    <m/>
    <m/>
    <m/>
    <m/>
    <s v="EL20H01007"/>
    <m/>
    <s v="Done"/>
    <m/>
    <d v="2023-07-04T00:00:00"/>
    <d v="2024-06-28T00:00:00"/>
    <d v="2024-06-28T00:00:00"/>
    <d v="2023-07-04T00:00:00"/>
    <d v="2023-07-04T00:00:00"/>
    <d v="2023-07-04T00:00:00"/>
    <m/>
    <s v="06.08.2024"/>
    <m/>
  </r>
  <r>
    <n v="99"/>
    <n v="37129"/>
    <s v="HLC-A"/>
    <s v="STB1L0385 HLCD"/>
    <x v="4"/>
    <s v="NCR"/>
    <s v="DEL"/>
    <d v="2019-03-27T00:00:00"/>
    <n v="385"/>
    <s v="Nashik"/>
    <s v="M-U7D2S04V.005,_x000a_MO-U7F2S240.005"/>
    <s v="Done"/>
    <s v="U9S2Y440.011"/>
    <m/>
    <m/>
    <m/>
    <m/>
    <s v="Conv-A DONE"/>
    <s v="Conv-A DONE"/>
    <s v="Conv-A DONE"/>
    <s v="Conv-A DONE"/>
    <m/>
    <m/>
    <m/>
    <m/>
    <m/>
    <m/>
    <d v="2021-01-23T00:00:00"/>
    <m/>
    <s v="Done"/>
    <m/>
    <d v="2023-07-11T00:00:00"/>
    <d v="2024-05-20T00:00:00"/>
    <d v="2024-05-20T00:00:00"/>
    <d v="2023-07-11T00:00:00"/>
    <d v="2023-07-11T00:00:00"/>
    <d v="2024-07-11T00:00:00"/>
    <m/>
    <s v="done"/>
    <m/>
  </r>
  <r>
    <n v="100"/>
    <n v="37129"/>
    <s v="HLC-B"/>
    <s v="STB1L0384 HLCD"/>
    <x v="4"/>
    <s v="NCR"/>
    <s v="DEL"/>
    <d v="2019-03-27T00:00:00"/>
    <n v="384"/>
    <s v="Nashik"/>
    <s v="M-U7D2S04V.005,_x000a_MO-U7F2S240.005"/>
    <s v="Done"/>
    <s v="U9S2Y440.011"/>
    <m/>
    <m/>
    <m/>
    <m/>
    <s v="Conv-B DONE"/>
    <s v="Conv-B DONE"/>
    <s v="Conv-B DONE"/>
    <s v="Conv-B DONE"/>
    <m/>
    <s v="Conv-B DONE"/>
    <m/>
    <m/>
    <m/>
    <m/>
    <s v="EL18B07 031-R"/>
    <m/>
    <s v="Done"/>
    <m/>
    <d v="2023-07-11T00:00:00"/>
    <d v="2024-05-20T00:00:00"/>
    <d v="2024-05-20T00:00:00"/>
    <d v="2023-07-11T00:00:00"/>
    <d v="2023-07-11T00:00:00"/>
    <d v="2024-07-11T00:00:00"/>
    <m/>
    <s v="done"/>
    <m/>
  </r>
  <r>
    <n v="101"/>
    <n v="37130"/>
    <s v="HLC-A"/>
    <s v="STB2L0416 HLCD"/>
    <x v="4"/>
    <s v="NCR"/>
    <s v="DEL"/>
    <d v="2019-03-28T00:00:00"/>
    <n v="416"/>
    <s v="Nashik"/>
    <s v="M-U7D2S04V.005,_x000a_MO-U7F2S240.005"/>
    <s v="Done"/>
    <s v="U9S2Y440.011"/>
    <d v="2022-09-29T00:00:00"/>
    <d v="2022-09-29T00:00:00"/>
    <m/>
    <m/>
    <s v="Conv-A DONE"/>
    <s v="Conv-A DONE"/>
    <s v="Conv-A DONE"/>
    <s v="Conv-A DONE"/>
    <m/>
    <s v="Conv-A DONE"/>
    <m/>
    <m/>
    <m/>
    <m/>
    <m/>
    <m/>
    <s v="Done"/>
    <m/>
    <d v="2023-11-01T00:00:00"/>
    <d v="2024-06-04T00:00:00"/>
    <d v="2024-06-04T00:00:00"/>
    <d v="2023-11-01T00:00:00"/>
    <d v="2023-11-01T00:00:00"/>
    <d v="2023-11-01T00:00:00"/>
    <m/>
    <s v="10.09.2024"/>
    <m/>
  </r>
  <r>
    <n v="102"/>
    <n v="37130"/>
    <s v="HLC-B"/>
    <s v="STB2L0417 HLCD"/>
    <x v="4"/>
    <s v="NCR"/>
    <s v="DEL"/>
    <d v="2019-03-28T00:00:00"/>
    <n v="417"/>
    <s v="Nashik"/>
    <s v="M-U7D2S04V.005,_x000a_MO-U7F2S240.005"/>
    <s v="Done"/>
    <s v="UAT2Y440.012"/>
    <d v="2021-09-30T00:00:00"/>
    <d v="2022-09-29T00:00:00"/>
    <m/>
    <m/>
    <s v="Conv-B DONE"/>
    <s v="Conv-B DONE"/>
    <s v="Conv-B DONE"/>
    <s v="Conv-B DONE"/>
    <m/>
    <m/>
    <m/>
    <m/>
    <m/>
    <m/>
    <m/>
    <m/>
    <s v="Done"/>
    <d v="2022-09-29T00:00:00"/>
    <d v="2023-11-02T00:00:00"/>
    <d v="2024-06-04T00:00:00"/>
    <d v="2024-06-04T00:00:00"/>
    <d v="2023-11-02T00:00:00"/>
    <d v="2023-11-02T00:00:00"/>
    <d v="2023-11-02T00:00:00"/>
    <m/>
    <s v="10.09.2024"/>
    <m/>
  </r>
  <r>
    <n v="103"/>
    <n v="37132"/>
    <s v="HLC-A"/>
    <s v="STBNK0337 HLCD"/>
    <x v="4"/>
    <s v="NCR"/>
    <s v="DEL"/>
    <d v="2019-03-28T00:00:00"/>
    <n v="337"/>
    <s v="Nashik"/>
    <s v="M-U7D2S04V.005,_x000a_MO-U7F2S240.005"/>
    <s v="Done"/>
    <s v="UAT2Y440.012"/>
    <s v="Done"/>
    <d v="2022-10-19T00:00:00"/>
    <m/>
    <m/>
    <s v="Conv-A DONE"/>
    <s v="Conv-A DONE"/>
    <s v="Conv-A DONE"/>
    <s v="Conv-A DONE"/>
    <s v="Conv-A DONE"/>
    <s v="Conv-A DONE"/>
    <m/>
    <m/>
    <m/>
    <m/>
    <s v="EL19K01157"/>
    <m/>
    <s v="Conv-A DONE"/>
    <m/>
    <d v="2023-08-25T00:00:00"/>
    <d v="2024-06-23T00:00:00"/>
    <d v="2024-06-23T00:00:00"/>
    <d v="2023-08-25T00:00:00"/>
    <d v="2023-08-25T00:00:00"/>
    <d v="2023-08-25T00:00:00"/>
    <m/>
    <d v="2024-06-21T00:00:00"/>
    <m/>
  </r>
  <r>
    <n v="104"/>
    <n v="37132"/>
    <s v="HLC-B"/>
    <s v="STBOK0314 HLCD"/>
    <x v="4"/>
    <s v="NCR"/>
    <s v="DEL"/>
    <d v="2019-03-28T00:00:00"/>
    <n v="314"/>
    <s v="Nashik"/>
    <s v="M-U7D2S04V.005,_x000a_MO-U7F2S240.005"/>
    <s v="Done"/>
    <s v="UAT2Y440.012"/>
    <s v="Done"/>
    <d v="2022-10-19T00:00:00"/>
    <m/>
    <m/>
    <s v="Conv-B DONE"/>
    <s v="Conv-B DONE"/>
    <s v="Conv-B DONE"/>
    <s v="Conv-B DONE"/>
    <s v="Conv-B DONE"/>
    <s v="Conv-B DONE"/>
    <m/>
    <m/>
    <m/>
    <m/>
    <m/>
    <m/>
    <s v="Conv-B DONE"/>
    <s v="Conv-B done"/>
    <d v="2023-08-25T00:00:00"/>
    <d v="2024-06-23T00:00:00"/>
    <d v="2024-06-23T00:00:00"/>
    <d v="2023-08-25T00:00:00"/>
    <d v="2023-08-25T00:00:00"/>
    <d v="2023-08-25T00:00:00"/>
    <m/>
    <d v="2024-06-21T00:00:00"/>
    <m/>
  </r>
  <r>
    <n v="105"/>
    <n v="37137"/>
    <s v="HLC-A"/>
    <s v="STB1L0404 HLCD"/>
    <x v="4"/>
    <s v="NCR"/>
    <s v="DEL"/>
    <d v="2019-03-29T00:00:00"/>
    <n v="404"/>
    <s v="Nashik"/>
    <s v="M-U7D2S04V.005,_x000a_MO-U7F2S240.005"/>
    <s v="Done"/>
    <s v="UAT2Y440.012"/>
    <s v="Done"/>
    <d v="2022-04-25T00:00:00"/>
    <d v="2022-12-15T00:00:00"/>
    <m/>
    <s v="Conv-A DONE"/>
    <s v="Conv-A DONE"/>
    <s v="Conv-A DONE"/>
    <s v="Conv-A DONE"/>
    <m/>
    <s v="Conv-A DONE"/>
    <m/>
    <m/>
    <m/>
    <m/>
    <m/>
    <m/>
    <s v="Done"/>
    <m/>
    <d v="2023-12-14T00:00:00"/>
    <d v="2024-06-18T00:00:00"/>
    <d v="2024-06-18T00:00:00"/>
    <d v="2023-08-28T00:00:00"/>
    <d v="2023-08-28T00:00:00"/>
    <d v="2023-08-28T00:00:00"/>
    <m/>
    <d v="2024-06-18T00:00:00"/>
    <m/>
  </r>
  <r>
    <n v="106"/>
    <n v="37137"/>
    <s v="HLC-B"/>
    <s v="STB1L0405 HLCD"/>
    <x v="4"/>
    <s v="NCR"/>
    <s v="DEL"/>
    <d v="2019-03-29T00:00:00"/>
    <n v="405"/>
    <s v="Nashik"/>
    <s v="M-U7D2S04V.005,_x000a_MO-U7F2S240.005"/>
    <s v="Done"/>
    <s v="UAT2Y440.012"/>
    <s v="Done"/>
    <d v="2022-04-25T00:00:00"/>
    <d v="2022-12-15T00:00:00"/>
    <m/>
    <s v="Conv-A DONE"/>
    <s v="Conv-B DONE"/>
    <s v="Conv-B DONE"/>
    <s v="Conv-B DONE"/>
    <m/>
    <s v="Conv-B DONE"/>
    <m/>
    <m/>
    <m/>
    <m/>
    <m/>
    <m/>
    <s v="Done"/>
    <m/>
    <d v="2023-12-14T00:00:00"/>
    <d v="2024-06-18T00:00:00"/>
    <d v="2024-06-18T00:00:00"/>
    <d v="2023-08-28T00:00:00"/>
    <d v="2023-08-28T00:00:00"/>
    <d v="2023-08-28T00:00:00"/>
    <m/>
    <d v="2024-06-18T00:00:00"/>
    <m/>
  </r>
  <r>
    <n v="107"/>
    <n v="37141"/>
    <s v="HLC-A"/>
    <s v="STBDK0366 HLCD"/>
    <x v="4"/>
    <s v="NCR"/>
    <s v="DEL"/>
    <d v="2019-04-15T00:00:00"/>
    <n v="366"/>
    <s v="Nashik"/>
    <s v="M-U7D2S04V.005,_x000a_MO-U7F2S240.005"/>
    <d v="2022-03-31T00:00:00"/>
    <s v="UAT2Y440.012"/>
    <m/>
    <d v="2022-03-31T00:00:00"/>
    <m/>
    <m/>
    <s v="Conv-A DONE"/>
    <s v="Conv-A DONE"/>
    <s v="Conv-A DONE"/>
    <s v="Conv-A DONE"/>
    <m/>
    <s v="Conv-A DONE"/>
    <m/>
    <m/>
    <m/>
    <m/>
    <s v="EL20K03019"/>
    <m/>
    <s v="Done"/>
    <m/>
    <d v="2023-06-16T00:00:00"/>
    <s v="30.07.2024"/>
    <s v="30.07.2024"/>
    <d v="2023-08-15T00:00:00"/>
    <d v="2024-02-07T00:00:00"/>
    <d v="2024-02-07T00:00:00"/>
    <m/>
    <s v="07.09.2024"/>
    <m/>
  </r>
  <r>
    <n v="108"/>
    <n v="37141"/>
    <s v="HLC-B"/>
    <s v="STBNK0335 HLCD"/>
    <x v="4"/>
    <s v="NCR"/>
    <s v="DEL"/>
    <d v="2019-04-15T00:00:00"/>
    <n v="335"/>
    <s v="Nashik"/>
    <s v="M-U7D2S04V.005,_x000a_MO-U7F2S240.005"/>
    <d v="2022-03-31T00:00:00"/>
    <s v="UAT2Y440.012"/>
    <m/>
    <d v="2022-03-31T00:00:00"/>
    <m/>
    <m/>
    <s v="Conv-B DONE"/>
    <s v="Conv-B DONE"/>
    <s v="Conv-B DONE"/>
    <s v="Conv-B DONE"/>
    <m/>
    <s v="Conv-B DONE"/>
    <s v="Conv-B DONE"/>
    <m/>
    <m/>
    <m/>
    <s v="EL20L01020"/>
    <m/>
    <s v="Done"/>
    <m/>
    <d v="2023-06-16T00:00:00"/>
    <s v="30.07.2024"/>
    <s v="30.07.2024"/>
    <d v="2023-08-15T00:00:00"/>
    <d v="2024-02-08T00:00:00"/>
    <d v="2024-02-07T00:00:00"/>
    <m/>
    <s v="07.09.2024"/>
    <m/>
  </r>
  <r>
    <n v="109"/>
    <n v="37146"/>
    <s v="HLC-A"/>
    <s v="STBDK0364 HLCD"/>
    <x v="4"/>
    <s v="NCR"/>
    <s v="DEL"/>
    <d v="2019-04-18T00:00:00"/>
    <n v="364"/>
    <s v="Nashik"/>
    <s v="M-U7D2S04V.005,_x000a_MO-U7F2S240.005"/>
    <d v="2020-11-15T00:00:00"/>
    <s v="UAT2Y440.012"/>
    <d v="2020-11-15T00:00:00"/>
    <d v="2022-04-01T00:00:00"/>
    <m/>
    <m/>
    <s v="Conv-A DONE"/>
    <s v="Conv-A DONE"/>
    <s v="Conv-A DONE"/>
    <s v="Conv-A DONE"/>
    <m/>
    <s v="Conv-A DONE"/>
    <s v="Conv-A DONE"/>
    <m/>
    <m/>
    <m/>
    <s v="EL18G03041"/>
    <m/>
    <s v="Done"/>
    <m/>
    <d v="2024-01-17T00:00:00"/>
    <d v="2024-06-18T00:00:00"/>
    <d v="2024-06-18T00:00:00"/>
    <d v="2023-08-20T00:00:00"/>
    <d v="2024-01-17T00:00:00"/>
    <s v="09.08.2024"/>
    <m/>
    <s v="09.08.2024"/>
    <m/>
  </r>
  <r>
    <n v="110"/>
    <n v="37146"/>
    <s v="HLC-B"/>
    <s v="STBNK0338 HLCD"/>
    <x v="4"/>
    <s v="NCR"/>
    <s v="DEL"/>
    <d v="2019-04-18T00:00:00"/>
    <n v="338"/>
    <s v="Nashik"/>
    <s v="M-U7D2S04V.005,_x000a_MO-U7F2S240.005"/>
    <d v="2020-11-15T00:00:00"/>
    <s v="UAT2Y440.012"/>
    <d v="2020-11-15T00:00:00"/>
    <d v="2022-04-01T00:00:00"/>
    <m/>
    <m/>
    <s v="Conv-B DONE"/>
    <s v="Conv-B DONE"/>
    <s v="Conv-B DONE"/>
    <s v="Conv-B DONE"/>
    <m/>
    <s v="Conv-B DONE"/>
    <s v="Conv-B DONE"/>
    <m/>
    <m/>
    <m/>
    <s v="EL19B01014"/>
    <m/>
    <s v="Done"/>
    <m/>
    <d v="2024-01-17T00:00:00"/>
    <d v="2024-06-18T00:00:00"/>
    <d v="2024-06-18T00:00:00"/>
    <d v="2023-08-20T00:00:00"/>
    <d v="2024-01-17T00:00:00"/>
    <s v="09.08.2024"/>
    <m/>
    <s v="09.08.2024"/>
    <m/>
  </r>
  <r>
    <n v="111"/>
    <n v="37174"/>
    <s v="HLC-A"/>
    <s v="STB2L0434 HLCD"/>
    <x v="4"/>
    <s v="NCR"/>
    <s v="DEL"/>
    <d v="2019-05-18T00:00:00"/>
    <n v="434"/>
    <s v="Nashik"/>
    <s v="M-U7D2S04V.005,_x000a_MO-U7F2S240.005"/>
    <d v="2020-11-09T00:00:00"/>
    <s v="UAT2Y440.012"/>
    <d v="2020-11-09T00:00:00"/>
    <d v="2022-02-15T00:00:00"/>
    <m/>
    <m/>
    <s v="Conv-A DONE"/>
    <s v="Conv-A DONE"/>
    <s v="Conv-A DONE"/>
    <s v="Conv-A DONE"/>
    <m/>
    <m/>
    <s v="Conv-A DONE"/>
    <m/>
    <m/>
    <m/>
    <m/>
    <m/>
    <s v="Done"/>
    <m/>
    <d v="2023-12-20T00:00:00"/>
    <d v="2024-07-09T00:00:00"/>
    <d v="2024-07-09T00:00:00"/>
    <d v="2023-12-20T00:00:00"/>
    <d v="2023-12-20T00:00:00"/>
    <d v="2024-07-08T00:00:00"/>
    <m/>
    <d v="2024-07-09T00:00:00"/>
    <m/>
  </r>
  <r>
    <n v="112"/>
    <n v="37174"/>
    <s v="HLC-B"/>
    <s v="STB2L0428 HLCD"/>
    <x v="4"/>
    <s v="NCR"/>
    <s v="DEL"/>
    <d v="2019-05-18T00:00:00"/>
    <n v="428"/>
    <s v="Nashik"/>
    <s v="M-U7D2S04V.005,_x000a_MO-U7F2S240.005"/>
    <d v="2020-11-09T00:00:00"/>
    <s v="UAT2Y440.012"/>
    <d v="2020-11-09T00:00:00"/>
    <d v="2022-02-15T00:00:00"/>
    <m/>
    <m/>
    <s v="Conv-B DONE"/>
    <s v="Conv-B DONE"/>
    <s v="Conv-B DONE"/>
    <s v="Conv-B DONE"/>
    <m/>
    <m/>
    <m/>
    <m/>
    <m/>
    <m/>
    <m/>
    <m/>
    <s v="Done"/>
    <m/>
    <d v="2023-12-20T00:00:00"/>
    <d v="2024-07-09T00:00:00"/>
    <d v="2024-07-09T00:00:00"/>
    <d v="2023-12-20T00:00:00"/>
    <d v="2023-12-20T00:00:00"/>
    <d v="2024-07-09T00:00:00"/>
    <m/>
    <d v="2024-07-09T00:00:00"/>
    <m/>
  </r>
  <r>
    <n v="113"/>
    <n v="37177"/>
    <s v="HLC-A"/>
    <s v="STB4L0459 HLCD"/>
    <x v="4"/>
    <s v="NCR"/>
    <s v="DEL"/>
    <d v="2019-05-20T00:00:00"/>
    <n v="459"/>
    <s v="Nashik"/>
    <s v="M-U7D2S04V.005,_x000a_MO-U7F2S240.005"/>
    <d v="2020-11-04T00:00:00"/>
    <s v="UAT2Y440.012"/>
    <d v="2020-11-04T00:00:00"/>
    <m/>
    <m/>
    <m/>
    <s v="Conv-A DONE"/>
    <s v="Conv-A DONE"/>
    <s v="Conv-A DONE"/>
    <s v="Conv-A DONE"/>
    <m/>
    <m/>
    <m/>
    <m/>
    <m/>
    <m/>
    <m/>
    <m/>
    <s v="Done"/>
    <m/>
    <d v="2024-01-13T00:00:00"/>
    <s v="11.08.2024"/>
    <s v="11.08.2024"/>
    <d v="2024-01-13T00:00:00"/>
    <d v="2024-01-13T00:00:00"/>
    <s v="10.08.2024"/>
    <m/>
    <s v="done"/>
    <m/>
  </r>
  <r>
    <n v="114"/>
    <n v="37177"/>
    <s v="HLC-B"/>
    <s v="STB4L0458 HLCD"/>
    <x v="4"/>
    <s v="NCR"/>
    <s v="DEL"/>
    <d v="2019-05-20T00:00:00"/>
    <n v="458"/>
    <s v="Nashik"/>
    <s v="M-U7D2S04V.005,_x000a_MO-U7F2S240.005"/>
    <d v="2020-11-04T00:00:00"/>
    <s v="UAT2Y440.012"/>
    <d v="2020-11-04T00:00:00"/>
    <m/>
    <m/>
    <m/>
    <s v="Conv-B DONE"/>
    <s v="Conv-B DONE"/>
    <s v="Conv-B DONE"/>
    <s v="Conv-B DONE"/>
    <m/>
    <m/>
    <m/>
    <m/>
    <m/>
    <m/>
    <d v="2022-08-25T00:00:00"/>
    <m/>
    <s v="Done"/>
    <m/>
    <d v="2024-01-13T00:00:00"/>
    <s v="11.08.2024"/>
    <s v="11.08.2024"/>
    <d v="2024-01-13T00:00:00"/>
    <d v="2024-01-13T00:00:00"/>
    <s v="10.08.2024"/>
    <m/>
    <s v="done"/>
    <m/>
  </r>
  <r>
    <n v="115"/>
    <n v="37196"/>
    <s v="HLC-A"/>
    <s v="STB4L0476 HLCD"/>
    <x v="4"/>
    <s v="NCR"/>
    <s v="DEL"/>
    <d v="2019-06-19T00:00:00"/>
    <n v="476"/>
    <s v="Nashik"/>
    <s v="M-U7D2S04V.005,_x000a_MO-U7F2S240.005"/>
    <d v="2021-01-13T00:00:00"/>
    <s v="UAT2Y440.012"/>
    <d v="2021-01-13T00:00:00"/>
    <d v="2021-04-20T00:00:00"/>
    <m/>
    <m/>
    <s v="Conv-A DONE"/>
    <s v="Conv-A DONE"/>
    <s v="Conv-A DONE"/>
    <s v="Conv-A DONE"/>
    <m/>
    <s v="Conv-A DONE"/>
    <m/>
    <m/>
    <m/>
    <m/>
    <m/>
    <m/>
    <s v="Done"/>
    <m/>
    <d v="2023-12-15T00:00:00"/>
    <d v="2024-07-06T00:00:00"/>
    <d v="2024-07-06T00:00:00"/>
    <d v="2023-12-15T00:00:00"/>
    <d v="2023-12-15T00:00:00"/>
    <d v="2024-07-06T00:00:00"/>
    <m/>
    <d v="2024-07-06T00:00:00"/>
    <m/>
  </r>
  <r>
    <n v="116"/>
    <n v="37196"/>
    <s v="HLC-B"/>
    <s v="STB4L0477 HLCD"/>
    <x v="4"/>
    <s v="NCR"/>
    <s v="DEL"/>
    <d v="2019-06-19T00:00:00"/>
    <n v="477"/>
    <s v="Nashik"/>
    <s v="M-U7D2S04V.005,_x000a_MO-U7F2S240.005"/>
    <d v="2021-01-13T00:00:00"/>
    <s v="UAT2Y440.012"/>
    <d v="2022-04-02T00:00:00"/>
    <m/>
    <m/>
    <m/>
    <s v="Conv-B DONE"/>
    <s v="Conv-B DONE"/>
    <s v="Conv-B DONE"/>
    <s v="Conv-B DONE"/>
    <m/>
    <s v="Conv-B DONE"/>
    <m/>
    <m/>
    <m/>
    <m/>
    <m/>
    <m/>
    <s v="Done"/>
    <m/>
    <d v="2023-12-15T00:00:00"/>
    <d v="2024-07-06T00:00:00"/>
    <d v="2024-07-06T00:00:00"/>
    <d v="2023-12-15T00:00:00"/>
    <d v="2023-12-15T00:00:00"/>
    <d v="2024-07-06T00:00:00"/>
    <m/>
    <d v="2024-07-06T00:00:00"/>
    <m/>
  </r>
  <r>
    <n v="117"/>
    <n v="37220"/>
    <s v="HLC-A"/>
    <s v="STB5L0505 HLCD"/>
    <x v="4"/>
    <s v="NCR"/>
    <s v="DEL"/>
    <d v="2019-07-30T00:00:00"/>
    <n v="505"/>
    <s v="Nashik"/>
    <s v="M-U7D2S04V.005,_x000a_MO-U7F2S240.005"/>
    <s v="Done"/>
    <s v="UAT2Y440.012"/>
    <s v="Done"/>
    <m/>
    <m/>
    <s v="Done by NW"/>
    <s v="Conv-A DONE"/>
    <s v="Conv-A DONE"/>
    <s v="Conv-A DONE"/>
    <s v="Conv-A DONE"/>
    <m/>
    <m/>
    <m/>
    <m/>
    <m/>
    <m/>
    <s v="EL18K02020"/>
    <m/>
    <s v="Done"/>
    <m/>
    <d v="2023-06-16T00:00:00"/>
    <d v="2024-07-04T00:00:00"/>
    <d v="2024-07-04T00:00:00"/>
    <d v="2023-06-16T00:00:00"/>
    <d v="2023-06-16T00:00:00"/>
    <d v="2023-06-16T00:00:00"/>
    <m/>
    <s v="14.10.2024"/>
    <m/>
  </r>
  <r>
    <n v="118"/>
    <n v="37220"/>
    <s v="HLC-B"/>
    <s v="STB5L0504 HLCD"/>
    <x v="4"/>
    <s v="NCR"/>
    <s v="DEL"/>
    <d v="2019-07-30T00:00:00"/>
    <n v="504"/>
    <s v="Nashik"/>
    <s v="M-U7D2S04V.005,_x000a_MO-U7F2S240.005"/>
    <s v="Done"/>
    <s v="UAT2Y440.012"/>
    <s v="Done"/>
    <m/>
    <m/>
    <m/>
    <s v="Conv-B DONE"/>
    <s v="Conv-B DONE"/>
    <s v="Conv-B DONE"/>
    <s v="Conv-B DONE"/>
    <m/>
    <m/>
    <m/>
    <m/>
    <m/>
    <m/>
    <s v="EL18B07023"/>
    <m/>
    <s v="Done"/>
    <m/>
    <d v="2023-06-16T00:00:00"/>
    <d v="2024-07-04T00:00:00"/>
    <d v="2024-07-04T00:00:00"/>
    <d v="2023-06-16T00:00:00"/>
    <d v="2023-06-16T00:00:00"/>
    <d v="2023-06-16T00:00:00"/>
    <m/>
    <s v="14.10.2024"/>
    <m/>
  </r>
  <r>
    <n v="119"/>
    <n v="37221"/>
    <s v="HLC-A"/>
    <s v="STB5L0516 HLCD"/>
    <x v="4"/>
    <s v="NCR"/>
    <s v="DEL"/>
    <d v="2019-07-31T00:00:00"/>
    <n v="516"/>
    <s v="Nashik"/>
    <s v="M-U7D2S04V.005,_x000a_MO-U7F2S240.005"/>
    <d v="2022-10-05T00:00:00"/>
    <s v="U9S2Y440.011"/>
    <d v="2022-10-05T00:00:00"/>
    <d v="2022-10-05T00:00:00"/>
    <d v="2022-12-03T00:00:00"/>
    <s v="Done by NW"/>
    <s v="Conv-A DONE"/>
    <s v="Conv-A DONE"/>
    <s v="Conv-A DONE"/>
    <s v="Conv-A DONE"/>
    <m/>
    <m/>
    <m/>
    <m/>
    <m/>
    <m/>
    <s v="EL20L05007"/>
    <m/>
    <s v="Conv-A DONE"/>
    <s v="Conv-A done"/>
    <m/>
    <s v="17.07.2024"/>
    <s v="17.07.2024"/>
    <d v="2024-03-23T00:00:00"/>
    <m/>
    <s v="16.06.2023"/>
    <m/>
    <s v="done"/>
    <m/>
  </r>
  <r>
    <n v="120"/>
    <n v="37221"/>
    <s v="HLC-B"/>
    <s v="STB5L0517 HLCD"/>
    <x v="4"/>
    <s v="NCR"/>
    <s v="DEL"/>
    <d v="2019-07-31T00:00:00"/>
    <n v="517"/>
    <s v="Nashik"/>
    <s v="M-U7D2S04V.005,_x000a_MO-U7F2S240.005"/>
    <d v="2022-10-05T00:00:00"/>
    <s v="U9S2Y440.011"/>
    <d v="2022-10-05T00:00:00"/>
    <d v="2022-10-05T00:00:00"/>
    <d v="2022-12-03T00:00:00"/>
    <s v="Done by NW"/>
    <s v="Conv-B DONE"/>
    <s v="Conv-B DONE"/>
    <s v="Conv-B DONE"/>
    <s v="Conv-B DONE"/>
    <m/>
    <m/>
    <m/>
    <m/>
    <m/>
    <m/>
    <s v="EL20L05004"/>
    <m/>
    <s v="Conv-B DONE"/>
    <m/>
    <d v="2024-03-23T00:00:00"/>
    <s v="17.07.2024"/>
    <s v="17.07.2024"/>
    <d v="2024-03-23T00:00:00"/>
    <d v="2024-03-23T00:00:00"/>
    <d v="2024-03-23T00:00:00"/>
    <m/>
    <s v="done"/>
    <m/>
  </r>
  <r>
    <m/>
    <m/>
    <m/>
    <m/>
    <x v="5"/>
    <m/>
    <m/>
    <m/>
    <m/>
    <m/>
    <m/>
    <m/>
    <s v="UAT2Y440.012"/>
    <s v="Done"/>
    <m/>
    <m/>
    <m/>
    <m/>
    <m/>
    <m/>
    <m/>
    <m/>
    <m/>
    <m/>
    <m/>
    <m/>
    <m/>
    <m/>
    <m/>
    <m/>
    <m/>
    <m/>
    <m/>
    <s v="26.07.2024"/>
    <m/>
    <m/>
    <m/>
    <m/>
    <m/>
    <m/>
  </r>
  <r>
    <m/>
    <m/>
    <m/>
    <m/>
    <x v="5"/>
    <m/>
    <m/>
    <m/>
    <m/>
    <m/>
    <m/>
    <m/>
    <s v="UAT2Y440.012"/>
    <d v="2021-02-11T00:00:00"/>
    <m/>
    <m/>
    <m/>
    <m/>
    <m/>
    <m/>
    <m/>
    <m/>
    <m/>
    <m/>
    <m/>
    <m/>
    <m/>
    <m/>
    <m/>
    <m/>
    <m/>
    <m/>
    <m/>
    <s v="26.07.2024"/>
    <m/>
    <m/>
    <m/>
    <m/>
    <m/>
    <m/>
  </r>
  <r>
    <n v="123"/>
    <n v="37380"/>
    <s v="HLC-A"/>
    <s v="STB7L0594 HLCD"/>
    <x v="4"/>
    <s v="NCR"/>
    <s v="DEL"/>
    <d v="2020-06-30T00:00:00"/>
    <n v="594"/>
    <s v="Nashik"/>
    <s v="M-U7D2S04V.005,_x000a_MO-U7F2S240.006"/>
    <m/>
    <s v="UAT2Y440.012"/>
    <m/>
    <m/>
    <m/>
    <s v="Done by NW"/>
    <s v="Done by NW"/>
    <s v="Conv-A DONE"/>
    <s v="Conv-A DONE"/>
    <s v="Conv-A DONE"/>
    <m/>
    <s v="Conv-A DONE"/>
    <m/>
    <m/>
    <m/>
    <m/>
    <m/>
    <m/>
    <s v="Done"/>
    <d v="2022-10-20T00:00:00"/>
    <d v="2024-03-09T00:00:00"/>
    <s v="26.07.2024"/>
    <d v="2024-07-10T00:00:00"/>
    <d v="2023-10-10T00:00:00"/>
    <s v="Done"/>
    <s v="26.07.2024"/>
    <m/>
    <s v="26.07.2024"/>
    <m/>
  </r>
  <r>
    <n v="124"/>
    <n v="37380"/>
    <s v="HLC-B"/>
    <s v="STBDL0753 HLCD"/>
    <x v="4"/>
    <s v="NCR"/>
    <s v="DEL"/>
    <d v="2020-06-30T00:00:00"/>
    <n v="753"/>
    <s v="Nashik"/>
    <s v="M-U7D2S04V.005,_x000a_MO-U7F2S240.007"/>
    <m/>
    <s v="UAT2Y440.012"/>
    <m/>
    <m/>
    <m/>
    <s v="Done by NW"/>
    <s v="Done by NW"/>
    <s v="Conv-B DONE"/>
    <s v="Conv-B DONE"/>
    <s v="Conv-B DONE"/>
    <m/>
    <s v="Conv-B DONE"/>
    <m/>
    <m/>
    <m/>
    <m/>
    <m/>
    <m/>
    <s v="Done"/>
    <m/>
    <m/>
    <s v="26.07.2024"/>
    <d v="2024-07-10T00:00:00"/>
    <d v="2023-10-10T00:00:00"/>
    <s v="Done"/>
    <s v="26.07.2024"/>
    <m/>
    <s v="26.07.2024"/>
    <m/>
  </r>
  <r>
    <n v="125"/>
    <n v="37381"/>
    <s v="HLC-A"/>
    <s v="STB7N0710"/>
    <x v="4"/>
    <s v="NCR"/>
    <s v="DEL"/>
    <d v="2020-06-30T00:00:00"/>
    <n v="710"/>
    <s v="Nashik"/>
    <s v="M-U7D2S04V.005,_x000a_MO-U7F2S240.005"/>
    <d v="2020-11-17T00:00:00"/>
    <s v="UAT2Y440.012"/>
    <d v="2020-11-17T00:00:00"/>
    <d v="2021-03-21T00:00:00"/>
    <m/>
    <s v="Done by NW"/>
    <s v="Done by NW"/>
    <s v="Conv-A DONE"/>
    <s v="Conv-A DONE"/>
    <s v="Conv-A DONE"/>
    <m/>
    <m/>
    <m/>
    <m/>
    <m/>
    <m/>
    <m/>
    <m/>
    <s v="Done"/>
    <m/>
    <d v="2923-12-19T00:00:00"/>
    <d v="2024-07-10T00:00:00"/>
    <d v="2024-06-25T00:00:00"/>
    <d v="2923-12-19T00:00:00"/>
    <d v="2923-12-19T00:00:00"/>
    <s v="13.07.2024"/>
    <m/>
    <d v="2024-07-10T00:00:00"/>
    <m/>
  </r>
  <r>
    <n v="126"/>
    <n v="37381"/>
    <s v="HLC-B"/>
    <s v="STBDL0758"/>
    <x v="4"/>
    <s v="NCR"/>
    <s v="DEL"/>
    <d v="2020-06-30T00:00:00"/>
    <n v="758"/>
    <s v="Nashik"/>
    <s v="M-U7D2S04V.005,_x000a_MO-U7F2S240.005"/>
    <d v="2020-11-17T00:00:00"/>
    <s v="UAT2Y440.012"/>
    <d v="2020-11-17T00:00:00"/>
    <d v="2021-03-21T00:00:00"/>
    <m/>
    <s v="Done by NW"/>
    <s v="Done by NW"/>
    <s v="Conv-B DONE"/>
    <s v="Conv-B DONE"/>
    <s v="Conv-B DONE"/>
    <m/>
    <m/>
    <m/>
    <m/>
    <m/>
    <m/>
    <s v="EL20L01014"/>
    <m/>
    <s v="Done"/>
    <m/>
    <d v="2923-12-19T00:00:00"/>
    <d v="2024-07-10T00:00:00"/>
    <d v="2024-06-25T00:00:00"/>
    <d v="2923-12-19T00:00:00"/>
    <d v="2923-12-19T00:00:00"/>
    <s v="13.07.2024"/>
    <m/>
    <d v="2024-07-10T00:00:00"/>
    <m/>
  </r>
  <r>
    <n v="127"/>
    <n v="37426"/>
    <s v="HLC-A"/>
    <s v="STB5M0808"/>
    <x v="4"/>
    <s v="NCR"/>
    <s v="DEL"/>
    <d v="2020-08-19T00:00:00"/>
    <n v="808"/>
    <s v="Nashik"/>
    <m/>
    <m/>
    <m/>
    <m/>
    <m/>
    <m/>
    <s v="Done by NW"/>
    <s v="Done by NW"/>
    <s v="Conv-A DONE"/>
    <s v="Conv-A DONE"/>
    <m/>
    <m/>
    <m/>
    <s v="Done by NW"/>
    <m/>
    <m/>
    <m/>
    <m/>
    <m/>
    <s v="Done"/>
    <m/>
    <d v="2024-01-11T00:00:00"/>
    <d v="2024-06-25T00:00:00"/>
    <s v="12.07.2024"/>
    <d v="2024-01-11T00:00:00"/>
    <d v="2024-01-11T00:00:00"/>
    <d v="2024-06-25T00:00:00"/>
    <m/>
    <s v="23.07.2024"/>
    <m/>
  </r>
  <r>
    <n v="128"/>
    <n v="37426"/>
    <s v="HLC-B"/>
    <s v="STB5M0809"/>
    <x v="4"/>
    <s v="NCR"/>
    <s v="DEL"/>
    <d v="2020-08-19T00:00:00"/>
    <n v="809"/>
    <s v="Nashik"/>
    <m/>
    <m/>
    <m/>
    <m/>
    <m/>
    <m/>
    <s v="Done by NW"/>
    <s v="Done by NW"/>
    <s v="Conv-B DONE"/>
    <s v="Conv-B DONE"/>
    <m/>
    <m/>
    <m/>
    <s v="Done by NW"/>
    <m/>
    <m/>
    <m/>
    <m/>
    <m/>
    <s v="Done"/>
    <m/>
    <d v="2024-01-11T00:00:00"/>
    <d v="2024-06-25T00:00:00"/>
    <s v="12.07.2024"/>
    <d v="2024-01-11T00:00:00"/>
    <d v="2024-01-11T00:00:00"/>
    <d v="2024-06-25T00:00:00"/>
    <m/>
    <s v="23.07.2024"/>
    <m/>
  </r>
  <r>
    <n v="129"/>
    <n v="37440"/>
    <s v="HLC-A"/>
    <s v="STB6M0847"/>
    <x v="4"/>
    <s v="NCR"/>
    <s v="DEL"/>
    <d v="2020-09-03T00:00:00"/>
    <n v="847"/>
    <s v="Nashik"/>
    <s v="M-U7D2S04V.005,_x000a_MO-U7F2S240.005"/>
    <d v="2022-09-30T00:00:00"/>
    <s v="UAT2Y440.012"/>
    <d v="2022-09-30T00:00:00"/>
    <m/>
    <m/>
    <s v="Done by NW"/>
    <s v="Done by NW"/>
    <s v="Conv-A DONE"/>
    <s v="Conv-A DONE"/>
    <s v="Conv-A DONE"/>
    <m/>
    <m/>
    <s v="Done by NW"/>
    <m/>
    <m/>
    <m/>
    <m/>
    <m/>
    <s v="Conv-A DONE"/>
    <s v="Conv-A done"/>
    <m/>
    <s v="12.07.2024"/>
    <d v="2024-07-18T00:00:00"/>
    <d v="2023-10-10T00:00:00"/>
    <s v="Done"/>
    <s v="15.07.2024"/>
    <m/>
    <s v="03.09.2024"/>
    <m/>
  </r>
  <r>
    <n v="130"/>
    <n v="37440"/>
    <s v="HLC-B"/>
    <s v="STB6M0840"/>
    <x v="4"/>
    <s v="NCR"/>
    <s v="DEL"/>
    <d v="2020-09-03T00:00:00"/>
    <n v="840"/>
    <s v="Nashik"/>
    <s v="M-U7D2S04V.005,_x000a_MO-U7F2S240.005"/>
    <d v="2022-09-30T00:00:00"/>
    <s v="UAT2Y440.012"/>
    <d v="2022-09-30T00:00:00"/>
    <m/>
    <m/>
    <s v="Done by NW"/>
    <s v="Done by NW"/>
    <s v="Conv-B DONE"/>
    <s v="Conv-B DONE"/>
    <s v="Conv-B DONE"/>
    <m/>
    <m/>
    <s v="Done by NW"/>
    <m/>
    <m/>
    <m/>
    <m/>
    <m/>
    <s v="Conv-B DONE"/>
    <m/>
    <m/>
    <s v="12.07.2024"/>
    <d v="2024-07-18T00:00:00"/>
    <d v="2023-10-10T00:00:00"/>
    <s v="Done "/>
    <s v="15.07.2024"/>
    <m/>
    <s v="03.09.2024"/>
    <m/>
  </r>
  <r>
    <n v="131"/>
    <n v="37458"/>
    <s v="HLC-A"/>
    <s v="STB8M0933"/>
    <x v="4"/>
    <s v="NCR"/>
    <s v="DEL"/>
    <d v="2020-10-29T00:00:00"/>
    <n v="933"/>
    <s v="Nashik"/>
    <s v="M-U7D2S04V.005,_x000a_MO-U7F2S240.005"/>
    <s v="Done by NW"/>
    <m/>
    <m/>
    <m/>
    <m/>
    <s v="Done by NW"/>
    <s v="Done by NW"/>
    <s v="Conv-A DONE"/>
    <s v="Conv-A DONE"/>
    <m/>
    <m/>
    <m/>
    <s v="Done by NW"/>
    <m/>
    <m/>
    <m/>
    <m/>
    <m/>
    <s v="Conv-A DONE"/>
    <m/>
    <m/>
    <d v="2024-07-18T00:00:00"/>
    <d v="2024-05-15T00:00:00"/>
    <d v="2023-11-14T00:00:00"/>
    <d v="2024-04-19T00:00:00"/>
    <d v="2024-04-19T00:00:00"/>
    <m/>
    <s v="17.08.2024"/>
    <m/>
  </r>
  <r>
    <n v="132"/>
    <n v="37458"/>
    <s v="HLC-B"/>
    <s v="STB8M0932"/>
    <x v="4"/>
    <s v="NCR"/>
    <s v="DEL"/>
    <d v="2020-10-29T00:00:00"/>
    <n v="932"/>
    <s v="Nashik"/>
    <s v="M-U7D2S04V.005,_x000a_MO-U7F2S240.005"/>
    <s v="Done by NW"/>
    <m/>
    <m/>
    <m/>
    <m/>
    <s v="Done by NW"/>
    <s v="Done by NW"/>
    <s v="Conv-B DONE"/>
    <s v="Conv-B DONE"/>
    <m/>
    <m/>
    <m/>
    <s v="Done by NW"/>
    <m/>
    <m/>
    <m/>
    <m/>
    <m/>
    <s v="Conv-B DONE"/>
    <m/>
    <m/>
    <d v="2024-07-18T00:00:00"/>
    <d v="2024-05-15T00:00:00"/>
    <d v="2023-11-14T00:00:00"/>
    <d v="2024-04-19T00:00:00"/>
    <d v="2024-04-19T00:00:00"/>
    <m/>
    <s v="17.08.2024"/>
    <m/>
  </r>
  <r>
    <n v="133"/>
    <n v="37468"/>
    <s v="HLC-A"/>
    <s v="STB9M0972HLCD"/>
    <x v="4"/>
    <s v="NCR"/>
    <s v="DEL"/>
    <d v="2020-10-30T00:00:00"/>
    <n v="972"/>
    <s v="Nashik"/>
    <s v="M-U7D2S04V.005,_x000a_MO-U7F2S240.005"/>
    <s v="Done by NW"/>
    <s v="UAT2Y440.012"/>
    <d v="2020-11-11T00:00:00"/>
    <d v="2022-03-01T00:00:00"/>
    <m/>
    <s v="Done by NW"/>
    <s v="Done by NW"/>
    <s v="Conv-A DONE"/>
    <s v="Conv-A DONE"/>
    <s v="Conv-A DONE"/>
    <m/>
    <m/>
    <s v="Done by NW"/>
    <m/>
    <m/>
    <m/>
    <m/>
    <m/>
    <s v="Done"/>
    <m/>
    <m/>
    <d v="2024-05-15T00:00:00"/>
    <s v="23.07.2024"/>
    <d v="2023-12-20T00:00:00"/>
    <s v="Done"/>
    <m/>
    <m/>
    <s v="done"/>
    <m/>
  </r>
  <r>
    <n v="134"/>
    <n v="37468"/>
    <s v="HLC-B"/>
    <s v="STB9M0973HLCD"/>
    <x v="4"/>
    <s v="NCR"/>
    <s v="DEL"/>
    <d v="2020-10-30T00:00:00"/>
    <n v="973"/>
    <s v="Nashik"/>
    <s v="M-U7D2S04V.005,_x000a_MO-U7F2S240.005"/>
    <s v="Done by NW"/>
    <s v="UAT2Y440.012"/>
    <d v="2020-11-11T00:00:00"/>
    <d v="2022-03-01T00:00:00"/>
    <m/>
    <s v="Done by NW"/>
    <s v="Done by NW"/>
    <s v="Conv-B DONE"/>
    <s v="Conv-B DONE"/>
    <s v="Conv-B DONE"/>
    <m/>
    <m/>
    <s v="Done by NW"/>
    <m/>
    <m/>
    <m/>
    <m/>
    <m/>
    <s v="Done"/>
    <m/>
    <m/>
    <d v="2024-05-15T00:00:00"/>
    <s v="23.07.2024"/>
    <d v="2023-12-20T00:00:00"/>
    <s v="Done"/>
    <m/>
    <m/>
    <s v="done"/>
    <m/>
  </r>
  <r>
    <n v="135"/>
    <n v="37510"/>
    <s v="HLC-A"/>
    <s v="STB6M0842 HLCD"/>
    <x v="4"/>
    <s v="NCR"/>
    <s v="DEL"/>
    <d v="2020-12-27T00:00:00"/>
    <n v="842"/>
    <s v="Nashik"/>
    <s v="M-U7D2S04V.005,_x000a_MO-U7F2S240.005"/>
    <s v="Done"/>
    <s v="UAT2Y440.012"/>
    <s v="Done"/>
    <d v="2022-02-05T00:00:00"/>
    <m/>
    <s v="Done by NW"/>
    <s v="Done by NW"/>
    <s v="Conv-A DONE"/>
    <s v="Conv-A DONE"/>
    <s v="Conv-A DONE"/>
    <m/>
    <m/>
    <s v="Done by NW"/>
    <m/>
    <m/>
    <m/>
    <m/>
    <m/>
    <s v="Done"/>
    <m/>
    <m/>
    <s v="23.07.2024"/>
    <d v="2024-06-23T00:00:00"/>
    <d v="2023-12-20T00:00:00"/>
    <s v="Done by NW"/>
    <s v="22.07.2024"/>
    <m/>
    <s v="23.07.2024"/>
    <m/>
  </r>
  <r>
    <n v="136"/>
    <n v="37510"/>
    <s v="HLC-B"/>
    <s v="STB8M0947 HLCD"/>
    <x v="4"/>
    <s v="NCR"/>
    <s v="DEL"/>
    <d v="2020-12-27T00:00:00"/>
    <n v="947"/>
    <s v="Nashik"/>
    <s v="M-U7D2S04V.005,_x000a_MO-U7F2S240.005"/>
    <s v="Done by NW"/>
    <s v="UAT2Y440.012"/>
    <s v="Done"/>
    <d v="2022-02-05T00:00:00"/>
    <m/>
    <s v="Done by NW"/>
    <s v="Done by NW"/>
    <s v="Conv-B DONE"/>
    <s v="Conv-B DONE"/>
    <s v="Conv-B DONE"/>
    <m/>
    <m/>
    <s v="Done by NW"/>
    <m/>
    <m/>
    <m/>
    <m/>
    <m/>
    <s v="Done"/>
    <m/>
    <m/>
    <s v="23.07.2024"/>
    <d v="2024-06-23T00:00:00"/>
    <d v="2023-12-20T00:00:00"/>
    <s v="Done by NW"/>
    <s v="22.07.2024"/>
    <m/>
    <s v="23.07.2024"/>
    <m/>
  </r>
  <r>
    <n v="137"/>
    <n v="37512"/>
    <s v="HLC-A"/>
    <s v="STB8M0946HLCD"/>
    <x v="4"/>
    <s v="NCR"/>
    <s v="DEL"/>
    <d v="2020-12-30T00:00:00"/>
    <n v="946"/>
    <s v="Nashik"/>
    <s v="M-U7D2S04V.005,_x000a_MO-U7F2S240.005"/>
    <s v="Done by NW"/>
    <s v="UAT2Y440.012"/>
    <s v="Done"/>
    <d v="2022-02-14T00:00:00"/>
    <m/>
    <s v="Done by NW"/>
    <s v="Done by NW"/>
    <s v="Conv-A DONE"/>
    <s v="Conv-A DONE"/>
    <s v="Conv-A DONE"/>
    <m/>
    <m/>
    <s v="Done by NW"/>
    <m/>
    <m/>
    <m/>
    <m/>
    <m/>
    <s v="Done"/>
    <m/>
    <d v="2023-12-16T00:00:00"/>
    <d v="2024-06-23T00:00:00"/>
    <d v="2024-06-23T00:00:00"/>
    <d v="2023-12-16T00:00:00"/>
    <d v="2023-12-16T00:00:00"/>
    <d v="2024-06-22T00:00:00"/>
    <m/>
    <s v="30.09.2024"/>
    <m/>
  </r>
  <r>
    <n v="138"/>
    <n v="37512"/>
    <s v="HLC-B"/>
    <s v="STB6M0835HLCD "/>
    <x v="4"/>
    <s v="NCR"/>
    <s v="DEL"/>
    <d v="2020-12-30T00:00:00"/>
    <n v="835"/>
    <s v="Nashik"/>
    <s v="M-U7D2S04V.005,_x000a_MO-U7F2S240.005"/>
    <s v="Done"/>
    <s v="UAT2Y440.012"/>
    <s v="Done"/>
    <d v="2022-02-14T00:00:00"/>
    <m/>
    <s v="Done by NW"/>
    <s v="Done by NW"/>
    <s v="Conv-B DONE"/>
    <s v="Conv-B DONE"/>
    <s v="Conv-B DONE"/>
    <m/>
    <m/>
    <s v="Done by NW"/>
    <m/>
    <m/>
    <m/>
    <m/>
    <m/>
    <s v="Done"/>
    <m/>
    <d v="2023-12-16T00:00:00"/>
    <d v="2024-06-23T00:00:00"/>
    <d v="2024-06-23T00:00:00"/>
    <d v="2023-12-16T00:00:00"/>
    <d v="2023-12-16T00:00:00"/>
    <d v="2024-06-23T00:00:00"/>
    <m/>
    <s v="30.09.2024"/>
    <m/>
  </r>
  <r>
    <n v="139"/>
    <n v="39087"/>
    <s v="HLC-A"/>
    <s v="STB4L0482 HLCD"/>
    <x v="4"/>
    <s v="NCR"/>
    <s v="DEL"/>
    <d v="2019-08-20T00:00:00"/>
    <n v="482"/>
    <s v="Nashik"/>
    <s v="M-U7D2S04V.005,_x000a_MO-U7F2S240.005"/>
    <d v="2022-10-24T00:00:00"/>
    <s v="UAT2Y440.012"/>
    <d v="2022-10-04T00:00:00"/>
    <m/>
    <m/>
    <m/>
    <s v="Conv-A DONE"/>
    <s v="Conv-A DONE"/>
    <s v="Conv-A DONE"/>
    <s v="Conv-A DONE"/>
    <m/>
    <s v="Conv-A DONE"/>
    <m/>
    <m/>
    <m/>
    <m/>
    <s v="EL21A01005"/>
    <m/>
    <s v="Done"/>
    <m/>
    <d v="2024-01-03T00:00:00"/>
    <d v="2024-05-29T00:00:00"/>
    <d v="2024-05-29T00:00:00"/>
    <d v="2024-01-03T00:00:00"/>
    <d v="2024-01-03T00:00:00"/>
    <d v="2024-01-03T00:00:00"/>
    <m/>
    <s v="13.09.2024"/>
    <m/>
  </r>
  <r>
    <n v="140"/>
    <n v="39087"/>
    <s v="HLC-B"/>
    <s v="STB4L0489 HLCD"/>
    <x v="4"/>
    <s v="NCR"/>
    <s v="DEL"/>
    <d v="2019-08-20T00:00:00"/>
    <n v="489"/>
    <s v="Nashik"/>
    <s v="M-U7D2S04V.005,_x000a_MO-U7F2S240.005"/>
    <d v="2022-10-24T00:00:00"/>
    <s v="UAT2Y440.012"/>
    <d v="2022-10-04T00:00:00"/>
    <m/>
    <m/>
    <m/>
    <s v="Conv-B DONE"/>
    <s v="Conv-B DONE"/>
    <s v="Conv-B DONE"/>
    <s v="Conv-B DONE"/>
    <m/>
    <s v="Conv-B DONE"/>
    <m/>
    <m/>
    <m/>
    <m/>
    <s v="EL21A01003"/>
    <m/>
    <s v="Done"/>
    <s v="Conv-B done"/>
    <d v="2024-02-03T00:00:00"/>
    <d v="2024-05-29T00:00:00"/>
    <d v="2024-05-29T00:00:00"/>
    <d v="2024-02-13T00:00:00"/>
    <d v="2024-02-13T00:00:00"/>
    <d v="2024-02-13T00:00:00"/>
    <m/>
    <s v="13.09.2024"/>
    <m/>
  </r>
  <r>
    <n v="141"/>
    <n v="39090"/>
    <s v="HLC-A"/>
    <s v="STB5L0525 HLCD"/>
    <x v="4"/>
    <s v="NCR"/>
    <s v="DEL"/>
    <d v="2019-09-02T00:00:00"/>
    <n v="525"/>
    <s v="Nashik"/>
    <s v="M-U7D2S04V.005,_x000a_MO-U7F2S240.005"/>
    <d v="2021-01-13T00:00:00"/>
    <s v="UAT2Y440.012"/>
    <d v="2021-01-13T00:00:00"/>
    <d v="2021-04-09T00:00:00"/>
    <m/>
    <s v="Done by NW"/>
    <s v="Done by NW"/>
    <s v="Conv-A DONE"/>
    <s v="Conv-A DONE"/>
    <s v="Conv-A DONE"/>
    <m/>
    <s v="Conv-A DONE"/>
    <m/>
    <m/>
    <m/>
    <m/>
    <s v="Done "/>
    <m/>
    <s v="Conv-A DONE"/>
    <m/>
    <d v="2024-02-23T00:00:00"/>
    <s v="26.07.2024"/>
    <s v="26.07.2024"/>
    <d v="2024-02-23T00:00:00"/>
    <d v="2024-02-23T00:00:00"/>
    <d v="2024-02-23T00:00:00"/>
    <m/>
    <s v="10.09.2024"/>
    <m/>
  </r>
  <r>
    <n v="142"/>
    <n v="39090"/>
    <s v="HLC-B"/>
    <s v="STB4L0487 HLCD"/>
    <x v="4"/>
    <s v="NCR"/>
    <s v="DEL"/>
    <d v="2019-09-02T00:00:00"/>
    <n v="487"/>
    <s v="Nashik"/>
    <s v="M-U7D2S04V.005,_x000a_MO-U7F2S240.005"/>
    <d v="2021-01-13T00:00:00"/>
    <s v="UAT2Y440.012"/>
    <d v="2021-01-13T00:00:00"/>
    <d v="2021-04-09T00:00:00"/>
    <m/>
    <m/>
    <s v="Done by NW"/>
    <s v="Conv-B DONE"/>
    <s v="Conv-B DONE"/>
    <s v="Conv-B DONE"/>
    <m/>
    <s v="Conv-B DONE"/>
    <m/>
    <m/>
    <m/>
    <m/>
    <s v="Done "/>
    <m/>
    <s v="Conv-B DONE"/>
    <m/>
    <d v="2024-02-21T00:00:00"/>
    <s v="26.07.2024"/>
    <s v="26.07.2024"/>
    <d v="2024-02-21T00:00:00"/>
    <d v="2024-02-21T00:00:00"/>
    <d v="2024-02-21T00:00:00"/>
    <m/>
    <s v="10.09.2024"/>
    <m/>
  </r>
  <r>
    <n v="143"/>
    <n v="30599"/>
    <s v="HLC-A"/>
    <s v="STB6J0112HLCD"/>
    <x v="2"/>
    <s v="WCR"/>
    <s v="DEL"/>
    <d v="2018-01-12T00:00:00"/>
    <n v="112"/>
    <s v="Nashik"/>
    <s v="M-U7D2S04V.005,_x000a_MO-U7F2S240.005"/>
    <d v="2020-11-05T00:00:00"/>
    <s v="UAT2Y44O.012"/>
    <d v="2022-05-28T00:00:00"/>
    <d v="2025-04-04T00:00:00"/>
    <d v="2025-04-04T00:00:00"/>
    <m/>
    <s v="Done"/>
    <m/>
    <s v="DONE"/>
    <m/>
    <m/>
    <m/>
    <s v="DONE"/>
    <s v="DONE"/>
    <m/>
    <m/>
    <s v="EL19J04175-R"/>
    <m/>
    <s v="Done"/>
    <d v="2023-12-07T00:00:00"/>
    <d v="2023-12-07T00:00:00"/>
    <m/>
    <d v="2024-07-19T00:00:00"/>
    <d v="2023-12-12T00:00:00"/>
    <s v="DONE"/>
    <d v="2024-06-14T00:00:00"/>
    <m/>
    <d v="2024-09-02T00:00:00"/>
    <m/>
  </r>
  <r>
    <n v="144"/>
    <n v="30599"/>
    <s v="HLC-B"/>
    <s v="STB6J0115HLCD"/>
    <x v="2"/>
    <s v="WCR"/>
    <s v="DEL"/>
    <d v="2018-01-12T00:00:00"/>
    <n v="115"/>
    <s v="Nashik"/>
    <s v="M-U7D2S04V.005,_x000a_MO-U7F2S240.005"/>
    <d v="2020-11-05T00:00:00"/>
    <s v="UAT2Y44O.012"/>
    <d v="2022-05-28T00:00:00"/>
    <d v="2025-04-04T00:00:00"/>
    <d v="2025-04-04T00:00:00"/>
    <m/>
    <s v="Done"/>
    <m/>
    <s v="DONE"/>
    <m/>
    <m/>
    <m/>
    <s v="DONE"/>
    <s v="DONE"/>
    <m/>
    <m/>
    <s v="EL19F01046-R"/>
    <m/>
    <s v="Done"/>
    <d v="2023-12-07T00:00:00"/>
    <d v="2023-12-07T00:00:00"/>
    <m/>
    <d v="2024-07-19T00:00:00"/>
    <d v="2023-12-12T00:00:00"/>
    <s v="DONE"/>
    <d v="2024-06-14T00:00:00"/>
    <m/>
    <d v="2024-09-02T00:00:00"/>
    <m/>
  </r>
  <r>
    <n v="145"/>
    <n v="30604"/>
    <s v="HLC-A"/>
    <s v="STB9J0152HLCD"/>
    <x v="2"/>
    <s v="WCR"/>
    <s v="DEL"/>
    <d v="2018-02-06T00:00:00"/>
    <n v="152"/>
    <s v="Nashik"/>
    <s v="M-U7D2S04V.005,_x000a_MO-U7F2S240.005"/>
    <d v="2021-02-11T00:00:00"/>
    <s v="UAT2Y44O.012"/>
    <d v="2022-10-04T00:00:00"/>
    <d v="2025-04-24T00:00:00"/>
    <d v="2025-03-24T00:00:00"/>
    <s v="Done by NW"/>
    <s v="Conv-A DONE"/>
    <m/>
    <s v="Conv-A DONE"/>
    <m/>
    <s v="DONE"/>
    <s v="Conv-A DONE"/>
    <s v="DONE"/>
    <s v="DONE"/>
    <m/>
    <m/>
    <s v="EL19F040008-R"/>
    <m/>
    <s v="Conv-A DONE"/>
    <d v="2024-06-03T00:00:00"/>
    <d v="2024-06-06T00:00:00"/>
    <m/>
    <d v="2024-08-12T00:00:00"/>
    <d v="2024-06-03T00:00:00"/>
    <s v="DONE"/>
    <d v="2024-06-06T00:00:00"/>
    <m/>
    <d v="2024-08-26T00:00:00"/>
    <m/>
  </r>
  <r>
    <n v="146"/>
    <n v="30604"/>
    <s v="HLC-B"/>
    <s v="STB9J0146HLCD"/>
    <x v="2"/>
    <s v="WCR"/>
    <s v="DEL"/>
    <d v="2018-02-06T00:00:00"/>
    <n v="146"/>
    <s v="Nashik"/>
    <s v="M-U7D2S04V.005,_x000a_MO-U7F2S240.005"/>
    <d v="2021-02-11T00:00:00"/>
    <s v="UAT2Y44O.012"/>
    <d v="2022-10-04T00:00:00"/>
    <d v="2025-04-24T00:00:00"/>
    <d v="2025-03-24T00:00:00"/>
    <s v="Done by NW"/>
    <s v="Conv-B DONE"/>
    <m/>
    <s v="Conv-B DONE"/>
    <m/>
    <s v="DONE"/>
    <s v="Conv-B DONE"/>
    <s v="DONE"/>
    <s v="DONE"/>
    <m/>
    <m/>
    <s v="EL18F06038-R"/>
    <m/>
    <s v="Conv-B DONE"/>
    <d v="2024-06-03T00:00:00"/>
    <d v="2024-06-06T00:00:00"/>
    <m/>
    <d v="2024-08-12T00:00:00"/>
    <d v="2024-06-03T00:00:00"/>
    <s v="DONE"/>
    <d v="2024-06-06T00:00:00"/>
    <m/>
    <d v="2024-08-26T00:00:00"/>
    <m/>
  </r>
  <r>
    <n v="147"/>
    <n v="30620"/>
    <s v="HLC-A"/>
    <s v="STB9J0166HLCD"/>
    <x v="2"/>
    <s v="WCR"/>
    <s v="DEL"/>
    <m/>
    <m/>
    <s v="Nashik"/>
    <s v="M-U7D2S04V.005,_x000a_MO-U7F2S240.006"/>
    <d v="2020-12-09T00:00:00"/>
    <s v="UAT2Y440.012"/>
    <d v="2022-03-28T00:00:00"/>
    <d v="2022-06-02T00:00:00"/>
    <m/>
    <m/>
    <s v="Conv-A DONE"/>
    <m/>
    <m/>
    <m/>
    <m/>
    <m/>
    <m/>
    <m/>
    <m/>
    <m/>
    <s v="EL18C04007-R"/>
    <m/>
    <s v="Conv-A DONE"/>
    <m/>
    <m/>
    <m/>
    <d v="2024-07-07T00:00:00"/>
    <m/>
    <m/>
    <m/>
    <m/>
    <m/>
    <m/>
  </r>
  <r>
    <n v="148"/>
    <n v="30620"/>
    <s v="HLC-B"/>
    <s v="STB1J0165HLCD"/>
    <x v="2"/>
    <s v="WCR"/>
    <s v="DEL"/>
    <d v="2018-04-13T00:00:00"/>
    <n v="167"/>
    <s v="Nashik"/>
    <s v="M-U7D2S04V.005,_x000a_MO-U7F2S240.007"/>
    <d v="2020-12-09T00:00:00"/>
    <s v="UAT2Y440.012"/>
    <d v="2022-03-28T00:00:00"/>
    <d v="2022-06-02T00:00:00"/>
    <m/>
    <m/>
    <s v="Conv-B DONE"/>
    <m/>
    <m/>
    <m/>
    <m/>
    <m/>
    <m/>
    <m/>
    <m/>
    <m/>
    <s v="EL20L01023-R"/>
    <m/>
    <s v="Conv-B DONE"/>
    <m/>
    <m/>
    <m/>
    <d v="2024-07-07T00:00:00"/>
    <m/>
    <m/>
    <m/>
    <m/>
    <m/>
    <m/>
  </r>
  <r>
    <n v="149"/>
    <n v="30753"/>
    <s v="HLC-A"/>
    <s v="STBDK0378HLCD"/>
    <x v="2"/>
    <s v="WCR"/>
    <s v="DEL"/>
    <d v="2019-08-16T00:00:00"/>
    <n v="378"/>
    <s v="Nashik"/>
    <s v="M-U7D2S04V.005,_x000a_MO-U7F2S240.005"/>
    <d v="2020-07-30T00:00:00"/>
    <s v="UAT2Y44O.012"/>
    <d v="2021-11-18T00:00:00"/>
    <d v="2022-09-12T00:00:00"/>
    <m/>
    <m/>
    <s v="Conv-A DONE"/>
    <m/>
    <s v="Conv-A DONE"/>
    <m/>
    <m/>
    <s v="Conv-A DONE"/>
    <m/>
    <s v="Conv-A DONE"/>
    <m/>
    <m/>
    <m/>
    <m/>
    <s v="Conv-A DONE"/>
    <s v="Conv-A done"/>
    <m/>
    <m/>
    <d v="2024-05-15T00:00:00"/>
    <m/>
    <s v="Conv-A DONE"/>
    <m/>
    <m/>
    <m/>
    <m/>
  </r>
  <r>
    <n v="150"/>
    <n v="30753"/>
    <s v="HLC-B"/>
    <s v="STBDK0379HLCD"/>
    <x v="2"/>
    <s v="WCR"/>
    <s v="DEL"/>
    <d v="2019-08-16T00:00:00"/>
    <n v="379"/>
    <s v="Nashik"/>
    <s v="M-U7D2S04V.005,_x000a_MO-U7F2S240.005"/>
    <d v="2020-07-30T00:00:00"/>
    <s v="UAT2Y440.012"/>
    <d v="2021-11-18T00:00:00"/>
    <d v="2022-09-12T00:00:00"/>
    <m/>
    <m/>
    <s v="Conv-B DONE"/>
    <m/>
    <s v="Conv-B DONE"/>
    <m/>
    <m/>
    <s v="Conv-B DONE"/>
    <m/>
    <s v="Conv-B DONE"/>
    <m/>
    <m/>
    <m/>
    <m/>
    <s v="Conv-B DONE"/>
    <s v="Conv-B done"/>
    <m/>
    <m/>
    <d v="2024-05-15T00:00:00"/>
    <m/>
    <s v="Conv-B DONE"/>
    <m/>
    <m/>
    <m/>
    <m/>
  </r>
  <r>
    <n v="151"/>
    <n v="37030"/>
    <s v="HLC-A"/>
    <s v="STB3K0198HLCD"/>
    <x v="2"/>
    <s v="WCR"/>
    <s v="DEL"/>
    <d v="2018-09-26T00:00:00"/>
    <n v="198"/>
    <s v="Nashik"/>
    <s v="M-U7D2S04V.005,_x000a_MO-U7F2S240.005"/>
    <d v="2021-01-09T00:00:00"/>
    <s v="UAT2Y44O.012"/>
    <d v="2021-01-09T00:00:00"/>
    <d v="2024-01-27T00:00:00"/>
    <d v="2024-06-29T00:00:00"/>
    <m/>
    <s v="Conv-A DONE"/>
    <s v="Conv-A DONE"/>
    <s v="Conv-A DONE"/>
    <m/>
    <m/>
    <s v="Conv-A DONE"/>
    <s v="DONE"/>
    <s v="DONE"/>
    <m/>
    <m/>
    <m/>
    <m/>
    <s v="Conv-A DONE"/>
    <d v="2024-01-28T00:00:00"/>
    <d v="2024-01-28T00:00:00"/>
    <d v="2024-07-02T00:00:00"/>
    <d v="2024-06-12T00:00:00"/>
    <d v="2024-01-28T00:00:00"/>
    <s v="DONE"/>
    <d v="2024-06-29T00:00:00"/>
    <m/>
    <m/>
    <m/>
  </r>
  <r>
    <n v="152"/>
    <n v="37030"/>
    <s v="HLC-B"/>
    <s v="STB3K0197HLCD"/>
    <x v="2"/>
    <s v="WCR"/>
    <s v="DEL"/>
    <d v="2018-09-26T00:00:00"/>
    <n v="197"/>
    <s v="Nashik"/>
    <s v="M-U7D2S04V.005,_x000a_MO-U7F2S240.005"/>
    <d v="2021-01-09T00:00:00"/>
    <s v="UAT2Y44O.012"/>
    <d v="2021-01-09T00:00:00"/>
    <d v="2024-01-27T00:00:00"/>
    <d v="2024-06-29T00:00:00"/>
    <m/>
    <s v="Conv-B DONE"/>
    <m/>
    <s v="Conv-B DONE"/>
    <m/>
    <m/>
    <s v="Conv-B DONE"/>
    <s v="DONE"/>
    <s v="DONE"/>
    <m/>
    <m/>
    <m/>
    <m/>
    <s v="Conv-B DONE"/>
    <d v="2024-01-28T00:00:00"/>
    <d v="2024-01-28T00:00:00"/>
    <d v="2024-07-02T00:00:00"/>
    <d v="2024-06-12T00:00:00"/>
    <d v="2024-01-28T00:00:00"/>
    <s v="DONE"/>
    <d v="2024-06-29T00:00:00"/>
    <m/>
    <m/>
    <m/>
  </r>
  <r>
    <n v="153"/>
    <n v="37257"/>
    <s v="HLC-A"/>
    <s v="STB7L0640HLCD"/>
    <x v="2"/>
    <s v="WCR"/>
    <s v="DEL"/>
    <d v="2019-09-26T00:00:00"/>
    <n v="640"/>
    <s v="Nashik"/>
    <s v="M-U7D2S04V.005,_x000a_MO-U7F2S240.005"/>
    <d v="2020-09-11T00:00:00"/>
    <s v="UAT2Y440.012"/>
    <d v="2022-11-21T00:00:00"/>
    <d v="2023-06-04T00:00:00"/>
    <m/>
    <s v="Done by NW"/>
    <s v="Done by NW"/>
    <m/>
    <s v="Conv-A DONE"/>
    <m/>
    <m/>
    <m/>
    <s v="Conv-A DONE"/>
    <m/>
    <m/>
    <m/>
    <m/>
    <m/>
    <s v="Conv-A DONE"/>
    <s v="Conv-A done"/>
    <s v="Conv-A DONE"/>
    <m/>
    <d v="2024-07-19T00:00:00"/>
    <m/>
    <s v="Conv-A DONE"/>
    <m/>
    <m/>
    <m/>
    <m/>
  </r>
  <r>
    <n v="154"/>
    <n v="37257"/>
    <s v="HLC-B"/>
    <s v="STB7L0641HLCD"/>
    <x v="2"/>
    <s v="WCR"/>
    <s v="DEL"/>
    <d v="2019-09-26T00:00:00"/>
    <n v="641"/>
    <s v="Nashik"/>
    <s v="M-U7D2S04V.005,_x000a_MO-U7F2S240.005"/>
    <d v="2020-09-11T00:00:00"/>
    <s v="UAT2Y440.012"/>
    <d v="2022-11-21T00:00:00"/>
    <d v="2023-06-04T00:00:00"/>
    <m/>
    <s v="Done by NW"/>
    <s v="Done by NW"/>
    <m/>
    <s v="Conv-B DONE"/>
    <m/>
    <m/>
    <m/>
    <s v="Conv-B DONE"/>
    <m/>
    <m/>
    <m/>
    <m/>
    <m/>
    <s v="Conv-B DONE"/>
    <s v="Conv-B done"/>
    <s v="Conv-B DONE"/>
    <m/>
    <d v="2024-07-19T00:00:00"/>
    <m/>
    <s v="Conv-B DONE"/>
    <m/>
    <m/>
    <m/>
    <m/>
  </r>
  <r>
    <n v="155"/>
    <n v="37369"/>
    <s v="HLC-A"/>
    <s v="STBDL0730HLCD"/>
    <x v="2"/>
    <s v="WCR"/>
    <s v="DEL"/>
    <d v="2020-06-17T00:00:00"/>
    <n v="730"/>
    <s v="Nashik"/>
    <s v="M-U7D2S04V.005,_x000a_MO-U7F2S240.005"/>
    <s v="Done"/>
    <s v="U9S2Y440.011"/>
    <m/>
    <d v="2022-10-25T00:00:00"/>
    <m/>
    <s v="Done by NW"/>
    <s v="Done by NW"/>
    <m/>
    <s v="Conv-A DONE"/>
    <m/>
    <m/>
    <s v="Conv-A DONE"/>
    <m/>
    <m/>
    <m/>
    <m/>
    <s v="EL18F06067-R"/>
    <m/>
    <s v="Conv-A DONE"/>
    <m/>
    <m/>
    <m/>
    <m/>
    <m/>
    <m/>
    <m/>
    <m/>
    <m/>
    <m/>
  </r>
  <r>
    <n v="156"/>
    <n v="37369"/>
    <s v="HLC-B"/>
    <s v="STBDL0747HLCD"/>
    <x v="2"/>
    <s v="WCR"/>
    <s v="DEL"/>
    <d v="2020-06-17T00:00:00"/>
    <n v="747"/>
    <s v="Nashik"/>
    <s v="M-U7D2S04V.005,_x000a_MO-U7F2S240.005"/>
    <s v="Done"/>
    <s v="U9S2Y440.011"/>
    <m/>
    <d v="2022-10-25T00:00:00"/>
    <m/>
    <s v="Done by NW"/>
    <s v="Done by NW"/>
    <m/>
    <s v="Conv-B DONE"/>
    <m/>
    <m/>
    <s v="Conv-B DONE"/>
    <m/>
    <m/>
    <m/>
    <m/>
    <s v="EL20D01014-R"/>
    <m/>
    <s v="Conv-B DONE"/>
    <m/>
    <m/>
    <m/>
    <m/>
    <m/>
    <m/>
    <m/>
    <m/>
    <m/>
    <m/>
  </r>
  <r>
    <n v="157"/>
    <n v="37416"/>
    <s v="HLC-A"/>
    <s v="STBNL0717HLCD"/>
    <x v="2"/>
    <s v="WCR"/>
    <s v="DEL"/>
    <d v="2020-08-08T00:00:00"/>
    <n v="717"/>
    <s v="Nashik"/>
    <s v="M-U7D2S04V.005,_x000a_MO-U7F2S240.005"/>
    <d v="2020-09-14T00:00:00"/>
    <s v="U9S2Y440.011"/>
    <d v="2022-11-23T00:00:00"/>
    <d v="2024-06-28T00:00:00"/>
    <d v="2023-04-27T00:00:00"/>
    <s v="Done by NW"/>
    <s v="Done by NW"/>
    <s v="DONE"/>
    <s v="Conv-A DONE"/>
    <m/>
    <s v="DONE"/>
    <s v="Conv-A DONE"/>
    <s v="DONE"/>
    <s v="DONE"/>
    <m/>
    <m/>
    <m/>
    <m/>
    <s v="Conv-A DONE"/>
    <d v="2023-12-02T00:00:00"/>
    <d v="2023-12-02T00:00:00"/>
    <m/>
    <d v="2023-09-15T00:00:00"/>
    <d v="2023-12-02T00:00:00"/>
    <s v="DONE"/>
    <d v="2024-06-28T00:00:00"/>
    <m/>
    <m/>
    <m/>
  </r>
  <r>
    <n v="158"/>
    <n v="37416"/>
    <s v="HLC-B"/>
    <s v="STB5M0782HLCD"/>
    <x v="2"/>
    <s v="WCR"/>
    <s v="DEL"/>
    <d v="2020-08-08T00:00:00"/>
    <n v="782"/>
    <s v="Nashik"/>
    <s v="M-U7D2S04V.005,_x000a_MO-U7F2S240.005"/>
    <d v="2020-09-14T00:00:00"/>
    <s v="U9S2Y440.011"/>
    <d v="2022-11-23T00:00:00"/>
    <d v="2024-06-28T00:00:00"/>
    <d v="2023-04-27T00:00:00"/>
    <s v="Done by NW"/>
    <s v="Done by NW"/>
    <s v="DONE"/>
    <s v="Conv-B DONE"/>
    <m/>
    <s v="DONE"/>
    <s v="Conv-B DONE"/>
    <s v="Done by NW"/>
    <s v="DONE"/>
    <m/>
    <m/>
    <m/>
    <m/>
    <s v="Conv-B DONE"/>
    <d v="2023-12-02T00:00:00"/>
    <d v="2023-12-02T00:00:00"/>
    <m/>
    <d v="2023-09-15T00:00:00"/>
    <d v="2023-12-02T00:00:00"/>
    <s v="DONE"/>
    <d v="2024-06-28T00:00:00"/>
    <m/>
    <m/>
    <m/>
  </r>
  <r>
    <n v="159"/>
    <n v="37418"/>
    <s v="HLC-A"/>
    <s v="STB5M0831HLCD"/>
    <x v="2"/>
    <s v="WCR"/>
    <s v="DEL"/>
    <d v="2020-08-11T00:00:00"/>
    <n v="831"/>
    <s v="Nashik"/>
    <s v="M-U7D2S04V.005,_x000a_MO-U7F2S240.005"/>
    <d v="2020-09-18T00:00:00"/>
    <s v="UAT2Y44O.012"/>
    <d v="2022-10-15T00:00:00"/>
    <d v="2023-07-13T00:00:00"/>
    <d v="2024-02-08T00:00:00"/>
    <s v="Done by NW"/>
    <s v="Done by NW"/>
    <s v="DONE"/>
    <s v="Conv-A DONE"/>
    <m/>
    <s v="DONE"/>
    <s v="Conv-A DONE"/>
    <s v="Done by NW"/>
    <s v="DONE"/>
    <m/>
    <m/>
    <m/>
    <m/>
    <s v="Conv-A don"/>
    <d v="2024-02-08T00:00:00"/>
    <d v="2024-02-08T00:00:00"/>
    <m/>
    <d v="2023-07-13T00:00:00"/>
    <d v="2024-02-08T00:00:00"/>
    <s v="DONE"/>
    <m/>
    <m/>
    <m/>
    <m/>
  </r>
  <r>
    <n v="160"/>
    <n v="37418"/>
    <s v="HLC-B"/>
    <s v="STB5M0783HLCD"/>
    <x v="2"/>
    <s v="WCR"/>
    <s v="DEL"/>
    <d v="2020-08-11T00:00:00"/>
    <n v="783"/>
    <s v="Nashik"/>
    <s v="M-U7D2S04V.005,_x000a_MO-U7F2S240.005"/>
    <d v="2020-09-18T00:00:00"/>
    <s v="UAT2Y44O.012"/>
    <d v="2022-10-15T00:00:00"/>
    <d v="2023-07-13T00:00:00"/>
    <d v="2023-01-30T00:00:00"/>
    <s v="Done by NW"/>
    <s v="Done by NW"/>
    <s v="DONE"/>
    <s v="Conv-B DONE"/>
    <m/>
    <s v="DONE"/>
    <s v="Conv-B DONE"/>
    <s v="Done by NW"/>
    <s v="DONE"/>
    <m/>
    <m/>
    <m/>
    <m/>
    <s v="Conv-B DONE"/>
    <d v="2024-02-08T00:00:00"/>
    <d v="2024-02-08T00:00:00"/>
    <m/>
    <d v="2023-07-13T00:00:00"/>
    <d v="2024-02-08T00:00:00"/>
    <s v="DONE"/>
    <m/>
    <m/>
    <m/>
    <m/>
  </r>
  <r>
    <n v="161"/>
    <n v="37464"/>
    <s v="HLC-A"/>
    <s v="STB8M0922HLCD"/>
    <x v="2"/>
    <s v="WCR"/>
    <s v="DEL"/>
    <d v="2020-11-23T00:00:00"/>
    <n v="922"/>
    <s v="Nashik"/>
    <s v="M-U7D2S04V.005,_x000a_MO-U7F2S240.005"/>
    <s v="Done by NW"/>
    <s v="U9S2Y440.011"/>
    <d v="2021-11-17T00:00:00"/>
    <d v="2025-02-12T00:00:00"/>
    <d v="2025-02-12T00:00:00"/>
    <s v="Done by NW"/>
    <s v="Done by NW"/>
    <s v="Conv-A DONE"/>
    <s v="DONE"/>
    <s v="Conv-A DONE"/>
    <s v="DONE"/>
    <s v="DONE"/>
    <s v="Done by NW"/>
    <s v="DONE"/>
    <m/>
    <m/>
    <m/>
    <m/>
    <s v="Conv-A DONE"/>
    <d v="2023-12-11T00:00:00"/>
    <s v="DONE"/>
    <m/>
    <d v="2023-12-11T00:00:00"/>
    <d v="2023-12-11T00:00:00"/>
    <s v="DONE"/>
    <m/>
    <m/>
    <m/>
    <m/>
  </r>
  <r>
    <n v="162"/>
    <n v="37464"/>
    <s v="HLC-B"/>
    <s v="STB8M0923HLCD"/>
    <x v="2"/>
    <s v="WCR"/>
    <s v="DEL"/>
    <d v="2020-11-23T00:00:00"/>
    <n v="923"/>
    <s v="Nashik"/>
    <s v="M-U7D2S04V.005,_x000a_MO-U7F2S240.005"/>
    <s v="Done by NW"/>
    <s v="U9S2Y440.011"/>
    <d v="2021-11-17T00:00:00"/>
    <d v="2025-02-12T00:00:00"/>
    <d v="2025-02-12T00:00:00"/>
    <s v="Done by NW"/>
    <s v="Done by NW"/>
    <s v="Conv-B DONE"/>
    <s v="DONE"/>
    <s v="Conv-B DONE"/>
    <s v="DONE"/>
    <s v="DONE"/>
    <s v="Done by NW"/>
    <s v="DONE"/>
    <m/>
    <m/>
    <m/>
    <m/>
    <s v="Conv-B DONE"/>
    <d v="2023-12-11T00:00:00"/>
    <s v="DONE"/>
    <m/>
    <d v="2023-12-11T00:00:00"/>
    <d v="2023-12-11T00:00:00"/>
    <s v="DONE"/>
    <m/>
    <m/>
    <m/>
    <m/>
  </r>
  <r>
    <n v="163"/>
    <n v="39024"/>
    <s v="HLC-A"/>
    <s v="STB5K0236HLCD"/>
    <x v="2"/>
    <s v="WCR"/>
    <s v="DEL"/>
    <d v="2019-01-17T00:00:00"/>
    <n v="236"/>
    <s v="Nashik"/>
    <s v="M-U7D2S04V.005,_x000a_MO-U7F2S240.005"/>
    <d v="2020-08-11T00:00:00"/>
    <s v="UAT2Y44O.012"/>
    <d v="2022-11-22T00:00:00"/>
    <d v="2025-03-20T00:00:00"/>
    <d v="2025-03-20T00:00:00"/>
    <m/>
    <s v="Conv-A DONE"/>
    <m/>
    <s v="Conv-A DONE"/>
    <m/>
    <s v="DONE"/>
    <s v="Conv-A DONE"/>
    <s v="DONE"/>
    <s v="DONE"/>
    <m/>
    <m/>
    <s v="EL19D01030-R"/>
    <m/>
    <s v="Conv-A DONE"/>
    <d v="2024-01-31T00:00:00"/>
    <s v="DONE"/>
    <m/>
    <d v="2022-11-22T00:00:00"/>
    <s v="DONE"/>
    <s v="DONE"/>
    <d v="2024-05-11T00:00:00"/>
    <m/>
    <m/>
    <m/>
  </r>
  <r>
    <n v="164"/>
    <n v="39024"/>
    <s v="HLC-B"/>
    <s v="STB4K0223HLCD"/>
    <x v="2"/>
    <s v="WCR"/>
    <s v="DEL"/>
    <d v="2019-01-17T00:00:00"/>
    <n v="223"/>
    <s v="Nashik"/>
    <s v="M-U7D2S04V.005,_x000a_MO-U7F2S240.005"/>
    <d v="2020-08-11T00:00:00"/>
    <s v="UAT2Y44O.012"/>
    <d v="2022-11-22T00:00:00"/>
    <d v="2025-03-20T00:00:00"/>
    <d v="2025-03-20T00:00:00"/>
    <m/>
    <s v="Conv-B DONE"/>
    <m/>
    <s v="Conv-B DONE"/>
    <m/>
    <s v="DONE"/>
    <s v="Conv-B DONE"/>
    <s v="DONE"/>
    <s v="DONE"/>
    <m/>
    <m/>
    <s v="EL19J04155-R"/>
    <m/>
    <s v="Conv-B DONE"/>
    <d v="2024-01-31T00:00:00"/>
    <s v="DONE"/>
    <m/>
    <d v="2022-11-22T00:00:00"/>
    <s v="DONE"/>
    <s v="DONE"/>
    <d v="2024-05-10T00:00:00"/>
    <m/>
    <m/>
    <m/>
  </r>
  <r>
    <n v="165"/>
    <n v="39025"/>
    <s v="HLC-A"/>
    <s v="STB6K0251HLCD"/>
    <x v="2"/>
    <s v="WCR"/>
    <s v="DEL"/>
    <d v="2019-01-19T00:00:00"/>
    <n v="251"/>
    <s v="Nashik"/>
    <s v="M-U7D2S04V.005,_x000a_MO-U7F2S240.005"/>
    <d v="2020-07-31T00:00:00"/>
    <s v="UAT2Y440.012"/>
    <d v="2022-11-26T00:00:00"/>
    <d v="2025-03-19T00:00:00"/>
    <d v="2025-03-19T00:00:00"/>
    <s v="Done by NW"/>
    <s v="Conv-A DONE"/>
    <s v="DONE"/>
    <s v="Conv-A DONE"/>
    <m/>
    <s v="DONE"/>
    <s v="Conv-A DONE"/>
    <s v="DONE"/>
    <s v="DONE"/>
    <m/>
    <m/>
    <s v="EL21C01022"/>
    <m/>
    <s v="Conv-A DONE"/>
    <m/>
    <s v="DONE"/>
    <m/>
    <d v="2024-02-23T00:00:00"/>
    <s v="DONE"/>
    <s v="DONE"/>
    <d v="2024-06-19T00:00:00"/>
    <m/>
    <d v="2024-06-19T00:00:00"/>
    <m/>
  </r>
  <r>
    <n v="166"/>
    <n v="39025"/>
    <s v="HLC-B"/>
    <s v="STB6K0249HLCD"/>
    <x v="2"/>
    <s v="WCR"/>
    <s v="DEL"/>
    <d v="2019-01-19T00:00:00"/>
    <n v="249"/>
    <s v="Nashik"/>
    <s v="M-U7D2S04V.005,_x000a_MO-U7F2S240.005"/>
    <d v="2020-07-31T00:00:00"/>
    <s v="UAT2Y440.012"/>
    <d v="2022-11-26T00:00:00"/>
    <d v="2025-03-19T00:00:00"/>
    <d v="2025-03-19T00:00:00"/>
    <s v="Done by NW"/>
    <s v="Conv-B DONE"/>
    <s v="DONE"/>
    <s v="Conv-B DONE"/>
    <m/>
    <s v="DONE"/>
    <s v="Conv-B DONE"/>
    <s v="DONE"/>
    <m/>
    <m/>
    <m/>
    <m/>
    <m/>
    <s v="Conv-B DONE"/>
    <d v="2023-11-18T00:00:00"/>
    <s v="DONE"/>
    <m/>
    <d v="2023-11-18T00:00:00"/>
    <s v="DONE"/>
    <s v="DONE"/>
    <d v="2024-06-20T00:00:00"/>
    <m/>
    <d v="2024-06-19T00:00:00"/>
    <m/>
  </r>
  <r>
    <n v="167"/>
    <n v="39085"/>
    <s v="HLC-A"/>
    <s v="STB5L0520HLCD"/>
    <x v="2"/>
    <s v="WCR"/>
    <s v="DEL"/>
    <d v="2019-08-20T00:00:00"/>
    <n v="520"/>
    <s v="Nashik"/>
    <s v="M-U7D2S04V.005,_x000a_MO-U7F2S240.005"/>
    <d v="2020-09-04T00:00:00"/>
    <s v="UAT2Y44O.012"/>
    <d v="2020-11-22T00:00:00"/>
    <d v="2023-04-03T00:00:00"/>
    <m/>
    <s v="Done by NW"/>
    <s v="Conv-A DONE"/>
    <m/>
    <s v="Conv-A DONE"/>
    <m/>
    <m/>
    <m/>
    <m/>
    <s v="Conv-A DONE"/>
    <m/>
    <m/>
    <m/>
    <m/>
    <s v="Conv-A DONE"/>
    <m/>
    <m/>
    <m/>
    <d v="2022-11-22T00:00:00"/>
    <m/>
    <s v="Conv-A DONE"/>
    <m/>
    <m/>
    <m/>
    <m/>
  </r>
  <r>
    <n v="168"/>
    <n v="39085"/>
    <s v="HLC-B"/>
    <s v="STB5L0522HLCD"/>
    <x v="2"/>
    <s v="WCR"/>
    <s v="DEL"/>
    <d v="2019-08-20T00:00:00"/>
    <n v="522"/>
    <s v="Nashik"/>
    <s v="M-U7D2S04V.005,_x000a_MO-U7F2S240.005"/>
    <d v="2020-09-04T00:00:00"/>
    <s v="UAT2Y44O.012"/>
    <d v="2020-11-22T00:00:00"/>
    <d v="2023-04-03T00:00:00"/>
    <m/>
    <s v="Done by NW"/>
    <s v="Conv-B DONE"/>
    <m/>
    <s v="Conv-B DONE"/>
    <m/>
    <m/>
    <m/>
    <m/>
    <s v="Conv-B DONE"/>
    <m/>
    <m/>
    <s v="EL21C01020"/>
    <m/>
    <s v="Conv-B DONE"/>
    <m/>
    <m/>
    <m/>
    <d v="2022-11-22T00:00:00"/>
    <m/>
    <s v="Conv-B DONE"/>
    <m/>
    <m/>
    <m/>
    <m/>
  </r>
  <r>
    <n v="169"/>
    <n v="39183"/>
    <s v="HLC-A"/>
    <s v="STBDM1070HLCD"/>
    <x v="2"/>
    <s v="WCR"/>
    <s v="DEL"/>
    <d v="2021-02-22T00:00:00"/>
    <s v="1070"/>
    <s v="Nashik"/>
    <s v="M-U7D2S04V.005,_x000a_MO-U7F2S240.005"/>
    <s v="Done by NW"/>
    <s v="UAT2Y440.012"/>
    <d v="2022-10-18T00:00:00"/>
    <d v="2025-03-18T00:00:00"/>
    <m/>
    <s v="Done by NW"/>
    <s v="Done"/>
    <s v="DONE"/>
    <s v="DONE"/>
    <m/>
    <s v="DONE"/>
    <s v="DONE"/>
    <s v="DONE"/>
    <s v="DONE"/>
    <m/>
    <m/>
    <m/>
    <m/>
    <s v="Done"/>
    <s v="Done"/>
    <s v="DONE"/>
    <m/>
    <d v="2023-08-15T00:00:00"/>
    <s v="DONE"/>
    <s v="DONE"/>
    <d v="2025-03-18T00:00:00"/>
    <m/>
    <d v="2024-09-16T00:00:00"/>
    <m/>
  </r>
  <r>
    <n v="170"/>
    <n v="39183"/>
    <s v="HLC-B"/>
    <s v="STBDM1071HLCD"/>
    <x v="2"/>
    <s v="WCR"/>
    <s v="DEL"/>
    <d v="2021-02-22T00:00:00"/>
    <n v="1071"/>
    <s v="Nashik"/>
    <m/>
    <m/>
    <m/>
    <m/>
    <d v="2025-03-18T00:00:00"/>
    <m/>
    <s v="Done by NW"/>
    <s v="Done by NW"/>
    <s v="DONE"/>
    <s v="DONE"/>
    <m/>
    <s v="DONE"/>
    <s v="DONE"/>
    <s v="Done by NW"/>
    <s v="DONE"/>
    <m/>
    <m/>
    <m/>
    <m/>
    <s v="Conv-A DONE"/>
    <s v="Done"/>
    <s v="DONE"/>
    <m/>
    <d v="2023-08-15T00:00:00"/>
    <s v="DONE"/>
    <s v="DONE"/>
    <d v="2025-03-18T00:00:00"/>
    <m/>
    <d v="2024-09-16T00:00:00"/>
    <m/>
  </r>
  <r>
    <n v="171"/>
    <n v="30670"/>
    <s v="HLC-A"/>
    <s v="STB4N1126HLCD"/>
    <x v="2"/>
    <s v="WCR"/>
    <s v="DEL"/>
    <m/>
    <m/>
    <m/>
    <s v="M-U7D2S04V.005,_x000a_MO-U7F2S240.005"/>
    <s v="DONE"/>
    <s v="UAT2Y44O.013"/>
    <s v="Done"/>
    <d v="2025-03-12T00:00:00"/>
    <m/>
    <m/>
    <s v="Conv-A DONE"/>
    <s v="DONE"/>
    <s v="DONE"/>
    <m/>
    <s v="DONE"/>
    <s v="DONE"/>
    <s v="DONE"/>
    <s v="DONE"/>
    <m/>
    <m/>
    <m/>
    <m/>
    <s v="Con-A Done"/>
    <d v="2023-12-12T00:00:00"/>
    <d v="2023-12-12T00:00:00"/>
    <m/>
    <d v="2023-12-03T00:00:00"/>
    <d v="2023-12-12T00:00:00"/>
    <s v="DONE"/>
    <m/>
    <m/>
    <d v="2024-09-09T00:00:00"/>
    <m/>
  </r>
  <r>
    <n v="172"/>
    <n v="30670"/>
    <s v="HLC-B"/>
    <s v="STB4N1127HLCD"/>
    <x v="2"/>
    <s v="WCR"/>
    <s v="DEL"/>
    <m/>
    <m/>
    <m/>
    <s v="M-U7D2S04V.005,_x000a_MO-U7F2S240.005"/>
    <s v="DONE"/>
    <s v="UAT2Y44O.014"/>
    <s v="Done"/>
    <d v="2025-03-12T00:00:00"/>
    <m/>
    <m/>
    <s v="Conv-B DONE"/>
    <s v="DONE"/>
    <s v="DONE"/>
    <m/>
    <s v="DONE"/>
    <s v="DONE"/>
    <s v="DONE"/>
    <s v="DONE"/>
    <m/>
    <m/>
    <m/>
    <m/>
    <s v="Conv-B DONE"/>
    <d v="2023-12-12T00:00:00"/>
    <d v="2023-12-12T00:00:00"/>
    <m/>
    <d v="2023-12-03T00:00:00"/>
    <d v="2023-12-12T00:00:00"/>
    <s v="DONE"/>
    <m/>
    <m/>
    <d v="2024-09-09T00:00:00"/>
    <m/>
  </r>
  <r>
    <n v="173"/>
    <n v="37186"/>
    <s v="HLC-A"/>
    <s v="STB2L0432HLCD"/>
    <x v="2"/>
    <s v="WCR"/>
    <s v="DEL"/>
    <m/>
    <m/>
    <m/>
    <s v="M-U7D2S04V.005,_x000a_MO-U7F2S240.005"/>
    <s v="DONE"/>
    <s v="UAT2Y44O.015"/>
    <s v="Done"/>
    <d v="2023-08-23T00:00:00"/>
    <m/>
    <m/>
    <s v="Done "/>
    <m/>
    <s v="Conv-A DONE"/>
    <m/>
    <m/>
    <m/>
    <m/>
    <s v="Conv-A DONE"/>
    <m/>
    <m/>
    <m/>
    <m/>
    <s v="Conv-A DONE"/>
    <m/>
    <m/>
    <m/>
    <d v="2023-08-23T00:00:00"/>
    <m/>
    <s v="Conv-A DONE"/>
    <m/>
    <m/>
    <m/>
    <m/>
  </r>
  <r>
    <n v="174"/>
    <n v="37186"/>
    <s v="HLC-B"/>
    <s v="STB2L0433HLCD"/>
    <x v="2"/>
    <s v="WCR"/>
    <s v="DEL"/>
    <m/>
    <m/>
    <m/>
    <s v="M-U7D2S04V.005,_x000a_MO-U7F2S240.005"/>
    <s v="DONE"/>
    <s v="UAT2Y44O.016"/>
    <s v="Done"/>
    <d v="2023-08-23T00:00:00"/>
    <m/>
    <m/>
    <s v="Done "/>
    <m/>
    <s v="Conv-B DONE"/>
    <m/>
    <m/>
    <m/>
    <m/>
    <s v="Conv-B DONE"/>
    <m/>
    <m/>
    <m/>
    <m/>
    <s v="Conv-B DONE"/>
    <m/>
    <m/>
    <m/>
    <d v="2023-08-23T00:00:00"/>
    <m/>
    <s v="Conv-B DONE"/>
    <m/>
    <m/>
    <m/>
    <m/>
  </r>
  <r>
    <n v="175"/>
    <n v="37542"/>
    <s v="HLC-A"/>
    <s v="STB8M0908"/>
    <x v="6"/>
    <s v="NER"/>
    <s v="DEL"/>
    <d v="2021-02-24T00:00:00"/>
    <n v="908"/>
    <s v="Nashik"/>
    <s v="M-U7D2S04V.005,_x000a_MO-U7F2S240.005"/>
    <s v="Done by NW"/>
    <s v="UAT2Y440.012"/>
    <d v="2022-04-19T00:00:00"/>
    <d v="2024-04-09T00:00:00"/>
    <s v=" "/>
    <s v="Done by NW"/>
    <s v="Done by NW"/>
    <s v=" "/>
    <s v="Conv-A done "/>
    <s v=" "/>
    <s v="Conv-A DONE"/>
    <s v="Done by NW"/>
    <s v=" "/>
    <s v=" "/>
    <s v=" "/>
    <s v=" "/>
    <m/>
    <m/>
    <s v="Conv-A DONE"/>
    <m/>
    <s v="Conv-A DONE"/>
    <d v="2024-07-12T00:00:00"/>
    <m/>
    <s v=" tightned 25nm DONE 16-12-2023"/>
    <d v="2023-12-12T00:00:00"/>
    <d v="2024-08-26T00:00:00"/>
    <m/>
    <s v="Done"/>
    <m/>
  </r>
  <r>
    <n v="176"/>
    <n v="37542"/>
    <s v="HLC-B"/>
    <s v="STB8M0822"/>
    <x v="6"/>
    <s v="NER"/>
    <s v="DEL"/>
    <d v="2021-02-18T00:00:00"/>
    <n v="934"/>
    <s v="Nashik"/>
    <s v="M-U7D2S04V.005,_x000a_MO-U7F2S240.005"/>
    <s v="Done by NW"/>
    <s v="UAT2Y440.012"/>
    <d v="2022-04-19T00:00:00"/>
    <d v="2024-04-09T00:00:00"/>
    <s v=" "/>
    <s v="Done by NW"/>
    <s v="Done by NW"/>
    <s v=" "/>
    <s v="conv-B done "/>
    <s v=" "/>
    <s v="Conv-B DONE"/>
    <s v="Done by NW"/>
    <s v=" "/>
    <s v=" "/>
    <s v=" "/>
    <s v=" "/>
    <m/>
    <m/>
    <s v="Conv-B DONE"/>
    <m/>
    <s v="Conv-B- DONE"/>
    <d v="2024-07-12T00:00:00"/>
    <m/>
    <s v=" 16-12-23"/>
    <d v="2023-12-12T00:00:00"/>
    <d v="2024-08-27T00:00:00"/>
    <m/>
    <s v="Done"/>
    <m/>
  </r>
  <r>
    <n v="177"/>
    <n v="37128"/>
    <s v="HLC-A"/>
    <s v="STB0K0290HLCD"/>
    <x v="0"/>
    <s v="NR"/>
    <s v="DEL"/>
    <d v="2019-03-27T00:00:00"/>
    <n v="290"/>
    <s v="Nashik"/>
    <s v="M-U7D2S04V.005,_x000a_MO-U7F2S240.005"/>
    <d v="2020-10-31T00:00:00"/>
    <s v="U812Y440.010"/>
    <d v="2021-02-08T00:00:00"/>
    <d v="2024-01-12T00:00:00"/>
    <m/>
    <s v="Conv-A DONE"/>
    <s v="Conv-A DONE"/>
    <s v="Conv-A DONE"/>
    <s v="Conv-A DONE"/>
    <s v="Conv-A DONE"/>
    <m/>
    <s v="Conv-A DONE"/>
    <s v="Conv-A DONE"/>
    <m/>
    <m/>
    <d v="2021-10-26T00:00:00"/>
    <m/>
    <m/>
    <s v="Done"/>
    <s v="Already done"/>
    <s v="Conv-A Done"/>
    <d v="2024-07-19T00:00:00"/>
    <d v="2024-01-12T00:00:00"/>
    <s v="Tightness done (without washer)"/>
    <s v="Done"/>
    <d v="2024-07-20T00:00:00"/>
    <d v="2024-01-12T00:00:00"/>
    <d v="2024-10-07T00:00:00"/>
    <m/>
  </r>
  <r>
    <n v="178"/>
    <n v="37128"/>
    <s v="HLC-B"/>
    <s v="STBDK0351HLCD"/>
    <x v="0"/>
    <s v="NR"/>
    <s v="DEL"/>
    <d v="2019-03-27T00:00:00"/>
    <n v="351"/>
    <s v="Nashik"/>
    <s v="M-U7D2S04V.005,_x000a_MO-U7F2S240.005"/>
    <d v="2020-10-31T00:00:00"/>
    <s v="U812Y440.010"/>
    <d v="2021-02-08T00:00:00"/>
    <d v="2024-01-12T00:00:00"/>
    <m/>
    <s v="Conv-B DONE"/>
    <s v="Conv-B DONE"/>
    <s v="Conv-B DONE"/>
    <s v="Conv-B DONE"/>
    <s v="Conv-B DONE"/>
    <m/>
    <s v="Conv-B DONE"/>
    <s v="Conv-B DONE"/>
    <m/>
    <m/>
    <d v="2021-10-26T00:00:00"/>
    <m/>
    <m/>
    <s v="Done"/>
    <s v="Already done"/>
    <s v="Conv-B Done"/>
    <d v="2024-07-19T00:00:00"/>
    <d v="2024-01-12T00:00:00"/>
    <s v="Tightness done (without washer)"/>
    <s v="Done"/>
    <d v="2024-04-16T00:00:00"/>
    <d v="2024-01-12T00:00:00"/>
    <d v="2024-10-07T00:00:00"/>
    <m/>
  </r>
  <r>
    <n v="179"/>
    <n v="37175"/>
    <s v="HLC-A"/>
    <s v="STB4L0450HLCD"/>
    <x v="0"/>
    <s v="NR"/>
    <s v="DEL"/>
    <d v="2019-05-18T00:00:00"/>
    <n v="450"/>
    <s v="Nashik"/>
    <s v="M-U7D2S04V.005,_x000a_MO-U7F2S240.005"/>
    <d v="2020-10-15T00:00:00"/>
    <s v="UAT2Y440.012"/>
    <d v="2020-12-24T00:00:00"/>
    <d v="2023-07-20T00:00:00"/>
    <m/>
    <s v="Conv-A DONE"/>
    <s v="Conv-A DONE"/>
    <s v="Conv-A DONE"/>
    <s v="Conv-A DONE"/>
    <s v="Conv-A DONE"/>
    <m/>
    <s v="Conv-A DONE"/>
    <s v="Conv-A DONE"/>
    <m/>
    <m/>
    <m/>
    <m/>
    <m/>
    <s v="Conv-A DONE"/>
    <s v="Done"/>
    <s v="Conv-A DONE"/>
    <d v="2024-09-05T00:00:00"/>
    <m/>
    <s v="Done without washer"/>
    <d v="2023-07-20T00:00:00"/>
    <d v="2024-09-06T00:00:00"/>
    <m/>
    <d v="2024-09-06T00:00:00"/>
    <m/>
  </r>
  <r>
    <n v="180"/>
    <n v="37175"/>
    <s v="HLC-B"/>
    <s v="STB4L0451HLCD"/>
    <x v="0"/>
    <s v="NR"/>
    <s v="DEL"/>
    <d v="2019-05-18T00:00:00"/>
    <n v="451"/>
    <s v="Nashik"/>
    <s v="M-U7D2S04V.005,_x000a_MO-U7F2S240.005"/>
    <d v="2020-10-15T00:00:00"/>
    <s v="UAT2Y440.012"/>
    <d v="2020-12-24T00:00:00"/>
    <d v="2023-07-20T00:00:00"/>
    <m/>
    <s v="Conv-B DONE"/>
    <s v="Conv-B DONE"/>
    <s v="Conv-B DONE"/>
    <s v="Conv-B DONE"/>
    <s v="Conv-B DONE"/>
    <m/>
    <s v="Conv-B DONE"/>
    <s v="Conv-B DONE"/>
    <m/>
    <m/>
    <m/>
    <m/>
    <m/>
    <s v="Conv-B DONE"/>
    <s v="Done"/>
    <s v="Conv-B DONE"/>
    <d v="2024-09-05T00:00:00"/>
    <m/>
    <s v="Done without washer"/>
    <d v="2023-07-20T00:00:00"/>
    <d v="2024-09-06T00:00:00"/>
    <m/>
    <d v="2024-09-06T00:00:00"/>
    <m/>
  </r>
  <r>
    <n v="181"/>
    <n v="37589"/>
    <s v="HLC-A"/>
    <s v="STB8M0926HLCD"/>
    <x v="6"/>
    <s v="NER"/>
    <s v="DEL"/>
    <d v="2021-06-19T00:00:00"/>
    <n v="944"/>
    <s v="Nashik"/>
    <s v="M-U7D2S04V.005,_x000a_MO-U7F2S240.005"/>
    <s v="Done by NW"/>
    <s v="UAT2Y440.012"/>
    <d v="2022-02-17T00:00:00"/>
    <d v="2024-04-09T00:00:00"/>
    <m/>
    <s v="Done by NW"/>
    <s v="Done by NW"/>
    <m/>
    <s v="Conv-A DONE"/>
    <m/>
    <s v="Conv-A DONE"/>
    <s v="Done by NW"/>
    <s v="Done by NW"/>
    <m/>
    <m/>
    <m/>
    <m/>
    <m/>
    <s v="Conv- A done"/>
    <m/>
    <m/>
    <d v="2024-06-30T00:00:00"/>
    <m/>
    <d v="2024-01-28T00:00:00"/>
    <d v="2024-01-28T00:00:00"/>
    <d v="2024-07-23T00:00:00"/>
    <m/>
    <s v="Done"/>
    <m/>
  </r>
  <r>
    <n v="182"/>
    <n v="37589"/>
    <s v="HLC-B"/>
    <s v="STB8M0944HLCD"/>
    <x v="6"/>
    <s v="NER"/>
    <s v="DEL"/>
    <d v="2021-06-19T00:00:00"/>
    <n v="951"/>
    <s v="Nashik"/>
    <s v="M-U7D2S04V.005,_x000a_MO-U7F2S240.005"/>
    <s v="Done by NW"/>
    <s v="UAT2Y440.012"/>
    <d v="2022-02-17T00:00:00"/>
    <d v="2024-04-09T00:00:00"/>
    <m/>
    <s v="Done by NW"/>
    <s v="Done by NW"/>
    <m/>
    <s v="Conv-B DONE"/>
    <m/>
    <s v="Conv-B DONE"/>
    <s v="Done by NW"/>
    <s v="Done by NW"/>
    <m/>
    <m/>
    <m/>
    <m/>
    <m/>
    <s v="Conv-B DONE"/>
    <m/>
    <s v="Conv-B DONE"/>
    <d v="2024-06-30T00:00:00"/>
    <m/>
    <d v="2024-01-19T00:00:00"/>
    <d v="2024-01-19T00:00:00"/>
    <d v="2024-07-22T00:00:00"/>
    <m/>
    <s v="Done"/>
    <m/>
  </r>
  <r>
    <n v="183"/>
    <n v="37590"/>
    <s v="HLC-A"/>
    <s v="STBOM1031"/>
    <x v="6"/>
    <s v="NER"/>
    <s v="DEL"/>
    <d v="2021-05-25T00:00:00"/>
    <n v="1031"/>
    <s v="Nashik"/>
    <s v="M-U7D2S04V.005,_x000a_MO-U7F2S240.005"/>
    <s v="Done by NW"/>
    <s v="UAT2Y440.012"/>
    <s v="Done by NW"/>
    <d v="2024-05-01T00:00:00"/>
    <m/>
    <s v="Done by NW"/>
    <s v="Done by NW"/>
    <m/>
    <s v="Done by NW"/>
    <m/>
    <s v="Conv-A DONE"/>
    <s v="Done by NW"/>
    <s v="Done by NW"/>
    <m/>
    <m/>
    <m/>
    <m/>
    <m/>
    <s v="Conv-A DONE"/>
    <m/>
    <s v="Conv-A DONE"/>
    <d v="2024-07-26T00:00:00"/>
    <m/>
    <s v=" 15-12-2023"/>
    <d v="2023-12-09T00:00:00"/>
    <d v="2024-08-07T00:00:00"/>
    <m/>
    <s v="Done"/>
    <m/>
  </r>
  <r>
    <n v="184"/>
    <n v="37590"/>
    <s v="HLC-B"/>
    <s v="STBOM1033"/>
    <x v="6"/>
    <s v="NER"/>
    <s v="DEL"/>
    <d v="2021-05-25T00:00:00"/>
    <n v="1033"/>
    <s v="Nashik"/>
    <s v="M-U7D2S04V.005,_x000a_MO-U7F2S240.005"/>
    <s v="Done by NW"/>
    <s v="UAT2Y440.012"/>
    <s v="Done by NW"/>
    <d v="2024-05-01T00:00:00"/>
    <m/>
    <s v="Done by NW"/>
    <s v="Done by NW"/>
    <m/>
    <s v="Done by NW"/>
    <m/>
    <s v="Conv-B DONE"/>
    <s v="Done by NW"/>
    <s v="Done by NW"/>
    <m/>
    <m/>
    <m/>
    <m/>
    <m/>
    <s v="Conv-B DONE"/>
    <m/>
    <s v="Conv-B DONE"/>
    <d v="2024-07-26T00:00:00"/>
    <m/>
    <s v=" 15-12-23"/>
    <d v="2023-12-09T00:00:00"/>
    <d v="2024-08-08T00:00:00"/>
    <m/>
    <s v="Done"/>
    <m/>
  </r>
  <r>
    <n v="185"/>
    <n v="30643"/>
    <s v="HLC-A"/>
    <s v="STBDN1197HLCD"/>
    <x v="0"/>
    <s v="NR"/>
    <s v="DEL"/>
    <d v="2022-04-05T00:00:00"/>
    <m/>
    <s v="Nashik"/>
    <s v="U4J2S04V.005"/>
    <d v="2022-04-01T00:00:00"/>
    <s v="UAT2Y440.012"/>
    <d v="2022-04-01T00:00:00"/>
    <d v="2024-05-09T00:00:00"/>
    <m/>
    <s v="Conv-A DONE"/>
    <s v="Conv-A DONE"/>
    <s v="Conv-A DONE"/>
    <s v="Conv-A DONE"/>
    <s v="Conv-A DONE"/>
    <s v="Conv-A DONE"/>
    <s v="Conv-A DONE"/>
    <s v="Conv-A DONE"/>
    <m/>
    <m/>
    <m/>
    <m/>
    <m/>
    <s v="Conv-A DONE"/>
    <s v="Conv-A done"/>
    <s v="Conv-A DONE"/>
    <d v="2024-08-23T00:00:00"/>
    <m/>
    <d v="2024-05-09T00:00:00"/>
    <d v="2024-05-09T00:00:00"/>
    <d v="2024-09-13T00:00:00"/>
    <d v="2024-05-09T00:00:00"/>
    <d v="2025-06-16T00:00:00"/>
    <m/>
  </r>
  <r>
    <n v="186"/>
    <n v="30643"/>
    <s v="HLC-B"/>
    <s v="STBDN1194HLCD"/>
    <x v="0"/>
    <s v="NR"/>
    <s v="DEL"/>
    <d v="2022-04-05T00:00:00"/>
    <m/>
    <s v="Nashik"/>
    <s v="U4J2S04V.005"/>
    <d v="2022-04-01T00:00:00"/>
    <s v="UAT2Y440.012"/>
    <d v="2022-04-01T00:00:00"/>
    <d v="2024-05-09T00:00:00"/>
    <m/>
    <s v="Conv-B DONE"/>
    <s v="Conv-B DONE"/>
    <s v="Conv-B DONE"/>
    <s v="Conv-B DONE"/>
    <s v="Conv-B DONE"/>
    <s v="Conv-B DONE"/>
    <s v="Conv-B DONE"/>
    <s v="Conv-B DONE"/>
    <m/>
    <m/>
    <m/>
    <m/>
    <m/>
    <s v="Conv-B DONE"/>
    <s v="Conv-B done"/>
    <s v="Conv-B DONE"/>
    <d v="2024-08-23T00:00:00"/>
    <m/>
    <d v="2024-05-09T00:00:00"/>
    <d v="2024-05-09T00:00:00"/>
    <d v="2024-09-14T00:00:00"/>
    <d v="2024-05-09T00:00:00"/>
    <d v="2025-06-16T00:00:00"/>
    <m/>
  </r>
  <r>
    <n v="187"/>
    <n v="30654"/>
    <s v="HLC-A"/>
    <s v="STB1N1101HLCD"/>
    <x v="0"/>
    <s v="NR"/>
    <s v="DEL"/>
    <d v="2021-09-28T00:00:00"/>
    <m/>
    <s v="Nashik"/>
    <s v="U4J2S04V.005"/>
    <d v="2021-09-29T00:00:00"/>
    <s v="UAT2Y440.012"/>
    <d v="2021-09-29T00:00:00"/>
    <d v="2024-09-05T00:00:00"/>
    <m/>
    <m/>
    <m/>
    <s v="Conv-A DONE"/>
    <s v="Conv-A DONE"/>
    <s v="Conv-A DONE"/>
    <m/>
    <m/>
    <s v="Conv-A DONE"/>
    <m/>
    <m/>
    <m/>
    <m/>
    <m/>
    <s v="Conv-A DONE"/>
    <s v="Done"/>
    <s v="Conv-A done"/>
    <d v="2024-07-06T00:00:00"/>
    <m/>
    <s v="Conv-A done"/>
    <s v="Conv-A Done"/>
    <d v="2024-07-27T00:00:00"/>
    <d v="2024-02-19T00:00:00"/>
    <d v="2024-09-05T00:00:00"/>
    <m/>
  </r>
  <r>
    <n v="188"/>
    <n v="30654"/>
    <s v="HLC-B"/>
    <s v="STB1N1094HLCD"/>
    <x v="0"/>
    <s v="NR"/>
    <s v="DEL"/>
    <d v="2021-09-28T00:00:00"/>
    <m/>
    <s v="Nashik"/>
    <s v="U4J2S04V.005"/>
    <d v="2021-09-29T00:00:00"/>
    <s v="UAT2Y440.012"/>
    <d v="2021-09-29T00:00:00"/>
    <d v="2024-09-05T00:00:00"/>
    <m/>
    <m/>
    <m/>
    <s v="Conv-B DONE"/>
    <s v="Conv-B DONE"/>
    <s v="Conv-B DONE"/>
    <m/>
    <m/>
    <s v="Conv-B DONE"/>
    <m/>
    <m/>
    <m/>
    <m/>
    <m/>
    <s v="Conv-B DONE"/>
    <s v="Done"/>
    <s v="Conv-B done"/>
    <d v="2024-07-06T00:00:00"/>
    <m/>
    <s v="Conv-B done"/>
    <s v="Conv-B Done"/>
    <d v="2024-07-28T00:00:00"/>
    <d v="2024-02-19T00:00:00"/>
    <d v="2024-09-05T00:00:00"/>
    <m/>
  </r>
  <r>
    <n v="189"/>
    <n v="30663"/>
    <s v="HLC-B"/>
    <s v="STB5N1149HLCD"/>
    <x v="0"/>
    <s v="NR"/>
    <s v="DEL"/>
    <d v="2022-01-20T00:00:00"/>
    <m/>
    <s v="Nashik"/>
    <s v="M-U7D2S04V.005,_x000a_MO-U7F2S240.005"/>
    <d v="2021-11-11T00:00:00"/>
    <s v="UAT2Y440.012"/>
    <s v="Done by NW"/>
    <d v="2022-01-24T00:00:00"/>
    <m/>
    <m/>
    <m/>
    <s v="Conv-B DONE"/>
    <s v="Conv-B DONE"/>
    <s v="Conv-B DONE"/>
    <m/>
    <m/>
    <s v="Conv-B DONE"/>
    <m/>
    <m/>
    <m/>
    <m/>
    <m/>
    <s v="Conv-B DONE"/>
    <s v="Done"/>
    <s v="Done"/>
    <m/>
    <m/>
    <s v="Done without washer"/>
    <m/>
    <m/>
    <m/>
    <s v="already available "/>
    <m/>
  </r>
  <r>
    <n v="190"/>
    <n v="30675"/>
    <s v="HLC-A"/>
    <s v="STB1N1096HLCD"/>
    <x v="0"/>
    <s v="NR"/>
    <s v="DEL"/>
    <d v="2021-09-20T00:00:00"/>
    <m/>
    <s v="Nashik"/>
    <s v="U4J2S04V.005"/>
    <d v="2021-09-20T00:00:00"/>
    <s v="UAT2Y440.012"/>
    <d v="2021-09-20T00:00:00"/>
    <d v="2022-04-11T00:00:00"/>
    <m/>
    <m/>
    <m/>
    <s v="Conv-A DONE"/>
    <s v="Conv-A DONE"/>
    <s v="Conv-A DONE"/>
    <m/>
    <m/>
    <s v="Conv-A DONE"/>
    <m/>
    <m/>
    <m/>
    <m/>
    <m/>
    <s v="Conv-A DONE"/>
    <s v="Done"/>
    <s v="Conv-A DONE"/>
    <d v="2024-08-20T00:00:00"/>
    <m/>
    <s v="Done without washer"/>
    <d v="2024-09-27T00:00:00"/>
    <d v="2024-09-26T00:00:00"/>
    <m/>
    <d v="2024-09-27T00:00:00"/>
    <m/>
  </r>
  <r>
    <n v="191"/>
    <n v="30675"/>
    <s v="HLC-B"/>
    <s v="STB1N1097HLCD"/>
    <x v="0"/>
    <s v="NR"/>
    <s v="DEL"/>
    <d v="2021-09-20T00:00:00"/>
    <m/>
    <s v="Nashik"/>
    <s v="U4J2S04V.005"/>
    <d v="2021-09-20T00:00:00"/>
    <s v="UAT2Y440.012"/>
    <d v="2021-09-20T00:00:00"/>
    <d v="2022-04-11T00:00:00"/>
    <m/>
    <m/>
    <m/>
    <s v="Conv-B DONE"/>
    <s v="Conv-B DONE"/>
    <s v="Conv-B DONE"/>
    <m/>
    <m/>
    <s v="Conv-B DONE"/>
    <m/>
    <m/>
    <m/>
    <m/>
    <m/>
    <s v="Conv-B DONE"/>
    <s v="Done"/>
    <s v="Conv-B DONE"/>
    <d v="2024-08-20T00:00:00"/>
    <m/>
    <s v="Done without washer"/>
    <d v="2024-09-27T00:00:00"/>
    <d v="2024-09-26T00:00:00"/>
    <m/>
    <d v="2024-09-27T00:00:00"/>
    <m/>
  </r>
  <r>
    <n v="192"/>
    <n v="30684"/>
    <s v="HLC-A"/>
    <s v="STBDM1080HLCD"/>
    <x v="0"/>
    <s v="NR"/>
    <s v="DEL"/>
    <d v="2021-09-09T00:00:00"/>
    <m/>
    <s v="Nashik"/>
    <s v="U4J2S04V.005"/>
    <d v="2021-09-09T00:00:00"/>
    <s v="UAT2Y440.012"/>
    <d v="2021-09-09T00:00:00"/>
    <d v="2024-01-16T00:00:00"/>
    <m/>
    <m/>
    <s v="Conv-A DONE"/>
    <s v="Conv-A DONE"/>
    <s v="Conv-A DONE"/>
    <s v="Conv-A DONE"/>
    <m/>
    <s v="Conv-A DONE"/>
    <s v="Conv-A DONE"/>
    <m/>
    <m/>
    <m/>
    <m/>
    <m/>
    <s v="Conv-A DONE"/>
    <s v="Conv-A done"/>
    <s v="Conv-A DONE"/>
    <d v="2024-09-24T00:00:00"/>
    <m/>
    <s v="Conv-A DONE"/>
    <s v="Conv-A DONE"/>
    <s v="Conv-A DONE"/>
    <m/>
    <d v="2024-08-20T00:00:00"/>
    <m/>
  </r>
  <r>
    <n v="193"/>
    <n v="30684"/>
    <s v="HLC-B"/>
    <s v="STBDM1081HLCD"/>
    <x v="0"/>
    <s v="NR"/>
    <s v="DEL"/>
    <d v="2021-09-09T00:00:00"/>
    <m/>
    <s v="Nashik"/>
    <s v="U4J2S04V.005"/>
    <d v="2021-09-09T00:00:00"/>
    <s v="UAT2Y440.012"/>
    <d v="2021-09-09T00:00:00"/>
    <d v="2024-01-16T00:00:00"/>
    <m/>
    <m/>
    <s v="Conv-B DONE"/>
    <s v="Conv-B DONE"/>
    <s v="Conv-B DONE"/>
    <s v="Conv-B DONE"/>
    <m/>
    <s v="Conv-B DONE"/>
    <s v="Conv-B DONE"/>
    <m/>
    <m/>
    <m/>
    <m/>
    <m/>
    <s v="Conv-B DONE"/>
    <s v="Conv-B done"/>
    <s v="Conv-B DONE"/>
    <d v="2024-09-24T00:00:00"/>
    <m/>
    <s v="Conv-B DONE"/>
    <s v="Conv-B DONE"/>
    <s v="Conv-B DONE"/>
    <m/>
    <d v="2024-08-20T00:00:00"/>
    <m/>
  </r>
  <r>
    <n v="194"/>
    <n v="30704"/>
    <s v="HLC-A"/>
    <s v="STB5N1155HLCD"/>
    <x v="0"/>
    <s v="NR"/>
    <s v="DEL"/>
    <d v="2022-01-29T00:00:00"/>
    <m/>
    <s v="Nashik"/>
    <s v="U4J2S04V.005"/>
    <d v="2021-11-09T00:00:00"/>
    <s v="UAT2Y440.012"/>
    <s v="Done by NW"/>
    <d v="2024-07-05T00:00:00"/>
    <m/>
    <m/>
    <s v="Conv-A DONE"/>
    <s v="Conv-A DONE"/>
    <s v="Conv-A DONE"/>
    <s v="Conv-A DONE"/>
    <m/>
    <m/>
    <s v="Conv-A DONE"/>
    <m/>
    <m/>
    <m/>
    <m/>
    <m/>
    <s v="Conv-A DONE"/>
    <s v="Conv-A done"/>
    <s v="Conv-A DONE"/>
    <d v="2024-08-12T00:00:00"/>
    <s v="Done"/>
    <s v="Conv-A DONE"/>
    <s v="Conv-A DONE"/>
    <d v="2024-07-05T00:00:00"/>
    <s v="Conv-A DONE"/>
    <d v="2024-07-05T00:00:00"/>
    <m/>
  </r>
  <r>
    <n v="195"/>
    <n v="30704"/>
    <s v="HLC-B"/>
    <s v="STB5N1156HLCD"/>
    <x v="0"/>
    <s v="NR"/>
    <s v="DEL"/>
    <d v="2022-01-29T00:00:00"/>
    <m/>
    <s v="Nashik"/>
    <s v="U4J2S04V.005"/>
    <d v="2021-11-09T00:00:00"/>
    <s v="UAT2Y440.012"/>
    <s v="Done by NW"/>
    <d v="2024-07-05T00:00:00"/>
    <m/>
    <m/>
    <s v="Conv-B DONE"/>
    <s v="Conv-B DONE"/>
    <s v="Conv-B DONE"/>
    <s v="Conv-B DONE"/>
    <m/>
    <m/>
    <s v="Conv-B DONE"/>
    <m/>
    <m/>
    <m/>
    <m/>
    <m/>
    <s v="Conv-B DONE"/>
    <s v="Conv-B done"/>
    <s v="Conv-B DONE"/>
    <d v="2024-08-12T00:00:00"/>
    <s v="Done"/>
    <s v="Conv-B DONE"/>
    <s v="Conv-B DONE"/>
    <d v="2024-07-05T00:00:00"/>
    <s v="Conv-B DONE"/>
    <d v="2024-07-05T00:00:00"/>
    <m/>
  </r>
  <r>
    <n v="196"/>
    <n v="30705"/>
    <s v="HLC-A"/>
    <s v="STB1N1100HLCD"/>
    <x v="0"/>
    <s v="NR"/>
    <s v="DEL"/>
    <d v="2021-09-30T00:00:00"/>
    <m/>
    <s v="Nashik"/>
    <s v="U4J2S04V.005"/>
    <d v="2021-10-09T00:00:00"/>
    <s v="UAT2Y440.012"/>
    <d v="2021-10-09T00:00:00"/>
    <d v="2024-08-31T00:00:00"/>
    <m/>
    <m/>
    <m/>
    <s v="Conv-A DONE"/>
    <s v="Conv-A DONE"/>
    <s v="Conv-A DONE"/>
    <m/>
    <m/>
    <s v="Conv-A DONE"/>
    <m/>
    <m/>
    <m/>
    <m/>
    <m/>
    <s v="Conv-A DONE"/>
    <s v="Done"/>
    <s v="Conv-A done"/>
    <d v="2024-07-02T00:00:00"/>
    <m/>
    <s v="Done without washer"/>
    <s v="Conv-A DONE"/>
    <d v="2024-06-03T00:00:00"/>
    <m/>
    <d v="2024-08-31T00:00:00"/>
    <m/>
  </r>
  <r>
    <n v="197"/>
    <n v="30705"/>
    <s v="HLC-B"/>
    <s v="STB1N1095HLCD"/>
    <x v="0"/>
    <s v="NR"/>
    <s v="DEL"/>
    <d v="2021-09-30T00:00:00"/>
    <m/>
    <s v="Nashik"/>
    <s v="U4J2S04V.005"/>
    <d v="2021-10-09T00:00:00"/>
    <s v="UAT2Y440.012"/>
    <d v="2021-10-09T00:00:00"/>
    <d v="2024-08-31T00:00:00"/>
    <m/>
    <m/>
    <m/>
    <s v="Conv-B DONE"/>
    <s v="Conv-B DONE"/>
    <s v="Conv-B DONE"/>
    <m/>
    <m/>
    <s v="Conv-B DONE"/>
    <m/>
    <m/>
    <m/>
    <m/>
    <m/>
    <s v="Conv-B DONE"/>
    <s v="Done"/>
    <s v="Conv-B done"/>
    <d v="2024-07-02T00:00:00"/>
    <m/>
    <s v="Done without washer"/>
    <s v="Conv-B DONE"/>
    <d v="2024-06-08T00:00:00"/>
    <m/>
    <d v="2024-08-31T00:00:00"/>
    <m/>
  </r>
  <r>
    <n v="198"/>
    <n v="37124"/>
    <s v="HLC-A"/>
    <s v="STBDK0356HLCD"/>
    <x v="0"/>
    <s v="NR"/>
    <s v="DEL"/>
    <s v=" "/>
    <s v=" "/>
    <s v="Nashik"/>
    <s v="U7D2S04V.005"/>
    <d v="2021-10-07T00:00:00"/>
    <s v="UAT2Y440.012"/>
    <d v="2020-12-21T00:00:00"/>
    <d v="2024-05-01T00:00:00"/>
    <s v=" "/>
    <s v="Conv-A DONE"/>
    <s v="Conv-A DONE"/>
    <s v="Conv-A DONE"/>
    <s v="Conv-A DONE"/>
    <s v="Conv-A DONE"/>
    <s v=" "/>
    <s v=" "/>
    <s v="Conv-A DONE"/>
    <s v=" "/>
    <s v=" "/>
    <s v=" "/>
    <m/>
    <m/>
    <s v="Conv-A DONE"/>
    <s v="Done"/>
    <s v="Conv-A DONE"/>
    <d v="2024-07-05T00:00:00"/>
    <d v="2024-02-05T00:00:00"/>
    <s v="Conv-A DONE"/>
    <s v="Conv-A DONE"/>
    <s v="Conv-A DONE"/>
    <d v="2024-05-01T00:00:00"/>
    <d v="2024-11-07T00:00:00"/>
    <m/>
  </r>
  <r>
    <n v="199"/>
    <n v="37124"/>
    <s v="HLC-B"/>
    <s v="STB2L0410HLCD"/>
    <x v="0"/>
    <s v="NR"/>
    <s v="DEL"/>
    <s v=" "/>
    <s v=" "/>
    <s v="Nashik"/>
    <s v="U7D2S04V.005"/>
    <d v="2021-10-07T00:00:00"/>
    <s v="UAT2Y440.012"/>
    <d v="2020-12-21T00:00:00"/>
    <d v="2024-05-01T00:00:00"/>
    <s v=" "/>
    <s v="Conv-B DONE"/>
    <s v="Conv-B DONE"/>
    <s v="Conv-B DONE"/>
    <s v="Conv-B DONE"/>
    <s v="Conv-B DONE"/>
    <s v="1 no available"/>
    <s v=" "/>
    <s v="Conv-B DONE"/>
    <s v=" "/>
    <s v=" "/>
    <s v=" "/>
    <m/>
    <m/>
    <s v="Conv-B DONE"/>
    <s v="Conv-B done"/>
    <s v="Conv-B DONE"/>
    <d v="2024-07-05T00:00:00"/>
    <s v="Done"/>
    <s v="Conv-B DONE"/>
    <s v="Conv-B DONE"/>
    <s v="Conv-B DONE"/>
    <d v="2024-05-01T00:00:00"/>
    <d v="2024-11-07T00:00:00"/>
    <m/>
  </r>
  <r>
    <n v="200"/>
    <n v="30651"/>
    <s v="HLC-A"/>
    <s v="STB5N1153HLCD"/>
    <x v="1"/>
    <s v="NR"/>
    <s v="DEL"/>
    <m/>
    <m/>
    <s v="Nashik"/>
    <s v="U7D2S04V.005"/>
    <d v="2021-11-11T00:00:00"/>
    <s v="UAT2Y440.012"/>
    <s v="Done by NW"/>
    <d v="2022-04-18T00:00:00"/>
    <m/>
    <m/>
    <m/>
    <s v="Conv-A DONE"/>
    <s v="Conv-A DONE"/>
    <s v="Conv-A DONE"/>
    <s v="Conv-A DONE"/>
    <m/>
    <s v="Conv-A DONE"/>
    <s v="Conv-A DONE"/>
    <m/>
    <m/>
    <m/>
    <m/>
    <s v="Conv-A DONE"/>
    <s v="Conv-A done"/>
    <s v="Conv-A DONE"/>
    <d v="2024-07-29T00:00:00"/>
    <d v="2024-07-29T00:00:00"/>
    <d v="2024-07-29T00:00:00"/>
    <s v="Conv-A DONE"/>
    <s v="03.04.25"/>
    <m/>
    <s v="Done"/>
    <m/>
  </r>
  <r>
    <n v="201"/>
    <n v="30651"/>
    <s v="HLC-B"/>
    <s v="STB5N1154HLCD"/>
    <x v="1"/>
    <s v="NR"/>
    <s v="DEL"/>
    <m/>
    <m/>
    <s v="Nashik"/>
    <s v="U7D2S04V.005"/>
    <d v="2021-11-11T00:00:00"/>
    <s v="UAT2Y440.012"/>
    <s v="Done by NW"/>
    <d v="2022-04-18T00:00:00"/>
    <m/>
    <m/>
    <m/>
    <s v="Conv-B DONE"/>
    <s v="Conv-B DONE"/>
    <s v="Conv-B DONE"/>
    <s v="Conv-B DONE"/>
    <m/>
    <s v="Conv-B DONE"/>
    <s v="Conv-A DONE"/>
    <m/>
    <m/>
    <m/>
    <m/>
    <s v="Conv-B DONE"/>
    <s v="Conv-B done"/>
    <s v="Conv-B DONE"/>
    <d v="2024-07-29T00:00:00"/>
    <d v="2024-07-29T00:00:00"/>
    <d v="2024-07-29T00:00:00"/>
    <s v="Conv-B DONE"/>
    <s v="03.04.25"/>
    <m/>
    <s v="Done"/>
    <m/>
  </r>
  <r>
    <n v="202"/>
    <n v="30652"/>
    <s v="HLC-A"/>
    <s v="STB5N1148HLCD"/>
    <x v="7"/>
    <s v="NWR"/>
    <s v="DEL"/>
    <s v="27/12/2021"/>
    <m/>
    <s v="Nashik"/>
    <s v="U7D2S04V.005"/>
    <d v="2021-11-11T00:00:00"/>
    <s v="UAT2Y440.012"/>
    <s v="Done by NW"/>
    <d v="2023-12-27T00:00:00"/>
    <m/>
    <m/>
    <m/>
    <s v="Conv-A DONE"/>
    <s v="Conv-A DONE"/>
    <s v="Conv-A DONE"/>
    <m/>
    <m/>
    <s v="Conv-A DONE"/>
    <m/>
    <m/>
    <m/>
    <m/>
    <m/>
    <s v="DONE BY BGKT SHED"/>
    <m/>
    <s v="Conv-A DONE"/>
    <d v="2024-07-15T00:00:00"/>
    <s v="Conv-A DONE"/>
    <m/>
    <s v="Conv-A DONE"/>
    <m/>
    <m/>
    <m/>
    <m/>
  </r>
  <r>
    <n v="203"/>
    <n v="30652"/>
    <s v="HLC-B"/>
    <s v="STB5N1151HLCD"/>
    <x v="7"/>
    <s v="NWR"/>
    <s v="DEL"/>
    <s v="27/12/0221"/>
    <m/>
    <s v="Nashik"/>
    <s v="U7D2S04V.005"/>
    <d v="2021-11-11T00:00:00"/>
    <s v="UAT2Y440.012"/>
    <s v="Done by NW"/>
    <d v="2023-12-27T00:00:00"/>
    <m/>
    <m/>
    <m/>
    <s v="Conv-B DONE"/>
    <s v="Conv-B DONE"/>
    <s v="Conv-B DONE"/>
    <m/>
    <m/>
    <s v="Conv-B DONE"/>
    <m/>
    <m/>
    <m/>
    <m/>
    <m/>
    <s v="DONE BY BGKT SHED"/>
    <m/>
    <s v="Conv-B DONE"/>
    <d v="2024-07-15T00:00:00"/>
    <s v="Conv-B DONE"/>
    <m/>
    <s v="Conv-B DONE"/>
    <m/>
    <m/>
    <m/>
    <m/>
  </r>
  <r>
    <n v="204"/>
    <n v="30661"/>
    <s v="HLC-A"/>
    <s v="STB5N1159HLCD"/>
    <x v="1"/>
    <s v="NR"/>
    <s v="DEL"/>
    <m/>
    <m/>
    <s v="Nashik"/>
    <s v="U7D2S04V.005"/>
    <d v="2021-11-11T00:00:00"/>
    <s v="UAT2Y440.012"/>
    <s v="Done by NW"/>
    <d v="2022-01-24T00:00:00"/>
    <m/>
    <m/>
    <m/>
    <s v="Conv-A DONE"/>
    <s v="Conv-A DONE"/>
    <s v="Conv-A DONE"/>
    <s v="Conv-A DONE"/>
    <m/>
    <s v="Conv-A DONE"/>
    <s v="Conv-A DONE"/>
    <m/>
    <m/>
    <m/>
    <m/>
    <s v="Done by NW"/>
    <s v="Conv-A done"/>
    <s v="Conv-A DONE"/>
    <d v="2024-07-07T00:00:00"/>
    <m/>
    <m/>
    <m/>
    <d v="2025-03-11T00:00:00"/>
    <m/>
    <s v="Done"/>
    <m/>
  </r>
  <r>
    <n v="205"/>
    <n v="30661"/>
    <s v="HLC-B"/>
    <s v="STB5N1157HLCD"/>
    <x v="1"/>
    <s v="NR"/>
    <s v="DEL"/>
    <m/>
    <m/>
    <s v="Nashik"/>
    <s v="U7D2S04V.005"/>
    <d v="2021-11-11T00:00:00"/>
    <s v="UAT2Y440.012"/>
    <s v="Done by NW"/>
    <d v="2022-01-24T00:00:00"/>
    <m/>
    <m/>
    <m/>
    <s v="Conv-B DONE"/>
    <s v="Conv-B DONE"/>
    <s v="Conv-B DONE"/>
    <s v="Conv-B DONE"/>
    <m/>
    <s v="Conv-B DONE"/>
    <s v="Conv-B DONE"/>
    <m/>
    <m/>
    <m/>
    <m/>
    <s v="Done by NW"/>
    <s v="Conv-B done"/>
    <s v="Conv-B DONE"/>
    <d v="2024-07-07T00:00:00"/>
    <m/>
    <m/>
    <m/>
    <d v="2025-03-11T00:00:00"/>
    <m/>
    <s v="Done"/>
    <m/>
  </r>
  <r>
    <n v="206"/>
    <n v="30666"/>
    <s v="HLC-A"/>
    <s v="STB5N1150HLCD"/>
    <x v="0"/>
    <s v="NR"/>
    <s v="DEL"/>
    <d v="2022-01-10T00:00:00"/>
    <m/>
    <s v="Nashik"/>
    <s v="U7D2S04V.005"/>
    <d v="2021-11-11T00:00:00"/>
    <s v="UAT2Y440.012"/>
    <s v="Done by NW"/>
    <d v="2024-05-11T00:00:00"/>
    <m/>
    <s v="Conv-A DONE"/>
    <s v="Conv-A DONE"/>
    <s v="Conv-A DONE"/>
    <s v="Conv-A DONE"/>
    <s v="Conv-A DONE"/>
    <m/>
    <s v="Conv-A DONE"/>
    <s v="Conv-A DONE"/>
    <m/>
    <m/>
    <m/>
    <m/>
    <m/>
    <s v="Done by NW"/>
    <s v="Conv-B done"/>
    <s v="Conv-B DONE"/>
    <d v="2024-08-18T00:00:00"/>
    <d v="2024-08-18T00:00:00"/>
    <d v="2024-05-11T00:00:00"/>
    <d v="2024-05-11T00:00:00"/>
    <d v="2024-08-16T00:00:00"/>
    <d v="2024-05-11T00:00:00"/>
    <d v="2024-11-09T00:00:00"/>
    <m/>
  </r>
  <r>
    <n v="207"/>
    <n v="30666"/>
    <s v="HLC-B"/>
    <s v="STB5N1152HLCD"/>
    <x v="0"/>
    <s v="NR"/>
    <s v="DEL"/>
    <d v="2022-01-10T00:00:00"/>
    <m/>
    <s v="Nashik"/>
    <s v="U7D2S04V.005"/>
    <d v="2021-11-11T00:00:00"/>
    <s v="UAT2Y440.012"/>
    <s v="Done by NW"/>
    <d v="2024-05-11T00:00:00"/>
    <m/>
    <s v="Conv-B DONE"/>
    <s v="Conv-B DONE"/>
    <s v="Conv-B DONE"/>
    <s v="Conv-B DONE"/>
    <s v="Conv-B DONE"/>
    <m/>
    <s v="Conv-B DONE"/>
    <s v="Conv-B DONE"/>
    <m/>
    <m/>
    <m/>
    <m/>
    <m/>
    <s v="Done by NW"/>
    <s v="Done"/>
    <s v="Conv-A DONE"/>
    <d v="2024-08-18T00:00:00"/>
    <d v="2024-08-18T00:00:00"/>
    <d v="2024-05-11T00:00:00"/>
    <d v="2024-05-11T00:00:00"/>
    <d v="2024-08-16T00:00:00"/>
    <d v="2024-05-11T00:00:00"/>
    <d v="2024-11-09T00:00:00"/>
    <m/>
  </r>
  <r>
    <n v="208"/>
    <n v="30732"/>
    <s v="HLC-A"/>
    <s v="STBDN1199HLCD"/>
    <x v="0"/>
    <s v="NR"/>
    <s v="DEL"/>
    <d v="2022-04-09T00:00:00"/>
    <m/>
    <s v="Nashik"/>
    <s v="U7D2S04V.005"/>
    <d v="2021-10-09T00:00:00"/>
    <s v="UAT2Y440.012"/>
    <s v="Done by NW"/>
    <d v="2024-01-26T00:00:00"/>
    <m/>
    <s v="Conv-A DONE"/>
    <s v="Conv-A DONE"/>
    <s v="Conv-A DONE"/>
    <s v="Conv-A DONE"/>
    <s v="Conv-A DONE"/>
    <m/>
    <s v="Conv-A DONE"/>
    <s v="Conv-A DONE"/>
    <m/>
    <m/>
    <m/>
    <m/>
    <m/>
    <s v="Conv-A DONE"/>
    <s v="Done"/>
    <s v="Conv-A DONE"/>
    <d v="2024-08-10T00:00:00"/>
    <d v="2024-01-26T00:00:00"/>
    <s v="Done With washer "/>
    <s v="CONV-A DONE"/>
    <d v="2024-08-10T00:00:00"/>
    <d v="2024-01-26T00:00:00"/>
    <d v="2024-11-12T00:00:00"/>
    <m/>
  </r>
  <r>
    <n v="209"/>
    <n v="30732"/>
    <s v="HLC-B"/>
    <s v="STBDN1195HLCD"/>
    <x v="0"/>
    <s v="NR"/>
    <s v="DEL"/>
    <d v="2022-04-09T00:00:00"/>
    <m/>
    <s v="Nashik"/>
    <s v="U7D2S04V.005"/>
    <d v="2021-10-09T00:00:00"/>
    <s v="UAT2Y440.012"/>
    <s v="Done by NW"/>
    <d v="2024-01-26T00:00:00"/>
    <m/>
    <s v="Conv-B DONE"/>
    <s v="Conv-B DONE"/>
    <s v="Conv-B DONE"/>
    <s v="Conv-B DONE"/>
    <s v="Conv-B DONE"/>
    <m/>
    <s v="Conv-B DONE"/>
    <s v="Conv-B DONE"/>
    <m/>
    <m/>
    <m/>
    <m/>
    <m/>
    <s v="Conv-B DONE"/>
    <s v="Done"/>
    <s v="Conv-B DONE"/>
    <d v="2024-08-10T00:00:00"/>
    <d v="2024-01-26T00:00:00"/>
    <s v="Done with Washer "/>
    <s v="CONV-B DONE"/>
    <d v="2024-08-10T00:00:00"/>
    <d v="2024-01-26T00:00:00"/>
    <d v="2024-11-12T00:00:00"/>
    <m/>
  </r>
  <r>
    <n v="210"/>
    <n v="37543"/>
    <s v="HLC-A"/>
    <s v="STB5M0823HLCD"/>
    <x v="6"/>
    <s v="NER"/>
    <s v="DEL"/>
    <m/>
    <m/>
    <s v="Nashik"/>
    <s v="U7D2S04V.005"/>
    <m/>
    <s v="UAT2Y440.012"/>
    <d v="2022-02-21T00:00:00"/>
    <d v="2024-06-20T00:00:00"/>
    <m/>
    <s v="Done by NW"/>
    <s v="Done by NW"/>
    <m/>
    <m/>
    <m/>
    <s v="CONV-A-DONE"/>
    <s v="Done by NW"/>
    <s v="Conv-A DONE"/>
    <m/>
    <m/>
    <m/>
    <m/>
    <m/>
    <s v="Conv-A DONE"/>
    <m/>
    <s v="Conv-A DONE"/>
    <d v="2024-06-22T00:00:00"/>
    <m/>
    <d v="2023-12-15T00:00:00"/>
    <d v="2023-11-07T00:00:00"/>
    <d v="2024-09-13T00:00:00"/>
    <m/>
    <s v="Done"/>
    <m/>
  </r>
  <r>
    <n v="211"/>
    <n v="37543"/>
    <s v="HLC-B"/>
    <s v="STB8M0934HLCD"/>
    <x v="6"/>
    <s v="NER"/>
    <s v="DEL"/>
    <m/>
    <m/>
    <s v="Nashik"/>
    <s v="U7D2S04V.005"/>
    <m/>
    <s v="UAT2Y440.012"/>
    <d v="2022-02-21T00:00:00"/>
    <d v="2024-06-20T00:00:00"/>
    <m/>
    <s v="Done by NW"/>
    <s v="Done by NW"/>
    <m/>
    <m/>
    <m/>
    <s v="CONV-B-DONE"/>
    <s v="Done by NW"/>
    <s v="Conv-B DONE"/>
    <m/>
    <m/>
    <m/>
    <m/>
    <m/>
    <s v="Conv-B DONE"/>
    <m/>
    <s v="Conv-B DONE"/>
    <d v="2024-06-22T00:00:00"/>
    <m/>
    <d v="2023-12-15T00:00:00"/>
    <d v="2023-11-07T00:00:00"/>
    <d v="2024-09-14T00:00:00"/>
    <m/>
    <s v="Done"/>
    <m/>
  </r>
  <r>
    <n v="212"/>
    <n v="30210"/>
    <s v="HLC-A"/>
    <s v="STBDN1201HLCD"/>
    <x v="0"/>
    <s v="NR"/>
    <s v="DEL"/>
    <d v="2022-05-07T00:00:00"/>
    <m/>
    <s v="Nashik"/>
    <s v="M-U7D2S04V.005,_x000a_MO-U7F2S240.005"/>
    <d v="2022-05-09T00:00:00"/>
    <s v="UAT2Y440.012"/>
    <s v="Done by NW"/>
    <d v="2024-01-12T00:00:00"/>
    <m/>
    <m/>
    <s v="Done by NW"/>
    <s v="Conv-A DONE"/>
    <s v="Conv-A DONE"/>
    <s v="Conv-A DONE"/>
    <m/>
    <m/>
    <s v="Conv-A DONE"/>
    <s v="Conv-A DONE"/>
    <m/>
    <m/>
    <m/>
    <m/>
    <s v="Conv-A DONE"/>
    <s v="Done"/>
    <s v="Conv-A DONE"/>
    <d v="2024-08-28T00:00:00"/>
    <d v="2024-01-16T00:00:00"/>
    <s v="Conv-A DONE"/>
    <s v="Conv-A DONE"/>
    <s v="Conv-A DONE"/>
    <d v="2024-01-12T00:00:00"/>
    <d v="2024-08-31T00:00:00"/>
    <m/>
  </r>
  <r>
    <n v="213"/>
    <n v="30210"/>
    <s v="HLC-B"/>
    <s v="STBDN1200HLCD"/>
    <x v="0"/>
    <s v="NR"/>
    <s v="DEL"/>
    <d v="2022-05-07T00:00:00"/>
    <m/>
    <s v="Nashik"/>
    <s v="M-U7D2S04V.005,_x000a_MO-U7F2S240.005"/>
    <d v="2022-05-09T00:00:00"/>
    <s v="UAT2Y440.012"/>
    <s v="Done by NW"/>
    <d v="2024-01-12T00:00:00"/>
    <m/>
    <m/>
    <s v="Done by NW"/>
    <s v="Conv-B DONE"/>
    <s v="Conv-B DONE"/>
    <s v="Conv-B DONE"/>
    <m/>
    <m/>
    <s v="Conv-B DONE"/>
    <s v="Conv-B DONE"/>
    <m/>
    <m/>
    <m/>
    <m/>
    <s v="Conv-B DONE"/>
    <s v="Done"/>
    <s v="Conv-B DONE"/>
    <d v="2024-08-28T00:00:00"/>
    <s v="Conv-B DONE"/>
    <s v="Conv-B DONE"/>
    <s v="Conv-B DONE"/>
    <s v="Conv-B DONE"/>
    <d v="2024-01-12T00:00:00"/>
    <d v="2024-08-31T00:00:00"/>
    <m/>
  </r>
  <r>
    <n v="214"/>
    <n v="37134"/>
    <s v="HLC-A"/>
    <s v="STB OK0 295 HLCD"/>
    <x v="4"/>
    <s v="NCR"/>
    <s v="DEL"/>
    <m/>
    <m/>
    <s v="Nashik"/>
    <s v="U7D2S04V.005"/>
    <d v="2022-09-23T00:00:00"/>
    <s v="UAT2Y440.012"/>
    <s v="Done by Nw"/>
    <m/>
    <m/>
    <m/>
    <s v="Done by NW"/>
    <s v="Conv-A DONE"/>
    <s v="Conv-A DONE"/>
    <s v="Conv-A DONE"/>
    <m/>
    <s v="Conv-A DONE"/>
    <s v="Done by NW"/>
    <m/>
    <m/>
    <m/>
    <m/>
    <m/>
    <s v="Conv-A DONE"/>
    <m/>
    <m/>
    <d v="2024-05-18T00:00:00"/>
    <d v="2024-05-18T00:00:00"/>
    <d v="2023-07-19T00:00:00"/>
    <d v="2023-07-19T00:00:00"/>
    <d v="2023-07-19T00:00:00"/>
    <m/>
    <s v="done"/>
    <m/>
  </r>
  <r>
    <n v="215"/>
    <n v="37134"/>
    <s v="HLC-B"/>
    <s v="STB OK0 294 HLCD"/>
    <x v="4"/>
    <s v="NCR"/>
    <s v="DEL"/>
    <m/>
    <m/>
    <s v="Nashik"/>
    <s v="U7D2S04V.005"/>
    <d v="2022-09-23T00:00:00"/>
    <s v="UAT2Y440.012"/>
    <s v="Done by Nw"/>
    <m/>
    <m/>
    <m/>
    <s v="Done by NW"/>
    <s v="Conv-B DONE"/>
    <s v="Conv-B DONE"/>
    <s v="Conv-B DONE"/>
    <m/>
    <s v="Conv-B DONE"/>
    <s v="Done by NW"/>
    <m/>
    <m/>
    <m/>
    <m/>
    <m/>
    <s v="Conv-B DONE"/>
    <m/>
    <m/>
    <d v="2024-05-18T00:00:00"/>
    <d v="2024-05-18T00:00:00"/>
    <d v="2023-07-19T00:00:00"/>
    <d v="2023-07-19T00:00:00"/>
    <d v="2023-07-19T00:00:00"/>
    <m/>
    <s v="done"/>
    <m/>
  </r>
  <r>
    <n v="216"/>
    <n v="30360"/>
    <s v="HLC-A"/>
    <s v="STB4N1125HLCD"/>
    <x v="2"/>
    <s v="WCR"/>
    <s v="DEL"/>
    <m/>
    <m/>
    <m/>
    <m/>
    <m/>
    <m/>
    <m/>
    <d v="2023-12-16T00:00:00"/>
    <m/>
    <m/>
    <s v="Conv-A DONE"/>
    <m/>
    <s v="DONE"/>
    <m/>
    <s v="DONE"/>
    <s v="DONE"/>
    <s v="DONE"/>
    <s v="DONE"/>
    <m/>
    <m/>
    <m/>
    <m/>
    <s v="Con-A Done"/>
    <d v="2023-12-12T00:00:00"/>
    <d v="2023-12-12T00:00:00"/>
    <m/>
    <d v="2023-09-15T00:00:00"/>
    <d v="2023-12-12T00:00:00"/>
    <s v="DONE"/>
    <m/>
    <m/>
    <m/>
    <m/>
  </r>
  <r>
    <n v="217"/>
    <n v="30360"/>
    <s v="HLC-B"/>
    <s v="STB4N1124HLCD"/>
    <x v="2"/>
    <s v="WCR"/>
    <s v="DEL"/>
    <m/>
    <m/>
    <m/>
    <m/>
    <m/>
    <m/>
    <m/>
    <d v="2023-12-16T00:00:00"/>
    <m/>
    <m/>
    <s v="Conv-B DONE"/>
    <m/>
    <s v="DONE"/>
    <m/>
    <s v="DONE"/>
    <s v="DONE"/>
    <s v="DONE"/>
    <s v="DONE"/>
    <m/>
    <m/>
    <m/>
    <m/>
    <s v="Conv-B DONE"/>
    <d v="2023-12-12T00:00:00"/>
    <d v="2023-12-12T00:00:00"/>
    <m/>
    <d v="2023-09-15T00:00:00"/>
    <d v="2023-12-12T00:00:00"/>
    <s v="DONE"/>
    <m/>
    <m/>
    <m/>
    <m/>
  </r>
  <r>
    <n v="218"/>
    <n v="30650"/>
    <s v="HLC-A"/>
    <s v="STB5N1130HLCD"/>
    <x v="2"/>
    <s v="WCR"/>
    <s v="DEL"/>
    <m/>
    <m/>
    <m/>
    <m/>
    <m/>
    <m/>
    <m/>
    <d v="2025-02-10T00:00:00"/>
    <m/>
    <m/>
    <s v="Conv-A DONE"/>
    <s v="DONE"/>
    <s v="DONE"/>
    <m/>
    <s v="DONE"/>
    <s v="DONE"/>
    <s v="DONE"/>
    <s v="DONE"/>
    <m/>
    <m/>
    <m/>
    <m/>
    <s v="Done"/>
    <d v="2023-12-08T00:00:00"/>
    <s v="DONE"/>
    <d v="2024-06-28T00:00:00"/>
    <d v="2023-06-15T00:00:00"/>
    <d v="2023-12-08T00:00:00"/>
    <s v="DONE"/>
    <m/>
    <m/>
    <d v="2024-10-21T00:00:00"/>
    <m/>
  </r>
  <r>
    <n v="219"/>
    <n v="30650"/>
    <s v="HLC-B"/>
    <s v="STB5N1131HLCD"/>
    <x v="2"/>
    <s v="WCR"/>
    <s v="DEL"/>
    <m/>
    <m/>
    <m/>
    <m/>
    <m/>
    <m/>
    <m/>
    <d v="2025-02-10T00:00:00"/>
    <m/>
    <m/>
    <s v="Conv-B DONE"/>
    <s v="DONE"/>
    <s v="DONE"/>
    <m/>
    <s v="DONE"/>
    <s v="DONE"/>
    <s v="DONE"/>
    <s v="DONE"/>
    <m/>
    <m/>
    <m/>
    <m/>
    <s v="Done"/>
    <d v="2023-12-08T00:00:00"/>
    <s v="DONE"/>
    <d v="2024-06-28T00:00:00"/>
    <d v="2023-06-15T00:00:00"/>
    <d v="2023-12-08T00:00:00"/>
    <s v="DONE"/>
    <m/>
    <m/>
    <d v="2024-10-21T00:00:00"/>
    <m/>
  </r>
  <r>
    <n v="220"/>
    <n v="30376"/>
    <s v="HLC-A"/>
    <s v="STBDN1187HLCD"/>
    <x v="2"/>
    <s v="WCR"/>
    <s v="DEL"/>
    <m/>
    <m/>
    <m/>
    <m/>
    <m/>
    <m/>
    <m/>
    <d v="2025-01-08T00:00:00"/>
    <d v="2025-01-08T00:00:00"/>
    <m/>
    <s v="Conv-A DONE"/>
    <s v="DONE"/>
    <s v="DONE"/>
    <m/>
    <s v="DONE"/>
    <s v="DONE"/>
    <s v="DONE"/>
    <s v="DONE"/>
    <m/>
    <m/>
    <m/>
    <m/>
    <s v="Con-A Done"/>
    <d v="2023-12-09T00:00:00"/>
    <s v="DONE"/>
    <d v="2024-07-04T00:00:00"/>
    <d v="2023-08-15T00:00:00"/>
    <d v="2023-12-09T00:00:00"/>
    <s v="DONE"/>
    <d v="2025-01-08T00:00:00"/>
    <m/>
    <d v="2024-09-24T00:00:00"/>
    <m/>
  </r>
  <r>
    <n v="221"/>
    <n v="30376"/>
    <s v="HLC-B"/>
    <s v="STB2P1241HLCD"/>
    <x v="2"/>
    <s v="WCR"/>
    <s v="DEL"/>
    <m/>
    <m/>
    <m/>
    <m/>
    <m/>
    <m/>
    <m/>
    <d v="2025-01-08T00:00:00"/>
    <d v="2025-01-08T00:00:00"/>
    <m/>
    <s v="Conv-B DONE"/>
    <s v="DONE"/>
    <s v="DONE"/>
    <m/>
    <s v="DONE"/>
    <s v="DONE"/>
    <s v="DONE"/>
    <s v="DONE"/>
    <m/>
    <m/>
    <m/>
    <m/>
    <s v="Conv-B DONE"/>
    <d v="2023-12-09T00:00:00"/>
    <s v="DONE"/>
    <d v="2024-07-04T00:00:00"/>
    <d v="2023-08-15T00:00:00"/>
    <d v="2023-12-09T00:00:00"/>
    <s v="DONE"/>
    <d v="2025-01-08T00:00:00"/>
    <m/>
    <d v="2024-09-24T00:00:00"/>
    <m/>
  </r>
  <r>
    <n v="222"/>
    <n v="30361"/>
    <s v="HLC-A"/>
    <s v="STB2P1226HLCD"/>
    <x v="2"/>
    <s v="WCR"/>
    <s v="DEL"/>
    <m/>
    <m/>
    <m/>
    <m/>
    <m/>
    <m/>
    <m/>
    <d v="2025-02-24T00:00:00"/>
    <d v="2025-02-24T00:00:00"/>
    <m/>
    <s v="Conv-A DONE"/>
    <s v="DONE"/>
    <s v="DONE"/>
    <m/>
    <s v="DONE"/>
    <s v="DONE"/>
    <s v="DONE"/>
    <s v="DONE"/>
    <m/>
    <m/>
    <m/>
    <m/>
    <s v="Con-A Done"/>
    <d v="2023-08-06T00:00:00"/>
    <s v="DONE"/>
    <m/>
    <d v="2023-08-06T00:00:00"/>
    <m/>
    <s v="DONE"/>
    <m/>
    <m/>
    <d v="2024-08-20T00:00:00"/>
    <m/>
  </r>
  <r>
    <n v="223"/>
    <n v="30361"/>
    <s v="HLC-B"/>
    <s v="STB2P1227HLCD"/>
    <x v="2"/>
    <s v="WCR"/>
    <s v="DEL"/>
    <m/>
    <m/>
    <m/>
    <m/>
    <m/>
    <m/>
    <m/>
    <d v="2025-02-24T00:00:00"/>
    <d v="2025-02-24T00:00:00"/>
    <m/>
    <s v="Conv-B DONE"/>
    <s v="DONE"/>
    <s v="DONE"/>
    <m/>
    <s v="DONE"/>
    <s v="DONE"/>
    <s v="DONE"/>
    <s v="DONE"/>
    <m/>
    <m/>
    <m/>
    <m/>
    <s v="Conv-B DONE"/>
    <d v="2023-08-06T00:00:00"/>
    <s v="DONE"/>
    <m/>
    <d v="2023-08-06T00:00:00"/>
    <m/>
    <s v="DONE"/>
    <m/>
    <m/>
    <d v="2024-08-20T00:00:00"/>
    <m/>
  </r>
  <r>
    <n v="224"/>
    <n v="30377"/>
    <s v="HLC-A"/>
    <s v="STB2P1240HLCD"/>
    <x v="2"/>
    <s v="WCR"/>
    <s v="DEL"/>
    <m/>
    <m/>
    <m/>
    <m/>
    <m/>
    <m/>
    <m/>
    <d v="2025-02-20T00:00:00"/>
    <d v="2025-02-20T00:00:00"/>
    <m/>
    <s v="Conv-A DONE"/>
    <s v="DONE"/>
    <s v="DONE"/>
    <m/>
    <s v="DONE"/>
    <s v="DONE"/>
    <s v="DONE"/>
    <s v="DONE"/>
    <m/>
    <m/>
    <m/>
    <m/>
    <s v="Con-A Done"/>
    <s v="Done"/>
    <s v="DONE"/>
    <m/>
    <d v="2023-09-23T00:00:00"/>
    <s v="DONE"/>
    <s v="DONE"/>
    <m/>
    <m/>
    <d v="2024-10-26T00:00:00"/>
    <m/>
  </r>
  <r>
    <n v="225"/>
    <n v="30377"/>
    <s v="HLC-B"/>
    <s v="STBDN1186HLCD"/>
    <x v="2"/>
    <s v="WCR"/>
    <s v="DEL"/>
    <m/>
    <m/>
    <m/>
    <m/>
    <m/>
    <m/>
    <m/>
    <d v="2025-02-20T00:00:00"/>
    <d v="2025-02-20T00:00:00"/>
    <m/>
    <s v="Conv-B DONE"/>
    <s v="DONE"/>
    <s v="DONE"/>
    <m/>
    <s v="DONE"/>
    <s v="DONE"/>
    <s v="DONE"/>
    <s v="DONE"/>
    <m/>
    <m/>
    <m/>
    <m/>
    <s v="Conv-B DONE"/>
    <s v="Done"/>
    <s v="DONE"/>
    <m/>
    <d v="2023-09-23T00:00:00"/>
    <s v="DONE"/>
    <s v="DONE"/>
    <m/>
    <m/>
    <d v="2024-10-26T00:00:00"/>
    <m/>
  </r>
  <r>
    <n v="226"/>
    <n v="37596"/>
    <s v="HLC-A"/>
    <s v="STB5P1318HLCD"/>
    <x v="3"/>
    <s v="NER"/>
    <s v="DEL"/>
    <m/>
    <m/>
    <s v="Nashik"/>
    <m/>
    <s v="Done by NW"/>
    <s v="UAT2Y440.012"/>
    <s v="Done by NW"/>
    <m/>
    <m/>
    <s v="Done by NW"/>
    <s v="Done by NW"/>
    <m/>
    <m/>
    <s v="Conv-A DONE"/>
    <s v="Done by NW"/>
    <s v="Conv-A DONE"/>
    <s v="Done by NW"/>
    <m/>
    <m/>
    <m/>
    <m/>
    <m/>
    <s v="Done by NW"/>
    <s v="OK"/>
    <s v="Done by NW"/>
    <m/>
    <d v="2024-02-14T00:00:00"/>
    <d v="2024-02-14T00:00:00"/>
    <s v="DONE"/>
    <m/>
    <m/>
    <s v="14.09.24"/>
    <m/>
  </r>
  <r>
    <n v="227"/>
    <n v="37596"/>
    <s v="HLC-B"/>
    <s v="STB5P1319HLCD"/>
    <x v="3"/>
    <s v="NER"/>
    <s v="DEL"/>
    <m/>
    <m/>
    <s v="Nashik"/>
    <m/>
    <s v="Done by NW"/>
    <s v="UAT2Y440.012"/>
    <s v="Done by NW"/>
    <m/>
    <m/>
    <s v="Done by NW"/>
    <s v="Done by NW"/>
    <m/>
    <m/>
    <s v="Conv-B DONE"/>
    <s v="Done by NW"/>
    <s v="Conv-B DONE"/>
    <s v="Done by NW"/>
    <m/>
    <m/>
    <m/>
    <m/>
    <m/>
    <s v="Done by NW"/>
    <s v="OK"/>
    <s v="Done by NW"/>
    <m/>
    <d v="2024-02-14T00:00:00"/>
    <d v="2024-02-14T00:00:00"/>
    <s v="DONE"/>
    <m/>
    <m/>
    <s v="14.09.24"/>
    <m/>
  </r>
  <r>
    <n v="228"/>
    <n v="37597"/>
    <s v="HLC-A"/>
    <s v="STB4P1306HLCD"/>
    <x v="3"/>
    <s v="NER"/>
    <s v="DEL"/>
    <m/>
    <m/>
    <s v="Nashik"/>
    <m/>
    <s v="Done by NW"/>
    <s v="UAT2Y440.012"/>
    <s v="Done by NW"/>
    <m/>
    <m/>
    <s v="Done by NW"/>
    <s v="Done by NW"/>
    <m/>
    <s v="Conv-A DONE"/>
    <s v="Conv-A DONE"/>
    <s v="Done by NW"/>
    <s v="Conv-A DONE"/>
    <s v="Done by NW"/>
    <m/>
    <m/>
    <m/>
    <m/>
    <m/>
    <s v="Done by NW"/>
    <s v="OK"/>
    <s v="Done by NW"/>
    <d v="2024-06-26T00:00:00"/>
    <d v="2023-08-01T00:00:00"/>
    <d v="2024-02-01T00:00:00"/>
    <s v="DONE"/>
    <m/>
    <m/>
    <s v="21.11.24"/>
    <m/>
  </r>
  <r>
    <n v="229"/>
    <n v="37597"/>
    <s v="HLC-B"/>
    <s v="STB5P1314HLCD"/>
    <x v="3"/>
    <s v="NER"/>
    <s v="DEL"/>
    <m/>
    <m/>
    <s v="Nashik"/>
    <m/>
    <s v="Done by NW"/>
    <s v="UAT2Y440.012"/>
    <s v="Done by NW"/>
    <m/>
    <m/>
    <s v="Done by NW"/>
    <s v="Done by NW"/>
    <m/>
    <s v="Conv-B DONE"/>
    <s v="Conv-B DONE"/>
    <s v="Done by NW"/>
    <s v="Conv-B DONE"/>
    <s v="Done by NW"/>
    <m/>
    <m/>
    <m/>
    <m/>
    <m/>
    <s v="Done by NW"/>
    <s v="OK"/>
    <s v="Done by NW"/>
    <d v="2024-06-26T00:00:00"/>
    <d v="2023-08-01T00:00:00"/>
    <d v="2024-02-01T00:00:00"/>
    <s v="DONE"/>
    <m/>
    <m/>
    <s v="21.11.24"/>
    <m/>
  </r>
  <r>
    <n v="230"/>
    <n v="39216"/>
    <s v="HLC-A"/>
    <s v="STB2P1223HLCD"/>
    <x v="6"/>
    <s v="NER"/>
    <s v="DEL"/>
    <m/>
    <m/>
    <s v="Nashik"/>
    <m/>
    <s v="Done by NW"/>
    <s v="UAT2Y440.012"/>
    <s v="Done by NW"/>
    <d v="2024-06-22T00:00:00"/>
    <m/>
    <s v="Done by NW"/>
    <s v="Done by NW"/>
    <m/>
    <s v="Conv-A DONE"/>
    <s v="Conv-A DONE"/>
    <s v="Conv-A DONE"/>
    <m/>
    <s v="Done by NW"/>
    <m/>
    <m/>
    <m/>
    <m/>
    <m/>
    <m/>
    <m/>
    <s v="Conv-A DONE"/>
    <d v="2024-06-22T00:00:00"/>
    <m/>
    <d v="2024-06-22T00:00:00"/>
    <s v="Done"/>
    <d v="2024-07-27T00:00:00"/>
    <m/>
    <s v="Done"/>
    <m/>
  </r>
  <r>
    <n v="231"/>
    <n v="39216"/>
    <s v="HLC-B"/>
    <s v="STB2P1222HLCD"/>
    <x v="6"/>
    <s v="NER"/>
    <s v="DEL"/>
    <m/>
    <m/>
    <s v="Nashik"/>
    <m/>
    <s v="Done by NW"/>
    <s v="UAT2Y440.012"/>
    <s v="Done by NW"/>
    <d v="2024-06-22T00:00:00"/>
    <m/>
    <s v="Done by NW"/>
    <s v="Done by NW"/>
    <m/>
    <s v="Conv-B DONE"/>
    <s v="Conv-B DONE"/>
    <s v="Conv-B DONE"/>
    <m/>
    <s v="Done by NW"/>
    <m/>
    <m/>
    <m/>
    <m/>
    <m/>
    <m/>
    <m/>
    <s v="Conv-B DONE"/>
    <d v="2024-06-22T00:00:00"/>
    <m/>
    <d v="2024-06-22T00:00:00"/>
    <s v="Done"/>
    <d v="2024-07-28T00:00:00"/>
    <m/>
    <s v="Done"/>
    <m/>
  </r>
  <r>
    <n v="232"/>
    <n v="30380"/>
    <s v="HLC-A"/>
    <s v="STB9P1341HLCD"/>
    <x v="0"/>
    <s v="NR"/>
    <s v="DEL"/>
    <d v="2023-03-27T00:00:00"/>
    <m/>
    <s v="Nashik"/>
    <m/>
    <m/>
    <m/>
    <m/>
    <d v="2024-02-15T00:00:00"/>
    <m/>
    <m/>
    <m/>
    <m/>
    <m/>
    <m/>
    <m/>
    <m/>
    <m/>
    <m/>
    <m/>
    <m/>
    <m/>
    <m/>
    <s v="Conv- A done"/>
    <s v="Conv- A done"/>
    <s v="Conv-A done"/>
    <d v="2024-08-16T00:00:00"/>
    <s v="Conv-A done"/>
    <s v="Conv-A done"/>
    <s v="Conv-A done"/>
    <m/>
    <s v="Not Required"/>
    <d v="2025-05-20T00:00:00"/>
    <m/>
  </r>
  <r>
    <n v="233"/>
    <n v="30380"/>
    <s v="HLC-B"/>
    <s v="STB5P1327HLCD"/>
    <x v="0"/>
    <s v="NR"/>
    <s v="DEL"/>
    <d v="2023-03-27T00:00:00"/>
    <m/>
    <s v="Nashik"/>
    <m/>
    <m/>
    <m/>
    <m/>
    <d v="2024-02-15T00:00:00"/>
    <m/>
    <m/>
    <m/>
    <m/>
    <m/>
    <m/>
    <m/>
    <m/>
    <m/>
    <m/>
    <m/>
    <m/>
    <m/>
    <m/>
    <s v="Conv-B DONE"/>
    <s v="Conv-B done"/>
    <s v="Conv-B done"/>
    <d v="2024-08-16T00:00:00"/>
    <s v="Conv-B done"/>
    <s v="Conv-B done"/>
    <s v="Conv-B done"/>
    <m/>
    <s v="Not Required"/>
    <d v="2025-05-20T00:00:00"/>
    <m/>
  </r>
  <r>
    <n v="234"/>
    <n v="30279"/>
    <s v="HLC-A"/>
    <s v="STB9P1340HLCD"/>
    <x v="0"/>
    <s v="NR"/>
    <s v="DEL"/>
    <d v="2023-02-21T00:00:00"/>
    <m/>
    <s v="Nashik"/>
    <m/>
    <m/>
    <m/>
    <m/>
    <m/>
    <m/>
    <m/>
    <s v="Already done"/>
    <s v="Already done"/>
    <s v="Already done"/>
    <s v="Already done"/>
    <m/>
    <m/>
    <m/>
    <m/>
    <m/>
    <m/>
    <m/>
    <m/>
    <s v="Conv-A DONE"/>
    <s v="Done"/>
    <s v="Conv-A DONE"/>
    <d v="2024-07-21T00:00:00"/>
    <m/>
    <s v="Conv-A DONE"/>
    <s v="Conv-A DONE"/>
    <d v="2024-06-27T00:00:00"/>
    <m/>
    <d v="2024-09-23T00:00:00"/>
    <m/>
  </r>
  <r>
    <n v="235"/>
    <n v="30279"/>
    <s v="HLC-B"/>
    <s v="STB5P1326HLCD"/>
    <x v="0"/>
    <s v="NR"/>
    <s v="DEL"/>
    <d v="2023-02-21T00:00:00"/>
    <m/>
    <s v="Nashik"/>
    <m/>
    <m/>
    <m/>
    <m/>
    <m/>
    <m/>
    <m/>
    <s v="Already done"/>
    <s v="Already done"/>
    <s v="Already done"/>
    <s v="Already done"/>
    <m/>
    <m/>
    <m/>
    <m/>
    <m/>
    <m/>
    <m/>
    <m/>
    <s v="Conv-B DONE"/>
    <s v="Done"/>
    <s v="Conv-B DONE"/>
    <d v="2024-07-21T00:00:00"/>
    <m/>
    <s v="Conv-B DONE"/>
    <s v="Conv-B DONE"/>
    <d v="2024-06-27T00:00:00"/>
    <m/>
    <d v="2024-09-23T00:00:00"/>
    <m/>
  </r>
  <r>
    <n v="236"/>
    <n v="30214"/>
    <s v="HLC-A"/>
    <s v="STB3P1251HLCD"/>
    <x v="0"/>
    <s v="NR"/>
    <s v="DEL"/>
    <d v="2023-03-27T00:00:00"/>
    <m/>
    <s v="Nashik"/>
    <m/>
    <m/>
    <m/>
    <m/>
    <d v="2023-08-21T00:00:00"/>
    <m/>
    <m/>
    <s v="Already done"/>
    <m/>
    <m/>
    <m/>
    <m/>
    <m/>
    <s v="Already done"/>
    <m/>
    <m/>
    <m/>
    <m/>
    <m/>
    <s v="Already done"/>
    <s v="Conv-A done"/>
    <s v="Already done"/>
    <d v="2024-09-17T00:00:00"/>
    <d v="2024-09-17T00:00:00"/>
    <s v="Done without washer"/>
    <d v="2023-05-17T00:00:00"/>
    <d v="2024-09-17T00:00:00"/>
    <m/>
    <d v="2024-11-15T00:00:00"/>
    <m/>
  </r>
  <r>
    <n v="237"/>
    <n v="30214"/>
    <s v="HLC-B"/>
    <s v="STB3P1250HLCD"/>
    <x v="0"/>
    <s v="NR"/>
    <s v="DEL"/>
    <d v="2023-03-27T00:00:00"/>
    <m/>
    <s v="Nashik"/>
    <m/>
    <m/>
    <m/>
    <m/>
    <d v="2023-08-21T00:00:00"/>
    <m/>
    <m/>
    <s v="Already done"/>
    <m/>
    <m/>
    <m/>
    <m/>
    <m/>
    <s v="Already done"/>
    <m/>
    <m/>
    <m/>
    <m/>
    <m/>
    <s v="Already done"/>
    <s v="Conv-B done"/>
    <s v="Already done"/>
    <d v="2024-09-17T00:00:00"/>
    <d v="2024-09-17T00:00:00"/>
    <s v="Done without washer"/>
    <d v="2023-05-17T00:00:00"/>
    <d v="2024-09-17T00:00:00"/>
    <m/>
    <d v="2024-11-15T00:00:00"/>
    <m/>
  </r>
  <r>
    <n v="238"/>
    <n v="30218"/>
    <s v="HLC-A"/>
    <s v="STB2P1213HLCD"/>
    <x v="0"/>
    <s v="NR"/>
    <s v="DEL"/>
    <d v="2023-01-04T00:00:00"/>
    <m/>
    <s v="Nashik"/>
    <m/>
    <m/>
    <m/>
    <m/>
    <d v="2024-07-05T00:00:00"/>
    <m/>
    <m/>
    <s v="Already done"/>
    <s v="Already done"/>
    <s v="Already done"/>
    <s v="Already done"/>
    <m/>
    <m/>
    <s v="Already done"/>
    <m/>
    <m/>
    <m/>
    <m/>
    <m/>
    <s v="Already done"/>
    <s v="Done"/>
    <s v="already done"/>
    <d v="2024-07-06T00:00:00"/>
    <m/>
    <d v="2023-09-01T00:00:00"/>
    <s v="Conv-A dONE"/>
    <m/>
    <m/>
    <d v="2024-10-05T00:00:00"/>
    <m/>
  </r>
  <r>
    <n v="239"/>
    <n v="30218"/>
    <s v="HLC-B"/>
    <s v="STB2P1213HLCD"/>
    <x v="0"/>
    <s v="NR"/>
    <s v="DEL"/>
    <d v="2023-01-04T00:00:00"/>
    <m/>
    <s v="Nashik"/>
    <m/>
    <m/>
    <m/>
    <m/>
    <d v="2024-07-05T00:00:00"/>
    <m/>
    <m/>
    <s v="Already done"/>
    <s v="Already done"/>
    <s v="Already done"/>
    <s v="Already done"/>
    <m/>
    <m/>
    <s v="Already done"/>
    <m/>
    <m/>
    <m/>
    <m/>
    <m/>
    <s v="Already done"/>
    <s v="Done"/>
    <s v="Already done"/>
    <d v="2024-07-06T00:00:00"/>
    <m/>
    <d v="2023-09-01T00:00:00"/>
    <s v="CONV-B DONE"/>
    <m/>
    <m/>
    <d v="2024-10-05T00:00:00"/>
    <m/>
  </r>
  <r>
    <n v="240"/>
    <n v="30598"/>
    <s v="HLC-A"/>
    <s v="STB8J0144HLCD"/>
    <x v="0"/>
    <s v="NR"/>
    <s v="DEL"/>
    <d v="2017-11-11T00:00:00"/>
    <m/>
    <s v="Nashik"/>
    <m/>
    <m/>
    <m/>
    <m/>
    <d v="2023-05-30T00:00:00"/>
    <m/>
    <m/>
    <s v="Conv-A DONE"/>
    <m/>
    <m/>
    <m/>
    <m/>
    <s v="Conv-A DONE"/>
    <m/>
    <m/>
    <m/>
    <m/>
    <m/>
    <m/>
    <s v="Conv-A DONE"/>
    <s v="Conv-A done"/>
    <s v="Conv-A dONE"/>
    <d v="2024-07-12T00:00:00"/>
    <s v="Conv-A dONE"/>
    <s v="Done without washer"/>
    <s v="Conv-A dONE"/>
    <d v="2024-07-22T00:00:00"/>
    <m/>
    <d v="2024-09-03T00:00:00"/>
    <m/>
  </r>
  <r>
    <n v="241"/>
    <n v="30598"/>
    <s v="HLC-B"/>
    <s v="STB8J0145HLCD"/>
    <x v="0"/>
    <s v="NR"/>
    <s v="DEL"/>
    <d v="2017-11-11T00:00:00"/>
    <m/>
    <s v="Nashik"/>
    <m/>
    <m/>
    <m/>
    <m/>
    <m/>
    <m/>
    <m/>
    <s v="Conv-B DONE"/>
    <m/>
    <m/>
    <m/>
    <m/>
    <s v="Conv-B DONE"/>
    <m/>
    <m/>
    <m/>
    <m/>
    <m/>
    <m/>
    <s v="Conv-B DONE"/>
    <s v="Conv-B done"/>
    <s v="CONV-B DONE"/>
    <d v="2024-07-12T00:00:00"/>
    <s v="CONV-B DONE"/>
    <s v="Done without washer"/>
    <s v="CONV-B DONE"/>
    <d v="2024-07-22T00:00:00"/>
    <m/>
    <d v="2024-09-03T00:00:00"/>
    <m/>
  </r>
  <r>
    <n v="242"/>
    <n v="30548"/>
    <s v="HLC-A"/>
    <s v="STB8H0080HLCC"/>
    <x v="0"/>
    <s v="NR"/>
    <s v="DEL"/>
    <d v="2017-05-29T00:00:00"/>
    <n v="80"/>
    <s v="Nashik"/>
    <s v="M-U7D2S04V.005,_x000a_MO-U7F2S240.005"/>
    <d v="2020-08-18T00:00:00"/>
    <s v="UAT2Y440.012"/>
    <d v="2020-12-10T00:00:00"/>
    <d v="2024-07-10T00:00:00"/>
    <d v="2022-07-27T00:00:00"/>
    <m/>
    <s v="Done"/>
    <m/>
    <m/>
    <m/>
    <d v="2022-07-27T00:00:00"/>
    <d v="2022-07-27T00:00:00"/>
    <m/>
    <m/>
    <m/>
    <m/>
    <m/>
    <m/>
    <d v="2022-02-07T00:00:00"/>
    <s v="Done"/>
    <s v="Done"/>
    <s v="Done"/>
    <s v="Done"/>
    <s v="Done without washer"/>
    <s v="conv-A done"/>
    <d v="2024-07-10T00:00:00"/>
    <m/>
    <d v="2024-10-24T00:00:00"/>
    <m/>
  </r>
  <r>
    <n v="243"/>
    <n v="30548"/>
    <s v="HLC-B"/>
    <s v="STB8H0078HLCC"/>
    <x v="0"/>
    <s v="NR"/>
    <s v="DEL"/>
    <d v="2017-05-29T00:00:00"/>
    <n v="78"/>
    <s v="Nashik"/>
    <s v="M-U7D2S04V.005,_x000a_MO-U7F2S240.005"/>
    <d v="2020-08-18T00:00:00"/>
    <s v="UAT2Y440.012"/>
    <d v="2020-12-10T00:00:00"/>
    <d v="2024-07-10T00:00:00"/>
    <d v="2022-07-27T00:00:00"/>
    <m/>
    <s v="Done"/>
    <m/>
    <m/>
    <m/>
    <d v="2022-07-27T00:00:00"/>
    <d v="2022-07-27T00:00:00"/>
    <m/>
    <m/>
    <m/>
    <m/>
    <m/>
    <m/>
    <d v="2022-02-07T00:00:00"/>
    <s v="Done"/>
    <s v="done"/>
    <s v="Done"/>
    <s v="Done"/>
    <s v="Done without washer"/>
    <s v="Conv-B done"/>
    <d v="2024-07-10T00:00:00"/>
    <m/>
    <d v="2024-10-24T00:00:00"/>
    <m/>
  </r>
  <r>
    <n v="244"/>
    <n v="30536"/>
    <s v="HLC-A"/>
    <s v="STB7H0066HLCC"/>
    <x v="0"/>
    <s v="NR"/>
    <s v="DEL"/>
    <d v="2017-04-06T00:00:00"/>
    <n v="66"/>
    <s v="Nashik"/>
    <s v="M-U7D2S04V.005,_x000a_MO-U7F2S240.005"/>
    <d v="2020-08-16T00:00:00"/>
    <s v="UAT2Y440.012"/>
    <d v="2021-01-30T00:00:00"/>
    <m/>
    <d v="2022-06-05T00:00:00"/>
    <s v="Conv-B DONE"/>
    <s v="Conv-B DONE"/>
    <m/>
    <m/>
    <m/>
    <d v="2022-06-05T00:00:00"/>
    <d v="2022-06-05T00:00:00"/>
    <m/>
    <m/>
    <m/>
    <m/>
    <m/>
    <m/>
    <d v="2022-05-11T00:00:00"/>
    <s v="Done"/>
    <s v="done"/>
    <d v="2024-06-29T00:00:00"/>
    <d v="2024-06-29T00:00:00"/>
    <s v="Done without washer"/>
    <s v="Done"/>
    <d v="2024-06-29T00:00:00"/>
    <d v="2024-06-29T00:00:00"/>
    <s v="already available "/>
    <m/>
  </r>
  <r>
    <n v="245"/>
    <n v="30536"/>
    <s v="HLC-B"/>
    <s v="STB7H0067HLCC"/>
    <x v="0"/>
    <s v="NR"/>
    <s v="DEL"/>
    <d v="2017-04-06T00:00:00"/>
    <n v="67"/>
    <s v="Nashik"/>
    <s v="M-U7D2S04V.005,_x000a_MO-U7F2S240.005"/>
    <d v="2020-08-16T00:00:00"/>
    <s v="UAT2Y440.012"/>
    <d v="2021-01-30T00:00:00"/>
    <m/>
    <d v="2022-06-05T00:00:00"/>
    <s v="Conv-A DONE"/>
    <s v="Conv-A DONE"/>
    <m/>
    <m/>
    <m/>
    <d v="2022-06-05T00:00:00"/>
    <d v="2022-06-05T00:00:00"/>
    <m/>
    <m/>
    <m/>
    <m/>
    <m/>
    <m/>
    <d v="2022-05-11T00:00:00"/>
    <s v="Done"/>
    <s v="done"/>
    <d v="2024-06-29T00:00:00"/>
    <d v="2024-06-29T00:00:00"/>
    <s v="Done without washer"/>
    <s v="Done"/>
    <d v="2024-06-29T00:00:00"/>
    <d v="2024-06-29T00:00:00"/>
    <m/>
    <m/>
  </r>
  <r>
    <n v="246"/>
    <n v="39225"/>
    <s v="HLC-A"/>
    <s v="STB2P1216HLCD"/>
    <x v="3"/>
    <s v="NER"/>
    <s v="DEL"/>
    <m/>
    <m/>
    <s v="Nashik"/>
    <m/>
    <m/>
    <m/>
    <m/>
    <m/>
    <m/>
    <m/>
    <s v="Done by NW"/>
    <m/>
    <s v="Done by NW"/>
    <s v="Conv-A DONE"/>
    <s v="Done by NW"/>
    <s v="Done by NW"/>
    <s v="Done by NW"/>
    <m/>
    <m/>
    <m/>
    <m/>
    <m/>
    <s v="Done by NW"/>
    <m/>
    <s v="Done by NW"/>
    <d v="2024-06-26T00:00:00"/>
    <m/>
    <d v="2023-12-10T00:00:00"/>
    <s v="DONE"/>
    <m/>
    <m/>
    <s v="22.06.24"/>
    <m/>
  </r>
  <r>
    <n v="247"/>
    <n v="39225"/>
    <s v="HLC-B"/>
    <s v="STB2P1217HLCD"/>
    <x v="3"/>
    <s v="NER"/>
    <s v="DEL"/>
    <m/>
    <m/>
    <s v="Nashik"/>
    <m/>
    <m/>
    <m/>
    <m/>
    <m/>
    <m/>
    <m/>
    <s v="Done by NW"/>
    <m/>
    <s v="Done by NW"/>
    <s v="Conv-B DONE"/>
    <s v="Done by NW"/>
    <s v="Done by NW"/>
    <s v="Done by NW"/>
    <m/>
    <m/>
    <m/>
    <m/>
    <m/>
    <s v="Done by NW"/>
    <m/>
    <s v="Done by NW"/>
    <d v="2024-06-26T00:00:00"/>
    <m/>
    <d v="2023-12-10T00:00:00"/>
    <s v="DONE"/>
    <m/>
    <m/>
    <s v="22.06.24"/>
    <m/>
  </r>
  <r>
    <n v="248"/>
    <n v="39223"/>
    <s v="HLC-A"/>
    <s v="STB3P1242HLCD"/>
    <x v="3"/>
    <s v="NER"/>
    <s v="DEL"/>
    <m/>
    <m/>
    <s v="Nashik"/>
    <m/>
    <m/>
    <m/>
    <m/>
    <m/>
    <m/>
    <m/>
    <s v="Done by NW"/>
    <m/>
    <s v="Done by NW"/>
    <s v="Conv-A DONE"/>
    <s v="Done by NW"/>
    <s v="Done by NW"/>
    <s v="Done by NW"/>
    <m/>
    <m/>
    <m/>
    <m/>
    <m/>
    <s v="Done by NW"/>
    <m/>
    <s v="Done by NW"/>
    <d v="2024-06-27T00:00:00"/>
    <m/>
    <d v="2023-12-18T00:00:00"/>
    <s v="DONE"/>
    <m/>
    <m/>
    <s v="26.06.24"/>
    <m/>
  </r>
  <r>
    <n v="249"/>
    <n v="39223"/>
    <s v="HLC-B"/>
    <s v="STB2P1230HLCD"/>
    <x v="3"/>
    <s v="NER"/>
    <s v="DEL"/>
    <m/>
    <m/>
    <s v="Nashik"/>
    <m/>
    <m/>
    <m/>
    <m/>
    <m/>
    <m/>
    <m/>
    <s v="Done by NW"/>
    <m/>
    <s v="Done by NW"/>
    <s v="Conv-B DONE"/>
    <s v="Done by NW"/>
    <s v="Done by NW"/>
    <s v="Done by NW"/>
    <m/>
    <m/>
    <m/>
    <m/>
    <m/>
    <s v="Done by NW"/>
    <m/>
    <s v="Done by NW"/>
    <d v="2024-06-27T00:00:00"/>
    <m/>
    <d v="2023-12-18T00:00:00"/>
    <s v="DONE"/>
    <m/>
    <m/>
    <s v="26.06.24"/>
    <m/>
  </r>
  <r>
    <n v="250"/>
    <n v="39249"/>
    <s v="HLC-A"/>
    <s v="STB2R1409HLCD"/>
    <x v="6"/>
    <s v="NER"/>
    <s v="DEL"/>
    <m/>
    <m/>
    <s v="Nashik"/>
    <m/>
    <m/>
    <m/>
    <m/>
    <m/>
    <m/>
    <m/>
    <s v="Done by NW"/>
    <m/>
    <s v="Conv-A DONE"/>
    <s v="Conv-A DONE"/>
    <s v="Done by NW"/>
    <s v="Conv-A DONE"/>
    <s v="Done by NW"/>
    <m/>
    <m/>
    <m/>
    <m/>
    <m/>
    <s v="Done by NW"/>
    <s v="Done by NW"/>
    <s v="Done by NW"/>
    <d v="2024-07-17T00:00:00"/>
    <d v="2023-12-24T00:00:00"/>
    <d v="2023-12-24T00:00:00"/>
    <s v="DONE"/>
    <m/>
    <m/>
    <s v="Done"/>
    <m/>
  </r>
  <r>
    <n v="251"/>
    <n v="39249"/>
    <s v="HLC-B"/>
    <s v="STB2R1408HLCD"/>
    <x v="6"/>
    <s v="NER"/>
    <s v="DEL"/>
    <m/>
    <m/>
    <s v="Nashik"/>
    <m/>
    <m/>
    <m/>
    <m/>
    <m/>
    <m/>
    <m/>
    <s v="Done by NW"/>
    <m/>
    <s v="Conv-B DONE"/>
    <s v="Conv-B DONE"/>
    <s v="Done by NW"/>
    <s v="Conv-B DONE"/>
    <s v="Done by NW"/>
    <m/>
    <m/>
    <m/>
    <m/>
    <m/>
    <s v="Done by NW"/>
    <s v="Done by NW"/>
    <s v="Done by NW"/>
    <d v="2024-07-17T00:00:00"/>
    <d v="2023-12-24T00:00:00"/>
    <d v="2023-12-24T00:00:00"/>
    <s v="DONE"/>
    <m/>
    <m/>
    <s v="Done"/>
    <m/>
  </r>
  <r>
    <n v="252"/>
    <n v="37430"/>
    <s v="HLC-A"/>
    <s v="STB7M0859HLCD"/>
    <x v="3"/>
    <s v="ER"/>
    <s v="DEL"/>
    <m/>
    <m/>
    <s v="Nashik"/>
    <m/>
    <m/>
    <m/>
    <m/>
    <m/>
    <m/>
    <m/>
    <s v="Already done"/>
    <m/>
    <s v="Already done"/>
    <s v="Conv-A DONE"/>
    <s v="Already Done"/>
    <m/>
    <s v="Already done"/>
    <m/>
    <m/>
    <s v="Conv-A DONE"/>
    <m/>
    <m/>
    <s v="Conv-A DONE"/>
    <m/>
    <s v="Done by NW"/>
    <d v="2024-06-21T00:00:00"/>
    <s v="Already Done by HWH"/>
    <d v="2024-02-23T00:00:00"/>
    <s v="DONE"/>
    <d v="2024-06-19T00:00:00"/>
    <m/>
    <s v="19.06.24"/>
    <m/>
  </r>
  <r>
    <n v="253"/>
    <n v="37430"/>
    <s v="HLC-B"/>
    <s v="STB7M0858HLCD"/>
    <x v="3"/>
    <s v="ER"/>
    <s v="DEL"/>
    <m/>
    <m/>
    <s v="Nashik"/>
    <m/>
    <m/>
    <m/>
    <m/>
    <m/>
    <m/>
    <m/>
    <s v="Already done"/>
    <m/>
    <s v="Already done"/>
    <s v="Conv-B DONE"/>
    <s v="Already Done"/>
    <m/>
    <s v="Already done"/>
    <m/>
    <m/>
    <s v="Conv-B DONE"/>
    <m/>
    <m/>
    <s v="Conv-B DONE"/>
    <m/>
    <s v="Done by NW"/>
    <d v="2024-06-21T00:00:00"/>
    <s v="Already Done by HWH"/>
    <d v="2024-02-23T00:00:00"/>
    <s v="DONE"/>
    <d v="2024-06-19T00:00:00"/>
    <m/>
    <s v="19.06.24"/>
    <m/>
  </r>
  <r>
    <n v="254"/>
    <n v="37612"/>
    <s v="HLC-A"/>
    <s v="STB4P1292HLCD"/>
    <x v="3"/>
    <s v="NER"/>
    <s v="DEL"/>
    <m/>
    <m/>
    <s v="Nashik"/>
    <m/>
    <m/>
    <m/>
    <m/>
    <m/>
    <m/>
    <m/>
    <s v="Done by NW"/>
    <m/>
    <s v="Already done"/>
    <s v="Conv-A DONE"/>
    <s v="Already Done"/>
    <s v="Conv-A DONE"/>
    <s v="Already done"/>
    <m/>
    <m/>
    <m/>
    <m/>
    <m/>
    <s v="Done by NW"/>
    <s v="Done by NW"/>
    <s v="Done by NW"/>
    <m/>
    <d v="2023-11-15T00:00:00"/>
    <d v="2023-12-01T00:00:00"/>
    <s v="DONE"/>
    <m/>
    <m/>
    <s v="21.08.24"/>
    <m/>
  </r>
  <r>
    <n v="255"/>
    <n v="37612"/>
    <s v="HLC-B"/>
    <s v="STB4P1293HLCD"/>
    <x v="3"/>
    <s v="NER"/>
    <s v="DEL"/>
    <m/>
    <m/>
    <s v="Nashik"/>
    <m/>
    <m/>
    <m/>
    <m/>
    <m/>
    <m/>
    <m/>
    <s v="Done by NW"/>
    <m/>
    <s v="Already done"/>
    <s v="Conv-B DONE"/>
    <s v="Already Done"/>
    <s v="Conv-B DONE"/>
    <s v="Already done"/>
    <m/>
    <m/>
    <m/>
    <m/>
    <m/>
    <s v="Done by NW"/>
    <s v="Done by NW"/>
    <s v="Done by NW"/>
    <m/>
    <d v="2023-11-15T00:00:00"/>
    <d v="2023-12-01T00:00:00"/>
    <s v="DONE"/>
    <m/>
    <m/>
    <s v="21.08.24"/>
    <m/>
  </r>
  <r>
    <n v="256"/>
    <n v="37613"/>
    <s v="HLC-A"/>
    <s v="STB4P1308HLCD"/>
    <x v="3"/>
    <s v="NER"/>
    <s v="DEL"/>
    <m/>
    <m/>
    <s v="Nashik"/>
    <m/>
    <m/>
    <m/>
    <m/>
    <m/>
    <m/>
    <m/>
    <s v="Done by NW"/>
    <m/>
    <s v="Already done"/>
    <s v="Conv-A DONE"/>
    <s v="Already Done"/>
    <s v="Conv-A DONE"/>
    <s v="Already done"/>
    <m/>
    <m/>
    <m/>
    <m/>
    <m/>
    <s v="Done by NW"/>
    <s v="Done by NW"/>
    <s v="Done by NW"/>
    <d v="2024-06-28T00:00:00"/>
    <d v="2024-01-05T00:00:00"/>
    <d v="2024-01-05T00:00:00"/>
    <s v="DONE"/>
    <m/>
    <m/>
    <s v="17.07.24"/>
    <m/>
  </r>
  <r>
    <n v="257"/>
    <n v="37613"/>
    <s v="HLC-B"/>
    <s v="STB4P1309HLCD"/>
    <x v="3"/>
    <s v="NER"/>
    <s v="DEL"/>
    <m/>
    <m/>
    <s v="Nashik"/>
    <m/>
    <m/>
    <m/>
    <m/>
    <m/>
    <m/>
    <m/>
    <s v="Done by NW"/>
    <m/>
    <s v="Already done"/>
    <s v="Conv-B DONE"/>
    <s v="Already Done"/>
    <s v="Conv-B DONE"/>
    <s v="Already done"/>
    <m/>
    <m/>
    <m/>
    <m/>
    <m/>
    <s v="Done by NW"/>
    <s v="Done by NW"/>
    <s v="Done by NW"/>
    <d v="2024-06-28T00:00:00"/>
    <d v="2024-01-05T00:00:00"/>
    <d v="2024-01-05T00:00:00"/>
    <s v="DONE"/>
    <m/>
    <m/>
    <s v="17.07.24"/>
    <m/>
  </r>
  <r>
    <n v="258"/>
    <n v="30589"/>
    <s v="HLC-A"/>
    <s v="STB5J0092HLCC"/>
    <x v="2"/>
    <s v="SECR"/>
    <s v="DEL"/>
    <d v="2017-09-26T00:00:00"/>
    <n v="92"/>
    <s v="Nashik"/>
    <s v="U7D2S04V.005"/>
    <d v="2022-06-06T00:00:00"/>
    <s v="UAT2Y440.012"/>
    <d v="2022-06-06T00:00:00"/>
    <s v="O/W"/>
    <d v="2022-06-06T00:00:00"/>
    <m/>
    <s v="Conv-A DONE"/>
    <s v="Conv-A DONE"/>
    <s v="Conv-A DONE"/>
    <s v="Conv-A DONE"/>
    <m/>
    <m/>
    <s v="1 no available"/>
    <m/>
    <m/>
    <m/>
    <m/>
    <m/>
    <d v="2022-06-06T00:00:00"/>
    <d v="2024-01-29T00:00:00"/>
    <s v="Done"/>
    <m/>
    <d v="2024-05-11T00:00:00"/>
    <s v="Done"/>
    <s v="Checked"/>
    <d v="2024-08-05T00:00:00"/>
    <m/>
    <d v="2024-11-20T00:00:00"/>
    <m/>
  </r>
  <r>
    <n v="259"/>
    <n v="30589"/>
    <s v="HLC-B"/>
    <s v="STB5J0093HLCC"/>
    <x v="2"/>
    <s v="WCR"/>
    <s v="DEL"/>
    <d v="2017-09-26T00:00:00"/>
    <n v="93"/>
    <s v="Nashik"/>
    <s v="U7D2S04V.005"/>
    <d v="2022-06-06T00:00:00"/>
    <s v="UAT2Y440.012"/>
    <d v="2022-06-06T00:00:00"/>
    <s v="O/W"/>
    <d v="2022-06-06T00:00:00"/>
    <m/>
    <s v="Conv-B DONE"/>
    <s v="Conv-B DONE"/>
    <s v="Conv-B DONE"/>
    <s v="Conv-B DONE"/>
    <m/>
    <m/>
    <s v="1 no available"/>
    <m/>
    <m/>
    <m/>
    <m/>
    <m/>
    <d v="2022-06-06T00:00:00"/>
    <d v="2024-01-29T00:00:00"/>
    <s v="Done"/>
    <m/>
    <d v="2024-05-11T00:00:00"/>
    <s v="Done"/>
    <s v="Checked"/>
    <d v="2024-08-05T00:00:00"/>
    <m/>
    <d v="2024-11-20T00:00:00"/>
    <m/>
  </r>
  <r>
    <n v="260"/>
    <n v="30590"/>
    <s v="HLC-A"/>
    <s v="STB8J0138HLCD"/>
    <x v="2"/>
    <s v="WCR"/>
    <s v="DEL"/>
    <d v="2017-10-16T00:00:00"/>
    <n v="138"/>
    <s v="Nashik"/>
    <s v="U7D2S04V.005"/>
    <d v="2021-09-24T00:00:00"/>
    <s v="UAT2Y440.012"/>
    <d v="2021-09-24T00:00:00"/>
    <s v="O/W"/>
    <d v="2025-01-25T00:00:00"/>
    <m/>
    <s v="Conv-A DONE"/>
    <s v="Conv-A DONE"/>
    <s v="Conv-A DONE"/>
    <s v="Conv-A DONE"/>
    <m/>
    <m/>
    <s v="1 no available"/>
    <m/>
    <m/>
    <m/>
    <m/>
    <m/>
    <d v="2022-08-17T00:00:00"/>
    <s v="Done"/>
    <d v="2022-08-17T00:00:00"/>
    <m/>
    <d v="2024-04-13T00:00:00"/>
    <d v="2024-04-03T00:00:00"/>
    <s v="Checked"/>
    <d v="2024-04-08T00:00:00"/>
    <m/>
    <d v="2024-12-20T00:00:00"/>
    <m/>
  </r>
  <r>
    <n v="261"/>
    <n v="30590"/>
    <s v="HLC-B"/>
    <s v="STB8J0140HLCD"/>
    <x v="2"/>
    <s v="WCR"/>
    <s v="DEL"/>
    <d v="2017-10-16T00:00:00"/>
    <n v="140"/>
    <s v="Nashik"/>
    <s v="U7D2S04V.005"/>
    <d v="2021-09-24T00:00:00"/>
    <s v="UAT2Y440.012"/>
    <d v="2021-09-24T00:00:00"/>
    <s v="O/W"/>
    <d v="2025-01-25T00:00:00"/>
    <m/>
    <s v="Conv-B DONE"/>
    <s v="Conv-B DONE"/>
    <s v="Conv-B DONE"/>
    <s v="Conv-B DONE"/>
    <m/>
    <m/>
    <s v="1 no available"/>
    <m/>
    <m/>
    <m/>
    <m/>
    <m/>
    <d v="2022-08-17T00:00:00"/>
    <s v="Done"/>
    <d v="2022-08-17T00:00:00"/>
    <m/>
    <d v="2024-04-13T00:00:00"/>
    <d v="2024-04-03T00:00:00"/>
    <s v="Checked"/>
    <d v="2024-04-09T00:00:00"/>
    <m/>
    <d v="2024-12-20T00:00:00"/>
    <m/>
  </r>
  <r>
    <n v="262"/>
    <n v="30591"/>
    <s v="HLC-A"/>
    <s v="STB8J0135HLCD"/>
    <x v="2"/>
    <s v="WCR"/>
    <s v="DEL"/>
    <d v="2017-11-02T00:00:00"/>
    <n v="135"/>
    <s v="Nashik"/>
    <s v="U7D2S04V.005"/>
    <d v="2021-09-27T00:00:00"/>
    <s v="UAT2Y440.012"/>
    <d v="2021-09-27T00:00:00"/>
    <s v="O/W"/>
    <d v="2025-02-05T00:00:00"/>
    <m/>
    <s v="Conv-A DONE"/>
    <s v="Conv-A DONE"/>
    <s v="Conv-A DONE"/>
    <s v="Conv-A DONE"/>
    <m/>
    <m/>
    <s v="1 no available"/>
    <m/>
    <m/>
    <m/>
    <m/>
    <m/>
    <d v="2022-05-25T00:00:00"/>
    <m/>
    <d v="2022-05-25T00:00:00"/>
    <m/>
    <m/>
    <m/>
    <s v="Checked"/>
    <d v="2024-07-06T00:00:00"/>
    <m/>
    <d v="2024-10-16T00:00:00"/>
    <m/>
  </r>
  <r>
    <n v="263"/>
    <n v="30591"/>
    <s v="HLC-B"/>
    <s v="STB8J0134HLCD"/>
    <x v="2"/>
    <s v="WCR"/>
    <s v="DEL"/>
    <d v="2017-11-02T00:00:00"/>
    <n v="134"/>
    <s v="Nashik"/>
    <s v="U7D2S04V.005"/>
    <d v="2021-09-27T00:00:00"/>
    <s v="UAT2Y440.012"/>
    <d v="2021-09-27T00:00:00"/>
    <s v="O/W"/>
    <d v="2025-02-05T00:00:00"/>
    <m/>
    <s v="Conv-B DONE"/>
    <s v="Conv-B DONE"/>
    <s v="Conv-B DONE"/>
    <s v="Conv-B DONE"/>
    <m/>
    <m/>
    <s v="1 no available"/>
    <m/>
    <m/>
    <m/>
    <m/>
    <m/>
    <d v="2022-05-25T00:00:00"/>
    <m/>
    <d v="2022-05-25T00:00:00"/>
    <m/>
    <m/>
    <m/>
    <s v="Checked"/>
    <d v="2024-07-06T00:00:00"/>
    <m/>
    <d v="2024-10-16T00:00:00"/>
    <m/>
  </r>
  <r>
    <n v="264"/>
    <n v="30608"/>
    <s v="HLC-A"/>
    <s v="STB8J0147HLCD"/>
    <x v="2"/>
    <s v="WCR"/>
    <s v="DEL"/>
    <d v="2017-11-22T00:00:00"/>
    <n v="147"/>
    <s v="Nashik"/>
    <s v="U7D2S04V.005"/>
    <d v="2021-03-11T00:00:00"/>
    <s v="UAT2Y440.012"/>
    <d v="2022-06-11T00:00:00"/>
    <d v="2025-02-17T00:00:00"/>
    <d v="2025-02-17T00:00:00"/>
    <m/>
    <s v="Conv-A DONE"/>
    <m/>
    <s v="Conv-A DONE"/>
    <s v="Conv-A DONE"/>
    <m/>
    <s v="DONE"/>
    <s v="1 no available"/>
    <s v="DONE"/>
    <m/>
    <m/>
    <s v="EL18F06049-R"/>
    <m/>
    <s v="Done"/>
    <d v="2024-02-21T00:00:00"/>
    <s v="DONE"/>
    <m/>
    <d v="2024-02-19T00:00:00"/>
    <m/>
    <s v="Checked"/>
    <d v="2024-08-10T00:00:00"/>
    <m/>
    <d v="2024-09-25T00:00:00"/>
    <m/>
  </r>
  <r>
    <n v="265"/>
    <n v="30608"/>
    <s v="HLC-B"/>
    <s v="STB8J0153HLCD"/>
    <x v="2"/>
    <s v="WCR"/>
    <s v="DEL"/>
    <d v="2017-11-22T00:00:00"/>
    <n v="153"/>
    <s v="Nashik"/>
    <s v="U7D2S04V.005"/>
    <d v="2021-03-11T00:00:00"/>
    <s v="UAT2Y440.012"/>
    <d v="2022-06-11T00:00:00"/>
    <d v="2025-02-17T00:00:00"/>
    <d v="2025-02-17T00:00:00"/>
    <m/>
    <s v="Conv-B DONE"/>
    <m/>
    <s v="Conv-B DONE"/>
    <s v="Conv-B DONE"/>
    <m/>
    <s v="DONE"/>
    <s v="1 no available"/>
    <s v="DONE"/>
    <m/>
    <m/>
    <s v="EL19J04046-R"/>
    <m/>
    <s v="Done"/>
    <d v="2024-02-21T00:00:00"/>
    <s v="DONE"/>
    <m/>
    <d v="2024-02-19T00:00:00"/>
    <m/>
    <s v="Checked"/>
    <d v="2024-08-10T00:00:00"/>
    <m/>
    <d v="2024-09-25T00:00:00"/>
    <m/>
  </r>
  <r>
    <n v="266"/>
    <n v="30739"/>
    <s v="HLC-A"/>
    <s v="STBOM1028HLCD"/>
    <x v="2"/>
    <s v="WCR"/>
    <s v="DEL"/>
    <d v="2022-09-15T00:00:00"/>
    <m/>
    <s v="Nashik"/>
    <s v="U7D2S04V.005"/>
    <s v="from NW"/>
    <s v="UAT2Y440.012"/>
    <s v="from NW"/>
    <d v="2025-04-24T00:00:00"/>
    <d v="2025-04-24T00:00:00"/>
    <m/>
    <s v="from NW"/>
    <m/>
    <d v="2022-09-10T00:00:00"/>
    <d v="2022-09-10T00:00:00"/>
    <m/>
    <m/>
    <s v="1 no available"/>
    <m/>
    <m/>
    <m/>
    <m/>
    <m/>
    <s v="from NW"/>
    <m/>
    <m/>
    <m/>
    <m/>
    <m/>
    <s v="Checked"/>
    <m/>
    <m/>
    <m/>
    <m/>
  </r>
  <r>
    <n v="267"/>
    <n v="30739"/>
    <s v="HLC-B"/>
    <s v="STBDN1182HLCD"/>
    <x v="2"/>
    <s v="WCR"/>
    <s v="DEL"/>
    <d v="2022-09-15T00:00:00"/>
    <m/>
    <s v="Nashik"/>
    <s v="U7D2S04V.005"/>
    <s v="from NW"/>
    <s v="UAT2Y440.012"/>
    <s v="from NW"/>
    <d v="2025-04-24T00:00:00"/>
    <d v="2025-04-24T00:00:00"/>
    <m/>
    <s v="from NW"/>
    <m/>
    <d v="2022-09-10T00:00:00"/>
    <d v="2022-09-10T00:00:00"/>
    <m/>
    <m/>
    <s v="1 no available"/>
    <m/>
    <m/>
    <m/>
    <m/>
    <m/>
    <s v="from NW"/>
    <m/>
    <s v="from NW"/>
    <m/>
    <m/>
    <m/>
    <s v="Checked"/>
    <m/>
    <m/>
    <m/>
    <m/>
  </r>
  <r>
    <n v="268"/>
    <n v="30428"/>
    <s v="HLC-1"/>
    <s v="STBOP1365HLCD"/>
    <x v="2"/>
    <s v="WCR"/>
    <s v="DEL"/>
    <m/>
    <m/>
    <m/>
    <m/>
    <m/>
    <m/>
    <m/>
    <d v="2025-01-15T00:00:00"/>
    <m/>
    <m/>
    <s v="Conv-A DONE"/>
    <s v="DONE"/>
    <s v="DONE"/>
    <m/>
    <s v="DONE"/>
    <s v="DONE"/>
    <s v="DONE"/>
    <s v="DONE"/>
    <m/>
    <m/>
    <m/>
    <m/>
    <s v="Done"/>
    <d v="2023-12-19T00:00:00"/>
    <s v="DONE"/>
    <m/>
    <s v="DONE"/>
    <s v="DONE"/>
    <s v="DONE"/>
    <m/>
    <m/>
    <d v="2024-08-26T00:00:00"/>
    <m/>
  </r>
  <r>
    <n v="269"/>
    <n v="30428"/>
    <s v="HLC-1"/>
    <s v="STBOP1364HLCD"/>
    <x v="2"/>
    <s v="WCR"/>
    <s v="DEL"/>
    <m/>
    <m/>
    <m/>
    <m/>
    <m/>
    <m/>
    <m/>
    <d v="2025-01-15T00:00:00"/>
    <m/>
    <m/>
    <s v="Conv-B DONE"/>
    <s v="DONE"/>
    <s v="DONE"/>
    <m/>
    <s v="DONE"/>
    <s v="DONE"/>
    <s v="DONE"/>
    <s v="DONE"/>
    <m/>
    <m/>
    <m/>
    <m/>
    <s v="Done"/>
    <d v="2023-12-19T00:00:00"/>
    <s v="DONE"/>
    <m/>
    <s v="DONE"/>
    <s v="DONE"/>
    <s v="DONE"/>
    <m/>
    <m/>
    <d v="2024-08-26T00:00:00"/>
    <m/>
  </r>
  <r>
    <n v="270"/>
    <n v="30343"/>
    <s v="HLC-2"/>
    <s v="STBDP1372HLCD"/>
    <x v="2"/>
    <s v="WCR"/>
    <s v="DEL"/>
    <d v="2023-03-26T00:00:00"/>
    <m/>
    <s v="Nashik"/>
    <m/>
    <m/>
    <m/>
    <m/>
    <d v="2025-01-24T00:00:00"/>
    <d v="2025-01-24T00:00:00"/>
    <m/>
    <s v="Conv-A DONE"/>
    <s v="DONE"/>
    <s v="DONE"/>
    <m/>
    <s v="DONE"/>
    <s v="DONE"/>
    <s v="DONE"/>
    <s v="DONE"/>
    <m/>
    <m/>
    <m/>
    <m/>
    <s v="Done"/>
    <s v="DONE"/>
    <s v="DONE"/>
    <m/>
    <d v="2023-05-24T00:00:00"/>
    <d v="2023-12-24T00:00:00"/>
    <s v="DONE"/>
    <m/>
    <m/>
    <d v="2024-08-24T00:00:00"/>
    <m/>
  </r>
  <r>
    <n v="271"/>
    <n v="30343"/>
    <s v="HLC-1"/>
    <s v="STBDP1373HLCD"/>
    <x v="2"/>
    <s v="WCR"/>
    <s v="DEL"/>
    <d v="2023-03-26T00:00:00"/>
    <m/>
    <s v="Nashik"/>
    <m/>
    <m/>
    <m/>
    <m/>
    <d v="2025-01-24T00:00:00"/>
    <d v="2025-01-24T00:00:00"/>
    <m/>
    <s v="Conv-B DONE"/>
    <s v="DONE"/>
    <s v="DONE"/>
    <m/>
    <s v="DONE"/>
    <s v="DONE"/>
    <s v="DONE"/>
    <s v="DONE"/>
    <m/>
    <m/>
    <m/>
    <m/>
    <s v="Done"/>
    <s v="DONE"/>
    <s v="DONE"/>
    <m/>
    <d v="2023-05-24T00:00:00"/>
    <d v="2023-12-24T00:00:00"/>
    <s v="DONE"/>
    <m/>
    <m/>
    <d v="2024-08-24T00:00:00"/>
    <m/>
  </r>
  <r>
    <n v="272"/>
    <n v="30336"/>
    <s v="HLC-2"/>
    <s v="STBDP1378HLCD"/>
    <x v="2"/>
    <s v="WCR"/>
    <s v="DEL"/>
    <m/>
    <m/>
    <s v="Nashik"/>
    <m/>
    <m/>
    <m/>
    <m/>
    <d v="2025-03-25T00:00:00"/>
    <d v="2025-03-25T00:00:00"/>
    <m/>
    <s v="Conv-A DONE"/>
    <s v="DONE"/>
    <s v="DONE"/>
    <m/>
    <s v="DONE"/>
    <s v="DONE"/>
    <s v="DONE"/>
    <s v="DONE"/>
    <m/>
    <m/>
    <m/>
    <m/>
    <s v="Done"/>
    <s v="DONE"/>
    <s v="DONE"/>
    <m/>
    <m/>
    <s v="DONE"/>
    <s v="DONE"/>
    <m/>
    <m/>
    <d v="2024-11-28T00:00:00"/>
    <m/>
  </r>
  <r>
    <n v="273"/>
    <n v="30336"/>
    <s v="HLC-1"/>
    <s v="STBDP1374HLCD"/>
    <x v="2"/>
    <s v="WCR"/>
    <s v="DEL"/>
    <m/>
    <m/>
    <m/>
    <m/>
    <m/>
    <m/>
    <m/>
    <d v="2025-03-25T00:00:00"/>
    <d v="2025-03-25T00:00:00"/>
    <m/>
    <s v="Conv-B DONE"/>
    <s v="DONE"/>
    <s v="DONE"/>
    <m/>
    <s v="DONE"/>
    <s v="DONE"/>
    <s v="DONE"/>
    <s v="DONE"/>
    <m/>
    <m/>
    <m/>
    <m/>
    <s v="Done"/>
    <s v="DONE"/>
    <s v="DONE"/>
    <m/>
    <m/>
    <s v="DONE"/>
    <s v="DONE"/>
    <m/>
    <m/>
    <d v="2024-11-28T00:00:00"/>
    <m/>
  </r>
  <r>
    <n v="274"/>
    <n v="30396"/>
    <s v="HLC-2"/>
    <s v="STB3P1366HLCD"/>
    <x v="2"/>
    <s v="WCR"/>
    <s v="DEL"/>
    <m/>
    <m/>
    <m/>
    <m/>
    <m/>
    <m/>
    <m/>
    <m/>
    <m/>
    <m/>
    <s v="Conv-A DONE"/>
    <s v="DONE"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11-23T00:00:00"/>
    <m/>
  </r>
  <r>
    <n v="275"/>
    <n v="30396"/>
    <s v="HLC-1"/>
    <s v="STB3P1275HLCD"/>
    <x v="2"/>
    <s v="WCR"/>
    <s v="DEL"/>
    <m/>
    <m/>
    <m/>
    <m/>
    <m/>
    <m/>
    <m/>
    <m/>
    <m/>
    <m/>
    <s v="Conv-B DONE"/>
    <s v="DONE"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11-23T00:00:00"/>
    <m/>
  </r>
  <r>
    <n v="276"/>
    <n v="30520"/>
    <s v="HLC-2"/>
    <s v="STBDP1393HLCD"/>
    <x v="2"/>
    <s v="WCR"/>
    <s v="DEL"/>
    <m/>
    <m/>
    <m/>
    <m/>
    <m/>
    <m/>
    <m/>
    <d v="2025-01-31T00:00:00"/>
    <m/>
    <m/>
    <s v="Conv-A DONE"/>
    <s v="DONE"/>
    <s v="DONE"/>
    <m/>
    <s v="DONE"/>
    <m/>
    <s v="DONE"/>
    <s v="DONE"/>
    <m/>
    <m/>
    <m/>
    <m/>
    <s v="Done"/>
    <s v="DONE"/>
    <s v="DONE"/>
    <m/>
    <s v="DONE"/>
    <s v="DONE"/>
    <s v="DONE"/>
    <m/>
    <m/>
    <d v="2024-09-20T00:00:00"/>
    <m/>
  </r>
  <r>
    <n v="277"/>
    <n v="30520"/>
    <s v="HLC-1"/>
    <s v="STBDP1392HLCD"/>
    <x v="2"/>
    <s v="WCR"/>
    <s v="DEL"/>
    <m/>
    <m/>
    <m/>
    <m/>
    <m/>
    <m/>
    <m/>
    <d v="2024-04-13T00:00:00"/>
    <m/>
    <m/>
    <s v="Conv-B DONE"/>
    <s v="DONE"/>
    <s v="DONE"/>
    <m/>
    <s v="DONE"/>
    <m/>
    <s v="DONE"/>
    <s v="DONE"/>
    <m/>
    <m/>
    <m/>
    <m/>
    <s v="Done"/>
    <s v="DONE"/>
    <s v="DONE"/>
    <m/>
    <s v="DONE"/>
    <s v="DONE"/>
    <s v="DONE"/>
    <m/>
    <m/>
    <d v="2024-09-20T00:00:00"/>
    <m/>
  </r>
  <r>
    <n v="278"/>
    <n v="30356"/>
    <s v="HLC-2"/>
    <s v="STBDN1188HLCD"/>
    <x v="2"/>
    <s v="WCR"/>
    <s v="DEL"/>
    <m/>
    <m/>
    <m/>
    <m/>
    <m/>
    <m/>
    <m/>
    <d v="2025-01-06T00:00:00"/>
    <d v="2025-01-06T00:00:00"/>
    <m/>
    <s v="Conv-A DONE"/>
    <m/>
    <s v="DONE"/>
    <m/>
    <d v="2024-02-10T00:00:00"/>
    <d v="2024-02-12T00:00:00"/>
    <s v="DONE"/>
    <s v="DONE"/>
    <m/>
    <m/>
    <m/>
    <m/>
    <s v="Done"/>
    <d v="2024-02-12T00:00:00"/>
    <s v="DONE"/>
    <d v="2024-06-22T00:00:00"/>
    <m/>
    <d v="2024-02-09T00:00:00"/>
    <s v="DONE"/>
    <m/>
    <m/>
    <d v="2024-09-05T00:00:00"/>
    <m/>
  </r>
  <r>
    <n v="279"/>
    <n v="30356"/>
    <s v="HLC-1"/>
    <s v="STBDN1189HLCD"/>
    <x v="2"/>
    <s v="WCR"/>
    <s v="DEL"/>
    <m/>
    <m/>
    <m/>
    <m/>
    <m/>
    <m/>
    <m/>
    <d v="2025-01-06T00:00:00"/>
    <d v="2025-01-06T00:00:00"/>
    <m/>
    <s v="Conv-B DONE"/>
    <m/>
    <s v="DONE"/>
    <m/>
    <d v="2024-02-10T00:00:00"/>
    <d v="2024-02-12T00:00:00"/>
    <s v="DONE"/>
    <s v="DONE"/>
    <m/>
    <m/>
    <m/>
    <m/>
    <s v="Done"/>
    <d v="2024-02-12T00:00:00"/>
    <s v="DONE"/>
    <d v="2024-06-22T00:00:00"/>
    <d v="2024-02-17T00:00:00"/>
    <d v="2024-02-09T00:00:00"/>
    <s v="DONE"/>
    <m/>
    <m/>
    <d v="2024-09-05T00:00:00"/>
    <m/>
  </r>
  <r>
    <n v="280"/>
    <n v="30721"/>
    <s v="HLC-1"/>
    <s v="STBOP1368HLCD"/>
    <x v="2"/>
    <s v="WCR"/>
    <s v="DEL"/>
    <m/>
    <m/>
    <m/>
    <m/>
    <m/>
    <m/>
    <m/>
    <d v="2025-03-12T00:00:00"/>
    <d v="2025-03-12T00:00:00"/>
    <m/>
    <s v="Conv-A DONE"/>
    <d v="2024-01-10T00:00:00"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11-18T00:00:00"/>
    <m/>
  </r>
  <r>
    <n v="281"/>
    <n v="30721"/>
    <s v="HLC-2"/>
    <s v="STBOP1369HLCD"/>
    <x v="2"/>
    <s v="WCR"/>
    <s v="DEL"/>
    <m/>
    <m/>
    <m/>
    <m/>
    <m/>
    <m/>
    <m/>
    <d v="2025-03-12T00:00:00"/>
    <d v="2025-03-12T00:00:00"/>
    <m/>
    <s v="Conv-B DONE"/>
    <d v="2024-01-10T00:00:00"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11-18T00:00:00"/>
    <m/>
  </r>
  <r>
    <n v="282"/>
    <n v="30373"/>
    <s v="HLC-1"/>
    <m/>
    <x v="2"/>
    <s v="WCR"/>
    <s v="DEL"/>
    <m/>
    <m/>
    <m/>
    <m/>
    <m/>
    <m/>
    <m/>
    <d v="2025-03-24T00:00:00"/>
    <m/>
    <m/>
    <s v="Conv-A DONE"/>
    <d v="2024-01-06T00:00:00"/>
    <s v="DONE"/>
    <m/>
    <d v="2024-01-06T00:00:00"/>
    <d v="2024-01-06T00:00:00"/>
    <d v="2024-01-06T00:00:00"/>
    <d v="2024-01-06T00:00:00"/>
    <m/>
    <m/>
    <m/>
    <m/>
    <s v="Done"/>
    <s v="DONE"/>
    <d v="2024-01-06T00:00:00"/>
    <m/>
    <d v="2024-01-06T00:00:00"/>
    <d v="2024-01-06T00:00:00"/>
    <s v="DONE"/>
    <m/>
    <m/>
    <d v="2024-10-14T00:00:00"/>
    <m/>
  </r>
  <r>
    <n v="283"/>
    <n v="30373"/>
    <s v="HLC-2"/>
    <m/>
    <x v="2"/>
    <s v="WCR"/>
    <s v="DEL"/>
    <m/>
    <m/>
    <m/>
    <m/>
    <m/>
    <m/>
    <m/>
    <d v="2025-03-24T00:00:00"/>
    <m/>
    <m/>
    <s v="Conv-B DONE"/>
    <d v="2024-01-06T00:00:00"/>
    <s v="DONE"/>
    <m/>
    <d v="2024-01-06T00:00:00"/>
    <d v="2024-01-06T00:00:00"/>
    <d v="2024-01-06T00:00:00"/>
    <d v="2024-01-06T00:00:00"/>
    <m/>
    <m/>
    <m/>
    <m/>
    <s v="Done"/>
    <s v="DONE"/>
    <d v="2024-01-06T00:00:00"/>
    <m/>
    <d v="2024-01-06T00:00:00"/>
    <d v="2024-01-06T00:00:00"/>
    <s v="DONE"/>
    <m/>
    <m/>
    <d v="2024-10-14T00:00:00"/>
    <m/>
  </r>
  <r>
    <n v="284"/>
    <n v="30721"/>
    <s v="HLC-1"/>
    <m/>
    <x v="2"/>
    <s v="WCR"/>
    <s v="DEL"/>
    <m/>
    <m/>
    <m/>
    <m/>
    <m/>
    <m/>
    <m/>
    <d v="2025-03-12T00:00:00"/>
    <d v="2025-03-12T00:00:00"/>
    <m/>
    <m/>
    <m/>
    <m/>
    <m/>
    <m/>
    <m/>
    <m/>
    <s v="Conv-A DONE"/>
    <m/>
    <m/>
    <m/>
    <m/>
    <s v="Conv-A DONE"/>
    <m/>
    <m/>
    <m/>
    <m/>
    <m/>
    <s v="Conv-A DONE"/>
    <m/>
    <m/>
    <d v="2024-11-18T00:00:00"/>
    <m/>
  </r>
  <r>
    <n v="285"/>
    <n v="30721"/>
    <s v="HLC-2"/>
    <m/>
    <x v="2"/>
    <s v="WCR"/>
    <s v="DEL"/>
    <m/>
    <m/>
    <m/>
    <m/>
    <m/>
    <m/>
    <m/>
    <d v="2025-03-12T00:00:00"/>
    <d v="2025-03-12T00:00:00"/>
    <m/>
    <m/>
    <m/>
    <m/>
    <m/>
    <m/>
    <m/>
    <m/>
    <s v="Conv-B DONE"/>
    <m/>
    <m/>
    <m/>
    <m/>
    <s v="Conv-B DONE"/>
    <m/>
    <m/>
    <m/>
    <m/>
    <m/>
    <s v="Conv-B DONE"/>
    <m/>
    <m/>
    <d v="2024-11-18T00:00:00"/>
    <m/>
  </r>
  <r>
    <n v="286"/>
    <n v="30397"/>
    <s v="HLC-1"/>
    <s v="STB3P1274HLCD"/>
    <x v="2"/>
    <s v="WCR"/>
    <s v="DEL"/>
    <m/>
    <m/>
    <m/>
    <m/>
    <m/>
    <m/>
    <m/>
    <d v="2025-02-27T00:00:00"/>
    <m/>
    <m/>
    <s v="Conv-A DONE"/>
    <m/>
    <s v="DONE"/>
    <m/>
    <s v="DONE"/>
    <s v="DONE"/>
    <s v="DONE"/>
    <s v="Conv-A DONE"/>
    <m/>
    <m/>
    <m/>
    <m/>
    <s v="Conv-A DONE"/>
    <s v="DONE"/>
    <s v="DONE"/>
    <d v="2024-06-29T00:00:00"/>
    <d v="2024-04-24T00:00:00"/>
    <s v="DONE"/>
    <s v="Conv-A DONE"/>
    <m/>
    <m/>
    <d v="2024-01-13T00:00:00"/>
    <m/>
  </r>
  <r>
    <n v="287"/>
    <n v="30397"/>
    <s v="HLC-2"/>
    <s v="STB0P1367HLCD"/>
    <x v="2"/>
    <s v="WCR"/>
    <s v="DEL"/>
    <m/>
    <m/>
    <m/>
    <m/>
    <m/>
    <m/>
    <m/>
    <d v="2025-02-27T00:00:00"/>
    <m/>
    <m/>
    <s v="Conv-B DONE"/>
    <m/>
    <s v="DONE"/>
    <m/>
    <s v="DONE"/>
    <s v="DONE"/>
    <s v="DONE"/>
    <s v="Conv-B DONE"/>
    <m/>
    <m/>
    <m/>
    <m/>
    <s v="Conv-B DONE"/>
    <s v="DONE"/>
    <s v="DONE"/>
    <d v="2024-06-29T00:00:00"/>
    <d v="2024-04-24T00:00:00"/>
    <s v="DONE"/>
    <s v="Conv-B DONE"/>
    <m/>
    <m/>
    <d v="2024-01-13T00:00:00"/>
    <m/>
  </r>
  <r>
    <n v="288"/>
    <n v="30451"/>
    <s v="HLC-1"/>
    <s v="STBOP1363HLCD"/>
    <x v="2"/>
    <s v="WCR"/>
    <s v="DEL"/>
    <m/>
    <m/>
    <m/>
    <m/>
    <m/>
    <m/>
    <m/>
    <d v="2025-02-22T00:00:00"/>
    <m/>
    <m/>
    <s v="Conv-A DONE"/>
    <m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09-16T00:00:00"/>
    <m/>
  </r>
  <r>
    <n v="289"/>
    <n v="30451"/>
    <s v="HLC-2"/>
    <s v="STBDP1377HLCD"/>
    <x v="2"/>
    <s v="WCR"/>
    <s v="DEL"/>
    <m/>
    <m/>
    <m/>
    <m/>
    <m/>
    <m/>
    <m/>
    <d v="2025-02-22T00:00:00"/>
    <m/>
    <m/>
    <s v="Conv-B DONE"/>
    <m/>
    <s v="DONE"/>
    <m/>
    <s v="DONE"/>
    <s v="DONE"/>
    <s v="DONE"/>
    <s v="DONE"/>
    <m/>
    <m/>
    <m/>
    <m/>
    <s v="Done"/>
    <s v="DONE"/>
    <s v="DONE"/>
    <m/>
    <s v="DONE"/>
    <s v="DONE"/>
    <s v="DONE"/>
    <m/>
    <m/>
    <d v="2024-09-16T00:00:00"/>
    <m/>
  </r>
  <r>
    <n v="290"/>
    <n v="30456"/>
    <s v="HLC-1"/>
    <s v="STBDP1395HLCD"/>
    <x v="2"/>
    <s v="WCR"/>
    <s v="DEL"/>
    <m/>
    <m/>
    <m/>
    <m/>
    <m/>
    <m/>
    <m/>
    <d v="2025-01-08T00:00:00"/>
    <m/>
    <m/>
    <m/>
    <m/>
    <m/>
    <m/>
    <m/>
    <m/>
    <m/>
    <s v="Conv-A DONE"/>
    <m/>
    <m/>
    <m/>
    <m/>
    <s v="Conv-A DONE"/>
    <m/>
    <m/>
    <m/>
    <m/>
    <m/>
    <s v="Conv-A DONE"/>
    <m/>
    <m/>
    <d v="2024-09-19T00:00:00"/>
    <m/>
  </r>
  <r>
    <n v="291"/>
    <n v="30456"/>
    <s v="HLC-2"/>
    <s v="STBDP1394HLCD"/>
    <x v="2"/>
    <s v="WCR"/>
    <s v="DEL"/>
    <m/>
    <m/>
    <m/>
    <m/>
    <m/>
    <m/>
    <m/>
    <d v="2025-01-08T00:00:00"/>
    <m/>
    <m/>
    <m/>
    <m/>
    <m/>
    <m/>
    <m/>
    <m/>
    <m/>
    <s v="Conv-B DONE"/>
    <m/>
    <m/>
    <m/>
    <m/>
    <s v="Conv-B DONE"/>
    <m/>
    <m/>
    <m/>
    <m/>
    <m/>
    <s v="Conv-B DONE"/>
    <m/>
    <m/>
    <d v="2024-09-19T00:00:00"/>
    <m/>
  </r>
  <r>
    <n v="292"/>
    <n v="30442"/>
    <s v="HLC-1"/>
    <s v="STBDP1399HLCD"/>
    <x v="2"/>
    <s v="WCR"/>
    <s v="DEL"/>
    <m/>
    <m/>
    <m/>
    <m/>
    <m/>
    <m/>
    <m/>
    <m/>
    <m/>
    <m/>
    <m/>
    <m/>
    <m/>
    <m/>
    <m/>
    <m/>
    <m/>
    <s v="Conv-A DONE"/>
    <m/>
    <m/>
    <m/>
    <m/>
    <s v="Conv-A DONE"/>
    <m/>
    <m/>
    <m/>
    <m/>
    <m/>
    <s v="Conv-A DONE"/>
    <m/>
    <m/>
    <m/>
    <m/>
  </r>
  <r>
    <n v="293"/>
    <n v="30460"/>
    <s v="HLC-2"/>
    <s v="STBDP1398HLCD"/>
    <x v="2"/>
    <s v="WCR"/>
    <s v="DEL"/>
    <m/>
    <m/>
    <m/>
    <m/>
    <m/>
    <m/>
    <m/>
    <d v="2024-10-29T00:00:00"/>
    <d v="2024-12-16T00:00:00"/>
    <m/>
    <m/>
    <m/>
    <m/>
    <m/>
    <m/>
    <m/>
    <m/>
    <s v="Conv-B DONE"/>
    <m/>
    <m/>
    <m/>
    <m/>
    <s v="Conv-B DONE"/>
    <m/>
    <m/>
    <m/>
    <m/>
    <m/>
    <s v="Conv-B DONE"/>
    <m/>
    <m/>
    <d v="2024-10-24T00:00:00"/>
    <m/>
  </r>
  <r>
    <n v="294"/>
    <n v="30519"/>
    <s v="HLC-1"/>
    <s v="STBDP1375HLCD"/>
    <x v="2"/>
    <s v="WCR"/>
    <s v="DEL"/>
    <m/>
    <m/>
    <m/>
    <m/>
    <m/>
    <m/>
    <m/>
    <d v="2025-01-13T00:00:00"/>
    <m/>
    <m/>
    <m/>
    <m/>
    <m/>
    <m/>
    <m/>
    <m/>
    <m/>
    <s v="Conv-A DONE"/>
    <m/>
    <m/>
    <m/>
    <m/>
    <s v="Conv-A DONE"/>
    <m/>
    <m/>
    <m/>
    <m/>
    <m/>
    <s v="Conv-A DONE"/>
    <m/>
    <m/>
    <m/>
    <m/>
  </r>
  <r>
    <n v="295"/>
    <n v="30519"/>
    <s v="HLC-2"/>
    <s v="STBDP1379HLCD"/>
    <x v="2"/>
    <s v="WCR"/>
    <s v="DEL"/>
    <m/>
    <m/>
    <m/>
    <m/>
    <m/>
    <m/>
    <m/>
    <d v="2025-01-13T00:00:00"/>
    <m/>
    <m/>
    <m/>
    <m/>
    <m/>
    <m/>
    <m/>
    <m/>
    <m/>
    <s v="Conv-B DONE"/>
    <m/>
    <m/>
    <m/>
    <m/>
    <s v="Conv-B DONE"/>
    <m/>
    <m/>
    <m/>
    <m/>
    <m/>
    <s v="Conv-B DONE"/>
    <m/>
    <m/>
    <m/>
    <m/>
  </r>
  <r>
    <n v="296"/>
    <n v="30352"/>
    <s v="HLC-1"/>
    <s v="STBOP1370HLCD"/>
    <x v="2"/>
    <s v="WCR"/>
    <s v="DEL"/>
    <m/>
    <m/>
    <m/>
    <m/>
    <m/>
    <m/>
    <m/>
    <d v="2025-01-21T00:00:00"/>
    <m/>
    <m/>
    <m/>
    <m/>
    <m/>
    <m/>
    <m/>
    <m/>
    <m/>
    <s v="Conv-A DONE"/>
    <m/>
    <m/>
    <m/>
    <m/>
    <s v="Conv-A DONE"/>
    <m/>
    <m/>
    <m/>
    <m/>
    <m/>
    <s v="Conv-A DONE"/>
    <m/>
    <m/>
    <d v="2024-08-21T00:00:00"/>
    <m/>
  </r>
  <r>
    <n v="297"/>
    <n v="30352"/>
    <s v="HLC-2"/>
    <s v="STBOP1371HLCD"/>
    <x v="2"/>
    <s v="WCR"/>
    <s v="DEL"/>
    <m/>
    <m/>
    <m/>
    <m/>
    <m/>
    <m/>
    <m/>
    <d v="2025-01-21T00:00:00"/>
    <m/>
    <m/>
    <m/>
    <m/>
    <m/>
    <m/>
    <m/>
    <m/>
    <m/>
    <s v="Conv-B DONE"/>
    <m/>
    <m/>
    <m/>
    <m/>
    <s v="Conv-B DONE"/>
    <m/>
    <m/>
    <m/>
    <m/>
    <m/>
    <s v="Conv-B DONE"/>
    <m/>
    <m/>
    <d v="2024-08-21T00:00:00"/>
    <m/>
  </r>
  <r>
    <n v="298"/>
    <n v="39213"/>
    <s v="HLC-1"/>
    <s v="STB2P1213HLCD"/>
    <x v="4"/>
    <s v="NCR"/>
    <s v="DEL"/>
    <d v="2022-12-20T00:00:00"/>
    <m/>
    <s v="Nashik"/>
    <m/>
    <m/>
    <m/>
    <m/>
    <d v="2024-06-25T00:00:00"/>
    <m/>
    <s v="Conv-A DONE"/>
    <s v="Conv-A DONE"/>
    <s v="Conv-A DONE"/>
    <s v="Conv-A DONE"/>
    <m/>
    <m/>
    <s v="Conv-A DONE"/>
    <m/>
    <m/>
    <m/>
    <m/>
    <m/>
    <m/>
    <s v="Conv-A DONE"/>
    <m/>
    <s v="Conv-A DONE"/>
    <d v="2024-07-19T00:00:00"/>
    <d v="2024-07-19T00:00:00"/>
    <d v="2024-02-01T00:00:00"/>
    <s v="Conv-A DONE"/>
    <m/>
    <s v="New Loco"/>
    <s v="done"/>
    <m/>
  </r>
  <r>
    <n v="299"/>
    <n v="39213"/>
    <s v="HLC-2"/>
    <s v="STB2P1212HLCD"/>
    <x v="4"/>
    <s v="NCR"/>
    <s v="DEL"/>
    <d v="2022-12-20T00:00:00"/>
    <m/>
    <s v="Nashik"/>
    <m/>
    <m/>
    <m/>
    <m/>
    <d v="2024-06-25T00:00:00"/>
    <m/>
    <s v="Conv-B DONE"/>
    <s v="Conv-B DONE"/>
    <s v="Conv-B DONE"/>
    <s v="Conv-B DONE"/>
    <m/>
    <m/>
    <s v="Conv-B DONE"/>
    <m/>
    <m/>
    <m/>
    <m/>
    <m/>
    <m/>
    <s v="Conv-B DONE"/>
    <m/>
    <s v="Conv-B DONE"/>
    <d v="2024-07-19T00:00:00"/>
    <d v="2024-07-19T00:00:00"/>
    <d v="2024-02-02T00:00:00"/>
    <s v="Conv-B DONE"/>
    <m/>
    <s v="New Loco"/>
    <s v="done"/>
    <m/>
  </r>
  <r>
    <n v="300"/>
    <n v="37601"/>
    <s v="HLC-A"/>
    <s v="STB4P1300HLCD"/>
    <x v="7"/>
    <s v="NCR"/>
    <s v="DEL"/>
    <d v="2023-03-10T00:00:00"/>
    <m/>
    <s v="Nashik"/>
    <m/>
    <m/>
    <m/>
    <m/>
    <d v="2024-07-01T00:00:00"/>
    <m/>
    <m/>
    <s v="Conv-A DONE"/>
    <s v="Conv-A DONE"/>
    <m/>
    <m/>
    <d v="2024-07-01T00:00:00"/>
    <d v="2024-07-01T00:00:00"/>
    <s v="Conv-A DONE"/>
    <s v="FOUND OK"/>
    <m/>
    <m/>
    <m/>
    <m/>
    <s v="Conv-A DONE"/>
    <m/>
    <s v="Conv-A DONE"/>
    <d v="2024-07-09T00:00:00"/>
    <d v="2024-08-12T00:00:00"/>
    <s v="Conv-A DONE"/>
    <s v="Conv-A DONE"/>
    <s v="Conv-A DONE"/>
    <m/>
    <m/>
    <m/>
  </r>
  <r>
    <n v="301"/>
    <n v="37601"/>
    <s v="HLC-B"/>
    <s v="STB4P1294HLCD"/>
    <x v="7"/>
    <s v="NCR"/>
    <s v="DEL"/>
    <d v="2023-03-10T00:00:00"/>
    <m/>
    <s v="Nashik"/>
    <m/>
    <m/>
    <m/>
    <m/>
    <d v="2024-07-01T00:00:00"/>
    <m/>
    <m/>
    <s v="Conv-B DONE"/>
    <s v="Conv-B DONE"/>
    <m/>
    <m/>
    <d v="2024-07-01T00:00:00"/>
    <d v="2024-07-01T00:00:00"/>
    <s v="Conv-B DONE"/>
    <s v="FOUND OK"/>
    <m/>
    <m/>
    <m/>
    <m/>
    <s v="Conv-B DONE"/>
    <m/>
    <s v="Conv-B DONE"/>
    <d v="2024-07-09T00:00:00"/>
    <d v="2024-08-12T00:00:00"/>
    <s v="Conv-B DONE"/>
    <s v="Conv-B DONE"/>
    <s v="Conv-B DONE"/>
    <m/>
    <m/>
    <m/>
  </r>
  <r>
    <n v="302"/>
    <n v="37603"/>
    <s v="HLC-A"/>
    <s v="STB4P1296HLCD"/>
    <x v="7"/>
    <s v="NCR"/>
    <s v="DEL"/>
    <d v="2023-03-23T00:00:00"/>
    <m/>
    <s v="Nashik"/>
    <m/>
    <m/>
    <m/>
    <m/>
    <d v="2024-06-19T00:00:00"/>
    <m/>
    <m/>
    <s v="Conv-A DONE"/>
    <s v="Conv-A DONE"/>
    <m/>
    <m/>
    <d v="2023-11-29T00:00:00"/>
    <d v="2024-06-24T00:00:00"/>
    <s v="Conv-A DONE"/>
    <s v="FOUND OK"/>
    <m/>
    <m/>
    <m/>
    <m/>
    <s v="Conv-A DONE"/>
    <m/>
    <s v="Conv-A DONE"/>
    <d v="2024-06-24T00:00:00"/>
    <s v="Conv-A DONE"/>
    <s v="Conv-A DONE"/>
    <s v="Conv-A DONE"/>
    <s v="Conv-A DONE"/>
    <m/>
    <m/>
    <m/>
  </r>
  <r>
    <n v="303"/>
    <n v="37603"/>
    <s v="HLC-B"/>
    <s v="STB4P1297HLCD"/>
    <x v="7"/>
    <s v="NCR"/>
    <s v="DEL"/>
    <d v="2023-03-23T00:00:00"/>
    <m/>
    <s v="Nashik"/>
    <m/>
    <m/>
    <m/>
    <m/>
    <d v="2024-06-19T00:00:00"/>
    <m/>
    <m/>
    <s v="Conv-B DONE"/>
    <s v="Conv-B DONE"/>
    <m/>
    <m/>
    <d v="2023-11-29T00:00:00"/>
    <d v="2024-06-24T00:00:00"/>
    <s v="Conv-B DONE"/>
    <s v="FOUND OK"/>
    <m/>
    <m/>
    <m/>
    <m/>
    <s v="Conv-B DONE"/>
    <m/>
    <s v="Conv-B DONE"/>
    <d v="2024-06-24T00:00:00"/>
    <s v="Conv-B DONE"/>
    <s v="Conv-B DONE"/>
    <s v="Conv-B DONE"/>
    <s v="Conv-B DONE"/>
    <m/>
    <m/>
    <m/>
  </r>
  <r>
    <n v="304"/>
    <n v="37604"/>
    <s v="HLC-A"/>
    <s v="STB4P1305HLCD"/>
    <x v="7"/>
    <s v="NCR"/>
    <s v="DEL"/>
    <d v="2023-03-23T00:00:00"/>
    <m/>
    <s v="Nashik"/>
    <m/>
    <m/>
    <m/>
    <m/>
    <d v="2024-05-16T00:00:00"/>
    <m/>
    <m/>
    <s v="Conv-A DONE"/>
    <s v="Conv-A DONE"/>
    <m/>
    <m/>
    <d v="2023-12-03T00:00:00"/>
    <m/>
    <s v="Conv-A DONE"/>
    <s v="FOUND OK"/>
    <m/>
    <m/>
    <m/>
    <m/>
    <s v="Conv-A DONE"/>
    <m/>
    <s v="Conv-A DONE"/>
    <m/>
    <s v="Conv-A DONE"/>
    <s v="Conv-A DONE"/>
    <s v="Conv-A DONE"/>
    <s v="Conv-A DONE"/>
    <m/>
    <m/>
    <m/>
  </r>
  <r>
    <n v="305"/>
    <n v="37604"/>
    <s v="HLC-B"/>
    <s v="STB4P1304HLCD"/>
    <x v="7"/>
    <s v="NCR"/>
    <s v="DEL"/>
    <d v="2023-03-23T00:00:00"/>
    <m/>
    <s v="Nashik"/>
    <m/>
    <m/>
    <m/>
    <m/>
    <d v="2024-05-16T00:00:00"/>
    <m/>
    <m/>
    <s v="Conv-B DONE"/>
    <s v="Conv-B DONE"/>
    <m/>
    <m/>
    <d v="2023-12-03T00:00:00"/>
    <m/>
    <s v="Conv-B DONE"/>
    <s v="FOUND OK"/>
    <m/>
    <m/>
    <m/>
    <m/>
    <s v="Conv-B DONE"/>
    <m/>
    <s v="Conv-B DONE"/>
    <m/>
    <s v="Conv-B DONE"/>
    <s v="Conv-B DONE"/>
    <s v="Conv-B DONE"/>
    <s v="Conv-B DONE"/>
    <m/>
    <m/>
    <m/>
  </r>
  <r>
    <n v="306"/>
    <n v="37620"/>
    <s v="HLC-A"/>
    <s v="STB4R1450HLCD"/>
    <x v="7"/>
    <s v="NCR"/>
    <s v="DEL"/>
    <m/>
    <m/>
    <s v="Nashik"/>
    <m/>
    <m/>
    <m/>
    <m/>
    <d v="2024-05-07T00:00:00"/>
    <m/>
    <m/>
    <s v="Conv-A DONE"/>
    <s v="Conv-A DONE"/>
    <s v="Conv-A DONE"/>
    <m/>
    <s v="Conv-A DONE"/>
    <d v="2024-06-27T00:00:00"/>
    <s v="Conv-A DONE"/>
    <s v="FOUND OK"/>
    <m/>
    <m/>
    <m/>
    <m/>
    <s v="Conv-A DONE"/>
    <m/>
    <s v="Conv-A DONE"/>
    <d v="2024-06-27T00:00:00"/>
    <s v="Conv-A DONE"/>
    <s v="Conv-A DONE"/>
    <s v="Conv-A DONE"/>
    <s v="Conv-A DONE"/>
    <m/>
    <s v="17.12.2024"/>
    <m/>
  </r>
  <r>
    <n v="307"/>
    <n v="37620"/>
    <s v="HLC-B"/>
    <s v="STB4R1451HLCD"/>
    <x v="7"/>
    <s v="NCR"/>
    <s v="DEL"/>
    <m/>
    <m/>
    <s v="Nashik"/>
    <m/>
    <m/>
    <m/>
    <m/>
    <d v="2024-05-07T00:00:00"/>
    <m/>
    <m/>
    <s v="Conv-B DONE"/>
    <s v="Conv-B DONE"/>
    <s v="Conv-B DONE_x000a_"/>
    <m/>
    <s v="Conv-B DONE"/>
    <d v="2024-06-27T00:00:00"/>
    <s v="Conv-A DONE"/>
    <s v="FOUND OK"/>
    <m/>
    <m/>
    <m/>
    <m/>
    <s v="Conv-B DONE_x000a_"/>
    <m/>
    <s v="Conv-B DONE_x000a_"/>
    <d v="2024-06-27T00:00:00"/>
    <s v="Conv-B DONE"/>
    <s v="Conv-B DONE"/>
    <s v="Conv-B DONE"/>
    <s v="Conv-B DONE"/>
    <m/>
    <m/>
    <m/>
  </r>
  <r>
    <n v="308"/>
    <n v="39242"/>
    <s v="HLC-A"/>
    <s v="STB3P1252HLCD"/>
    <x v="7"/>
    <s v="NCR"/>
    <s v="DEL"/>
    <d v="2023-04-30T00:00:00"/>
    <m/>
    <s v="Nashik"/>
    <m/>
    <m/>
    <m/>
    <m/>
    <d v="2024-06-17T00:00:00"/>
    <m/>
    <m/>
    <s v="Conv-A DONE"/>
    <s v="Conv-A DONE"/>
    <s v="Conv-A DONE"/>
    <m/>
    <s v="Conv-A DONE"/>
    <m/>
    <s v="Conv-A DONE"/>
    <s v="FOUND OK"/>
    <m/>
    <m/>
    <m/>
    <m/>
    <s v="Conv-A DONE"/>
    <m/>
    <s v="Conv-A DONE"/>
    <m/>
    <s v="Conv-A DONE"/>
    <s v="Conv-A DONE"/>
    <s v="Conv-A DONE"/>
    <s v="Conv-A DONE"/>
    <m/>
    <m/>
    <m/>
  </r>
  <r>
    <n v="309"/>
    <n v="39242"/>
    <s v="HLC-B"/>
    <s v="STB3P1253HLCD"/>
    <x v="7"/>
    <s v="NCR"/>
    <s v="DEL"/>
    <d v="2023-04-30T00:00:00"/>
    <m/>
    <s v="Nashik"/>
    <m/>
    <m/>
    <m/>
    <m/>
    <d v="2024-06-17T00:00:00"/>
    <m/>
    <m/>
    <s v="Conv-B DONE"/>
    <s v="Conv-B DONE"/>
    <s v="Conv-B DONE"/>
    <m/>
    <s v="Conv-B DONE"/>
    <m/>
    <s v="Conv-B DONE"/>
    <s v="FOUND OK"/>
    <m/>
    <m/>
    <m/>
    <m/>
    <s v="Conv-B DONE"/>
    <m/>
    <s v="Conv-B DONE"/>
    <m/>
    <s v="Conv-B DONE"/>
    <s v="Conv-B DONE"/>
    <s v="Conv-B DONE"/>
    <s v="Conv-B DONE"/>
    <m/>
    <s v="16.12.2024"/>
    <m/>
  </r>
  <r>
    <n v="310"/>
    <n v="39227"/>
    <s v="HLC-A"/>
    <s v="STB2P1234HLCD"/>
    <x v="7"/>
    <s v="NCR"/>
    <s v="DEL"/>
    <d v="2023-01-23T00:00:00"/>
    <m/>
    <s v="Nashik"/>
    <m/>
    <m/>
    <m/>
    <m/>
    <d v="2024-06-24T00:00:00"/>
    <m/>
    <m/>
    <s v="Conv-A DONE"/>
    <s v="Conv-A DONE"/>
    <s v="Conv-A DONE"/>
    <m/>
    <d v="2023-10-07T00:00:00"/>
    <d v="2024-07-01T00:00:00"/>
    <s v="Conv-A DONE"/>
    <s v="FOUND OK"/>
    <m/>
    <m/>
    <m/>
    <m/>
    <s v="Conv-A DONE"/>
    <m/>
    <s v="Conv-A DONE"/>
    <d v="2024-07-01T00:00:00"/>
    <s v="Conv-A DONE"/>
    <s v="Conv-A DONE"/>
    <s v="Conv-A DONE"/>
    <s v="Conv-A DONE"/>
    <m/>
    <m/>
    <m/>
  </r>
  <r>
    <n v="311"/>
    <n v="39227"/>
    <s v="HLC-B"/>
    <s v="STB2P1233HLCD"/>
    <x v="7"/>
    <s v="NCR"/>
    <s v="DEL"/>
    <d v="2023-01-23T00:00:00"/>
    <m/>
    <s v="Nashik"/>
    <m/>
    <m/>
    <m/>
    <m/>
    <d v="2024-06-24T00:00:00"/>
    <m/>
    <m/>
    <s v="Conv-B DONE"/>
    <s v="Conv-B DONE"/>
    <s v="Conv-B DONE"/>
    <m/>
    <d v="2023-10-07T00:00:00"/>
    <d v="2024-07-01T00:00:00"/>
    <s v="Conv-B DONE"/>
    <s v="FOUND OK"/>
    <m/>
    <m/>
    <m/>
    <m/>
    <s v="Conv-B DONE"/>
    <m/>
    <s v="Conv-B DONE"/>
    <d v="2024-07-01T00:00:00"/>
    <s v="Conv-B DONE"/>
    <s v="Conv-B DONE"/>
    <s v="Conv-B DONE"/>
    <s v="Conv-B DONE"/>
    <m/>
    <m/>
    <m/>
  </r>
  <r>
    <n v="312"/>
    <n v="30652"/>
    <s v="HLC-A"/>
    <s v="STB5N1148HLCD"/>
    <x v="7"/>
    <s v="NCR"/>
    <s v="DEL"/>
    <d v="2021-12-27T00:00:00"/>
    <m/>
    <s v="Nashik"/>
    <m/>
    <m/>
    <m/>
    <m/>
    <d v="2024-06-09T00:00:00"/>
    <m/>
    <m/>
    <s v="Conv-A DONE"/>
    <s v="Conv-A DONE"/>
    <s v="Conv-A DONE"/>
    <s v="Conv-A DONE"/>
    <d v="2023-12-27T00:00:00"/>
    <d v="2024-06-09T00:00:00"/>
    <s v="Conv-A DONE"/>
    <s v="FOUND OK"/>
    <m/>
    <m/>
    <m/>
    <m/>
    <s v="DONE BY BGKT SHED"/>
    <m/>
    <s v="Conv-A DONE"/>
    <m/>
    <s v="Conv-A DONE"/>
    <s v="Conv-A DONE"/>
    <s v="Conv-A DONE"/>
    <s v="Conv-A DONE"/>
    <m/>
    <m/>
    <m/>
  </r>
  <r>
    <n v="313"/>
    <n v="30652"/>
    <s v="HLC-B"/>
    <s v="STB5N1151HLCD"/>
    <x v="7"/>
    <s v="NCR"/>
    <s v="DEL"/>
    <d v="2021-12-27T00:00:00"/>
    <m/>
    <s v="Nashik"/>
    <m/>
    <m/>
    <m/>
    <m/>
    <d v="2024-06-09T00:00:00"/>
    <m/>
    <m/>
    <s v="Conv-B DONE"/>
    <s v="Conv-B DONE"/>
    <s v="Conv-A DONE"/>
    <s v="Conv-B DONE"/>
    <d v="2023-12-27T00:00:00"/>
    <d v="2024-06-09T00:00:00"/>
    <s v="Conv-B DONE"/>
    <s v="FOUND OK"/>
    <m/>
    <m/>
    <m/>
    <m/>
    <s v="DONE BY BGKT SHED"/>
    <m/>
    <s v="Conv-B DONE"/>
    <m/>
    <s v="Conv-B DONE"/>
    <s v="Conv-B DONE"/>
    <s v="Conv-B DONE"/>
    <s v="Conv-B DONE"/>
    <m/>
    <m/>
    <m/>
  </r>
  <r>
    <n v="314"/>
    <n v="37700"/>
    <s v="HLC-A"/>
    <s v="STB7R1521HLCD"/>
    <x v="3"/>
    <s v="NCR"/>
    <s v="DEL"/>
    <m/>
    <m/>
    <s v="Nashik"/>
    <m/>
    <m/>
    <m/>
    <m/>
    <m/>
    <m/>
    <m/>
    <s v="Done by NW"/>
    <m/>
    <s v="Done by NW"/>
    <m/>
    <m/>
    <m/>
    <s v="Done by NW"/>
    <m/>
    <m/>
    <m/>
    <m/>
    <m/>
    <s v="Done by NW"/>
    <s v="Done by NW"/>
    <s v="Done by NW"/>
    <d v="2024-07-24T00:00:00"/>
    <m/>
    <s v="Done by NW"/>
    <s v="Done by NW"/>
    <m/>
    <m/>
    <s v="done"/>
    <m/>
  </r>
  <r>
    <n v="315"/>
    <n v="37700"/>
    <s v="HLC-B"/>
    <s v="STBNR1577HLCD"/>
    <x v="3"/>
    <s v="NCR"/>
    <s v="DEL"/>
    <m/>
    <m/>
    <s v="Nashik"/>
    <m/>
    <m/>
    <m/>
    <m/>
    <m/>
    <m/>
    <m/>
    <s v="Done by NW"/>
    <m/>
    <s v="Done by NW"/>
    <m/>
    <m/>
    <m/>
    <s v="Done by NW"/>
    <m/>
    <m/>
    <m/>
    <m/>
    <m/>
    <s v="Done by NW"/>
    <s v="Done by NW"/>
    <s v="Done by NW"/>
    <d v="2024-07-24T00:00:00"/>
    <m/>
    <s v="Done by NW"/>
    <s v="Done by NW"/>
    <m/>
    <m/>
    <s v="done"/>
    <m/>
  </r>
  <r>
    <n v="316"/>
    <n v="30722"/>
    <s v="HLC-A"/>
    <m/>
    <x v="2"/>
    <s v="NCR"/>
    <s v="DEL"/>
    <m/>
    <m/>
    <s v="Nashik"/>
    <m/>
    <m/>
    <m/>
    <m/>
    <d v="2025-02-08T00:00:00"/>
    <d v="2025-02-08T00:00:00"/>
    <m/>
    <s v="Conv-A DONE"/>
    <s v="DONE"/>
    <s v="DONE"/>
    <m/>
    <s v="DONE"/>
    <s v="DONE"/>
    <s v="DONE"/>
    <s v="DONE"/>
    <m/>
    <m/>
    <m/>
    <m/>
    <s v="Done"/>
    <s v="DONE"/>
    <s v="DONE"/>
    <d v="2024-07-03T00:00:00"/>
    <s v="DONE"/>
    <d v="2024-01-10T00:00:00"/>
    <s v="Done"/>
    <m/>
    <m/>
    <d v="2024-08-23T00:00:00"/>
    <m/>
  </r>
  <r>
    <n v="317"/>
    <n v="30722"/>
    <s v="HLC-B"/>
    <m/>
    <x v="2"/>
    <s v="NCR"/>
    <s v="DEL"/>
    <m/>
    <m/>
    <s v="Nashik"/>
    <m/>
    <m/>
    <m/>
    <m/>
    <d v="2025-02-08T00:00:00"/>
    <d v="2025-02-08T00:00:00"/>
    <m/>
    <s v="Conv-B DONE"/>
    <s v="DONE"/>
    <s v="DONE"/>
    <m/>
    <s v="DONE"/>
    <s v="DONE"/>
    <s v="DONE"/>
    <s v="DONE"/>
    <m/>
    <m/>
    <m/>
    <m/>
    <s v="Done"/>
    <s v="DONE"/>
    <s v="DONE"/>
    <d v="2024-07-03T00:00:00"/>
    <s v="DONE"/>
    <d v="2024-01-10T00:00:00"/>
    <s v="Done"/>
    <m/>
    <m/>
    <d v="2024-08-23T00:00:00"/>
    <m/>
  </r>
  <r>
    <n v="318"/>
    <n v="39251"/>
    <s v="HLC-A"/>
    <m/>
    <x v="2"/>
    <s v="NCR"/>
    <s v="DEL"/>
    <m/>
    <m/>
    <s v="Nashik"/>
    <m/>
    <m/>
    <m/>
    <m/>
    <d v="2025-02-13T00:00:00"/>
    <m/>
    <m/>
    <s v="Conv-A DONE"/>
    <s v="DONE"/>
    <s v="DONE"/>
    <s v="DONE"/>
    <m/>
    <m/>
    <s v="DONE"/>
    <s v="DONE"/>
    <m/>
    <m/>
    <m/>
    <m/>
    <s v="Done"/>
    <s v="DONE"/>
    <s v="DONE"/>
    <m/>
    <s v="DONE"/>
    <m/>
    <s v="DONE"/>
    <m/>
    <m/>
    <d v="2024-10-14T00:00:00"/>
    <m/>
  </r>
  <r>
    <n v="319"/>
    <n v="39251"/>
    <s v="HLC-B"/>
    <m/>
    <x v="2"/>
    <s v="NCR"/>
    <s v="DEL"/>
    <m/>
    <m/>
    <s v="Nashik"/>
    <m/>
    <m/>
    <m/>
    <m/>
    <d v="2025-02-13T00:00:00"/>
    <m/>
    <m/>
    <s v="Conv-B DONE"/>
    <s v="DONE"/>
    <s v="DONE"/>
    <s v="DONE"/>
    <m/>
    <m/>
    <s v="DONE"/>
    <s v="DONE"/>
    <m/>
    <m/>
    <m/>
    <m/>
    <s v="Done"/>
    <s v="DONE"/>
    <s v="DONE"/>
    <m/>
    <s v="DONE"/>
    <m/>
    <s v="DONE"/>
    <m/>
    <m/>
    <d v="2024-10-14T00:00:00"/>
    <m/>
  </r>
  <r>
    <n v="320"/>
    <n v="39252"/>
    <s v="HLC-A"/>
    <m/>
    <x v="2"/>
    <s v="NCR"/>
    <s v="DEL"/>
    <m/>
    <m/>
    <s v="Nashik"/>
    <m/>
    <m/>
    <m/>
    <m/>
    <d v="2025-03-04T00:00:00"/>
    <d v="2025-02-25T00:00:00"/>
    <m/>
    <s v="Conv-A DONE"/>
    <s v="DONE"/>
    <s v="DONE"/>
    <s v="DONE"/>
    <s v="DONE"/>
    <s v="DONE"/>
    <s v="DONE"/>
    <s v="DONE"/>
    <m/>
    <m/>
    <m/>
    <m/>
    <s v="Done"/>
    <s v="DONE"/>
    <s v="DONE"/>
    <m/>
    <s v="DONE"/>
    <s v="DONE"/>
    <s v="DONE"/>
    <m/>
    <m/>
    <d v="2024-08-16T00:00:00"/>
    <m/>
  </r>
  <r>
    <n v="321"/>
    <n v="39252"/>
    <s v="HLC-B"/>
    <m/>
    <x v="2"/>
    <s v="NCR"/>
    <s v="DEL"/>
    <m/>
    <m/>
    <s v="Nashik"/>
    <m/>
    <m/>
    <m/>
    <m/>
    <d v="2025-03-04T00:00:00"/>
    <d v="2025-02-25T00:00:00"/>
    <m/>
    <s v="Conv-B DONE"/>
    <s v="DONE"/>
    <s v="DONE"/>
    <s v="DONE"/>
    <s v="DONE"/>
    <s v="DONE"/>
    <s v="DONE"/>
    <s v="DONE"/>
    <m/>
    <m/>
    <m/>
    <m/>
    <s v="Done"/>
    <s v="DONE"/>
    <s v="DONE"/>
    <m/>
    <s v="DONE"/>
    <s v="DONE"/>
    <s v="DONE"/>
    <m/>
    <m/>
    <d v="2024-08-16T00:00:00"/>
    <m/>
  </r>
  <r>
    <n v="322"/>
    <n v="39253"/>
    <s v="HLC-A"/>
    <m/>
    <x v="2"/>
    <s v="NCR"/>
    <s v="DEL"/>
    <m/>
    <m/>
    <s v="Nashik"/>
    <m/>
    <m/>
    <m/>
    <m/>
    <d v="2025-03-04T00:00:00"/>
    <m/>
    <m/>
    <s v="Conv-A DONE"/>
    <s v="DONE"/>
    <s v="DONE"/>
    <s v="DONE"/>
    <m/>
    <m/>
    <s v="DONE"/>
    <s v="DONE"/>
    <m/>
    <m/>
    <m/>
    <m/>
    <s v="Done"/>
    <s v="DONE"/>
    <s v="DONE"/>
    <s v="Y5 22-06-2024"/>
    <s v="DONE"/>
    <s v="DONE"/>
    <s v="DONE"/>
    <m/>
    <m/>
    <d v="2024-09-26T00:00:00"/>
    <m/>
  </r>
  <r>
    <n v="323"/>
    <n v="39253"/>
    <s v="HLC-B"/>
    <m/>
    <x v="2"/>
    <s v="NCR"/>
    <s v="DEL"/>
    <m/>
    <m/>
    <s v="Nashik"/>
    <m/>
    <m/>
    <m/>
    <m/>
    <d v="2025-03-04T00:00:00"/>
    <m/>
    <m/>
    <s v="Conv-B DONE"/>
    <s v="DONE"/>
    <s v="DONE"/>
    <s v="DONE"/>
    <m/>
    <m/>
    <s v="DONE"/>
    <s v="DONE"/>
    <m/>
    <m/>
    <m/>
    <m/>
    <s v="Done"/>
    <s v="DONE"/>
    <s v="DONE"/>
    <s v=" Y5 22-06-2024"/>
    <s v="DONE"/>
    <s v="DONE"/>
    <s v="DONE"/>
    <m/>
    <m/>
    <d v="2024-09-26T00:00:00"/>
    <m/>
  </r>
  <r>
    <n v="324"/>
    <n v="30351"/>
    <s v="HLC-A"/>
    <m/>
    <x v="2"/>
    <s v="NCR"/>
    <s v="DEL"/>
    <m/>
    <m/>
    <s v="Nashik"/>
    <m/>
    <m/>
    <m/>
    <m/>
    <d v="2025-01-29T00:00:00"/>
    <m/>
    <m/>
    <s v="Done "/>
    <m/>
    <m/>
    <m/>
    <m/>
    <s v="DONE"/>
    <m/>
    <m/>
    <m/>
    <m/>
    <m/>
    <m/>
    <s v="Done"/>
    <s v="DONE"/>
    <s v="DONE"/>
    <m/>
    <m/>
    <m/>
    <m/>
    <m/>
    <m/>
    <d v="2024-10-24T00:00:00"/>
    <m/>
  </r>
  <r>
    <n v="325"/>
    <n v="30351"/>
    <s v="HLC-B"/>
    <m/>
    <x v="2"/>
    <s v="NCR"/>
    <s v="DEL"/>
    <m/>
    <m/>
    <s v="Nashik"/>
    <m/>
    <m/>
    <m/>
    <m/>
    <d v="2025-01-29T00:00:00"/>
    <m/>
    <m/>
    <s v="Done "/>
    <m/>
    <m/>
    <m/>
    <m/>
    <s v="DONE"/>
    <m/>
    <m/>
    <m/>
    <m/>
    <m/>
    <m/>
    <s v="Done"/>
    <s v="DONE"/>
    <s v="DONE"/>
    <m/>
    <m/>
    <m/>
    <m/>
    <m/>
    <m/>
    <d v="2024-10-24T00:00:00"/>
    <m/>
  </r>
  <r>
    <n v="326"/>
    <n v="30414"/>
    <s v="HLC-1"/>
    <s v="STB1S1608HLCD"/>
    <x v="1"/>
    <s v="NCR"/>
    <s v="DEL"/>
    <d v="2023-10-05T00:00:00"/>
    <m/>
    <s v="Nashik"/>
    <m/>
    <m/>
    <m/>
    <m/>
    <m/>
    <m/>
    <m/>
    <m/>
    <m/>
    <m/>
    <m/>
    <m/>
    <m/>
    <m/>
    <m/>
    <m/>
    <m/>
    <m/>
    <m/>
    <m/>
    <m/>
    <s v="Conv-A DONE"/>
    <d v="2024-07-26T00:00:00"/>
    <d v="2024-07-26T00:00:00"/>
    <s v="Done"/>
    <s v="Done"/>
    <m/>
    <m/>
    <s v="Done"/>
    <m/>
  </r>
  <r>
    <n v="327"/>
    <n v="30414"/>
    <s v="HLC-2"/>
    <s v="STB1S1609HLCD"/>
    <x v="1"/>
    <s v="NCR"/>
    <s v="DEL"/>
    <d v="2023-10-05T00:00:00"/>
    <m/>
    <s v="Nashik"/>
    <m/>
    <m/>
    <m/>
    <m/>
    <m/>
    <m/>
    <m/>
    <m/>
    <m/>
    <m/>
    <m/>
    <m/>
    <m/>
    <m/>
    <m/>
    <m/>
    <m/>
    <m/>
    <m/>
    <m/>
    <m/>
    <s v="Conv-B DONE"/>
    <d v="2024-07-26T00:00:00"/>
    <d v="2024-07-26T00:00:00"/>
    <s v="Done"/>
    <s v="Done"/>
    <m/>
    <m/>
    <s v="Done"/>
    <m/>
  </r>
  <r>
    <n v="328"/>
    <n v="37718"/>
    <s v="HLC-1"/>
    <s v="STBNR1586HLCD"/>
    <x v="7"/>
    <s v="NCR"/>
    <s v="DEL"/>
    <m/>
    <m/>
    <s v="Nashik"/>
    <m/>
    <m/>
    <m/>
    <m/>
    <m/>
    <m/>
    <m/>
    <m/>
    <m/>
    <m/>
    <m/>
    <m/>
    <m/>
    <m/>
    <m/>
    <m/>
    <m/>
    <m/>
    <m/>
    <m/>
    <m/>
    <m/>
    <d v="2024-07-20T00:00:00"/>
    <m/>
    <s v="Done"/>
    <m/>
    <m/>
    <m/>
    <m/>
    <m/>
  </r>
  <r>
    <n v="329"/>
    <n v="37718"/>
    <s v="HLC-2"/>
    <s v="STBNR1587HLCD"/>
    <x v="7"/>
    <s v="NCR"/>
    <s v="DEL"/>
    <m/>
    <m/>
    <s v="Nashik"/>
    <m/>
    <m/>
    <m/>
    <m/>
    <m/>
    <m/>
    <m/>
    <m/>
    <m/>
    <m/>
    <m/>
    <m/>
    <m/>
    <m/>
    <m/>
    <m/>
    <m/>
    <m/>
    <m/>
    <m/>
    <m/>
    <m/>
    <d v="2024-07-20T00:00:00"/>
    <m/>
    <s v="Done"/>
    <m/>
    <m/>
    <m/>
    <m/>
    <m/>
  </r>
  <r>
    <n v="330"/>
    <n v="30431"/>
    <s v="HLC-1"/>
    <s v="STB1S1610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d v="2024-08-20T00:00:00"/>
    <m/>
    <d v="2024-08-20T00:00:00"/>
    <d v="2024-08-20T00:00:00"/>
    <m/>
    <m/>
    <m/>
    <m/>
  </r>
  <r>
    <n v="331"/>
    <n v="30431"/>
    <s v="HLC-2"/>
    <s v="STB1S1611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d v="2024-08-20T00:00:00"/>
    <m/>
    <d v="2024-08-20T00:00:00"/>
    <d v="2024-08-20T00:00:00"/>
    <m/>
    <m/>
    <m/>
    <m/>
  </r>
  <r>
    <n v="332"/>
    <n v="30381"/>
    <s v="HLC-1"/>
    <s v="STB3P1248HLCD"/>
    <x v="0"/>
    <s v="NCR"/>
    <s v="DEL"/>
    <d v="2023-07-02T00:00:00"/>
    <m/>
    <s v="Nashik"/>
    <m/>
    <m/>
    <m/>
    <m/>
    <m/>
    <m/>
    <s v="Already done"/>
    <s v="Already done"/>
    <s v="Already done"/>
    <s v="Already done"/>
    <s v="Already done"/>
    <s v="Already Done"/>
    <s v="Already done"/>
    <s v="Already done"/>
    <s v="Already done"/>
    <m/>
    <m/>
    <m/>
    <m/>
    <s v="Already done"/>
    <s v="Already done"/>
    <s v="Already done"/>
    <d v="2024-08-16T00:00:00"/>
    <m/>
    <d v="2024-01-24T00:00:00"/>
    <s v="Checked"/>
    <m/>
    <m/>
    <d v="2024-09-04T00:00:00"/>
    <m/>
  </r>
  <r>
    <n v="333"/>
    <n v="30381"/>
    <s v="HLC-2"/>
    <s v="STB9P1342HLCD"/>
    <x v="0"/>
    <s v="NCR"/>
    <s v="DEL"/>
    <d v="2023-07-02T00:00:00"/>
    <m/>
    <s v="Nashik"/>
    <m/>
    <m/>
    <m/>
    <m/>
    <m/>
    <m/>
    <s v="Already done"/>
    <s v="Already done"/>
    <s v="Already done"/>
    <s v="Already done"/>
    <s v="Already done"/>
    <s v="Already Done"/>
    <s v="Already done"/>
    <s v="Already done"/>
    <s v="Already done"/>
    <m/>
    <m/>
    <m/>
    <m/>
    <s v="Already done"/>
    <s v="Already done"/>
    <s v="Already done"/>
    <d v="2024-08-16T00:00:00"/>
    <m/>
    <d v="2024-01-24T00:00:00"/>
    <s v="Checked"/>
    <m/>
    <m/>
    <d v="2024-09-04T00:00:00"/>
    <m/>
  </r>
  <r>
    <n v="334"/>
    <n v="37239"/>
    <s v="HLC-1"/>
    <s v="STBDN1198HLCD"/>
    <x v="0"/>
    <s v="NCR"/>
    <s v="DEL"/>
    <d v="2022-04-11T00:00:00"/>
    <m/>
    <s v="Nashik"/>
    <m/>
    <m/>
    <m/>
    <m/>
    <m/>
    <m/>
    <m/>
    <m/>
    <m/>
    <m/>
    <m/>
    <m/>
    <m/>
    <m/>
    <m/>
    <m/>
    <m/>
    <m/>
    <m/>
    <s v="Done"/>
    <s v="Done"/>
    <s v="Done"/>
    <d v="2024-11-15T00:00:00"/>
    <m/>
    <m/>
    <m/>
    <d v="2024-08-23T00:00:00"/>
    <m/>
    <m/>
    <m/>
  </r>
  <r>
    <n v="335"/>
    <n v="37239"/>
    <s v="HLC-2"/>
    <s v="STBDN1196HLCD"/>
    <x v="0"/>
    <s v="NCR"/>
    <s v="DEL"/>
    <d v="2022-04-11T00:00:00"/>
    <m/>
    <s v="Nashik"/>
    <m/>
    <m/>
    <m/>
    <m/>
    <m/>
    <m/>
    <m/>
    <m/>
    <m/>
    <m/>
    <m/>
    <m/>
    <m/>
    <m/>
    <m/>
    <m/>
    <m/>
    <m/>
    <m/>
    <s v="Done"/>
    <s v="Done"/>
    <s v="Done"/>
    <d v="2024-11-15T00:00:00"/>
    <m/>
    <m/>
    <m/>
    <d v="2024-08-23T00:00:00"/>
    <m/>
    <m/>
    <m/>
  </r>
  <r>
    <n v="336"/>
    <n v="37736"/>
    <s v="HLC-1"/>
    <s v="STB1S1616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d v="2024-09-12T00:00:00"/>
    <m/>
    <m/>
    <s v="Done"/>
    <m/>
    <m/>
    <m/>
    <m/>
  </r>
  <r>
    <n v="337"/>
    <n v="37736"/>
    <s v="HLC-2"/>
    <s v="STB1S1617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d v="2024-09-12T00:00:00"/>
    <m/>
    <m/>
    <s v="Done"/>
    <m/>
    <m/>
    <m/>
    <m/>
  </r>
  <r>
    <n v="338"/>
    <n v="30384"/>
    <s v="HLC-1"/>
    <s v="STB3P1257HLCD"/>
    <x v="0"/>
    <s v="NCR"/>
    <s v="DEL"/>
    <d v="2023-08-10T00:00:00"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39"/>
    <n v="30384"/>
    <s v="HLC-2"/>
    <s v="STB3P1263HLCD"/>
    <x v="0"/>
    <s v="NCR"/>
    <s v="DEL"/>
    <d v="2023-08-10T00:00:00"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0"/>
    <n v="30228"/>
    <s v="HLC-1"/>
    <s v="STB3P1262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1"/>
    <n v="30228"/>
    <s v="HLC-2"/>
    <s v="STB3P1260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2"/>
    <n v="30244"/>
    <s v="HLC-1"/>
    <s v="STB9P1343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3"/>
    <n v="30244"/>
    <s v="HLC-2"/>
    <s v="STB3P1246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4"/>
    <n v="30233"/>
    <s v="HLC-1"/>
    <s v="STB1S1607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5"/>
    <n v="30233"/>
    <s v="HLC-2"/>
    <s v="STB1S1606HLCD"/>
    <x v="0"/>
    <s v="NCR"/>
    <s v="DEL"/>
    <m/>
    <m/>
    <s v="Nashik"/>
    <m/>
    <m/>
    <m/>
    <m/>
    <m/>
    <m/>
    <s v="Already done"/>
    <s v="Already done"/>
    <m/>
    <m/>
    <m/>
    <m/>
    <m/>
    <m/>
    <m/>
    <m/>
    <m/>
    <m/>
    <m/>
    <s v="Done"/>
    <s v="Already done"/>
    <s v="Already done"/>
    <m/>
    <m/>
    <m/>
    <s v="Done"/>
    <m/>
    <m/>
    <m/>
    <m/>
  </r>
  <r>
    <n v="346"/>
    <n v="30227"/>
    <s v="HLC-1"/>
    <s v="STB3P1261HLCD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A DONE"/>
    <s v="Done"/>
    <s v="Done"/>
    <s v="Done"/>
    <s v="Done"/>
    <m/>
    <m/>
    <s v="Done"/>
    <m/>
  </r>
  <r>
    <n v="347"/>
    <n v="30227"/>
    <s v="HLC-2"/>
    <s v="STB3P1256HLCD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B DONE"/>
    <s v="Done"/>
    <s v="Done"/>
    <s v="Done"/>
    <s v="Done"/>
    <m/>
    <m/>
    <s v="Done"/>
    <m/>
  </r>
  <r>
    <n v="348"/>
    <n v="39332"/>
    <s v="HLC-1"/>
    <m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A DONE"/>
    <m/>
    <m/>
    <m/>
    <m/>
    <m/>
    <m/>
    <s v="Done"/>
    <m/>
  </r>
  <r>
    <n v="349"/>
    <n v="39332"/>
    <s v="HLC-2"/>
    <m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B DONE"/>
    <m/>
    <m/>
    <m/>
    <m/>
    <m/>
    <m/>
    <s v="Done"/>
    <m/>
  </r>
  <r>
    <n v="350"/>
    <n v="30815"/>
    <s v="HLC-1"/>
    <s v="STB6R1489HLCD"/>
    <x v="1"/>
    <s v="NCR"/>
    <s v="DEL"/>
    <d v="2024-02-06T00:00:00"/>
    <m/>
    <s v="Nashik"/>
    <m/>
    <m/>
    <m/>
    <m/>
    <s v="Done"/>
    <s v="Done"/>
    <s v="Done"/>
    <s v="Done"/>
    <s v="DONE"/>
    <s v="DONE"/>
    <s v="DONE"/>
    <s v="DONE"/>
    <s v="DONE"/>
    <s v="DONE"/>
    <s v="DONE"/>
    <m/>
    <m/>
    <m/>
    <m/>
    <s v="Done"/>
    <s v="Done"/>
    <s v="Conv-A DONE"/>
    <d v="2025-02-06T00:00:00"/>
    <d v="2025-02-06T00:00:00"/>
    <d v="2025-02-06T00:00:00"/>
    <s v="Done"/>
    <s v="New comm"/>
    <s v="new loco "/>
    <d v="2025-06-07T00:00:00"/>
    <m/>
  </r>
  <r>
    <n v="351"/>
    <n v="30815"/>
    <s v="HLC-2"/>
    <s v="STB6R1488HLCD"/>
    <x v="1"/>
    <s v="NCR"/>
    <s v="DEL"/>
    <d v="2024-02-06T00:00:00"/>
    <m/>
    <s v="Nashik"/>
    <m/>
    <m/>
    <m/>
    <m/>
    <s v="Done"/>
    <s v="Done"/>
    <s v="Done"/>
    <s v="Done"/>
    <s v="DONE"/>
    <s v="DONE"/>
    <s v="DONE"/>
    <s v="DONE"/>
    <s v="DONE"/>
    <s v="DONE"/>
    <s v="DONE"/>
    <m/>
    <m/>
    <m/>
    <m/>
    <s v="Done"/>
    <s v="Done"/>
    <s v="Conv-B DONE"/>
    <d v="2025-02-06T00:00:00"/>
    <d v="2025-02-06T00:00:00"/>
    <d v="2025-02-06T00:00:00"/>
    <s v="Done"/>
    <s v="New comm"/>
    <s v="new loco "/>
    <d v="2025-06-07T00:00:00"/>
    <m/>
  </r>
  <r>
    <n v="352"/>
    <n v="39361"/>
    <s v="HLC-1"/>
    <s v="STB3R1422HLCD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A DONE"/>
    <d v="2024-09-20T00:00:00"/>
    <d v="2024-09-20T00:00:00"/>
    <d v="2024-09-20T00:00:00"/>
    <s v="Done"/>
    <m/>
    <m/>
    <s v="Done"/>
    <m/>
  </r>
  <r>
    <n v="353"/>
    <n v="39361"/>
    <s v="HLC-2"/>
    <s v="STB3R1423HLCD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B DONE"/>
    <d v="2024-09-20T00:00:00"/>
    <d v="2024-09-20T00:00:00"/>
    <d v="2024-09-20T00:00:00"/>
    <s v="Done"/>
    <m/>
    <m/>
    <s v="Done"/>
    <m/>
  </r>
  <r>
    <n v="354"/>
    <n v="39358"/>
    <s v="HLC-1"/>
    <s v="STB8R1535HLCD  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A DONE"/>
    <d v="2024-09-10T00:00:00"/>
    <d v="2024-09-10T00:00:00"/>
    <d v="2024-09-10T00:00:00"/>
    <s v="Done"/>
    <m/>
    <m/>
    <s v="Done"/>
    <m/>
  </r>
  <r>
    <n v="355"/>
    <n v="39358"/>
    <s v="HLC-2"/>
    <s v="STB8R1534HLCD "/>
    <x v="1"/>
    <s v="NCR"/>
    <s v="DEL"/>
    <m/>
    <m/>
    <s v="Nashik"/>
    <m/>
    <m/>
    <m/>
    <m/>
    <m/>
    <m/>
    <m/>
    <m/>
    <m/>
    <m/>
    <m/>
    <m/>
    <m/>
    <m/>
    <m/>
    <m/>
    <m/>
    <m/>
    <m/>
    <m/>
    <m/>
    <s v="Conv-B DONE"/>
    <d v="2024-09-10T00:00:00"/>
    <d v="2024-09-10T00:00:00"/>
    <d v="2024-09-10T00:00:00"/>
    <s v="Done"/>
    <m/>
    <m/>
    <s v="Done"/>
    <m/>
  </r>
  <r>
    <n v="356"/>
    <n v="39217"/>
    <s v="HLC-A"/>
    <s v="STB2P1228HLCD"/>
    <x v="4"/>
    <s v="NCR"/>
    <s v="DEL"/>
    <d v="2022-12-26T00:00:00"/>
    <m/>
    <s v="Nashik"/>
    <m/>
    <m/>
    <m/>
    <m/>
    <m/>
    <m/>
    <m/>
    <s v="Done by NW"/>
    <s v="Conv-A DONE"/>
    <s v="Conv-A DONE"/>
    <m/>
    <m/>
    <m/>
    <m/>
    <m/>
    <m/>
    <m/>
    <m/>
    <m/>
    <s v="Conv-A DONE"/>
    <m/>
    <m/>
    <d v="2024-08-12T00:00:00"/>
    <d v="2024-08-12T00:00:00"/>
    <s v="Done by NW"/>
    <s v="Done by NW"/>
    <m/>
    <m/>
    <s v="done"/>
    <m/>
  </r>
  <r>
    <n v="357"/>
    <n v="39217"/>
    <s v="HLC-B"/>
    <s v="STB2P1229HLCD"/>
    <x v="4"/>
    <s v="NCR"/>
    <s v="DEL"/>
    <d v="2022-12-26T00:00:00"/>
    <m/>
    <s v="Nashik"/>
    <m/>
    <m/>
    <m/>
    <m/>
    <m/>
    <m/>
    <m/>
    <s v="Done by NW"/>
    <s v="Conv-B DONE"/>
    <s v="Conv-B DONE"/>
    <m/>
    <m/>
    <m/>
    <m/>
    <m/>
    <m/>
    <m/>
    <m/>
    <m/>
    <s v="Conv-B DONE"/>
    <m/>
    <m/>
    <d v="2024-08-12T00:00:00"/>
    <d v="2024-08-12T00:00:00"/>
    <s v="Done by NW"/>
    <s v="Done by NW"/>
    <m/>
    <m/>
    <s v="done"/>
    <m/>
  </r>
  <r>
    <n v="358"/>
    <n v="37621"/>
    <s v="HLC-A"/>
    <s v="STB3R1419HLCD"/>
    <x v="4"/>
    <s v="NCR"/>
    <s v="DEL"/>
    <d v="2023-10-19T00:00:00"/>
    <m/>
    <s v="Nashik"/>
    <m/>
    <m/>
    <m/>
    <m/>
    <m/>
    <m/>
    <m/>
    <s v="Done by NW"/>
    <s v="Conv-A DONE"/>
    <s v="Conv-A DONE"/>
    <m/>
    <m/>
    <m/>
    <m/>
    <m/>
    <m/>
    <m/>
    <m/>
    <m/>
    <s v="Conv-A DONE"/>
    <m/>
    <s v="Conv-A DONE"/>
    <d v="2024-07-07T00:00:00"/>
    <d v="2024-07-07T00:00:00"/>
    <d v="2024-02-03T00:00:00"/>
    <s v="07.09.2024"/>
    <m/>
    <m/>
    <s v="07.09.2024"/>
    <m/>
  </r>
  <r>
    <n v="359"/>
    <n v="37621"/>
    <s v="HLC-B"/>
    <s v="STB3R1418HLCD"/>
    <x v="4"/>
    <s v="NCR"/>
    <s v="DEL"/>
    <d v="2023-10-19T00:00:00"/>
    <m/>
    <s v="Nashik"/>
    <m/>
    <m/>
    <m/>
    <m/>
    <m/>
    <m/>
    <m/>
    <s v="Done by NW"/>
    <s v="Conv-B DONE"/>
    <s v="Conv-B DONE"/>
    <m/>
    <m/>
    <m/>
    <m/>
    <m/>
    <m/>
    <m/>
    <m/>
    <m/>
    <s v="Conv-B DONE"/>
    <m/>
    <s v="Conv-B DONE"/>
    <d v="2024-07-07T00:00:00"/>
    <d v="2024-07-07T00:00:00"/>
    <d v="2024-02-03T00:00:00"/>
    <s v="07.09.2024"/>
    <m/>
    <m/>
    <s v="07.09.2024"/>
    <m/>
  </r>
  <r>
    <n v="360"/>
    <n v="37622"/>
    <s v="HLC-A"/>
    <s v="STB3R1415HLCD"/>
    <x v="4"/>
    <s v="NCR"/>
    <s v="DEL"/>
    <d v="2023-10-20T00:00:00"/>
    <m/>
    <s v="Nashik"/>
    <m/>
    <m/>
    <m/>
    <m/>
    <m/>
    <m/>
    <m/>
    <s v="Done by NW"/>
    <s v="Conv-A DONE"/>
    <s v="Conv-A DONE"/>
    <m/>
    <m/>
    <m/>
    <m/>
    <m/>
    <m/>
    <m/>
    <m/>
    <m/>
    <s v="Conv-A DONE"/>
    <m/>
    <s v="Conv-A DONE"/>
    <d v="2024-05-15T00:00:00"/>
    <d v="2024-05-15T00:00:00"/>
    <d v="2024-04-10T00:00:00"/>
    <s v="done"/>
    <m/>
    <m/>
    <s v="done"/>
    <m/>
  </r>
  <r>
    <n v="361"/>
    <n v="37622"/>
    <s v="HLC-B"/>
    <s v="STB3R1414HLCD"/>
    <x v="4"/>
    <s v="NCR"/>
    <s v="DEL"/>
    <d v="2023-10-20T00:00:00"/>
    <m/>
    <s v="Nashik"/>
    <m/>
    <m/>
    <m/>
    <m/>
    <m/>
    <m/>
    <m/>
    <s v="Done by NW"/>
    <s v="Conv-B DONE"/>
    <s v="Conv-B DONE"/>
    <m/>
    <m/>
    <m/>
    <m/>
    <m/>
    <m/>
    <m/>
    <m/>
    <m/>
    <s v="Conv-B DONE"/>
    <m/>
    <s v="Conv-B DONE"/>
    <d v="2024-05-15T00:00:00"/>
    <d v="2024-05-15T00:00:00"/>
    <d v="2024-04-10T00:00:00"/>
    <s v="done"/>
    <m/>
    <m/>
    <s v="done"/>
    <m/>
  </r>
  <r>
    <n v="362"/>
    <n v="39241"/>
    <s v="HLC-A"/>
    <s v="STB2R1403HLCD"/>
    <x v="4"/>
    <s v="NCR"/>
    <s v="DEL"/>
    <d v="2023-04-10T00:00:00"/>
    <m/>
    <s v="Nashik"/>
    <m/>
    <m/>
    <m/>
    <m/>
    <m/>
    <m/>
    <m/>
    <s v="Done by NW"/>
    <s v="Conv-A DONE"/>
    <s v="Conv-A DONE"/>
    <m/>
    <m/>
    <m/>
    <m/>
    <m/>
    <m/>
    <m/>
    <m/>
    <m/>
    <s v="Conv-A DONE"/>
    <m/>
    <s v="Conv-A DONE"/>
    <d v="2024-06-12T00:00:00"/>
    <d v="2024-06-12T00:00:00"/>
    <s v="Done by NW"/>
    <s v="Done by NW"/>
    <m/>
    <m/>
    <s v="14.09.2024"/>
    <m/>
  </r>
  <r>
    <n v="363"/>
    <n v="39241"/>
    <s v="HLC-B"/>
    <s v="STB2R1402HLCD"/>
    <x v="4"/>
    <s v="NCR"/>
    <s v="DEL"/>
    <d v="2023-04-10T00:00:00"/>
    <m/>
    <s v="Nashik"/>
    <m/>
    <m/>
    <m/>
    <m/>
    <m/>
    <m/>
    <m/>
    <s v="Done by NW"/>
    <s v="Conv-B DONE"/>
    <s v="Conv-B DONE"/>
    <m/>
    <m/>
    <m/>
    <m/>
    <m/>
    <m/>
    <m/>
    <m/>
    <m/>
    <s v="Conv-B DONE"/>
    <m/>
    <s v="Conv-B DONE"/>
    <d v="2024-06-12T00:00:00"/>
    <d v="2024-06-12T00:00:00"/>
    <s v="Done by NW"/>
    <s v="Done by NW"/>
    <m/>
    <m/>
    <s v="14.09.2024"/>
    <m/>
  </r>
  <r>
    <n v="364"/>
    <n v="37701"/>
    <s v="HLC-A"/>
    <s v="STBNR1576HLCD"/>
    <x v="4"/>
    <s v="NCR"/>
    <s v="DEL"/>
    <d v="2024-04-08T00:00:00"/>
    <m/>
    <s v="Nashik"/>
    <m/>
    <m/>
    <m/>
    <m/>
    <m/>
    <m/>
    <m/>
    <s v="Done by NW"/>
    <s v="Conv-A DONE"/>
    <s v="Conv-A DONE"/>
    <m/>
    <m/>
    <m/>
    <m/>
    <m/>
    <m/>
    <m/>
    <m/>
    <m/>
    <s v="Conv-A DONE"/>
    <m/>
    <s v="Conv-A DONE"/>
    <d v="2024-07-19T00:00:00"/>
    <d v="2024-07-19T00:00:00"/>
    <s v="Done by NW"/>
    <s v="Done by NW"/>
    <m/>
    <m/>
    <s v="done"/>
    <m/>
  </r>
  <r>
    <n v="365"/>
    <n v="37701"/>
    <s v="HLC-B"/>
    <s v="STB7R1520 HLCD"/>
    <x v="4"/>
    <s v="NCR"/>
    <s v="DEL"/>
    <d v="2024-04-08T00:00:00"/>
    <m/>
    <s v="Nashik"/>
    <m/>
    <m/>
    <m/>
    <m/>
    <m/>
    <m/>
    <m/>
    <s v="Done by NW"/>
    <s v="Conv-B DONE"/>
    <s v="Conv-B DONE"/>
    <m/>
    <m/>
    <m/>
    <m/>
    <m/>
    <m/>
    <m/>
    <m/>
    <m/>
    <s v="Conv-B DONE"/>
    <m/>
    <s v="Conv-B DONE"/>
    <d v="2024-07-19T00:00:00"/>
    <d v="2024-07-19T00:00:00"/>
    <s v="Done by NW"/>
    <s v="Done by NW"/>
    <m/>
    <m/>
    <s v="done"/>
    <m/>
  </r>
  <r>
    <n v="336"/>
    <n v="39023"/>
    <s v="HLC-1"/>
    <s v="STB4K0237HLCD"/>
    <x v="8"/>
    <s v="WCR"/>
    <s v="DEL"/>
    <d v="2019-01-15T00:00:00"/>
    <n v="237"/>
    <s v="Nashik"/>
    <m/>
    <m/>
    <m/>
    <m/>
    <d v="2025-03-15T00:00:00"/>
    <d v="2025-03-15T00:00:00"/>
    <s v="Done by NW"/>
    <s v="Con-A DONE"/>
    <s v="DONE"/>
    <s v="Con-A DONE"/>
    <s v="Con-A DONE"/>
    <m/>
    <s v="DONE"/>
    <s v="Done by NW"/>
    <s v="DONE"/>
    <m/>
    <m/>
    <s v="26-08-2023"/>
    <m/>
    <s v="Conv-A DONE"/>
    <s v="Done"/>
    <s v="Done"/>
    <d v="2023-12-17T00:00:00"/>
    <s v=" Y5 "/>
    <d v="2023-12-15T00:00:00"/>
    <m/>
    <d v="2024-06-11T00:00:00"/>
    <m/>
    <m/>
    <m/>
  </r>
  <r>
    <n v="298"/>
    <n v="39023"/>
    <s v="HLC-A"/>
    <s v="STB4K0237HLCD"/>
    <x v="8"/>
    <s v="WCR"/>
    <s v="DEL"/>
    <d v="2019-01-15T00:00:00"/>
    <n v="237"/>
    <s v="Nashik"/>
    <m/>
    <d v="2024-12-12T00:00:00"/>
    <s v="Done by NW"/>
    <s v="Conv-A DONE"/>
    <d v="2025-03-15T00:00:00"/>
    <d v="2025-03-15T00:00:00"/>
    <s v="Done by NW"/>
    <s v="Conv-A DONE"/>
    <s v="DONE"/>
    <s v="Conv-A DONE"/>
    <s v="Conv-A DONE"/>
    <s v="DONE"/>
    <s v="DONE"/>
    <s v="Done by NW"/>
    <s v="DONE"/>
    <m/>
    <m/>
    <d v="2023-08-26T00:00:00"/>
    <m/>
    <s v="Conv-A DONE"/>
    <d v="2023-12-15T00:00:00"/>
    <s v="DONE"/>
    <d v="2023-12-17T00:00:00"/>
    <s v="Y5"/>
    <d v="2023-12-15T00:00:00"/>
    <d v="2024-09-02T00:00:00"/>
    <s v="DONE"/>
    <d v="2024-06-11T00:00:00"/>
    <m/>
    <m/>
  </r>
  <r>
    <m/>
    <m/>
    <s v="HLC-B"/>
    <s v="STB4K0224HLCD"/>
    <x v="8"/>
    <s v="WCR"/>
    <s v="DEL"/>
    <d v="2019-01-15T00:00:00"/>
    <n v="224"/>
    <s v="Nashik"/>
    <m/>
    <d v="2024-12-12T00:00:00"/>
    <s v="Done by NW"/>
    <s v="Conv-B DONE"/>
    <d v="2025-03-15T00:00:00"/>
    <d v="2025-03-15T00:00:00"/>
    <s v="Done by NW"/>
    <s v="Conv-B DONE"/>
    <s v="DONE"/>
    <s v="Conv-B DONE"/>
    <s v="Conv-B DONE"/>
    <s v="DONE"/>
    <s v="DONE"/>
    <s v="Done by NW"/>
    <s v="DONE"/>
    <m/>
    <m/>
    <m/>
    <m/>
    <s v="Conv-B DONE"/>
    <d v="2023-12-16T00:00:00"/>
    <s v="DONE"/>
    <d v="2023-12-17T00:00:00"/>
    <s v="Y5"/>
    <d v="2023-12-15T00:00:00"/>
    <d v="2024-09-02T00:00:00"/>
    <s v="DONE"/>
    <d v="2024-06-11T00:00:00"/>
    <m/>
    <m/>
  </r>
  <r>
    <n v="299"/>
    <n v="39075"/>
    <s v="HLC-A"/>
    <s v="STBNK0332HLCD"/>
    <x v="8"/>
    <s v="WCR"/>
    <s v="DEL"/>
    <d v="2019-07-30T00:00:00"/>
    <n v="332"/>
    <s v="Nashik"/>
    <m/>
    <m/>
    <m/>
    <m/>
    <d v="2025-03-21T00:00:00"/>
    <d v="2025-03-21T00:00:00"/>
    <s v="Done by NW"/>
    <s v="Conv-A DONE"/>
    <s v="DONE"/>
    <s v="Conv-A DONE"/>
    <s v="Conv-A DONE"/>
    <s v="DONE"/>
    <s v="Conv-A DONE"/>
    <s v="Conv-A DONE"/>
    <s v="DONE"/>
    <m/>
    <m/>
    <m/>
    <m/>
    <s v="Conv-A DONE"/>
    <d v="2023-11-14T00:00:00"/>
    <s v="DONE"/>
    <d v="2023-07-11T00:00:00"/>
    <d v="2024-06-25T00:00:00"/>
    <d v="2023-11-11T00:00:00"/>
    <d v="2024-06-25T00:00:00"/>
    <s v="DONE"/>
    <d v="2024-03-06T00:00:00"/>
    <m/>
    <m/>
  </r>
  <r>
    <m/>
    <m/>
    <s v="HLC-B"/>
    <s v="STBNK0342HLCD"/>
    <x v="8"/>
    <s v="WCR"/>
    <s v="DEL"/>
    <d v="2019-07-30T00:00:00"/>
    <n v="342"/>
    <s v="Nashik"/>
    <m/>
    <m/>
    <m/>
    <m/>
    <d v="2025-03-21T00:00:00"/>
    <d v="2025-03-21T00:00:00"/>
    <s v="Done by NW"/>
    <s v="Conv-B DONE"/>
    <s v="DONE"/>
    <s v="Conv-B DONE"/>
    <s v="Conv-B DONE"/>
    <s v="DONE"/>
    <s v="Conv-B DONE"/>
    <s v="Conv-B DONE"/>
    <s v="DONE"/>
    <m/>
    <m/>
    <s v="EN60310"/>
    <m/>
    <s v="Conv-B DONE"/>
    <d v="2023-11-14T00:00:00"/>
    <s v="DONE"/>
    <d v="2023-07-11T00:00:00"/>
    <d v="2024-06-25T00:00:00"/>
    <d v="2023-11-11T00:00:00"/>
    <d v="2024-06-25T00:00:00"/>
    <s v="DONE"/>
    <d v="2024-03-07T00:00:00"/>
    <m/>
    <m/>
  </r>
  <r>
    <n v="300"/>
    <n v="39141"/>
    <s v="HLC-A"/>
    <s v="STBDL0768HLCD"/>
    <x v="8"/>
    <s v="WCR"/>
    <s v="DEL"/>
    <d v="2020-06-12T00:00:00"/>
    <n v="768"/>
    <s v="Nashik"/>
    <m/>
    <m/>
    <m/>
    <m/>
    <d v="2025-05-05T00:00:00"/>
    <m/>
    <s v="Done by NW"/>
    <s v="Done by NW"/>
    <s v="DONE"/>
    <s v="Conv-A DONE"/>
    <s v="Conv-A DONE"/>
    <s v="DONE"/>
    <s v="Conv-A DONE"/>
    <s v="Conv-A DONE"/>
    <s v="DONE"/>
    <m/>
    <m/>
    <m/>
    <m/>
    <s v="Done"/>
    <s v="DONE"/>
    <s v="DONE"/>
    <d v="2023-08-12T00:00:00"/>
    <d v="2024-07-05T00:00:00"/>
    <s v="DONE"/>
    <d v="2024-06-27T00:00:00"/>
    <s v="DONE"/>
    <d v="2024-07-01T00:00:00"/>
    <m/>
    <m/>
  </r>
  <r>
    <m/>
    <m/>
    <s v="HLC-B"/>
    <s v="STBDL0769HLCD"/>
    <x v="8"/>
    <s v="WCR"/>
    <s v="DEL"/>
    <d v="2020-06-12T00:00:00"/>
    <n v="769"/>
    <s v="Nashik"/>
    <m/>
    <m/>
    <m/>
    <m/>
    <d v="2025-05-05T00:00:00"/>
    <m/>
    <s v="Done by NW"/>
    <s v="Done by NW"/>
    <s v="DONE"/>
    <s v="Conv-B DONE"/>
    <s v="Conv-B DONE"/>
    <s v="DONE"/>
    <s v="Conv-B DONE"/>
    <s v="Conv-B DONE"/>
    <s v="DONE"/>
    <m/>
    <m/>
    <m/>
    <m/>
    <s v="Done"/>
    <s v="DONE"/>
    <s v="DONE"/>
    <d v="2023-08-12T00:00:00"/>
    <d v="2024-07-05T00:00:00"/>
    <s v="DONE"/>
    <d v="2024-06-27T00:00:00"/>
    <s v="DONE"/>
    <d v="2024-07-01T00:00:00"/>
    <m/>
    <m/>
  </r>
  <r>
    <n v="301"/>
    <n v="39142"/>
    <s v="HLC-A"/>
    <s v="STB1M0774HLCD"/>
    <x v="8"/>
    <s v="WCR"/>
    <s v="DEL"/>
    <d v="2020-06-22T00:00:00"/>
    <n v="774"/>
    <s v="Nashik"/>
    <m/>
    <m/>
    <m/>
    <m/>
    <d v="2025-05-17T00:00:00"/>
    <m/>
    <s v="Done by NW"/>
    <s v="Done by NW"/>
    <s v="DONE"/>
    <s v="Conv-A DONE"/>
    <s v="Conv-A DONE"/>
    <s v="DONE"/>
    <s v="Conv-A DONE"/>
    <s v="DONE"/>
    <s v="DONE"/>
    <m/>
    <m/>
    <m/>
    <m/>
    <s v="Cov-A Done"/>
    <s v="DONE"/>
    <d v="2023-12-14T00:00:00"/>
    <d v="2023-07-22T00:00:00"/>
    <d v="2024-09-02T00:00:00"/>
    <s v="DONE"/>
    <d v="2024-09-11T00:00:00"/>
    <s v="DONE"/>
    <d v="2024-09-12T00:00:00"/>
    <m/>
    <m/>
  </r>
  <r>
    <m/>
    <m/>
    <s v="HLC-B"/>
    <s v="STB1M0771HLCD"/>
    <x v="8"/>
    <s v="WCR"/>
    <s v="DEL"/>
    <d v="2020-06-22T00:00:00"/>
    <n v="771"/>
    <s v="Nashik"/>
    <m/>
    <m/>
    <m/>
    <m/>
    <d v="2025-05-17T00:00:00"/>
    <m/>
    <s v="Done by NW"/>
    <s v="Done by NW"/>
    <s v="DONE"/>
    <s v="Conv-B DONE"/>
    <s v="Conv-B DONE"/>
    <s v="DONE"/>
    <s v="Conv-B DONE"/>
    <s v="DONE"/>
    <s v="DONE"/>
    <m/>
    <m/>
    <m/>
    <m/>
    <s v="Cov-B Done"/>
    <s v="DONE"/>
    <d v="2023-12-14T00:00:00"/>
    <d v="2023-07-22T00:00:00"/>
    <d v="2024-09-02T00:00:00"/>
    <s v="DONE"/>
    <d v="2024-09-11T00:00:00"/>
    <s v="DONE"/>
    <d v="2024-09-12T00:00:00"/>
    <m/>
    <m/>
  </r>
  <r>
    <n v="302"/>
    <n v="30599"/>
    <s v="HLC-A"/>
    <s v="STB6J0112HLCD"/>
    <x v="8"/>
    <s v="WCR"/>
    <s v="DEL"/>
    <d v="2018-01-12T00:00:00"/>
    <n v="112"/>
    <s v="Nashik"/>
    <m/>
    <m/>
    <m/>
    <m/>
    <d v="2025-04-04T00:00:00"/>
    <d v="2025-04-04T00:00:00"/>
    <s v="Done by NW"/>
    <s v="Done"/>
    <s v="DONE"/>
    <s v="DONE"/>
    <s v="DONE"/>
    <s v="DONE"/>
    <s v="Conv-A DONE"/>
    <s v="DONE"/>
    <s v="DONE"/>
    <m/>
    <m/>
    <s v="EL19J04175-R"/>
    <m/>
    <s v="Done"/>
    <d v="2023-12-07T00:00:00"/>
    <d v="2023-12-07T00:00:00"/>
    <d v="2023-12-07T00:00:00"/>
    <s v="Y5"/>
    <d v="2023-12-12T00:00:00"/>
    <d v="2024-09-02T00:00:00"/>
    <s v="DONE"/>
    <d v="2024-06-14T00:00:00"/>
    <m/>
    <m/>
  </r>
  <r>
    <m/>
    <m/>
    <s v="HLC-B"/>
    <s v="STB6J0115HLCD"/>
    <x v="8"/>
    <s v="WCR"/>
    <s v="DEL"/>
    <d v="2018-01-12T00:00:00"/>
    <n v="115"/>
    <s v="Nashik"/>
    <m/>
    <m/>
    <m/>
    <m/>
    <d v="2025-04-04T00:00:00"/>
    <d v="2025-04-04T00:00:00"/>
    <s v="Done by NW"/>
    <s v="Done"/>
    <s v="DONE"/>
    <s v="DONE"/>
    <s v="DONE"/>
    <s v="DONE"/>
    <s v="Conv-B DONE"/>
    <s v="DONE"/>
    <s v="DONE"/>
    <m/>
    <m/>
    <s v="EL19F01046-R"/>
    <m/>
    <s v="Done"/>
    <d v="2023-12-07T00:00:00"/>
    <d v="2023-12-07T00:00:00"/>
    <d v="2023-12-07T00:00:00"/>
    <s v="Y5"/>
    <d v="2023-12-12T00:00:00"/>
    <d v="2024-09-02T00:00:00"/>
    <s v="DONE"/>
    <d v="2024-06-14T00:00:00"/>
    <m/>
    <m/>
  </r>
  <r>
    <n v="303"/>
    <n v="30604"/>
    <s v="HLC-A"/>
    <s v="STB9J0152HLCD"/>
    <x v="8"/>
    <s v="WCR"/>
    <s v="DEL"/>
    <d v="2018-02-06T00:00:00"/>
    <n v="152"/>
    <s v="Nashik"/>
    <m/>
    <m/>
    <m/>
    <m/>
    <d v="2025-03-24T00:00:00"/>
    <d v="2025-04-24T00:00:00"/>
    <s v="Done by NW"/>
    <s v="Conv-A DONE"/>
    <s v="DONE"/>
    <s v="Conv-A DONE"/>
    <s v="DONE"/>
    <s v="DONE"/>
    <s v="Conv-A DONE"/>
    <s v="DONE"/>
    <s v="DONE"/>
    <m/>
    <m/>
    <s v="EL19F040008-R"/>
    <m/>
    <s v="Conv-A DONE"/>
    <d v="2024-06-03T00:00:00"/>
    <d v="2024-06-06T00:00:00"/>
    <s v="DONE"/>
    <d v="2024-08-08T00:00:00"/>
    <d v="2024-06-03T00:00:00"/>
    <d v="2024-08-26T00:00:00"/>
    <s v="DONE"/>
    <d v="2024-06-06T00:00:00"/>
    <m/>
    <m/>
  </r>
  <r>
    <m/>
    <m/>
    <s v="HLC-B"/>
    <s v="STB9J0146HLCD"/>
    <x v="8"/>
    <s v="WCR"/>
    <s v="DEL"/>
    <d v="2018-02-06T00:00:00"/>
    <n v="146"/>
    <s v="Nashik"/>
    <m/>
    <m/>
    <m/>
    <m/>
    <d v="2025-03-24T00:00:00"/>
    <d v="2025-04-24T00:00:00"/>
    <s v="Done by NW"/>
    <s v="Conv-B DONE"/>
    <s v="DONE"/>
    <s v="Conv-B DONE"/>
    <s v="DONE"/>
    <s v="DONE"/>
    <s v="Conv-B DONE"/>
    <s v="DONE"/>
    <s v="DONE"/>
    <m/>
    <m/>
    <s v="EL18F06038-R"/>
    <m/>
    <s v="Conv-B DONE"/>
    <d v="2024-06-03T00:00:00"/>
    <d v="2024-06-06T00:00:00"/>
    <s v="DONE"/>
    <d v="2024-08-08T00:00:00"/>
    <d v="2024-06-03T00:00:00"/>
    <d v="2024-08-26T00:00:00"/>
    <s v="DONE"/>
    <d v="2024-06-06T00:00:00"/>
    <m/>
    <m/>
  </r>
  <r>
    <n v="304"/>
    <n v="37464"/>
    <s v="HLC-A"/>
    <s v="STB8M0922HLCD"/>
    <x v="8"/>
    <s v="WCR"/>
    <s v="DEL"/>
    <d v="2020-11-23T00:00:00"/>
    <n v="922"/>
    <s v="Nashik"/>
    <m/>
    <m/>
    <m/>
    <m/>
    <d v="2025-02-12T00:00:00"/>
    <d v="2025-02-12T00:00:00"/>
    <s v="Done by NW"/>
    <s v="Done by NW"/>
    <s v="DONE"/>
    <s v="DONE"/>
    <s v="Conv-A DONE"/>
    <s v="DONE"/>
    <s v="DONE"/>
    <s v="Done by NW"/>
    <s v="DONE"/>
    <m/>
    <m/>
    <m/>
    <m/>
    <s v="Conv-A DONE"/>
    <d v="2023-12-11T00:00:00"/>
    <s v="DONE"/>
    <d v="2023-12-11T00:00:00"/>
    <d v="2024-08-06T00:00:00"/>
    <d v="2023-12-11T00:00:00"/>
    <d v="2024-11-08T00:00:00"/>
    <s v="DONE"/>
    <d v="2024-08-03T00:00:00"/>
    <m/>
    <m/>
  </r>
  <r>
    <m/>
    <m/>
    <s v="HLC-B"/>
    <s v="STB8M0923HLCD"/>
    <x v="8"/>
    <s v="WCR"/>
    <s v="DEL"/>
    <d v="2020-11-23T00:00:00"/>
    <n v="923"/>
    <s v="Nashik"/>
    <m/>
    <m/>
    <m/>
    <m/>
    <d v="2025-02-12T00:00:00"/>
    <d v="2025-02-12T00:00:00"/>
    <s v="Done by NW"/>
    <s v="Done by NW"/>
    <s v="DONE"/>
    <s v="DONE"/>
    <s v="Conv-B DONE"/>
    <s v="DONE"/>
    <s v="DONE"/>
    <s v="Done by NW"/>
    <s v="DONE"/>
    <m/>
    <m/>
    <m/>
    <m/>
    <s v="Conv-B DONE"/>
    <d v="2023-12-11T00:00:00"/>
    <s v="DONE"/>
    <d v="2024-08-06T00:00:00"/>
    <d v="2024-08-06T00:00:00"/>
    <d v="2023-12-11T00:00:00"/>
    <d v="2024-11-08T00:00:00"/>
    <s v="DONE"/>
    <d v="2024-08-03T00:00:00"/>
    <m/>
    <m/>
  </r>
  <r>
    <n v="305"/>
    <n v="39024"/>
    <s v="HLC-A"/>
    <s v="STB5K0236HLCD"/>
    <x v="8"/>
    <s v="WCR"/>
    <s v="DEL"/>
    <d v="2019-01-17T00:00:00"/>
    <n v="236"/>
    <s v="Nashik"/>
    <m/>
    <m/>
    <m/>
    <m/>
    <d v="2025-03-20T00:00:00"/>
    <d v="2025-03-20T00:00:00"/>
    <s v="Done by NW"/>
    <s v="Conv-A DONE"/>
    <s v="DONE"/>
    <s v="Conv-A DONE"/>
    <s v="DONE"/>
    <s v="DONE"/>
    <s v="Conv-A DONE"/>
    <s v="DONE"/>
    <s v="DONE"/>
    <m/>
    <m/>
    <s v="EL19D01030-R"/>
    <m/>
    <s v="Conv-A DONE"/>
    <d v="2024-01-31T00:00:00"/>
    <s v="DONE"/>
    <d v="2022-11-22T00:00:00"/>
    <d v="2024-08-13T00:00:00"/>
    <s v="DONE"/>
    <d v="2024-08-12T00:00:00"/>
    <s v="DONE"/>
    <d v="2024-05-11T00:00:00"/>
    <m/>
    <m/>
  </r>
  <r>
    <m/>
    <m/>
    <s v="HLC-B"/>
    <s v="STB4K0223HLCD"/>
    <x v="8"/>
    <s v="WCR"/>
    <s v="DEL"/>
    <d v="2019-01-17T00:00:00"/>
    <n v="223"/>
    <s v="Nashik"/>
    <m/>
    <m/>
    <m/>
    <m/>
    <d v="2025-03-20T00:00:00"/>
    <d v="2025-03-20T00:00:00"/>
    <s v="Done by NW"/>
    <s v="Conv-B DONE"/>
    <s v="DONE"/>
    <s v="Conv-B DONE"/>
    <s v="DONE"/>
    <s v="DONE"/>
    <s v="Conv-B DONE"/>
    <s v="DONE"/>
    <s v="DONE"/>
    <m/>
    <m/>
    <s v="EL19J04155-R"/>
    <m/>
    <s v="Conv-B DONE"/>
    <d v="2024-01-31T00:00:00"/>
    <s v="DONE"/>
    <d v="2022-11-22T00:00:00"/>
    <d v="2024-08-13T00:00:00"/>
    <s v="DONE"/>
    <d v="2024-08-12T00:00:00"/>
    <s v="DONE"/>
    <d v="2024-05-11T00:00:00"/>
    <m/>
    <m/>
  </r>
  <r>
    <n v="306"/>
    <n v="39025"/>
    <s v="HLC-A"/>
    <s v="STB6K0251HLCD"/>
    <x v="8"/>
    <s v="WCR"/>
    <s v="DEL"/>
    <d v="2019-01-19T00:00:00"/>
    <n v="251"/>
    <s v="Nashik"/>
    <m/>
    <m/>
    <m/>
    <m/>
    <d v="2025-03-19T00:00:00"/>
    <d v="2025-03-19T00:00:00"/>
    <s v="Done by NW"/>
    <s v="Conv-A DONE"/>
    <s v="DONE"/>
    <s v="Conv-A DONE"/>
    <s v="DONE"/>
    <s v="DONE"/>
    <s v="Conv-A DONE"/>
    <s v="DONE"/>
    <s v="DONE"/>
    <m/>
    <m/>
    <s v="EL21C01022"/>
    <m/>
    <s v="Conv-A DONE"/>
    <d v="2023-11-18T00:00:00"/>
    <s v="DONE"/>
    <d v="2024-02-23T00:00:00"/>
    <d v="2024-07-06T00:00:00"/>
    <s v="DONE"/>
    <d v="2024-06-19T00:00:00"/>
    <s v="DONE"/>
    <d v="2024-06-19T00:00:00"/>
    <m/>
    <m/>
  </r>
  <r>
    <m/>
    <m/>
    <s v="HLC-B"/>
    <s v="STB6K0249HLCD"/>
    <x v="8"/>
    <s v="WCR"/>
    <s v="DEL"/>
    <d v="2019-01-19T00:00:00"/>
    <n v="249"/>
    <s v="Nashik"/>
    <m/>
    <m/>
    <m/>
    <m/>
    <d v="2025-03-19T00:00:00"/>
    <d v="2025-03-19T00:00:00"/>
    <s v="Done by NW"/>
    <s v="Conv-B DONE"/>
    <s v="DONE"/>
    <s v="Conv-B DONE"/>
    <s v="DONE"/>
    <s v="DONE"/>
    <s v="Conv-B DONE"/>
    <s v="DONE"/>
    <s v="DONE"/>
    <m/>
    <m/>
    <m/>
    <m/>
    <s v="Conv-B DONE"/>
    <d v="2023-11-18T00:00:00"/>
    <s v="DONE"/>
    <d v="2023-11-18T00:00:00"/>
    <d v="2024-07-06T00:00:00"/>
    <s v="DONE"/>
    <d v="2024-06-19T00:00:00"/>
    <s v="DONE"/>
    <d v="2024-06-20T00:00:00"/>
    <m/>
    <m/>
  </r>
  <r>
    <n v="307"/>
    <n v="39183"/>
    <s v="HLC-A"/>
    <s v="STBDM1071HLCD"/>
    <x v="8"/>
    <s v="WCR"/>
    <s v="DEL"/>
    <d v="2021-03-11T00:00:00"/>
    <n v="1071"/>
    <s v="Nashik"/>
    <m/>
    <m/>
    <m/>
    <m/>
    <d v="2025-03-18T00:00:00"/>
    <m/>
    <s v="Done by NW"/>
    <s v="Done"/>
    <s v="DONE"/>
    <s v="DONE"/>
    <s v="DONE"/>
    <s v="DONE"/>
    <s v="DONE"/>
    <s v="DONE"/>
    <s v="DONE"/>
    <m/>
    <m/>
    <m/>
    <m/>
    <s v="Done"/>
    <s v="DONE"/>
    <s v="DONE"/>
    <d v="2023-08-15T00:00:00"/>
    <d v="2024-08-27T00:00:00"/>
    <s v="DONE"/>
    <d v="2024-09-16T00:00:00"/>
    <s v="DONE"/>
    <d v="2025-03-18T00:00:00"/>
    <m/>
    <m/>
  </r>
  <r>
    <m/>
    <m/>
    <s v="HLC-B"/>
    <s v="STBDM1070HLCD"/>
    <x v="8"/>
    <s v="WCR"/>
    <s v="DEL"/>
    <d v="2021-03-11T00:00:00"/>
    <s v="1070"/>
    <s v="Nashik"/>
    <m/>
    <m/>
    <m/>
    <m/>
    <d v="2025-03-18T00:00:00"/>
    <m/>
    <s v="Done by NW"/>
    <s v="Done by NW"/>
    <s v="DONE"/>
    <s v="DONE"/>
    <s v="DONE"/>
    <s v="DONE"/>
    <s v="DONE"/>
    <s v="Done by NW"/>
    <s v="DONE"/>
    <m/>
    <m/>
    <m/>
    <m/>
    <s v="Conv-A DONE"/>
    <s v="DONE"/>
    <s v="DONE"/>
    <d v="2023-08-15T00:00:00"/>
    <d v="2024-08-27T00:00:00"/>
    <s v="DONE"/>
    <d v="2024-09-16T00:00:00"/>
    <s v="DONE"/>
    <d v="2025-03-18T00:00:00"/>
    <m/>
    <m/>
  </r>
  <r>
    <n v="308"/>
    <n v="30670"/>
    <s v="HLC-A"/>
    <s v="STB4N1126HLCD"/>
    <x v="8"/>
    <s v="WCR"/>
    <s v="DEL"/>
    <d v="2022-01-25T00:00:00"/>
    <m/>
    <s v="Nashik"/>
    <m/>
    <m/>
    <m/>
    <m/>
    <d v="2025-01-09T00:00:00"/>
    <m/>
    <s v="Done by NW"/>
    <s v="Done "/>
    <s v="DONE"/>
    <s v="DONE"/>
    <s v="DONE"/>
    <s v="DONE"/>
    <s v="DONE"/>
    <s v="DONE"/>
    <s v="DONE"/>
    <m/>
    <m/>
    <m/>
    <m/>
    <s v="Conv-A DONE"/>
    <d v="2023-11-02T00:00:00"/>
    <s v="DONE"/>
    <d v="2023-12-03T00:00:00"/>
    <s v="DONE "/>
    <s v="DONE"/>
    <d v="2024-09-09T00:00:00"/>
    <s v="DONE"/>
    <m/>
    <m/>
    <m/>
  </r>
  <r>
    <m/>
    <m/>
    <s v="HLC-B"/>
    <s v="STB4N1127HLCD"/>
    <x v="8"/>
    <s v="WCR"/>
    <s v="DEL"/>
    <d v="2022-01-25T00:00:00"/>
    <m/>
    <s v="Nashik"/>
    <m/>
    <m/>
    <m/>
    <m/>
    <d v="2025-01-09T00:00:00"/>
    <m/>
    <s v="Done by NW"/>
    <s v="Done "/>
    <s v="DONE"/>
    <s v="DONE"/>
    <s v="DONE"/>
    <s v="DONE"/>
    <s v="DONE"/>
    <s v="DONE"/>
    <s v="DONE"/>
    <m/>
    <m/>
    <m/>
    <m/>
    <s v="Conv-B DONE"/>
    <d v="2023-11-02T00:00:00"/>
    <s v="DONE"/>
    <d v="2023-12-03T00:00:00"/>
    <s v="DONE "/>
    <s v="DONE"/>
    <d v="2024-09-09T00:00:00"/>
    <s v="DONE"/>
    <m/>
    <m/>
    <m/>
  </r>
  <r>
    <n v="309"/>
    <n v="30650"/>
    <s v="HLC-A"/>
    <s v="STB5N1130HLCD"/>
    <x v="8"/>
    <s v="WCR"/>
    <s v="DEL"/>
    <d v="2022-09-25T00:00:00"/>
    <m/>
    <s v="Nashik"/>
    <m/>
    <m/>
    <m/>
    <m/>
    <d v="2025-02-10T00:00:00"/>
    <m/>
    <s v="Done by NW"/>
    <s v="Conv-A DONE"/>
    <s v="DONE"/>
    <s v="DONE"/>
    <s v="DONE"/>
    <s v="DONE"/>
    <s v="DONE"/>
    <s v="DONE"/>
    <s v="DONE"/>
    <m/>
    <m/>
    <m/>
    <m/>
    <s v="Done"/>
    <d v="2023-12-08T00:00:00"/>
    <s v="DONE"/>
    <d v="2023-06-15T00:00:00"/>
    <d v="2024-06-28T00:00:00"/>
    <d v="2023-12-08T00:00:00"/>
    <d v="2024-10-21T00:00:00"/>
    <s v="DONE"/>
    <m/>
    <m/>
    <m/>
  </r>
  <r>
    <m/>
    <m/>
    <s v="HLC-B"/>
    <s v="STB5N1131HLCD"/>
    <x v="8"/>
    <s v="WCR"/>
    <s v="DEL"/>
    <d v="2022-09-25T00:00:00"/>
    <m/>
    <s v="Nashik"/>
    <m/>
    <m/>
    <m/>
    <m/>
    <d v="2025-02-10T00:00:00"/>
    <m/>
    <s v="Done by NW"/>
    <s v="Conv-B DONE"/>
    <s v="DONE"/>
    <s v="DONE"/>
    <s v="DONE"/>
    <s v="DONE"/>
    <s v="DONE"/>
    <s v="DONE"/>
    <s v="DONE"/>
    <m/>
    <m/>
    <m/>
    <m/>
    <s v="Done"/>
    <d v="2023-12-08T00:00:00"/>
    <s v="DONE"/>
    <d v="2023-06-15T00:00:00"/>
    <d v="2024-06-28T00:00:00"/>
    <d v="2023-12-08T00:00:00"/>
    <d v="2024-10-21T00:00:00"/>
    <s v="DONE"/>
    <m/>
    <m/>
    <m/>
  </r>
  <r>
    <n v="310"/>
    <n v="30376"/>
    <s v="HLC-A"/>
    <s v="STBDN1187HLCD"/>
    <x v="8"/>
    <s v="WCR"/>
    <s v="DEL"/>
    <d v="2022-11-25T00:00:00"/>
    <m/>
    <s v="Nashik"/>
    <m/>
    <m/>
    <m/>
    <m/>
    <d v="2025-01-08T00:00:00"/>
    <d v="2025-01-08T00:00:00"/>
    <s v="Done by NW"/>
    <s v="Conv-A DONE"/>
    <s v="DONE"/>
    <s v="DONE"/>
    <s v="DONE"/>
    <s v="DONE"/>
    <s v="DONE"/>
    <s v="DONE"/>
    <s v="DONE"/>
    <m/>
    <m/>
    <m/>
    <m/>
    <s v="Con-A Done"/>
    <d v="2023-12-09T00:00:00"/>
    <s v="DONE"/>
    <d v="2023-08-15T00:00:00"/>
    <d v="2024-07-04T00:00:00"/>
    <d v="2023-12-09T00:00:00"/>
    <d v="2024-09-24T00:00:00"/>
    <s v="DONE"/>
    <d v="2025-01-08T00:00:00"/>
    <m/>
    <m/>
  </r>
  <r>
    <m/>
    <m/>
    <s v="HLC-B"/>
    <s v="STB2P1241HLCD"/>
    <x v="8"/>
    <s v="WCR"/>
    <s v="DEL"/>
    <d v="2022-11-25T00:00:00"/>
    <m/>
    <s v="Nashik"/>
    <m/>
    <m/>
    <m/>
    <m/>
    <d v="2025-01-08T00:00:00"/>
    <d v="2025-01-08T00:00:00"/>
    <s v="Done by NW"/>
    <s v="Conv-B DONE"/>
    <s v="DONE"/>
    <s v="DONE"/>
    <s v="DONE"/>
    <s v="DONE"/>
    <s v="DONE"/>
    <s v="DONE"/>
    <s v="DONE"/>
    <m/>
    <m/>
    <m/>
    <m/>
    <s v="Conv-B DONE"/>
    <d v="2023-12-09T00:00:00"/>
    <s v="DONE"/>
    <d v="2023-08-15T00:00:00"/>
    <d v="2024-07-04T00:00:00"/>
    <d v="2023-12-09T00:00:00"/>
    <d v="2024-09-24T00:00:00"/>
    <s v="DONE"/>
    <d v="2025-01-08T00:00:00"/>
    <m/>
    <m/>
  </r>
  <r>
    <n v="311"/>
    <n v="30234"/>
    <s v="HLC-A"/>
    <s v="STBDR1583HLCD"/>
    <x v="8"/>
    <s v="WCR"/>
    <s v="DEL"/>
    <d v="2024-10-15T00:00:00"/>
    <m/>
    <s v="Nashik"/>
    <d v="2025-02-05T00:00:00"/>
    <m/>
    <m/>
    <m/>
    <d v="2025-02-05T00:00:00"/>
    <s v="DONE BY NW"/>
    <s v="Done by NW"/>
    <s v="Done"/>
    <s v="DONE BY NW"/>
    <s v="DONE"/>
    <s v="DONE"/>
    <s v="DONE"/>
    <s v="Done by NW"/>
    <s v="DONE"/>
    <m/>
    <m/>
    <m/>
    <m/>
    <s v="Done"/>
    <s v="Done"/>
    <s v="DONE"/>
    <d v="2024-10-15T00:00:00"/>
    <d v="2024-10-15T00:00:00"/>
    <s v="DONE"/>
    <d v="2024-10-05T00:00:00"/>
    <s v="Checked"/>
    <m/>
    <m/>
    <m/>
    <m/>
  </r>
  <r>
    <m/>
    <m/>
    <s v="HLC-B"/>
    <s v="STBDR1582HLCD"/>
    <x v="8"/>
    <s v="WCR"/>
    <s v="DEL"/>
    <d v="2024-10-15T00:00:00"/>
    <m/>
    <s v="Nashik"/>
    <d v="2025-02-05T00:00:00"/>
    <m/>
    <m/>
    <m/>
    <d v="2025-02-05T00:00:00"/>
    <s v="DONE BY NW"/>
    <s v="Done by NW"/>
    <s v="Done"/>
    <s v="DONE BY NW"/>
    <s v="DONE"/>
    <s v="DONE"/>
    <s v="DONE"/>
    <s v="Done by NW"/>
    <s v="DONE"/>
    <m/>
    <m/>
    <m/>
    <m/>
    <s v="Done"/>
    <s v="Done"/>
    <s v="DONE"/>
    <d v="2024-10-15T00:00:00"/>
    <d v="2024-10-15T00:00:00"/>
    <s v="DONE"/>
    <d v="2024-10-05T00:00:00"/>
    <s v="Checked"/>
    <m/>
    <m/>
    <m/>
    <m/>
  </r>
  <r>
    <n v="312"/>
    <n v="30440"/>
    <s v="HLC-A"/>
    <s v="STB3S1676HLCD"/>
    <x v="8"/>
    <s v="WCR"/>
    <s v="DEL"/>
    <d v="2025-01-28T00:00:00"/>
    <m/>
    <s v="Nashik"/>
    <m/>
    <m/>
    <m/>
    <m/>
    <s v="New comm."/>
    <s v="DONE BY NW"/>
    <s v="Done by NW"/>
    <s v="Done"/>
    <s v="DONE BY NW"/>
    <s v="DONE"/>
    <s v="DONE"/>
    <s v="Done by NW"/>
    <s v="Done by NW"/>
    <s v="DONE"/>
    <m/>
    <m/>
    <s v="NA"/>
    <m/>
    <s v="Done"/>
    <s v="Done by NW"/>
    <s v="Dony by NW"/>
    <m/>
    <d v="2025-01-25T00:00:00"/>
    <s v="DONE"/>
    <m/>
    <m/>
    <m/>
    <m/>
    <m/>
    <m/>
  </r>
  <r>
    <m/>
    <m/>
    <s v="HLC-B"/>
    <s v="STB3S1677HLCD"/>
    <x v="8"/>
    <s v="WCR"/>
    <s v="DEL"/>
    <d v="2025-01-28T00:00:00"/>
    <m/>
    <s v="Nashik"/>
    <m/>
    <m/>
    <m/>
    <m/>
    <s v="New comm."/>
    <s v="DONE BY NW"/>
    <s v="Done by NW"/>
    <s v="Done"/>
    <s v="DONE BY NW"/>
    <s v="DONE"/>
    <s v="DONE"/>
    <s v="Done by NW"/>
    <s v="Done by NW"/>
    <s v="DONE"/>
    <m/>
    <m/>
    <s v="NA"/>
    <m/>
    <s v="Done"/>
    <s v="Done by NW"/>
    <s v="Dony by NW"/>
    <m/>
    <d v="2025-01-25T00:00:00"/>
    <s v="DONE"/>
    <m/>
    <m/>
    <m/>
    <m/>
    <m/>
    <m/>
  </r>
  <r>
    <n v="313"/>
    <n v="30339"/>
    <s v="HLC-A"/>
    <s v="STB3S1668HLCD"/>
    <x v="8"/>
    <s v="WCR"/>
    <s v="DEL"/>
    <d v="2025-02-08T00:00:00"/>
    <m/>
    <s v="Nashik"/>
    <m/>
    <m/>
    <m/>
    <m/>
    <s v="New comm."/>
    <s v="DONE BY NW"/>
    <s v="Done by NW"/>
    <s v="Done"/>
    <s v="DONE BY NW"/>
    <s v="DONE"/>
    <s v="DONE"/>
    <s v="Done by NW"/>
    <s v="Done by NW"/>
    <s v="DONE"/>
    <m/>
    <m/>
    <s v="NA"/>
    <m/>
    <s v="Done"/>
    <s v="Done by NW"/>
    <s v="Dony by NW"/>
    <m/>
    <d v="2025-02-07T00:00:00"/>
    <s v="DONE"/>
    <m/>
    <m/>
    <m/>
    <m/>
    <m/>
    <m/>
  </r>
  <r>
    <m/>
    <m/>
    <s v="HLC-B"/>
    <s v="STB3S1669HLCD"/>
    <x v="8"/>
    <s v="WCR"/>
    <s v="DEL"/>
    <d v="2025-02-08T00:00:00"/>
    <m/>
    <s v="Nashik"/>
    <m/>
    <m/>
    <m/>
    <m/>
    <s v="New comm."/>
    <s v="DONE BY NW"/>
    <s v="Done by NW"/>
    <s v="Done"/>
    <s v="DONE BY NW"/>
    <s v="DONE"/>
    <s v="DONE"/>
    <s v="Done by NW"/>
    <s v="Done by NW"/>
    <s v="DONE"/>
    <m/>
    <m/>
    <s v="NA"/>
    <m/>
    <s v="Done"/>
    <s v="Done by NW"/>
    <s v="Dony by NW"/>
    <m/>
    <d v="2025-02-07T00:00:00"/>
    <s v="DONE"/>
    <m/>
    <m/>
    <m/>
    <m/>
    <m/>
    <m/>
  </r>
  <r>
    <n v="314"/>
    <n v="39471"/>
    <s v="HLC-A"/>
    <s v="STB4S1697HLCD"/>
    <x v="9"/>
    <s v="NR"/>
    <s v="DEL"/>
    <d v="2025-06-17T00:00:00"/>
    <m/>
    <s v="Nashik"/>
    <m/>
    <m/>
    <m/>
    <m/>
    <s v="New Comm"/>
    <s v="Done by NW "/>
    <s v="Done by NW"/>
    <s v="Done by NW"/>
    <s v="Done by NW "/>
    <s v="Done by NW"/>
    <s v="Done "/>
    <s v="DONE"/>
    <s v="Done by NW"/>
    <s v="done "/>
    <s v="DONE"/>
    <m/>
    <m/>
    <m/>
    <m/>
    <s v="Done by NW"/>
    <s v="done by nw"/>
    <s v="done "/>
    <d v="2025-06-18T00:00:00"/>
    <d v="2025-06-18T00:00:00"/>
    <d v="2025-06-18T00:00:00"/>
    <d v="2025-06-18T00:00:00"/>
    <s v="New Comm"/>
    <s v="done by NW"/>
    <d v="2025-06-18T00:00:00"/>
    <m/>
  </r>
  <r>
    <m/>
    <n v="39471"/>
    <s v="HLC-B"/>
    <s v="STB4S1696HLCD"/>
    <x v="9"/>
    <s v="NR"/>
    <s v="DEL"/>
    <d v="2025-06-17T00:00:00"/>
    <m/>
    <s v="Nashik"/>
    <m/>
    <m/>
    <m/>
    <m/>
    <s v="New Comm"/>
    <s v="Done by NW "/>
    <s v="Done by NW"/>
    <s v="Done by NW"/>
    <s v="Done by NW "/>
    <s v="Done by NW"/>
    <s v="Done "/>
    <s v="DONE"/>
    <s v="Done by NW"/>
    <s v="done "/>
    <s v="DONE"/>
    <m/>
    <m/>
    <m/>
    <m/>
    <s v="Done by NW"/>
    <s v="done by nw"/>
    <s v="done "/>
    <d v="2025-06-18T00:00:00"/>
    <d v="2025-06-18T00:00:00"/>
    <d v="2025-06-18T00:00:00"/>
    <d v="2025-06-18T00:00:00"/>
    <s v="New Comm"/>
    <s v="done by NW"/>
    <d v="2025-06-18T00:00:00"/>
    <m/>
  </r>
  <r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n v="1"/>
    <n v="30446"/>
    <s v="HLC-A"/>
    <s v="STB7F0012HLCB"/>
    <x v="0"/>
    <s v="SER"/>
    <s v="KOL"/>
    <d v="2016-01-08T00:00:00"/>
    <n v="12"/>
    <s v="Imported"/>
    <s v="U7D2S04V.005"/>
    <d v="2020-10-26T00:00:00"/>
    <s v="L3I2ZY72.008"/>
    <s v="Done"/>
    <m/>
    <d v="2024-05-01T00:00:00"/>
    <s v="Conv-A DONE"/>
    <s v="Conv-A DONE"/>
    <s v="Conv-A DONE"/>
    <s v="Conv-A DONE"/>
    <s v="Conv-A DONE"/>
    <s v="Conv-A DONE"/>
    <s v="Conv-A DONE"/>
    <s v="Both side available"/>
    <s v="OK"/>
    <m/>
    <m/>
    <m/>
    <m/>
    <s v="Conv-A DONE"/>
    <m/>
    <s v="DONE"/>
    <d v="2024-01-10T00:00:00"/>
    <s v="N7"/>
    <d v="2023-08-25T00:00:00"/>
    <s v="Checked"/>
    <d v="2024-08-14T00:00:00"/>
    <d v="2024-08-14T00:00:00"/>
    <m/>
    <m/>
  </r>
  <r>
    <n v="2"/>
    <n v="30446"/>
    <s v="HLC-B"/>
    <s v="STB70013HLCB"/>
    <x v="0"/>
    <s v="SER"/>
    <s v="KOL"/>
    <d v="2016-01-08T00:00:00"/>
    <n v="13"/>
    <s v="Imported"/>
    <s v="U7D2S04V.005"/>
    <d v="2020-10-26T00:00:00"/>
    <s v="L3I2ZY72.008"/>
    <s v="Done"/>
    <m/>
    <d v="2024-05-01T00:00:00"/>
    <s v="Conv-B DONE"/>
    <s v="Conv-B DONE"/>
    <s v="Conv-B DONE"/>
    <s v="Conv-B DONE"/>
    <s v="Conv-B DONE"/>
    <s v="Conv-B DONE"/>
    <s v="Conv-B DONE"/>
    <s v="Both side available"/>
    <s v="OK"/>
    <m/>
    <m/>
    <m/>
    <m/>
    <s v="Conv-B DONE"/>
    <m/>
    <s v="DONE"/>
    <d v="2024-01-10T00:00:00"/>
    <s v="N7"/>
    <d v="2023-08-25T00:00:00"/>
    <s v="Checked"/>
    <d v="2024-08-14T00:00:00"/>
    <d v="2024-08-14T00:00:00"/>
    <m/>
    <m/>
  </r>
  <r>
    <n v="3"/>
    <n v="30454"/>
    <s v="HLC-A"/>
    <s v="STB9F0033HLCA"/>
    <x v="1"/>
    <s v="SER"/>
    <s v="KOL"/>
    <d v="2016-02-23T00:00:00"/>
    <n v="33"/>
    <s v="Imported"/>
    <s v="RJ0D04.005"/>
    <m/>
    <m/>
    <m/>
    <d v="2023-07-04T00:00:00"/>
    <d v="2023-07-04T00:00:00"/>
    <s v="Conv-A DONE"/>
    <s v="Conv-A DONE"/>
    <s v="Conv-A DONE"/>
    <s v="Conv-A DONE"/>
    <s v="Conv-A DONE"/>
    <s v="Conv-A DONE"/>
    <s v="Conv-A DONE"/>
    <s v="Both Not Available"/>
    <s v="OK"/>
    <m/>
    <m/>
    <m/>
    <m/>
    <d v="2022-11-20T00:00:00"/>
    <m/>
    <d v="2022-11-17T00:00:00"/>
    <d v="2024-01-08T00:00:00"/>
    <d v="2025-08-05T00:00:00"/>
    <d v="2022-11-17T00:00:00"/>
    <s v="Checked"/>
    <s v="20-01-24"/>
    <d v="2024-01-16T00:00:00"/>
    <s v="22.04.25"/>
    <m/>
  </r>
  <r>
    <n v="4"/>
    <n v="30454"/>
    <s v="HLC-B"/>
    <s v="STB9F0032HLCA"/>
    <x v="1"/>
    <s v="SER"/>
    <s v="KOL"/>
    <d v="2016-02-23T00:00:00"/>
    <n v="32"/>
    <s v="Imported"/>
    <s v="RJ0D04.005"/>
    <m/>
    <m/>
    <m/>
    <d v="2023-07-04T00:00:00"/>
    <d v="2023-07-04T00:00:00"/>
    <s v="Conv-B DONE"/>
    <s v="Conv-B DONE"/>
    <s v="Conv-B DONE"/>
    <s v="Conv-B DONE"/>
    <s v="Conv-B DONE"/>
    <s v="Conv-B DONE"/>
    <s v="Conv-B DONE"/>
    <s v="Both Not Available"/>
    <s v="OK"/>
    <m/>
    <m/>
    <m/>
    <m/>
    <d v="2022-11-20T00:00:00"/>
    <m/>
    <d v="2022-11-17T00:00:00"/>
    <d v="2024-01-08T00:00:00"/>
    <d v="2025-08-05T00:00:00"/>
    <d v="2022-11-17T00:00:00"/>
    <s v="Checked"/>
    <s v="20-01-2024"/>
    <d v="2024-01-16T00:00:00"/>
    <s v="22.04.25"/>
    <m/>
  </r>
  <r>
    <n v="5"/>
    <n v="30534"/>
    <s v="HLC-A"/>
    <s v="STB8H0081HLCC"/>
    <x v="1"/>
    <s v="SER"/>
    <s v="KOL"/>
    <d v="2017-04-04T00:00:00"/>
    <n v="81"/>
    <s v="Nashik"/>
    <m/>
    <m/>
    <s v="UAT2Y440.012"/>
    <d v="2021-01-05T00:00:00"/>
    <d v="2023-05-30T00:00:00"/>
    <d v="2024-07-02T00:00:00"/>
    <s v="Conv-A DONE"/>
    <s v="Conv-A DONE"/>
    <s v="Conv-A DONE"/>
    <s v="Conv-A DONE"/>
    <s v="Conv-A DONE"/>
    <s v="Conv-A DONE"/>
    <s v="Conv-A DONE"/>
    <s v="Both Not Available"/>
    <s v="OK"/>
    <m/>
    <m/>
    <m/>
    <m/>
    <d v="2022-07-26T00:00:00"/>
    <m/>
    <d v="2022-07-14T00:00:00"/>
    <d v="2024-07-02T00:00:00"/>
    <d v="2024-07-02T00:00:00"/>
    <d v="2022-11-22T00:00:00"/>
    <s v="Checked"/>
    <d v="2023-12-08T00:00:00"/>
    <d v="2024-01-12T00:00:00"/>
    <m/>
    <m/>
  </r>
  <r>
    <n v="6"/>
    <n v="30534"/>
    <s v="HLC-B"/>
    <s v="STB8H0079HLCC"/>
    <x v="1"/>
    <s v="SER"/>
    <s v="KOL"/>
    <d v="2017-04-04T00:00:00"/>
    <n v="79"/>
    <s v="Nashik"/>
    <m/>
    <m/>
    <s v="UAT2Y440.012"/>
    <d v="2021-01-05T00:00:00"/>
    <d v="2023-05-30T00:00:00"/>
    <d v="2024-07-02T00:00:00"/>
    <s v="Conv-B DONE"/>
    <s v="Conv-B DONE"/>
    <s v="Conv-B DONE"/>
    <s v="Conv-B DONE"/>
    <s v="Conv-B DONE"/>
    <s v="Conv-B DONE"/>
    <s v="Conv-B DONE"/>
    <s v="Both Not Available"/>
    <s v="OK"/>
    <m/>
    <m/>
    <m/>
    <m/>
    <d v="2022-07-26T00:00:00"/>
    <m/>
    <d v="2022-07-14T00:00:00"/>
    <d v="2024-07-02T00:00:00"/>
    <d v="2024-07-02T00:00:00"/>
    <d v="2022-11-22T00:00:00"/>
    <s v="Checked"/>
    <d v="2023-12-08T00:00:00"/>
    <d v="2024-01-12T00:00:00"/>
    <m/>
    <m/>
  </r>
  <r>
    <n v="7"/>
    <n v="30535"/>
    <s v="HLC-A"/>
    <s v="STB7H0069HLCC"/>
    <x v="1"/>
    <s v="SER"/>
    <s v="KOL"/>
    <d v="2017-03-30T00:00:00"/>
    <n v="69"/>
    <s v="Nashik"/>
    <m/>
    <m/>
    <s v="UAT2Y440.012"/>
    <d v="2021-02-02T00:00:00"/>
    <d v="2023-06-15T00:00:00"/>
    <d v="2024-10-17T00:00:00"/>
    <s v="Conv-A DONE"/>
    <s v="Conv-A DONE"/>
    <s v="Conv-A DONE"/>
    <s v="Conv-A DONE"/>
    <s v="Conv-A DONE"/>
    <s v="Conv-A DONE"/>
    <s v="Conv-A DONE"/>
    <s v="Both Not Available"/>
    <s v="OK"/>
    <m/>
    <m/>
    <m/>
    <m/>
    <d v="2022-09-07T00:00:00"/>
    <m/>
    <d v="2022-09-07T00:00:00"/>
    <d v="2024-07-13T00:00:00"/>
    <d v="2024-07-13T00:00:00"/>
    <d v="2023-09-14T00:00:00"/>
    <s v="Checked"/>
    <d v="2024-10-17T00:00:00"/>
    <d v="2024-10-17T00:00:00"/>
    <s v="17-10-24"/>
    <m/>
  </r>
  <r>
    <n v="8"/>
    <n v="30535"/>
    <s v="HLC-B"/>
    <s v="STB7H0070HLCC"/>
    <x v="1"/>
    <s v="SER"/>
    <s v="KOL"/>
    <d v="2017-03-30T00:00:00"/>
    <n v="70"/>
    <s v="Nashik"/>
    <m/>
    <m/>
    <s v="UAT2Y440.012"/>
    <d v="2021-02-02T00:00:00"/>
    <d v="2023-06-15T00:00:00"/>
    <d v="2024-10-17T00:00:00"/>
    <s v="Conv-B DONE"/>
    <s v="Conv-B DONE"/>
    <s v="Conv-B DONE"/>
    <s v="Conv-B DONE"/>
    <s v="Conv-B DONE"/>
    <s v="Conv-B DONE"/>
    <s v="Conv-B DONE"/>
    <s v="Both Not Available"/>
    <s v="OK"/>
    <m/>
    <m/>
    <m/>
    <m/>
    <d v="2022-09-07T00:00:00"/>
    <m/>
    <d v="2022-09-07T00:00:00"/>
    <d v="2024-07-13T00:00:00"/>
    <d v="2024-07-13T00:00:00"/>
    <d v="2023-09-14T00:00:00"/>
    <s v="Checked"/>
    <d v="2024-10-17T00:00:00"/>
    <d v="2024-10-17T00:00:00"/>
    <s v="17-10-24"/>
    <m/>
  </r>
  <r>
    <n v="9"/>
    <n v="30776"/>
    <s v="HLC-A"/>
    <s v="STBDM1062HLCD"/>
    <x v="0"/>
    <s v="SER"/>
    <s v="KOL"/>
    <d v="2021-07-03T00:00:00"/>
    <n v="1062"/>
    <s v="Nashik"/>
    <m/>
    <m/>
    <m/>
    <m/>
    <d v="2023-08-16T00:00:00"/>
    <m/>
    <s v="Conv-A DONE"/>
    <s v="Conv-A DONE"/>
    <s v="Conv-A DONE"/>
    <s v="Conv-A DONE"/>
    <s v="Conv-A DONE"/>
    <s v="Conv-A DONE"/>
    <s v="Conv-A DONE"/>
    <s v="Both side available"/>
    <s v="OK"/>
    <m/>
    <m/>
    <m/>
    <m/>
    <d v="2023-08-16T00:00:00"/>
    <m/>
    <d v="2023-08-16T00:00:00"/>
    <d v="2024-03-08T00:00:00"/>
    <d v="2024-03-08T00:00:00"/>
    <d v="2023-12-09T00:00:00"/>
    <s v="Checked"/>
    <s v="27/06/2024"/>
    <d v="2024-01-05T00:00:00"/>
    <d v="2024-08-03T00:00:00"/>
    <m/>
  </r>
  <r>
    <n v="10"/>
    <n v="30776"/>
    <s v="HLC-B"/>
    <s v="STBDM1063HLCD"/>
    <x v="0"/>
    <s v="SER"/>
    <s v="KOL"/>
    <d v="2021-07-03T00:00:00"/>
    <n v="1063"/>
    <s v="Nashik"/>
    <m/>
    <m/>
    <m/>
    <m/>
    <d v="2023-08-16T00:00:00"/>
    <m/>
    <s v="Conv-B DONE"/>
    <s v="Conv-B DONE"/>
    <s v="Conv-B DONE"/>
    <s v="Conv-B DONE"/>
    <s v="Conv-B DONE"/>
    <s v="Conv-B DONE"/>
    <s v="Conv-B DONE"/>
    <s v="Both side available"/>
    <s v="OK"/>
    <m/>
    <m/>
    <m/>
    <m/>
    <d v="2023-08-16T00:00:00"/>
    <m/>
    <d v="2023-08-16T00:00:00"/>
    <d v="2024-03-08T00:00:00"/>
    <d v="2024-03-08T00:00:00"/>
    <d v="2023-12-09T00:00:00"/>
    <s v="Checked"/>
    <s v="27/06/2024"/>
    <d v="2024-01-05T00:00:00"/>
    <d v="2024-08-03T00:00:00"/>
    <m/>
  </r>
  <r>
    <n v="11"/>
    <n v="37223"/>
    <s v="HLC-A"/>
    <s v="STB5L0495HLCD"/>
    <x v="1"/>
    <s v="SER"/>
    <s v="KOL"/>
    <d v="2019-09-16T00:00:00"/>
    <n v="495"/>
    <s v="Nashik"/>
    <m/>
    <m/>
    <s v="UAT2Y440.012"/>
    <d v="2021-04-08T00:00:00"/>
    <d v="2023-07-27T00:00:00"/>
    <d v="2023-07-04T00:00:00"/>
    <s v="Conv-A DONE"/>
    <s v="Conv-A DONE"/>
    <s v="Conv-A DONE"/>
    <s v="Conv-A DONE"/>
    <s v="Conv-A DONE"/>
    <s v="Conv-A DONE"/>
    <s v="Conv-A DONE"/>
    <s v="Both side available"/>
    <s v="OK"/>
    <m/>
    <m/>
    <m/>
    <m/>
    <d v="2023-01-20T00:00:00"/>
    <d v="2025-06-24T00:00:00"/>
    <d v="2022-07-16T00:00:00"/>
    <d v="2024-07-12T00:00:00"/>
    <d v="2024-07-12T00:00:00"/>
    <d v="2023-07-27T00:00:00"/>
    <s v="Checked"/>
    <s v="15-07-2024"/>
    <d v="2024-12-07T00:00:00"/>
    <m/>
    <m/>
  </r>
  <r>
    <n v="12"/>
    <n v="37223"/>
    <s v="HLC-B"/>
    <s v="STB5L0496HLCD"/>
    <x v="1"/>
    <s v="SER"/>
    <s v="KOL"/>
    <d v="2019-09-16T00:00:00"/>
    <n v="496"/>
    <s v="Nashik"/>
    <m/>
    <m/>
    <s v="UAT2Y440.012"/>
    <d v="2021-04-08T00:00:00"/>
    <d v="2023-07-27T00:00:00"/>
    <d v="2023-07-04T00:00:00"/>
    <s v="Conv-B DONE"/>
    <s v="Conv-B DONE"/>
    <s v="Conv-B DONE"/>
    <s v="Conv-B DONE"/>
    <s v="Conv-B DONE"/>
    <s v="Conv-B DONE"/>
    <s v="Conv-B DONE"/>
    <s v="Both side available"/>
    <s v="OK"/>
    <m/>
    <m/>
    <m/>
    <m/>
    <d v="2023-01-20T00:00:00"/>
    <d v="2025-06-24T00:00:00"/>
    <d v="2022-07-16T00:00:00"/>
    <d v="2024-07-12T00:00:00"/>
    <d v="2024-07-12T00:00:00"/>
    <d v="2023-07-27T00:00:00"/>
    <s v="Checked"/>
    <s v="15-07-2024"/>
    <d v="2024-12-07T00:00:00"/>
    <m/>
    <m/>
  </r>
  <r>
    <n v="13"/>
    <n v="37243"/>
    <s v="HLC-A"/>
    <s v="STB7L0617HLCD"/>
    <x v="0"/>
    <s v="SER"/>
    <s v="KOL"/>
    <d v="2019-09-24T00:00:00"/>
    <n v="617"/>
    <s v="Nashik"/>
    <m/>
    <m/>
    <s v="UAT2Y440.012"/>
    <d v="2021-01-20T00:00:00"/>
    <d v="2023-10-17T00:00:00"/>
    <s v="29/01/24"/>
    <s v="Conv-A DONE"/>
    <s v="Conv-A DONE"/>
    <s v="Conv-A DONE"/>
    <s v="Conv-A DONE"/>
    <s v="Conv-A DONE"/>
    <s v="Conv-A DONE"/>
    <s v="Conv-A DONE"/>
    <s v="Both Not Available"/>
    <s v="OK"/>
    <m/>
    <m/>
    <m/>
    <m/>
    <d v="2022-12-14T00:00:00"/>
    <m/>
    <d v="2023-11-16T00:00:00"/>
    <s v="22-07-24"/>
    <s v="22-07-24"/>
    <d v="2024-01-29T00:00:00"/>
    <s v="Checked"/>
    <s v="19-11-2024"/>
    <d v="2024-01-29T00:00:00"/>
    <s v="22-07-24"/>
    <m/>
  </r>
  <r>
    <n v="14"/>
    <n v="37243"/>
    <s v="HLC-B"/>
    <s v="STB7L0616HLCD"/>
    <x v="0"/>
    <s v="SER"/>
    <s v="KOL"/>
    <d v="2019-09-24T00:00:00"/>
    <n v="616"/>
    <s v="Nashik"/>
    <m/>
    <m/>
    <s v="UAT2Y440.012"/>
    <d v="2021-01-20T00:00:00"/>
    <d v="2023-10-17T00:00:00"/>
    <s v="29/01/24"/>
    <s v="Conv-B DONE"/>
    <s v="Conv-B DONE"/>
    <s v="Conv-B DONE"/>
    <s v="Conv-B DONE"/>
    <s v="Conv-B DONE"/>
    <s v="Conv-B DONE"/>
    <s v="Conv-B DONE"/>
    <s v="Both Not Available"/>
    <s v="OK"/>
    <m/>
    <m/>
    <m/>
    <m/>
    <d v="2022-12-14T00:00:00"/>
    <m/>
    <d v="2023-11-16T00:00:00"/>
    <s v="22-07-24"/>
    <s v="22-07-24"/>
    <d v="2024-01-29T00:00:00"/>
    <s v="Checked"/>
    <s v="19-11-2024"/>
    <d v="2024-01-29T00:00:00"/>
    <s v="22-07-24"/>
    <m/>
  </r>
  <r>
    <n v="15"/>
    <n v="37245"/>
    <s v="HLC-A"/>
    <s v="STB7L0618HLCD"/>
    <x v="0"/>
    <s v="SER"/>
    <s v="KOL"/>
    <d v="2019-09-19T00:00:00"/>
    <n v="618"/>
    <s v="Nashik"/>
    <m/>
    <m/>
    <s v="UAT2Y440.012"/>
    <d v="2021-03-28T00:00:00"/>
    <d v="2023-01-01T00:00:00"/>
    <m/>
    <s v="Conv-A DONE"/>
    <s v="Conv-B DONE"/>
    <s v="Conv-A DONE"/>
    <s v="Conv-A DONE"/>
    <s v="Conv-A DONE"/>
    <s v="Conv-A DONE"/>
    <s v="Conv-A DONE"/>
    <s v="Both Not Available"/>
    <s v="OK"/>
    <m/>
    <m/>
    <s v="EL19H01006-R"/>
    <m/>
    <d v="2022-12-21T00:00:00"/>
    <m/>
    <d v="2022-07-08T00:00:00"/>
    <d v="2024-07-12T00:00:00"/>
    <d v="2024-07-12T00:00:00"/>
    <d v="2024-01-05T00:00:00"/>
    <s v="Checked"/>
    <d v="2025-06-02T00:00:00"/>
    <d v="2024-01-02T00:00:00"/>
    <m/>
    <m/>
  </r>
  <r>
    <n v="16"/>
    <n v="37245"/>
    <s v="HLC-B"/>
    <s v="STB7L0619HLCD"/>
    <x v="0"/>
    <s v="SER"/>
    <s v="KOL"/>
    <d v="2019-09-19T00:00:00"/>
    <n v="619"/>
    <s v="Nashik"/>
    <m/>
    <m/>
    <s v="UAT2Y440.012"/>
    <d v="2021-03-28T00:00:00"/>
    <d v="2023-01-01T00:00:00"/>
    <m/>
    <s v="Conv-B DONE"/>
    <s v="Conv-B DONE"/>
    <s v="Conv-B DONE"/>
    <s v="Conv-B DONE"/>
    <s v="Conv-B DONE"/>
    <s v="Conv-B DONE"/>
    <s v="Conv-B DONE"/>
    <s v="Both Not Available"/>
    <s v="OK"/>
    <m/>
    <m/>
    <s v="EL21C01025"/>
    <m/>
    <d v="2022-12-21T00:00:00"/>
    <m/>
    <d v="2022-07-08T00:00:00"/>
    <d v="2024-07-12T00:00:00"/>
    <d v="2024-07-12T00:00:00"/>
    <d v="2024-01-05T00:00:00"/>
    <s v="Checked"/>
    <d v="2025-06-02T00:00:00"/>
    <d v="2024-01-02T00:00:00"/>
    <m/>
    <m/>
  </r>
  <r>
    <n v="17"/>
    <n v="37247"/>
    <s v="HLC-A"/>
    <s v="STB7L0624HLCD"/>
    <x v="1"/>
    <s v="SER"/>
    <s v="KOL"/>
    <d v="2019-09-21T00:00:00"/>
    <n v="624"/>
    <s v="Nashik"/>
    <m/>
    <m/>
    <s v="UAT2Y440.012"/>
    <d v="2021-12-04T00:00:00"/>
    <d v="2024-07-08T00:00:00"/>
    <m/>
    <s v="Conv-A DONE"/>
    <s v="Conv-B DONE"/>
    <s v="Conv-A DONE"/>
    <s v="Conv-A DONE"/>
    <s v="22-08-22"/>
    <s v="Conv-A DONE"/>
    <s v="Conv-A DONE"/>
    <s v="Both Not Available"/>
    <s v="OK"/>
    <m/>
    <m/>
    <m/>
    <m/>
    <d v="2022-05-07T00:00:00"/>
    <m/>
    <d v="2022-07-21T00:00:00"/>
    <d v="2024-07-08T00:00:00"/>
    <d v="2024-07-08T00:00:00"/>
    <d v="2024-01-29T00:00:00"/>
    <s v="Checked"/>
    <d v="2024-03-18T00:00:00"/>
    <d v="2024-01-29T00:00:00"/>
    <s v="17-10-24"/>
    <m/>
  </r>
  <r>
    <n v="18"/>
    <n v="37247"/>
    <s v="HLC-B"/>
    <s v="STB7L0625HLCD"/>
    <x v="1"/>
    <s v="SER"/>
    <s v="KOL"/>
    <d v="2019-09-21T00:00:00"/>
    <n v="625"/>
    <s v="Nashik"/>
    <m/>
    <m/>
    <s v="UAT2Y440.012"/>
    <d v="2021-12-04T00:00:00"/>
    <d v="2024-07-08T00:00:00"/>
    <m/>
    <s v="Conv-B DONE"/>
    <s v="Conv-B DONE"/>
    <s v="Conv-B DONE"/>
    <s v="Conv-B DONE"/>
    <s v="22-08-22"/>
    <s v="Conv-B DONE"/>
    <s v="Conv-B DONE"/>
    <s v="Both Not Available"/>
    <s v="OK"/>
    <m/>
    <m/>
    <m/>
    <m/>
    <d v="2022-05-07T00:00:00"/>
    <m/>
    <d v="2022-07-21T00:00:00"/>
    <d v="2024-07-08T00:00:00"/>
    <d v="2024-07-08T00:00:00"/>
    <d v="2024-01-29T00:00:00"/>
    <s v="Checked"/>
    <d v="2024-03-18T00:00:00"/>
    <d v="2024-01-29T00:00:00"/>
    <s v="17-10-24"/>
    <m/>
  </r>
  <r>
    <n v="19"/>
    <n v="37250"/>
    <s v="HLC-A"/>
    <s v="STB7L0632HLCD"/>
    <x v="0"/>
    <s v="SER"/>
    <s v="KOL"/>
    <d v="2019-09-26T00:00:00"/>
    <n v="632"/>
    <s v="Nashik"/>
    <m/>
    <m/>
    <s v="UAT2Y440.012"/>
    <d v="2021-12-04T00:00:00"/>
    <d v="2023-07-22T00:00:00"/>
    <s v="21/06/24"/>
    <s v="Conv-A DONE"/>
    <s v="Conv-B DONE"/>
    <s v="Conv-A DONE"/>
    <s v="Conv-A DONE"/>
    <s v="Conv-A DONE"/>
    <s v="Conv-A DONE"/>
    <s v="Conv-A DONE"/>
    <s v="Both Not Available"/>
    <s v="OK"/>
    <m/>
    <m/>
    <s v="EL18J03042"/>
    <m/>
    <d v="2023-07-06T00:00:00"/>
    <m/>
    <d v="2023-12-28T00:00:00"/>
    <d v="2024-06-21T00:00:00"/>
    <d v="2024-06-21T00:00:00"/>
    <d v="2023-12-28T00:00:00"/>
    <s v="Checked"/>
    <s v="23-03-24"/>
    <d v="2024-04-15T00:00:00"/>
    <s v="24.05.25"/>
    <m/>
  </r>
  <r>
    <n v="20"/>
    <n v="37250"/>
    <s v="HLC-B"/>
    <s v="STB7L0637HLCD"/>
    <x v="0"/>
    <s v="SER"/>
    <s v="KOL"/>
    <d v="2019-09-26T00:00:00"/>
    <n v="637"/>
    <s v="Nashik"/>
    <m/>
    <m/>
    <s v="UAT2Y440.012"/>
    <d v="2021-12-04T00:00:00"/>
    <d v="2023-07-22T00:00:00"/>
    <s v="21/06/24"/>
    <s v="Conv-B DONE"/>
    <s v="Conv-B DONE"/>
    <s v="Conv-B DONE"/>
    <s v="Conv-B DONE"/>
    <s v="Conv-B DONE"/>
    <s v="Conv-B DONE"/>
    <s v="Conv-B DONE"/>
    <s v="Both Not Available"/>
    <s v="OK"/>
    <m/>
    <m/>
    <s v="EL21D01-004"/>
    <m/>
    <d v="2023-07-06T00:00:00"/>
    <m/>
    <d v="2023-12-28T00:00:00"/>
    <d v="2024-06-21T00:00:00"/>
    <d v="2024-06-21T00:00:00"/>
    <d v="2023-12-28T00:00:00"/>
    <s v="Checked"/>
    <s v="23-03-24"/>
    <d v="2024-04-15T00:00:00"/>
    <s v="24.05.25"/>
    <m/>
  </r>
  <r>
    <n v="21"/>
    <n v="37252"/>
    <s v="HLC-A"/>
    <s v="STB7L0636HLCD"/>
    <x v="0"/>
    <s v="SER"/>
    <s v="KOL"/>
    <d v="2019-09-29T00:00:00"/>
    <n v="636"/>
    <s v="Nashik"/>
    <m/>
    <m/>
    <s v="UAT2Y440.012"/>
    <d v="2021-01-20T00:00:00"/>
    <d v="2024-12-14T00:00:00"/>
    <m/>
    <s v="Conv-A DONE"/>
    <s v="Conv-B DONE"/>
    <s v="Conv-A DONE"/>
    <s v="Conv-A DONE"/>
    <s v="Conv-A DONE"/>
    <s v="Conv-A DONE"/>
    <s v="Conv-A DONE"/>
    <s v="Both Not Available"/>
    <s v="OK"/>
    <m/>
    <m/>
    <m/>
    <m/>
    <d v="2022-05-12T00:00:00"/>
    <m/>
    <d v="2023-12-13T00:00:00"/>
    <d v="2024-07-16T00:00:00"/>
    <d v="2024-07-16T00:00:00"/>
    <d v="2023-09-07T00:00:00"/>
    <s v="Checked"/>
    <s v="22-01-24"/>
    <d v="2024-03-08T00:00:00"/>
    <d v="2024-12-14T00:00:00"/>
    <m/>
  </r>
  <r>
    <n v="22"/>
    <n v="37252"/>
    <s v="HLC-B"/>
    <s v="STB7L0633HLCD"/>
    <x v="0"/>
    <s v="SER"/>
    <s v="KOL"/>
    <d v="2019-09-29T00:00:00"/>
    <n v="633"/>
    <s v="Nashik"/>
    <m/>
    <m/>
    <s v="UAT2Y440.012"/>
    <d v="2021-01-20T00:00:00"/>
    <d v="2024-12-14T00:00:00"/>
    <m/>
    <s v="Conv-B DONE"/>
    <s v="Conv-B DONE"/>
    <s v="Conv-B DONE"/>
    <s v="Conv-B DONE"/>
    <s v="Conv-B DONE"/>
    <s v="Conv-B DONE"/>
    <s v="Conv-B DONE"/>
    <s v="Both Not Available"/>
    <s v="OK"/>
    <m/>
    <m/>
    <s v="EL18F06060"/>
    <m/>
    <d v="2022-05-12T00:00:00"/>
    <m/>
    <d v="2023-12-13T00:00:00"/>
    <d v="2024-07-16T00:00:00"/>
    <d v="2024-07-16T00:00:00"/>
    <d v="2023-09-07T00:00:00"/>
    <s v="Checked"/>
    <s v="22-01-24"/>
    <d v="2024-03-08T00:00:00"/>
    <d v="2024-12-14T00:00:00"/>
    <m/>
  </r>
  <r>
    <n v="23"/>
    <n v="37119"/>
    <s v="HLC-A"/>
    <s v="STBNK0322HLCD"/>
    <x v="2"/>
    <s v="SECR"/>
    <s v="KOL"/>
    <d v="2019-03-20T00:00:00"/>
    <n v="322"/>
    <s v="Nashik"/>
    <s v="U7D2S04V.005"/>
    <d v="2021-10-08T00:00:00"/>
    <s v="UAT2Y440.012"/>
    <d v="2021-10-08T00:00:00"/>
    <d v="2023-10-06T00:00:00"/>
    <d v="2025-03-17T00:00:00"/>
    <s v="Metal Short Link "/>
    <s v="Conv-A DONE"/>
    <s v="Done"/>
    <s v="Conv-A DONE"/>
    <s v="Conv-A DONE"/>
    <s v="Done"/>
    <s v="Done"/>
    <s v="PWR side available"/>
    <s v="OK"/>
    <m/>
    <m/>
    <m/>
    <m/>
    <d v="2022-06-14T00:00:00"/>
    <m/>
    <d v="2022-06-14T00:00:00"/>
    <d v="2024-07-09T00:00:00"/>
    <d v="2023-10-06T00:00:00"/>
    <d v="2023-12-05T00:00:00"/>
    <s v="Checked"/>
    <s v="15-05-25"/>
    <s v="20-12-23"/>
    <s v="17-10-24"/>
    <m/>
  </r>
  <r>
    <n v="24"/>
    <n v="37119"/>
    <s v="HLC-B"/>
    <s v="STB1L0401HLCD"/>
    <x v="2"/>
    <s v="SECR"/>
    <s v="KOL"/>
    <d v="2019-03-20T00:00:00"/>
    <n v="401"/>
    <s v="Nashik"/>
    <s v="U7D2S04V.005"/>
    <d v="2021-10-08T00:00:00"/>
    <s v="UAT2Y440.012"/>
    <d v="2021-10-08T00:00:00"/>
    <d v="2023-10-06T00:00:00"/>
    <d v="2025-03-17T00:00:00"/>
    <s v="Metal Short Link "/>
    <s v="Conv-B DONE"/>
    <s v="Done"/>
    <s v="Conv-B DONE"/>
    <s v="Conv-B DONE"/>
    <s v="Done"/>
    <s v="Done"/>
    <s v="PWR side available"/>
    <s v="OK"/>
    <m/>
    <m/>
    <m/>
    <m/>
    <d v="2022-06-14T00:00:00"/>
    <m/>
    <d v="2022-06-14T00:00:00"/>
    <d v="2024-07-09T00:00:00"/>
    <d v="2023-10-06T00:00:00"/>
    <d v="2023-12-05T00:00:00"/>
    <s v="Checked"/>
    <s v="15-05-25"/>
    <s v="20-12-23"/>
    <s v="17-10-24"/>
    <m/>
  </r>
  <r>
    <n v="25"/>
    <n v="37135"/>
    <s v="HLC-A"/>
    <s v="STBNK0327HLCD"/>
    <x v="2"/>
    <s v="SECR"/>
    <s v="KOL"/>
    <d v="2019-03-29T00:00:00"/>
    <n v="327"/>
    <s v="Nashik"/>
    <s v="U7D2S04V.005"/>
    <d v="2021-09-23T00:00:00"/>
    <s v="UAT2Y440.012"/>
    <d v="2020-12-25T00:00:00"/>
    <d v="2024-02-05T00:00:00"/>
    <d v="2025-02-19T00:00:00"/>
    <s v="Metal Short Link "/>
    <s v="Already DONE by NW"/>
    <s v="Done"/>
    <s v="Conv-A DONE"/>
    <s v="Conv-A DONE"/>
    <s v="Conv-A DONE"/>
    <s v="Done"/>
    <s v="PWR side available"/>
    <s v="OK"/>
    <m/>
    <m/>
    <m/>
    <m/>
    <d v="2022-07-20T00:00:00"/>
    <m/>
    <d v="2022-07-20T00:00:00"/>
    <d v="2024-08-01T00:00:00"/>
    <d v="2023-12-23T00:00:00"/>
    <d v="2023-05-31T00:00:00"/>
    <s v="Checked"/>
    <s v="29-5-25"/>
    <s v="19-02-25"/>
    <s v="21-09-24"/>
    <m/>
  </r>
  <r>
    <n v="26"/>
    <n v="37135"/>
    <s v="HLC-B"/>
    <s v="STB1L0409HLCD"/>
    <x v="2"/>
    <s v="SECR"/>
    <s v="KOL"/>
    <d v="2019-03-29T00:00:00"/>
    <n v="409"/>
    <s v="Nashik"/>
    <s v="U7D2S04V.005"/>
    <d v="2021-09-23T00:00:00"/>
    <s v="UAT2Y440.012"/>
    <d v="2020-12-25T00:00:00"/>
    <d v="2024-02-05T00:00:00"/>
    <d v="2025-02-19T00:00:00"/>
    <s v="Metal Short Link "/>
    <s v="Already DONE by NW"/>
    <s v="Done"/>
    <s v="Conv-B DONE"/>
    <s v="Conv-B DONE"/>
    <s v="Conv-B DONE"/>
    <s v="Done"/>
    <s v="PWR side available"/>
    <s v="OK"/>
    <m/>
    <m/>
    <m/>
    <m/>
    <d v="2022-07-20T00:00:00"/>
    <m/>
    <d v="2022-07-20T00:00:00"/>
    <d v="2024-08-01T00:00:00"/>
    <d v="2023-12-23T00:00:00"/>
    <d v="2023-05-31T00:00:00"/>
    <s v="Checked"/>
    <s v="29-5-25"/>
    <s v="19-02-25"/>
    <s v="21-09-24"/>
    <m/>
  </r>
  <r>
    <n v="27"/>
    <n v="37138"/>
    <s v="HLC-A"/>
    <s v="STB1L0406HLCD"/>
    <x v="2"/>
    <s v="SECR"/>
    <s v="KOL"/>
    <d v="2019-04-15T00:00:00"/>
    <n v="406"/>
    <s v="Nashik"/>
    <s v="U7D2S04V.005"/>
    <d v="2021-09-28T00:00:00"/>
    <s v="UAT2Y440.012"/>
    <d v="2021-01-14T00:00:00"/>
    <d v="2023-04-21T00:00:00"/>
    <d v="2025-02-13T00:00:00"/>
    <s v="Done with wire"/>
    <s v="Already DONE by NW"/>
    <s v="Conv-A DONE"/>
    <s v="Conv-A DONE"/>
    <s v="Conv-A DONE"/>
    <s v="Conv-A DONE"/>
    <s v="Done"/>
    <s v="PWR side available"/>
    <s v="OK"/>
    <m/>
    <m/>
    <m/>
    <m/>
    <d v="2022-04-06T00:00:00"/>
    <m/>
    <d v="2022-06-04T00:00:00"/>
    <d v="2024-09-18T00:00:00"/>
    <d v="2023-12-09T00:00:00"/>
    <d v="2024-06-04T00:00:00"/>
    <s v="Checked"/>
    <s v="21-5-25"/>
    <s v="15-01-24"/>
    <d v="2024-09-18T00:00:00"/>
    <m/>
  </r>
  <r>
    <n v="28"/>
    <n v="37138"/>
    <s v="HLC-B"/>
    <s v="STB1L0407HLCD"/>
    <x v="2"/>
    <s v="SECR"/>
    <s v="KOL"/>
    <d v="2019-04-15T00:00:00"/>
    <n v="407"/>
    <s v="Nashik"/>
    <s v="U7D2S04V.005"/>
    <d v="2021-09-28T00:00:00"/>
    <s v="UAT2Y440.012"/>
    <d v="2021-01-14T00:00:00"/>
    <d v="2023-04-21T00:00:00"/>
    <d v="2025-02-13T00:00:00"/>
    <s v="Done with wire"/>
    <s v="Already DONE by NW"/>
    <s v="Conv-B DONE"/>
    <s v="Conv-B DONE"/>
    <s v="Conv-B DONE"/>
    <s v="Conv-B DONE"/>
    <s v="Done"/>
    <s v="PWR side available"/>
    <s v="OK"/>
    <m/>
    <m/>
    <m/>
    <m/>
    <d v="2022-04-06T00:00:00"/>
    <m/>
    <d v="2022-06-04T00:00:00"/>
    <d v="2024-09-18T00:00:00"/>
    <d v="2023-12-09T00:00:00"/>
    <d v="2024-06-04T00:00:00"/>
    <s v="Checked"/>
    <s v="21-5-25"/>
    <s v="18-01-25"/>
    <d v="2024-09-18T00:00:00"/>
    <m/>
  </r>
  <r>
    <n v="29"/>
    <n v="39135"/>
    <s v="HLC-A"/>
    <s v="STBOL0662HLCD"/>
    <x v="3"/>
    <s v="ER"/>
    <s v="KOL"/>
    <d v="2020-03-09T00:00:00"/>
    <n v="662"/>
    <s v="Nashik"/>
    <s v="U7D2S04V.005"/>
    <d v="2021-05-15T00:00:00"/>
    <s v="UAT2Y440.012"/>
    <d v="2021-05-15T00:00:00"/>
    <d v="2023-03-24T00:00:00"/>
    <d v="2022-08-16T00:00:00"/>
    <s v="Metal Short Link "/>
    <s v="Modified from BLW"/>
    <s v="Done"/>
    <s v="Conv-A DONE"/>
    <s v="Conv-A DONE"/>
    <s v="Conv-A DONE"/>
    <s v="Done"/>
    <s v="Not available"/>
    <s v="OK"/>
    <m/>
    <m/>
    <s v="EL18CG4008-R"/>
    <m/>
    <d v="2022-08-16T00:00:00"/>
    <m/>
    <d v="2022-08-16T00:00:00"/>
    <s v="19-07-24"/>
    <d v="2023-08-19T00:00:00"/>
    <d v="2023-08-19T00:00:00"/>
    <s v="Checked"/>
    <d v="2025-04-04T00:00:00"/>
    <d v="2024-03-15T00:00:00"/>
    <s v="29.05.24"/>
    <m/>
  </r>
  <r>
    <n v="30"/>
    <n v="39135"/>
    <s v="HLC-B"/>
    <s v="STBOL0650HLCD"/>
    <x v="3"/>
    <s v="ER"/>
    <s v="KOL"/>
    <d v="2020-03-09T00:00:00"/>
    <n v="650"/>
    <s v="Nashik"/>
    <s v="U7D2S04V.005"/>
    <d v="2021-05-15T00:00:00"/>
    <s v="UAT2Y440.012"/>
    <d v="2021-05-15T00:00:00"/>
    <d v="2023-03-24T00:00:00"/>
    <d v="2022-08-16T00:00:00"/>
    <s v="Metal Short Link "/>
    <s v="Modified from BLW"/>
    <s v="Done"/>
    <s v="Conv-B DONE"/>
    <s v="Conv-B DONE"/>
    <s v="Conv-B DONE"/>
    <s v="Done"/>
    <s v="Not available"/>
    <s v="OK"/>
    <m/>
    <m/>
    <s v="EL17G01035-R"/>
    <m/>
    <d v="2022-08-16T00:00:00"/>
    <m/>
    <d v="2022-08-16T00:00:00"/>
    <s v="19-07-24"/>
    <d v="2023-08-19T00:00:00"/>
    <d v="2023-08-19T00:00:00"/>
    <s v="Checked"/>
    <d v="2025-04-04T00:00:00"/>
    <d v="2024-03-15T00:00:00"/>
    <s v="29.05.24"/>
    <m/>
  </r>
  <r>
    <n v="31"/>
    <n v="30530"/>
    <s v="HLC-A"/>
    <s v="STB6H0065HLCC"/>
    <x v="4"/>
    <s v="ECR"/>
    <s v="KOL"/>
    <d v="2017-03-30T00:00:00"/>
    <n v="65"/>
    <s v="Nashik"/>
    <s v="Q9J1Z04V.005"/>
    <m/>
    <m/>
    <m/>
    <m/>
    <m/>
    <s v="Metal Short Link "/>
    <d v="2020-11-17T00:00:00"/>
    <s v="Done"/>
    <s v="Conv-A DONE"/>
    <s v="Conv-A DONE"/>
    <s v="Done"/>
    <s v="Done"/>
    <s v="PWR side available"/>
    <s v="OK"/>
    <m/>
    <m/>
    <m/>
    <m/>
    <d v="2024-02-12T00:00:00"/>
    <m/>
    <m/>
    <d v="2024-07-11T00:00:00"/>
    <d v="2024-07-11T00:00:00"/>
    <s v="21-08-24"/>
    <s v="Checked"/>
    <s v="21-11-24"/>
    <m/>
    <d v="2025-07-07T00:00:00"/>
    <m/>
  </r>
  <r>
    <n v="32"/>
    <n v="30530"/>
    <s v="HLC-B"/>
    <s v="STB6H0058HLCC"/>
    <x v="4"/>
    <s v="ECR"/>
    <s v="KOL"/>
    <d v="2017-03-30T00:00:00"/>
    <n v="58"/>
    <s v="Nashik"/>
    <s v="Q9J1Z04V.005"/>
    <m/>
    <m/>
    <m/>
    <m/>
    <m/>
    <s v="Metal Short Link "/>
    <d v="2020-11-17T00:00:00"/>
    <s v="Done"/>
    <s v="Conv-B DONE"/>
    <s v="Conv-B DONE"/>
    <s v="Done"/>
    <s v="Done"/>
    <s v="PWR side available"/>
    <s v="OK"/>
    <m/>
    <m/>
    <m/>
    <m/>
    <d v="2024-02-12T00:00:00"/>
    <m/>
    <m/>
    <d v="2024-07-11T00:00:00"/>
    <d v="2024-07-11T00:00:00"/>
    <s v="21-08-24"/>
    <s v="Checked"/>
    <s v="20-11-24"/>
    <m/>
    <d v="2025-07-07T00:00:00"/>
    <m/>
  </r>
  <r>
    <n v="33"/>
    <n v="30544"/>
    <s v="HLC-A"/>
    <s v="STB4N1122HLCD"/>
    <x v="4"/>
    <s v="ECR"/>
    <s v="KOL"/>
    <d v="2022-02-07T00:00:00"/>
    <n v="1122"/>
    <s v="Nashik"/>
    <m/>
    <m/>
    <m/>
    <m/>
    <d v="2024-01-01T00:00:00"/>
    <m/>
    <s v="Done with wire"/>
    <s v="Done"/>
    <s v="Done"/>
    <s v="Done"/>
    <s v="Done"/>
    <s v="Done"/>
    <s v="Done"/>
    <s v="Both side available"/>
    <s v="OK"/>
    <m/>
    <m/>
    <m/>
    <m/>
    <d v="2023-02-25T00:00:00"/>
    <m/>
    <s v="From NW"/>
    <s v="17-07-24"/>
    <d v="2024-01-01T00:00:00"/>
    <d v="2023-10-09T00:00:00"/>
    <s v="Checked"/>
    <d v="2025-01-17T00:00:00"/>
    <m/>
    <s v="14.06.25"/>
    <m/>
  </r>
  <r>
    <n v="34"/>
    <n v="30544"/>
    <s v="HLC-B"/>
    <s v="STB4N1123HLCD"/>
    <x v="4"/>
    <s v="ECR"/>
    <s v="KOL"/>
    <d v="2022-02-07T00:00:00"/>
    <n v="1123"/>
    <s v="Nashik"/>
    <m/>
    <m/>
    <m/>
    <m/>
    <d v="2024-01-01T00:00:00"/>
    <m/>
    <s v="Done with wire"/>
    <s v="Done"/>
    <s v="Done"/>
    <s v="Done"/>
    <s v="Done"/>
    <s v="Done"/>
    <s v="Done"/>
    <s v="Both side available"/>
    <s v="OK"/>
    <m/>
    <m/>
    <m/>
    <m/>
    <d v="2023-02-25T00:00:00"/>
    <m/>
    <s v="From NW"/>
    <s v="17-07-24"/>
    <d v="2024-01-01T00:00:00"/>
    <d v="2023-10-09T00:00:00"/>
    <s v="Checked"/>
    <d v="2025-01-17T00:00:00"/>
    <m/>
    <s v="14.06.25"/>
    <m/>
  </r>
  <r>
    <n v="35"/>
    <n v="37253"/>
    <s v="HLC-A"/>
    <s v="STB7L0633HLCD"/>
    <x v="4"/>
    <s v="ECR"/>
    <s v="KOL"/>
    <d v="2019-10-20T00:00:00"/>
    <n v="633"/>
    <s v="Nashik"/>
    <s v="U7D2S04V.005"/>
    <d v="2021-06-14T00:00:00"/>
    <s v="UAT2Y440.012"/>
    <d v="2021-04-30T00:00:00"/>
    <d v="2024-05-29T00:00:00"/>
    <m/>
    <s v="Done with wire"/>
    <s v="Already Done"/>
    <s v="Done"/>
    <s v="Already Done"/>
    <s v="Already Done"/>
    <s v="Done"/>
    <d v="2021-06-18T00:00:00"/>
    <s v="Not available"/>
    <s v="OK"/>
    <m/>
    <m/>
    <m/>
    <m/>
    <d v="2023-03-13T00:00:00"/>
    <m/>
    <d v="2024-01-29T00:00:00"/>
    <d v="2024-07-08T00:00:00"/>
    <d v="2024-01-24T00:00:00"/>
    <d v="2023-10-12T00:00:00"/>
    <s v="Checked"/>
    <s v="29-03-2025"/>
    <s v="28/03/25"/>
    <s v="28-03-25"/>
    <m/>
  </r>
  <r>
    <n v="36"/>
    <n v="37253"/>
    <s v="HLC-B"/>
    <s v="STB7L0636HLCD"/>
    <x v="4"/>
    <s v="ECR"/>
    <s v="KOL"/>
    <d v="2019-10-20T00:00:00"/>
    <n v="636"/>
    <s v="Nashik"/>
    <s v="U7D2S04V.005"/>
    <d v="2021-06-14T00:00:00"/>
    <s v="UAT2Y440.012"/>
    <d v="2021-04-30T00:00:00"/>
    <d v="2024-05-29T00:00:00"/>
    <m/>
    <s v="Done with wire"/>
    <s v="Already Done"/>
    <s v="Done"/>
    <s v="Already Done"/>
    <s v="Already Done"/>
    <s v="Done"/>
    <d v="2021-06-18T00:00:00"/>
    <s v="Not available"/>
    <s v="OK"/>
    <m/>
    <m/>
    <m/>
    <m/>
    <d v="2023-03-13T00:00:00"/>
    <m/>
    <d v="2024-01-29T00:00:00"/>
    <d v="2024-07-08T00:00:00"/>
    <d v="2024-01-24T00:00:00"/>
    <d v="2023-10-12T00:00:00"/>
    <s v="Checked"/>
    <s v="29-03-2025"/>
    <s v="28/03/25"/>
    <s v="28-03-25"/>
    <m/>
  </r>
  <r>
    <n v="37"/>
    <n v="37282"/>
    <s v="HLC-A"/>
    <s v="STB6L0586HLCD"/>
    <x v="4"/>
    <s v="ECR"/>
    <s v="KOL"/>
    <d v="2019-11-28T00:00:00"/>
    <n v="586"/>
    <s v="Nashik"/>
    <s v="U7D2S04V.005"/>
    <d v="2021-05-09T00:00:00"/>
    <s v="UAT2Y440.012"/>
    <d v="2021-05-19T00:00:00"/>
    <d v="2024-05-10T00:00:00"/>
    <m/>
    <s v="Done with wire"/>
    <s v="Already Done"/>
    <s v="Not done"/>
    <s v="Already Done"/>
    <s v="Already Done"/>
    <s v="Done"/>
    <s v="Done"/>
    <s v="Not available"/>
    <s v="OK"/>
    <m/>
    <m/>
    <m/>
    <m/>
    <d v="2022-12-07T00:00:00"/>
    <m/>
    <m/>
    <d v="2024-06-26T00:00:00"/>
    <d v="2024-06-26T00:00:00"/>
    <d v="2023-08-11T00:00:00"/>
    <s v="Checked"/>
    <d v="2025-01-08T00:00:00"/>
    <m/>
    <d v="2024-07-10T00:00:00"/>
    <m/>
  </r>
  <r>
    <n v="38"/>
    <n v="37282"/>
    <s v="HLC-B"/>
    <s v="STB6L0571HLCD"/>
    <x v="4"/>
    <s v="ECR"/>
    <s v="KOL"/>
    <d v="2019-11-28T00:00:00"/>
    <n v="571"/>
    <s v="Nashik"/>
    <s v="U7D2S04V.005"/>
    <d v="2021-05-09T00:00:00"/>
    <s v="UAT2Y440.012"/>
    <d v="2021-05-09T00:00:00"/>
    <d v="2024-05-10T00:00:00"/>
    <m/>
    <s v="Done with wire"/>
    <s v="Already Done"/>
    <s v="Not done"/>
    <s v="Already Done"/>
    <s v="Already Done"/>
    <s v="Done"/>
    <s v="Done"/>
    <s v="Not available"/>
    <s v="OK"/>
    <m/>
    <m/>
    <s v="  EL18B07021-R"/>
    <m/>
    <d v="2022-12-07T00:00:00"/>
    <m/>
    <m/>
    <d v="2024-06-26T00:00:00"/>
    <d v="2024-06-26T00:00:00"/>
    <d v="2023-08-11T00:00:00"/>
    <s v="Checked"/>
    <d v="2025-01-08T00:00:00"/>
    <m/>
    <d v="2024-07-10T00:00:00"/>
    <m/>
  </r>
  <r>
    <n v="39"/>
    <n v="37359"/>
    <s v="HLC-A"/>
    <s v="STB7L0620HLCD"/>
    <x v="4"/>
    <s v="ECR"/>
    <s v="KOL"/>
    <d v="2020-05-16T00:00:00"/>
    <n v="620"/>
    <s v="Nashik"/>
    <s v="U7D2S04V.005"/>
    <d v="2021-05-14T00:00:00"/>
    <s v="UAT2Y440.012"/>
    <d v="2021-03-01T00:00:00"/>
    <d v="2024-04-03T00:00:00"/>
    <m/>
    <s v="Done with wire"/>
    <s v="Already Done"/>
    <s v="Done"/>
    <d v="2020-11-29T00:00:00"/>
    <d v="2020-11-29T00:00:00"/>
    <s v="Done"/>
    <d v="2021-06-04T00:00:00"/>
    <s v="Not available"/>
    <s v="OK"/>
    <m/>
    <m/>
    <m/>
    <m/>
    <d v="2022-12-07T00:00:00"/>
    <m/>
    <s v="DONE"/>
    <d v="2024-07-11T00:00:00"/>
    <d v="2024-07-18T00:00:00"/>
    <d v="2023-09-09T00:00:00"/>
    <s v="Checked"/>
    <d v="2024-12-02T00:00:00"/>
    <d v="2025-03-05T00:00:00"/>
    <s v="22-09-24"/>
    <m/>
  </r>
  <r>
    <n v="40"/>
    <n v="37359"/>
    <s v="HLC-B"/>
    <s v="STB7L0621HLCD"/>
    <x v="4"/>
    <s v="ECR"/>
    <s v="KOL"/>
    <d v="2020-05-16T00:00:00"/>
    <n v="621"/>
    <s v="Nashik"/>
    <s v="U7D2S04V.005"/>
    <d v="2021-11-04T00:00:00"/>
    <s v="UAT2Y440.012"/>
    <d v="2021-03-01T00:00:00"/>
    <d v="2024-04-03T00:00:00"/>
    <m/>
    <s v="Done with wire"/>
    <s v="Already Done"/>
    <s v="Done"/>
    <d v="2020-11-29T00:00:00"/>
    <d v="2020-11-29T00:00:00"/>
    <s v="Done"/>
    <d v="2021-06-04T00:00:00"/>
    <s v="Not available"/>
    <s v="OK"/>
    <m/>
    <m/>
    <m/>
    <m/>
    <d v="2022-12-07T00:00:00"/>
    <m/>
    <s v="DONE"/>
    <d v="2024-07-11T00:00:00"/>
    <d v="2024-07-18T00:00:00"/>
    <d v="2023-09-09T00:00:00"/>
    <s v="Checked"/>
    <d v="2024-12-02T00:00:00"/>
    <d v="2025-03-05T00:00:00"/>
    <s v="22-09-24"/>
    <m/>
  </r>
  <r>
    <n v="41"/>
    <n v="37361"/>
    <s v="HLC-A"/>
    <s v="STBDL0735HLCD"/>
    <x v="4"/>
    <s v="ECR"/>
    <s v="KOL"/>
    <d v="2020-05-21T00:00:00"/>
    <n v="735"/>
    <s v="Nashik"/>
    <s v="U7D2S04V.005"/>
    <s v="Already Done"/>
    <d v="2021-03-01T00:00:00"/>
    <s v="Already Done"/>
    <d v="2023-12-16T00:00:00"/>
    <m/>
    <s v="Done with wire"/>
    <s v="Already Done"/>
    <s v="Already Done"/>
    <s v="Already Done"/>
    <s v="Already Done"/>
    <s v="Done"/>
    <d v="2021-05-24T00:00:00"/>
    <s v="Not available"/>
    <s v="OK"/>
    <m/>
    <m/>
    <m/>
    <m/>
    <d v="2022-12-29T00:00:00"/>
    <m/>
    <d v="2023-12-16T00:00:00"/>
    <d v="2024-07-02T00:00:00"/>
    <d v="2023-12-26T00:00:00"/>
    <d v="2023-08-22T00:00:00"/>
    <s v="Checked"/>
    <d v="2024-07-04T00:00:00"/>
    <s v="24/02/2025"/>
    <d v="2024-11-09T00:00:00"/>
    <m/>
  </r>
  <r>
    <n v="42"/>
    <n v="37361"/>
    <s v="HLC-B"/>
    <s v="STB7L0613HLCD"/>
    <x v="4"/>
    <s v="ECR"/>
    <s v="KOL"/>
    <d v="2020-05-21T00:00:00"/>
    <n v="613"/>
    <s v="Nashik"/>
    <s v="U7D2S04V.005"/>
    <s v="Already Done"/>
    <d v="2021-03-01T00:00:00"/>
    <s v="Already Done"/>
    <d v="2023-12-16T00:00:00"/>
    <m/>
    <s v="Done with wire"/>
    <s v="Already Done"/>
    <s v="Already Done"/>
    <s v="Already Done"/>
    <s v="Already Done"/>
    <s v="Done"/>
    <d v="2021-05-24T00:00:00"/>
    <s v="Not available"/>
    <s v="OK"/>
    <m/>
    <m/>
    <m/>
    <m/>
    <d v="2022-12-29T00:00:00"/>
    <m/>
    <d v="2023-12-16T00:00:00"/>
    <d v="2024-07-02T00:00:00"/>
    <d v="2023-12-26T00:00:00"/>
    <d v="2023-08-22T00:00:00"/>
    <s v="Checked"/>
    <d v="2024-07-04T00:00:00"/>
    <s v="24/02/25"/>
    <d v="2024-11-09T00:00:00"/>
    <m/>
  </r>
  <r>
    <n v="43"/>
    <n v="37384"/>
    <s v="HLC-A"/>
    <s v="STBNL0712HLCD"/>
    <x v="4"/>
    <s v="ECR"/>
    <s v="KOL"/>
    <d v="2020-07-10T00:00:00"/>
    <n v="712"/>
    <s v="Nashik"/>
    <s v="U7D2S04V.005"/>
    <d v="2021-03-12T00:00:00"/>
    <s v="UAT2Y440.012"/>
    <d v="2021-02-11T00:00:00"/>
    <d v="2023-11-09T00:00:00"/>
    <m/>
    <s v="Done with wire"/>
    <s v="Already Done"/>
    <s v="Not done"/>
    <d v="2020-09-28T00:00:00"/>
    <d v="2020-09-28T00:00:00"/>
    <s v="Done"/>
    <d v="2021-06-19T00:00:00"/>
    <s v="Not available"/>
    <s v="OK"/>
    <m/>
    <m/>
    <m/>
    <m/>
    <d v="2022-12-31T00:00:00"/>
    <m/>
    <d v="2023-08-04T00:00:00"/>
    <s v="17-07-24"/>
    <d v="2024-01-20T00:00:00"/>
    <d v="2023-08-04T00:00:00"/>
    <s v="Checked"/>
    <m/>
    <m/>
    <s v="26-12-24"/>
    <m/>
  </r>
  <r>
    <n v="44"/>
    <n v="37384"/>
    <s v="HLC-B"/>
    <s v="STB7L0599HLCD"/>
    <x v="4"/>
    <s v="ECR"/>
    <s v="KOL"/>
    <d v="2020-07-10T00:00:00"/>
    <n v="599"/>
    <s v="Nashik"/>
    <s v="U7D2S04V.005"/>
    <d v="2021-03-12T00:00:00"/>
    <s v="UAT2Y440.012"/>
    <d v="2021-02-11T00:00:00"/>
    <d v="2023-11-09T00:00:00"/>
    <m/>
    <s v="Done with wire"/>
    <s v="Already Done"/>
    <s v="Not done"/>
    <d v="2020-09-28T00:00:00"/>
    <d v="2020-09-28T00:00:00"/>
    <s v="Done"/>
    <d v="2021-06-19T00:00:00"/>
    <s v="Not available"/>
    <s v="OK"/>
    <m/>
    <m/>
    <m/>
    <m/>
    <d v="2022-12-31T00:00:00"/>
    <m/>
    <d v="2023-08-04T00:00:00"/>
    <s v="17-07-24"/>
    <d v="2024-01-20T00:00:00"/>
    <d v="2023-08-04T00:00:00"/>
    <s v="Checked"/>
    <m/>
    <m/>
    <s v="26-12-24"/>
    <m/>
  </r>
  <r>
    <n v="45"/>
    <n v="37475"/>
    <s v="HLC-A"/>
    <s v="STB7M0892HLCD"/>
    <x v="4"/>
    <s v="ECR"/>
    <s v="KOL"/>
    <d v="2020-11-22T00:00:00"/>
    <n v="892"/>
    <s v="Nashik"/>
    <s v="U7D2S04V.005"/>
    <s v="Already Done"/>
    <s v="UAT2Y440.012"/>
    <d v="2021-03-26T00:00:00"/>
    <d v="2023-11-27T00:00:00"/>
    <m/>
    <s v="Done with wire"/>
    <s v="Already Done"/>
    <s v="Done"/>
    <d v="2020-12-15T00:00:00"/>
    <d v="2020-12-15T00:00:00"/>
    <s v="Done"/>
    <d v="2021-06-30T00:00:00"/>
    <s v="Both side available"/>
    <s v="OK"/>
    <m/>
    <m/>
    <m/>
    <m/>
    <d v="2022-07-31T00:00:00"/>
    <m/>
    <m/>
    <d v="2024-06-22T00:00:00"/>
    <d v="2023-11-27T00:00:00"/>
    <d v="2023-09-11T00:00:00"/>
    <s v="Checked"/>
    <d v="2024-07-05T00:00:00"/>
    <s v="22/02/2025"/>
    <d v="2024-06-22T00:00:00"/>
    <m/>
  </r>
  <r>
    <n v="46"/>
    <n v="37475"/>
    <s v="HLC-B"/>
    <s v="STB7M0893HLCD"/>
    <x v="4"/>
    <s v="ECR"/>
    <s v="KOL"/>
    <d v="2020-11-22T00:00:00"/>
    <n v="893"/>
    <s v="Nashik"/>
    <s v="U7D2S04V.005"/>
    <s v="Already Done"/>
    <s v="UAT2Y440.012"/>
    <d v="2021-03-26T00:00:00"/>
    <d v="2023-11-27T00:00:00"/>
    <m/>
    <s v="Done with wire"/>
    <s v="Already Done"/>
    <s v="Done"/>
    <d v="2020-12-15T00:00:00"/>
    <d v="2020-12-15T00:00:00"/>
    <s v="Done"/>
    <d v="2021-06-30T00:00:00"/>
    <s v="Both side available"/>
    <s v="OK"/>
    <m/>
    <m/>
    <m/>
    <m/>
    <d v="2022-07-31T00:00:00"/>
    <m/>
    <m/>
    <d v="2024-06-22T00:00:00"/>
    <d v="2023-11-27T00:00:00"/>
    <d v="2023-09-11T00:00:00"/>
    <s v="Checked"/>
    <d v="2024-07-05T00:00:00"/>
    <s v="22/02/2025"/>
    <d v="2024-06-22T00:00:00"/>
    <m/>
  </r>
  <r>
    <n v="47"/>
    <n v="37524"/>
    <s v="HLC-A"/>
    <s v="STB8M0902HLCD"/>
    <x v="4"/>
    <s v="ECR"/>
    <s v="KOL"/>
    <d v="2021-01-27T00:00:00"/>
    <n v="902"/>
    <s v="Nashik"/>
    <s v="U7D2S04V.005"/>
    <d v="2021-06-21T00:00:00"/>
    <s v="UAT2Y440.012"/>
    <d v="2021-02-20T00:00:00"/>
    <d v="2023-11-27T00:00:00"/>
    <m/>
    <s v="Done with wire"/>
    <s v="Already Done"/>
    <s v="Done"/>
    <d v="2021-01-24T00:00:00"/>
    <d v="2021-01-24T00:00:00"/>
    <s v="Done"/>
    <d v="2021-06-21T00:00:00"/>
    <s v="Both side available"/>
    <s v="OK"/>
    <m/>
    <m/>
    <m/>
    <m/>
    <d v="2023-01-03T00:00:00"/>
    <m/>
    <d v="2023-12-18T00:00:00"/>
    <d v="2024-07-11T00:00:00"/>
    <d v="2023-12-02T00:00:00"/>
    <d v="2023-11-27T00:00:00"/>
    <s v="Checked"/>
    <d v="2025-01-02T00:00:00"/>
    <m/>
    <d v="2024-06-15T00:00:00"/>
    <m/>
  </r>
  <r>
    <n v="48"/>
    <n v="37524"/>
    <s v="HLC-B"/>
    <s v="STB8M0967HLCD"/>
    <x v="4"/>
    <s v="ECR"/>
    <s v="KOL"/>
    <d v="2021-01-27T00:00:00"/>
    <n v="967"/>
    <s v="Nashik"/>
    <s v="U7D2S04V.005"/>
    <d v="2021-06-21T00:00:00"/>
    <s v="UAT2Y440.012"/>
    <d v="2021-02-20T00:00:00"/>
    <d v="2023-11-27T00:00:00"/>
    <m/>
    <s v="Done with wire"/>
    <s v="Already Done"/>
    <s v="Done"/>
    <d v="2021-01-24T00:00:00"/>
    <d v="2021-01-24T00:00:00"/>
    <s v="Done"/>
    <d v="2021-06-21T00:00:00"/>
    <s v="Both side available"/>
    <s v="OK"/>
    <m/>
    <m/>
    <m/>
    <m/>
    <d v="2023-01-03T00:00:00"/>
    <m/>
    <d v="2023-12-18T00:00:00"/>
    <d v="2024-07-11T00:00:00"/>
    <d v="2023-12-02T00:00:00"/>
    <d v="2023-11-27T00:00:00"/>
    <s v="Checked"/>
    <d v="2025-01-02T00:00:00"/>
    <m/>
    <d v="2024-06-15T00:00:00"/>
    <m/>
  </r>
  <r>
    <n v="49"/>
    <n v="37533"/>
    <s v="HLC-A"/>
    <s v="STB7M0863HLCD"/>
    <x v="4"/>
    <s v="ECR"/>
    <s v="KOL"/>
    <d v="2021-02-06T00:00:00"/>
    <n v="863"/>
    <s v="Nashik"/>
    <s v="U7D2S04V.005"/>
    <d v="2021-05-20T00:00:00"/>
    <s v="UAT2Y440.012"/>
    <d v="2021-05-20T00:00:00"/>
    <d v="2023-12-13T00:00:00"/>
    <m/>
    <s v="Done with wire"/>
    <s v="Already Done"/>
    <s v="Done"/>
    <d v="2021-02-01T00:00:00"/>
    <d v="2021-02-01T00:00:00"/>
    <s v="Done"/>
    <d v="2021-05-20T00:00:00"/>
    <s v="Both side available"/>
    <s v="OK"/>
    <m/>
    <m/>
    <m/>
    <m/>
    <d v="2023-01-25T00:00:00"/>
    <m/>
    <d v="2023-12-13T00:00:00"/>
    <d v="2024-06-25T00:00:00"/>
    <d v="2023-12-13T00:00:00"/>
    <d v="2023-08-25T00:00:00"/>
    <s v="Checked"/>
    <d v="2024-02-12T00:00:00"/>
    <m/>
    <d v="2024-02-10T00:00:00"/>
    <m/>
  </r>
  <r>
    <n v="50"/>
    <n v="37533"/>
    <s v="HLC-B"/>
    <s v="STB8M0930HLCD"/>
    <x v="4"/>
    <s v="ECR"/>
    <s v="KOL"/>
    <d v="2021-02-06T00:00:00"/>
    <n v="930"/>
    <s v="Nashik"/>
    <s v="U7D2S04V.005"/>
    <d v="2021-05-20T00:00:00"/>
    <s v="UAT2Y440.012"/>
    <d v="2021-05-20T00:00:00"/>
    <d v="2023-12-13T00:00:00"/>
    <m/>
    <s v="Done with wire"/>
    <s v="Already Done"/>
    <s v="Done"/>
    <d v="2021-02-01T00:00:00"/>
    <d v="2021-02-01T00:00:00"/>
    <s v="Done"/>
    <d v="2021-05-20T00:00:00"/>
    <s v="Both side available"/>
    <s v="OK"/>
    <m/>
    <m/>
    <m/>
    <m/>
    <d v="2023-01-25T00:00:00"/>
    <m/>
    <d v="2023-12-13T00:00:00"/>
    <d v="2024-06-25T00:00:00"/>
    <d v="2023-12-13T00:00:00"/>
    <d v="2023-08-25T00:00:00"/>
    <s v="Checked"/>
    <d v="2024-02-12T00:00:00"/>
    <m/>
    <d v="2024-02-10T00:00:00"/>
    <m/>
  </r>
  <r>
    <n v="51"/>
    <n v="37535"/>
    <s v="HLC-A"/>
    <s v="STB8M0912HLCD"/>
    <x v="4"/>
    <s v="ECR"/>
    <s v="KOL"/>
    <d v="2021-02-11T00:00:00"/>
    <n v="912"/>
    <s v="Nashik"/>
    <s v="U7D2S04V.005"/>
    <d v="2021-05-30T00:00:00"/>
    <s v="UAT2Y440.012"/>
    <d v="2021-05-30T00:00:00"/>
    <d v="2023-09-25T00:00:00"/>
    <m/>
    <s v="Done with wire"/>
    <s v="Already Done"/>
    <s v="Not done"/>
    <d v="2021-02-04T00:00:00"/>
    <d v="2021-02-04T00:00:00"/>
    <s v="Done"/>
    <d v="2021-05-31T00:00:00"/>
    <s v="Both side available"/>
    <s v="OK"/>
    <m/>
    <m/>
    <m/>
    <m/>
    <d v="2023-09-25T00:00:00"/>
    <m/>
    <m/>
    <d v="2024-12-07T00:00:00"/>
    <d v="2024-06-13T00:00:00"/>
    <d v="2024-01-08T00:00:00"/>
    <s v="Checked"/>
    <d v="2025-07-02T00:00:00"/>
    <m/>
    <s v="15.06.24"/>
    <m/>
  </r>
  <r>
    <n v="52"/>
    <n v="37535"/>
    <s v="HLC-B"/>
    <s v="STB8M0913HLCD"/>
    <x v="4"/>
    <s v="ECR"/>
    <s v="KOL"/>
    <d v="2021-02-11T00:00:00"/>
    <n v="913"/>
    <s v="Nashik"/>
    <s v="U7D2S04V.005"/>
    <s v="Already Done"/>
    <s v="UAT2Y440.012"/>
    <d v="2021-05-30T00:00:00"/>
    <d v="2023-09-25T00:00:00"/>
    <m/>
    <s v="Done with wire"/>
    <s v="Already Done"/>
    <s v="Not done"/>
    <d v="2021-02-04T00:00:00"/>
    <d v="2021-02-04T00:00:00"/>
    <s v="Done"/>
    <d v="2021-05-31T00:00:00"/>
    <s v="Both side available"/>
    <s v="OK"/>
    <m/>
    <m/>
    <m/>
    <m/>
    <d v="2023-09-25T00:00:00"/>
    <m/>
    <m/>
    <d v="2024-12-07T00:00:00"/>
    <d v="2024-06-13T00:00:00"/>
    <d v="2024-01-08T00:00:00"/>
    <s v="Checked"/>
    <d v="2025-07-02T00:00:00"/>
    <m/>
    <s v="15.06.24"/>
    <m/>
  </r>
  <r>
    <n v="53"/>
    <n v="37545"/>
    <s v="HLC-A"/>
    <s v="STB8M0927HLCD"/>
    <x v="4"/>
    <s v="ECR"/>
    <s v="KOL"/>
    <d v="2021-03-13T00:00:00"/>
    <n v="927"/>
    <s v="Nashik"/>
    <s v="U7D2S04V.005"/>
    <s v="Already Done"/>
    <s v="UAT2Y440.012"/>
    <d v="2021-03-07T00:00:00"/>
    <d v="2025-04-16T00:00:00"/>
    <m/>
    <s v="Done with wire"/>
    <s v="Already Done"/>
    <s v="Already Done"/>
    <s v="Already Done"/>
    <d v="2021-03-07T00:00:00"/>
    <s v="Done"/>
    <d v="2021-06-18T00:00:00"/>
    <s v="Both side available"/>
    <s v="OK"/>
    <m/>
    <m/>
    <m/>
    <m/>
    <d v="2024-03-01T00:00:00"/>
    <m/>
    <m/>
    <d v="2024-06-22T00:00:00"/>
    <d v="2024-03-01T00:00:00"/>
    <d v="2023-08-10T00:00:00"/>
    <s v="Checked"/>
    <d v="2025-01-09T00:00:00"/>
    <m/>
    <d v="2024-06-22T00:00:00"/>
    <m/>
  </r>
  <r>
    <n v="54"/>
    <n v="37545"/>
    <s v="HLC-B"/>
    <s v="STB8M0945HLCD"/>
    <x v="4"/>
    <s v="ECR"/>
    <s v="KOL"/>
    <d v="2021-03-13T00:00:00"/>
    <n v="945"/>
    <s v="Nashik"/>
    <s v="U7D2S04V.005"/>
    <s v="Already Done"/>
    <s v="UAT2Y440.012"/>
    <d v="2021-03-07T00:00:00"/>
    <d v="2025-04-16T00:00:00"/>
    <m/>
    <s v="Done with wire"/>
    <s v="Already Done"/>
    <s v="Already Done"/>
    <s v="Already Done"/>
    <d v="2021-03-07T00:00:00"/>
    <s v="Done"/>
    <d v="2021-06-18T00:00:00"/>
    <s v="Both side available"/>
    <s v="OK"/>
    <m/>
    <m/>
    <m/>
    <m/>
    <d v="2024-03-01T00:00:00"/>
    <m/>
    <m/>
    <d v="2024-06-22T00:00:00"/>
    <d v="2024-03-01T00:00:00"/>
    <d v="2023-08-10T00:00:00"/>
    <s v="Checked"/>
    <d v="2025-01-09T00:00:00"/>
    <m/>
    <d v="2024-06-22T00:00:00"/>
    <m/>
  </r>
  <r>
    <n v="55"/>
    <n v="37552"/>
    <s v="HLC-A"/>
    <s v="STB7M0890HLCD"/>
    <x v="4"/>
    <s v="ECR"/>
    <s v="KOL"/>
    <d v="2021-02-27T00:00:00"/>
    <n v="890"/>
    <s v="Nashik"/>
    <s v="U7D2S04V.005"/>
    <s v="Already Done"/>
    <s v="UAT2Y440.012"/>
    <d v="2021-02-11T00:00:00"/>
    <d v="2023-12-06T00:00:00"/>
    <m/>
    <s v="Done with wire"/>
    <d v="2020-09-30T00:00:00"/>
    <s v="Already Done"/>
    <s v="Already Done"/>
    <d v="2021-02-11T00:00:00"/>
    <s v="Done"/>
    <d v="2021-06-04T00:00:00"/>
    <s v="Both side available"/>
    <s v="OK"/>
    <m/>
    <m/>
    <m/>
    <m/>
    <d v="2023-04-11T00:00:00"/>
    <m/>
    <d v="2023-06-23T00:00:00"/>
    <s v="28-08-24"/>
    <d v="2023-12-06T00:00:00"/>
    <d v="2023-06-23T00:00:00"/>
    <s v="Checked"/>
    <d v="2024-04-30T00:00:00"/>
    <m/>
    <d v="2024-06-12T00:00:00"/>
    <m/>
  </r>
  <r>
    <n v="56"/>
    <n v="37552"/>
    <s v="HLC-B"/>
    <s v="STB7M0891HLCD"/>
    <x v="4"/>
    <s v="ECR"/>
    <s v="KOL"/>
    <d v="2021-02-27T00:00:00"/>
    <n v="891"/>
    <s v="Nashik"/>
    <s v="U7D2S04V.005"/>
    <d v="2021-06-03T00:00:00"/>
    <s v="UAT2Y440.012"/>
    <d v="2021-02-11T00:00:00"/>
    <d v="2023-12-06T00:00:00"/>
    <m/>
    <s v="Done with wire"/>
    <d v="2020-09-30T00:00:00"/>
    <s v="Already Done"/>
    <s v="Already Done"/>
    <d v="2021-02-11T00:00:00"/>
    <s v="Done"/>
    <d v="2021-06-04T00:00:00"/>
    <s v="Both side available"/>
    <s v="OK"/>
    <m/>
    <m/>
    <m/>
    <m/>
    <d v="2023-04-11T00:00:00"/>
    <m/>
    <d v="2023-06-23T00:00:00"/>
    <s v="28-08-24"/>
    <d v="2023-12-06T00:00:00"/>
    <d v="2023-10-28T00:00:00"/>
    <s v="Checked"/>
    <d v="2024-04-30T00:00:00"/>
    <m/>
    <d v="2024-06-12T00:00:00"/>
    <m/>
  </r>
  <r>
    <n v="57"/>
    <n v="39114"/>
    <s v="HLC-A"/>
    <s v="STB5L0535HLCD"/>
    <x v="4"/>
    <s v="ECR"/>
    <s v="KOL"/>
    <d v="2019-12-14T00:00:00"/>
    <n v="535"/>
    <s v="Nashik"/>
    <s v="U7D2S04V.005"/>
    <d v="2021-06-03T00:00:00"/>
    <s v="UAT2Y440.012"/>
    <d v="2021-02-20T00:00:00"/>
    <d v="2023-08-04T00:00:00"/>
    <m/>
    <s v="Done with wire"/>
    <s v="Already Done"/>
    <s v="Not done"/>
    <s v="Already Done"/>
    <s v="Already Done"/>
    <s v="Done"/>
    <d v="2021-06-05T00:00:00"/>
    <s v="Not available"/>
    <s v="OK"/>
    <m/>
    <m/>
    <m/>
    <m/>
    <s v="28-Fab-23"/>
    <m/>
    <d v="2023-08-04T00:00:00"/>
    <d v="2024-06-22T00:00:00"/>
    <d v="2023-12-02T00:00:00"/>
    <d v="2023-06-13T00:00:00"/>
    <s v="Checked"/>
    <d v="2024-06-29T00:00:00"/>
    <m/>
    <s v="22.06.24"/>
    <m/>
  </r>
  <r>
    <n v="58"/>
    <n v="39114"/>
    <s v="HLC-B"/>
    <s v="STB5L0534HLCD"/>
    <x v="4"/>
    <s v="ECR"/>
    <s v="KOL"/>
    <d v="2019-12-14T00:00:00"/>
    <n v="534"/>
    <s v="Nashik"/>
    <s v="U7D2S04V.005"/>
    <d v="2021-06-03T00:00:00"/>
    <s v="UAT2Y440.012"/>
    <d v="2021-06-03T00:00:00"/>
    <d v="2023-08-04T00:00:00"/>
    <m/>
    <s v="Done with wire"/>
    <s v="Already Done"/>
    <s v="Not done"/>
    <s v="Already Done"/>
    <s v="Already Done"/>
    <s v="Done"/>
    <d v="2021-06-05T00:00:00"/>
    <s v="Not available"/>
    <s v="OK"/>
    <m/>
    <m/>
    <m/>
    <m/>
    <s v="28-Fab-23"/>
    <m/>
    <d v="2023-08-04T00:00:00"/>
    <d v="2024-06-22T00:00:00"/>
    <d v="2023-12-06T00:00:00"/>
    <d v="2023-06-13T00:00:00"/>
    <s v="Checked"/>
    <d v="2024-06-29T00:00:00"/>
    <m/>
    <s v="22.06.24"/>
    <m/>
  </r>
  <r>
    <n v="59"/>
    <n v="39127"/>
    <s v="HLC-A"/>
    <s v="STB5L0528HLCD"/>
    <x v="4"/>
    <s v="ECR"/>
    <s v="KOL"/>
    <d v="2020-02-04T00:00:00"/>
    <n v="528"/>
    <s v="Nashik"/>
    <s v="U7D2S04V.005"/>
    <s v="Already Done"/>
    <s v="UAT2Y440.012"/>
    <d v="2021-03-05T00:00:00"/>
    <d v="2024-05-13T00:00:00"/>
    <m/>
    <s v="Done with wire"/>
    <s v="Conv-A DONE"/>
    <s v="Done"/>
    <s v="Already Done"/>
    <s v="Already Done"/>
    <s v="Done"/>
    <d v="2021-05-29T00:00:00"/>
    <s v="Not available"/>
    <s v="OK"/>
    <m/>
    <m/>
    <s v="EL21D01016"/>
    <m/>
    <d v="2022-12-20T00:00:00"/>
    <m/>
    <d v="2023-12-12T00:00:00"/>
    <s v="22-08-24"/>
    <d v="2023-12-11T00:00:00"/>
    <d v="2023-07-07T00:00:00"/>
    <s v="Checked"/>
    <d v="2024-05-17T00:00:00"/>
    <d v="2025-04-02T00:00:00"/>
    <d v="2025-02-04T00:00:00"/>
    <m/>
  </r>
  <r>
    <n v="60"/>
    <n v="39127"/>
    <s v="HLC-B"/>
    <s v="STBOL0659HLCD"/>
    <x v="4"/>
    <s v="ECR"/>
    <s v="KOL"/>
    <d v="2020-02-04T00:00:00"/>
    <n v="659"/>
    <s v="Nashik"/>
    <s v="U7D2S04V.005"/>
    <s v="Already Done"/>
    <m/>
    <m/>
    <d v="2024-05-13T00:00:00"/>
    <m/>
    <s v="Done with wire"/>
    <s v="Conv-B DONE"/>
    <s v="Done"/>
    <s v="Already Done"/>
    <s v="Already Done"/>
    <s v="Done"/>
    <d v="2021-05-29T00:00:00"/>
    <s v="Not available"/>
    <s v="OK"/>
    <m/>
    <m/>
    <s v="EL21D01 014"/>
    <m/>
    <d v="2022-12-20T00:00:00"/>
    <m/>
    <d v="2023-12-12T00:00:00"/>
    <s v="22-08-24"/>
    <d v="2023-12-11T00:00:00"/>
    <d v="2023-07-07T00:00:00"/>
    <s v="Checked"/>
    <d v="2024-05-17T00:00:00"/>
    <d v="2025-04-02T00:00:00"/>
    <d v="2025-02-04T00:00:00"/>
    <m/>
  </r>
  <r>
    <n v="61"/>
    <n v="39129"/>
    <s v="HLC-A"/>
    <s v="STBOL0651HLCD"/>
    <x v="4"/>
    <s v="ECR"/>
    <s v="KOL"/>
    <d v="2020-02-11T00:00:00"/>
    <n v="651"/>
    <s v="Nashik"/>
    <s v="U7D2S04V.005"/>
    <d v="2021-06-27T00:00:00"/>
    <s v="UAT2Y440.012"/>
    <d v="2021-01-13T00:00:00"/>
    <d v="2023-09-25T00:00:00"/>
    <m/>
    <s v="Done with wire"/>
    <s v="Conv-A DONE"/>
    <s v="Done"/>
    <s v="Already Done"/>
    <s v="Already Done"/>
    <s v="Done"/>
    <s v="Done"/>
    <s v="Not available"/>
    <s v="OK"/>
    <m/>
    <m/>
    <s v="EL20L05021"/>
    <m/>
    <d v="2023-09-25T00:00:00"/>
    <m/>
    <m/>
    <s v="24-07-24"/>
    <d v="2024-01-06T00:00:00"/>
    <d v="2024-01-06T00:00:00"/>
    <s v="Checked"/>
    <d v="2024-04-24T00:00:00"/>
    <s v="17/02/2025"/>
    <s v="31-10-24"/>
    <m/>
  </r>
  <r>
    <n v="62"/>
    <n v="39129"/>
    <s v="HLC-B"/>
    <s v="STBOL0668HLCD"/>
    <x v="4"/>
    <s v="ECR"/>
    <s v="KOL"/>
    <d v="2020-02-11T00:00:00"/>
    <n v="668"/>
    <s v="Nashik"/>
    <s v="U7D2S04V.005"/>
    <d v="2021-06-27T00:00:00"/>
    <s v="UAT2Y440.012"/>
    <d v="2021-01-13T00:00:00"/>
    <d v="2023-09-25T00:00:00"/>
    <m/>
    <s v="Done with wire"/>
    <s v="Conv-B DONE"/>
    <s v="Done"/>
    <s v="Already Done"/>
    <s v="Already Done"/>
    <s v="Done"/>
    <d v="2021-05-01T00:00:00"/>
    <s v="Not available"/>
    <s v="OK"/>
    <m/>
    <m/>
    <s v="EL18K03004R"/>
    <m/>
    <d v="2023-09-25T00:00:00"/>
    <m/>
    <m/>
    <s v="24-07-24"/>
    <d v="2024-01-06T00:00:00"/>
    <d v="2024-01-06T00:00:00"/>
    <s v="Checked"/>
    <d v="2024-04-24T00:00:00"/>
    <s v="17/02/2025"/>
    <s v="31-10-24"/>
    <m/>
  </r>
  <r>
    <n v="63"/>
    <n v="30711"/>
    <s v="HLC-A"/>
    <s v="STBOK0292HLCD"/>
    <x v="5"/>
    <s v="ECR"/>
    <s v="KOL"/>
    <d v="2018-12-26T00:00:00"/>
    <n v="292"/>
    <s v="Nashik"/>
    <s v="U7D2S04V.005"/>
    <d v="2021-06-03T00:00:00"/>
    <s v="UAT2Y440.012"/>
    <d v="2021-02-23T00:00:00"/>
    <d v="2023-06-06T00:00:00"/>
    <m/>
    <s v=" Short link  Metal "/>
    <d v="2021-04-07T00:00:00"/>
    <s v="Not done"/>
    <d v="2020-11-01T00:00:00"/>
    <d v="2020-11-01T00:00:00"/>
    <s v="Done"/>
    <d v="2021-06-04T00:00:00"/>
    <s v="PWR side available"/>
    <s v="OK"/>
    <m/>
    <m/>
    <m/>
    <m/>
    <s v=" done"/>
    <m/>
    <m/>
    <s v="27-07-24"/>
    <d v="2024-04-11T00:00:00"/>
    <s v="Done"/>
    <s v="Checked"/>
    <d v="2024-04-11T00:00:00"/>
    <m/>
    <d v="2024-12-02T00:00:00"/>
    <m/>
  </r>
  <r>
    <n v="64"/>
    <n v="30711"/>
    <s v="HLC-B"/>
    <s v="STBOK0293HLCD"/>
    <x v="5"/>
    <s v="ECR"/>
    <s v="KOL"/>
    <d v="2018-12-26T00:00:00"/>
    <n v="293"/>
    <s v="Nashik"/>
    <s v="U7D2S04V.005"/>
    <d v="2021-06-03T00:00:00"/>
    <s v="UAT2Y440.012"/>
    <d v="2021-02-23T00:00:00"/>
    <d v="2023-06-06T00:00:00"/>
    <m/>
    <s v=" Short link  Metal "/>
    <d v="2021-04-07T00:00:00"/>
    <s v="Not done"/>
    <d v="2020-11-01T00:00:00"/>
    <d v="2020-11-01T00:00:00"/>
    <s v="Done"/>
    <d v="2021-06-04T00:00:00"/>
    <s v="PWR side available"/>
    <s v="OK"/>
    <m/>
    <m/>
    <m/>
    <m/>
    <s v=" done"/>
    <m/>
    <m/>
    <s v="27-07-24"/>
    <d v="2024-04-11T00:00:00"/>
    <s v="Done"/>
    <s v="Checked"/>
    <d v="2024-04-11T00:00:00"/>
    <m/>
    <d v="2024-12-02T00:00:00"/>
    <m/>
  </r>
  <r>
    <n v="65"/>
    <n v="30723"/>
    <s v="HLC-A"/>
    <s v="STB4K0226HLCD"/>
    <x v="5"/>
    <s v="ECR"/>
    <s v="KOL"/>
    <d v="2019-03-08T00:00:00"/>
    <n v="226"/>
    <s v="Nashik"/>
    <s v="Q9J1Z04V.005"/>
    <m/>
    <s v="UAT2Y440.012"/>
    <d v="2021-02-22T00:00:00"/>
    <d v="2023-08-11T00:00:00"/>
    <m/>
    <s v=" Short link  Metal "/>
    <d v="2020-11-17T00:00:00"/>
    <s v="Not done"/>
    <d v="2020-11-17T00:00:00"/>
    <d v="2020-11-17T00:00:00"/>
    <s v="Done"/>
    <s v="Done"/>
    <s v="Not available"/>
    <s v="OK"/>
    <m/>
    <m/>
    <m/>
    <m/>
    <d v="2022-08-26T00:00:00"/>
    <m/>
    <d v="2023-07-07T00:00:00"/>
    <d v="2024-07-02T00:00:00"/>
    <d v="2023-12-27T00:00:00"/>
    <d v="2023-11-21T00:00:00"/>
    <s v="Checked"/>
    <d v="2024-10-08T00:00:00"/>
    <m/>
    <d v="2024-12-19T00:00:00"/>
    <m/>
  </r>
  <r>
    <n v="66"/>
    <n v="30723"/>
    <s v="HLC-B"/>
    <s v="STB5K0229HLCD"/>
    <x v="5"/>
    <s v="ECR"/>
    <s v="KOL"/>
    <d v="2019-03-08T00:00:00"/>
    <n v="229"/>
    <s v="Nashik"/>
    <s v="Q9J1Z04V.005"/>
    <m/>
    <s v="UAT2Y440.012"/>
    <d v="2021-02-22T00:00:00"/>
    <d v="2023-08-11T00:00:00"/>
    <m/>
    <s v=" Short link  Metal "/>
    <d v="2020-11-17T00:00:00"/>
    <s v="Not done"/>
    <d v="2020-11-17T00:00:00"/>
    <d v="2020-11-17T00:00:00"/>
    <s v="Done"/>
    <s v="Done"/>
    <s v="Not available"/>
    <s v="OK"/>
    <m/>
    <m/>
    <m/>
    <m/>
    <d v="2022-08-26T00:00:00"/>
    <m/>
    <d v="2023-11-21T00:00:00"/>
    <d v="2024-07-02T00:00:00"/>
    <d v="2023-12-27T00:00:00"/>
    <d v="2023-11-21T00:00:00"/>
    <s v="Checked"/>
    <d v="2024-10-08T00:00:00"/>
    <m/>
    <d v="2024-12-19T00:00:00"/>
    <m/>
  </r>
  <r>
    <n v="67"/>
    <n v="37071"/>
    <s v="HLC-A"/>
    <s v="STB8K0288HLCD"/>
    <x v="5"/>
    <s v="ECR"/>
    <s v="KOL"/>
    <d v="2018-12-28T00:00:00"/>
    <n v="288"/>
    <s v="Nashik"/>
    <s v="U7D2S04V.005"/>
    <s v="Already Done"/>
    <s v="UAT2Y440.012"/>
    <d v="2021-02-23T00:00:00"/>
    <d v="2023-06-23T00:00:00"/>
    <m/>
    <s v=" Short link  Metal "/>
    <d v="2020-10-08T00:00:00"/>
    <s v="Not done"/>
    <d v="2020-10-06T00:00:00"/>
    <d v="2020-10-06T00:00:00"/>
    <s v="Done"/>
    <s v="Done"/>
    <s v="Not available"/>
    <s v="OK"/>
    <m/>
    <m/>
    <m/>
    <m/>
    <d v="2022-10-29T00:00:00"/>
    <m/>
    <m/>
    <s v="24-07-24"/>
    <d v="2024-01-14T00:00:00"/>
    <s v="21-11-23"/>
    <s v="Checked"/>
    <s v="25-07-24"/>
    <m/>
    <s v="16-05-2025"/>
    <m/>
  </r>
  <r>
    <n v="68"/>
    <n v="37071"/>
    <s v="HLC-B"/>
    <s v="STB8K0289HLCD"/>
    <x v="5"/>
    <s v="ECR"/>
    <s v="KOL"/>
    <d v="2018-12-28T00:00:00"/>
    <n v="289"/>
    <s v="Nashik"/>
    <s v="U7D2S04V.005"/>
    <s v="Already Done"/>
    <s v="UAT2Y440.012"/>
    <d v="2021-02-23T00:00:00"/>
    <d v="2023-06-23T00:00:00"/>
    <m/>
    <s v=" Short link  Metal "/>
    <d v="2020-10-08T00:00:00"/>
    <s v="Not done"/>
    <d v="2020-10-06T00:00:00"/>
    <d v="2020-10-06T00:00:00"/>
    <s v="Done"/>
    <s v="Done"/>
    <s v="Not available"/>
    <s v="OK"/>
    <m/>
    <m/>
    <m/>
    <m/>
    <d v="2022-10-29T00:00:00"/>
    <m/>
    <m/>
    <s v="24-07-24"/>
    <d v="2024-01-14T00:00:00"/>
    <s v="21-11-23"/>
    <s v="Checked"/>
    <s v="25-07-24"/>
    <s v="16-05-2025"/>
    <s v="16-05-2025"/>
    <m/>
  </r>
  <r>
    <n v="69"/>
    <n v="37092"/>
    <s v="HLC-A"/>
    <s v="STB8K0283HLCD"/>
    <x v="5"/>
    <s v="ECR"/>
    <s v="KOL"/>
    <d v="2019-02-22T00:00:00"/>
    <n v="283"/>
    <s v="Nashik"/>
    <s v="U7D2S04V.005"/>
    <d v="2021-05-17T00:00:00"/>
    <s v="UAT2Y440.012"/>
    <d v="2021-02-20T00:00:00"/>
    <d v="2023-08-09T00:00:00"/>
    <m/>
    <s v=" Short link  Metal "/>
    <d v="2020-11-02T00:00:00"/>
    <s v="Not done"/>
    <d v="2020-11-29T00:00:00"/>
    <d v="2020-11-29T00:00:00"/>
    <s v="Done"/>
    <d v="2021-05-17T00:00:00"/>
    <s v="Not available"/>
    <s v="OK"/>
    <m/>
    <m/>
    <s v="EL18B07030-R"/>
    <m/>
    <d v="2022-10-13T00:00:00"/>
    <m/>
    <d v="2023-07-29T00:00:00"/>
    <s v="14-08-24"/>
    <d v="2024-02-23T00:00:00"/>
    <d v="2024-02-23T00:00:00"/>
    <s v="Checked"/>
    <d v="2024-03-08T00:00:00"/>
    <m/>
    <s v="29-11-24"/>
    <m/>
  </r>
  <r>
    <n v="70"/>
    <n v="37092"/>
    <s v="HLC-B"/>
    <s v="STB6K0261HLCD"/>
    <x v="5"/>
    <s v="ECR"/>
    <s v="KOL"/>
    <d v="2019-02-22T00:00:00"/>
    <n v="261"/>
    <s v="Nashik"/>
    <s v="U7D2S04V.005"/>
    <d v="2021-05-17T00:00:00"/>
    <s v="UAT2Y440.012"/>
    <d v="2021-02-20T00:00:00"/>
    <d v="2023-08-09T00:00:00"/>
    <m/>
    <s v=" Short link  Metal "/>
    <s v="Already Done"/>
    <s v="Not done"/>
    <d v="2020-11-29T00:00:00"/>
    <d v="2020-11-29T00:00:00"/>
    <s v="Done"/>
    <d v="2021-05-17T00:00:00"/>
    <s v="Not available"/>
    <s v="OK"/>
    <m/>
    <m/>
    <m/>
    <m/>
    <d v="2022-10-13T00:00:00"/>
    <m/>
    <d v="2023-07-29T00:00:00"/>
    <s v="14-08-24"/>
    <d v="2024-02-23T00:00:00"/>
    <d v="2024-02-23T00:00:00"/>
    <s v="Checked"/>
    <d v="2024-03-08T00:00:00"/>
    <m/>
    <s v="29-11-24"/>
    <m/>
  </r>
  <r>
    <n v="71"/>
    <n v="37094"/>
    <s v="HLC-A"/>
    <s v="STB8K0287HLCD"/>
    <x v="5"/>
    <s v="ECR"/>
    <s v="KOL"/>
    <d v="2019-02-24T00:00:00"/>
    <n v="287"/>
    <s v="Nashik"/>
    <s v="U7D2S04V.005"/>
    <d v="2021-05-13T00:00:00"/>
    <s v="UAT2Y440.012"/>
    <d v="2021-04-07T00:00:00"/>
    <m/>
    <m/>
    <s v=" Short link  Metal "/>
    <d v="2020-09-25T00:00:00"/>
    <s v="Not done"/>
    <d v="2021-04-07T00:00:00"/>
    <d v="2021-04-07T00:00:00"/>
    <s v="Done"/>
    <d v="2021-06-25T00:00:00"/>
    <s v="Not available"/>
    <s v="OK"/>
    <m/>
    <m/>
    <m/>
    <m/>
    <s v="Done"/>
    <m/>
    <d v="2023-11-16T00:00:00"/>
    <d v="2024-06-27T00:00:00"/>
    <d v="2024-06-27T00:00:00"/>
    <d v="2023-11-16T00:00:00"/>
    <s v="Checked"/>
    <m/>
    <m/>
    <m/>
    <m/>
  </r>
  <r>
    <n v="72"/>
    <n v="37094"/>
    <s v="HLC-B"/>
    <s v="STB5K0233HLCD"/>
    <x v="5"/>
    <s v="ECR"/>
    <s v="KOL"/>
    <d v="2019-02-24T00:00:00"/>
    <n v="233"/>
    <s v="Nashik"/>
    <s v="U7D2S04V.005"/>
    <d v="2021-05-13T00:00:00"/>
    <s v="UAT2Y440.012"/>
    <d v="2021-04-07T00:00:00"/>
    <m/>
    <m/>
    <s v=" Short link  Metal "/>
    <d v="2020-09-25T00:00:00"/>
    <s v="Not done"/>
    <d v="2021-04-07T00:00:00"/>
    <d v="2021-04-07T00:00:00"/>
    <s v="Done"/>
    <d v="2021-06-25T00:00:00"/>
    <s v="Not available"/>
    <s v="OK"/>
    <m/>
    <m/>
    <m/>
    <m/>
    <s v="Done"/>
    <m/>
    <d v="2023-11-16T00:00:00"/>
    <d v="2024-06-27T00:00:00"/>
    <d v="2024-06-27T00:00:00"/>
    <d v="2023-11-16T00:00:00"/>
    <s v="Checked"/>
    <m/>
    <m/>
    <m/>
    <m/>
  </r>
  <r>
    <n v="73"/>
    <n v="37098"/>
    <s v="HLC-A"/>
    <s v="STBOK0275HLCD"/>
    <x v="5"/>
    <s v="ECR"/>
    <s v="KOL"/>
    <d v="2019-02-27T00:00:00"/>
    <n v="275"/>
    <s v="Nashik"/>
    <s v="U7D2S04V.005"/>
    <d v="2021-06-27T00:00:00"/>
    <s v="UAT2Y440.012"/>
    <d v="2021-03-05T00:00:00"/>
    <d v="2023-08-16T00:00:00"/>
    <m/>
    <s v=" Short link  Metal "/>
    <d v="2020-09-26T00:00:00"/>
    <s v="Not done"/>
    <d v="2020-11-17T00:00:00"/>
    <d v="2020-11-17T00:00:00"/>
    <s v="Done"/>
    <s v="Done"/>
    <s v="Not available"/>
    <s v="OK"/>
    <m/>
    <m/>
    <m/>
    <m/>
    <d v="2022-11-01T00:00:00"/>
    <m/>
    <d v="2023-09-04T00:00:00"/>
    <d v="2024-07-17T00:00:00"/>
    <d v="2024-07-16T00:00:00"/>
    <s v="16-07-24"/>
    <s v="Checked"/>
    <d v="2024-07-03T00:00:00"/>
    <m/>
    <d v="2024-07-04T00:00:00"/>
    <m/>
  </r>
  <r>
    <n v="74"/>
    <n v="37098"/>
    <s v="HLC-B"/>
    <s v="STB7K0274HLCD"/>
    <x v="5"/>
    <s v="ECR"/>
    <s v="KOL"/>
    <d v="2019-02-27T00:00:00"/>
    <n v="274"/>
    <s v="Nashik"/>
    <s v="U7D2S04V.005"/>
    <d v="2021-06-27T00:00:00"/>
    <s v="UAT2Y440.012"/>
    <d v="2021-03-05T00:00:00"/>
    <d v="2023-08-16T00:00:00"/>
    <m/>
    <s v=" Short link  Metal "/>
    <d v="2020-09-26T00:00:00"/>
    <s v="Not done"/>
    <d v="2020-11-17T00:00:00"/>
    <d v="2020-11-17T00:00:00"/>
    <s v="Done"/>
    <s v="Done"/>
    <s v="Not available"/>
    <s v="OK"/>
    <m/>
    <m/>
    <s v="EL18B07029R"/>
    <m/>
    <d v="2022-11-01T00:00:00"/>
    <m/>
    <d v="2023-09-04T00:00:00"/>
    <d v="2024-07-17T00:00:00"/>
    <d v="2024-07-16T00:00:00"/>
    <s v="16-07-24"/>
    <s v="Checked"/>
    <d v="2024-07-03T00:00:00"/>
    <m/>
    <d v="2024-07-04T00:00:00"/>
    <m/>
  </r>
  <r>
    <n v="75"/>
    <n v="37104"/>
    <s v="HLC-A"/>
    <s v="STBOK0296HLCD"/>
    <x v="5"/>
    <s v="ECR"/>
    <s v="KOL"/>
    <d v="2019-02-27T00:00:00"/>
    <n v="296"/>
    <s v="Nashik"/>
    <s v="Q9J1Z04V.005"/>
    <m/>
    <s v="UAT2Y440.012"/>
    <d v="2021-03-24T00:00:00"/>
    <d v="2023-06-06T00:00:00"/>
    <m/>
    <s v=" Short link  Metal "/>
    <d v="2020-10-21T00:00:00"/>
    <s v="Not done"/>
    <d v="2020-10-08T00:00:00"/>
    <d v="2020-10-08T00:00:00"/>
    <s v="Done"/>
    <s v="Done"/>
    <s v="PWR side available"/>
    <s v="OK"/>
    <m/>
    <m/>
    <s v="Done on 12-7-20"/>
    <m/>
    <d v="2022-11-19T00:00:00"/>
    <m/>
    <m/>
    <s v="27-08-24"/>
    <d v="2024-05-27T00:00:00"/>
    <d v="2023-08-16T00:00:00"/>
    <s v="Checked"/>
    <m/>
    <d v="2025-06-17T00:00:00"/>
    <s v="26-03-25"/>
    <m/>
  </r>
  <r>
    <n v="76"/>
    <n v="37104"/>
    <s v="HLC-B"/>
    <s v="STB4K0210HLCD"/>
    <x v="5"/>
    <s v="ECR"/>
    <s v="KOL"/>
    <d v="2019-02-27T00:00:00"/>
    <n v="210"/>
    <s v="Nashik"/>
    <s v="S7Q1G04V.005"/>
    <m/>
    <s v="UAT2Y440.012"/>
    <d v="2021-03-24T00:00:00"/>
    <d v="2023-06-06T00:00:00"/>
    <m/>
    <s v=" Short link  Metal "/>
    <d v="2020-10-21T00:00:00"/>
    <d v="2020-12-07T00:00:00"/>
    <d v="2020-10-08T00:00:00"/>
    <d v="2020-10-08T00:00:00"/>
    <s v="Done"/>
    <s v="Done"/>
    <s v="Not available"/>
    <s v="OK"/>
    <m/>
    <m/>
    <s v="12-Oct-20 "/>
    <m/>
    <d v="2022-11-19T00:00:00"/>
    <m/>
    <m/>
    <s v="27-08-24"/>
    <d v="2024-05-27T00:00:00"/>
    <d v="2023-08-16T00:00:00"/>
    <s v="Checked"/>
    <m/>
    <d v="2025-06-17T00:00:00"/>
    <s v="26-03-25"/>
    <m/>
  </r>
  <r>
    <n v="77"/>
    <n v="37231"/>
    <s v="HLC-A"/>
    <s v="STB6L0541HLCD"/>
    <x v="5"/>
    <s v="ECR"/>
    <s v="KOL"/>
    <d v="2019-08-25T00:00:00"/>
    <n v="541"/>
    <s v="Nashik"/>
    <s v="U7D2S04V.005"/>
    <d v="2021-05-26T00:00:00"/>
    <s v="UAT2Y440.012"/>
    <d v="2021-02-11T00:00:00"/>
    <d v="2023-08-11T00:00:00"/>
    <m/>
    <s v=" Short link  Metal "/>
    <d v="2020-09-27T00:00:00"/>
    <s v="Not done"/>
    <d v="2020-10-19T00:00:00"/>
    <d v="2020-10-19T00:00:00"/>
    <s v="Done"/>
    <d v="2021-05-26T00:00:00"/>
    <s v="Not available"/>
    <s v="OK"/>
    <m/>
    <m/>
    <m/>
    <m/>
    <d v="2023-08-05T00:00:00"/>
    <m/>
    <d v="2023-11-14T00:00:00"/>
    <s v="14-09-24"/>
    <d v="2024-09-13T00:00:00"/>
    <d v="2023-11-14T00:00:00"/>
    <s v="Checked"/>
    <d v="2024-04-17T00:00:00"/>
    <s v="13-09-24"/>
    <d v="2025-03-06T00:00:00"/>
    <m/>
  </r>
  <r>
    <n v="78"/>
    <n v="37231"/>
    <s v="HLC-B"/>
    <s v="STB6L0551HLCD"/>
    <x v="5"/>
    <s v="ECR"/>
    <s v="KOL"/>
    <d v="2019-08-25T00:00:00"/>
    <n v="551"/>
    <s v="Nashik"/>
    <s v="U7D2S04V.005"/>
    <d v="2021-05-26T00:00:00"/>
    <s v="UAT2Y440.012"/>
    <d v="2021-02-11T00:00:00"/>
    <d v="2023-08-11T00:00:00"/>
    <m/>
    <s v=" Short link  Metal "/>
    <d v="2020-09-27T00:00:00"/>
    <s v="Not done"/>
    <d v="2020-10-19T00:00:00"/>
    <d v="2020-10-19T00:00:00"/>
    <s v="Done"/>
    <d v="2021-05-26T00:00:00"/>
    <s v="Not available"/>
    <s v="OK"/>
    <m/>
    <m/>
    <m/>
    <m/>
    <d v="2023-08-05T00:00:00"/>
    <m/>
    <d v="2023-11-14T00:00:00"/>
    <s v="14-09-24"/>
    <d v="2024-09-13T00:00:00"/>
    <d v="2023-11-14T00:00:00"/>
    <s v="Checked"/>
    <d v="2024-04-17T00:00:00"/>
    <s v="13-09-24"/>
    <d v="2025-03-06T00:00:00"/>
    <m/>
  </r>
  <r>
    <n v="79"/>
    <n v="37232"/>
    <s v="HLC-A"/>
    <s v="STB5L0540HLCD"/>
    <x v="5"/>
    <s v="ECR"/>
    <s v="KOL"/>
    <d v="2019-08-26T00:00:00"/>
    <n v="540"/>
    <s v="Nashik"/>
    <s v="U7D2S04V.005"/>
    <d v="2021-08-05T00:00:00"/>
    <s v="UAT2Y440.012"/>
    <d v="2021-08-05T00:00:00"/>
    <d v="2023-06-23T00:00:00"/>
    <m/>
    <s v=" Short link  Metal "/>
    <s v="Already Done"/>
    <s v="Not done"/>
    <d v="2020-10-03T00:00:00"/>
    <d v="2020-10-03T00:00:00"/>
    <s v="Done"/>
    <s v="Done"/>
    <s v="Not available"/>
    <s v="OK"/>
    <m/>
    <m/>
    <s v="EL21D01-010"/>
    <m/>
    <d v="2022-10-21T00:00:00"/>
    <m/>
    <m/>
    <s v="25-07-24"/>
    <d v="2023-10-10T00:00:00"/>
    <d v="2023-12-29T00:00:00"/>
    <s v="Checked"/>
    <s v="25-07-24"/>
    <m/>
    <s v="28.10.24"/>
    <m/>
  </r>
  <r>
    <n v="80"/>
    <n v="37232"/>
    <s v="HLC-B"/>
    <s v="STB6L0547HLCD"/>
    <x v="5"/>
    <s v="ECR"/>
    <s v="KOL"/>
    <d v="2019-08-26T00:00:00"/>
    <n v="547"/>
    <s v="Nashik"/>
    <s v="U7D2S04V.005"/>
    <d v="2021-08-05T00:00:00"/>
    <s v="UAT2Y440.012"/>
    <d v="2021-08-05T00:00:00"/>
    <d v="2023-06-23T00:00:00"/>
    <m/>
    <s v="Already Done"/>
    <s v="Already Done"/>
    <s v="Not done"/>
    <d v="2020-10-03T00:00:00"/>
    <d v="2020-10-03T00:00:00"/>
    <s v="Done"/>
    <s v="Done"/>
    <s v="Not available"/>
    <s v="OK"/>
    <m/>
    <m/>
    <s v="EL21D01-006"/>
    <m/>
    <d v="2022-10-21T00:00:00"/>
    <m/>
    <m/>
    <s v="25-07-24"/>
    <d v="2023-10-10T00:00:00"/>
    <d v="2023-12-29T00:00:00"/>
    <s v="Checked"/>
    <s v="25-07-24"/>
    <m/>
    <s v="28.10.24"/>
    <m/>
  </r>
  <r>
    <n v="81"/>
    <n v="37233"/>
    <s v="HLC-A"/>
    <s v="STB6L0546HLCD"/>
    <x v="5"/>
    <s v="ECR"/>
    <s v="KOL"/>
    <d v="2019-08-26T00:00:00"/>
    <n v="546"/>
    <s v="Nashik"/>
    <s v="U7D2S04V.005"/>
    <d v="2021-05-09T00:00:00"/>
    <s v="T6"/>
    <m/>
    <d v="2023-08-09T00:00:00"/>
    <m/>
    <s v=" Short link  Metal "/>
    <s v="Already Done"/>
    <d v="2021-05-09T00:00:00"/>
    <d v="2020-09-27T00:00:00"/>
    <d v="2020-09-27T00:00:00"/>
    <s v="Done"/>
    <s v="Done"/>
    <s v="Not available"/>
    <s v="OK"/>
    <m/>
    <m/>
    <m/>
    <m/>
    <d v="2022-11-09T00:00:00"/>
    <m/>
    <d v="2023-12-01T00:00:00"/>
    <d v="2024-11-12T00:00:00"/>
    <d v="2024-01-21T00:00:00"/>
    <d v="2023-12-01T00:00:00"/>
    <s v="Checked"/>
    <d v="2024-06-29T00:00:00"/>
    <m/>
    <d v="2024-12-11T00:00:00"/>
    <m/>
  </r>
  <r>
    <n v="82"/>
    <n v="37233"/>
    <s v="HLC-B"/>
    <s v="STB6L0550HLCD"/>
    <x v="5"/>
    <s v="ECR"/>
    <s v="KOL"/>
    <d v="2019-08-26T00:00:00"/>
    <n v="550"/>
    <s v="Nashik"/>
    <s v="U7D2S04V.005"/>
    <d v="2021-05-09T00:00:00"/>
    <s v="UAT2Y440.012"/>
    <d v="2021-03-18T00:00:00"/>
    <d v="2023-08-09T00:00:00"/>
    <m/>
    <s v=" Short link  Metal "/>
    <s v="Already Done"/>
    <d v="2021-05-09T00:00:00"/>
    <d v="2020-09-27T00:00:00"/>
    <d v="2020-09-27T00:00:00"/>
    <s v="Done"/>
    <s v="Done"/>
    <s v="Not available"/>
    <s v="OK"/>
    <m/>
    <m/>
    <m/>
    <m/>
    <d v="2022-11-09T00:00:00"/>
    <m/>
    <d v="2023-12-01T00:00:00"/>
    <d v="2024-11-12T00:00:00"/>
    <d v="2024-01-21T00:00:00"/>
    <d v="2023-12-01T00:00:00"/>
    <s v="Checked"/>
    <d v="2024-06-29T00:00:00"/>
    <m/>
    <d v="2024-12-11T00:00:00"/>
    <m/>
  </r>
  <r>
    <n v="83"/>
    <n v="37234"/>
    <s v="HLC-A"/>
    <s v="STB6L0559HLCD"/>
    <x v="5"/>
    <s v="ECR"/>
    <s v="KOL"/>
    <d v="2019-08-30T00:00:00"/>
    <n v="559"/>
    <s v="Nashik"/>
    <s v="U7D2S04V.005"/>
    <d v="2021-05-14T00:00:00"/>
    <s v="UAT2Y440.012"/>
    <d v="2021-05-14T00:00:00"/>
    <d v="2023-09-26T00:00:00"/>
    <m/>
    <s v="Already Done"/>
    <s v="Already Done"/>
    <s v="Not done"/>
    <s v="Already Done"/>
    <s v="Already Done"/>
    <s v="Done"/>
    <s v="Done"/>
    <s v="Not available"/>
    <s v="OK"/>
    <m/>
    <m/>
    <m/>
    <m/>
    <d v="2023-09-26T00:00:00"/>
    <m/>
    <d v="2023-09-26T00:00:00"/>
    <d v="2024-07-09T00:00:00"/>
    <d v="2024-07-08T00:00:00"/>
    <d v="2024-08-07T00:00:00"/>
    <s v="Checked"/>
    <m/>
    <m/>
    <m/>
    <m/>
  </r>
  <r>
    <n v="84"/>
    <n v="37234"/>
    <s v="HLC-B"/>
    <s v="STB6L0561HLCD"/>
    <x v="5"/>
    <s v="ECR"/>
    <s v="KOL"/>
    <d v="2019-08-30T00:00:00"/>
    <n v="561"/>
    <s v="Nashik"/>
    <s v="U7D2S04V.005"/>
    <d v="2021-05-14T00:00:00"/>
    <s v="UAT2Y440.012"/>
    <d v="2021-05-14T00:00:00"/>
    <d v="2023-09-26T00:00:00"/>
    <m/>
    <s v="Already Done"/>
    <s v="Already Done"/>
    <s v="Not done"/>
    <s v="Already Done"/>
    <s v="Already Done"/>
    <s v="Done"/>
    <s v="Done"/>
    <s v="Not available"/>
    <s v="OK"/>
    <m/>
    <m/>
    <m/>
    <m/>
    <d v="2023-09-26T00:00:00"/>
    <m/>
    <d v="2023-09-26T00:00:00"/>
    <d v="2024-07-09T00:00:00"/>
    <d v="2024-07-08T00:00:00"/>
    <d v="2024-08-07T00:00:00"/>
    <s v="Checked"/>
    <m/>
    <m/>
    <m/>
    <m/>
  </r>
  <r>
    <n v="85"/>
    <n v="37278"/>
    <s v="HLC-A"/>
    <s v="STB7L0601HLCD"/>
    <x v="5"/>
    <s v="ECR"/>
    <s v="KOL"/>
    <d v="2019-11-26T00:00:00"/>
    <n v="601"/>
    <s v="Nashik"/>
    <s v="U7D2S04V.005"/>
    <d v="2021-06-19T00:00:00"/>
    <s v="UAT2Y440.012"/>
    <d v="2021-02-25T00:00:00"/>
    <d v="2023-09-12T00:00:00"/>
    <m/>
    <s v="Already Done"/>
    <s v="Already Done"/>
    <s v="Not done"/>
    <s v="Already Done"/>
    <s v="Already Done"/>
    <s v="Done"/>
    <d v="2021-06-21T00:00:00"/>
    <s v="Not available"/>
    <s v="OK"/>
    <m/>
    <m/>
    <m/>
    <m/>
    <d v="2023-12-13T00:00:00"/>
    <m/>
    <d v="2023-12-13T00:00:00"/>
    <s v="30-09-24"/>
    <d v="2024-09-30T00:00:00"/>
    <d v="2023-12-13T00:00:00"/>
    <s v="Checked"/>
    <m/>
    <d v="2024-02-09T00:00:00"/>
    <s v="19.06.24"/>
    <m/>
  </r>
  <r>
    <n v="86"/>
    <n v="37278"/>
    <s v="HLC-B"/>
    <s v="STB7L0602HLCD"/>
    <x v="5"/>
    <s v="ECR"/>
    <s v="KOL"/>
    <d v="2019-11-26T00:00:00"/>
    <n v="602"/>
    <s v="Nashik"/>
    <s v="U7D2S04V.005"/>
    <d v="2021-06-19T00:00:00"/>
    <s v="UAT2Y440.012"/>
    <d v="2021-02-25T00:00:00"/>
    <d v="2023-09-12T00:00:00"/>
    <m/>
    <s v="Already Done"/>
    <s v="Already Done"/>
    <s v="Not done"/>
    <s v="Already Done"/>
    <s v="Already Done"/>
    <s v="Done"/>
    <d v="2021-06-21T00:00:00"/>
    <s v="Not available"/>
    <s v="OK"/>
    <m/>
    <m/>
    <m/>
    <m/>
    <d v="2023-12-13T00:00:00"/>
    <m/>
    <d v="2023-12-13T00:00:00"/>
    <s v="30-09-24"/>
    <d v="2024-09-30T00:00:00"/>
    <d v="2023-12-13T00:00:00"/>
    <s v="Checked"/>
    <m/>
    <d v="2024-02-09T00:00:00"/>
    <s v="19.06.24"/>
    <m/>
  </r>
  <r>
    <n v="87"/>
    <n v="37280"/>
    <s v="HLC-A"/>
    <s v="STB7L0639HLCD"/>
    <x v="5"/>
    <s v="ECR"/>
    <s v="KOL"/>
    <d v="2019-11-27T00:00:00"/>
    <n v="639"/>
    <s v="Nashik"/>
    <s v="U7D2S04V.005"/>
    <d v="2021-08-12T00:00:00"/>
    <m/>
    <m/>
    <d v="2023-07-18T00:00:00"/>
    <m/>
    <s v="Already Done"/>
    <s v="Already Done"/>
    <s v="Not done"/>
    <s v="Already Done"/>
    <s v="Already Done"/>
    <s v="Done"/>
    <d v="2023-12-06T00:00:00"/>
    <s v="Not available"/>
    <s v="OK"/>
    <m/>
    <m/>
    <m/>
    <m/>
    <d v="2023-12-06T00:00:00"/>
    <m/>
    <d v="2023-12-06T00:00:00"/>
    <d v="2024-07-02T00:00:00"/>
    <d v="2024-03-16T00:00:00"/>
    <d v="2023-12-06T00:00:00"/>
    <s v="Checked"/>
    <d v="2024-12-08T00:00:00"/>
    <m/>
    <s v="14.06.25"/>
    <m/>
  </r>
  <r>
    <n v="88"/>
    <n v="37280"/>
    <s v="HLC-B"/>
    <s v="STB7L0638HLCD"/>
    <x v="5"/>
    <s v="ECR"/>
    <s v="KOL"/>
    <d v="2019-11-27T00:00:00"/>
    <n v="638"/>
    <s v="Nashik"/>
    <s v="U7D2S04V.005"/>
    <d v="2021-08-12T00:00:00"/>
    <s v="UAT2Y440.012"/>
    <d v="2021-07-12T00:00:00"/>
    <d v="2023-07-18T00:00:00"/>
    <m/>
    <s v="Already Done"/>
    <s v="Already Done"/>
    <s v="Not done"/>
    <s v="Already Done"/>
    <s v="Already Done"/>
    <s v="Done"/>
    <d v="2023-12-06T00:00:00"/>
    <s v="Not available"/>
    <s v="OK"/>
    <m/>
    <m/>
    <m/>
    <m/>
    <d v="2023-12-06T00:00:00"/>
    <m/>
    <d v="2023-12-06T00:00:00"/>
    <d v="2024-07-02T00:00:00"/>
    <d v="2024-03-16T00:00:00"/>
    <d v="2023-12-06T00:00:00"/>
    <s v="Checked"/>
    <d v="2024-12-08T00:00:00"/>
    <m/>
    <s v="14.06.25"/>
    <m/>
  </r>
  <r>
    <n v="89"/>
    <n v="37305"/>
    <s v="HLC-A"/>
    <s v="STB7L0605HLCD"/>
    <x v="5"/>
    <s v="ECR"/>
    <s v="KOL"/>
    <d v="2019-12-24T00:00:00"/>
    <n v="605"/>
    <s v="Nashik"/>
    <s v="U7D2S04V.005"/>
    <d v="2021-05-15T00:00:00"/>
    <s v="UAT2Y440.012"/>
    <d v="2021-03-05T00:00:00"/>
    <m/>
    <m/>
    <s v="Already Done"/>
    <s v="Already Done"/>
    <d v="2021-02-09T00:00:00"/>
    <s v="Already Done"/>
    <s v="Already Done"/>
    <s v="Done"/>
    <d v="2021-06-18T00:00:00"/>
    <s v="Not available"/>
    <s v="OK"/>
    <m/>
    <m/>
    <m/>
    <m/>
    <d v="2023-06-06T00:00:00"/>
    <m/>
    <d v="2023-12-15T00:00:00"/>
    <d v="2024-07-02T00:00:00"/>
    <d v="2024-07-02T00:00:00"/>
    <d v="2023-12-15T00:00:00"/>
    <s v="Checked"/>
    <s v="25-03-25"/>
    <m/>
    <s v="25-03-25"/>
    <m/>
  </r>
  <r>
    <n v="90"/>
    <n v="37305"/>
    <s v="HLC-B"/>
    <s v="STB6L0584HLCD"/>
    <x v="5"/>
    <s v="ECR"/>
    <s v="KOL"/>
    <d v="2019-12-24T00:00:00"/>
    <n v="584"/>
    <s v="Nashik"/>
    <s v="U7D2S04V.005"/>
    <d v="2021-05-15T00:00:00"/>
    <s v="UAT2Y440.012"/>
    <d v="2021-03-05T00:00:00"/>
    <m/>
    <m/>
    <s v="Already Done"/>
    <s v="Already Done"/>
    <d v="2021-06-18T00:00:00"/>
    <s v="Already Done"/>
    <s v="Already Done"/>
    <s v="Done"/>
    <d v="2021-06-18T00:00:00"/>
    <s v="Not available"/>
    <s v="OK"/>
    <m/>
    <m/>
    <m/>
    <m/>
    <d v="2023-06-06T00:00:00"/>
    <m/>
    <d v="2023-12-15T00:00:00"/>
    <d v="2024-07-02T00:00:00"/>
    <d v="2024-07-02T00:00:00"/>
    <d v="2023-12-15T00:00:00"/>
    <s v="Checked"/>
    <s v="25-03-25"/>
    <m/>
    <s v="25-03-25"/>
    <m/>
  </r>
  <r>
    <n v="91"/>
    <n v="37349"/>
    <s v="HLC-A"/>
    <s v="STB7L0603HLCD"/>
    <x v="5"/>
    <s v="ECR"/>
    <s v="KOL"/>
    <d v="2020-03-14T00:00:00"/>
    <n v="603"/>
    <s v="Nashik"/>
    <s v="U7D2S04V.005"/>
    <m/>
    <m/>
    <m/>
    <m/>
    <m/>
    <s v=" Short link  Metal "/>
    <s v="Done"/>
    <s v="Done"/>
    <s v="Already Done"/>
    <s v="Already Done"/>
    <s v="Done"/>
    <s v="Done"/>
    <s v="Both side not available"/>
    <s v="OK"/>
    <m/>
    <m/>
    <m/>
    <m/>
    <s v="Done"/>
    <m/>
    <d v="2023-10-26T00:00:00"/>
    <d v="2024-07-12T00:00:00"/>
    <d v="2024-07-13T00:00:00"/>
    <d v="2023-10-26T00:00:00"/>
    <s v="Checked"/>
    <s v="22-03-2025"/>
    <m/>
    <s v="18.06.24"/>
    <m/>
  </r>
  <r>
    <n v="92"/>
    <n v="37349"/>
    <s v="HLC-B"/>
    <s v="STB7L0602HLCD"/>
    <x v="5"/>
    <s v="ECR"/>
    <s v="KOL"/>
    <d v="2020-03-14T00:00:00"/>
    <n v="602"/>
    <s v="Nashik"/>
    <s v="U7D2S04V.005"/>
    <m/>
    <m/>
    <m/>
    <m/>
    <m/>
    <s v=" Short link  Metal "/>
    <s v="Done"/>
    <s v="Done"/>
    <s v="Already Done"/>
    <s v="Already Done"/>
    <s v="Done"/>
    <s v="Done"/>
    <s v="Both side not available"/>
    <s v="OK"/>
    <m/>
    <m/>
    <m/>
    <m/>
    <s v="Done"/>
    <m/>
    <d v="2023-10-26T00:00:00"/>
    <d v="2024-07-12T00:00:00"/>
    <d v="2024-07-13T00:00:00"/>
    <d v="2023-10-26T00:00:00"/>
    <s v="Checked"/>
    <s v="22-03-2025"/>
    <m/>
    <s v="18.06.24"/>
    <m/>
  </r>
  <r>
    <n v="93"/>
    <n v="37351"/>
    <s v="HLC-A"/>
    <s v="STBDL0739HLCD"/>
    <x v="5"/>
    <s v="ECR"/>
    <s v="KOL"/>
    <d v="2020-03-21T00:00:00"/>
    <n v="739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available"/>
    <s v="OK"/>
    <m/>
    <m/>
    <m/>
    <m/>
    <d v="2022-11-24T00:00:00"/>
    <m/>
    <m/>
    <d v="2024-08-03T00:00:00"/>
    <d v="2024-08-03T00:00:00"/>
    <d v="2024-02-08T00:00:00"/>
    <s v="Checked"/>
    <d v="2024-04-24T00:00:00"/>
    <m/>
    <d v="2024-12-05T00:00:00"/>
    <m/>
  </r>
  <r>
    <n v="94"/>
    <n v="37351"/>
    <s v="HLC-B"/>
    <s v="STBDL0738HLCD"/>
    <x v="5"/>
    <s v="ECR"/>
    <s v="KOL"/>
    <d v="2020-03-21T00:00:00"/>
    <n v="738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available"/>
    <s v="OK"/>
    <m/>
    <m/>
    <m/>
    <m/>
    <d v="2022-11-24T00:00:00"/>
    <m/>
    <m/>
    <d v="2024-08-03T00:00:00"/>
    <d v="2024-08-03T00:00:00"/>
    <d v="2024-02-08T00:00:00"/>
    <s v="Checked"/>
    <d v="2024-04-24T00:00:00"/>
    <m/>
    <d v="2024-12-05T00:00:00"/>
    <m/>
  </r>
  <r>
    <n v="95"/>
    <n v="37374"/>
    <s v="HLC-A"/>
    <s v="STBDL0732HLCD"/>
    <x v="5"/>
    <s v="ECR"/>
    <s v="KOL"/>
    <d v="2020-06-16T00:00:00"/>
    <n v="732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not available"/>
    <s v="OK"/>
    <m/>
    <m/>
    <m/>
    <m/>
    <d v="2023-02-27T00:00:00"/>
    <m/>
    <d v="2023-12-14T00:00:00"/>
    <d v="2024-07-11T00:00:00"/>
    <d v="2023-02-23T00:00:00"/>
    <d v="2023-12-14T00:00:00"/>
    <s v="Checked"/>
    <d v="2025-02-04T00:00:00"/>
    <m/>
    <d v="2025-04-02T00:00:00"/>
    <m/>
  </r>
  <r>
    <n v="96"/>
    <n v="37374"/>
    <s v="HLC-B"/>
    <s v="STBDL0748HLCD"/>
    <x v="5"/>
    <s v="ECR"/>
    <s v="KOL"/>
    <d v="2020-06-16T00:00:00"/>
    <n v="748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not available"/>
    <s v="OK"/>
    <m/>
    <m/>
    <m/>
    <m/>
    <d v="2023-02-27T00:00:00"/>
    <m/>
    <d v="2023-12-14T00:00:00"/>
    <d v="2024-07-11T00:00:00"/>
    <d v="2023-02-23T00:00:00"/>
    <d v="2023-12-14T00:00:00"/>
    <s v="Checked"/>
    <d v="2025-02-04T00:00:00"/>
    <m/>
    <d v="2025-04-02T00:00:00"/>
    <m/>
  </r>
  <r>
    <n v="97"/>
    <n v="37422"/>
    <s v="HLC-A"/>
    <s v="STB5M0806HLCD"/>
    <x v="5"/>
    <s v="ECR"/>
    <s v="KOL"/>
    <d v="2020-08-18T00:00:00"/>
    <n v="806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not available"/>
    <s v="OK"/>
    <m/>
    <m/>
    <s v="EL19C01 015 -R"/>
    <m/>
    <d v="2022-11-08T00:00:00"/>
    <m/>
    <d v="2023-12-04T00:00:00"/>
    <d v="2024-06-29T00:00:00"/>
    <d v="2024-02-21T00:00:00"/>
    <d v="2023-12-04T00:00:00"/>
    <s v="Checked"/>
    <m/>
    <m/>
    <s v="29-06-24"/>
    <m/>
  </r>
  <r>
    <n v="98"/>
    <n v="37422"/>
    <s v="HLC-B"/>
    <s v="STB5M0830HLCD"/>
    <x v="5"/>
    <s v="ECR"/>
    <s v="KOL"/>
    <d v="2020-08-18T00:00:00"/>
    <n v="830"/>
    <s v="Nashik"/>
    <s v="U7D2S04V.005"/>
    <m/>
    <m/>
    <m/>
    <m/>
    <m/>
    <s v=" Short link  Metal "/>
    <s v="Already Done"/>
    <s v="Done"/>
    <s v="Already Done"/>
    <s v="Already Done"/>
    <s v="Done"/>
    <s v="Done"/>
    <s v="Both side not available"/>
    <s v="OK"/>
    <m/>
    <m/>
    <m/>
    <m/>
    <d v="2022-11-08T00:00:00"/>
    <m/>
    <d v="2023-12-04T00:00:00"/>
    <d v="2024-06-29T00:00:00"/>
    <d v="2024-02-21T00:00:00"/>
    <d v="2023-12-04T00:00:00"/>
    <s v="Checked"/>
    <m/>
    <m/>
    <s v="29-06-24"/>
    <m/>
  </r>
  <r>
    <n v="99"/>
    <n v="37530"/>
    <s v="HLC-A"/>
    <s v="STB9M0982HLCD"/>
    <x v="5"/>
    <s v="ECR"/>
    <s v="KOL"/>
    <d v="2021-02-06T00:00:00"/>
    <n v="982"/>
    <s v="Nashik"/>
    <s v="U7D2S04V.005"/>
    <s v="Already Done"/>
    <s v="UAT2Y440.012"/>
    <d v="2021-03-15T00:00:00"/>
    <d v="2023-05-19T00:00:00"/>
    <m/>
    <s v="Already Done"/>
    <s v="Already Done"/>
    <s v="Not done"/>
    <d v="2021-01-28T00:00:00"/>
    <d v="2021-01-28T00:00:00"/>
    <s v="Done"/>
    <d v="2020-05-19T00:00:00"/>
    <s v="Both side available"/>
    <s v="OK"/>
    <m/>
    <m/>
    <m/>
    <m/>
    <d v="2023-09-26T00:00:00"/>
    <m/>
    <d v="2023-09-26T00:00:00"/>
    <d v="2024-08-05T00:00:00"/>
    <d v="2024-08-05T00:00:00"/>
    <d v="2024-10-01T00:00:00"/>
    <s v="Checked"/>
    <s v="28-06-2025"/>
    <s v="28-06-2025"/>
    <d v="2024-12-11T00:00:00"/>
    <m/>
  </r>
  <r>
    <n v="100"/>
    <n v="37530"/>
    <s v="HLC-B"/>
    <s v="STBOM1000HLCD"/>
    <x v="5"/>
    <s v="ECR"/>
    <s v="KOL"/>
    <d v="2021-02-06T00:00:00"/>
    <n v="1000"/>
    <s v="Nashik"/>
    <s v="U7D2S04V.005"/>
    <s v="Already Done"/>
    <s v="UAT2Y440.012"/>
    <d v="2021-03-15T00:00:00"/>
    <d v="2023-05-19T00:00:00"/>
    <m/>
    <s v="Already Done"/>
    <s v="Already Done"/>
    <s v="Not done"/>
    <d v="2021-01-28T00:00:00"/>
    <d v="2021-01-28T00:00:00"/>
    <s v="Done"/>
    <d v="2021-05-19T00:00:00"/>
    <s v="Both side available"/>
    <s v="OK"/>
    <m/>
    <m/>
    <m/>
    <m/>
    <d v="2023-09-26T00:00:00"/>
    <m/>
    <d v="2023-09-26T00:00:00"/>
    <d v="2024-08-05T00:00:00"/>
    <d v="2024-08-05T00:00:00"/>
    <d v="2024-10-01T00:00:00"/>
    <s v="Checked"/>
    <s v="28-06-2025"/>
    <s v="28-06-2025"/>
    <d v="2024-12-11T00:00:00"/>
    <m/>
  </r>
  <r>
    <n v="101"/>
    <n v="37532"/>
    <s v="HLC-A"/>
    <s v="STB9M0983HLCD"/>
    <x v="5"/>
    <s v="ECR"/>
    <s v="KOL"/>
    <d v="2021-02-03T00:00:00"/>
    <n v="983"/>
    <s v="Nashik"/>
    <s v="U7D2S04V.005"/>
    <s v="Already Done"/>
    <s v="UAT2Y440.012"/>
    <d v="2021-05-09T00:00:00"/>
    <d v="2023-08-13T00:00:00"/>
    <m/>
    <s v="Already Done"/>
    <s v="Already Done"/>
    <s v="Not done"/>
    <d v="2021-01-30T00:00:00"/>
    <d v="2021-01-30T00:00:00"/>
    <s v="Done"/>
    <d v="2021-06-21T00:00:00"/>
    <s v="Both side available"/>
    <s v="OK"/>
    <m/>
    <m/>
    <m/>
    <m/>
    <d v="2023-09-08T00:00:00"/>
    <m/>
    <d v="2023-12-15T00:00:00"/>
    <s v="31-07-24"/>
    <d v="2024-07-31T00:00:00"/>
    <d v="2023-12-15T00:00:00"/>
    <s v="Checked"/>
    <d v="2025-05-06T00:00:00"/>
    <m/>
    <d v="2024-06-10T00:00:00"/>
    <m/>
  </r>
  <r>
    <n v="102"/>
    <n v="37532"/>
    <s v="HLC-B"/>
    <s v="STB8M0956HLCD"/>
    <x v="5"/>
    <s v="ECR"/>
    <s v="KOL"/>
    <d v="2021-02-03T00:00:00"/>
    <n v="956"/>
    <s v="Nashik"/>
    <s v="U7D2S04V.005"/>
    <s v="Already Done"/>
    <s v="UAT2Y440.012"/>
    <d v="2021-05-09T00:00:00"/>
    <d v="2023-08-13T00:00:00"/>
    <m/>
    <s v="Already Done"/>
    <s v="Already Done"/>
    <s v="Not done"/>
    <d v="2021-01-30T00:00:00"/>
    <d v="2021-01-30T00:00:00"/>
    <s v="Done"/>
    <d v="2021-06-21T00:00:00"/>
    <s v="Both side available"/>
    <s v="OK"/>
    <m/>
    <m/>
    <m/>
    <m/>
    <d v="2023-09-08T00:00:00"/>
    <m/>
    <d v="2023-12-15T00:00:00"/>
    <s v="31-07-24"/>
    <d v="2024-07-31T00:00:00"/>
    <d v="2023-12-15T00:00:00"/>
    <s v="Checked"/>
    <d v="2025-05-06T00:00:00"/>
    <m/>
    <d v="2024-06-10T00:00:00"/>
    <m/>
  </r>
  <r>
    <n v="103"/>
    <n v="37576"/>
    <s v="HLC-A"/>
    <s v="STBOM1014HLCD"/>
    <x v="5"/>
    <s v="ECR"/>
    <s v="KOL"/>
    <d v="2021-04-07T00:00:00"/>
    <n v="1014"/>
    <s v="Nashik"/>
    <s v="U7D2S04V.005"/>
    <s v="Already Done"/>
    <s v="UAT2Y440.012"/>
    <d v="2021-05-29T00:00:00"/>
    <m/>
    <m/>
    <s v="Already Done"/>
    <d v="2020-10-05T00:00:00"/>
    <s v="Already Done"/>
    <s v="Already Done"/>
    <d v="2021-05-29T00:00:00"/>
    <s v="Done"/>
    <d v="2021-05-29T00:00:00"/>
    <s v="Both side available"/>
    <s v="OK"/>
    <m/>
    <m/>
    <m/>
    <m/>
    <d v="2023-02-01T00:00:00"/>
    <m/>
    <m/>
    <d v="2024-08-19T00:00:00"/>
    <d v="2024-02-26T00:00:00"/>
    <d v="2024-02-26T00:00:00"/>
    <s v="Checked"/>
    <s v="29-03-2025"/>
    <m/>
    <s v="29-03-2025"/>
    <m/>
  </r>
  <r>
    <n v="104"/>
    <n v="37576"/>
    <s v="HLC-B"/>
    <s v="STBOM1015HLCD"/>
    <x v="5"/>
    <s v="ECR"/>
    <s v="KOL"/>
    <d v="2021-04-07T00:00:00"/>
    <n v="1015"/>
    <s v="Nashik"/>
    <s v="U7D2S04V.005"/>
    <s v="Already Done"/>
    <s v="UAT2Y440.012"/>
    <d v="2021-05-29T00:00:00"/>
    <m/>
    <m/>
    <s v="Already Done"/>
    <d v="2020-10-05T00:00:00"/>
    <s v="Already Done"/>
    <s v="Already Done"/>
    <d v="2021-05-29T00:00:00"/>
    <s v="Done"/>
    <d v="2021-05-29T00:00:00"/>
    <s v="Both side available"/>
    <s v="OK"/>
    <m/>
    <m/>
    <m/>
    <m/>
    <d v="2023-02-01T00:00:00"/>
    <m/>
    <m/>
    <d v="2024-08-19T00:00:00"/>
    <d v="2024-02-26T00:00:00"/>
    <d v="2024-02-26T00:00:00"/>
    <s v="Checked"/>
    <s v="29-03-2025"/>
    <m/>
    <s v="29-03-2025"/>
    <m/>
  </r>
  <r>
    <n v="105"/>
    <n v="37593"/>
    <s v="HLC-B"/>
    <s v="STB7M0886HLCD"/>
    <x v="5"/>
    <s v="ECR"/>
    <s v="KOL"/>
    <d v="2021-06-17T00:00:00"/>
    <n v="886"/>
    <s v="Nashik"/>
    <s v="U7D2S04V.005"/>
    <d v="2021-06-25T00:00:00"/>
    <s v="UAT2Y440.012"/>
    <d v="2021-06-25T00:00:00"/>
    <m/>
    <m/>
    <s v="Already Done"/>
    <d v="2020-10-09T00:00:00"/>
    <s v="Not done"/>
    <s v="Already Done"/>
    <d v="2021-06-25T00:00:00"/>
    <s v="Done"/>
    <d v="2021-06-25T00:00:00"/>
    <s v="Both side available"/>
    <s v="OK"/>
    <m/>
    <m/>
    <s v="EL19J04026 - R"/>
    <m/>
    <d v="2023-08-22T00:00:00"/>
    <m/>
    <m/>
    <s v="24-09-24"/>
    <d v="2024-03-29T00:00:00"/>
    <d v="2023-08-22T00:00:00"/>
    <s v="Checked"/>
    <m/>
    <m/>
    <s v="28.10.24"/>
    <m/>
  </r>
  <r>
    <n v="106"/>
    <n v="37593"/>
    <s v="HLC-A"/>
    <s v="STB7M0887HLCD"/>
    <x v="5"/>
    <s v="ECR"/>
    <s v="KOL"/>
    <d v="2021-06-17T00:00:00"/>
    <n v="887"/>
    <s v="Nashik"/>
    <s v="U7D2S04V.005"/>
    <d v="2021-06-25T00:00:00"/>
    <s v="UAT2Y440.012"/>
    <d v="2021-06-25T00:00:00"/>
    <m/>
    <m/>
    <s v="Already Done"/>
    <d v="2020-10-09T00:00:00"/>
    <s v="Not done"/>
    <s v="Already Done"/>
    <d v="2021-06-25T00:00:00"/>
    <s v="Done"/>
    <d v="2021-06-25T00:00:00"/>
    <s v="Both side available"/>
    <s v="OK"/>
    <m/>
    <m/>
    <m/>
    <m/>
    <d v="2023-08-22T00:00:00"/>
    <m/>
    <m/>
    <s v="24-09-24"/>
    <d v="2024-03-29T00:00:00"/>
    <d v="2023-08-22T00:00:00"/>
    <s v="Checked"/>
    <m/>
    <m/>
    <s v="28.10.24"/>
    <m/>
  </r>
  <r>
    <n v="107"/>
    <n v="39088"/>
    <s v="HLC-A"/>
    <s v="STB5L0521HLCD"/>
    <x v="5"/>
    <s v="ECR"/>
    <s v="KOL"/>
    <d v="2019-08-23T00:00:00"/>
    <n v="521"/>
    <s v="Nashik"/>
    <s v="U7D2S04V.005"/>
    <d v="2021-05-18T00:00:00"/>
    <s v="UAT2Y440.012"/>
    <d v="2021-05-18T00:00:00"/>
    <d v="2023-05-19T00:00:00"/>
    <m/>
    <s v=" Short link  Metal "/>
    <s v="Already Done"/>
    <s v="Not done"/>
    <s v="Already Done"/>
    <s v="Already Done"/>
    <s v="Done"/>
    <d v="2021-05-18T00:00:00"/>
    <s v="Not available"/>
    <s v="OK"/>
    <m/>
    <m/>
    <m/>
    <m/>
    <d v="2023-02-20T00:00:00"/>
    <m/>
    <m/>
    <d v="2024-09-06T00:00:00"/>
    <d v="2024-09-06T00:00:00"/>
    <d v="2023-12-19T00:00:00"/>
    <s v="Checked"/>
    <s v="16-07-24"/>
    <d v="2024-04-09T00:00:00"/>
    <s v="25-10-24"/>
    <m/>
  </r>
  <r>
    <n v="108"/>
    <n v="39088"/>
    <s v="HLC-B"/>
    <s v="STB5L0524HLCD"/>
    <x v="5"/>
    <s v="ECR"/>
    <s v="KOL"/>
    <d v="2019-08-23T00:00:00"/>
    <n v="524"/>
    <s v="Nashik"/>
    <s v="U7D2S04V.005"/>
    <d v="2021-05-18T00:00:00"/>
    <m/>
    <d v="2021-05-18T00:00:00"/>
    <d v="2023-05-19T00:00:00"/>
    <m/>
    <s v=" Short link  Metal "/>
    <s v="Already Done"/>
    <s v="Not done"/>
    <s v="Already Done"/>
    <s v="Already Done"/>
    <s v="Done"/>
    <d v="2021-05-18T00:00:00"/>
    <s v="Not available"/>
    <s v="OK"/>
    <m/>
    <m/>
    <m/>
    <m/>
    <d v="2023-02-20T00:00:00"/>
    <m/>
    <m/>
    <d v="2024-09-06T00:00:00"/>
    <d v="2024-09-06T00:00:00"/>
    <d v="2023-12-19T00:00:00"/>
    <s v="Checked"/>
    <s v="17-07-24"/>
    <d v="2024-04-09T00:00:00"/>
    <s v="25-10-24"/>
    <m/>
  </r>
  <r>
    <n v="109"/>
    <n v="39091"/>
    <s v="HLC-A"/>
    <s v="STB4L0481HLCD"/>
    <x v="5"/>
    <s v="ECR"/>
    <s v="KOL"/>
    <d v="2019-09-02T00:00:00"/>
    <n v="481"/>
    <s v="Nashik"/>
    <s v="U7D2S04V.005"/>
    <d v="2021-05-20T00:00:00"/>
    <s v="UAT2Y440.012"/>
    <d v="2021-05-01T00:00:00"/>
    <d v="2023-05-01T00:00:00"/>
    <m/>
    <s v=" Short link  Metal "/>
    <s v="Already Done"/>
    <s v="Not done"/>
    <s v="Already Done"/>
    <s v="Already Done"/>
    <s v="Done"/>
    <d v="2021-05-20T00:00:00"/>
    <s v="Not available"/>
    <s v="OK"/>
    <m/>
    <m/>
    <m/>
    <m/>
    <d v="2023-07-18T00:00:00"/>
    <m/>
    <d v="2023-07-18T00:00:00"/>
    <d v="2024-06-21T00:00:00"/>
    <d v="2024-01-24T00:00:00"/>
    <s v="21-06-24"/>
    <s v="Checked"/>
    <s v="20.04.24"/>
    <m/>
    <s v="21-06-24"/>
    <m/>
  </r>
  <r>
    <n v="110"/>
    <n v="39091"/>
    <s v="HLC-B"/>
    <s v="STB5L0523HLCD"/>
    <x v="5"/>
    <s v="ECR"/>
    <s v="KOL"/>
    <d v="2019-09-02T00:00:00"/>
    <n v="523"/>
    <s v="Nashik"/>
    <s v="U7D2S04V.005"/>
    <d v="2021-05-20T00:00:00"/>
    <s v="UAT2Y440.012"/>
    <d v="2021-05-01T00:00:00"/>
    <d v="2023-05-01T00:00:00"/>
    <m/>
    <s v=" Short link  Metal "/>
    <s v="Already Done"/>
    <s v="Not done"/>
    <s v="Already Done"/>
    <s v="Already Done"/>
    <s v="Done"/>
    <d v="2021-05-20T00:00:00"/>
    <s v="Not available"/>
    <s v="OK"/>
    <m/>
    <m/>
    <s v="EL17J05005"/>
    <m/>
    <d v="2023-07-18T00:00:00"/>
    <m/>
    <d v="2023-07-18T00:00:00"/>
    <d v="2024-06-21T00:00:00"/>
    <d v="2024-01-24T00:00:00"/>
    <s v="21-06-24"/>
    <s v="Checked"/>
    <s v="20.04.24"/>
    <m/>
    <s v="21-06-24"/>
    <m/>
  </r>
  <r>
    <n v="111"/>
    <n v="39116"/>
    <s v="HLC-A"/>
    <s v="STB0L0674HLCD"/>
    <x v="5"/>
    <s v="ECR"/>
    <s v="KOL"/>
    <d v="2019-12-21T00:00:00"/>
    <n v="674"/>
    <s v="Nashik"/>
    <s v="U7D2S04V.005"/>
    <s v="Already Done"/>
    <s v="UAT2Y440.012"/>
    <d v="2021-03-05T00:00:00"/>
    <d v="2023-05-26T00:00:00"/>
    <m/>
    <s v="Already Done"/>
    <d v="2020-09-25T00:00:00"/>
    <s v="Not done"/>
    <s v="Already Done"/>
    <s v="Already Done"/>
    <s v="Done"/>
    <d v="2021-05-26T00:00:00"/>
    <s v="PWR side available"/>
    <s v="OK"/>
    <m/>
    <m/>
    <m/>
    <m/>
    <d v="2022-12-27T00:00:00"/>
    <m/>
    <m/>
    <d v="2024-08-23T00:00:00"/>
    <d v="2023-03-12T00:00:00"/>
    <d v="2023-01-02T00:00:00"/>
    <s v="Checked"/>
    <d v="2025-04-04T00:00:00"/>
    <s v="14-05-2025"/>
    <s v="18.06.24"/>
    <m/>
  </r>
  <r>
    <n v="112"/>
    <n v="39116"/>
    <s v="HLC-B"/>
    <s v="STB0L0673HLCD"/>
    <x v="5"/>
    <s v="ECR"/>
    <s v="KOL"/>
    <d v="2019-12-21T00:00:00"/>
    <n v="673"/>
    <s v="Nashik"/>
    <s v="U7D2S04V.005"/>
    <d v="2021-05-26T00:00:00"/>
    <s v="UAT2Y440.012"/>
    <d v="2021-03-05T00:00:00"/>
    <d v="2023-05-26T00:00:00"/>
    <m/>
    <s v="Already Done"/>
    <d v="2020-09-25T00:00:00"/>
    <s v="Not done"/>
    <s v="Already Done"/>
    <s v="Already Done"/>
    <s v="Done"/>
    <d v="2021-05-26T00:00:00"/>
    <s v="PWR side available"/>
    <s v="OK"/>
    <m/>
    <m/>
    <m/>
    <m/>
    <d v="2022-12-27T00:00:00"/>
    <m/>
    <m/>
    <d v="2024-08-23T00:00:00"/>
    <d v="2023-03-12T00:00:00"/>
    <d v="2023-01-02T00:00:00"/>
    <s v="Checked"/>
    <d v="2025-04-04T00:00:00"/>
    <s v="14-05-2025"/>
    <s v="18.06.24"/>
    <m/>
  </r>
  <r>
    <n v="113"/>
    <n v="39134"/>
    <s v="HLC-A"/>
    <s v="STBOL0661HLCD"/>
    <x v="5"/>
    <s v="ECR"/>
    <s v="KOL"/>
    <d v="2020-02-28T00:00:00"/>
    <n v="661"/>
    <s v="Nashik"/>
    <s v="U7D2S04V.005"/>
    <d v="2021-05-15T00:00:00"/>
    <s v="UAT2Y440.012"/>
    <d v="2021-03-17T00:00:00"/>
    <d v="2023-05-15T00:00:00"/>
    <m/>
    <s v="Already Done"/>
    <s v="Conv-A DONE"/>
    <d v="2020-09-25T00:00:00"/>
    <s v="Already Done"/>
    <s v="Already Done"/>
    <s v="Done"/>
    <d v="2021-05-29T00:00:00"/>
    <s v="Not available"/>
    <s v="OK"/>
    <m/>
    <m/>
    <m/>
    <m/>
    <d v="2023-07-31T00:00:00"/>
    <m/>
    <d v="2023-07-31T00:00:00"/>
    <s v="16-08-24"/>
    <d v="2024-02-19T00:00:00"/>
    <d v="2024-02-19T00:00:00"/>
    <s v="Checked"/>
    <d v="2024-07-15T00:00:00"/>
    <m/>
    <s v="16-07-24"/>
    <m/>
  </r>
  <r>
    <n v="114"/>
    <n v="39134"/>
    <s v="HLC-B"/>
    <s v="STB0L0672HLCD"/>
    <x v="5"/>
    <s v="ECR"/>
    <s v="KOL"/>
    <d v="2020-02-28T00:00:00"/>
    <n v="672"/>
    <s v="Nashik"/>
    <s v="U7D2S04V.005"/>
    <d v="2021-05-15T00:00:00"/>
    <s v="UAT2Y440.012"/>
    <d v="2021-03-17T00:00:00"/>
    <d v="2023-05-15T00:00:00"/>
    <m/>
    <s v="Already Done"/>
    <s v="Conv-B DONE"/>
    <d v="2020-09-25T00:00:00"/>
    <s v="Already Done"/>
    <s v="Already Done"/>
    <s v="Done"/>
    <d v="2021-05-29T00:00:00"/>
    <s v="Not available"/>
    <s v="OK"/>
    <m/>
    <m/>
    <m/>
    <m/>
    <d v="2023-07-31T00:00:00"/>
    <m/>
    <d v="2023-07-31T00:00:00"/>
    <s v="16-08-24"/>
    <d v="2024-02-19T00:00:00"/>
    <d v="2024-02-19T00:00:00"/>
    <s v="Checked"/>
    <d v="2024-07-15T00:00:00"/>
    <m/>
    <s v="15-07-24"/>
    <m/>
  </r>
  <r>
    <n v="115"/>
    <n v="30621"/>
    <s v="HLC-A"/>
    <s v="STB3P1266HLCD"/>
    <x v="4"/>
    <s v="ECR"/>
    <s v="KOL"/>
    <d v="2023-06-06T00:00:00"/>
    <n v="1266"/>
    <s v="Nashik"/>
    <s v="U7D2S04V.005"/>
    <d v="2020-10-01T00:00:00"/>
    <s v="UAT2Y440.012"/>
    <d v="2021-09-18T00:00:00"/>
    <d v="2024-05-06T00:00:00"/>
    <m/>
    <s v="Done with wire"/>
    <s v="Done"/>
    <s v="Not done"/>
    <s v="Done"/>
    <s v="Done"/>
    <s v="Done"/>
    <s v="Done"/>
    <s v="Both side available"/>
    <s v="OK"/>
    <m/>
    <m/>
    <m/>
    <m/>
    <s v="From NW"/>
    <m/>
    <s v="From NW"/>
    <d v="2024-04-08T00:00:00"/>
    <d v="2024-01-26T00:00:00"/>
    <d v="2023-09-01T00:00:00"/>
    <s v="Checked"/>
    <d v="2025-06-13T00:00:00"/>
    <m/>
    <s v="21-11-24"/>
    <m/>
  </r>
  <r>
    <n v="116"/>
    <n v="30621"/>
    <s v="HLC-B"/>
    <s v="STB3P1267HLCD"/>
    <x v="4"/>
    <s v="ECR"/>
    <s v="KOL"/>
    <d v="2023-06-06T00:00:00"/>
    <n v="1267"/>
    <s v="Nashik"/>
    <s v="U7D2S04V.005"/>
    <d v="2021-04-07T00:00:00"/>
    <s v="UAT2Y440.012"/>
    <d v="2021-09-18T00:00:00"/>
    <d v="2024-05-06T00:00:00"/>
    <m/>
    <s v="Done with wire"/>
    <s v="Done"/>
    <s v="Not done"/>
    <s v="Done"/>
    <s v="Done"/>
    <s v="Done"/>
    <s v="Done"/>
    <s v="Both side available"/>
    <s v="OK"/>
    <m/>
    <m/>
    <m/>
    <m/>
    <s v="From NW"/>
    <m/>
    <s v="From NW"/>
    <d v="2024-04-08T00:00:00"/>
    <d v="2024-01-26T00:00:00"/>
    <d v="2023-09-01T00:00:00"/>
    <s v="Checked"/>
    <d v="2025-06-13T00:00:00"/>
    <m/>
    <s v="21-11-24"/>
    <m/>
  </r>
  <r>
    <n v="117"/>
    <n v="37133"/>
    <s v="HLC-A"/>
    <s v="STBNK0333HLCD"/>
    <x v="5"/>
    <s v="ECR"/>
    <s v="KOL"/>
    <d v="2019-03-28T00:00:00"/>
    <n v="333"/>
    <s v="Nashik"/>
    <s v="U7D2S04V.005"/>
    <d v="2021-06-03T00:00:00"/>
    <s v="UAT2Y440.012"/>
    <d v="2021-02-26T00:00:00"/>
    <d v="2023-08-05T00:00:00"/>
    <d v="2022-12-14T00:00:00"/>
    <s v=" Short link  Metal "/>
    <d v="2020-12-04T00:00:00"/>
    <s v="Not done"/>
    <d v="2020-11-02T00:00:00"/>
    <d v="2020-11-02T00:00:00"/>
    <s v="Done"/>
    <d v="2021-06-03T00:00:00"/>
    <s v="PWR side available"/>
    <s v="OK"/>
    <m/>
    <m/>
    <m/>
    <m/>
    <s v="Done"/>
    <m/>
    <d v="2023-11-15T00:00:00"/>
    <s v="26-09-24"/>
    <d v="2023-04-13T00:00:00"/>
    <d v="2023-11-15T00:00:00"/>
    <s v="Checked"/>
    <s v="16-04-2025"/>
    <m/>
    <s v="16-04-2025"/>
    <m/>
  </r>
  <r>
    <n v="118"/>
    <n v="37133"/>
    <s v="HLC-B"/>
    <s v="STB1L0408HLCD"/>
    <x v="5"/>
    <s v="ECR"/>
    <s v="KOL"/>
    <d v="2019-03-28T00:00:00"/>
    <n v="408"/>
    <s v="Nashik"/>
    <s v="U7D2S04V.005"/>
    <d v="2021-06-03T00:00:00"/>
    <s v="UAT2Y440.012"/>
    <d v="2021-02-26T00:00:00"/>
    <d v="2023-06-07T00:00:00"/>
    <d v="2022-12-14T00:00:00"/>
    <s v=" Short link  Metal "/>
    <d v="2020-12-04T00:00:00"/>
    <s v="Not done"/>
    <d v="2020-11-02T00:00:00"/>
    <d v="2020-11-02T00:00:00"/>
    <s v="Done"/>
    <d v="2021-06-03T00:00:00"/>
    <s v="Not available"/>
    <s v="OK"/>
    <m/>
    <m/>
    <m/>
    <m/>
    <s v="Done"/>
    <m/>
    <d v="2023-11-15T00:00:00"/>
    <s v="26-09-24"/>
    <d v="2023-04-13T00:00:00"/>
    <d v="2023-11-15T00:00:00"/>
    <s v="Checked"/>
    <s v="16-04-2025"/>
    <m/>
    <s v="16-04-2025"/>
    <m/>
  </r>
  <r>
    <n v="119"/>
    <n v="37136"/>
    <s v="HLC-A"/>
    <s v="STBDK0350HLCD"/>
    <x v="5"/>
    <s v="ECR"/>
    <s v="KOL"/>
    <d v="2019-03-29T00:00:00"/>
    <n v="350"/>
    <s v="Nashik"/>
    <s v="U7D2S04V.005"/>
    <d v="2021-06-07T00:00:00"/>
    <s v="UAT2Y440.012"/>
    <d v="2021-03-17T00:00:00"/>
    <d v="2023-06-07T00:00:00"/>
    <m/>
    <s v=" Short link  Metal "/>
    <d v="2020-09-29T00:00:00"/>
    <s v="Not done"/>
    <d v="2020-09-25T00:00:00"/>
    <d v="2020-09-25T00:00:00"/>
    <s v="Done"/>
    <d v="2021-06-07T00:00:00"/>
    <s v="Not available"/>
    <s v="OK"/>
    <m/>
    <m/>
    <s v="EL17L04009"/>
    <m/>
    <d v="2023-08-05T00:00:00"/>
    <m/>
    <d v="2023-12-25T00:00:00"/>
    <s v="26-07-24"/>
    <d v="2023-08-05T00:00:00"/>
    <d v="2023-12-25T00:00:00"/>
    <s v="Checked"/>
    <m/>
    <m/>
    <s v="14.06.25"/>
    <m/>
  </r>
  <r>
    <n v="120"/>
    <n v="37136"/>
    <s v="HLC-B"/>
    <s v="STBNK0339HLCD"/>
    <x v="5"/>
    <s v="ECR"/>
    <s v="KOL"/>
    <d v="2019-03-29T00:00:00"/>
    <n v="339"/>
    <s v="Nashik"/>
    <s v="U7D2S04V.005"/>
    <d v="2021-06-07T00:00:00"/>
    <s v="UAT2Y440.012"/>
    <d v="2021-03-17T00:00:00"/>
    <d v="2023-06-07T00:00:00"/>
    <m/>
    <s v=" Short link  Metal "/>
    <d v="2020-09-29T00:00:00"/>
    <s v="Not done"/>
    <d v="2020-09-25T00:00:00"/>
    <d v="2020-09-25T00:00:00"/>
    <s v="Done"/>
    <d v="2021-06-07T00:00:00"/>
    <s v="Not available"/>
    <s v="OK"/>
    <m/>
    <m/>
    <m/>
    <m/>
    <d v="2023-08-05T00:00:00"/>
    <m/>
    <d v="2023-11-17T00:00:00"/>
    <s v="26-07-24"/>
    <d v="2023-08-05T00:00:00"/>
    <d v="2023-11-17T00:00:00"/>
    <s v="Checked"/>
    <m/>
    <m/>
    <s v="14.06.25"/>
    <m/>
  </r>
  <r>
    <n v="121"/>
    <n v="37140"/>
    <s v="HLC-A"/>
    <s v="STBDK0362HLCD"/>
    <x v="5"/>
    <s v="ECR"/>
    <s v="KOL"/>
    <d v="2019-04-15T00:00:00"/>
    <n v="362"/>
    <s v="Nashik"/>
    <s v="U7D2S04V.005"/>
    <d v="2021-06-25T00:00:00"/>
    <s v="UAT2Y440.012"/>
    <d v="2021-06-26T00:00:00"/>
    <d v="2023-06-07T00:00:00"/>
    <m/>
    <s v=" Short link  Metal "/>
    <d v="2020-11-06T00:00:00"/>
    <s v="Not done"/>
    <d v="2020-09-26T00:00:00"/>
    <d v="2020-09-26T00:00:00"/>
    <s v="Done"/>
    <d v="2021-06-25T00:00:00"/>
    <s v="PWR side available"/>
    <s v="OK"/>
    <m/>
    <m/>
    <m/>
    <m/>
    <d v="2023-09-17T00:00:00"/>
    <m/>
    <d v="2023-09-17T00:00:00"/>
    <d v="2024-06-26T00:00:00"/>
    <d v="2024-06-26T00:00:00"/>
    <s v="28-06-24"/>
    <s v="Checked"/>
    <s v="20-06-2025"/>
    <s v="20-06-25"/>
    <s v="20-06-2025"/>
    <m/>
  </r>
  <r>
    <n v="122"/>
    <n v="37140"/>
    <s v="HLC-B"/>
    <s v="STBDK0363HLCD"/>
    <x v="5"/>
    <s v="ECR"/>
    <s v="KOL"/>
    <d v="2019-04-15T00:00:00"/>
    <n v="363"/>
    <s v="Nashik"/>
    <s v="U7D2S04V.005"/>
    <d v="2021-06-25T00:00:00"/>
    <s v="UAT2Y440.012"/>
    <d v="2021-03-23T00:00:00"/>
    <d v="2023-08-14T00:00:00"/>
    <m/>
    <s v=" Short link  Metal "/>
    <d v="2020-11-06T00:00:00"/>
    <s v="Not done"/>
    <d v="2020-09-26T00:00:00"/>
    <d v="2020-09-26T00:00:00"/>
    <s v="Done"/>
    <d v="2021-06-25T00:00:00"/>
    <s v="PWR side available"/>
    <s v="OK"/>
    <m/>
    <m/>
    <m/>
    <m/>
    <d v="2023-09-17T00:00:00"/>
    <m/>
    <d v="2023-09-17T00:00:00"/>
    <d v="2024-06-26T00:00:00"/>
    <d v="2024-06-26T00:00:00"/>
    <s v="28-06-24"/>
    <s v="Checked"/>
    <s v="20-06-2025"/>
    <s v="20-06-2025"/>
    <s v="20-06-2025"/>
    <m/>
  </r>
  <r>
    <n v="123"/>
    <n v="37145"/>
    <s v="HLC-A"/>
    <s v="STBNK0344HLCD"/>
    <x v="5"/>
    <s v="ECR"/>
    <s v="KOL"/>
    <d v="2019-04-17T00:00:00"/>
    <n v="344"/>
    <s v="Nashik"/>
    <s v="U7D2S04V.005"/>
    <d v="2021-08-10T00:00:00"/>
    <s v="UAT2Y440.012"/>
    <d v="2021-01-14T00:00:00"/>
    <d v="2023-08-14T00:00:00"/>
    <m/>
    <s v=" Short link  Metal "/>
    <d v="2021-01-21T00:00:00"/>
    <s v="Not done"/>
    <d v="2020-10-21T00:00:00"/>
    <d v="2020-10-21T00:00:00"/>
    <s v="Done"/>
    <d v="2021-08-10T00:00:00"/>
    <s v="PWR side available"/>
    <s v="OK"/>
    <m/>
    <m/>
    <m/>
    <m/>
    <d v="2023-08-14T00:00:00"/>
    <m/>
    <m/>
    <d v="2024-07-02T00:00:00"/>
    <d v="2023-06-12T00:00:00"/>
    <d v="2023-08-14T00:00:00"/>
    <s v="Checked"/>
    <m/>
    <d v="2025-06-27T00:00:00"/>
    <s v="26-03-25"/>
    <m/>
  </r>
  <r>
    <n v="124"/>
    <n v="37145"/>
    <s v="HLC-B"/>
    <s v="STBNK0345HLCD"/>
    <x v="5"/>
    <s v="ECR"/>
    <s v="KOL"/>
    <d v="2019-04-17T00:00:00"/>
    <n v="345"/>
    <s v="Nashik"/>
    <s v="U7D2S04V.005"/>
    <d v="2021-08-10T00:00:00"/>
    <s v="UAT2Y440.012"/>
    <d v="2021-01-14T00:00:00"/>
    <d v="2023-08-14T00:00:00"/>
    <m/>
    <s v=" Short link  Metal "/>
    <d v="2021-01-21T00:00:00"/>
    <s v="Not done"/>
    <d v="2020-10-21T00:00:00"/>
    <d v="2020-10-21T00:00:00"/>
    <s v="Done"/>
    <d v="2021-08-10T00:00:00"/>
    <s v="PWR side available"/>
    <s v="OK"/>
    <m/>
    <m/>
    <m/>
    <m/>
    <d v="2023-08-14T00:00:00"/>
    <m/>
    <m/>
    <d v="2024-07-02T00:00:00"/>
    <d v="2023-06-12T00:00:00"/>
    <d v="2023-08-14T00:00:00"/>
    <s v="Checked"/>
    <m/>
    <d v="2025-06-27T00:00:00"/>
    <s v="26-03-25"/>
    <m/>
  </r>
  <r>
    <n v="125"/>
    <n v="37172"/>
    <s v="HLC-A"/>
    <s v="STB2L0431HLCD"/>
    <x v="6"/>
    <s v="ECR"/>
    <s v="KOL"/>
    <d v="2019-05-16T00:00:00"/>
    <n v="431"/>
    <s v="Nashik"/>
    <s v="U7D2S04V.005"/>
    <d v="2021-05-05T00:00:00"/>
    <s v="UAT2Y440.012"/>
    <d v="2021-05-05T00:00:00"/>
    <d v="2024-01-03T00:00:00"/>
    <m/>
    <s v=" Short link  Metal "/>
    <d v="2021-01-21T00:00:00"/>
    <s v="Not done"/>
    <d v="2020-12-04T00:00:00"/>
    <d v="2020-12-04T00:00:00"/>
    <s v="Conv-A DONE"/>
    <d v="2021-06-24T00:00:00"/>
    <s v="Not available"/>
    <s v="OK"/>
    <m/>
    <m/>
    <m/>
    <m/>
    <d v="2024-01-21T00:00:00"/>
    <m/>
    <m/>
    <d v="2024-12-08T00:00:00"/>
    <d v="2024-03-27T00:00:00"/>
    <d v="2024-01-21T00:00:00"/>
    <s v="Checked"/>
    <s v="24-03-2025"/>
    <s v="13.06.25"/>
    <s v="24-03-2025"/>
    <m/>
  </r>
  <r>
    <n v="126"/>
    <n v="37172"/>
    <s v="HLC-B"/>
    <s v="STB2L0430HLCD"/>
    <x v="6"/>
    <s v="ECR"/>
    <s v="KOL"/>
    <d v="2019-05-16T00:00:00"/>
    <n v="430"/>
    <s v="Nashik"/>
    <s v="U7D2S04V.005"/>
    <d v="2021-05-05T00:00:00"/>
    <s v="UAT2Y440.012"/>
    <d v="2021-05-05T00:00:00"/>
    <d v="2024-01-03T00:00:00"/>
    <m/>
    <s v=" Short link  Metal "/>
    <d v="2021-01-21T00:00:00"/>
    <s v="Not done"/>
    <d v="2020-12-04T00:00:00"/>
    <d v="2020-12-04T00:00:00"/>
    <s v="Conv-B DONE"/>
    <d v="2021-06-24T00:00:00"/>
    <s v="Not available"/>
    <s v="OK"/>
    <m/>
    <m/>
    <m/>
    <m/>
    <d v="2024-01-21T00:00:00"/>
    <m/>
    <m/>
    <d v="2024-12-08T00:00:00"/>
    <d v="2024-03-27T00:00:00"/>
    <d v="2024-01-21T00:00:00"/>
    <s v="Checked"/>
    <s v="24-03-2025"/>
    <s v="13.06.25"/>
    <s v="24-03-2025"/>
    <m/>
  </r>
  <r>
    <n v="127"/>
    <n v="37173"/>
    <s v="HLC-A"/>
    <s v="STB2L0435HLCD"/>
    <x v="6"/>
    <s v="ECR"/>
    <s v="KOL"/>
    <d v="2019-05-16T00:00:00"/>
    <n v="435"/>
    <s v="Nashik"/>
    <s v="U7D2S04V.005"/>
    <d v="2021-05-13T00:00:00"/>
    <s v="UAT2Y440.012"/>
    <d v="2021-05-14T00:00:00"/>
    <d v="2024-01-21T00:00:00"/>
    <m/>
    <s v=" Short link  Metal "/>
    <d v="2020-10-19T00:00:00"/>
    <s v="Not done"/>
    <d v="2020-09-29T00:00:00"/>
    <d v="2020-09-29T00:00:00"/>
    <s v="Done"/>
    <d v="2021-06-02T00:00:00"/>
    <s v="Not available"/>
    <s v="OK"/>
    <m/>
    <m/>
    <m/>
    <m/>
    <d v="2023-01-30T00:00:00"/>
    <m/>
    <m/>
    <s v="29-08-24"/>
    <d v="2024-03-27T00:00:00"/>
    <d v="2024-01-21T00:00:00"/>
    <s v="Checked"/>
    <s v="20-03-2025"/>
    <m/>
    <s v="20-03-2025"/>
    <m/>
  </r>
  <r>
    <n v="128"/>
    <n v="37173"/>
    <s v="HLC-B"/>
    <s v="STB2L0429HLCD"/>
    <x v="6"/>
    <s v="ECR"/>
    <s v="KOL"/>
    <d v="2019-05-16T00:00:00"/>
    <n v="429"/>
    <s v="Nashik"/>
    <s v="U7D2S04V.005"/>
    <d v="2021-05-13T00:00:00"/>
    <s v="UAT2Y440.012"/>
    <d v="2021-05-14T00:00:00"/>
    <d v="2024-01-21T00:00:00"/>
    <m/>
    <s v=" Short link  Metal "/>
    <d v="2020-10-19T00:00:00"/>
    <s v="Not done"/>
    <d v="2020-09-29T00:00:00"/>
    <d v="2020-09-29T00:00:00"/>
    <s v="Done"/>
    <d v="2021-06-02T00:00:00"/>
    <s v="Not available"/>
    <s v="OK"/>
    <m/>
    <m/>
    <m/>
    <m/>
    <d v="2023-01-30T00:00:00"/>
    <m/>
    <m/>
    <s v="29-08-24"/>
    <d v="2024-03-27T00:00:00"/>
    <d v="2024-01-21T00:00:00"/>
    <s v="Checked"/>
    <s v="20-03-2025"/>
    <m/>
    <s v="20-03-2025"/>
    <m/>
  </r>
  <r>
    <n v="129"/>
    <n v="37178"/>
    <s v="HLC-A"/>
    <s v="STB2L0414HLCD"/>
    <x v="5"/>
    <s v="ECR"/>
    <s v="KOL"/>
    <d v="2019-05-22T00:00:00"/>
    <n v="414"/>
    <s v="Nashik"/>
    <s v="U7D2S04V.005"/>
    <d v="2021-05-14T00:00:00"/>
    <s v="UAT2Y440.012"/>
    <d v="2021-01-30T00:00:00"/>
    <d v="2023-10-22T00:00:00"/>
    <d v="2022-12-28T00:00:00"/>
    <s v=" Short link  Metal "/>
    <d v="2020-10-03T00:00:00"/>
    <s v="Not done"/>
    <d v="2020-11-06T00:00:00"/>
    <d v="2020-11-06T00:00:00"/>
    <s v="Conv-A DONE"/>
    <d v="2021-05-14T00:00:00"/>
    <s v="Not available"/>
    <s v="OK"/>
    <m/>
    <m/>
    <m/>
    <m/>
    <d v="2022-12-28T00:00:00"/>
    <m/>
    <m/>
    <d v="2024-07-07T00:00:00"/>
    <d v="2023-04-11T00:00:00"/>
    <d v="2024-01-18T00:00:00"/>
    <s v="Checked"/>
    <s v="21-05-25"/>
    <s v="21-05-25"/>
    <s v="21-05-25"/>
    <m/>
  </r>
  <r>
    <n v="130"/>
    <n v="37178"/>
    <s v="HLC-B"/>
    <s v="STB2L0415HLCD"/>
    <x v="5"/>
    <s v="ECR"/>
    <s v="KOL"/>
    <d v="2019-05-22T00:00:00"/>
    <n v="415"/>
    <s v="Nashik"/>
    <s v="U7D2S04V.005"/>
    <d v="2021-05-13T00:00:00"/>
    <s v="UAT2Y440.012"/>
    <d v="2021-01-30T00:00:00"/>
    <d v="2023-10-22T00:00:00"/>
    <d v="2022-12-28T00:00:00"/>
    <s v=" Short link  Metal "/>
    <d v="2020-10-03T00:00:00"/>
    <s v="Not done"/>
    <d v="2020-11-06T00:00:00"/>
    <d v="2020-11-06T00:00:00"/>
    <s v="Conv-B DONE"/>
    <d v="2021-05-14T00:00:00"/>
    <s v="Not available"/>
    <s v="OK"/>
    <m/>
    <m/>
    <m/>
    <m/>
    <d v="2022-12-28T00:00:00"/>
    <m/>
    <m/>
    <d v="2024-07-07T00:00:00"/>
    <d v="2023-04-11T00:00:00"/>
    <d v="2024-01-18T00:00:00"/>
    <s v="Checked"/>
    <s v="21-05-25"/>
    <s v="21-05-25"/>
    <s v="21-05-25"/>
    <m/>
  </r>
  <r>
    <n v="131"/>
    <n v="37408"/>
    <s v="HLC-A"/>
    <s v="STB6M0855HLCD"/>
    <x v="4"/>
    <s v="ECR"/>
    <s v="KOL"/>
    <d v="2020-08-14T00:00:00"/>
    <n v="855"/>
    <s v="Nashik"/>
    <s v="U7D2S04V.005"/>
    <d v="2021-01-12T00:00:00"/>
    <s v="UAT2Y440.012"/>
    <d v="2020-12-24T00:00:00"/>
    <d v="2024-05-04T00:00:00"/>
    <d v="2022-06-11T00:00:00"/>
    <s v="Done with wire"/>
    <s v="Already Available"/>
    <s v="Not done"/>
    <s v="Done"/>
    <s v="DONE"/>
    <s v="Done"/>
    <s v="Done"/>
    <s v="Both side available"/>
    <s v="OK"/>
    <s v="OK"/>
    <m/>
    <m/>
    <m/>
    <d v="2022-02-10T00:00:00"/>
    <m/>
    <m/>
    <s v="28-06-24"/>
    <d v="2023-12-11T00:00:00"/>
    <d v="2023-08-11T00:00:00"/>
    <s v="Checked"/>
    <s v="30-03-2025"/>
    <m/>
    <d v="2025-01-04T00:00:00"/>
    <m/>
  </r>
  <r>
    <n v="132"/>
    <n v="37408"/>
    <s v="HLC-B"/>
    <s v="STB5M0792HLCD"/>
    <x v="4"/>
    <s v="ECR"/>
    <s v="KOL"/>
    <d v="2020-08-14T00:00:00"/>
    <n v="792"/>
    <s v="Nashik"/>
    <s v="U7D2S04V.005"/>
    <d v="2021-01-12T00:00:00"/>
    <s v="UAT2Y440.012"/>
    <d v="2020-12-24T00:00:00"/>
    <d v="2024-05-04T00:00:00"/>
    <d v="2022-06-11T00:00:00"/>
    <s v="Done with wire"/>
    <s v="Already Available"/>
    <s v="Not done"/>
    <s v="Done"/>
    <s v="DONE"/>
    <s v="Done"/>
    <s v="Done"/>
    <s v="Both side available"/>
    <s v="OK"/>
    <s v="OK"/>
    <m/>
    <m/>
    <m/>
    <d v="2022-02-10T00:00:00"/>
    <m/>
    <m/>
    <s v="28-06-24"/>
    <d v="2023-12-11T00:00:00"/>
    <d v="2023-08-11T00:00:00"/>
    <s v="Checked"/>
    <s v="30-03-2025"/>
    <m/>
    <d v="2025-01-04T00:00:00"/>
    <m/>
  </r>
  <r>
    <n v="133"/>
    <n v="30455"/>
    <s v="HLC-A"/>
    <s v="STB6F0011HLCA"/>
    <x v="7"/>
    <s v="ER"/>
    <s v="KOL"/>
    <d v="2016-03-30T00:00:00"/>
    <n v="11"/>
    <s v="Nashik"/>
    <s v="U7D2S04V.005"/>
    <d v="2020-11-06T00:00:00"/>
    <s v="N7"/>
    <s v="N/A"/>
    <d v="2023-06-15T00:00:00"/>
    <d v="2024-04-06T00:00:00"/>
    <s v="Conv-A DONE"/>
    <s v="Conv-A DONE"/>
    <s v="Not done"/>
    <s v="Conv-A DONE"/>
    <s v="Conv-A DONE"/>
    <s v="Conv-A DONE"/>
    <s v="Done"/>
    <s v="PWR side available"/>
    <s v="OK"/>
    <s v="OK"/>
    <m/>
    <m/>
    <m/>
    <d v="2022-11-15T00:00:00"/>
    <m/>
    <s v="Done"/>
    <d v="2024-06-27T00:00:00"/>
    <d v="2024-06-27T00:00:00"/>
    <d v="2023-06-15T00:00:00"/>
    <s v="Checked"/>
    <s v="10.05.25"/>
    <s v="13-03-24"/>
    <m/>
    <m/>
  </r>
  <r>
    <n v="134"/>
    <n v="30455"/>
    <s v="HLC-B"/>
    <s v="STB6F0010HLCA"/>
    <x v="7"/>
    <s v="ER"/>
    <s v="KOL"/>
    <d v="2016-03-30T00:00:00"/>
    <n v="10"/>
    <s v="Nashik"/>
    <s v="U7D2S04V.005"/>
    <d v="2020-11-06T00:00:00"/>
    <s v="N7"/>
    <s v="N/A"/>
    <d v="2023-06-15T00:00:00"/>
    <d v="2024-04-06T00:00:00"/>
    <s v="Conv-B DONE"/>
    <s v="Conv-B DONE"/>
    <s v="Not done"/>
    <s v="Conv-B DONE"/>
    <s v="Conv-B DONE"/>
    <s v="Conv-B DONE"/>
    <s v="Done"/>
    <s v="PWR side available"/>
    <s v="OK"/>
    <s v="OK"/>
    <m/>
    <m/>
    <m/>
    <d v="2022-11-15T00:00:00"/>
    <m/>
    <s v="Done"/>
    <d v="2024-06-27T00:00:00"/>
    <d v="2024-06-27T00:00:00"/>
    <d v="2023-06-15T00:00:00"/>
    <s v="Checked"/>
    <s v="10.05.25"/>
    <s v="13-03-24"/>
    <m/>
    <m/>
  </r>
  <r>
    <n v="135"/>
    <n v="30457"/>
    <s v="HLC-A"/>
    <s v="STB8F0019HLCB"/>
    <x v="7"/>
    <s v="ER"/>
    <s v="KOL"/>
    <d v="2016-03-21T00:00:00"/>
    <n v="19"/>
    <s v="Nashik"/>
    <s v="U7D2S04V.005"/>
    <d v="2020-11-06T00:00:00"/>
    <s v="N7"/>
    <s v="N/A"/>
    <d v="2023-07-05T00:00:00"/>
    <d v="2023-04-01T00:00:00"/>
    <s v="Conv-A DONE"/>
    <s v="Conv-A DONE"/>
    <s v="Not done"/>
    <s v="Conv-A DONE"/>
    <s v="Conv-A DONE"/>
    <s v="Conv-A DONE"/>
    <s v="Done"/>
    <s v="PWR side available"/>
    <s v="OK"/>
    <s v="OK"/>
    <m/>
    <m/>
    <m/>
    <d v="2022-12-29T00:00:00"/>
    <m/>
    <s v="Done"/>
    <d v="2024-06-29T00:00:00"/>
    <s v="From NW"/>
    <d v="2023-07-05T00:00:00"/>
    <s v="Checked"/>
    <m/>
    <s v="17-04-24"/>
    <m/>
    <m/>
  </r>
  <r>
    <n v="136"/>
    <n v="30457"/>
    <s v="HLC-B"/>
    <s v="STB9F0027HLCB"/>
    <x v="7"/>
    <s v="ER"/>
    <s v="KOL"/>
    <d v="2016-03-21T00:00:00"/>
    <n v="27"/>
    <s v="Nashik"/>
    <s v="U7D2S04V.005"/>
    <d v="2020-11-06T00:00:00"/>
    <s v="N7"/>
    <s v="N/A"/>
    <d v="2023-07-05T00:00:00"/>
    <d v="2023-04-01T00:00:00"/>
    <s v="Conv-B DONE"/>
    <s v="Conv-B DONE"/>
    <s v="Not done"/>
    <s v="Conv-B DONE"/>
    <s v="Conv-B DONE"/>
    <s v="Conv-B DONE"/>
    <s v="Done"/>
    <s v="PWR side available"/>
    <s v="OK"/>
    <s v="OK"/>
    <m/>
    <m/>
    <m/>
    <d v="2022-12-29T00:00:00"/>
    <m/>
    <s v="Done"/>
    <d v="2024-06-29T00:00:00"/>
    <s v="From NW"/>
    <d v="2023-07-05T00:00:00"/>
    <s v="Checked"/>
    <m/>
    <s v="17-04-24"/>
    <m/>
    <m/>
  </r>
  <r>
    <n v="137"/>
    <n v="30458"/>
    <s v="HLC-A"/>
    <s v="STB7F0014HLCB"/>
    <x v="7"/>
    <s v="ER"/>
    <s v="KOL"/>
    <d v="2016-04-07T00:00:00"/>
    <n v="14"/>
    <s v="Nashik"/>
    <s v="U7D2S04V.005"/>
    <d v="2020-09-10T00:00:00"/>
    <s v="N7"/>
    <s v="N/A"/>
    <d v="2023-07-19T00:00:00"/>
    <d v="2024-04-29T00:00:00"/>
    <s v="Conv-A DONE"/>
    <s v="Conv-A DONE"/>
    <s v="Not done"/>
    <s v="Conv-A DONE"/>
    <s v="Conv-A DONE"/>
    <s v="Conv-A DONE"/>
    <s v="Done"/>
    <s v="PWR side available"/>
    <s v="OK"/>
    <s v="OK"/>
    <m/>
    <d v="2022-06-23T00:00:00"/>
    <m/>
    <d v="2023-01-10T00:00:00"/>
    <m/>
    <s v="Done"/>
    <d v="2024-07-08T00:00:00"/>
    <s v="From NW"/>
    <d v="2023-07-19T00:00:00"/>
    <s v="Checked"/>
    <s v="30/05/2025"/>
    <s v="24-04-24"/>
    <m/>
    <m/>
  </r>
  <r>
    <n v="138"/>
    <n v="30458"/>
    <s v="HLC-B"/>
    <s v="STB9F0026HLCB"/>
    <x v="7"/>
    <s v="ER"/>
    <s v="KOL"/>
    <d v="2016-04-07T00:00:00"/>
    <n v="26"/>
    <s v="Nashik"/>
    <s v="U7D2S04V.005"/>
    <d v="2020-09-10T00:00:00"/>
    <s v="N7"/>
    <s v="N/A"/>
    <d v="2023-07-19T00:00:00"/>
    <d v="2024-04-29T00:00:00"/>
    <s v="Conv-B DONE"/>
    <s v="Conv-B DONE"/>
    <s v="Not done"/>
    <s v="Conv-B DONE"/>
    <s v="Conv-B DONE"/>
    <s v="Conv-B DONE"/>
    <s v="Done"/>
    <s v="PWR side available"/>
    <s v="OK"/>
    <s v="OK"/>
    <m/>
    <d v="2022-06-23T00:00:00"/>
    <m/>
    <d v="2023-01-10T00:00:00"/>
    <m/>
    <s v="Done"/>
    <d v="2024-07-08T00:00:00"/>
    <s v="From NW"/>
    <d v="2023-07-19T00:00:00"/>
    <s v="Checked"/>
    <s v="30/05/2025"/>
    <s v="24-04-24"/>
    <m/>
    <m/>
  </r>
  <r>
    <n v="139"/>
    <n v="30468"/>
    <s v="HLC-A"/>
    <s v="STB1H0052HLCB"/>
    <x v="7"/>
    <s v="ER"/>
    <s v="KOL"/>
    <d v="2016-04-26T00:00:00"/>
    <n v="52"/>
    <s v="Imported"/>
    <s v="U7D2S04V.005"/>
    <d v="2020-12-16T00:00:00"/>
    <s v="N7"/>
    <s v="N/A"/>
    <d v="2023-01-16T00:00:00"/>
    <d v="2023-06-08T00:00:00"/>
    <s v="Conv-A DONE"/>
    <s v="Conv-A DONE"/>
    <s v="Not done"/>
    <s v="Conv-A DONE"/>
    <s v="Conv-A DONE"/>
    <s v="Conv-A DONE"/>
    <s v="Done"/>
    <s v="PWR side available"/>
    <s v="OK"/>
    <s v="OK"/>
    <m/>
    <m/>
    <m/>
    <d v="2023-01-16T00:00:00"/>
    <m/>
    <s v="Done"/>
    <s v="17-07-24"/>
    <s v="From NW"/>
    <d v="2023-06-05T00:00:00"/>
    <s v="Checked"/>
    <s v="12.05.25"/>
    <s v="24-03-24"/>
    <m/>
    <m/>
  </r>
  <r>
    <n v="140"/>
    <n v="30468"/>
    <s v="HLC-B"/>
    <s v="STB1H0051HLCB"/>
    <x v="7"/>
    <s v="ER"/>
    <s v="KOL"/>
    <d v="2016-04-26T00:00:00"/>
    <n v="51"/>
    <s v="Imported"/>
    <s v="U7D2S04V.005"/>
    <d v="2020-12-16T00:00:00"/>
    <s v="N7"/>
    <s v="N/A"/>
    <d v="2023-01-16T00:00:00"/>
    <d v="2023-06-08T00:00:00"/>
    <s v="Conv-B DONE"/>
    <s v="Conv-B DONE"/>
    <s v="Not done"/>
    <s v="Conv-B DONE"/>
    <s v="Conv-B DONE"/>
    <s v="Conv-B DONE"/>
    <s v="Done"/>
    <s v="PWR side available"/>
    <s v="OK"/>
    <s v="OK"/>
    <m/>
    <m/>
    <m/>
    <d v="2023-01-16T00:00:00"/>
    <m/>
    <s v="Done"/>
    <s v="17-07-24"/>
    <s v="From NW"/>
    <d v="2023-06-05T00:00:00"/>
    <s v="Checked"/>
    <s v="12.05.25"/>
    <s v="24-03-24"/>
    <m/>
    <m/>
  </r>
  <r>
    <n v="141"/>
    <n v="30469"/>
    <s v="HLC-A"/>
    <s v="STB1H0053HLCB"/>
    <x v="7"/>
    <s v="ER"/>
    <s v="KOL"/>
    <d v="2016-04-20T00:00:00"/>
    <n v="53"/>
    <s v="Nashik"/>
    <s v="U7D2S04V.005"/>
    <d v="2021-05-19T00:00:00"/>
    <s v="N7"/>
    <s v="N/A"/>
    <d v="2023-03-19T00:00:00"/>
    <d v="2022-12-13T00:00:00"/>
    <s v="Conv-A DONE"/>
    <s v="Conv-A DONE"/>
    <s v="Not done"/>
    <s v="Conv-A DONE"/>
    <s v="Conv-A DONE"/>
    <s v="Conv-A DONE"/>
    <s v="Done"/>
    <s v="PWR side available"/>
    <s v="OK"/>
    <s v="OK"/>
    <m/>
    <m/>
    <m/>
    <d v="2022-12-13T00:00:00"/>
    <m/>
    <s v="Done"/>
    <s v="28-07-24"/>
    <s v="From NW"/>
    <d v="2023-06-21T00:00:00"/>
    <s v="Checked"/>
    <s v="18-06-2025"/>
    <d v="2024-04-01T00:00:00"/>
    <m/>
    <m/>
  </r>
  <r>
    <n v="142"/>
    <n v="30469"/>
    <s v="HLC-B"/>
    <s v="STB1H0050HLCB"/>
    <x v="7"/>
    <s v="ER"/>
    <s v="KOL"/>
    <d v="2016-04-20T00:00:00"/>
    <n v="50"/>
    <s v="Nashik"/>
    <s v="U7D2S04V.005"/>
    <d v="2021-05-19T00:00:00"/>
    <s v="N7"/>
    <s v="N/A"/>
    <d v="2023-03-19T00:00:00"/>
    <d v="2022-12-13T00:00:00"/>
    <s v="Conv-B DONE"/>
    <s v="Conv-B DONE"/>
    <s v="Not done"/>
    <s v="Conv-B DONE"/>
    <s v="Conv-B DONE"/>
    <s v="Conv-B DONE"/>
    <s v="Done"/>
    <s v="PWR side available"/>
    <s v="OK"/>
    <s v="OK"/>
    <m/>
    <m/>
    <m/>
    <d v="2022-12-13T00:00:00"/>
    <m/>
    <s v="Done"/>
    <s v="28-07-24"/>
    <s v="From NW"/>
    <d v="2023-06-21T00:00:00"/>
    <s v="Checked"/>
    <d v="2025-03-04T00:00:00"/>
    <d v="2024-04-01T00:00:00"/>
    <m/>
    <m/>
  </r>
  <r>
    <n v="143"/>
    <n v="30490"/>
    <s v="HLC-A"/>
    <s v="STB3N1106HLCD"/>
    <x v="7"/>
    <s v="ER"/>
    <s v="KOL"/>
    <d v="2022-07-06T00:00:00"/>
    <n v="1106"/>
    <s v="Nashik"/>
    <s v="U7D2S04V.005"/>
    <s v="from NW"/>
    <s v="UAT2Y440.012"/>
    <s v="from NW"/>
    <m/>
    <d v="2023-07-19T00:00:00"/>
    <s v="Wire Short Link "/>
    <s v="Done"/>
    <s v="Not done"/>
    <s v="Conv-A DONE"/>
    <s v="Conv-A DONE"/>
    <s v="Conv-A DONE"/>
    <s v="Done"/>
    <s v="PWR side available"/>
    <s v="OK"/>
    <s v="OK"/>
    <m/>
    <m/>
    <m/>
    <s v="From NW"/>
    <m/>
    <s v="From NW"/>
    <s v="14-12-24"/>
    <s v="From NW"/>
    <d v="2023-07-19T00:00:00"/>
    <s v="Checked"/>
    <d v="2024-06-09T00:00:00"/>
    <s v="13-03-24"/>
    <d v="2024-06-09T00:00:00"/>
    <m/>
  </r>
  <r>
    <n v="144"/>
    <n v="30490"/>
    <s v="HLC-B"/>
    <s v="STB3N1107HLCD"/>
    <x v="7"/>
    <s v="ER"/>
    <s v="KOL"/>
    <d v="2022-07-06T00:00:00"/>
    <n v="1107"/>
    <s v="Nashik"/>
    <s v="U7D2S04V.005"/>
    <s v="from NW"/>
    <s v="UAT2Y440.012"/>
    <s v="from NW"/>
    <m/>
    <d v="2023-07-19T00:00:00"/>
    <s v="Wire Short Link "/>
    <s v="Done"/>
    <s v="Not done"/>
    <s v="Conv-B DONE"/>
    <s v="Conv-B DONE"/>
    <s v="Conv-B DONE"/>
    <s v="Done"/>
    <s v="PWR side available"/>
    <s v="OK"/>
    <s v="OK"/>
    <m/>
    <m/>
    <m/>
    <s v="From NW"/>
    <m/>
    <s v="From NW"/>
    <s v="14-12-24"/>
    <s v="From NW"/>
    <d v="2023-07-19T00:00:00"/>
    <s v="Checked"/>
    <d v="2024-06-09T00:00:00"/>
    <s v="13-03-24"/>
    <d v="2024-06-09T00:00:00"/>
    <m/>
  </r>
  <r>
    <n v="145"/>
    <n v="30698"/>
    <s v="HLC-A"/>
    <s v="STB3N1105HLCD"/>
    <x v="7"/>
    <s v="ER"/>
    <s v="KOL"/>
    <d v="2022-05-11T00:00:00"/>
    <n v="1105"/>
    <s v="Nashik"/>
    <s v="U7D2S04V.005"/>
    <s v="from NW"/>
    <s v="UAT2Y440.012"/>
    <s v="from NW"/>
    <m/>
    <m/>
    <s v="Wire Short Link "/>
    <s v="Done"/>
    <s v="Not done"/>
    <s v="Conv-A DONE"/>
    <s v="Conv-A DONE"/>
    <s v="Conv-A DONE"/>
    <s v="Done"/>
    <s v="PWR side available"/>
    <s v="OK"/>
    <s v="OK"/>
    <m/>
    <m/>
    <m/>
    <s v="From NW"/>
    <m/>
    <s v="From NW"/>
    <s v="29-07-24"/>
    <d v="2023-07-13T00:00:00"/>
    <d v="2023-07-13T00:00:00"/>
    <s v="Checked"/>
    <m/>
    <s v="26-02-24"/>
    <d v="2024-07-11T00:00:00"/>
    <m/>
  </r>
  <r>
    <n v="146"/>
    <n v="30698"/>
    <s v="HLC-B"/>
    <s v="STB3N1104HLCD"/>
    <x v="7"/>
    <s v="ER"/>
    <s v="KOL"/>
    <d v="2022-05-11T00:00:00"/>
    <n v="1104"/>
    <s v="Nashik"/>
    <s v="U7D2S04V.005"/>
    <s v="from NW"/>
    <s v="UAT2Y440.012"/>
    <s v="from NW"/>
    <m/>
    <m/>
    <s v="Wire Short Link "/>
    <s v="Done"/>
    <s v="Not done"/>
    <s v="Conv-B DONE"/>
    <s v="Conv-B DONE"/>
    <s v="Conv-B DONE"/>
    <s v="Done"/>
    <s v="PWR side available"/>
    <s v="OK"/>
    <s v="OK"/>
    <m/>
    <m/>
    <m/>
    <s v="From NW"/>
    <m/>
    <s v="From NW"/>
    <s v="29-07-24"/>
    <d v="2023-07-13T00:00:00"/>
    <d v="2023-07-13T00:00:00"/>
    <s v="Checked"/>
    <m/>
    <s v="26-02-24"/>
    <d v="2024-07-11T00:00:00"/>
    <m/>
  </r>
  <r>
    <n v="147"/>
    <n v="30478"/>
    <s v="HLC-A"/>
    <s v="STB9F0028HLCB"/>
    <x v="3"/>
    <s v="ER"/>
    <s v="KOL"/>
    <d v="2016-05-26T00:00:00"/>
    <n v="28"/>
    <s v="Nashik"/>
    <s v="U7D2S04V.005"/>
    <d v="2020-11-27T00:00:00"/>
    <s v="N7"/>
    <s v="N/A"/>
    <d v="2023-01-15T00:00:00"/>
    <d v="2023-06-06T00:00:00"/>
    <s v="Wire Short Link "/>
    <s v="Done"/>
    <s v="Done"/>
    <s v="Done"/>
    <s v="DONE"/>
    <s v="Done"/>
    <s v="Done"/>
    <s v="Not available"/>
    <s v="OK"/>
    <s v="OK"/>
    <m/>
    <m/>
    <m/>
    <d v="2022-02-15T00:00:00"/>
    <m/>
    <d v="2023-09-02T00:00:00"/>
    <d v="2024-04-07T00:00:00"/>
    <s v="From NW"/>
    <d v="2023-09-02T00:00:00"/>
    <s v="Checked"/>
    <d v="2024-04-08T00:00:00"/>
    <m/>
    <m/>
    <m/>
  </r>
  <r>
    <n v="148"/>
    <n v="30478"/>
    <s v="HLC-B"/>
    <s v="STB9F0031HLCB"/>
    <x v="3"/>
    <s v="ER"/>
    <s v="KOL"/>
    <d v="2016-05-26T00:00:00"/>
    <n v="31"/>
    <s v="Nashik"/>
    <s v="U7D2S04V.005"/>
    <d v="2020-11-27T00:00:00"/>
    <s v="N7"/>
    <s v="N/A"/>
    <d v="2023-01-15T00:00:00"/>
    <d v="2023-06-06T00:00:00"/>
    <s v="Wire Short Link "/>
    <s v="Done"/>
    <s v="Done"/>
    <s v="Done"/>
    <s v="DONE"/>
    <s v="Done"/>
    <s v="Done"/>
    <s v="Not available"/>
    <s v="OK"/>
    <s v="OK"/>
    <m/>
    <m/>
    <m/>
    <d v="2022-02-15T00:00:00"/>
    <m/>
    <d v="2023-09-04T00:00:00"/>
    <d v="2024-04-07T00:00:00"/>
    <s v="From NW"/>
    <d v="2023-09-02T00:00:00"/>
    <s v="Checked"/>
    <d v="2024-04-08T00:00:00"/>
    <m/>
    <m/>
    <m/>
  </r>
  <r>
    <n v="149"/>
    <n v="30487"/>
    <s v="HLC-A"/>
    <s v="STB1H0057HLCA"/>
    <x v="3"/>
    <s v="ER"/>
    <s v="KOL"/>
    <d v="2016-08-13T00:00:00"/>
    <n v="57"/>
    <s v="Nashik"/>
    <s v="U7D2S04V.005"/>
    <d v="2020-10-08T00:00:00"/>
    <s v="N7"/>
    <s v="N/A"/>
    <d v="2023-01-30T00:00:00"/>
    <d v="2023-04-28T00:00:00"/>
    <s v="Wire Short Link "/>
    <s v="Done"/>
    <s v="Done"/>
    <s v="Done"/>
    <s v="DONE"/>
    <s v="Done"/>
    <s v="Done"/>
    <s v="PWR side available"/>
    <s v="OK"/>
    <s v="OK"/>
    <m/>
    <m/>
    <m/>
    <d v="2022-03-05T00:00:00"/>
    <m/>
    <d v="2022-07-11T00:00:00"/>
    <d v="2024-07-01T00:00:00"/>
    <s v="From NW"/>
    <d v="2023-08-09T00:00:00"/>
    <s v="Checked"/>
    <d v="2024-05-08T00:00:00"/>
    <m/>
    <m/>
    <m/>
  </r>
  <r>
    <n v="150"/>
    <n v="30487"/>
    <s v="HLC-B"/>
    <s v="STB1H0056HLCA"/>
    <x v="3"/>
    <s v="ER"/>
    <s v="KOL"/>
    <d v="2016-08-13T00:00:00"/>
    <n v="56"/>
    <s v="Nashik"/>
    <s v="U7D2S04V.005"/>
    <d v="2020-10-08T00:00:00"/>
    <s v="N7"/>
    <s v="N/A"/>
    <d v="2023-01-30T00:00:00"/>
    <d v="2023-04-28T00:00:00"/>
    <s v="Wire Short Link "/>
    <s v="Done"/>
    <s v="Done"/>
    <s v="Done"/>
    <s v="DONE"/>
    <s v="Done"/>
    <s v="Done"/>
    <s v="PWR side available"/>
    <s v="OK"/>
    <s v="OK"/>
    <m/>
    <m/>
    <m/>
    <d v="2022-03-05T00:00:00"/>
    <m/>
    <d v="2022-07-11T00:00:00"/>
    <d v="2024-07-01T00:00:00"/>
    <s v="From NW"/>
    <d v="2023-08-09T00:00:00"/>
    <s v="Checked"/>
    <d v="2024-05-08T00:00:00"/>
    <m/>
    <m/>
    <m/>
  </r>
  <r>
    <n v="151"/>
    <n v="30504"/>
    <s v="HLC-A"/>
    <s v="STB8F0018HLCB"/>
    <x v="3"/>
    <s v="ER"/>
    <s v="KOL"/>
    <d v="2016-11-28T00:00:00"/>
    <n v="18"/>
    <s v="Nashik"/>
    <s v="U7D2S04V.005"/>
    <d v="2020-09-18T00:00:00"/>
    <s v="N7"/>
    <s v="N/A"/>
    <d v="2023-02-04T00:00:00"/>
    <d v="2024-04-29T00:00:00"/>
    <s v="Wire Short Link "/>
    <s v="Done"/>
    <s v="Done"/>
    <s v="Done"/>
    <s v="DONE"/>
    <s v="Done"/>
    <s v="Done"/>
    <s v="Both side not available"/>
    <s v="OK"/>
    <s v="OK"/>
    <m/>
    <m/>
    <m/>
    <d v="2022-02-20T00:00:00"/>
    <m/>
    <d v="2022-07-09T00:00:00"/>
    <d v="2024-07-10T00:00:00"/>
    <s v="Done"/>
    <d v="2023-08-09T00:00:00"/>
    <s v="Checked"/>
    <d v="2023-09-26T00:00:00"/>
    <m/>
    <m/>
    <m/>
  </r>
  <r>
    <n v="152"/>
    <n v="30504"/>
    <s v="HLC-B"/>
    <s v="STB8F0020HLCB"/>
    <x v="3"/>
    <s v="ER"/>
    <s v="KOL"/>
    <d v="2016-11-28T00:00:00"/>
    <n v="20"/>
    <s v="Nashik"/>
    <s v="U7D2S04V.005"/>
    <d v="2020-09-18T00:00:00"/>
    <s v="N7"/>
    <s v="N/A"/>
    <d v="2023-02-04T00:00:00"/>
    <d v="2024-04-29T00:00:00"/>
    <s v="Wire Short Link "/>
    <s v="Done"/>
    <s v="Done"/>
    <s v="Done"/>
    <s v="DONE"/>
    <s v="Done"/>
    <s v="Done"/>
    <s v="Both side not available"/>
    <s v="OK"/>
    <s v="OK"/>
    <m/>
    <m/>
    <m/>
    <d v="2022-02-20T00:00:00"/>
    <m/>
    <d v="2022-07-09T00:00:00"/>
    <d v="2024-07-10T00:00:00"/>
    <s v="Done"/>
    <d v="2023-08-09T00:00:00"/>
    <s v="Checked"/>
    <d v="2023-09-26T00:00:00"/>
    <m/>
    <m/>
    <m/>
  </r>
  <r>
    <n v="153"/>
    <n v="30529"/>
    <s v="HLC-A"/>
    <s v="STB7H0073HLCC"/>
    <x v="7"/>
    <s v="ER"/>
    <s v="KOL"/>
    <d v="2017-03-21T00:00:00"/>
    <n v="73"/>
    <s v="Nashik"/>
    <s v="U7D2S04V.005"/>
    <d v="2020-08-18T00:00:00"/>
    <s v="UAT2Y440.012"/>
    <d v="2021-08-28T00:00:00"/>
    <d v="2023-07-05T00:00:00"/>
    <d v="2023-07-05T00:00:00"/>
    <s v="Wire Short Link "/>
    <s v="Already Available"/>
    <s v="Done"/>
    <s v="Done"/>
    <s v="DONE"/>
    <s v="Done"/>
    <s v="Done"/>
    <s v="Both side not available"/>
    <s v="OK"/>
    <s v="OK"/>
    <m/>
    <m/>
    <m/>
    <d v="2022-01-25T00:00:00"/>
    <m/>
    <d v="2022-06-27T00:00:00"/>
    <s v="13-07-24"/>
    <d v="2024-07-13T00:00:00"/>
    <d v="2023-09-08T00:00:00"/>
    <s v="Checked"/>
    <d v="2023-10-16T00:00:00"/>
    <m/>
    <m/>
    <m/>
  </r>
  <r>
    <n v="154"/>
    <n v="30529"/>
    <s v="HLC-B"/>
    <s v="STB8H0075HLCC"/>
    <x v="7"/>
    <s v="ER"/>
    <s v="KOL"/>
    <d v="2017-03-21T00:00:00"/>
    <n v="75"/>
    <s v="Nashik"/>
    <s v="U7D2S04V.005"/>
    <d v="2020-08-18T00:00:00"/>
    <s v="UAT2Y440.012"/>
    <d v="2021-08-28T00:00:00"/>
    <d v="2023-07-05T00:00:00"/>
    <d v="2023-07-05T00:00:00"/>
    <s v="Wire Short Link "/>
    <s v="Already Available"/>
    <s v="Done"/>
    <s v="Done"/>
    <s v="DONE"/>
    <s v="Done"/>
    <s v="Done"/>
    <s v="Both side not available"/>
    <s v="OK"/>
    <s v="OK"/>
    <m/>
    <m/>
    <m/>
    <d v="2022-01-25T00:00:00"/>
    <m/>
    <d v="2022-06-27T00:00:00"/>
    <s v="13-07-24"/>
    <d v="2024-07-13T00:00:00"/>
    <d v="2023-09-08T00:00:00"/>
    <s v="Checked"/>
    <d v="2023-10-16T00:00:00"/>
    <m/>
    <m/>
    <m/>
  </r>
  <r>
    <n v="155"/>
    <n v="30806"/>
    <s v="HLC-A"/>
    <s v="STB9M0993HLCD"/>
    <x v="3"/>
    <s v="ER"/>
    <s v="KOL"/>
    <d v="2021-03-17T00:00:00"/>
    <n v="993"/>
    <s v="Nashik"/>
    <s v="U7D2S04V.005"/>
    <s v="from NW"/>
    <s v="UAT2Y440.012"/>
    <d v="2021-09-20T00:00:00"/>
    <d v="2022-03-07T00:00:00"/>
    <d v="2022-06-18T00:00:00"/>
    <s v="Metal Short Link "/>
    <s v="Done"/>
    <s v="Done"/>
    <s v="Done"/>
    <s v="DONE"/>
    <s v="Conv-A DONE"/>
    <s v="Done"/>
    <s v="Both side available"/>
    <s v="OK"/>
    <s v="OK"/>
    <d v="2022-08-03T00:00:00"/>
    <m/>
    <m/>
    <d v="2022-02-07T00:00:00"/>
    <m/>
    <d v="2022-06-22T00:00:00"/>
    <d v="2024-06-24T00:00:00"/>
    <d v="2023-06-10T00:00:00"/>
    <d v="2023-08-17T00:00:00"/>
    <s v="Checked"/>
    <d v="2023-06-23T00:00:00"/>
    <d v="2024-03-15T00:00:00"/>
    <s v="20-10-24"/>
    <m/>
  </r>
  <r>
    <n v="156"/>
    <n v="30806"/>
    <s v="HLC-B"/>
    <s v="STB9M0987HLCD"/>
    <x v="3"/>
    <s v="ER"/>
    <s v="KOL"/>
    <d v="2021-03-17T00:00:00"/>
    <n v="987"/>
    <s v="Nashik"/>
    <s v="U7D2S04V.005"/>
    <s v="from NW"/>
    <s v="UAT2Y440.012"/>
    <d v="2021-09-20T00:00:00"/>
    <d v="2022-03-07T00:00:00"/>
    <d v="2022-06-18T00:00:00"/>
    <s v="Metal Short Link "/>
    <s v="Done"/>
    <s v="Done"/>
    <s v="Done"/>
    <s v="DONE"/>
    <s v="Conv-B DONE"/>
    <s v="Done"/>
    <s v="Both side available"/>
    <s v="OK"/>
    <s v="OK"/>
    <d v="2022-08-03T00:00:00"/>
    <m/>
    <m/>
    <d v="2022-02-07T00:00:00"/>
    <m/>
    <d v="2022-06-22T00:00:00"/>
    <d v="2024-06-24T00:00:00"/>
    <d v="2023-06-10T00:00:00"/>
    <d v="2023-08-17T00:00:00"/>
    <s v="Checked"/>
    <d v="2023-06-24T00:00:00"/>
    <d v="2024-03-15T00:00:00"/>
    <s v="20-10-24"/>
    <s v="24.01.25"/>
  </r>
  <r>
    <n v="157"/>
    <n v="37005"/>
    <s v="HLC-A"/>
    <s v="STB2K0183HLCD"/>
    <x v="3"/>
    <s v="ER"/>
    <s v="KOL"/>
    <d v="2018-06-30T00:00:00"/>
    <n v="183"/>
    <s v="Nashik"/>
    <s v="U7D2S04V.005"/>
    <d v="2021-01-28T00:00:00"/>
    <s v="UAT2Y440.012"/>
    <d v="2021-11-15T00:00:00"/>
    <d v="2023-02-11T00:00:00"/>
    <d v="2023-02-11T00:00:00"/>
    <s v="Metal Short Link "/>
    <s v="Done"/>
    <s v="Done"/>
    <s v="Done"/>
    <s v="DONE"/>
    <s v="Conv-A DONE"/>
    <s v="Done"/>
    <s v="PWR side available"/>
    <s v="OK"/>
    <s v="OK"/>
    <d v="2022-07-11T00:00:00"/>
    <s v="EL18A04 005-R"/>
    <m/>
    <d v="2022-01-27T00:00:00"/>
    <s v="17-06-2025"/>
    <d v="2022-06-24T00:00:00"/>
    <d v="2024-05-07T00:00:00"/>
    <d v="2023-07-09T00:00:00"/>
    <s v="Torque Done"/>
    <s v="Checked"/>
    <s v="17-06-2025"/>
    <m/>
    <d v="2024-09-10T00:00:00"/>
    <m/>
  </r>
  <r>
    <n v="158"/>
    <n v="37005"/>
    <s v="HLC-B"/>
    <s v="STB2K0181HLCD"/>
    <x v="3"/>
    <s v="ER"/>
    <s v="KOL"/>
    <d v="2018-06-30T00:00:00"/>
    <n v="181"/>
    <s v="Nashik"/>
    <s v="U7D2S04V.005"/>
    <d v="2021-01-28T00:00:00"/>
    <s v="UAT2Y440.012"/>
    <d v="2021-11-15T00:00:00"/>
    <d v="2023-02-11T00:00:00"/>
    <d v="2023-02-11T00:00:00"/>
    <s v="Metal Short Link "/>
    <s v="Done"/>
    <s v="Done"/>
    <s v="Done"/>
    <s v="DONE"/>
    <s v="Conv-B DONE"/>
    <s v="Done"/>
    <s v="PWR side available"/>
    <s v="OK"/>
    <s v="OK"/>
    <d v="2022-07-11T00:00:00"/>
    <m/>
    <m/>
    <d v="2022-01-27T00:00:00"/>
    <s v="17-06-2025"/>
    <d v="2022-06-24T00:00:00"/>
    <d v="2024-05-07T00:00:00"/>
    <d v="2023-07-09T00:00:00"/>
    <s v="Torque Done"/>
    <s v="Checked"/>
    <s v="17-06-2025"/>
    <m/>
    <d v="2024-09-10T00:00:00"/>
    <m/>
  </r>
  <r>
    <n v="159"/>
    <n v="37024"/>
    <s v="HLC-A"/>
    <s v="STB3K0195HLCD"/>
    <x v="3"/>
    <s v="ER"/>
    <s v="KOL"/>
    <d v="2018-12-24T00:00:00"/>
    <n v="195"/>
    <s v="Nashik"/>
    <s v="U7D2S04V.005"/>
    <d v="2020-08-16T00:00:00"/>
    <s v="UAT2Y440.012"/>
    <d v="2021-09-22T00:00:00"/>
    <d v="2023-02-08T00:00:00"/>
    <m/>
    <s v="Metal Short Link "/>
    <s v="Done"/>
    <s v="Done"/>
    <s v="Done"/>
    <s v="DONE"/>
    <s v="Conv-A DONE"/>
    <s v="Done"/>
    <s v="Both side not available"/>
    <s v="OK"/>
    <s v="OK"/>
    <d v="2022-07-18T00:00:00"/>
    <m/>
    <m/>
    <d v="2022-02-23T00:00:00"/>
    <m/>
    <d v="2022-06-10T00:00:00"/>
    <d v="2024-06-29T00:00:00"/>
    <d v="2023-06-22T00:00:00"/>
    <d v="2023-07-14T00:00:00"/>
    <s v="Checked"/>
    <d v="2024-05-24T00:00:00"/>
    <m/>
    <d v="2024-09-10T00:00:00"/>
    <m/>
  </r>
  <r>
    <n v="160"/>
    <n v="37024"/>
    <s v="HLC-B"/>
    <s v="STB3K0194HLCD"/>
    <x v="3"/>
    <s v="ER"/>
    <s v="KOL"/>
    <d v="2018-12-24T00:00:00"/>
    <n v="194"/>
    <s v="Nashik"/>
    <s v="U7D2S04V.005"/>
    <d v="2020-08-16T00:00:00"/>
    <s v="UAT2Y440.012"/>
    <d v="2021-09-22T00:00:00"/>
    <d v="2023-02-08T00:00:00"/>
    <m/>
    <s v="Metal Short Link "/>
    <s v="Done"/>
    <s v="Done"/>
    <s v="Done"/>
    <s v="DONE"/>
    <s v="Conv-B DONE"/>
    <s v="Done"/>
    <s v="Both side not available"/>
    <s v="OK"/>
    <s v="OK"/>
    <d v="2022-07-18T00:00:00"/>
    <s v="EL20L01024-R"/>
    <m/>
    <d v="2022-02-23T00:00:00"/>
    <m/>
    <d v="2022-06-10T00:00:00"/>
    <d v="2024-06-29T00:00:00"/>
    <d v="2023-06-22T00:00:00"/>
    <d v="2023-07-14T00:00:00"/>
    <s v="Checked"/>
    <d v="2024-05-24T00:00:00"/>
    <m/>
    <d v="2024-09-10T00:00:00"/>
    <m/>
  </r>
  <r>
    <n v="161"/>
    <n v="37025"/>
    <s v="HLC-A"/>
    <s v="STB2K0186HLCD"/>
    <x v="3"/>
    <s v="ER"/>
    <s v="KOL"/>
    <d v="2018-09-24T00:00:00"/>
    <n v="186"/>
    <s v="Nashik"/>
    <s v="U7D2S04V.005"/>
    <d v="2020-08-18T00:00:00"/>
    <s v="UAT2Y440.012"/>
    <d v="2021-09-21T00:00:00"/>
    <m/>
    <d v="2023-02-03T00:00:00"/>
    <s v="Metal Short Link "/>
    <s v="Done"/>
    <s v="Done"/>
    <s v="Done"/>
    <s v="DONE"/>
    <s v="Done"/>
    <s v="Done"/>
    <s v="Not available"/>
    <s v="OK"/>
    <s v="OK"/>
    <d v="2022-07-07T00:00:00"/>
    <s v="EL20H01017"/>
    <m/>
    <d v="2022-02-04T00:00:00"/>
    <m/>
    <d v="2022-06-25T00:00:00"/>
    <d v="2024-06-26T00:00:00"/>
    <d v="2023-06-11T00:00:00"/>
    <d v="2023-08-08T00:00:00"/>
    <s v="Checked"/>
    <d v="2023-08-31T00:00:00"/>
    <m/>
    <d v="2024-06-09T00:00:00"/>
    <m/>
  </r>
  <r>
    <n v="162"/>
    <n v="37025"/>
    <s v="HLC-B"/>
    <s v="STB2K0189HLCD"/>
    <x v="3"/>
    <s v="ER"/>
    <s v="KOL"/>
    <d v="2018-09-24T00:00:00"/>
    <n v="189"/>
    <s v="Nashik"/>
    <s v="U7D2S04V.005"/>
    <d v="2020-08-18T00:00:00"/>
    <s v="UAT2Y440.012"/>
    <d v="2021-09-21T00:00:00"/>
    <m/>
    <d v="2023-02-03T00:00:00"/>
    <s v="Metal Short Link "/>
    <s v="Done"/>
    <s v="Done"/>
    <s v="Done"/>
    <s v="DONE"/>
    <s v="Done"/>
    <s v="Done"/>
    <s v="Not available"/>
    <s v="OK"/>
    <s v="OK"/>
    <d v="2022-07-07T00:00:00"/>
    <m/>
    <m/>
    <d v="2022-02-04T00:00:00"/>
    <m/>
    <d v="2022-06-25T00:00:00"/>
    <d v="2024-06-26T00:00:00"/>
    <d v="2023-06-11T00:00:00"/>
    <d v="2023-08-08T00:00:00"/>
    <s v="Checked"/>
    <d v="2023-08-31T00:00:00"/>
    <m/>
    <d v="2024-06-09T00:00:00"/>
    <m/>
  </r>
  <r>
    <n v="163"/>
    <n v="37080"/>
    <s v="HLC-A"/>
    <s v="STB7K0269HLCD"/>
    <x v="3"/>
    <s v="ER"/>
    <s v="KOL"/>
    <d v="2019-01-22T00:00:00"/>
    <n v="269"/>
    <s v="Nashik"/>
    <s v="U7D2S04V.005"/>
    <d v="2020-08-18T00:00:00"/>
    <s v="UAT2Y440.012"/>
    <d v="2021-11-15T00:00:00"/>
    <m/>
    <d v="2022-06-07T00:00:00"/>
    <s v="Metal Short Link "/>
    <s v="Done"/>
    <s v="Done"/>
    <s v="Done"/>
    <s v="DONE"/>
    <s v="Done"/>
    <s v="Done"/>
    <s v="PWR side available"/>
    <s v="OK"/>
    <s v="OK"/>
    <d v="2022-08-07T00:00:00"/>
    <m/>
    <m/>
    <d v="2022-01-25T00:00:00"/>
    <m/>
    <d v="2022-01-07T00:00:00"/>
    <s v="23-07-24"/>
    <d v="2023-08-21T00:00:00"/>
    <d v="2023-08-21T00:00:00"/>
    <s v="Checked"/>
    <d v="2023-01-03T00:00:00"/>
    <m/>
    <s v="22-10-24"/>
    <m/>
  </r>
  <r>
    <n v="164"/>
    <n v="37080"/>
    <s v="HLC-B"/>
    <s v="STB7K0268HLCD"/>
    <x v="3"/>
    <s v="ER"/>
    <s v="KOL"/>
    <d v="2019-01-22T00:00:00"/>
    <n v="268"/>
    <s v="Nashik"/>
    <s v="U7D2S04V.005"/>
    <d v="2020-08-18T00:00:00"/>
    <s v="UAT2Y440.012"/>
    <d v="2021-10-22T00:00:00"/>
    <m/>
    <d v="2022-06-07T00:00:00"/>
    <s v="Metal Short Link "/>
    <s v="Done"/>
    <s v="Done"/>
    <s v="Done"/>
    <s v="DONE"/>
    <s v="Conv-B DONE"/>
    <s v="Done"/>
    <s v="PWR side available"/>
    <s v="OK"/>
    <s v="OK"/>
    <d v="2022-08-07T00:00:00"/>
    <s v="EL19F04 009"/>
    <m/>
    <d v="2022-01-25T00:00:00"/>
    <m/>
    <d v="2022-01-07T00:00:00"/>
    <s v="23-07-24"/>
    <d v="2023-08-21T00:00:00"/>
    <d v="2023-08-21T00:00:00"/>
    <s v="Checked"/>
    <d v="2023-01-03T00:00:00"/>
    <m/>
    <s v="22-10-24"/>
    <m/>
  </r>
  <r>
    <n v="165"/>
    <n v="37116"/>
    <s v="HLC-A"/>
    <s v="STBDK0370HLCD"/>
    <x v="3"/>
    <s v="ER"/>
    <s v="KOL"/>
    <d v="2019-03-18T00:00:00"/>
    <n v="370"/>
    <s v="Nashik"/>
    <s v="U7D2S04V.005"/>
    <d v="2020-09-16T00:00:00"/>
    <s v="UAT2Y440.012"/>
    <d v="2021-11-12T00:00:00"/>
    <d v="2023-03-13T00:00:00"/>
    <d v="2022-06-11T00:00:00"/>
    <s v="Metal Short Link "/>
    <s v="Done"/>
    <s v="Done"/>
    <s v="Done"/>
    <s v="DONE"/>
    <s v="Done"/>
    <s v="Done"/>
    <s v="PWR side available"/>
    <s v="OK"/>
    <s v="OK"/>
    <d v="2022-07-12T00:00:00"/>
    <m/>
    <m/>
    <d v="2022-02-12T00:00:00"/>
    <m/>
    <d v="2023-03-13T00:00:00"/>
    <d v="2024-01-08T00:00:00"/>
    <d v="2023-12-22T00:00:00"/>
    <d v="2023-07-12T00:00:00"/>
    <s v="Checked"/>
    <d v="2024-01-25T00:00:00"/>
    <m/>
    <s v="18-11-24"/>
    <m/>
  </r>
  <r>
    <n v="166"/>
    <n v="37116"/>
    <s v="HLC-B"/>
    <s v="STBDK0371HLCD"/>
    <x v="3"/>
    <s v="ER"/>
    <s v="KOL"/>
    <d v="2019-03-18T00:00:00"/>
    <n v="371"/>
    <s v="Nashik"/>
    <s v="U7D2S04V.005"/>
    <d v="2020-09-16T00:00:00"/>
    <s v="UAT2Y440.012"/>
    <d v="2021-11-12T00:00:00"/>
    <d v="2023-03-13T00:00:00"/>
    <d v="2022-06-11T00:00:00"/>
    <s v="Metal Short Link "/>
    <s v="Done"/>
    <s v="Done"/>
    <s v="Done"/>
    <s v="DONE"/>
    <s v="Conv-B DONE"/>
    <s v="Done"/>
    <s v="PWR side available"/>
    <s v="OK"/>
    <s v="OK"/>
    <d v="2022-07-12T00:00:00"/>
    <m/>
    <m/>
    <d v="2022-02-12T00:00:00"/>
    <d v="2022-03-12T00:00:00"/>
    <d v="2023-03-13T00:00:00"/>
    <d v="2024-01-08T00:00:00"/>
    <d v="2023-06-25T00:00:00"/>
    <d v="2023-07-12T00:00:00"/>
    <s v="Checked"/>
    <d v="2024-01-25T00:00:00"/>
    <m/>
    <s v="18-11-24"/>
    <m/>
  </r>
  <r>
    <n v="167"/>
    <n v="37120"/>
    <s v="HLC-A"/>
    <s v="STB2L0411HLCD"/>
    <x v="3"/>
    <s v="ER"/>
    <s v="KOL"/>
    <d v="2019-03-23T00:00:00"/>
    <n v="411"/>
    <s v="Nashik"/>
    <s v="U7D2S04V.005"/>
    <d v="2020-09-16T00:00:00"/>
    <s v="UAT2Y440.012"/>
    <d v="2021-09-20T00:00:00"/>
    <d v="2023-07-11T00:00:00"/>
    <m/>
    <s v="Metal Short Link "/>
    <s v="Done"/>
    <s v="Done"/>
    <s v="Done"/>
    <s v="DONE"/>
    <s v="Conv-A DONE"/>
    <s v="Done"/>
    <s v="PWR side available"/>
    <s v="OK"/>
    <s v="OK"/>
    <d v="2022-07-07T00:00:00"/>
    <s v="EL21C01-026"/>
    <m/>
    <d v="2022-03-03T00:00:00"/>
    <s v="19-02-25"/>
    <d v="2023-07-11T00:00:00"/>
    <d v="2024-07-04T00:00:00"/>
    <d v="2023-07-11T00:00:00"/>
    <d v="2023-07-11T00:00:00"/>
    <s v="Checked"/>
    <d v="2024-01-20T00:00:00"/>
    <m/>
    <d v="2024-07-10T00:00:00"/>
    <m/>
  </r>
  <r>
    <n v="168"/>
    <n v="37120"/>
    <s v="HLC-B"/>
    <s v="STBNK0343HLCD"/>
    <x v="3"/>
    <s v="ER"/>
    <s v="KOL"/>
    <d v="2019-03-23T00:00:00"/>
    <n v="343"/>
    <s v="Nashik"/>
    <s v="U7D2S04V.005"/>
    <d v="2020-09-16T00:00:00"/>
    <s v="UAT2Y440.012"/>
    <d v="2021-09-20T00:00:00"/>
    <d v="2023-07-11T00:00:00"/>
    <m/>
    <s v="Metal Short Link "/>
    <s v="Done"/>
    <s v="Done"/>
    <s v="Done"/>
    <s v="DONE"/>
    <s v="Conv-B DONE"/>
    <s v="Done"/>
    <s v="PWR side available"/>
    <s v="OK"/>
    <s v="OK"/>
    <d v="2022-07-07T00:00:00"/>
    <s v="EL21D01-007"/>
    <m/>
    <d v="2022-03-03T00:00:00"/>
    <s v="19-02-25"/>
    <d v="2023-07-11T00:00:00"/>
    <d v="2024-07-04T00:00:00"/>
    <d v="2023-07-11T00:00:00"/>
    <d v="2023-07-11T00:00:00"/>
    <s v="Checked"/>
    <d v="2024-01-20T00:00:00"/>
    <m/>
    <d v="2024-07-10T00:00:00"/>
    <m/>
  </r>
  <r>
    <n v="169"/>
    <n v="37168"/>
    <s v="HLC-A"/>
    <s v="STB2L0446HLCD"/>
    <x v="3"/>
    <s v="ER"/>
    <s v="KOL"/>
    <d v="2019-05-14T00:00:00"/>
    <n v="446"/>
    <s v="Nashik"/>
    <s v="U7D2S04V.005"/>
    <d v="2020-10-08T00:00:00"/>
    <s v="UAT2Y440.012"/>
    <d v="2021-04-26T00:00:00"/>
    <d v="2023-02-16T00:00:00"/>
    <d v="2022-06-29T00:00:00"/>
    <s v="Metal Short Link "/>
    <s v="Done"/>
    <s v="Done"/>
    <s v="Done"/>
    <s v="DONE"/>
    <s v="Conv-A DONE"/>
    <s v="Done"/>
    <s v="Not available"/>
    <s v="OK"/>
    <s v="OK"/>
    <d v="2022-07-19T00:00:00"/>
    <m/>
    <m/>
    <d v="2022-02-07T00:00:00"/>
    <m/>
    <d v="2022-06-25T00:00:00"/>
    <d v="2024-07-01T00:00:00"/>
    <d v="2023-09-07T00:00:00"/>
    <d v="2023-09-07T00:00:00"/>
    <s v="Checked"/>
    <d v="2024-02-08T00:00:00"/>
    <m/>
    <s v="23-09-24"/>
    <m/>
  </r>
  <r>
    <n v="170"/>
    <n v="37168"/>
    <s v="HLC-B"/>
    <s v="STB2L0447HLCD"/>
    <x v="3"/>
    <s v="ER"/>
    <s v="KOL"/>
    <d v="2019-05-14T00:00:00"/>
    <n v="447"/>
    <s v="Nashik"/>
    <s v="U7D2S04V.005"/>
    <d v="2020-10-08T00:00:00"/>
    <s v="UAT2Y440.012"/>
    <d v="2021-11-22T00:00:00"/>
    <d v="2023-02-16T00:00:00"/>
    <d v="2022-06-29T00:00:00"/>
    <s v="Metal Short Link "/>
    <s v="Done"/>
    <s v="Done"/>
    <s v="Done"/>
    <s v="DONE"/>
    <s v="Conv-B DONE"/>
    <s v="Done"/>
    <s v="Not available"/>
    <s v="OK"/>
    <s v="OK"/>
    <d v="2022-07-19T00:00:00"/>
    <m/>
    <m/>
    <d v="2022-02-07T00:00:00"/>
    <m/>
    <d v="2022-06-25T00:00:00"/>
    <d v="2024-07-01T00:00:00"/>
    <d v="2023-09-07T00:00:00"/>
    <d v="2023-09-07T00:00:00"/>
    <s v="Checked"/>
    <d v="2024-02-08T00:00:00"/>
    <m/>
    <s v="23-09-24"/>
    <m/>
  </r>
  <r>
    <n v="171"/>
    <n v="37169"/>
    <s v="HLC-A"/>
    <s v="STB2L0436HLCD"/>
    <x v="3"/>
    <s v="ER"/>
    <s v="KOL"/>
    <d v="2019-05-14T00:00:00"/>
    <n v="436"/>
    <s v="Nashik"/>
    <s v="U7D2S04V.005"/>
    <d v="2020-08-13T00:00:00"/>
    <s v="UAT2Y440.012"/>
    <d v="2021-10-25T00:00:00"/>
    <d v="2023-03-03T00:00:00"/>
    <d v="2022-06-08T00:00:00"/>
    <s v="Metal Short Link "/>
    <s v="Done"/>
    <s v="Done"/>
    <s v="Done"/>
    <s v="DONE"/>
    <s v="Conv-A DONE"/>
    <s v="Done"/>
    <s v="PWR side available"/>
    <s v="OK"/>
    <s v="OK"/>
    <d v="2022-07-20T00:00:00"/>
    <m/>
    <m/>
    <d v="2022-01-25T00:00:00"/>
    <m/>
    <d v="2022-07-21T00:00:00"/>
    <d v="2024-07-03T00:00:00"/>
    <d v="2023-08-21T00:00:00"/>
    <d v="2023-08-20T00:00:00"/>
    <s v="Checked"/>
    <d v="2024-06-20T00:00:00"/>
    <m/>
    <s v="19-09-24"/>
    <m/>
  </r>
  <r>
    <n v="172"/>
    <n v="37169"/>
    <s v="HLC-B"/>
    <s v="STB2L0448HLCD"/>
    <x v="3"/>
    <s v="ER"/>
    <s v="KOL"/>
    <d v="2019-05-14T00:00:00"/>
    <n v="448"/>
    <s v="Nashik"/>
    <s v="U7D2S04V.005"/>
    <d v="2020-08-13T00:00:00"/>
    <s v="UAT2Y440.012"/>
    <d v="2021-10-25T00:00:00"/>
    <d v="2023-03-03T00:00:00"/>
    <d v="2022-06-08T00:00:00"/>
    <s v="Metal Short Link "/>
    <s v="Done"/>
    <s v="Done"/>
    <s v="Done"/>
    <s v="DONE"/>
    <s v="Conv-B DONE"/>
    <s v="Done"/>
    <s v="PWR side available"/>
    <s v="OK"/>
    <s v="OK"/>
    <d v="2022-07-20T00:00:00"/>
    <m/>
    <m/>
    <d v="2022-01-25T00:00:00"/>
    <m/>
    <d v="2022-07-21T00:00:00"/>
    <d v="2024-07-03T00:00:00"/>
    <d v="2023-08-21T00:00:00"/>
    <d v="2023-08-20T00:00:00"/>
    <s v="Checked"/>
    <d v="2024-06-20T00:00:00"/>
    <m/>
    <s v="19-09-24"/>
    <m/>
  </r>
  <r>
    <n v="173"/>
    <n v="37181"/>
    <s v="HLC-A"/>
    <s v="STB4L0464HLCD"/>
    <x v="3"/>
    <s v="ER"/>
    <s v="KOL"/>
    <d v="2019-05-23T00:00:00"/>
    <n v="464"/>
    <s v="Nashik"/>
    <s v="U7D2S04V.005"/>
    <d v="2021-01-11T00:00:00"/>
    <s v="UAT2Y440.012"/>
    <d v="2021-09-13T00:00:00"/>
    <d v="2023-02-03T00:00:00"/>
    <m/>
    <s v="Metal Short Link "/>
    <s v="Done"/>
    <s v="Done"/>
    <s v="Done"/>
    <s v="DONE"/>
    <s v="Conv-A DONE"/>
    <s v="Done"/>
    <s v="Both side not available"/>
    <s v="OK"/>
    <s v="OK"/>
    <d v="2022-08-07T00:00:00"/>
    <m/>
    <m/>
    <d v="2022-01-28T00:00:00"/>
    <m/>
    <d v="2023-02-23T00:00:00"/>
    <d v="2024-07-01T00:00:00"/>
    <d v="2023-07-14T00:00:00"/>
    <d v="2023-07-14T00:00:00"/>
    <s v="Checked"/>
    <d v="2024-02-16T00:00:00"/>
    <d v="2024-03-15T00:00:00"/>
    <d v="2024-04-06T00:00:00"/>
    <m/>
  </r>
  <r>
    <n v="174"/>
    <n v="37181"/>
    <s v="HLC-B"/>
    <s v="STB4L0465HLCD"/>
    <x v="3"/>
    <s v="ER"/>
    <s v="KOL"/>
    <d v="2019-05-23T00:00:00"/>
    <n v="465"/>
    <s v="Nashik"/>
    <s v="U7D2S04V.005"/>
    <d v="2021-01-11T00:00:00"/>
    <s v="UAT2Y440.012"/>
    <d v="2021-09-13T00:00:00"/>
    <d v="2023-02-03T00:00:00"/>
    <m/>
    <s v="Metal Short Link "/>
    <s v="Done"/>
    <s v="Done"/>
    <s v="Done"/>
    <s v="DONE"/>
    <s v="Conv-B DONE"/>
    <s v="Done"/>
    <s v="Both side not available"/>
    <s v="OK"/>
    <s v="OK"/>
    <d v="2022-08-07T00:00:00"/>
    <m/>
    <m/>
    <d v="2022-01-28T00:00:00"/>
    <m/>
    <d v="2023-02-23T00:00:00"/>
    <d v="2024-07-01T00:00:00"/>
    <d v="2023-07-14T00:00:00"/>
    <d v="2023-07-14T00:00:00"/>
    <s v="Checked"/>
    <d v="2024-02-16T00:00:00"/>
    <d v="2024-03-15T00:00:00"/>
    <d v="2024-04-06T00:00:00"/>
    <m/>
  </r>
  <r>
    <n v="175"/>
    <n v="37182"/>
    <s v="HLC-A"/>
    <s v="STB4L0452HLCD"/>
    <x v="3"/>
    <s v="ER"/>
    <s v="KOL"/>
    <d v="2019-05-24T00:00:00"/>
    <n v="452"/>
    <s v="Nashik"/>
    <s v="U7D2S04V.005"/>
    <d v="2020-11-25T00:00:00"/>
    <s v="UAT2Y440.012"/>
    <d v="2021-08-30T00:00:00"/>
    <d v="2023-02-07T00:00:00"/>
    <m/>
    <s v="Metal Short Link "/>
    <s v="Done"/>
    <s v="Done"/>
    <s v="Done"/>
    <s v="DONE"/>
    <s v="Conv-A DONE"/>
    <s v="Done"/>
    <s v="Not available"/>
    <s v="OK"/>
    <s v="OK"/>
    <d v="2022-07-13T00:00:00"/>
    <m/>
    <s v="EL19J04196"/>
    <d v="2022-01-31T00:00:00"/>
    <m/>
    <d v="2023-09-08T00:00:00"/>
    <d v="2024-06-21T00:00:00"/>
    <d v="2023-06-13T00:00:00"/>
    <d v="2023-06-13T00:00:00"/>
    <s v="Checked"/>
    <d v="2024-05-23T00:00:00"/>
    <m/>
    <d v="2024-02-11T00:00:00"/>
    <m/>
  </r>
  <r>
    <n v="176"/>
    <n v="37182"/>
    <s v="HLC-B"/>
    <s v="STB4L0453HLCD"/>
    <x v="3"/>
    <s v="ER"/>
    <s v="KOL"/>
    <d v="2019-05-24T00:00:00"/>
    <n v="453"/>
    <s v="Nashik"/>
    <s v="U7D2S04V.005"/>
    <d v="2020-11-25T00:00:00"/>
    <s v="UAT2Y440.012"/>
    <d v="2021-08-30T00:00:00"/>
    <d v="2023-02-07T00:00:00"/>
    <m/>
    <s v="Metal Short Link "/>
    <s v="Done"/>
    <s v="Done"/>
    <s v="Done"/>
    <s v="DONE"/>
    <s v="Conv-B DONE"/>
    <s v="Done"/>
    <s v="Not available"/>
    <s v="OK"/>
    <s v="OK"/>
    <d v="2022-07-13T00:00:00"/>
    <m/>
    <m/>
    <d v="2022-01-31T00:00:00"/>
    <m/>
    <d v="2023-09-08T00:00:00"/>
    <d v="2024-06-21T00:00:00"/>
    <d v="2023-06-13T00:00:00"/>
    <d v="2023-06-13T00:00:00"/>
    <s v="Checked"/>
    <d v="2024-05-23T00:00:00"/>
    <m/>
    <d v="2024-02-11T00:00:00"/>
    <m/>
  </r>
  <r>
    <n v="177"/>
    <n v="37185"/>
    <s v="HLC-A"/>
    <s v="STB4L0467HLCD"/>
    <x v="3"/>
    <s v="ER"/>
    <s v="KOL"/>
    <d v="2019-05-25T00:00:00"/>
    <n v="467"/>
    <s v="Nashik"/>
    <s v="U7D2S04V.005"/>
    <d v="2020-08-18T00:00:00"/>
    <s v="UAT2Y440.012"/>
    <d v="2021-09-07T00:00:00"/>
    <d v="2022-03-25T00:00:00"/>
    <d v="2024-04-18T00:00:00"/>
    <s v="Metal Short Link "/>
    <s v="Already Available"/>
    <s v="Done"/>
    <s v="Done"/>
    <s v="DONE"/>
    <s v="Done"/>
    <s v="Done"/>
    <s v="PWR side available"/>
    <s v="OK"/>
    <s v="OK"/>
    <d v="2022-07-01T00:00:00"/>
    <m/>
    <m/>
    <d v="2022-01-25T00:00:00"/>
    <m/>
    <d v="2022-06-28T00:00:00"/>
    <s v="29-07-24"/>
    <d v="2023-06-13T00:00:00"/>
    <d v="2023-06-13T00:00:00"/>
    <s v="Checked"/>
    <d v="2024-04-18T00:00:00"/>
    <d v="2024-03-12T00:00:00"/>
    <d v="2024-09-11T00:00:00"/>
    <m/>
  </r>
  <r>
    <n v="178"/>
    <n v="37185"/>
    <s v="HLC-B"/>
    <s v="STB4L0461HLCD"/>
    <x v="3"/>
    <s v="ER"/>
    <s v="KOL"/>
    <d v="2019-05-25T00:00:00"/>
    <n v="461"/>
    <s v="Nashik"/>
    <s v="U7D2S04V.005"/>
    <d v="2020-08-18T00:00:00"/>
    <s v="UAT2Y440.012"/>
    <d v="2021-09-07T00:00:00"/>
    <d v="2022-03-25T00:00:00"/>
    <d v="2024-04-18T00:00:00"/>
    <s v="Metal Short Link "/>
    <s v="Already Available"/>
    <s v="Done"/>
    <s v="Done"/>
    <s v="DONE"/>
    <s v="Conv-B DONE"/>
    <s v="Done"/>
    <s v="Both side available"/>
    <s v="OK"/>
    <s v="OK"/>
    <d v="2022-07-01T00:00:00"/>
    <m/>
    <m/>
    <d v="2022-01-25T00:00:00"/>
    <m/>
    <d v="2022-06-28T00:00:00"/>
    <s v="29-07-24"/>
    <d v="2023-06-13T00:00:00"/>
    <d v="2023-06-13T00:00:00"/>
    <s v="Checked"/>
    <d v="2024-04-18T00:00:00"/>
    <d v="2024-03-12T00:00:00"/>
    <d v="2024-09-11T00:00:00"/>
    <m/>
  </r>
  <r>
    <n v="179"/>
    <n v="37244"/>
    <s v="HLC-A"/>
    <s v="STB6L0553HLCD"/>
    <x v="3"/>
    <s v="ER"/>
    <s v="KOL"/>
    <d v="2019-09-24T00:00:00"/>
    <n v="553"/>
    <s v="Nashik"/>
    <s v="U7D2S04V.005"/>
    <d v="2020-07-09T00:00:00"/>
    <s v="UAT2Y440.012"/>
    <d v="2021-09-14T00:00:00"/>
    <d v="2023-06-29T00:00:00"/>
    <d v="2022-03-21T00:00:00"/>
    <s v="Metal Short Link "/>
    <s v="Already Available"/>
    <s v="Done"/>
    <s v="Done"/>
    <s v="DONE"/>
    <s v="Conv-A DONE"/>
    <s v="Done"/>
    <s v="Not available"/>
    <s v="OK"/>
    <s v="OK"/>
    <d v="2022-03-06T00:00:00"/>
    <m/>
    <m/>
    <d v="2022-03-06T00:00:00"/>
    <m/>
    <d v="2023-02-15T00:00:00"/>
    <d v="2024-06-28T00:00:00"/>
    <d v="2023-06-29T00:00:00"/>
    <d v="2023-08-08T00:00:00"/>
    <s v="Checked"/>
    <d v="2024-07-16T00:00:00"/>
    <d v="2024-03-15T00:00:00"/>
    <d v="2024-02-11T00:00:00"/>
    <s v="15.07.2025"/>
  </r>
  <r>
    <n v="180"/>
    <n v="37244"/>
    <s v="HLC-B"/>
    <s v="STB6L0552HLCD"/>
    <x v="3"/>
    <s v="ER"/>
    <s v="KOL"/>
    <d v="2019-09-24T00:00:00"/>
    <n v="552"/>
    <s v="Nashik"/>
    <s v="U7D2S04V.005"/>
    <d v="2020-07-09T00:00:00"/>
    <s v="UAT2Y440.012"/>
    <d v="2021-09-14T00:00:00"/>
    <d v="2023-06-29T00:00:00"/>
    <d v="2022-03-21T00:00:00"/>
    <s v="Metal Short Link "/>
    <s v="Already Available"/>
    <s v="Done"/>
    <s v="Done"/>
    <s v="DONE"/>
    <s v="Conv-B DONE"/>
    <s v="Done"/>
    <s v="Not available"/>
    <s v="OK"/>
    <s v="OK"/>
    <d v="2022-03-06T00:00:00"/>
    <m/>
    <m/>
    <d v="2022-03-06T00:00:00"/>
    <m/>
    <d v="2023-02-15T00:00:00"/>
    <d v="2024-06-28T00:00:00"/>
    <d v="2023-06-29T00:00:00"/>
    <d v="2023-08-08T00:00:00"/>
    <s v="Checked"/>
    <d v="2024-07-16T00:00:00"/>
    <d v="2024-03-15T00:00:00"/>
    <d v="2024-02-11T00:00:00"/>
    <m/>
  </r>
  <r>
    <n v="181"/>
    <n v="37246"/>
    <s v="HLC-A"/>
    <s v="STB7L0610HLCD"/>
    <x v="3"/>
    <s v="ER"/>
    <s v="KOL"/>
    <d v="2019-09-20T00:00:00"/>
    <n v="610"/>
    <s v="Nashik"/>
    <s v="U7D2S04V.005"/>
    <d v="2020-11-12T00:00:00"/>
    <s v="UAT2Y440.012"/>
    <d v="2021-11-25T00:00:00"/>
    <d v="2023-02-01T00:00:00"/>
    <d v="2022-06-08T00:00:00"/>
    <s v="Metal Short Link "/>
    <s v="Already Available"/>
    <s v="Done"/>
    <s v="Done"/>
    <s v="DONE"/>
    <s v="Conv-A DONE"/>
    <s v="Done"/>
    <s v="Not available"/>
    <s v="OK"/>
    <s v="OK"/>
    <d v="2022-07-02T00:00:00"/>
    <m/>
    <m/>
    <d v="2022-02-04T00:00:00"/>
    <m/>
    <d v="2023-03-13T00:00:00"/>
    <d v="2024-04-09T00:00:00"/>
    <d v="2023-07-06T00:00:00"/>
    <d v="2023-06-27T00:00:00"/>
    <s v="Checked"/>
    <s v="24-07-2024"/>
    <m/>
    <s v="21.08.24"/>
    <m/>
  </r>
  <r>
    <n v="182"/>
    <n v="37246"/>
    <s v="HLC-B"/>
    <s v="STB6L0577HLCD"/>
    <x v="3"/>
    <s v="ER"/>
    <s v="KOL"/>
    <d v="2019-09-20T00:00:00"/>
    <n v="577"/>
    <s v="Nashik"/>
    <s v="U7D2S04V.005"/>
    <d v="2020-11-12T00:00:00"/>
    <s v="UAT2Y440.012"/>
    <d v="2021-11-25T00:00:00"/>
    <d v="2023-02-01T00:00:00"/>
    <d v="2022-06-08T00:00:00"/>
    <s v="Metal Short Link "/>
    <s v="Already Available"/>
    <s v="Done"/>
    <s v="Done"/>
    <s v="DONE"/>
    <s v="Conv-B DONE"/>
    <s v="Done"/>
    <s v="Not available"/>
    <s v="OK"/>
    <s v="OK"/>
    <d v="2022-07-02T00:00:00"/>
    <s v="EL17D05016R"/>
    <m/>
    <d v="2022-02-04T00:00:00"/>
    <m/>
    <d v="2023-03-13T00:00:00"/>
    <d v="2024-04-09T00:00:00"/>
    <d v="2023-07-06T00:00:00"/>
    <d v="2023-06-27T00:00:00"/>
    <s v="Checked"/>
    <s v="24-07-2024"/>
    <m/>
    <s v="21.08.24"/>
    <m/>
  </r>
  <r>
    <n v="183"/>
    <n v="37268"/>
    <s v="HLC-A"/>
    <s v="STB7L0611HLCD"/>
    <x v="3"/>
    <s v="ER"/>
    <s v="KOL"/>
    <d v="2019-10-19T00:00:00"/>
    <n v="611"/>
    <s v="Nashik"/>
    <s v="U7D2S04V.005"/>
    <d v="2020-08-14T00:00:00"/>
    <s v="UAT2Y440.012"/>
    <d v="2020-12-15T00:00:00"/>
    <m/>
    <d v="2022-06-11T00:00:00"/>
    <s v="Metal Short Link "/>
    <s v="Already Available"/>
    <s v="Done"/>
    <s v="Done"/>
    <s v="DONE"/>
    <d v="2022-06-08T00:00:00"/>
    <s v="Done"/>
    <s v="Both side not available"/>
    <s v="OK"/>
    <s v="OK"/>
    <m/>
    <m/>
    <m/>
    <d v="2022-03-10T00:00:00"/>
    <s v="21-02-25"/>
    <d v="2022-04-07T00:00:00"/>
    <d v="2024-06-29T00:00:00"/>
    <d v="2023-07-15T00:00:00"/>
    <d v="2023-07-15T00:00:00"/>
    <s v="Checked"/>
    <d v="2024-07-08T00:00:00"/>
    <m/>
    <d v="2024-04-09T00:00:00"/>
    <m/>
  </r>
  <r>
    <n v="184"/>
    <n v="37268"/>
    <s v="HLC-B"/>
    <s v="STB6L0570HLCD"/>
    <x v="3"/>
    <s v="ER"/>
    <s v="KOL"/>
    <d v="2019-10-19T00:00:00"/>
    <n v="570"/>
    <s v="Nashik"/>
    <s v="U7D2S04V.005"/>
    <d v="2020-08-14T00:00:00"/>
    <s v="UAT2Y440.012"/>
    <d v="2020-12-15T00:00:00"/>
    <m/>
    <d v="2022-06-11T00:00:00"/>
    <s v="Metal Short Link "/>
    <s v="Already Available"/>
    <s v="Done"/>
    <s v="Done"/>
    <s v="DONE"/>
    <s v="Conv-B DONE"/>
    <s v="Done"/>
    <s v="Both side not available"/>
    <s v="OK"/>
    <s v="OK"/>
    <m/>
    <m/>
    <m/>
    <d v="2022-03-10T00:00:00"/>
    <m/>
    <d v="2022-04-07T00:00:00"/>
    <d v="2024-06-29T00:00:00"/>
    <d v="2023-07-15T00:00:00"/>
    <d v="2023-07-15T00:00:00"/>
    <s v="Checked"/>
    <d v="2024-07-08T00:00:00"/>
    <m/>
    <d v="2024-04-09T00:00:00"/>
    <s v="22.02.25"/>
  </r>
  <r>
    <n v="185"/>
    <n v="37272"/>
    <s v="HLC-A"/>
    <s v="STB7L0644HLCD"/>
    <x v="3"/>
    <s v="ER"/>
    <s v="KOL"/>
    <d v="2019-10-21T00:00:00"/>
    <n v="644"/>
    <s v="Nashik"/>
    <s v="U7D2S04V.005"/>
    <d v="2021-01-03T00:00:00"/>
    <s v="UAT2Y440.012"/>
    <d v="2021-11-18T00:00:00"/>
    <d v="2023-06-19T00:00:00"/>
    <d v="2022-06-11T00:00:00"/>
    <s v="Metal Short Link "/>
    <s v="Already Available"/>
    <s v="Done"/>
    <s v="Done"/>
    <s v="DONE"/>
    <s v="Conv-A DONE"/>
    <s v="Done"/>
    <s v="Not available"/>
    <s v="OK"/>
    <s v="OK"/>
    <m/>
    <m/>
    <m/>
    <d v="2022-02-04T00:00:00"/>
    <m/>
    <d v="2022-06-17T00:00:00"/>
    <d v="2024-07-12T00:00:00"/>
    <d v="2023-09-22T00:00:00"/>
    <d v="2023-09-22T00:00:00"/>
    <s v="Checked"/>
    <s v="21-02-2025"/>
    <m/>
    <s v="28.05.24"/>
    <m/>
  </r>
  <r>
    <n v="186"/>
    <n v="37272"/>
    <s v="HLC-B"/>
    <s v="STB7L0645HLCD"/>
    <x v="3"/>
    <s v="ER"/>
    <s v="KOL"/>
    <d v="2019-10-21T00:00:00"/>
    <n v="645"/>
    <s v="Nashik"/>
    <s v="U7D2S04V.005"/>
    <d v="2021-01-03T00:00:00"/>
    <s v="UAT2Y440.012"/>
    <d v="2021-11-18T00:00:00"/>
    <d v="2023-06-19T00:00:00"/>
    <d v="2022-06-11T00:00:00"/>
    <s v="Metal Short Link "/>
    <s v="Already Available"/>
    <s v="Done"/>
    <s v="Done"/>
    <s v="DONE"/>
    <s v="Conv-B DONE"/>
    <s v="Done"/>
    <s v="Not available"/>
    <s v="OK"/>
    <s v="OK"/>
    <m/>
    <m/>
    <m/>
    <d v="2022-02-04T00:00:00"/>
    <m/>
    <d v="2022-06-17T00:00:00"/>
    <d v="2024-07-12T00:00:00"/>
    <d v="2023-09-22T00:00:00"/>
    <d v="2023-09-22T00:00:00"/>
    <s v="Checked"/>
    <s v="21-02-2025"/>
    <m/>
    <s v="28.05.24"/>
    <m/>
  </r>
  <r>
    <n v="187"/>
    <n v="37357"/>
    <s v="HLC-A"/>
    <s v="STBDL0741HLCD"/>
    <x v="3"/>
    <s v="ER"/>
    <s v="KOL"/>
    <d v="2020-03-21T00:00:00"/>
    <n v="741"/>
    <s v="Nashik"/>
    <s v="U7D2S04V.005"/>
    <d v="2021-02-09T00:00:00"/>
    <s v="UAT2Y440.012"/>
    <d v="2020-12-08T00:00:00"/>
    <d v="2023-03-27T00:00:00"/>
    <d v="2022-06-07T00:00:00"/>
    <s v="Metal Short Link "/>
    <s v="Already Available"/>
    <s v="Done"/>
    <s v="Done"/>
    <s v="DONE"/>
    <d v="2022-06-21T00:00:00"/>
    <s v="Done"/>
    <s v="Both side available"/>
    <s v="OK"/>
    <s v="OK"/>
    <d v="2022-07-11T00:00:00"/>
    <s v="EL18B02014-R"/>
    <m/>
    <d v="2022-01-31T00:00:00"/>
    <m/>
    <d v="2022-07-11T00:00:00"/>
    <d v="2024-10-04T00:00:00"/>
    <d v="2023-06-12T00:00:00"/>
    <d v="2023-11-08T00:00:00"/>
    <s v="Checked"/>
    <d v="2025-08-01T00:00:00"/>
    <d v="2024-03-12T00:00:00"/>
    <d v="2025-08-01T00:00:00"/>
    <m/>
  </r>
  <r>
    <n v="188"/>
    <n v="37357"/>
    <s v="HLC-B"/>
    <s v="STB7L0612HLCD"/>
    <x v="3"/>
    <s v="ER"/>
    <s v="KOL"/>
    <d v="2020-03-21T00:00:00"/>
    <n v="612"/>
    <s v="Nashik"/>
    <s v="U7D2S04V.005"/>
    <d v="2021-02-09T00:00:00"/>
    <s v="UAT2Y440.012"/>
    <d v="2020-12-08T00:00:00"/>
    <d v="2023-03-27T00:00:00"/>
    <d v="2022-06-07T00:00:00"/>
    <s v="Metal Short Link "/>
    <s v="Already Available"/>
    <s v="Done"/>
    <s v="Done"/>
    <s v="DONE"/>
    <s v="Conv-B DONE"/>
    <s v="Done"/>
    <s v="Both side available"/>
    <s v="OK"/>
    <s v="OK"/>
    <d v="2022-07-11T00:00:00"/>
    <s v="EL17J05012-R"/>
    <m/>
    <d v="2022-01-31T00:00:00"/>
    <m/>
    <d v="2022-07-11T00:00:00"/>
    <d v="2024-10-04T00:00:00"/>
    <d v="2023-06-12T00:00:00"/>
    <d v="2023-10-08T00:00:00"/>
    <s v="Checked"/>
    <d v="2025-08-01T00:00:00"/>
    <d v="2024-03-12T00:00:00"/>
    <d v="2025-08-01T00:00:00"/>
    <s v="14.05.25"/>
  </r>
  <r>
    <n v="189"/>
    <n v="37400"/>
    <s v="HLC-A"/>
    <s v="STB5M0794HLCD"/>
    <x v="3"/>
    <s v="ER"/>
    <s v="KOL"/>
    <d v="2020-07-25T00:00:00"/>
    <n v="794"/>
    <s v="Nashik"/>
    <s v="U7D2S04V.005"/>
    <d v="2021-04-04T00:00:00"/>
    <s v="UAT2Y440.012"/>
    <d v="2021-09-18T00:00:00"/>
    <m/>
    <d v="2022-06-09T00:00:00"/>
    <s v="Wire Short Link "/>
    <s v="Already Available"/>
    <s v="Done"/>
    <s v="Done"/>
    <s v="DONE"/>
    <d v="2022-06-02T00:00:00"/>
    <s v="Done"/>
    <s v="Both side available"/>
    <s v="OK"/>
    <s v="OK"/>
    <d v="2022-08-18T00:00:00"/>
    <m/>
    <m/>
    <d v="2022-02-04T00:00:00"/>
    <m/>
    <d v="2022-06-03T00:00:00"/>
    <d v="2024-09-07T00:00:00"/>
    <d v="2023-06-27T00:00:00"/>
    <d v="2023-06-27T00:00:00"/>
    <s v="Checked"/>
    <s v="23-02-25"/>
    <m/>
    <s v="22-12-2024"/>
    <s v="08.01.25"/>
  </r>
  <r>
    <n v="190"/>
    <n v="37400"/>
    <s v="HLC-B"/>
    <s v="STBNL0721HLCD"/>
    <x v="3"/>
    <s v="ER"/>
    <s v="KOL"/>
    <d v="2020-07-25T00:00:00"/>
    <n v="721"/>
    <s v="Nashik"/>
    <s v="U7D2S04V.005"/>
    <d v="2021-04-04T00:00:00"/>
    <s v="UAT2Y440.012"/>
    <d v="2021-09-18T00:00:00"/>
    <m/>
    <d v="2022-06-09T00:00:00"/>
    <s v="Wire Short Link "/>
    <s v="Already Available"/>
    <s v="Done"/>
    <s v="Done"/>
    <s v="DONE"/>
    <s v="Conv-B DONE"/>
    <s v="Done"/>
    <s v="Both side available"/>
    <s v="OK"/>
    <s v="OK"/>
    <d v="2022-08-18T00:00:00"/>
    <m/>
    <m/>
    <d v="2022-02-04T00:00:00"/>
    <m/>
    <d v="2022-06-03T00:00:00"/>
    <d v="2024-09-07T00:00:00"/>
    <d v="2023-06-27T00:00:00"/>
    <d v="2023-06-27T00:00:00"/>
    <s v="Checked"/>
    <s v="23-02-25"/>
    <m/>
    <s v="22-12-2024"/>
    <m/>
  </r>
  <r>
    <n v="191"/>
    <n v="37401"/>
    <s v="HLC-A"/>
    <s v="STB5M0797HLCD"/>
    <x v="3"/>
    <s v="ER"/>
    <s v="KOL"/>
    <d v="2020-07-27T00:00:00"/>
    <n v="797"/>
    <s v="Nashik"/>
    <s v="U7D2S04V.005"/>
    <d v="2021-08-31T00:00:00"/>
    <s v="UAT2Y440.012"/>
    <d v="2021-10-10T00:00:00"/>
    <m/>
    <d v="2022-06-08T00:00:00"/>
    <s v="Wire Short Link "/>
    <s v="Already Available"/>
    <s v="Done"/>
    <s v="Done"/>
    <s v="DONE"/>
    <d v="2022-06-21T00:00:00"/>
    <s v="Done"/>
    <s v="Both side available"/>
    <s v="OK"/>
    <s v="OK"/>
    <m/>
    <s v="EL21D01-009"/>
    <m/>
    <d v="2022-01-31T00:00:00"/>
    <m/>
    <d v="2022-06-21T00:00:00"/>
    <d v="2024-08-07T00:00:00"/>
    <d v="2024-01-13T00:00:00"/>
    <d v="2024-01-13T00:00:00"/>
    <s v="Checked"/>
    <d v="2024-03-19T00:00:00"/>
    <m/>
    <s v="23.11.24"/>
    <d v="2025-01-03T00:00:00"/>
  </r>
  <r>
    <n v="192"/>
    <n v="37401"/>
    <s v="HLC-B"/>
    <s v="STB5M0795HLCD"/>
    <x v="3"/>
    <s v="ER"/>
    <s v="KOL"/>
    <d v="2020-07-27T00:00:00"/>
    <n v="795"/>
    <s v="Nashik"/>
    <s v="U7D2S04V.005"/>
    <d v="2021-08-31T00:00:00"/>
    <s v="UAT2Y440.012"/>
    <d v="2021-10-10T00:00:00"/>
    <m/>
    <d v="2022-06-08T00:00:00"/>
    <s v="Wire Short Link "/>
    <s v="Already Available"/>
    <s v="Done"/>
    <s v="Done"/>
    <s v="DONE"/>
    <s v="Con-B Done"/>
    <s v="Done"/>
    <s v="Both side available"/>
    <s v="OK"/>
    <s v="OK"/>
    <m/>
    <s v="EL21D01-012"/>
    <m/>
    <d v="2022-01-31T00:00:00"/>
    <m/>
    <d v="2022-06-21T00:00:00"/>
    <d v="2024-08-07T00:00:00"/>
    <d v="2024-01-13T00:00:00"/>
    <d v="2024-01-13T00:00:00"/>
    <s v="Checked"/>
    <d v="2024-03-19T00:00:00"/>
    <m/>
    <s v="23.11.24"/>
    <m/>
  </r>
  <r>
    <n v="193"/>
    <n v="37403"/>
    <s v="HLC-A"/>
    <s v="STB5M0796HLCD"/>
    <x v="3"/>
    <s v="ER"/>
    <s v="KOL"/>
    <d v="2020-07-29T00:00:00"/>
    <n v="796"/>
    <s v="Nashik"/>
    <s v="U7D2S04V.005"/>
    <d v="2021-01-20T00:00:00"/>
    <s v="UAT2Y440.012"/>
    <d v="2020-12-15T00:00:00"/>
    <d v="2021-06-03T00:00:00"/>
    <d v="2022-06-08T00:00:00"/>
    <s v="Wire Short Link "/>
    <s v="Already Available"/>
    <s v="Done"/>
    <s v="Done"/>
    <s v="DONE"/>
    <d v="2022-06-02T00:00:00"/>
    <s v="Done"/>
    <s v="Both side available"/>
    <s v="OK"/>
    <s v="OK"/>
    <m/>
    <m/>
    <m/>
    <d v="2022-03-14T00:00:00"/>
    <m/>
    <d v="2023-03-22T00:00:00"/>
    <s v="16-07-24"/>
    <d v="2023-08-09T00:00:00"/>
    <d v="2023-08-09T00:00:00"/>
    <s v="Checked"/>
    <d v="2024-06-22T00:00:00"/>
    <s v="20-06-24"/>
    <s v="24-09-24"/>
    <m/>
  </r>
  <r>
    <n v="194"/>
    <n v="37403"/>
    <s v="HLC-B"/>
    <s v="STB5M0793HLCD"/>
    <x v="3"/>
    <s v="ER"/>
    <s v="KOL"/>
    <d v="2020-07-29T00:00:00"/>
    <n v="793"/>
    <s v="Nashik"/>
    <s v="U7D2S04V.005"/>
    <d v="2021-01-20T00:00:00"/>
    <s v="UAT2Y440.012"/>
    <d v="2020-12-15T00:00:00"/>
    <d v="2021-06-03T00:00:00"/>
    <d v="2022-06-08T00:00:00"/>
    <s v="Wire Short Link "/>
    <s v="Already Available"/>
    <s v="Done"/>
    <s v="Done"/>
    <s v="DONE"/>
    <d v="2022-06-02T00:00:00"/>
    <s v="Done"/>
    <s v="Both side available"/>
    <s v="OK"/>
    <s v="OK"/>
    <m/>
    <m/>
    <m/>
    <d v="2022-03-14T00:00:00"/>
    <m/>
    <d v="2023-03-22T00:00:00"/>
    <s v="16-07-24"/>
    <d v="2023-08-09T00:00:00"/>
    <d v="2023-08-09T00:00:00"/>
    <s v="Checked"/>
    <d v="2024-06-22T00:00:00"/>
    <s v="20-06-24"/>
    <s v="24-09-24"/>
    <m/>
  </r>
  <r>
    <n v="195"/>
    <n v="37405"/>
    <s v="HLC-A"/>
    <s v="STB5M0790HLCD"/>
    <x v="3"/>
    <s v="ER"/>
    <s v="KOL"/>
    <d v="2020-07-28T00:00:00"/>
    <n v="790"/>
    <s v="Nashik"/>
    <s v="U7D2S04V.005"/>
    <d v="2021-06-21T00:00:00"/>
    <s v="UAT2Y440.012"/>
    <d v="2021-10-07T00:00:00"/>
    <m/>
    <d v="2022-06-08T00:00:00"/>
    <s v="Wire Short Link "/>
    <s v="Already Available"/>
    <s v="Done"/>
    <s v="Done"/>
    <s v="DONE"/>
    <d v="2022-06-02T00:00:00"/>
    <s v="Done"/>
    <s v="Both side available"/>
    <s v="OK"/>
    <s v="OK"/>
    <d v="2022-07-12T00:00:00"/>
    <m/>
    <m/>
    <d v="2022-02-22T00:00:00"/>
    <m/>
    <d v="2022-06-02T00:00:00"/>
    <d v="2024-07-10T00:00:00"/>
    <d v="2023-06-10T00:00:00"/>
    <d v="2023-08-09T00:00:00"/>
    <s v="Checked"/>
    <d v="2024-05-11T00:00:00"/>
    <m/>
    <d v="2024-04-11T00:00:00"/>
    <m/>
  </r>
  <r>
    <n v="196"/>
    <n v="37405"/>
    <s v="HLC-B"/>
    <s v="STB5M0791HLCD"/>
    <x v="3"/>
    <s v="ER"/>
    <s v="KOL"/>
    <d v="2020-07-28T00:00:00"/>
    <n v="791"/>
    <s v="Nashik"/>
    <s v="U7D2S04V.005"/>
    <d v="2021-02-06T00:00:00"/>
    <s v="UAT2Y440.012"/>
    <d v="2021-10-07T00:00:00"/>
    <m/>
    <d v="2022-06-08T00:00:00"/>
    <s v="Wire Short Link "/>
    <s v="Already Available"/>
    <s v="Done"/>
    <s v="Done"/>
    <s v="DONE"/>
    <d v="2022-06-02T00:00:00"/>
    <s v="Done"/>
    <s v="Both side available"/>
    <s v="OK"/>
    <s v="OK"/>
    <d v="2022-07-12T00:00:00"/>
    <m/>
    <m/>
    <d v="2022-02-22T00:00:00"/>
    <m/>
    <d v="2022-06-02T00:00:00"/>
    <d v="2024-07-10T00:00:00"/>
    <d v="2023-06-10T00:00:00"/>
    <d v="2023-08-09T00:00:00"/>
    <s v="Checked"/>
    <d v="2024-05-11T00:00:00"/>
    <m/>
    <d v="2024-04-11T00:00:00"/>
    <m/>
  </r>
  <r>
    <n v="197"/>
    <m/>
    <m/>
    <m/>
    <x v="8"/>
    <m/>
    <m/>
    <m/>
    <m/>
    <m/>
    <m/>
    <m/>
    <m/>
    <m/>
    <m/>
    <m/>
    <m/>
    <m/>
    <m/>
    <m/>
    <m/>
    <s v="Done"/>
    <m/>
    <m/>
    <s v="OK"/>
    <m/>
    <m/>
    <m/>
    <m/>
    <m/>
    <m/>
    <m/>
    <m/>
    <m/>
    <m/>
    <m/>
    <m/>
    <m/>
    <m/>
    <m/>
  </r>
  <r>
    <n v="198"/>
    <m/>
    <m/>
    <m/>
    <x v="8"/>
    <m/>
    <m/>
    <m/>
    <m/>
    <m/>
    <m/>
    <m/>
    <m/>
    <m/>
    <m/>
    <m/>
    <m/>
    <m/>
    <m/>
    <m/>
    <m/>
    <s v="Done"/>
    <m/>
    <m/>
    <s v="OK"/>
    <m/>
    <m/>
    <m/>
    <m/>
    <m/>
    <m/>
    <m/>
    <m/>
    <m/>
    <m/>
    <m/>
    <m/>
    <m/>
    <m/>
    <m/>
  </r>
  <r>
    <n v="199"/>
    <n v="37432"/>
    <s v="HLC-A"/>
    <s v="STB5M0811HLCD"/>
    <x v="3"/>
    <s v="ER"/>
    <s v="KOL"/>
    <d v="2020-08-25T00:00:00"/>
    <n v="811"/>
    <s v="Nashik"/>
    <s v="U7D2S04V.005"/>
    <d v="2021-01-30T00:00:00"/>
    <s v="UAT2Y440.012"/>
    <d v="2021-09-22T00:00:00"/>
    <m/>
    <d v="2022-06-27T00:00:00"/>
    <s v="Wire Short Link "/>
    <s v="Already Available"/>
    <s v="Done"/>
    <s v="Done"/>
    <s v="DONE"/>
    <s v="Conv-A DONE"/>
    <s v="Done"/>
    <s v="Both side available"/>
    <s v="OK"/>
    <s v="OK"/>
    <d v="2022-07-28T00:00:00"/>
    <s v="EL21D01-005"/>
    <m/>
    <d v="2022-01-31T00:00:00"/>
    <m/>
    <d v="2022-06-27T00:00:00"/>
    <s v="23-07-24"/>
    <d v="2023-06-25T00:00:00"/>
    <d v="2023-07-12T00:00:00"/>
    <s v="Checked"/>
    <d v="2024-05-07T00:00:00"/>
    <m/>
    <d v="2024-01-11T00:00:00"/>
    <m/>
  </r>
  <r>
    <n v="200"/>
    <n v="37432"/>
    <s v="HLC-B"/>
    <s v="STB5M0810HLCD"/>
    <x v="3"/>
    <s v="ER"/>
    <s v="KOL"/>
    <d v="2020-08-25T00:00:00"/>
    <n v="810"/>
    <s v="Nashik"/>
    <s v="U7D2S04V.005"/>
    <d v="2021-01-30T00:00:00"/>
    <s v="UAT2Y440.012"/>
    <d v="2020-12-07T00:00:00"/>
    <m/>
    <d v="2022-06-27T00:00:00"/>
    <s v="Wire Short Link "/>
    <s v="Already Available"/>
    <s v="Done"/>
    <s v="Done"/>
    <s v="DONE"/>
    <s v="Conv-B DONE"/>
    <s v="Done"/>
    <s v="Both side available"/>
    <s v="OK"/>
    <s v="OK"/>
    <d v="2022-07-28T00:00:00"/>
    <s v="EL21C01-029"/>
    <m/>
    <d v="2022-01-31T00:00:00"/>
    <m/>
    <d v="2022-06-27T00:00:00"/>
    <s v="23-07-24"/>
    <d v="2023-06-25T00:00:00"/>
    <d v="2023-07-12T00:00:00"/>
    <s v="Checked"/>
    <d v="2024-05-07T00:00:00"/>
    <m/>
    <d v="2024-01-11T00:00:00"/>
    <m/>
  </r>
  <r>
    <n v="201"/>
    <n v="37452"/>
    <s v="HLC-A"/>
    <s v="STB6M0832HLCD"/>
    <x v="3"/>
    <s v="ER"/>
    <s v="KOL"/>
    <d v="2020-10-20T00:00:00"/>
    <n v="832"/>
    <s v="Nashik"/>
    <s v="U7D2S04V.005"/>
    <d v="2021-02-24T00:00:00"/>
    <s v="UAT2Y440.012"/>
    <d v="2021-08-27T00:00:00"/>
    <d v="2021-05-17T00:00:00"/>
    <d v="2022-06-13T00:00:00"/>
    <s v="Wire Short Link "/>
    <s v="Already Available"/>
    <s v="Done"/>
    <s v="Done"/>
    <s v="DONE"/>
    <s v="Conv-A DONE"/>
    <s v="Done"/>
    <s v="Both side available"/>
    <s v="OK"/>
    <s v="OK"/>
    <d v="2022-08-10T00:00:00"/>
    <m/>
    <m/>
    <d v="2022-02-05T00:00:00"/>
    <m/>
    <d v="2023-09-04T00:00:00"/>
    <d v="2024-06-27T00:00:00"/>
    <d v="2023-09-07T00:00:00"/>
    <d v="2023-09-07T00:00:00"/>
    <s v="Checked"/>
    <d v="2024-06-09T00:00:00"/>
    <m/>
    <d v="2024-07-09T00:00:00"/>
    <m/>
  </r>
  <r>
    <n v="202"/>
    <n v="37452"/>
    <s v="HLC-B"/>
    <s v="STB6M833HLCD"/>
    <x v="3"/>
    <s v="ER"/>
    <s v="KOL"/>
    <d v="2020-10-20T00:00:00"/>
    <n v="833"/>
    <s v="Nashik"/>
    <s v="U7D2S04V.005"/>
    <d v="2021-02-24T00:00:00"/>
    <s v="UAT2Y440.012"/>
    <d v="2021-08-27T00:00:00"/>
    <d v="2021-05-17T00:00:00"/>
    <d v="2022-06-13T00:00:00"/>
    <s v="Wire Short Link "/>
    <s v="Already Available"/>
    <s v="Done"/>
    <s v="Done"/>
    <s v="DONE"/>
    <s v="Conv-B DONE"/>
    <s v="Done"/>
    <s v="Both side available"/>
    <s v="OK"/>
    <s v="OK"/>
    <d v="2022-08-10T00:00:00"/>
    <m/>
    <m/>
    <d v="2022-02-05T00:00:00"/>
    <m/>
    <d v="2022-05-17T00:00:00"/>
    <d v="2024-06-27T00:00:00"/>
    <d v="2023-09-07T00:00:00"/>
    <d v="2023-09-07T00:00:00"/>
    <s v="Checked"/>
    <d v="2024-06-09T00:00:00"/>
    <m/>
    <d v="2024-07-09T00:00:00"/>
    <s v="15.01.25"/>
  </r>
  <r>
    <n v="203"/>
    <n v="37456"/>
    <s v="HLC-A"/>
    <s v="STB8M0920HLCD"/>
    <x v="3"/>
    <s v="ER"/>
    <s v="KOL"/>
    <d v="2020-10-22T00:00:00"/>
    <n v="920"/>
    <s v="Nashik"/>
    <s v="U7D2S04V.005"/>
    <d v="2021-09-14T00:00:00"/>
    <s v="UAT2Y440.012"/>
    <d v="2021-08-27T00:00:00"/>
    <d v="2022-03-14T00:00:00"/>
    <d v="2022-06-07T00:00:00"/>
    <s v="Wire Short Link "/>
    <s v="Already Available"/>
    <s v="Done"/>
    <s v="Done"/>
    <s v="DONE"/>
    <s v="Conv-A DONE"/>
    <s v="Done"/>
    <s v="PWR side available"/>
    <s v="OK"/>
    <s v="OK"/>
    <m/>
    <m/>
    <m/>
    <d v="2022-01-31T00:00:00"/>
    <m/>
    <d v="2022-06-07T00:00:00"/>
    <s v="18-07-24"/>
    <d v="2023-06-12T00:00:00"/>
    <d v="2023-09-05T00:00:00"/>
    <s v="Checked"/>
    <d v="2024-07-09T00:00:00"/>
    <d v="2024-06-09T00:00:00"/>
    <d v="2024-06-09T00:00:00"/>
    <m/>
  </r>
  <r>
    <n v="204"/>
    <n v="37456"/>
    <s v="HLC-B"/>
    <s v="STB8M0921HLCD"/>
    <x v="3"/>
    <s v="ER"/>
    <s v="KOL"/>
    <d v="2020-10-22T00:00:00"/>
    <n v="921"/>
    <s v="Nashik"/>
    <s v="U7D2S04V.005"/>
    <d v="2021-09-14T00:00:00"/>
    <s v="UAT2Y440.012"/>
    <d v="2021-08-27T00:00:00"/>
    <d v="2022-03-14T00:00:00"/>
    <d v="2022-06-07T00:00:00"/>
    <s v="Wire Short Link "/>
    <s v="Already Available"/>
    <s v="Done"/>
    <s v="Done"/>
    <s v="DONE"/>
    <s v="Conv-B DONE"/>
    <s v="Done"/>
    <s v="PWR side available"/>
    <s v="OK"/>
    <s v="OK"/>
    <m/>
    <m/>
    <m/>
    <d v="2022-01-31T00:00:00"/>
    <m/>
    <d v="2022-06-07T00:00:00"/>
    <s v="18-07-24"/>
    <d v="2023-06-12T00:00:00"/>
    <d v="2023-09-05T00:00:00"/>
    <s v="Checked"/>
    <d v="2024-07-09T00:00:00"/>
    <d v="2024-06-09T00:00:00"/>
    <d v="2024-06-09T00:00:00"/>
    <m/>
  </r>
  <r>
    <n v="205"/>
    <n v="37502"/>
    <s v="HLC-A"/>
    <s v="STB8M0952HLCD"/>
    <x v="3"/>
    <s v="ER"/>
    <s v="KOL"/>
    <d v="2020-12-24T00:00:00"/>
    <n v="952"/>
    <s v="Nashik"/>
    <s v="U7D2S04V.005"/>
    <d v="2021-02-24T00:00:00"/>
    <s v="UAT2Y440.012"/>
    <d v="2021-09-03T00:00:00"/>
    <m/>
    <d v="2022-06-16T00:00:00"/>
    <s v="Wire Short Link "/>
    <s v="Already Available"/>
    <s v="Done"/>
    <s v="Done"/>
    <s v="DONE"/>
    <s v="Conv-A DONE"/>
    <s v="Done"/>
    <s v="PWR side available"/>
    <s v="OK"/>
    <s v="OK"/>
    <d v="2022-07-20T00:00:00"/>
    <m/>
    <m/>
    <d v="2022-02-09T00:00:00"/>
    <m/>
    <d v="2022-07-20T00:00:00"/>
    <d v="2024-06-26T00:00:00"/>
    <d v="2023-06-25T00:00:00"/>
    <d v="2023-09-07T00:00:00"/>
    <s v="Checked"/>
    <d v="2024-06-25T00:00:00"/>
    <s v="25-06-24"/>
    <s v="22-11-24"/>
    <m/>
  </r>
  <r>
    <n v="206"/>
    <n v="37502"/>
    <s v="HLC-B"/>
    <s v="STB8M0953HLCD"/>
    <x v="3"/>
    <s v="ER"/>
    <s v="KOL"/>
    <d v="2020-12-24T00:00:00"/>
    <n v="953"/>
    <s v="Nashik"/>
    <s v="U7D2S04V.005"/>
    <d v="2021-02-24T00:00:00"/>
    <s v="UAT2Y440.012"/>
    <d v="2021-09-03T00:00:00"/>
    <m/>
    <d v="2022-06-16T00:00:00"/>
    <s v="Wire Short Link "/>
    <s v="Already Available"/>
    <s v="Done"/>
    <s v="Done"/>
    <s v="DONE"/>
    <s v="Conv-B DONE"/>
    <s v="Done"/>
    <s v="PWR side available"/>
    <s v="OK"/>
    <s v="OK"/>
    <d v="2022-07-20T00:00:00"/>
    <m/>
    <m/>
    <d v="2022-02-09T00:00:00"/>
    <m/>
    <d v="2022-07-20T00:00:00"/>
    <d v="2024-06-26T00:00:00"/>
    <d v="2023-06-25T00:00:00"/>
    <d v="2023-09-07T00:00:00"/>
    <s v="Checked"/>
    <d v="2024-06-25T00:00:00"/>
    <s v="25-06-24"/>
    <s v="22-11-24"/>
    <m/>
  </r>
  <r>
    <n v="207"/>
    <n v="37585"/>
    <s v="HLC-A"/>
    <s v="STBDL0754HLCD"/>
    <x v="3"/>
    <s v="ER"/>
    <s v="KOL"/>
    <d v="2021-05-29T00:00:00"/>
    <n v="754"/>
    <s v="Nashik"/>
    <s v="U7D2S04V.005"/>
    <s v="from NW"/>
    <s v="UAT2Y440.012"/>
    <s v="from NW"/>
    <m/>
    <m/>
    <s v="Wire Short Link "/>
    <s v="Done"/>
    <s v="Done"/>
    <s v="Done"/>
    <s v="DONE"/>
    <d v="2022-06-08T00:00:00"/>
    <s v="Done"/>
    <s v="Not available"/>
    <s v="OK"/>
    <m/>
    <m/>
    <m/>
    <m/>
    <d v="2022-01-27T00:00:00"/>
    <m/>
    <d v="2023-09-09T00:00:00"/>
    <s v="20-09-24"/>
    <d v="2023-06-25T00:00:00"/>
    <d v="2023-08-12T00:00:00"/>
    <s v="Checked"/>
    <s v="21-03-25"/>
    <m/>
    <d v="2025-05-01T00:00:00"/>
    <m/>
  </r>
  <r>
    <n v="208"/>
    <n v="37585"/>
    <s v="HLC-B"/>
    <s v="STBDL0760HLCD"/>
    <x v="3"/>
    <s v="ER"/>
    <s v="KOL"/>
    <d v="2021-05-29T00:00:00"/>
    <n v="760"/>
    <s v="Nashik"/>
    <s v="U7D2S04V.005"/>
    <s v="from NW"/>
    <s v="UAT2Y440.012"/>
    <s v="from NW"/>
    <m/>
    <m/>
    <s v="Wire Short Link "/>
    <s v="Done"/>
    <s v="Done"/>
    <s v="Done"/>
    <s v="DONE"/>
    <s v="Conv-A DONE"/>
    <s v="Done"/>
    <s v="Not available"/>
    <s v="OK"/>
    <m/>
    <m/>
    <m/>
    <m/>
    <d v="2022-01-27T00:00:00"/>
    <m/>
    <d v="2023-09-09T00:00:00"/>
    <s v="20-09-24"/>
    <d v="2023-06-25T00:00:00"/>
    <d v="2023-08-12T00:00:00"/>
    <s v="Checked"/>
    <s v="21-03-25"/>
    <m/>
    <d v="2025-05-01T00:00:00"/>
    <m/>
  </r>
  <r>
    <n v="209"/>
    <n v="37586"/>
    <s v="HLC-A"/>
    <s v="STB7M0870HLCD"/>
    <x v="3"/>
    <s v="ER"/>
    <s v="KOL"/>
    <d v="2021-06-15T00:00:00"/>
    <n v="870"/>
    <s v="Nashik"/>
    <s v="U7D2S04V.005"/>
    <d v="2021-09-10T00:00:00"/>
    <s v="UAT2Y440.012"/>
    <d v="2021-09-24T00:00:00"/>
    <m/>
    <d v="2022-06-12T00:00:00"/>
    <s v="Wire Short Link "/>
    <s v="Done"/>
    <s v="Done"/>
    <s v="Done"/>
    <s v="DONE"/>
    <s v="Conv-B DONE"/>
    <s v="Done"/>
    <s v="Both side available"/>
    <s v="OK"/>
    <m/>
    <d v="2022-07-02T00:00:00"/>
    <m/>
    <m/>
    <d v="2022-01-27T00:00:00"/>
    <m/>
    <d v="2022-07-25T00:00:00"/>
    <s v="30-07-24"/>
    <d v="2023-06-14T00:00:00"/>
    <d v="2024-01-06T00:00:00"/>
    <s v="Checked"/>
    <s v="28-03-2025"/>
    <m/>
    <s v="10.11.24"/>
    <m/>
  </r>
  <r>
    <n v="210"/>
    <n v="37586"/>
    <s v="HLC-B"/>
    <s v="STB7M0871HLCD"/>
    <x v="3"/>
    <s v="ER"/>
    <s v="KOL"/>
    <d v="2021-06-15T00:00:00"/>
    <n v="871"/>
    <s v="Nashik"/>
    <s v="U7D2S04V.005"/>
    <d v="2021-09-10T00:00:00"/>
    <s v="UAT2Y440.012"/>
    <d v="2021-09-24T00:00:00"/>
    <m/>
    <d v="2022-06-12T00:00:00"/>
    <s v="Wire Short Link "/>
    <s v="Done"/>
    <s v="Done"/>
    <s v="Done"/>
    <s v="DONE"/>
    <s v="Conv-A DONE"/>
    <s v="Done"/>
    <s v="Both side available"/>
    <s v="OK"/>
    <m/>
    <d v="2022-07-02T00:00:00"/>
    <m/>
    <m/>
    <d v="2022-01-25T00:00:00"/>
    <m/>
    <d v="2022-07-25T00:00:00"/>
    <s v="30-07-24"/>
    <d v="2023-06-14T00:00:00"/>
    <d v="2024-01-06T00:00:00"/>
    <s v="Checked"/>
    <d v="2024-02-28T00:00:00"/>
    <m/>
    <d v="2024-10-11T00:00:00"/>
    <m/>
  </r>
  <r>
    <n v="211"/>
    <n v="39093"/>
    <s v="HLC-A"/>
    <s v="STB5L0539HLCD"/>
    <x v="3"/>
    <s v="ER"/>
    <s v="KOL"/>
    <d v="2019-09-16T00:00:00"/>
    <n v="539"/>
    <s v="Nashik"/>
    <s v="U7D2S04V.005"/>
    <d v="2020-11-11T00:00:00"/>
    <s v="UAT2Y440.012"/>
    <d v="2020-12-08T00:00:00"/>
    <m/>
    <d v="2022-07-12T00:00:00"/>
    <s v="Wire Short Link "/>
    <s v="Already Available"/>
    <s v="Done"/>
    <s v="Done"/>
    <s v="DONE"/>
    <s v="Conv-B DONE"/>
    <s v="Done"/>
    <s v="Both side not available"/>
    <s v="OK"/>
    <s v="OK"/>
    <d v="2022-07-12T00:00:00"/>
    <m/>
    <m/>
    <d v="2022-01-25T00:00:00"/>
    <m/>
    <d v="2022-07-25T00:00:00"/>
    <d v="2024-06-28T00:00:00"/>
    <d v="2023-06-07T00:00:00"/>
    <d v="2023-09-15T00:00:00"/>
    <s v="Checked"/>
    <d v="2024-07-15T00:00:00"/>
    <d v="2024-03-07T00:00:00"/>
    <s v="25-10-24"/>
    <m/>
  </r>
  <r>
    <n v="212"/>
    <n v="39093"/>
    <s v="HLC-B"/>
    <s v="STB5L0536HLCD"/>
    <x v="3"/>
    <s v="ER"/>
    <s v="KOL"/>
    <d v="2019-09-16T00:00:00"/>
    <n v="536"/>
    <s v="Nashik"/>
    <s v="U7D2S04V.005"/>
    <d v="2020-11-11T00:00:00"/>
    <s v="UAT2Y440.012"/>
    <d v="2020-12-08T00:00:00"/>
    <m/>
    <d v="2022-07-12T00:00:00"/>
    <s v="Wire Short Link "/>
    <s v="Already Available"/>
    <s v="Done"/>
    <s v="Done"/>
    <s v="DONE"/>
    <s v="Conv-A DONE"/>
    <s v="Done"/>
    <s v="Both side not available"/>
    <s v="OK"/>
    <s v="OK"/>
    <d v="2022-07-12T00:00:00"/>
    <s v="EU8C04013-R"/>
    <m/>
    <d v="2022-01-25T00:00:00"/>
    <m/>
    <d v="2022-07-25T00:00:00"/>
    <d v="2024-06-28T00:00:00"/>
    <d v="2023-06-07T00:00:00"/>
    <d v="2023-09-15T00:00:00"/>
    <s v="Checked"/>
    <d v="2024-07-15T00:00:00"/>
    <d v="2024-03-07T00:00:00"/>
    <s v="25-10-24"/>
    <m/>
  </r>
  <r>
    <n v="213"/>
    <n v="39095"/>
    <s v="HLC-A"/>
    <s v="STB7L0590HLCD"/>
    <x v="3"/>
    <s v="ER"/>
    <s v="KOL"/>
    <d v="2019-09-20T00:00:00"/>
    <n v="590"/>
    <s v="Nashik"/>
    <s v="U7D2S04V.005"/>
    <d v="2021-03-01T00:00:00"/>
    <s v="UAT2Y440.012"/>
    <d v="2021-10-06T00:00:00"/>
    <d v="2022-12-15T00:00:00"/>
    <d v="2024-04-03T00:00:00"/>
    <s v="Wire Short Link "/>
    <s v="from NW"/>
    <s v="Done"/>
    <s v="Done"/>
    <s v="DONE"/>
    <s v="Conv-B DONE"/>
    <s v="Done"/>
    <s v="Not available"/>
    <s v="OK"/>
    <s v="OK"/>
    <d v="2022-08-19T00:00:00"/>
    <m/>
    <m/>
    <d v="2022-02-04T00:00:00"/>
    <m/>
    <d v="2023-06-27T00:00:00"/>
    <s v="23-07-24"/>
    <d v="2023-06-30T00:00:00"/>
    <d v="2023-06-30T00:00:00"/>
    <s v="Checked"/>
    <d v="2024-07-04T00:00:00"/>
    <m/>
    <s v="25.05.24"/>
    <m/>
  </r>
  <r>
    <n v="214"/>
    <n v="39095"/>
    <s v="HLC-B"/>
    <s v="STB7L0591HLCD"/>
    <x v="3"/>
    <s v="ER"/>
    <s v="KOL"/>
    <d v="2019-09-20T00:00:00"/>
    <n v="591"/>
    <s v="Nashik"/>
    <s v="U7D2S04V.005"/>
    <d v="2021-03-01T00:00:00"/>
    <s v="UAT2Y440.012"/>
    <d v="2021-10-06T00:00:00"/>
    <d v="2022-12-15T00:00:00"/>
    <d v="2024-04-03T00:00:00"/>
    <s v="Wire Short Link "/>
    <s v="from NW"/>
    <s v="Done"/>
    <s v="Done"/>
    <s v="DONE"/>
    <s v="Conv-A DONE"/>
    <s v="Done"/>
    <s v="Not available"/>
    <s v="OK"/>
    <s v="OK"/>
    <d v="2022-08-19T00:00:00"/>
    <m/>
    <m/>
    <d v="2022-02-04T00:00:00"/>
    <m/>
    <d v="2023-06-27T00:00:00"/>
    <s v="23-07-24"/>
    <d v="2023-06-30T00:00:00"/>
    <d v="2023-06-30T00:00:00"/>
    <s v="Checked"/>
    <d v="2024-07-04T00:00:00"/>
    <m/>
    <s v="25.05.24"/>
    <m/>
  </r>
  <r>
    <n v="215"/>
    <n v="39111"/>
    <s v="HLC-A"/>
    <s v="STB3N1108HLCB"/>
    <x v="3"/>
    <s v="ER"/>
    <s v="KOL"/>
    <d v="2022-05-09T00:00:00"/>
    <n v="1108"/>
    <s v="Nashik"/>
    <s v="U7D2S04V.005"/>
    <s v="from NW"/>
    <s v="UAT2Y440.012"/>
    <s v="from NW"/>
    <d v="2023-02-02T00:00:00"/>
    <m/>
    <s v="Wire Short Link "/>
    <d v="2021-07-15T00:00:00"/>
    <s v="Done"/>
    <s v="Done"/>
    <s v="DONE"/>
    <s v="Conv-B DONE"/>
    <s v="Done"/>
    <s v="Both side available"/>
    <s v="OK"/>
    <m/>
    <d v="2022-08-04T00:00:00"/>
    <m/>
    <m/>
    <s v="from NW"/>
    <m/>
    <d v="2022-05-09T00:00:00"/>
    <s v="18-07-24"/>
    <d v="2023-06-14T00:00:00"/>
    <d v="2023-05-29T00:00:00"/>
    <s v="Checked"/>
    <d v="2024-03-20T00:00:00"/>
    <d v="2024-06-09T00:00:00"/>
    <d v="2024-06-09T00:00:00"/>
    <m/>
  </r>
  <r>
    <n v="216"/>
    <n v="39111"/>
    <s v="HLC-B"/>
    <s v="STB3N1109HLCB"/>
    <x v="3"/>
    <s v="ER"/>
    <s v="KOL"/>
    <d v="2022-05-09T00:00:00"/>
    <n v="1109"/>
    <s v="Nashik"/>
    <s v="U7D2S04V.005"/>
    <s v="from NW"/>
    <s v="UAT2Y440.012"/>
    <s v="from NW"/>
    <d v="2023-02-02T00:00:00"/>
    <m/>
    <s v="Wire Short Link "/>
    <d v="2021-07-15T00:00:00"/>
    <s v="Done"/>
    <s v="Done"/>
    <s v="DONE"/>
    <s v="Done"/>
    <s v="Done"/>
    <s v="Both side available"/>
    <s v="OK"/>
    <m/>
    <d v="2022-08-04T00:00:00"/>
    <m/>
    <m/>
    <s v="from NW"/>
    <m/>
    <d v="2022-05-09T00:00:00"/>
    <s v="18-07-24"/>
    <d v="2023-06-14T00:00:00"/>
    <d v="2023-05-29T00:00:00"/>
    <s v="Checked"/>
    <d v="2024-03-20T00:00:00"/>
    <d v="2024-06-09T00:00:00"/>
    <d v="2024-06-09T00:00:00"/>
    <m/>
  </r>
  <r>
    <n v="217"/>
    <n v="39132"/>
    <s v="HLC-A"/>
    <s v="STB0L0665HLCD"/>
    <x v="3"/>
    <s v="ER"/>
    <s v="KOL"/>
    <d v="2020-02-28T00:00:00"/>
    <n v="665"/>
    <s v="Nashik"/>
    <s v="U7D2S04V.005"/>
    <d v="2020-09-16T00:00:00"/>
    <s v="UAT2Y440.012"/>
    <d v="2021-01-11T00:00:00"/>
    <d v="2023-07-31T00:00:00"/>
    <d v="2022-06-08T00:00:00"/>
    <s v="Wire Short Link "/>
    <s v="Conv-A DONE"/>
    <s v="Done"/>
    <s v="Done"/>
    <s v="DONE"/>
    <s v="Done"/>
    <s v="Done"/>
    <s v="Not available"/>
    <s v="OK"/>
    <s v="OK"/>
    <d v="2022-07-02T00:00:00"/>
    <s v="EL19C01090-R"/>
    <m/>
    <d v="2022-01-25T00:00:00"/>
    <m/>
    <d v="2022-06-24T00:00:00"/>
    <s v="19-09-24"/>
    <d v="2023-08-24T00:00:00"/>
    <d v="2023-06-27T00:00:00"/>
    <s v="Checked"/>
    <d v="2024-05-29T00:00:00"/>
    <m/>
    <s v="30.05.24"/>
    <m/>
  </r>
  <r>
    <n v="218"/>
    <n v="39132"/>
    <s v="HLC-B"/>
    <s v="STBOL0667HLCD"/>
    <x v="3"/>
    <s v="ER"/>
    <s v="KOL"/>
    <d v="2020-02-28T00:00:00"/>
    <n v="667"/>
    <s v="Nashik"/>
    <s v="U7D2S04V.005"/>
    <d v="2020-09-16T00:00:00"/>
    <s v="UAT2Y440.012"/>
    <d v="2021-01-11T00:00:00"/>
    <d v="2023-07-31T00:00:00"/>
    <d v="2022-06-08T00:00:00"/>
    <s v="Wire Short Link "/>
    <s v="Conv-B DONE"/>
    <s v="Done"/>
    <s v="Done"/>
    <s v="DONE"/>
    <s v="Done"/>
    <s v="Done"/>
    <s v="Not available"/>
    <s v="OK"/>
    <s v="OK"/>
    <d v="2022-07-02T00:00:00"/>
    <s v="EL17G01040-R"/>
    <s v="EL21A01 055"/>
    <d v="2022-01-25T00:00:00"/>
    <m/>
    <d v="2022-06-24T00:00:00"/>
    <s v="19-09-24"/>
    <d v="2023-08-24T00:00:00"/>
    <d v="2023-06-27T00:00:00"/>
    <s v="Checked"/>
    <d v="2024-05-29T00:00:00"/>
    <m/>
    <s v="30.05.24"/>
    <m/>
  </r>
  <r>
    <n v="219"/>
    <n v="30547"/>
    <s v="HLC-A"/>
    <s v="STB9H0086HLCC"/>
    <x v="0"/>
    <s v="SER"/>
    <s v="KOL"/>
    <d v="2017-05-15T00:00:00"/>
    <n v="86"/>
    <s v="Nashik"/>
    <s v="RJ0D04.005"/>
    <m/>
    <s v="UAT2Y440.012"/>
    <d v="2021-10-10T00:00:00"/>
    <s v="25-03-2025"/>
    <s v="25-06-2024"/>
    <s v="Metal Short Link "/>
    <s v="Conv-A DONE"/>
    <s v="Conv-A DONE"/>
    <s v="Conv-A DONE"/>
    <s v="Conv-A DONE"/>
    <s v="Conv-A DONE"/>
    <s v="Conv-A DONE"/>
    <s v="Both Not Available"/>
    <s v="OK"/>
    <m/>
    <m/>
    <m/>
    <m/>
    <d v="2022-11-20T00:00:00"/>
    <m/>
    <d v="2024-04-14T00:00:00"/>
    <s v="23-07-24"/>
    <d v="2023-08-25T00:00:00"/>
    <d v="2023-08-25T00:00:00"/>
    <s v="Checked"/>
    <s v="25-03-2025"/>
    <d v="2024-02-28T00:00:00"/>
    <m/>
    <m/>
  </r>
  <r>
    <n v="220"/>
    <n v="30547"/>
    <s v="HLC-B"/>
    <s v="STB9H0087HLCC"/>
    <x v="0"/>
    <s v="SER"/>
    <s v="KOL"/>
    <d v="2017-05-15T00:00:00"/>
    <n v="87"/>
    <s v="Nashik"/>
    <s v="RJ0D04.005"/>
    <m/>
    <s v="UAT2Y440.012"/>
    <d v="2021-04-08T00:00:00"/>
    <s v="25-03-2025"/>
    <s v="25-06-2024"/>
    <s v="Metal Short Link "/>
    <s v="Conv-B DONE"/>
    <s v="Conv-B DONE"/>
    <s v="Conv-B DONE"/>
    <s v="Conv-B DONE"/>
    <s v="Conv-B DONE"/>
    <s v="Conv-B DONE"/>
    <s v="Both Not Available"/>
    <s v="OK"/>
    <m/>
    <m/>
    <m/>
    <m/>
    <d v="2022-11-20T00:00:00"/>
    <m/>
    <d v="2024-04-14T00:00:00"/>
    <s v="23-07-24"/>
    <d v="2023-08-25T00:00:00"/>
    <d v="2023-08-25T00:00:00"/>
    <s v="Checked"/>
    <s v="25-03-2025"/>
    <d v="2024-02-28T00:00:00"/>
    <m/>
    <m/>
  </r>
  <r>
    <n v="221"/>
    <n v="30586"/>
    <s v="HLC-A"/>
    <s v="STB1J0100HLCC"/>
    <x v="0"/>
    <s v="SER"/>
    <s v="KOL"/>
    <d v="2017-07-26T00:00:00"/>
    <n v="100"/>
    <s v="Nashik"/>
    <s v="U7D2S04V.005"/>
    <d v="2022-07-15T00:00:00"/>
    <s v="UAT2Y440.012"/>
    <d v="2021-06-07T00:00:00"/>
    <d v="2023-05-22T00:00:00"/>
    <d v="2024-05-06T00:00:00"/>
    <s v="Metal Short Link "/>
    <s v="Conv-A DONE"/>
    <s v="Conv-A DONE"/>
    <s v="Conv-A DONE"/>
    <s v="Conv-A DONE"/>
    <s v="Conv-A DONE"/>
    <s v="Conv-A DONE"/>
    <s v="Both Not Available"/>
    <s v="Found Ok"/>
    <m/>
    <m/>
    <m/>
    <m/>
    <d v="2022-07-26T00:00:00"/>
    <m/>
    <d v="2022-07-14T00:00:00"/>
    <d v="2024-12-08T00:00:00"/>
    <d v="2023-11-01T00:00:00"/>
    <d v="2023-10-31T00:00:00"/>
    <s v="Checked"/>
    <d v="2024-05-06T00:00:00"/>
    <m/>
    <d v="2024-12-08T00:00:00"/>
    <m/>
  </r>
  <r>
    <n v="222"/>
    <n v="30586"/>
    <s v="HLC-B"/>
    <s v="STB1J0101HLCC"/>
    <x v="0"/>
    <s v="SER"/>
    <s v="KOL"/>
    <d v="2017-07-26T00:00:00"/>
    <n v="101"/>
    <s v="Nashik"/>
    <s v="U7D2S04V.005"/>
    <d v="2022-07-15T00:00:00"/>
    <s v="UAT2Y440.012"/>
    <m/>
    <d v="2023-05-22T00:00:00"/>
    <d v="2024-05-06T00:00:00"/>
    <s v="Metal Short Link "/>
    <s v="Conv-B DONE"/>
    <s v="Conv-B DONE"/>
    <s v="Conv-B DONE"/>
    <s v="Conv-B DONE"/>
    <s v="Conv-B DONE"/>
    <s v="Conv-B DONE"/>
    <s v="Both Not Available"/>
    <s v="Found Ok"/>
    <m/>
    <m/>
    <m/>
    <m/>
    <d v="2022-07-26T00:00:00"/>
    <m/>
    <d v="2022-07-14T00:00:00"/>
    <d v="2024-12-08T00:00:00"/>
    <d v="2023-11-01T00:00:00"/>
    <d v="2023-10-31T00:00:00"/>
    <s v="Checked"/>
    <d v="2024-05-06T00:00:00"/>
    <m/>
    <d v="2024-12-08T00:00:00"/>
    <m/>
  </r>
  <r>
    <n v="223"/>
    <n v="30594"/>
    <s v="HLC-A"/>
    <s v="STBNN1168HLCD"/>
    <x v="0"/>
    <s v="SER"/>
    <s v="KOL"/>
    <d v="2023-06-23T00:00:00"/>
    <n v="1168"/>
    <s v="Nashik"/>
    <s v="U7D2S04V.005"/>
    <d v="2022-06-10T00:00:00"/>
    <s v="UAT2Y440.012"/>
    <d v="2021-01-06T00:00:00"/>
    <d v="2023-03-14T00:00:00"/>
    <m/>
    <s v="Metal Short Link "/>
    <s v="Conv-A DONE"/>
    <s v="Conv-A DONE"/>
    <s v="Conv-A DONE"/>
    <s v="Conv-A DONE"/>
    <s v="Conv-A DONE"/>
    <s v="Conv-A DONE"/>
    <s v="Both side available"/>
    <s v="Found Ok"/>
    <m/>
    <s v="From NW"/>
    <m/>
    <m/>
    <s v="From NW"/>
    <m/>
    <s v="From NW"/>
    <s v="29-07-24"/>
    <d v="2024-02-12T00:00:00"/>
    <d v="2023-09-27T00:00:00"/>
    <s v="Checked"/>
    <s v="18-04-24"/>
    <d v="2024-04-18T00:00:00"/>
    <s v="28-10-24"/>
    <m/>
  </r>
  <r>
    <n v="224"/>
    <n v="30594"/>
    <s v="HLC-B"/>
    <s v="STBNN1170HLCD"/>
    <x v="0"/>
    <s v="SER"/>
    <s v="KOL"/>
    <d v="2023-06-23T00:00:00"/>
    <n v="1170"/>
    <s v="Nashik"/>
    <s v="U7D2S04V.005"/>
    <d v="2022-06-10T00:00:00"/>
    <s v="UAT2Y440.012"/>
    <d v="2021-01-06T00:00:00"/>
    <d v="2023-03-14T00:00:00"/>
    <m/>
    <s v="Metal Short Link "/>
    <s v="Conv-B DONE"/>
    <s v="Conv-B DONE"/>
    <s v="Conv-B DONE"/>
    <s v="Conv-B DONE"/>
    <s v="Conv-B DONE"/>
    <s v="Conv-B DONE"/>
    <s v="Both side available"/>
    <s v="Found Ok"/>
    <m/>
    <s v="From NW"/>
    <m/>
    <m/>
    <s v="From NW"/>
    <m/>
    <s v="From NW"/>
    <s v="29-07-24"/>
    <d v="2024-02-12T00:00:00"/>
    <d v="2023-09-27T00:00:00"/>
    <s v="Checked"/>
    <s v="18-04-24"/>
    <d v="2024-04-18T00:00:00"/>
    <s v="28-10-24"/>
    <m/>
  </r>
  <r>
    <n v="225"/>
    <n v="30601"/>
    <s v="HLC-A"/>
    <s v="STB7J0122HLCD"/>
    <x v="0"/>
    <s v="SER"/>
    <s v="KOL"/>
    <d v="2017-10-30T00:00:00"/>
    <n v="122"/>
    <s v="Nashik"/>
    <s v="U7D2S04V.005"/>
    <d v="2022-07-25T00:00:00"/>
    <s v="UAT2Y440.012"/>
    <d v="2021-04-03T00:00:00"/>
    <m/>
    <m/>
    <s v="Metal Short Link "/>
    <s v="Conv-A DONE"/>
    <s v="Conv-A DONE"/>
    <s v="Conv-A DONE"/>
    <s v="Conv-A DONE"/>
    <s v="Conv-A DONE"/>
    <s v="Conv-A DONE"/>
    <s v="PWR side available"/>
    <s v="Siled with Silika gell"/>
    <m/>
    <m/>
    <m/>
    <m/>
    <d v="2022-07-25T00:00:00"/>
    <m/>
    <d v="2023-12-22T00:00:00"/>
    <d v="2024-07-05T00:00:00"/>
    <d v="2023-12-22T00:00:00"/>
    <d v="2023-12-22T00:00:00"/>
    <s v="Checked"/>
    <d v="2024-05-04T00:00:00"/>
    <m/>
    <d v="2024-03-10T00:00:00"/>
    <m/>
  </r>
  <r>
    <n v="226"/>
    <n v="30601"/>
    <s v="HLC-B"/>
    <s v="STB7J0123HLCD"/>
    <x v="0"/>
    <s v="SER"/>
    <s v="KOL"/>
    <d v="2017-10-30T00:00:00"/>
    <n v="123"/>
    <s v="Nashik"/>
    <s v="U7D2S04V.005"/>
    <d v="2022-07-25T00:00:00"/>
    <s v="UAT2Y440.012"/>
    <d v="2021-04-03T00:00:00"/>
    <m/>
    <m/>
    <s v="Metal Short Link "/>
    <s v="Conv-B DONE"/>
    <s v="Conv-B DONE"/>
    <s v="Conv-B DONE"/>
    <s v="Conv-B DONE"/>
    <s v="Conv-B DONE"/>
    <s v="Conv-B DONE"/>
    <s v="PWR side available"/>
    <s v="Found Ok"/>
    <m/>
    <m/>
    <m/>
    <m/>
    <d v="2022-07-25T00:00:00"/>
    <m/>
    <d v="2023-12-22T00:00:00"/>
    <d v="2024-07-05T00:00:00"/>
    <d v="2023-12-22T00:00:00"/>
    <d v="2023-12-22T00:00:00"/>
    <s v="Checked"/>
    <d v="2024-05-04T00:00:00"/>
    <m/>
    <d v="2024-03-10T00:00:00"/>
    <m/>
  </r>
  <r>
    <n v="227"/>
    <n v="30728"/>
    <s v="HLC-A"/>
    <s v="STBOM1023HLCD"/>
    <x v="0"/>
    <s v="SER"/>
    <s v="KOL"/>
    <d v="2021-07-07T00:00:00"/>
    <n v="1023"/>
    <s v="Nashik"/>
    <s v="U7D2S04V.005"/>
    <s v="from NW"/>
    <s v="UAT2Y440.012"/>
    <s v="from NW"/>
    <m/>
    <d v="2022-07-16T00:00:00"/>
    <s v="Metal Short Link "/>
    <s v="Conv-A DONE"/>
    <s v="Conv-A DONE"/>
    <s v="Conv-A DONE"/>
    <s v="Conv-A DONE"/>
    <s v="Conv-A DONE"/>
    <s v="Conv-A DONE"/>
    <s v="Both side available"/>
    <m/>
    <m/>
    <m/>
    <m/>
    <m/>
    <d v="2023-01-20T00:00:00"/>
    <m/>
    <d v="2022-07-16T00:00:00"/>
    <d v="2024-10-08T00:00:00"/>
    <d v="2023-07-27T00:00:00"/>
    <d v="2023-07-27T00:00:00"/>
    <s v="Checked"/>
    <d v="2025-04-03T00:00:00"/>
    <m/>
    <s v="14-10-24"/>
    <m/>
  </r>
  <r>
    <n v="228"/>
    <n v="30728"/>
    <s v="HLC-B"/>
    <s v="STBOM1022HLCD"/>
    <x v="0"/>
    <s v="SER"/>
    <s v="KOL"/>
    <d v="2021-07-07T00:00:00"/>
    <n v="1022"/>
    <s v="Nashik"/>
    <s v="U7D2S04V.005"/>
    <s v="from NW"/>
    <s v="UAT2Y440.012"/>
    <s v="from NW"/>
    <m/>
    <d v="2022-07-16T00:00:00"/>
    <s v="Metal Short Link "/>
    <s v="Conv-B DONE"/>
    <s v="Conv-B DONE"/>
    <s v="Conv-B DONE"/>
    <s v="Conv-B DONE"/>
    <s v="Conv-B DONE"/>
    <s v="Conv-B DONE"/>
    <s v="Both side available"/>
    <m/>
    <m/>
    <m/>
    <m/>
    <m/>
    <d v="2023-01-20T00:00:00"/>
    <m/>
    <d v="2022-07-16T00:00:00"/>
    <d v="2024-10-08T00:00:00"/>
    <d v="2023-09-22T00:00:00"/>
    <d v="2023-07-27T00:00:00"/>
    <s v="Checked"/>
    <d v="2025-04-03T00:00:00"/>
    <m/>
    <s v="14-10-24"/>
    <m/>
  </r>
  <r>
    <n v="229"/>
    <n v="37003"/>
    <s v="HLC-A"/>
    <s v="STB1K0179HLCD"/>
    <x v="9"/>
    <s v="SER"/>
    <s v="KOL"/>
    <d v="2018-06-28T00:00:00"/>
    <n v="179"/>
    <s v="Nashik"/>
    <s v="U7D2S04V.005"/>
    <d v="2022-07-03T00:00:00"/>
    <s v="UAT2Y440.012"/>
    <d v="2021-01-29T00:00:00"/>
    <d v="2020-08-30T00:00:00"/>
    <m/>
    <s v="Metal Short Link "/>
    <s v="Conv-A DONE"/>
    <s v="Conv-A DONE"/>
    <s v="Conv-A DONE"/>
    <s v="Conv-A DONE"/>
    <s v="Conv-A DONE"/>
    <s v="Conv-A DONE"/>
    <s v="PWR side available"/>
    <s v="Siled with Silika gell"/>
    <m/>
    <m/>
    <m/>
    <m/>
    <d v="2022-12-14T00:00:00"/>
    <m/>
    <d v="2023-09-12T00:00:00"/>
    <s v="31-08-24"/>
    <d v="2024-10-01T00:00:00"/>
    <d v="2023-12-14T00:00:00"/>
    <s v="Checked"/>
    <d v="2024-06-28T00:00:00"/>
    <m/>
    <s v="28-06-24"/>
    <m/>
  </r>
  <r>
    <n v="230"/>
    <n v="37003"/>
    <s v="HLC-B"/>
    <s v="STB1K0178HLCD"/>
    <x v="9"/>
    <s v="SER"/>
    <s v="KOL"/>
    <d v="2018-06-28T00:00:00"/>
    <n v="178"/>
    <s v="Nashik"/>
    <s v="U7D2S04V.005"/>
    <d v="2022-07-03T00:00:00"/>
    <s v="UAT2Y440.012"/>
    <d v="2021-01-29T00:00:00"/>
    <d v="2020-08-30T00:00:00"/>
    <m/>
    <s v="Metal Short Link "/>
    <s v="Conv-B DONE"/>
    <s v="Conv-B DONE"/>
    <s v="Conv-B DONE"/>
    <s v="Conv-B DONE"/>
    <s v="Conv-B DONE"/>
    <s v="Conv-B DONE"/>
    <s v="PWR side available"/>
    <s v="Found Ok"/>
    <m/>
    <m/>
    <s v="EL19F01 003-R"/>
    <m/>
    <d v="2022-12-14T00:00:00"/>
    <m/>
    <d v="2023-09-12T00:00:00"/>
    <s v="31-08-24"/>
    <d v="2024-10-01T00:00:00"/>
    <d v="2023-12-14T00:00:00"/>
    <s v="Checked"/>
    <d v="2024-06-28T00:00:00"/>
    <m/>
    <s v="28-06-24"/>
    <m/>
  </r>
  <r>
    <n v="231"/>
    <n v="37004"/>
    <s v="HLC-A"/>
    <s v="STB1K0172HLCD"/>
    <x v="0"/>
    <s v="SER"/>
    <s v="KOL"/>
    <d v="2018-06-28T00:00:00"/>
    <n v="172"/>
    <s v="Nashik"/>
    <s v="U7D2S04V.005"/>
    <d v="2021-01-02T00:00:00"/>
    <s v="UAT2Y440.012"/>
    <d v="2021-01-02T00:00:00"/>
    <m/>
    <d v="2022-07-08T00:00:00"/>
    <s v="Metal Short Link "/>
    <s v="Conv-A DONE"/>
    <s v="Conv-A DONE"/>
    <s v="Conv-A DONE"/>
    <s v="Conv-A DONE"/>
    <s v="Conv-A DONE"/>
    <s v="Conv-A DONE"/>
    <s v="PWR side available"/>
    <s v="Siled with Silika gell"/>
    <m/>
    <m/>
    <s v="EL19H01006-R"/>
    <m/>
    <d v="2022-12-21T00:00:00"/>
    <m/>
    <d v="2022-07-08T00:00:00"/>
    <d v="2024-06-07T00:00:00"/>
    <d v="2023-10-17T00:00:00"/>
    <d v="2024-01-02T00:00:00"/>
    <s v="Checked"/>
    <d v="2024-05-13T00:00:00"/>
    <m/>
    <d v="2024-05-10T00:00:00"/>
    <m/>
  </r>
  <r>
    <n v="232"/>
    <n v="37004"/>
    <s v="HLC-B"/>
    <s v="STB1K0173HLCD"/>
    <x v="0"/>
    <s v="SER"/>
    <s v="KOL"/>
    <d v="2018-06-28T00:00:00"/>
    <n v="173"/>
    <s v="Nashik"/>
    <s v="U7D2S04V.005"/>
    <d v="2021-01-02T00:00:00"/>
    <s v="UAT2Y440.012"/>
    <d v="2021-01-02T00:00:00"/>
    <m/>
    <d v="2022-07-08T00:00:00"/>
    <s v="Metal Short Link "/>
    <s v="Conv-B DONE"/>
    <s v="Conv-B DONE"/>
    <s v="Conv-B DONE"/>
    <s v="Conv-B DONE"/>
    <s v="Conv-B DONE"/>
    <s v="Conv-B DONE"/>
    <s v="PWR side available"/>
    <s v="Found Ok"/>
    <m/>
    <m/>
    <s v="EL21C01025"/>
    <m/>
    <d v="2022-12-21T00:00:00"/>
    <d v="2024-05-29T00:00:00"/>
    <d v="2022-07-08T00:00:00"/>
    <d v="2024-06-07T00:00:00"/>
    <d v="2023-10-17T00:00:00"/>
    <d v="2024-01-02T00:00:00"/>
    <s v="Checked"/>
    <d v="2024-05-13T00:00:00"/>
    <m/>
    <d v="2024-05-10T00:00:00"/>
    <m/>
  </r>
  <r>
    <n v="233"/>
    <n v="37060"/>
    <s v="HLC-A"/>
    <s v="STB3K0201HLCD"/>
    <x v="0"/>
    <s v="SER"/>
    <s v="KOL"/>
    <d v="2018-12-13T00:00:00"/>
    <n v="201"/>
    <s v="Imported"/>
    <s v="U7D2S04V.005"/>
    <d v="2022-07-21T00:00:00"/>
    <s v="UAT2Y440.012"/>
    <d v="2021-04-08T00:00:00"/>
    <d v="2021-04-08T00:00:00"/>
    <d v="2022-07-21T00:00:00"/>
    <s v="Metal Short Link "/>
    <s v="Conv-A DONE"/>
    <s v="Conv-A DONE"/>
    <s v="Conv-A DONE"/>
    <s v="Conv-A DONE"/>
    <s v="Done"/>
    <s v="Done"/>
    <s v="Both Not Available"/>
    <s v="Siled with Silika gell"/>
    <m/>
    <m/>
    <m/>
    <m/>
    <d v="2022-05-07T00:00:00"/>
    <d v="2023-11-02T00:00:00"/>
    <d v="2023-07-26T00:00:00"/>
    <s v="22-10-24"/>
    <d v="2023-11-02T00:00:00"/>
    <d v="2023-07-26T00:00:00"/>
    <s v="Checked"/>
    <d v="2024-05-07T00:00:00"/>
    <m/>
    <s v="26-11-24"/>
    <m/>
  </r>
  <r>
    <n v="234"/>
    <n v="37060"/>
    <s v="HLC-B"/>
    <s v="STB3K0191HLCD"/>
    <x v="0"/>
    <s v="SER"/>
    <s v="KOL"/>
    <d v="2018-12-13T00:00:00"/>
    <n v="191"/>
    <s v="Imported"/>
    <s v="U7D2S04V.005"/>
    <d v="2022-07-21T00:00:00"/>
    <s v="UAT2Y440.012"/>
    <d v="2021-04-08T00:00:00"/>
    <d v="2021-04-08T00:00:00"/>
    <d v="2022-07-21T00:00:00"/>
    <s v="Metal Short Link "/>
    <s v="Conv-B DONE"/>
    <s v="Conv-B DONE"/>
    <s v="Conv-B DONE"/>
    <s v="Conv-B DONE"/>
    <s v="Done"/>
    <s v="Done"/>
    <s v="Both Not Available"/>
    <s v="Siled with Silika gell"/>
    <m/>
    <m/>
    <m/>
    <m/>
    <d v="2022-05-07T00:00:00"/>
    <d v="2023-11-02T00:00:00"/>
    <d v="2023-07-26T00:00:00"/>
    <s v="22-10-24"/>
    <d v="2023-11-02T00:00:00"/>
    <d v="2023-07-26T00:00:00"/>
    <s v="Checked"/>
    <d v="2024-05-07T00:00:00"/>
    <m/>
    <s v="26-11-24"/>
    <m/>
  </r>
  <r>
    <n v="235"/>
    <n v="37106"/>
    <s v="HLC-A"/>
    <s v="STB4K0225HLCD"/>
    <x v="0"/>
    <s v="SER"/>
    <s v="KOL"/>
    <d v="2019-03-12T00:00:00"/>
    <n v="225"/>
    <s v="Nashik"/>
    <s v="U7D2S04V.005"/>
    <d v="2020-12-17T00:00:00"/>
    <s v="UAT2Y440.012"/>
    <d v="2020-12-17T00:00:00"/>
    <m/>
    <m/>
    <s v="Metal Short Link "/>
    <s v="Conv-A DONE"/>
    <s v="Conv-A DONE"/>
    <s v="Conv-A DONE"/>
    <s v="Conv-A DONE"/>
    <s v="Conv-A DONE"/>
    <s v="Conv-A DONE"/>
    <s v="Both Not Available"/>
    <s v="Found Ok"/>
    <m/>
    <m/>
    <s v="EL18J03042"/>
    <m/>
    <d v="2022-11-25T00:00:00"/>
    <m/>
    <d v="2023-07-22T00:00:00"/>
    <s v="24-07-24"/>
    <d v="2024-01-27T00:00:00"/>
    <d v="2023-07-22T00:00:00"/>
    <s v="Checked"/>
    <d v="2024-05-03T00:00:00"/>
    <m/>
    <d v="2024-11-12T00:00:00"/>
    <m/>
  </r>
  <r>
    <n v="236"/>
    <n v="37106"/>
    <s v="HLC-B"/>
    <s v="STB4K0222HLCD"/>
    <x v="0"/>
    <s v="SER"/>
    <s v="KOL"/>
    <d v="2019-03-12T00:00:00"/>
    <n v="222"/>
    <s v="Nashik"/>
    <s v="U7D2S04V.005"/>
    <d v="2020-12-17T00:00:00"/>
    <s v="UAT2Y440.012"/>
    <d v="2020-12-17T00:00:00"/>
    <m/>
    <m/>
    <s v="Metal Short Link "/>
    <s v="Conv-B DONE"/>
    <s v="Conv-B DONE"/>
    <s v="Conv-B DONE"/>
    <s v="Conv-B DONE"/>
    <s v="Conv-B DONE"/>
    <s v="Conv-B DONE"/>
    <s v="Both Not Available"/>
    <s v="Found Ok"/>
    <m/>
    <m/>
    <s v="EL21D01-004"/>
    <m/>
    <d v="2022-11-25T00:00:00"/>
    <d v="2024-07-24T00:00:00"/>
    <d v="2023-07-22T00:00:00"/>
    <s v="24-07-24"/>
    <d v="2024-01-27T00:00:00"/>
    <d v="2023-07-22T00:00:00"/>
    <s v="Checked"/>
    <d v="2024-05-03T00:00:00"/>
    <m/>
    <d v="2024-11-12T00:00:00"/>
    <m/>
  </r>
  <r>
    <n v="237"/>
    <n v="37108"/>
    <s v="HLC-A"/>
    <s v="STB4K0217HLCD"/>
    <x v="0"/>
    <s v="SER"/>
    <s v="KOL"/>
    <d v="2019-03-12T00:00:00"/>
    <n v="217"/>
    <s v="Nashik"/>
    <s v="Q9J1Z04V.005"/>
    <m/>
    <s v="UAT2Y440.012"/>
    <d v="2020-12-14T00:00:00"/>
    <d v="2024-01-13T00:00:00"/>
    <m/>
    <s v="Metal Short Link "/>
    <s v="Conv-A DONE"/>
    <s v="Conv-A DONE"/>
    <s v="Conv-A DONE"/>
    <s v="Conv-A DONE"/>
    <s v="Conv-A DONE"/>
    <s v="Conv-A DONE"/>
    <s v="PWR side available"/>
    <s v="Siled with Silika gell"/>
    <m/>
    <m/>
    <d v="2021-05-29T00:00:00"/>
    <m/>
    <d v="2022-05-12T00:00:00"/>
    <d v="2023-11-10T00:00:00"/>
    <d v="2024-01-13T00:00:00"/>
    <d v="2024-08-07T00:00:00"/>
    <d v="2023-07-05T00:00:00"/>
    <d v="2023-10-07T00:00:00"/>
    <s v="Checked"/>
    <d v="2024-05-06T00:00:00"/>
    <m/>
    <s v="14-10-24"/>
    <m/>
  </r>
  <r>
    <n v="238"/>
    <n v="37108"/>
    <s v="HLC-B"/>
    <s v="STB4K0215HLCD"/>
    <x v="0"/>
    <s v="SER"/>
    <s v="KOL"/>
    <d v="2019-03-12T00:00:00"/>
    <n v="215"/>
    <s v="Nashik"/>
    <s v="RJ0D04.005"/>
    <m/>
    <s v="UAT2Y440.012"/>
    <d v="2020-12-14T00:00:00"/>
    <d v="2024-01-13T00:00:00"/>
    <m/>
    <s v="Metal Short Link "/>
    <s v="Conv-B DONE"/>
    <s v="Conv-B DONE"/>
    <s v="Conv-B DONE"/>
    <s v="Conv-B DONE"/>
    <s v="Conv-B DONE"/>
    <s v="Conv-B DONE"/>
    <s v="PWR side available"/>
    <s v="Found Ok"/>
    <m/>
    <m/>
    <s v="EL18F06060-R"/>
    <m/>
    <d v="2022-05-12T00:00:00"/>
    <d v="2023-10-11T00:00:00"/>
    <d v="2024-01-13T00:00:00"/>
    <d v="2024-08-07T00:00:00"/>
    <d v="2023-07-05T00:00:00"/>
    <d v="2023-10-07T00:00:00"/>
    <s v="Checked"/>
    <d v="2024-05-06T00:00:00"/>
    <m/>
    <s v="14-10-24"/>
    <m/>
  </r>
  <r>
    <n v="239"/>
    <n v="37109"/>
    <s v="HLC-A"/>
    <s v="STB4K0216HLCD"/>
    <x v="0"/>
    <s v="SER"/>
    <s v="KOL"/>
    <d v="2019-03-13T00:00:00"/>
    <n v="216"/>
    <s v="Nashik"/>
    <s v="U7D2S04V.005"/>
    <d v="2022-07-19T00:00:00"/>
    <s v="UAT2Y440.012"/>
    <d v="2020-12-14T00:00:00"/>
    <s v="26-03-2025"/>
    <d v="2022-07-12T00:00:00"/>
    <s v="Metal Short Link "/>
    <s v="Conv-A DONE"/>
    <s v="Conv-A DONE"/>
    <s v="Conv-A DONE"/>
    <s v="Conv-A DONE"/>
    <s v="Conv-A DONE"/>
    <s v="Conv-A DONE"/>
    <s v="Both Not Available"/>
    <s v="Siled with Silika gell"/>
    <m/>
    <m/>
    <m/>
    <m/>
    <d v="2022-08-01T00:00:00"/>
    <d v="2023-12-21T00:00:00"/>
    <d v="2022-07-19T00:00:00"/>
    <d v="2024-07-05T00:00:00"/>
    <d v="2023-12-21T00:00:00"/>
    <d v="2023-08-03T00:00:00"/>
    <s v="Checked"/>
    <s v="25-03-2025"/>
    <m/>
    <m/>
    <m/>
  </r>
  <r>
    <n v="240"/>
    <n v="37109"/>
    <s v="HLC-B"/>
    <s v="STB4K0214HLCD"/>
    <x v="0"/>
    <s v="SER"/>
    <s v="KOL"/>
    <d v="2019-03-13T00:00:00"/>
    <n v="214"/>
    <s v="Nashik"/>
    <s v="U7D2S04V.005"/>
    <d v="2022-07-19T00:00:00"/>
    <s v="UAT2Y440.012"/>
    <d v="2020-12-14T00:00:00"/>
    <s v="25-03-2025"/>
    <d v="2022-07-12T00:00:00"/>
    <s v="Metal Short Link "/>
    <s v="Conv-B DONE"/>
    <s v="Conv-B DONE"/>
    <s v="Conv-B DONE"/>
    <s v="Conv-B DONE"/>
    <s v="Conv-B DONE"/>
    <s v="Conv-B DONE"/>
    <s v="Both Not Available"/>
    <s v="Found Ok"/>
    <m/>
    <m/>
    <s v="EL19G04 001"/>
    <m/>
    <d v="2022-08-01T00:00:00"/>
    <d v="2023-12-21T00:00:00"/>
    <d v="2022-07-19T00:00:00"/>
    <d v="2024-07-05T00:00:00"/>
    <d v="2023-12-21T00:00:00"/>
    <d v="2023-08-03T00:00:00"/>
    <s v="Checked"/>
    <s v="25-03-2025"/>
    <m/>
    <m/>
    <m/>
  </r>
  <r>
    <n v="241"/>
    <n v="37121"/>
    <s v="HLC-A"/>
    <s v="STB0K0341HLCD"/>
    <x v="0"/>
    <s v="SER"/>
    <s v="KOL"/>
    <d v="2019-03-23T00:00:00"/>
    <n v="341"/>
    <s v="Imported"/>
    <m/>
    <m/>
    <m/>
    <m/>
    <d v="2025-03-03T00:00:00"/>
    <d v="2023-11-18T00:00:00"/>
    <s v="Metal Short Link "/>
    <s v="Conv-A DONE"/>
    <s v="Conv-A DONE"/>
    <s v="Conv-A DONE"/>
    <s v="Conv-A DONE"/>
    <d v="2025-03-03T00:00:00"/>
    <d v="2025-03-03T00:00:00"/>
    <s v="Both Not Available"/>
    <s v="Found Ok"/>
    <m/>
    <m/>
    <m/>
    <m/>
    <d v="2022-11-11T00:00:00"/>
    <d v="2023-11-18T00:00:00"/>
    <d v="2023-11-18T00:00:00"/>
    <d v="2024-01-08T00:00:00"/>
    <d v="2023-11-18T00:00:00"/>
    <d v="2023-11-18T00:00:00"/>
    <s v="Checked"/>
    <d v="2024-06-15T00:00:00"/>
    <m/>
    <s v="15-06-24"/>
    <m/>
  </r>
  <r>
    <n v="242"/>
    <n v="37121"/>
    <s v="HLC-B"/>
    <s v="STB0K0291HLCD"/>
    <x v="0"/>
    <s v="SER"/>
    <s v="KOL"/>
    <d v="2019-03-23T00:00:00"/>
    <n v="291"/>
    <s v="Imported"/>
    <m/>
    <m/>
    <m/>
    <m/>
    <d v="2025-03-03T00:00:00"/>
    <d v="2023-11-18T00:00:00"/>
    <s v="Metal Short Link "/>
    <s v="Conv-B DONE"/>
    <s v="Conv-B DONE"/>
    <s v="Conv-B DONE"/>
    <s v="Conv-B DONE"/>
    <d v="2025-03-03T00:00:00"/>
    <d v="2025-03-03T00:00:00"/>
    <s v="Both Not Available"/>
    <s v="Found Ok"/>
    <m/>
    <m/>
    <m/>
    <m/>
    <d v="2022-11-11T00:00:00"/>
    <d v="2023-11-18T00:00:00"/>
    <d v="2023-11-18T00:00:00"/>
    <d v="2024-01-08T00:00:00"/>
    <d v="2023-11-18T00:00:00"/>
    <d v="2023-11-18T00:00:00"/>
    <s v="Checked"/>
    <d v="2024-06-15T00:00:00"/>
    <m/>
    <s v="15-06-24"/>
    <m/>
  </r>
  <r>
    <n v="243"/>
    <n v="37152"/>
    <s v="HLC-A"/>
    <s v="STB2L0418HLCD"/>
    <x v="0"/>
    <s v="SER"/>
    <s v="KOL"/>
    <d v="2019-04-25T00:00:00"/>
    <n v="418"/>
    <s v="Nashik"/>
    <s v="U7D2S04V.005"/>
    <d v="2022-07-12T00:00:00"/>
    <s v="UAT2Y440.012"/>
    <d v="2020-12-14T00:00:00"/>
    <d v="2023-11-17T00:00:00"/>
    <d v="2022-07-19T00:00:00"/>
    <s v="Metal Short Link "/>
    <s v="Conv-A DONE"/>
    <s v="Conv-A DONE"/>
    <s v="Conv-A DONE"/>
    <s v="Conv-A DONE"/>
    <s v="Conv-A DONE"/>
    <s v="Conv-A DONE"/>
    <s v="PWR side available"/>
    <s v="Found Ok"/>
    <m/>
    <m/>
    <m/>
    <m/>
    <d v="2022-11-01T00:00:00"/>
    <d v="2023-11-17T00:00:00"/>
    <d v="2022-07-12T00:00:00"/>
    <s v="18-09-24"/>
    <d v="2024-01-10T00:00:00"/>
    <d v="2023-07-27T00:00:00"/>
    <s v="Checked"/>
    <s v="21-03-2025"/>
    <m/>
    <s v="21/12/2024"/>
    <m/>
  </r>
  <r>
    <n v="244"/>
    <n v="37152"/>
    <s v="HLC-B"/>
    <s v="STB2L0439HLCD"/>
    <x v="0"/>
    <s v="SER"/>
    <s v="KOL"/>
    <d v="2019-04-25T00:00:00"/>
    <n v="439"/>
    <s v="Nashik"/>
    <s v="U7D2S04V.005"/>
    <d v="2022-07-12T00:00:00"/>
    <s v="UAT2Y440.012"/>
    <d v="2020-12-14T00:00:00"/>
    <d v="2023-11-17T00:00:00"/>
    <d v="2022-07-19T00:00:00"/>
    <s v="Metal Short Link "/>
    <s v="Conv-B DONE"/>
    <s v="Conv-B DONE"/>
    <s v="Conv-B DONE"/>
    <s v="Conv-B DONE"/>
    <s v="Conv-B DONE"/>
    <s v="Conv-B DONE"/>
    <s v="PWR side available"/>
    <s v="Found Ok"/>
    <m/>
    <m/>
    <m/>
    <m/>
    <d v="2022-11-01T00:00:00"/>
    <d v="2023-11-17T00:00:00"/>
    <d v="2022-07-12T00:00:00"/>
    <s v="18-09-24"/>
    <d v="2024-01-10T00:00:00"/>
    <d v="2023-07-27T00:00:00"/>
    <s v="Checked"/>
    <s v="21-03-2025"/>
    <m/>
    <s v="21/12/2024"/>
    <m/>
  </r>
  <r>
    <n v="245"/>
    <n v="37209"/>
    <s v="HLC-A"/>
    <s v="STB5L0518HLCD"/>
    <x v="0"/>
    <s v="SER"/>
    <s v="KOL"/>
    <d v="2019-06-25T00:00:00"/>
    <n v="518"/>
    <s v="Nashik"/>
    <s v="U7D2S04V.005"/>
    <d v="2022-07-07T00:00:00"/>
    <m/>
    <m/>
    <d v="2025-03-05T00:00:00"/>
    <d v="2024-05-17T00:00:00"/>
    <s v="Metal Short Link "/>
    <s v="Already Available"/>
    <s v="Conv-A DONE"/>
    <s v="Conv-A DONE"/>
    <s v="Conv-A DONE"/>
    <s v="Conv-A DONE"/>
    <s v="Conv-A DONE"/>
    <s v="Both Not Available"/>
    <s v="Found Ok"/>
    <m/>
    <m/>
    <m/>
    <m/>
    <d v="2022-04-13T00:00:00"/>
    <d v="2023-11-04T00:00:00"/>
    <d v="2023-07-27T00:00:00"/>
    <d v="2024-06-22T00:00:00"/>
    <d v="2023-11-04T00:00:00"/>
    <d v="2023-07-27T00:00:00"/>
    <s v="Checked"/>
    <d v="2025-05-03T00:00:00"/>
    <m/>
    <s v="18-03-25"/>
    <m/>
  </r>
  <r>
    <n v="246"/>
    <n v="37209"/>
    <s v="HLC-B"/>
    <s v="STB5L0498HLCD"/>
    <x v="0"/>
    <s v="SER"/>
    <s v="KOL"/>
    <d v="2019-06-25T00:00:00"/>
    <n v="498"/>
    <s v="Nashik"/>
    <s v="U7D2S04V.005"/>
    <d v="2022-07-07T00:00:00"/>
    <m/>
    <m/>
    <d v="2025-03-05T00:00:00"/>
    <d v="2024-05-17T00:00:00"/>
    <s v="Metal Short Link "/>
    <s v="Already Available"/>
    <s v="Conv-B DONE"/>
    <s v="Conv-B DONE"/>
    <s v="Conv-B DONE"/>
    <s v="Conv-B DONE"/>
    <s v="Conv-B DONE"/>
    <s v="Both Not Available"/>
    <s v="Found Ok"/>
    <m/>
    <m/>
    <m/>
    <m/>
    <d v="2022-04-13T00:00:00"/>
    <d v="2023-11-04T00:00:00"/>
    <d v="2023-07-27T00:00:00"/>
    <d v="2024-06-22T00:00:00"/>
    <d v="2023-11-04T00:00:00"/>
    <d v="2023-07-27T00:00:00"/>
    <s v="Checked"/>
    <d v="2025-05-03T00:00:00"/>
    <m/>
    <s v="18-03-2025"/>
    <m/>
  </r>
  <r>
    <n v="247"/>
    <n v="37212"/>
    <s v="HLC-A"/>
    <s v="STB4L0493HLCD"/>
    <x v="9"/>
    <s v="SER"/>
    <s v="KOL"/>
    <d v="2019-07-23T00:00:00"/>
    <n v="493"/>
    <s v="Nashik"/>
    <s v="U7D2S04V.005"/>
    <d v="2021-12-12T00:00:00"/>
    <s v="UAT2Y440.012"/>
    <m/>
    <d v="2024-01-06T00:00:00"/>
    <d v="2022-07-04T00:00:00"/>
    <s v="Metal Short Link "/>
    <s v="Conv-A DONE"/>
    <s v="Conv-A DONE"/>
    <s v="Conv-A DONE"/>
    <s v="Conv-A DONE"/>
    <s v="Conv-A DONE"/>
    <s v="Conv-A DONE"/>
    <s v="Both Not Available"/>
    <s v="Siled with Silika gell"/>
    <m/>
    <m/>
    <s v="EL21D01-015"/>
    <m/>
    <d v="2023-01-04T00:00:00"/>
    <d v="2024-01-06T00:00:00"/>
    <d v="2022-07-08T00:00:00"/>
    <s v="26/07/24"/>
    <d v="2024-01-06T00:00:00"/>
    <d v="2023-09-28T00:00:00"/>
    <s v="Checked"/>
    <d v="2024-04-18T00:00:00"/>
    <m/>
    <s v="14-03-25"/>
    <m/>
  </r>
  <r>
    <n v="248"/>
    <n v="37212"/>
    <s v="HLC-B"/>
    <s v="STB5L0508HLCD"/>
    <x v="9"/>
    <s v="SER"/>
    <s v="KOL"/>
    <d v="2019-07-23T00:00:00"/>
    <n v="508"/>
    <s v="Nashik"/>
    <s v="U7D2S04V.005"/>
    <d v="2021-12-12T00:00:00"/>
    <s v="UAT2Y440.012"/>
    <m/>
    <d v="2024-01-06T00:00:00"/>
    <d v="2022-07-04T00:00:00"/>
    <s v="Metal Short Link "/>
    <s v="Conv-B DONE"/>
    <s v="Conv-B DONE"/>
    <s v="Conv-B DONE"/>
    <s v="Conv-B DONE"/>
    <s v="Conv-B DONE"/>
    <s v="Conv-B DONE"/>
    <s v="Both Not Available"/>
    <s v="Found Ok"/>
    <m/>
    <m/>
    <s v="EL21L05-010"/>
    <m/>
    <d v="2023-01-04T00:00:00"/>
    <m/>
    <d v="2022-07-08T00:00:00"/>
    <s v="26/07/24"/>
    <d v="2024-01-06T00:00:00"/>
    <d v="2023-09-28T00:00:00"/>
    <s v="Checked"/>
    <d v="2024-04-18T00:00:00"/>
    <m/>
    <s v="14-03-25"/>
    <m/>
  </r>
  <r>
    <n v="249"/>
    <n v="37591"/>
    <s v="HLC-B"/>
    <s v="STBDL0761HLCD"/>
    <x v="9"/>
    <s v="SER"/>
    <s v="KOL"/>
    <d v="2021-05-27T00:00:00"/>
    <n v="761"/>
    <s v="Nashik"/>
    <s v="U7D2S04V.005"/>
    <s v="from NW"/>
    <s v="UAT2Y440.012"/>
    <s v="from NW"/>
    <m/>
    <d v="2024-05-03T00:00:00"/>
    <s v="Metal Short Link "/>
    <s v="Conv-A DONE"/>
    <s v="Done"/>
    <s v="Done"/>
    <s v="DONE"/>
    <s v="Done"/>
    <s v="Conv-A DONE"/>
    <s v="Both side available"/>
    <s v="OK"/>
    <m/>
    <m/>
    <m/>
    <m/>
    <d v="2022-03-28T00:00:00"/>
    <m/>
    <d v="2022-07-15T00:00:00"/>
    <d v="2024-05-10T00:00:00"/>
    <d v="2023-12-01T00:00:00"/>
    <d v="2023-12-04T00:00:00"/>
    <s v="Checked"/>
    <d v="2024-06-12T00:00:00"/>
    <m/>
    <s v="12.06.24"/>
    <m/>
  </r>
  <r>
    <n v="250"/>
    <n v="37591"/>
    <s v="HLC-A"/>
    <s v="STB7M0868HLCD"/>
    <x v="9"/>
    <s v="SER"/>
    <s v="KOL"/>
    <d v="2021-05-27T00:00:00"/>
    <n v="868"/>
    <s v="Nashik"/>
    <s v="U7D2S04V.005"/>
    <s v="from NW"/>
    <s v="UAT2Y440.012"/>
    <s v="from NW"/>
    <m/>
    <d v="2024-05-03T00:00:00"/>
    <s v="Metal Short Link "/>
    <s v="Conv-B DONE"/>
    <s v="Done"/>
    <s v="Done"/>
    <s v="DONE"/>
    <s v="Done"/>
    <s v="Conv-B DONE"/>
    <s v="Both side available"/>
    <s v="OK"/>
    <m/>
    <m/>
    <m/>
    <m/>
    <d v="2022-03-28T00:00:00"/>
    <m/>
    <d v="2022-07-15T00:00:00"/>
    <d v="2024-05-10T00:00:00"/>
    <d v="2023-12-01T00:00:00"/>
    <d v="2023-12-04T00:00:00"/>
    <s v="Checked"/>
    <d v="2024-06-12T00:00:00"/>
    <m/>
    <s v="12.06.24"/>
    <m/>
  </r>
  <r>
    <n v="251"/>
    <n v="37592"/>
    <s v="HLC-A"/>
    <s v="STBNM1030HLCD"/>
    <x v="9"/>
    <s v="SER"/>
    <s v="KOL"/>
    <d v="2021-06-05T00:00:00"/>
    <n v="869"/>
    <s v="Nashik"/>
    <s v="U7D2S04V.005"/>
    <s v="from NW"/>
    <s v="UAT2Y440.012"/>
    <s v="from NW"/>
    <d v="2023-07-05T00:00:00"/>
    <d v="2022-06-29T00:00:00"/>
    <s v="Metal Short Link "/>
    <s v="Conv-A DONE"/>
    <s v="Conv-A DONE"/>
    <s v="Conv-A DONE"/>
    <s v="Conv-A DONE"/>
    <s v="Conv-A DONE"/>
    <s v="Conv-A DONE"/>
    <s v="Both side available"/>
    <s v="OK"/>
    <m/>
    <m/>
    <m/>
    <m/>
    <d v="2022-03-26T00:00:00"/>
    <m/>
    <d v="2023-09-05T00:00:00"/>
    <s v="30-07-24"/>
    <d v="2023-09-05T00:00:00"/>
    <d v="2023-09-05T00:00:00"/>
    <s v="Checked"/>
    <d v="2024-04-26T00:00:00"/>
    <m/>
    <d v="2024-09-12T00:00:00"/>
    <m/>
  </r>
  <r>
    <n v="252"/>
    <n v="37592"/>
    <s v="HLC-B"/>
    <s v="STB7M0869HLCD"/>
    <x v="9"/>
    <s v="SER"/>
    <s v="KOL"/>
    <d v="2021-06-05T00:00:00"/>
    <n v="1030"/>
    <s v="Nashik"/>
    <s v="U7D2S04V.005"/>
    <s v="from NW"/>
    <s v="UAT2Y440.012"/>
    <s v="from NW"/>
    <d v="2023-07-05T00:00:00"/>
    <d v="2022-06-29T00:00:00"/>
    <s v="Metal Short Link "/>
    <s v="Conv-B DONE"/>
    <s v="Conv-B DONE"/>
    <s v="Conv-B DONE"/>
    <s v="Conv-B DONE"/>
    <s v="Conv-B DONE"/>
    <s v="Conv-B DONE"/>
    <s v="Both side available"/>
    <s v="OK"/>
    <m/>
    <m/>
    <m/>
    <m/>
    <d v="2022-03-26T00:00:00"/>
    <m/>
    <d v="2023-09-05T00:00:00"/>
    <s v="30-07-24"/>
    <d v="2023-09-05T00:00:00"/>
    <d v="2023-09-05T00:00:00"/>
    <s v="Checked"/>
    <d v="2024-04-26T00:00:00"/>
    <m/>
    <d v="2024-09-12T00:00:00"/>
    <m/>
  </r>
  <r>
    <n v="253"/>
    <n v="39058"/>
    <s v="HLC-A"/>
    <s v="STB1L0390HLCD"/>
    <x v="0"/>
    <s v="SER"/>
    <s v="KOL"/>
    <d v="2019-06-14T00:00:00"/>
    <n v="390"/>
    <s v="Nashik"/>
    <s v="U7D2S04V.005"/>
    <d v="2020-12-29T00:00:00"/>
    <s v="UAT2Y440.012"/>
    <d v="2020-12-29T00:00:00"/>
    <m/>
    <m/>
    <s v="Metal Short Link "/>
    <d v="2020-11-01T00:00:00"/>
    <s v="Conv-A DONE"/>
    <s v="Conv-A DONE"/>
    <s v="Conv-A DONE"/>
    <s v="Conv-A DONE"/>
    <s v="Conv-A DONE"/>
    <s v="Both Not Available"/>
    <s v="OK"/>
    <m/>
    <m/>
    <m/>
    <m/>
    <d v="2022-09-08T00:00:00"/>
    <m/>
    <d v="2023-09-11T00:00:00"/>
    <d v="2024-06-07T00:00:00"/>
    <d v="2023-12-23T00:00:00"/>
    <d v="2023-09-11T00:00:00"/>
    <s v="Checked"/>
    <d v="2024-06-26T00:00:00"/>
    <m/>
    <s v="26-12-24"/>
    <m/>
  </r>
  <r>
    <n v="254"/>
    <n v="39058"/>
    <s v="HLC-B"/>
    <s v="STB1L0397HLCD"/>
    <x v="0"/>
    <s v="SER"/>
    <s v="KOL"/>
    <d v="2019-06-14T00:00:00"/>
    <n v="397"/>
    <s v="Nashik"/>
    <s v="U7D2S04V.005"/>
    <d v="2020-12-29T00:00:00"/>
    <s v="UAT2Y440.012"/>
    <d v="2020-12-29T00:00:00"/>
    <m/>
    <m/>
    <s v="Metal Short Link "/>
    <s v="Already Done"/>
    <s v="Conv-B DONE"/>
    <s v="Conv-B DONE"/>
    <s v="Conv-B DONE"/>
    <s v="Conv-B DONE"/>
    <s v="Conv-B DONE"/>
    <s v="Both Not Available"/>
    <s v="Found Ok"/>
    <m/>
    <m/>
    <m/>
    <m/>
    <d v="2022-09-08T00:00:00"/>
    <m/>
    <d v="2023-09-11T00:00:00"/>
    <d v="2024-06-07T00:00:00"/>
    <d v="2023-12-23T00:00:00"/>
    <d v="2023-09-11T00:00:00"/>
    <s v="Checked"/>
    <d v="2024-06-26T00:00:00"/>
    <m/>
    <s v="26-12-24"/>
    <m/>
  </r>
  <r>
    <n v="255"/>
    <n v="39094"/>
    <s v="HLC-A"/>
    <s v="STB6L0588HLCD"/>
    <x v="9"/>
    <s v="SER"/>
    <s v="KOL"/>
    <d v="2019-09-10T00:00:00"/>
    <n v="588"/>
    <s v="Nashik"/>
    <s v="U7D2S04V.005"/>
    <d v="2021-02-05T00:00:00"/>
    <s v="UAT2Y440.012"/>
    <d v="2021-01-04T00:00:00"/>
    <d v="2023-11-15T00:00:00"/>
    <m/>
    <s v="Metal Short Link "/>
    <d v="2020-11-17T00:00:00"/>
    <s v="Conv-A DONE"/>
    <s v="Conv-A DONE"/>
    <s v="Conv-A DONE"/>
    <s v="Conv-A DONE"/>
    <s v="Conv-A DONE"/>
    <s v="Both side available"/>
    <s v="Found Ok"/>
    <m/>
    <m/>
    <m/>
    <m/>
    <d v="2023-06-24T00:00:00"/>
    <m/>
    <d v="2023-11-15T00:00:00"/>
    <d v="2024-06-26T00:00:00"/>
    <d v="2023-11-15T00:00:00"/>
    <d v="2023-11-15T00:00:00"/>
    <s v="Checked"/>
    <s v="22-03-2025"/>
    <d v="2024-02-26T00:00:00"/>
    <s v="16-12-24"/>
    <m/>
  </r>
  <r>
    <n v="256"/>
    <n v="39094"/>
    <s v="HLC-B"/>
    <s v="STB6L0589HLCD"/>
    <x v="9"/>
    <s v="SER"/>
    <s v="KOL"/>
    <d v="2019-09-10T00:00:00"/>
    <n v="589"/>
    <s v="Nashik"/>
    <s v="U7D2S04V.005"/>
    <d v="2021-02-05T00:00:00"/>
    <s v="UAT2Y440.012"/>
    <d v="2021-01-04T00:00:00"/>
    <d v="2023-11-15T00:00:00"/>
    <m/>
    <s v="Metal Short Link "/>
    <d v="2020-11-17T00:00:00"/>
    <s v="Conv-B DONE"/>
    <s v="Conv-B DONE"/>
    <s v="Conv-B DONE"/>
    <s v="Conv-B DONE"/>
    <s v="Conv-B DONE"/>
    <s v="Both side available"/>
    <s v="Found Ok"/>
    <m/>
    <m/>
    <m/>
    <m/>
    <d v="2023-06-24T00:00:00"/>
    <m/>
    <d v="2023-11-15T00:00:00"/>
    <d v="2024-06-26T00:00:00"/>
    <d v="2023-11-15T00:00:00"/>
    <d v="2023-11-15T00:00:00"/>
    <s v="Checked"/>
    <s v="22-03-2025"/>
    <d v="2024-02-26T00:00:00"/>
    <s v="16-12-24"/>
    <m/>
  </r>
  <r>
    <n v="259"/>
    <n v="30614"/>
    <s v="HLC-A"/>
    <s v="STB5J0102HLCD"/>
    <x v="0"/>
    <s v="SER"/>
    <s v="KOL"/>
    <d v="2017-11-23T00:00:00"/>
    <n v="102"/>
    <s v="Nashik"/>
    <s v="U7D2S04V.005"/>
    <d v="2021-06-23T00:00:00"/>
    <s v="UAT2Y440.012"/>
    <d v="2021-11-26T00:00:00"/>
    <d v="2023-11-14T00:00:00"/>
    <d v="2024-05-14T00:00:00"/>
    <s v="Metal Short Link "/>
    <s v="Conv-A DONE"/>
    <s v="Done"/>
    <s v="Conv-A DONE"/>
    <s v="Conv-A DONE"/>
    <s v="Done"/>
    <s v="Done"/>
    <s v="Both Not Available"/>
    <s v="Found Ok"/>
    <m/>
    <m/>
    <m/>
    <m/>
    <d v="2022-10-12T00:00:00"/>
    <d v="2023-11-14T00:00:00"/>
    <d v="2023-07-28T00:00:00"/>
    <s v="28/08/24"/>
    <d v="2023-11-14T00:00:00"/>
    <d v="2023-07-28T00:00:00"/>
    <s v="Checked"/>
    <d v="2024-05-14T00:00:00"/>
    <m/>
    <s v="28/08/24"/>
    <m/>
  </r>
  <r>
    <n v="260"/>
    <n v="30614"/>
    <s v="HLC-B"/>
    <s v="STB6J0114HLCD"/>
    <x v="0"/>
    <s v="SER"/>
    <s v="KOL"/>
    <d v="2017-11-23T00:00:00"/>
    <n v="114"/>
    <s v="Nashik"/>
    <s v="U7D2S04V.005"/>
    <d v="2021-06-23T00:00:00"/>
    <s v="UAT2Y440.012"/>
    <d v="2021-11-26T00:00:00"/>
    <d v="2023-11-14T00:00:00"/>
    <d v="2024-05-14T00:00:00"/>
    <s v="Metal Short Link "/>
    <s v="Conv-B DONE"/>
    <s v="Done"/>
    <s v="Conv-B DONE"/>
    <s v="Conv-B DONE"/>
    <s v="Done"/>
    <s v="Done"/>
    <s v="Both Not Available"/>
    <s v="Found Ok"/>
    <m/>
    <m/>
    <m/>
    <m/>
    <d v="2022-10-12T00:00:00"/>
    <d v="2023-11-14T00:00:00"/>
    <d v="2023-07-28T00:00:00"/>
    <s v="28/08/24"/>
    <d v="2023-11-14T00:00:00"/>
    <d v="2023-07-28T00:00:00"/>
    <s v="Checked"/>
    <d v="2024-05-14T00:00:00"/>
    <m/>
    <s v="28/08/24"/>
    <m/>
  </r>
  <r>
    <n v="261"/>
    <n v="37061"/>
    <s v="HLC-A"/>
    <s v="STB3K0202HLCD"/>
    <x v="0"/>
    <s v="SER"/>
    <s v="KOL"/>
    <d v="2018-12-14T00:00:00"/>
    <n v="202"/>
    <s v="Nashik"/>
    <s v="U7D2S04V.005"/>
    <d v="2021-05-04T00:00:00"/>
    <s v="UAT2Y440.012"/>
    <d v="2021-03-10T00:00:00"/>
    <m/>
    <m/>
    <s v="Metal Short Link "/>
    <s v=" ALREADY DONE"/>
    <s v="Done"/>
    <s v="Conv-A DONE"/>
    <s v="ALREADY DONE"/>
    <s v="Done"/>
    <s v="Done"/>
    <s v="Both Not Available"/>
    <s v="Found Ok"/>
    <m/>
    <m/>
    <m/>
    <m/>
    <d v="2022-11-01T00:00:00"/>
    <m/>
    <d v="2023-11-28T00:00:00"/>
    <s v="21-08-24"/>
    <d v="2023-11-28T00:00:00"/>
    <d v="2023-11-28T00:00:00"/>
    <s v="Checked"/>
    <d v="2024-05-21T00:00:00"/>
    <m/>
    <s v="21-11-24"/>
    <m/>
  </r>
  <r>
    <n v="262"/>
    <n v="37061"/>
    <s v="HLC-B"/>
    <s v="STB3K0203HLCD"/>
    <x v="0"/>
    <s v="SER"/>
    <s v="KOL"/>
    <d v="2018-12-14T00:00:00"/>
    <n v="203"/>
    <s v="Nashik"/>
    <s v="U7D2S04V.005"/>
    <d v="2021-05-04T00:00:00"/>
    <s v="UAT2Y440.012"/>
    <d v="2021-03-10T00:00:00"/>
    <m/>
    <m/>
    <s v="Metal Short Link "/>
    <s v="Already Done"/>
    <s v="Done"/>
    <s v="Conv-B DONE"/>
    <s v="ALREADY DONE"/>
    <s v="Done"/>
    <s v="Done"/>
    <s v="Both Not Available"/>
    <s v="Found Ok"/>
    <m/>
    <m/>
    <m/>
    <m/>
    <d v="2022-11-01T00:00:00"/>
    <m/>
    <d v="2023-11-28T00:00:00"/>
    <s v="21-08-24"/>
    <d v="2023-11-28T00:00:00"/>
    <d v="2023-11-28T00:00:00"/>
    <s v="Checked"/>
    <d v="2024-05-21T00:00:00"/>
    <m/>
    <s v="21-11-24"/>
    <m/>
  </r>
  <r>
    <n v="263"/>
    <n v="37076"/>
    <s v="HLC-A"/>
    <s v="STB3K0193HLCD"/>
    <x v="0"/>
    <s v="SER"/>
    <s v="KOL"/>
    <d v="2018-12-31T00:00:00"/>
    <n v="193"/>
    <s v="Nashik"/>
    <s v="U7D2S04V.005"/>
    <d v="2021-06-15T00:00:00"/>
    <s v="UAT2Y440.012"/>
    <d v="2021-09-18T00:00:00"/>
    <m/>
    <m/>
    <s v="Metal Short Link "/>
    <s v="Already Done"/>
    <s v="Conv-A DONE"/>
    <s v="Conv-A DONE"/>
    <s v="ALREADY DONE"/>
    <s v="Done"/>
    <s v="Done"/>
    <s v="Both Not Available"/>
    <s v="Found Ok"/>
    <m/>
    <m/>
    <m/>
    <m/>
    <d v="2022-12-07T00:00:00"/>
    <d v="2023-10-21T00:00:00"/>
    <d v="2024-01-29T00:00:00"/>
    <d v="2024-07-08T00:00:00"/>
    <d v="2024-01-29T00:00:00"/>
    <d v="2023-09-27T00:00:00"/>
    <s v="Checked"/>
    <d v="2024-07-06T00:00:00"/>
    <m/>
    <s v="16-12-24"/>
    <m/>
  </r>
  <r>
    <n v="264"/>
    <n v="37076"/>
    <s v="HLC-B"/>
    <s v="STB3K0199HLCD"/>
    <x v="0"/>
    <s v="SER"/>
    <s v="KOL"/>
    <d v="2018-12-31T00:00:00"/>
    <n v="199"/>
    <s v="Nashik"/>
    <s v="U7D2S04V.005"/>
    <d v="2021-06-15T00:00:00"/>
    <s v="UAT2Y440.012"/>
    <d v="2021-09-18T00:00:00"/>
    <m/>
    <m/>
    <s v="Metal Short Link "/>
    <s v="Already Done"/>
    <s v="Conv-B DONE"/>
    <s v="Conv-B DONE"/>
    <s v="ALREADY DONE"/>
    <s v="Done"/>
    <s v="Done"/>
    <s v="Both Not Available"/>
    <s v="Found Ok"/>
    <m/>
    <m/>
    <s v="EL18K02 028-R"/>
    <m/>
    <d v="2022-12-07T00:00:00"/>
    <m/>
    <d v="2024-01-29T00:00:00"/>
    <d v="2024-07-08T00:00:00"/>
    <d v="2024-01-29T00:00:00"/>
    <d v="2023-09-27T00:00:00"/>
    <s v="Checked"/>
    <d v="2024-07-06T00:00:00"/>
    <m/>
    <s v="16-12-24"/>
    <m/>
  </r>
  <r>
    <n v="265"/>
    <n v="37283"/>
    <s v="HLC-A"/>
    <s v="STB6L0587HLCD"/>
    <x v="0"/>
    <s v="SER"/>
    <s v="KOL"/>
    <d v="2019-11-26T00:00:00"/>
    <n v="587"/>
    <s v="Nashik"/>
    <s v="U7D2S04V.005"/>
    <d v="2021-06-16T00:00:00"/>
    <s v="UAT2Y440.012"/>
    <d v="2021-03-14T00:00:00"/>
    <s v="15-03-2025"/>
    <d v="2024-05-15T00:00:00"/>
    <s v="Metal Short Link "/>
    <s v="Already Done"/>
    <s v="Conv-A DONE"/>
    <s v="Conv-A DONE"/>
    <s v="ALREADY DONE"/>
    <s v="Done"/>
    <s v="Done"/>
    <s v="Both Not Available"/>
    <s v="Found Ok"/>
    <m/>
    <m/>
    <m/>
    <m/>
    <d v="2022-10-08T00:00:00"/>
    <m/>
    <d v="2024-02-01T00:00:00"/>
    <d v="2024-06-24T00:00:00"/>
    <d v="2023-10-28T00:00:00"/>
    <d v="2023-11-24T00:00:00"/>
    <s v="Checked"/>
    <s v="15-03-2025"/>
    <m/>
    <d v="2024-04-10T00:00:00"/>
    <m/>
  </r>
  <r>
    <n v="266"/>
    <n v="37283"/>
    <s v="HLC-B"/>
    <s v="STB6L0573HLCD"/>
    <x v="0"/>
    <s v="SER"/>
    <s v="KOL"/>
    <d v="2019-11-26T00:00:00"/>
    <n v="573"/>
    <s v="Nashik"/>
    <s v="U7D2S04V.005"/>
    <d v="2021-06-16T00:00:00"/>
    <s v="UAT2Y440.012"/>
    <d v="2021-03-14T00:00:00"/>
    <s v="15-03-2025"/>
    <d v="2024-05-15T00:00:00"/>
    <s v="Metal Short Link "/>
    <s v="Already Done"/>
    <s v="Conv-B DONE"/>
    <s v="Conv-B DONE"/>
    <s v="ALREADY DONE"/>
    <s v="Done"/>
    <s v="Done"/>
    <s v="Both Not Available"/>
    <s v="Found Ok"/>
    <m/>
    <m/>
    <m/>
    <m/>
    <d v="2022-10-08T00:00:00"/>
    <m/>
    <d v="2024-02-01T00:00:00"/>
    <d v="2024-06-24T00:00:00"/>
    <d v="2023-10-28T00:00:00"/>
    <d v="2023-11-24T00:00:00"/>
    <s v="Checked"/>
    <s v="15-03-2025"/>
    <m/>
    <d v="2024-04-10T00:00:00"/>
    <m/>
  </r>
  <r>
    <n v="267"/>
    <n v="37284"/>
    <s v="HLC-A"/>
    <s v="STB7L0647HLCD"/>
    <x v="0"/>
    <s v="SER"/>
    <s v="KOL"/>
    <d v="2019-11-27T00:00:00"/>
    <n v="647"/>
    <s v="Nashik"/>
    <m/>
    <m/>
    <s v="UAT2Y440.012"/>
    <d v="2020-12-21T00:00:00"/>
    <d v="2024-03-30T00:00:00"/>
    <m/>
    <s v="Metal Short Link "/>
    <s v="Already Done"/>
    <s v="Done"/>
    <s v="Conv-A DONE"/>
    <s v="ALREADY DONE"/>
    <s v="Done"/>
    <s v="Done"/>
    <s v="Both Not Available"/>
    <s v="Found Ok"/>
    <m/>
    <m/>
    <m/>
    <m/>
    <d v="2023-05-12T00:00:00"/>
    <m/>
    <d v="2023-07-18T00:00:00"/>
    <s v="31-07-24"/>
    <d v="2024-01-22T00:00:00"/>
    <d v="2023-07-19T00:00:00"/>
    <s v="Checked"/>
    <s v="23-07-2024"/>
    <m/>
    <s v="17-02-25"/>
    <m/>
  </r>
  <r>
    <n v="268"/>
    <n v="37284"/>
    <s v="HLC-B"/>
    <s v="STB7L0646HLCD"/>
    <x v="0"/>
    <s v="SER"/>
    <s v="KOL"/>
    <d v="2019-11-27T00:00:00"/>
    <n v="646"/>
    <s v="Nashik"/>
    <m/>
    <m/>
    <s v="UAT2Y440.012"/>
    <d v="2020-12-21T00:00:00"/>
    <d v="2024-03-30T00:00:00"/>
    <m/>
    <s v="Metal Short Link "/>
    <s v="Already Done"/>
    <s v="Done"/>
    <s v="Conv-B DONE"/>
    <s v="ALREADY DONE"/>
    <s v="Done"/>
    <s v="Done"/>
    <s v="Both Not Available"/>
    <s v="Found Ok"/>
    <m/>
    <m/>
    <m/>
    <m/>
    <d v="2023-05-12T00:00:00"/>
    <d v="2023-10-12T00:00:00"/>
    <d v="2023-07-18T00:00:00"/>
    <s v="31-07-24"/>
    <d v="2024-01-22T00:00:00"/>
    <d v="2023-07-19T00:00:00"/>
    <s v="Checked"/>
    <s v="23-07-2024"/>
    <m/>
    <s v="17-02-25"/>
    <m/>
  </r>
  <r>
    <n v="269"/>
    <n v="37290"/>
    <s v="HLC-A"/>
    <s v="STB7L0630HLCD"/>
    <x v="0"/>
    <s v="SER"/>
    <s v="KOL"/>
    <d v="2019-11-29T00:00:00"/>
    <n v="630"/>
    <s v="Nashik"/>
    <s v="U7D2S04V.005"/>
    <d v="2021-06-23T00:00:00"/>
    <s v="UAT2Y440.012"/>
    <d v="2021-03-13T00:00:00"/>
    <s v="27-03-2025"/>
    <s v="25-06-202"/>
    <s v="Metal Short Link "/>
    <s v="Conv-A DONE"/>
    <s v="Done"/>
    <s v="Conv-A DONE"/>
    <s v="Conv-A DONE"/>
    <s v="Done"/>
    <s v="Done"/>
    <s v="Both Not Available"/>
    <s v="Found Ok"/>
    <m/>
    <m/>
    <m/>
    <m/>
    <d v="2022-12-23T00:00:00"/>
    <s v="16-02-24"/>
    <d v="2023-07-13T00:00:00"/>
    <s v="13-09-24"/>
    <d v="2023-11-01T00:00:00"/>
    <d v="2023-07-13T00:00:00"/>
    <s v="Checked"/>
    <s v="27-03-2025"/>
    <m/>
    <s v="22-11-24"/>
    <m/>
  </r>
  <r>
    <n v="270"/>
    <n v="37290"/>
    <s v="HLC-B"/>
    <s v="STB7L0631HLCD"/>
    <x v="0"/>
    <s v="SER"/>
    <s v="KOL"/>
    <d v="2019-11-29T00:00:00"/>
    <n v="631"/>
    <s v="Nashik"/>
    <s v="U7D2S04V.005"/>
    <d v="2021-06-23T00:00:00"/>
    <s v="UAT2Y440.012"/>
    <d v="2021-03-13T00:00:00"/>
    <s v="27-03-2025"/>
    <m/>
    <s v="Metal Short Link "/>
    <s v="Conv-A DONE"/>
    <s v="Done"/>
    <s v="Conv-B DONE"/>
    <s v="Conv-A DONE"/>
    <s v="Done"/>
    <s v="Done"/>
    <s v="Both Not Available"/>
    <s v="Found Ok"/>
    <m/>
    <m/>
    <m/>
    <m/>
    <d v="2022-12-23T00:00:00"/>
    <m/>
    <d v="2023-07-13T00:00:00"/>
    <s v="13-09-24"/>
    <d v="2023-11-01T00:00:00"/>
    <d v="2023-07-13T00:00:00"/>
    <s v="Checked"/>
    <s v="27-03-2025"/>
    <m/>
    <s v="22-11-24"/>
    <m/>
  </r>
  <r>
    <n v="271"/>
    <n v="37291"/>
    <s v="HLC-A"/>
    <s v="STB6L0561HLCD"/>
    <x v="0"/>
    <s v="SER"/>
    <s v="KOL"/>
    <d v="2019-11-30T00:00:00"/>
    <n v="561"/>
    <s v="Nashik"/>
    <s v="U7D2S04V.005"/>
    <d v="2021-06-24T00:00:00"/>
    <m/>
    <m/>
    <d v="2024-05-17T00:00:00"/>
    <d v="2023-12-04T00:00:00"/>
    <s v="Metal Short Link "/>
    <s v="Conv-A DONE"/>
    <s v="Done"/>
    <s v="Conv-A DONE"/>
    <s v="Conv-A DONE"/>
    <s v="Done"/>
    <s v="Done"/>
    <s v="Both Not Available"/>
    <s v="Found Ok"/>
    <m/>
    <m/>
    <m/>
    <m/>
    <d v="2023-12-04T00:00:00"/>
    <d v="2024-05-23T00:00:00"/>
    <d v="2023-12-04T00:00:00"/>
    <d v="2024-07-09T00:00:00"/>
    <d v="2023-12-04T00:00:00"/>
    <d v="2023-12-04T00:00:00"/>
    <s v="Checked"/>
    <s v="17-03-2025"/>
    <m/>
    <s v="21-03-25"/>
    <m/>
  </r>
  <r>
    <n v="272"/>
    <n v="37291"/>
    <s v="HLC-B"/>
    <s v="STB6L0565HLCD"/>
    <x v="0"/>
    <s v="SER"/>
    <s v="KOL"/>
    <d v="2019-11-30T00:00:00"/>
    <n v="565"/>
    <s v="Nashik"/>
    <s v="U7D2S04V.005"/>
    <d v="2021-06-24T00:00:00"/>
    <m/>
    <m/>
    <d v="2024-05-17T00:00:00"/>
    <d v="2023-12-04T00:00:00"/>
    <s v="Metal Short Link "/>
    <s v="Conv-B DONE"/>
    <s v="Done"/>
    <s v="Conv-B DONE"/>
    <s v="Conv-B DONE"/>
    <s v="Done"/>
    <s v="Done"/>
    <s v="Both Not Available"/>
    <s v="Found Ok"/>
    <m/>
    <m/>
    <s v="EL19F04006"/>
    <m/>
    <d v="2023-12-04T00:00:00"/>
    <d v="2023-12-04T00:00:00"/>
    <d v="2023-12-04T00:00:00"/>
    <d v="2024-07-09T00:00:00"/>
    <d v="2023-12-04T00:00:00"/>
    <d v="2023-12-04T00:00:00"/>
    <s v="Checked"/>
    <s v="17-03-2025"/>
    <m/>
    <s v="21-03-25"/>
    <m/>
  </r>
  <r>
    <n v="273"/>
    <n v="37520"/>
    <s v="HLC-A"/>
    <s v="STB8M0924HLCD"/>
    <x v="0"/>
    <s v="SER"/>
    <s v="KOL"/>
    <d v="2021-01-08T00:00:00"/>
    <n v="924"/>
    <s v="Nashik"/>
    <m/>
    <m/>
    <s v="UAT2Y440.012"/>
    <d v="2021-10-27T00:00:00"/>
    <m/>
    <m/>
    <s v="Metal Short Link "/>
    <s v="Conv-A DONE"/>
    <s v="Done"/>
    <s v="Conv-A DONE"/>
    <s v="Conv-A DONE"/>
    <s v="Done"/>
    <s v="Done"/>
    <s v="Both Not Available"/>
    <s v="Found Ok"/>
    <m/>
    <m/>
    <m/>
    <m/>
    <d v="2023-02-25T00:00:00"/>
    <m/>
    <d v="2023-12-08T00:00:00"/>
    <s v="25-09-24"/>
    <d v="2023-12-08T00:00:00"/>
    <d v="2023-12-08T00:00:00"/>
    <s v="Checked"/>
    <d v="2024-06-18T00:00:00"/>
    <m/>
    <d v="2024-06-18T00:00:00"/>
    <m/>
  </r>
  <r>
    <n v="274"/>
    <n v="37520"/>
    <s v="HLC-B"/>
    <s v="STB9M0975HLCD"/>
    <x v="0"/>
    <s v="SER"/>
    <s v="KOL"/>
    <d v="2021-01-08T00:00:00"/>
    <n v="975"/>
    <s v="Nashik"/>
    <m/>
    <m/>
    <s v="UAT2Y440.012"/>
    <d v="2021-10-27T00:00:00"/>
    <m/>
    <m/>
    <s v="Metal Short Link "/>
    <s v="Conv-B DONE"/>
    <s v="Done"/>
    <s v="Conv-B DONE"/>
    <s v="Conv-B DONE"/>
    <s v="Done"/>
    <s v="Done"/>
    <s v="Both Not Available"/>
    <s v="Found Ok"/>
    <m/>
    <m/>
    <m/>
    <m/>
    <d v="2023-02-25T00:00:00"/>
    <m/>
    <d v="2023-12-08T00:00:00"/>
    <s v="25-09-24"/>
    <d v="2023-12-08T00:00:00"/>
    <d v="2023-12-08T00:00:00"/>
    <s v="Checked"/>
    <d v="2024-06-18T00:00:00"/>
    <m/>
    <d v="2024-06-18T00:00:00"/>
    <m/>
  </r>
  <r>
    <n v="275"/>
    <n v="30694"/>
    <s v="HLC-A"/>
    <s v="STBDM1078HLCD"/>
    <x v="10"/>
    <s v="ECoR"/>
    <s v="KOL"/>
    <d v="2021-12-18T00:00:00"/>
    <n v="1078"/>
    <s v="Nashik"/>
    <s v="U7D2S04V.005"/>
    <s v="Already Done"/>
    <s v="UAT2Y440.012"/>
    <s v="Modified from BLW"/>
    <d v="2025-03-04T00:00:00"/>
    <m/>
    <s v="Wire Short Link "/>
    <s v="Conv-A DONE"/>
    <s v="Conv-A DONE"/>
    <s v="Conv-A DONE"/>
    <s v="Conv-A DONE"/>
    <s v="Done"/>
    <s v="Done"/>
    <s v="Both side available"/>
    <s v="Found Ok"/>
    <m/>
    <m/>
    <m/>
    <m/>
    <d v="2022-08-18T00:00:00"/>
    <m/>
    <d v="2022-08-18T00:00:00"/>
    <s v="31-08-24"/>
    <d v="2023-12-22T00:00:00"/>
    <d v="2023-08-16T00:00:00"/>
    <s v="Checked"/>
    <m/>
    <d v="2024-09-06T00:00:00"/>
    <d v="2024-07-09T00:00:00"/>
    <m/>
  </r>
  <r>
    <n v="276"/>
    <n v="30694"/>
    <s v="HLC-B"/>
    <s v="STBDM1075HLCD"/>
    <x v="10"/>
    <s v="ECoR"/>
    <s v="KOL"/>
    <d v="2021-12-18T00:00:00"/>
    <n v="1075"/>
    <s v="Nashik"/>
    <s v="U7D2S04V.005"/>
    <s v="Already Done"/>
    <s v="UAT2Y440.012"/>
    <s v="Modified from BLW"/>
    <d v="2025-03-04T00:00:00"/>
    <m/>
    <s v="Wire Short Link "/>
    <s v="Conv-B DONE"/>
    <s v="Conv-B DONE"/>
    <s v="Conv-B DONE"/>
    <s v="Conv-B DONE"/>
    <s v="Done"/>
    <s v="Done"/>
    <s v="Both side available"/>
    <s v="Found Ok"/>
    <m/>
    <m/>
    <m/>
    <m/>
    <d v="2022-08-18T00:00:00"/>
    <m/>
    <d v="2022-08-18T00:00:00"/>
    <s v="31-08-24"/>
    <d v="2023-12-22T00:00:00"/>
    <d v="2023-08-16T00:00:00"/>
    <s v="Checked"/>
    <m/>
    <d v="2024-09-06T00:00:00"/>
    <d v="2024-07-09T00:00:00"/>
    <m/>
  </r>
  <r>
    <n v="277"/>
    <n v="30695"/>
    <s v="HLC-A"/>
    <s v="STBDM1079HLCD"/>
    <x v="10"/>
    <s v="ECoR"/>
    <s v="KOL"/>
    <d v="2022-02-11T00:00:00"/>
    <n v="1079"/>
    <s v="Nashik"/>
    <s v="U7D2S04V.005"/>
    <s v="Already Done"/>
    <s v="UAT2Y440.012"/>
    <s v="Already Done"/>
    <d v="2022-10-25T00:00:00"/>
    <m/>
    <s v="Wire Short Link "/>
    <s v="Conv-A DONE"/>
    <s v="Already Done"/>
    <s v="Already Done"/>
    <s v="Already Done"/>
    <s v="Done"/>
    <s v="Done"/>
    <s v="Both side available"/>
    <s v="Found Ok"/>
    <m/>
    <m/>
    <m/>
    <m/>
    <d v="2022-11-18T00:00:00"/>
    <m/>
    <d v="2023-08-07T00:00:00"/>
    <d v="2024-06-26T00:00:00"/>
    <d v="2023-08-12T00:00:00"/>
    <d v="2023-08-12T00:00:00"/>
    <s v="Checked"/>
    <s v="27-08-24"/>
    <m/>
    <d v="2024-07-10T00:00:00"/>
    <m/>
  </r>
  <r>
    <n v="278"/>
    <n v="30695"/>
    <s v="HLC-B"/>
    <s v="STBDM1074HLCD"/>
    <x v="10"/>
    <s v="ECoR"/>
    <s v="KOL"/>
    <d v="2022-02-11T00:00:00"/>
    <n v="1074"/>
    <s v="Nashik"/>
    <s v="U7D2S04V.005"/>
    <s v="Already Done"/>
    <s v="UAT2Y440.012"/>
    <s v="Already Done"/>
    <d v="2022-10-25T00:00:00"/>
    <m/>
    <s v="Wire Short Link "/>
    <s v="Conv-B DONE"/>
    <s v="Already Done"/>
    <s v="Already Done"/>
    <s v="Already Done"/>
    <s v="Done"/>
    <s v="Done"/>
    <s v="Both side available"/>
    <s v="Found Ok"/>
    <m/>
    <m/>
    <m/>
    <m/>
    <d v="2022-11-18T00:00:00"/>
    <m/>
    <d v="2023-08-07T00:00:00"/>
    <d v="2024-06-26T00:00:00"/>
    <d v="2023-08-12T00:00:00"/>
    <d v="2023-08-12T00:00:00"/>
    <s v="Checked"/>
    <s v="27-08-24"/>
    <m/>
    <d v="2024-07-10T00:00:00"/>
    <m/>
  </r>
  <r>
    <n v="279"/>
    <n v="30701"/>
    <s v="HLC-A"/>
    <s v="STBDM1077HLCD"/>
    <x v="10"/>
    <s v="ECoR"/>
    <s v="KOL"/>
    <d v="2018-11-30T00:00:00"/>
    <n v="1077"/>
    <s v="Nashik"/>
    <s v="U7D2S04V.005"/>
    <d v="2021-08-16T00:00:00"/>
    <s v="UAT2Y440.012"/>
    <d v="2021-08-16T00:00:00"/>
    <d v="2022-11-22T00:00:00"/>
    <m/>
    <s v="Wire Short Link "/>
    <s v="Conv-A DONE"/>
    <s v="Conv-A DONE"/>
    <s v="Conv-A DONE"/>
    <s v="Conv-A DONE"/>
    <d v="2021-08-16T00:00:00"/>
    <d v="2021-08-16T00:00:00"/>
    <s v="Both side available"/>
    <s v="Found Ok"/>
    <m/>
    <m/>
    <m/>
    <m/>
    <d v="2022-03-28T00:00:00"/>
    <m/>
    <d v="2022-11-22T00:00:00"/>
    <s v="13-08-24"/>
    <d v="2023-11-11T00:00:00"/>
    <d v="2023-08-28T00:00:00"/>
    <s v="Checked"/>
    <m/>
    <m/>
    <s v="13-11-24"/>
    <m/>
  </r>
  <r>
    <n v="280"/>
    <n v="30701"/>
    <s v="HLC-B"/>
    <s v="STBDM1076HLCD"/>
    <x v="10"/>
    <s v="ECoR"/>
    <s v="KOL"/>
    <d v="2018-11-30T00:00:00"/>
    <n v="1076"/>
    <s v="Nashik"/>
    <s v="U7D2S04V.005"/>
    <d v="2021-08-16T00:00:00"/>
    <s v="UAT2Y440.012"/>
    <d v="2021-08-16T00:00:00"/>
    <d v="2022-11-22T00:00:00"/>
    <m/>
    <s v="Wire Short Link "/>
    <s v="Conv-B DONE"/>
    <s v="Conv-B DONE"/>
    <s v="Conv-B DONE"/>
    <s v="Conv-B DONE"/>
    <d v="2021-08-16T00:00:00"/>
    <d v="2021-08-16T00:00:00"/>
    <s v="Both side available"/>
    <s v="Found Ok"/>
    <m/>
    <m/>
    <m/>
    <m/>
    <d v="2022-03-28T00:00:00"/>
    <m/>
    <d v="2022-11-22T00:00:00"/>
    <s v="13-08-24"/>
    <d v="2023-11-11T00:00:00"/>
    <d v="2023-08-28T00:00:00"/>
    <s v="Checked"/>
    <m/>
    <m/>
    <s v="13-11-24"/>
    <m/>
  </r>
  <r>
    <n v="281"/>
    <n v="30706"/>
    <s v="HLC-A"/>
    <s v="STB4N1111HLCD"/>
    <x v="10"/>
    <s v="ECoR"/>
    <s v="KOL"/>
    <d v="2022-01-13T00:00:00"/>
    <n v="1111"/>
    <s v="Nashik"/>
    <s v="U7D2S04V.005"/>
    <s v="Already Done"/>
    <s v="UAT2Y440.012"/>
    <s v="Modified from BLW"/>
    <d v="2023-02-26T00:00:00"/>
    <m/>
    <s v="Wire Short Link "/>
    <s v="Conv-A DONE"/>
    <s v="Conv-A DONE"/>
    <s v="Conv-A DONE"/>
    <s v="Conv-A DONE"/>
    <s v="Done"/>
    <s v="Done"/>
    <s v="Both side available"/>
    <s v="Found Ok"/>
    <m/>
    <m/>
    <m/>
    <m/>
    <d v="2022-11-18T00:00:00"/>
    <m/>
    <d v="2023-08-28T00:00:00"/>
    <d v="2024-09-05T00:00:00"/>
    <d v="2023-11-24T00:00:00"/>
    <d v="2023-08-28T00:00:00"/>
    <s v="Checked"/>
    <m/>
    <m/>
    <d v="2024-07-09T00:00:00"/>
    <m/>
  </r>
  <r>
    <n v="282"/>
    <n v="30706"/>
    <s v="HLC-B"/>
    <s v="STB4N1113HLCD"/>
    <x v="10"/>
    <s v="ECoR"/>
    <s v="KOL"/>
    <d v="2022-01-13T00:00:00"/>
    <n v="1113"/>
    <s v="Nashik"/>
    <s v="U7D2S04V.005"/>
    <s v="Already Done"/>
    <s v="UAT2Y440.012"/>
    <s v="Modified from BLW"/>
    <d v="2023-02-26T00:00:00"/>
    <m/>
    <s v="Wire Short Link "/>
    <s v="Conv-B DONE"/>
    <s v="Conv-B DONE"/>
    <s v="Conv-B DONE"/>
    <s v="Conv-B DONE"/>
    <s v="Done"/>
    <s v="Done"/>
    <s v="Both side available"/>
    <s v="Found Ok"/>
    <m/>
    <m/>
    <m/>
    <m/>
    <d v="2022-11-18T00:00:00"/>
    <m/>
    <d v="2023-08-28T00:00:00"/>
    <d v="2024-09-05T00:00:00"/>
    <d v="2023-11-24T00:00:00"/>
    <d v="2023-08-28T00:00:00"/>
    <s v="Checked"/>
    <m/>
    <m/>
    <d v="2024-07-09T00:00:00"/>
    <m/>
  </r>
  <r>
    <n v="283"/>
    <n v="30707"/>
    <s v="HLC-A"/>
    <s v="STB4N1114HLCD"/>
    <x v="10"/>
    <s v="ECoR"/>
    <s v="KOL"/>
    <d v="2022-05-08T00:00:00"/>
    <n v="1114"/>
    <s v="Nashik"/>
    <s v="U7D2S04V.005"/>
    <s v="Modified from BLW"/>
    <s v="UAT2Y440.012"/>
    <s v="Modified from BLW"/>
    <d v="2022-07-30T00:00:00"/>
    <m/>
    <s v="Wire Short Link "/>
    <s v="Conv-A DONE"/>
    <s v="Conv-A DONE"/>
    <s v="Conv-A DONE"/>
    <s v="Conv-A DONE"/>
    <s v="Done"/>
    <s v="Done"/>
    <s v="Both side available"/>
    <s v="Found Ok"/>
    <m/>
    <m/>
    <m/>
    <m/>
    <d v="2022-11-18T00:00:00"/>
    <m/>
    <s v="Already Modified"/>
    <d v="2024-06-26T00:00:00"/>
    <d v="2023-06-17T00:00:00"/>
    <d v="2023-06-17T00:00:00"/>
    <s v="Checked"/>
    <d v="2024-02-07T00:00:00"/>
    <m/>
    <s v="25-10-24"/>
    <m/>
  </r>
  <r>
    <n v="284"/>
    <n v="30707"/>
    <s v="HLC-B"/>
    <s v="STBDN1192HLCD"/>
    <x v="10"/>
    <s v="ECoR"/>
    <s v="KOL"/>
    <d v="2022-05-08T00:00:00"/>
    <n v="1192"/>
    <s v="Nashik"/>
    <s v="U7D2S04V.005"/>
    <s v="Modified from BLW"/>
    <s v="UAT2Y440.012"/>
    <s v="Modified from BLW"/>
    <d v="2022-07-30T00:00:00"/>
    <m/>
    <s v="Wire Short Link "/>
    <s v="Conv-B DONE"/>
    <s v="Conv-B DONE"/>
    <s v="Conv-B DONE"/>
    <s v="Conv-B DONE"/>
    <s v="Done"/>
    <s v="Done"/>
    <s v="Both side available"/>
    <s v="Found Ok"/>
    <m/>
    <m/>
    <m/>
    <m/>
    <d v="2022-11-18T00:00:00"/>
    <m/>
    <s v="Already Modified"/>
    <d v="2024-06-26T00:00:00"/>
    <d v="2023-06-17T00:00:00"/>
    <d v="2023-06-17T00:00:00"/>
    <s v="Checked"/>
    <d v="2024-02-07T00:00:00"/>
    <m/>
    <s v="25-10-24"/>
    <m/>
  </r>
  <r>
    <n v="285"/>
    <n v="30710"/>
    <s v="HLC-A"/>
    <s v="STB4N1110HLCD"/>
    <x v="10"/>
    <s v="ECoR"/>
    <s v="KOL"/>
    <d v="2022-04-12T00:00:00"/>
    <n v="1110"/>
    <s v="Nashik"/>
    <s v="U7D2S04V.005"/>
    <s v="Modified from BLW"/>
    <s v="UAT2Y440.012"/>
    <s v="Modified from BLW"/>
    <d v="2023-04-15T00:00:00"/>
    <m/>
    <s v="Wire Short Link "/>
    <s v="Conv-A DONE"/>
    <s v="Conv-A DONE"/>
    <s v="Conv-A DONE"/>
    <s v="Conv-A DONE"/>
    <s v="Done"/>
    <s v="Done"/>
    <s v="Both side available"/>
    <s v="Found Ok"/>
    <m/>
    <m/>
    <m/>
    <m/>
    <d v="2022-04-06T00:00:00"/>
    <m/>
    <s v="Already Modified"/>
    <d v="2024-06-26T00:00:00"/>
    <d v="2023-10-07T00:00:00"/>
    <d v="2023-08-18T00:00:00"/>
    <s v="Checked"/>
    <s v="27-07-2024"/>
    <m/>
    <d v="2024-07-10T00:00:00"/>
    <m/>
  </r>
  <r>
    <n v="286"/>
    <n v="30710"/>
    <s v="HLC-B"/>
    <s v="STB4N1112HLCD"/>
    <x v="10"/>
    <s v="ECoR"/>
    <s v="KOL"/>
    <d v="2022-04-12T00:00:00"/>
    <n v="1112"/>
    <s v="Nashik"/>
    <s v="U7D2S04V.005"/>
    <s v="Modified from BLW"/>
    <s v="UAT2Y440.012"/>
    <s v="Modified from BLW"/>
    <d v="2023-04-15T00:00:00"/>
    <m/>
    <s v="Wire Short Link "/>
    <s v="Conv-B DONE"/>
    <s v="Conv-B DONE"/>
    <s v="Conv-B DONE"/>
    <s v="Conv-B DONE"/>
    <s v="Done"/>
    <s v="Done"/>
    <s v="Both side available"/>
    <s v="Found Ok"/>
    <m/>
    <m/>
    <m/>
    <m/>
    <d v="2022-04-06T00:00:00"/>
    <m/>
    <s v="Already Modified"/>
    <d v="2024-06-26T00:00:00"/>
    <d v="2023-10-07T00:00:00"/>
    <d v="2023-08-18T00:00:00"/>
    <s v="Checked"/>
    <s v="27-07-2024"/>
    <m/>
    <d v="2024-07-10T00:00:00"/>
    <m/>
  </r>
  <r>
    <n v="287"/>
    <n v="30730"/>
    <s v="HLC-A"/>
    <s v="STBDN1191HLCD"/>
    <x v="10"/>
    <s v="ECoR"/>
    <s v="KOL"/>
    <d v="2022-03-03T00:00:00"/>
    <n v="1191"/>
    <s v="Nashik"/>
    <s v="U7D2S04V.005"/>
    <s v="Already Done"/>
    <s v="UAT2Y440.012"/>
    <s v="Already Done"/>
    <d v="2023-02-17T00:00:00"/>
    <d v="2025-03-03T00:00:00"/>
    <s v="Wire Short Link "/>
    <s v="Conv-A DONE"/>
    <s v="Already Done"/>
    <s v="Already Done"/>
    <s v="Already Done"/>
    <s v="Done"/>
    <s v="Done"/>
    <s v="Both side available"/>
    <s v="Found Ok"/>
    <m/>
    <m/>
    <m/>
    <m/>
    <d v="2022-06-07T00:00:00"/>
    <m/>
    <s v="Already Modified"/>
    <d v="2024-06-28T00:00:00"/>
    <d v="2023-10-09T00:00:00"/>
    <d v="2023-08-10T00:00:00"/>
    <s v="Checked"/>
    <d v="2024-08-10T00:00:00"/>
    <m/>
    <d v="2024-08-10T00:00:00"/>
    <m/>
  </r>
  <r>
    <n v="288"/>
    <n v="30730"/>
    <s v="HLC-B"/>
    <s v="STBDN1190HLCD"/>
    <x v="10"/>
    <s v="ECoR"/>
    <s v="KOL"/>
    <d v="2022-03-03T00:00:00"/>
    <n v="1190"/>
    <s v="Nashik"/>
    <s v="U7D2S04V.005"/>
    <s v="Already Done"/>
    <s v="UAT2Y440.012"/>
    <s v="Already Done"/>
    <d v="2023-02-17T00:00:00"/>
    <d v="2025-03-03T00:00:00"/>
    <s v="Wire Short Link "/>
    <s v="Conv-B DONE"/>
    <s v="Already Done"/>
    <s v="Already Done"/>
    <s v="Already Done"/>
    <d v="2022-02-22T00:00:00"/>
    <d v="2022-02-22T00:00:00"/>
    <s v="Both side available"/>
    <s v="Found Ok"/>
    <m/>
    <m/>
    <m/>
    <m/>
    <d v="2022-06-07T00:00:00"/>
    <m/>
    <s v="Already Modified"/>
    <d v="2024-06-28T00:00:00"/>
    <d v="2023-10-09T00:00:00"/>
    <d v="2023-08-10T00:00:00"/>
    <s v="Checked"/>
    <d v="2024-08-10T00:00:00"/>
    <m/>
    <d v="2024-08-10T00:00:00"/>
    <m/>
  </r>
  <r>
    <n v="289"/>
    <n v="30733"/>
    <s v="HLC-A"/>
    <s v="STBDN1193HLCD"/>
    <x v="10"/>
    <s v="ECoR"/>
    <s v="KOL"/>
    <d v="2022-03-22T00:00:00"/>
    <n v="1193"/>
    <s v="Nashik"/>
    <s v="U7D2S04V.005"/>
    <s v="Already Done"/>
    <s v="UAT2Y440.012"/>
    <s v="Already Done"/>
    <d v="2023-06-27T00:00:00"/>
    <m/>
    <s v="Wire Short Link "/>
    <s v="Conv-A DONE"/>
    <s v="Already Done"/>
    <s v="Already Done"/>
    <s v="Already Done"/>
    <s v="Done"/>
    <s v="Done"/>
    <s v="Both side available"/>
    <s v="Found Ok"/>
    <m/>
    <m/>
    <m/>
    <m/>
    <d v="2022-11-18T00:00:00"/>
    <m/>
    <s v="Already Modified"/>
    <d v="2024-07-06T00:00:00"/>
    <d v="2023-01-09T00:00:00"/>
    <d v="2023-08-07T00:00:00"/>
    <s v="Checked"/>
    <d v="2025-06-18T00:00:00"/>
    <m/>
    <s v="31-10-24"/>
    <m/>
  </r>
  <r>
    <n v="290"/>
    <n v="30733"/>
    <s v="HLC-B"/>
    <s v="STB4N1115HLCD"/>
    <x v="10"/>
    <s v="ECoR"/>
    <s v="KOL"/>
    <d v="2022-03-22T00:00:00"/>
    <n v="1115"/>
    <s v="Nashik"/>
    <s v="U7D2S04V.005"/>
    <s v="Already Done"/>
    <s v="UAT2Y440.012"/>
    <s v="Already Done"/>
    <d v="2023-06-27T00:00:00"/>
    <m/>
    <s v="Wire Short Link "/>
    <s v="Conv-B DONE"/>
    <s v="Already Done"/>
    <s v="Already Done"/>
    <s v="Already Done"/>
    <s v="Done"/>
    <s v="Done"/>
    <s v="Both side available"/>
    <s v="Found Ok"/>
    <m/>
    <m/>
    <m/>
    <m/>
    <d v="2022-11-18T00:00:00"/>
    <m/>
    <s v="Already Modified"/>
    <d v="2024-07-06T00:00:00"/>
    <d v="2023-01-09T00:00:00"/>
    <d v="2023-08-07T00:00:00"/>
    <s v="Checked"/>
    <d v="2025-06-18T00:00:00"/>
    <m/>
    <s v="31-10-24"/>
    <m/>
  </r>
  <r>
    <n v="291"/>
    <n v="37082"/>
    <s v="HLC-A"/>
    <s v="STB7K0271HLCD"/>
    <x v="10"/>
    <s v="ECoR"/>
    <s v="KOL"/>
    <d v="2019-01-24T00:00:00"/>
    <n v="271"/>
    <s v="Nashik"/>
    <s v="U7D2S04V.005"/>
    <d v="2021-01-01T00:00:00"/>
    <s v="UAT2Y440.012"/>
    <d v="2021-05-11T00:00:00"/>
    <d v="2022-12-15T00:00:00"/>
    <d v="2024-05-03T00:00:00"/>
    <s v="Metal Short Link "/>
    <s v="Conv-A DONE"/>
    <s v="Conv-A DONE"/>
    <s v="Conv-A DONE"/>
    <s v="Conv-A DONE"/>
    <d v="2021-05-11T00:00:00"/>
    <d v="2021-05-11T00:00:00"/>
    <s v="Not available"/>
    <s v="Found Ok"/>
    <m/>
    <m/>
    <m/>
    <m/>
    <d v="2022-06-07T00:00:00"/>
    <m/>
    <d v="2023-08-16T00:00:00"/>
    <d v="2024-07-11T00:00:00"/>
    <d v="2024-05-03T00:00:00"/>
    <d v="2023-06-19T00:00:00"/>
    <s v="Checked"/>
    <s v="19-07-24"/>
    <d v="2024-05-03T00:00:00"/>
    <s v="19-07-24"/>
    <d v="2025-04-18T00:00:00"/>
  </r>
  <r>
    <n v="292"/>
    <n v="37082"/>
    <s v="HLC-B"/>
    <s v="STB7K0270HLCD"/>
    <x v="10"/>
    <s v="ECoR"/>
    <s v="KOL"/>
    <d v="2019-01-24T00:00:00"/>
    <n v="270"/>
    <s v="Nashik"/>
    <s v="U7D2S04V.005"/>
    <d v="2021-01-01T00:00:00"/>
    <s v="UAT2Y440.012"/>
    <d v="2021-05-11T00:00:00"/>
    <d v="2022-12-15T00:00:00"/>
    <d v="2024-05-03T00:00:00"/>
    <s v="Metal Short Link "/>
    <s v="Conv-B DONE"/>
    <s v="Conv-B DONE"/>
    <s v="Conv-B DONE"/>
    <s v="Conv-B DONE"/>
    <d v="2021-05-11T00:00:00"/>
    <d v="2021-05-11T00:00:00"/>
    <s v="Not available"/>
    <s v="Found Ok"/>
    <m/>
    <m/>
    <m/>
    <m/>
    <d v="2022-06-07T00:00:00"/>
    <m/>
    <d v="2023-08-16T00:00:00"/>
    <d v="2024-07-11T00:00:00"/>
    <d v="2024-05-03T00:00:00"/>
    <d v="2023-06-19T00:00:00"/>
    <s v="Checked"/>
    <s v="19-07-24"/>
    <d v="2024-05-03T00:00:00"/>
    <s v="19-07-24"/>
    <m/>
  </r>
  <r>
    <n v="293"/>
    <n v="37083"/>
    <s v="HLC-A"/>
    <s v="STB7K0267HLCD"/>
    <x v="10"/>
    <s v="ECoR"/>
    <s v="KOL"/>
    <d v="2019-01-25T00:00:00"/>
    <n v="267"/>
    <s v="Nashik"/>
    <s v="U7D2S04V.005"/>
    <d v="2020-12-28T00:00:00"/>
    <s v="UAT2Y440.012"/>
    <d v="2021-05-18T00:00:00"/>
    <d v="2023-02-02T00:00:00"/>
    <d v="2023-12-23T00:00:00"/>
    <s v="Metal Short Link "/>
    <s v="Conv-A DONE"/>
    <s v="Conv-A DONE"/>
    <s v="Conv-A DONE"/>
    <s v="Conv-A DONE"/>
    <d v="2021-05-18T00:00:00"/>
    <d v="2021-05-18T00:00:00"/>
    <s v="Not available"/>
    <s v="Found Ok"/>
    <m/>
    <m/>
    <m/>
    <m/>
    <d v="2022-07-19T00:00:00"/>
    <m/>
    <d v="2022-07-19T00:00:00"/>
    <d v="2024-07-04T00:00:00"/>
    <d v="2023-10-11T00:00:00"/>
    <d v="2023-08-16T00:00:00"/>
    <s v="Checked"/>
    <d v="2023-12-23T00:00:00"/>
    <m/>
    <d v="2024-08-07T00:00:00"/>
    <m/>
  </r>
  <r>
    <n v="294"/>
    <n v="37083"/>
    <s v="HLC-B"/>
    <s v="STB7K0266HLCD"/>
    <x v="10"/>
    <s v="ECoR"/>
    <s v="KOL"/>
    <d v="2019-01-25T00:00:00"/>
    <n v="266"/>
    <s v="Nashik"/>
    <s v="U7D2S04V.005"/>
    <d v="2020-12-28T00:00:00"/>
    <s v="UAT2Y440.012"/>
    <d v="2021-05-18T00:00:00"/>
    <d v="2023-02-02T00:00:00"/>
    <d v="2023-12-23T00:00:00"/>
    <s v="Metal Short Link "/>
    <s v="Conv-B DONE"/>
    <s v="Conv-B DONE"/>
    <s v="Conv-B DONE"/>
    <s v="Conv-B DONE"/>
    <d v="2021-05-18T00:00:00"/>
    <d v="2021-05-18T00:00:00"/>
    <s v="Not available"/>
    <s v="Found Ok"/>
    <m/>
    <m/>
    <s v="EL19K01 171-R"/>
    <m/>
    <d v="2022-07-19T00:00:00"/>
    <m/>
    <d v="2022-07-19T00:00:00"/>
    <d v="2024-07-04T00:00:00"/>
    <d v="2023-10-11T00:00:00"/>
    <d v="2023-08-16T00:00:00"/>
    <s v="Checked"/>
    <d v="2023-12-23T00:00:00"/>
    <m/>
    <d v="2024-08-07T00:00:00"/>
    <m/>
  </r>
  <r>
    <n v="295"/>
    <n v="37101"/>
    <s v="HLC-A"/>
    <s v="STB6K0263HLCD"/>
    <x v="10"/>
    <s v="ECoR"/>
    <s v="KOL"/>
    <d v="2019-02-26T00:00:00"/>
    <n v="263"/>
    <s v="Nashik"/>
    <s v="U7D2S04V.005"/>
    <d v="2021-01-06T00:00:00"/>
    <s v="UAT2Y440.012"/>
    <d v="2021-05-24T00:00:00"/>
    <d v="2023-07-31T00:00:00"/>
    <m/>
    <s v="Metal Short Link "/>
    <s v="Conv-A DONE"/>
    <s v="Conv-A DONE"/>
    <s v="Conv-A DONE"/>
    <s v="Conv-A DONE"/>
    <d v="2021-05-24T00:00:00"/>
    <d v="2021-05-24T00:00:00"/>
    <s v="Not available"/>
    <s v="Found Ok"/>
    <m/>
    <m/>
    <m/>
    <m/>
    <d v="2022-02-14T00:00:00"/>
    <m/>
    <d v="2023-07-31T00:00:00"/>
    <s v="17-08-24"/>
    <d v="2023-12-20T00:00:00"/>
    <d v="2023-07-31T00:00:00"/>
    <s v="Checked"/>
    <d v="2024-02-15T00:00:00"/>
    <d v="2024-02-15T00:00:00"/>
    <s v="22-11-24"/>
    <m/>
  </r>
  <r>
    <n v="296"/>
    <n v="37101"/>
    <s v="HLC-B"/>
    <s v="STB6K0262HLCD"/>
    <x v="10"/>
    <s v="ECoR"/>
    <s v="KOL"/>
    <d v="2019-02-26T00:00:00"/>
    <n v="262"/>
    <s v="Nashik"/>
    <s v="U7D2S04V.005"/>
    <d v="2021-01-06T00:00:00"/>
    <s v="UAT2Y440.012"/>
    <d v="2021-05-24T00:00:00"/>
    <d v="2023-07-31T00:00:00"/>
    <m/>
    <s v="Metal Short Link "/>
    <s v="Conv-B DONE"/>
    <s v="Conv-B DONE"/>
    <s v="Conv-B DONE"/>
    <s v="Conv-B DONE"/>
    <d v="2021-05-24T00:00:00"/>
    <d v="2021-05-24T00:00:00"/>
    <s v="Not available"/>
    <s v="Found Ok"/>
    <m/>
    <m/>
    <s v="EL15G01 030-R"/>
    <m/>
    <d v="2022-02-14T00:00:00"/>
    <m/>
    <d v="2023-07-31T00:00:00"/>
    <s v="17-08-24"/>
    <d v="2023-12-20T00:00:00"/>
    <d v="2023-07-31T00:00:00"/>
    <s v="Checked"/>
    <d v="2024-02-15T00:00:00"/>
    <d v="2024-02-15T00:00:00"/>
    <s v="22-11-24"/>
    <m/>
  </r>
  <r>
    <n v="297"/>
    <n v="37115"/>
    <s v="HLC-A"/>
    <s v="STBNK0328HLCD"/>
    <x v="10"/>
    <s v="ECoR"/>
    <s v="KOL"/>
    <d v="2019-03-18T00:00:00"/>
    <n v="328"/>
    <s v="Nashik"/>
    <s v="U7D2S04V.005"/>
    <d v="2021-03-04T00:00:00"/>
    <s v="UAT2Y440.012"/>
    <m/>
    <d v="2025-03-13T00:00:00"/>
    <d v="2024-03-06T00:00:00"/>
    <s v="Metal Short Link "/>
    <s v="Conv-A DONE"/>
    <s v="Conv-A DONE"/>
    <s v="Conv-A DONE"/>
    <s v="Conv-A DONE"/>
    <d v="2021-05-24T00:00:00"/>
    <d v="2021-05-24T00:00:00"/>
    <s v="PWR side available"/>
    <s v="Found Ok"/>
    <m/>
    <m/>
    <m/>
    <m/>
    <d v="2022-04-11T00:00:00"/>
    <m/>
    <d v="2022-06-13T00:00:00"/>
    <s v="19-09-24"/>
    <d v="2023-09-28T00:00:00"/>
    <d v="2023-06-27T00:00:00"/>
    <s v="Checked"/>
    <d v="2024-03-06T00:00:00"/>
    <d v="2024-03-06T00:00:00"/>
    <s v="14.06.24"/>
    <m/>
  </r>
  <r>
    <n v="298"/>
    <n v="37115"/>
    <s v="HLC-B"/>
    <s v="STBNK0329HLCD"/>
    <x v="10"/>
    <s v="ECoR"/>
    <s v="KOL"/>
    <d v="2019-03-18T00:00:00"/>
    <n v="329"/>
    <s v="Nashik"/>
    <s v="U7D2S04V.005"/>
    <d v="2021-03-04T00:00:00"/>
    <s v="UAT2Y440.012"/>
    <d v="2021-05-24T00:00:00"/>
    <d v="2025-03-13T00:00:00"/>
    <d v="2024-03-06T00:00:00"/>
    <s v="Metal Short Link "/>
    <s v="Conv-B DONE"/>
    <s v="Conv-B DONE"/>
    <s v="Conv-B DONE"/>
    <s v="Conv-B DONE"/>
    <d v="2021-05-24T00:00:00"/>
    <d v="2021-05-24T00:00:00"/>
    <s v="PWR side available"/>
    <s v="Found Ok"/>
    <m/>
    <m/>
    <m/>
    <m/>
    <d v="2022-04-11T00:00:00"/>
    <m/>
    <d v="2022-06-13T00:00:00"/>
    <s v="19-09-24"/>
    <d v="2023-09-28T00:00:00"/>
    <d v="2023-06-27T00:00:00"/>
    <s v="Checked"/>
    <d v="2024-03-06T00:00:00"/>
    <d v="2024-03-06T00:00:00"/>
    <s v="14.06.24"/>
    <m/>
  </r>
  <r>
    <n v="299"/>
    <n v="37122"/>
    <s v="HLC-A"/>
    <s v="STBNK0321HLCD"/>
    <x v="10"/>
    <s v="ECoR"/>
    <s v="KOL"/>
    <d v="2019-03-23T00:00:00"/>
    <n v="321"/>
    <s v="Nashik"/>
    <s v="U7D2S04V.005"/>
    <d v="2020-12-24T00:00:00"/>
    <s v="UAT2Y440.012"/>
    <d v="2021-10-04T00:00:00"/>
    <d v="2025-03-05T00:00:00"/>
    <m/>
    <s v="Metal Short Link "/>
    <s v="Conv-A DONE"/>
    <s v="Conv-A DONE"/>
    <s v="Conv-A DONE"/>
    <s v="Conv-A DONE"/>
    <d v="2021-10-04T00:00:00"/>
    <d v="2021-10-04T00:00:00"/>
    <s v="Not available"/>
    <s v="Found Ok"/>
    <m/>
    <m/>
    <m/>
    <m/>
    <d v="2022-02-04T00:00:00"/>
    <m/>
    <d v="2023-08-21T00:00:00"/>
    <d v="2024-09-11T00:00:00"/>
    <d v="2024-01-03T00:00:00"/>
    <d v="2023-08-21T00:00:00"/>
    <s v="Checked"/>
    <d v="2024-06-01T00:00:00"/>
    <d v="2024-02-10T00:00:00"/>
    <d v="2024-11-09T00:00:00"/>
    <m/>
  </r>
  <r>
    <n v="300"/>
    <n v="37122"/>
    <s v="HLC-B"/>
    <s v="STBNK0320HLCD"/>
    <x v="10"/>
    <s v="ECoR"/>
    <s v="KOL"/>
    <d v="2019-03-23T00:00:00"/>
    <n v="320"/>
    <s v="Nashik"/>
    <s v="U7D2S04V.005"/>
    <d v="2020-12-24T00:00:00"/>
    <s v="UAT2Y440.012"/>
    <d v="2021-10-04T00:00:00"/>
    <d v="2025-03-05T00:00:00"/>
    <m/>
    <s v="Metal Short Link "/>
    <s v="Conv-B DONE"/>
    <s v="Conv-B DONE"/>
    <s v="Conv-B DONE"/>
    <s v="Conv-B DONE"/>
    <d v="2021-10-04T00:00:00"/>
    <d v="2021-10-04T00:00:00"/>
    <s v="Not available"/>
    <s v="Found Ok"/>
    <m/>
    <m/>
    <m/>
    <m/>
    <d v="2022-02-04T00:00:00"/>
    <m/>
    <d v="2023-08-21T00:00:00"/>
    <d v="2024-09-11T00:00:00"/>
    <d v="2024-01-03T00:00:00"/>
    <d v="2023-08-21T00:00:00"/>
    <s v="Checked"/>
    <d v="2024-06-01T00:00:00"/>
    <d v="2024-02-10T00:00:00"/>
    <d v="2024-11-09T00:00:00"/>
    <m/>
  </r>
  <r>
    <n v="301"/>
    <n v="37150"/>
    <s v="HLC-A"/>
    <s v="STB2L0424HLCD"/>
    <x v="10"/>
    <s v="ECoR"/>
    <s v="KOL"/>
    <d v="2019-04-25T00:00:00"/>
    <n v="424"/>
    <s v="Nashik"/>
    <s v="U7D2S04V.005"/>
    <d v="2020-12-31T00:00:00"/>
    <s v="S2G2N440.005"/>
    <m/>
    <d v="2025-03-18T00:00:00"/>
    <d v="2024-03-13T00:00:00"/>
    <s v="Metal Short Link "/>
    <s v="Conv-A DONE"/>
    <s v="Conv-A DONE"/>
    <s v="Conv-A DONE"/>
    <s v="Conv-A DONE"/>
    <d v="2021-04-07T00:00:00"/>
    <d v="2021-04-07T00:00:00"/>
    <s v="Not available"/>
    <s v="Found Ok"/>
    <m/>
    <m/>
    <m/>
    <m/>
    <d v="2022-02-03T00:00:00"/>
    <m/>
    <d v="2023-09-22T00:00:00"/>
    <d v="2024-09-07T00:00:00"/>
    <d v="2023-12-12T00:00:00"/>
    <d v="2023-08-26T00:00:00"/>
    <s v="Checked"/>
    <d v="2024-03-13T00:00:00"/>
    <d v="2024-03-13T00:00:00"/>
    <s v="20-06-2024"/>
    <d v="2024-12-17T00:00:00"/>
  </r>
  <r>
    <n v="302"/>
    <n v="37150"/>
    <s v="HLC-B"/>
    <s v="STBDK0365HLCD"/>
    <x v="10"/>
    <s v="ECoR"/>
    <s v="KOL"/>
    <d v="2019-04-25T00:00:00"/>
    <n v="365"/>
    <s v="Nashik"/>
    <s v="U7D2S04V.005"/>
    <d v="2020-12-31T00:00:00"/>
    <s v="UAT2Y440.012"/>
    <d v="2021-04-07T00:00:00"/>
    <d v="2025-03-18T00:00:00"/>
    <d v="2024-03-13T00:00:00"/>
    <s v="Metal Short Link "/>
    <s v="Conv-B DONE"/>
    <s v="Conv-B DONE"/>
    <s v="Conv-B DONE"/>
    <s v="Conv-B DONE"/>
    <d v="2021-04-07T00:00:00"/>
    <d v="2021-04-07T00:00:00"/>
    <s v="PWR side available"/>
    <s v="Found Ok"/>
    <m/>
    <m/>
    <m/>
    <m/>
    <d v="2022-02-03T00:00:00"/>
    <m/>
    <d v="2023-09-22T00:00:00"/>
    <d v="2024-09-07T00:00:00"/>
    <d v="2023-12-12T00:00:00"/>
    <d v="2023-08-26T00:00:00"/>
    <s v="Checked"/>
    <d v="2024-03-13T00:00:00"/>
    <d v="2024-03-13T00:00:00"/>
    <s v="20-06-2024"/>
    <m/>
  </r>
  <r>
    <n v="303"/>
    <n v="37154"/>
    <s v="HLC-A"/>
    <s v="STB2L0427HLCD"/>
    <x v="10"/>
    <s v="ECoR"/>
    <s v="KOL"/>
    <d v="2019-04-26T00:00:00"/>
    <n v="427"/>
    <s v="Nashik"/>
    <s v="U7D2S04V.005"/>
    <d v="2020-12-30T00:00:00"/>
    <s v="UAT2Y440.012"/>
    <d v="2021-05-18T00:00:00"/>
    <d v="2023-04-21T00:00:00"/>
    <d v="2024-04-04T00:00:00"/>
    <s v="Metal Short Link "/>
    <s v="Conv-A DONE"/>
    <s v="Conv-A DONE"/>
    <s v="Conv-A DONE"/>
    <s v="Conv-A DONE"/>
    <d v="2021-05-25T00:00:00"/>
    <d v="2021-05-25T00:00:00"/>
    <s v="Not available"/>
    <s v="Found Ok"/>
    <m/>
    <m/>
    <m/>
    <m/>
    <d v="2022-04-25T00:00:00"/>
    <m/>
    <d v="2022-07-19T00:00:00"/>
    <d v="2024-06-27T00:00:00"/>
    <d v="2023-12-18T00:00:00"/>
    <d v="2023-08-01T00:00:00"/>
    <s v="Checked"/>
    <d v="2024-04-04T00:00:00"/>
    <d v="2024-04-04T00:00:00"/>
    <s v="18-10-24"/>
    <m/>
  </r>
  <r>
    <n v="304"/>
    <n v="37154"/>
    <s v="HLC-B"/>
    <s v="STB2L0422HLCD"/>
    <x v="10"/>
    <s v="ECoR"/>
    <s v="KOL"/>
    <d v="2019-04-26T00:00:00"/>
    <n v="422"/>
    <s v="Nashik"/>
    <s v="U7D2S04V.005"/>
    <d v="2020-12-30T00:00:00"/>
    <s v="UAT2Y440.012"/>
    <m/>
    <d v="2023-04-21T00:00:00"/>
    <d v="2024-04-04T00:00:00"/>
    <s v="Metal Short Link "/>
    <s v="Conv-B DONE"/>
    <s v="Conv-B DONE"/>
    <s v="Conv-B DONE"/>
    <s v="Conv-B DONE"/>
    <d v="2021-05-25T00:00:00"/>
    <d v="2021-05-25T00:00:00"/>
    <s v="Not available"/>
    <s v="Found Ok"/>
    <m/>
    <m/>
    <m/>
    <m/>
    <d v="2022-04-25T00:00:00"/>
    <m/>
    <d v="2022-07-19T00:00:00"/>
    <d v="2024-06-27T00:00:00"/>
    <d v="2023-12-18T00:00:00"/>
    <d v="2023-08-01T00:00:00"/>
    <s v="Checked"/>
    <d v="2024-04-04T00:00:00"/>
    <d v="2024-04-04T00:00:00"/>
    <s v="18-10-24"/>
    <m/>
  </r>
  <r>
    <n v="305"/>
    <n v="37191"/>
    <s v="HLC-A"/>
    <s v="STB4L0478HLCD"/>
    <x v="10"/>
    <s v="ECoR"/>
    <s v="KOL"/>
    <d v="2019-06-16T00:00:00"/>
    <n v="478"/>
    <s v="Nashik"/>
    <s v="U7D2S04V.005"/>
    <d v="2021-02-24T00:00:00"/>
    <s v="UAT2Y440.012"/>
    <d v="2021-06-29T00:00:00"/>
    <d v="2021-06-29T00:00:00"/>
    <m/>
    <s v="Metal Short Link "/>
    <s v="Conv-A DONE"/>
    <s v="Conv-A DONE"/>
    <s v="Conv-A DONE"/>
    <s v="Conv-A DONE"/>
    <d v="2021-06-29T00:00:00"/>
    <d v="2021-06-29T00:00:00"/>
    <s v="Not available"/>
    <s v="Found Ok"/>
    <m/>
    <m/>
    <m/>
    <m/>
    <d v="2022-03-29T00:00:00"/>
    <m/>
    <d v="2023-08-16T00:00:00"/>
    <d v="2024-07-02T00:00:00"/>
    <d v="2024-02-20T00:00:00"/>
    <s v="Done"/>
    <s v="Checked"/>
    <d v="2024-05-08T00:00:00"/>
    <d v="2024-02-20T00:00:00"/>
    <d v="2024-07-10T00:00:00"/>
    <m/>
  </r>
  <r>
    <n v="306"/>
    <n v="37191"/>
    <s v="HLC-B"/>
    <s v="STB4L0479HLCD"/>
    <x v="10"/>
    <s v="ECoR"/>
    <s v="KOL"/>
    <d v="2019-06-16T00:00:00"/>
    <n v="479"/>
    <s v="Nashik"/>
    <s v="U7D2S04V.005"/>
    <d v="2021-02-24T00:00:00"/>
    <s v="UAT2Y440.012"/>
    <d v="2021-06-29T00:00:00"/>
    <d v="2021-06-29T00:00:00"/>
    <m/>
    <s v="Metal Short Link "/>
    <s v="Conv-B DONE"/>
    <s v="Conv-B DONE"/>
    <s v="Conv-B DONE"/>
    <s v="Conv-B DONE"/>
    <d v="2021-06-29T00:00:00"/>
    <d v="2021-06-29T00:00:00"/>
    <s v="Not available"/>
    <s v="Found Ok"/>
    <m/>
    <m/>
    <m/>
    <m/>
    <d v="2022-03-29T00:00:00"/>
    <m/>
    <d v="2023-08-16T00:00:00"/>
    <d v="2024-07-02T00:00:00"/>
    <d v="2024-02-20T00:00:00"/>
    <s v="Done"/>
    <s v="Checked"/>
    <d v="2024-05-08T00:00:00"/>
    <d v="2024-02-20T00:00:00"/>
    <d v="2024-07-10T00:00:00"/>
    <m/>
  </r>
  <r>
    <n v="307"/>
    <n v="37195"/>
    <s v="HLC-A"/>
    <s v="STB4L0456HLCD"/>
    <x v="10"/>
    <s v="ECoR"/>
    <s v="KOL"/>
    <d v="2019-06-18T00:00:00"/>
    <n v="456"/>
    <s v="Nashik"/>
    <s v="U7D2S04V.005"/>
    <d v="2021-01-30T00:00:00"/>
    <s v="UAT2Y440.012"/>
    <d v="2021-06-28T00:00:00"/>
    <d v="2022-09-13T00:00:00"/>
    <d v="2024-04-08T00:00:00"/>
    <s v="Metal Short Link "/>
    <s v="Conv-A DONE"/>
    <s v="Conv-A DONE"/>
    <s v="Conv-A DONE"/>
    <s v="Conv-A DONE"/>
    <d v="2021-06-28T00:00:00"/>
    <d v="2021-06-28T00:00:00"/>
    <s v="Not available"/>
    <s v="Found Ok"/>
    <m/>
    <m/>
    <m/>
    <m/>
    <d v="2022-04-22T00:00:00"/>
    <m/>
    <d v="2023-08-10T00:00:00"/>
    <d v="2024-07-11T00:00:00"/>
    <d v="2023-12-22T00:00:00"/>
    <d v="2023-08-10T00:00:00"/>
    <s v="Checked"/>
    <m/>
    <d v="2024-04-08T00:00:00"/>
    <d v="2024-01-11T00:00:00"/>
    <m/>
  </r>
  <r>
    <n v="308"/>
    <n v="37195"/>
    <s v="HLC-B"/>
    <s v="STB4L0457HLCD"/>
    <x v="10"/>
    <s v="ECoR"/>
    <s v="KOL"/>
    <d v="2019-06-18T00:00:00"/>
    <n v="457"/>
    <s v="Nashik"/>
    <s v="U7D2S04V.005"/>
    <d v="2021-01-30T00:00:00"/>
    <s v="UAT2Y440.012"/>
    <d v="2021-06-28T00:00:00"/>
    <d v="2022-09-13T00:00:00"/>
    <d v="2024-04-08T00:00:00"/>
    <s v="Metal Short Link "/>
    <s v="Conv-B DONE"/>
    <s v="Conv-B DONE"/>
    <s v="Conv-B DONE"/>
    <s v="Conv-B DONE"/>
    <d v="2021-06-28T00:00:00"/>
    <d v="2021-06-28T00:00:00"/>
    <s v="Not available"/>
    <s v="Found Ok"/>
    <m/>
    <m/>
    <m/>
    <m/>
    <d v="2022-04-22T00:00:00"/>
    <m/>
    <d v="2023-08-10T00:00:00"/>
    <d v="2024-07-11T00:00:00"/>
    <d v="2023-12-22T00:00:00"/>
    <d v="2023-08-10T00:00:00"/>
    <s v="Checked"/>
    <m/>
    <d v="2024-04-08T00:00:00"/>
    <d v="2024-01-11T00:00:00"/>
    <m/>
  </r>
  <r>
    <n v="309"/>
    <n v="37206"/>
    <s v="HLC-A"/>
    <s v="STB4L0490HLCD"/>
    <x v="10"/>
    <s v="ECoR"/>
    <s v="KOL"/>
    <d v="2019-06-24T00:00:00"/>
    <n v="490"/>
    <s v="Nashik"/>
    <s v="U7D2S04V.005"/>
    <d v="2020-12-29T00:00:00"/>
    <s v="UAT2Y440.012"/>
    <m/>
    <d v="2022-12-28T00:00:00"/>
    <d v="2024-05-17T00:00:00"/>
    <s v="Metal Short Link "/>
    <s v="Conv-A DONE"/>
    <s v="Conv-B DONE"/>
    <s v="Conv-A DONE"/>
    <s v="Conv-A DONE"/>
    <s v="Done"/>
    <s v="Done"/>
    <s v="Both side available"/>
    <s v="Found Ok"/>
    <m/>
    <m/>
    <m/>
    <m/>
    <d v="2022-02-03T00:00:00"/>
    <m/>
    <d v="2023-10-11T00:00:00"/>
    <d v="2024-06-30T00:00:00"/>
    <d v="2024-02-12T00:00:00"/>
    <d v="2023-10-11T00:00:00"/>
    <s v="Checked"/>
    <d v="2024-05-17T00:00:00"/>
    <d v="2024-02-12T00:00:00"/>
    <s v="17-02-2025"/>
    <m/>
  </r>
  <r>
    <n v="310"/>
    <n v="37206"/>
    <s v="HLC-B"/>
    <s v="STB4L0491HLCD"/>
    <x v="10"/>
    <s v="ECoR"/>
    <s v="KOL"/>
    <d v="2019-06-24T00:00:00"/>
    <n v="491"/>
    <s v="Nashik"/>
    <s v="U7D2S04V.005"/>
    <d v="2020-12-29T00:00:00"/>
    <s v="UAT2Y440.012"/>
    <m/>
    <d v="2022-12-28T00:00:00"/>
    <d v="2024-05-17T00:00:00"/>
    <s v="Metal Short Link "/>
    <s v="Conv-B DONE"/>
    <s v="Conv-B DONE"/>
    <s v="Conv-B DONE"/>
    <s v="Conv-B DONE"/>
    <s v="Done"/>
    <s v="Done"/>
    <s v="Both side available"/>
    <s v="Found Ok"/>
    <m/>
    <m/>
    <m/>
    <m/>
    <d v="2022-02-03T00:00:00"/>
    <m/>
    <d v="2023-10-11T00:00:00"/>
    <d v="2024-06-30T00:00:00"/>
    <d v="2024-02-12T00:00:00"/>
    <d v="2023-10-11T00:00:00"/>
    <s v="Checked"/>
    <d v="2024-05-17T00:00:00"/>
    <d v="2024-02-12T00:00:00"/>
    <s v="17-02-2025"/>
    <m/>
  </r>
  <r>
    <n v="311"/>
    <n v="37420"/>
    <s v="HLC-A"/>
    <s v="STB5M0812 HLCD"/>
    <x v="10"/>
    <s v="ECoR"/>
    <s v="KOL"/>
    <d v="2020-08-14T00:00:00"/>
    <n v="812"/>
    <s v="Nashik"/>
    <s v="U7D2S04V.005"/>
    <d v="2020-12-24T00:00:00"/>
    <s v="UAT2Y440.012"/>
    <d v="2021-05-05T00:00:00"/>
    <d v="2023-03-03T00:00:00"/>
    <m/>
    <s v="Wire Short Link "/>
    <s v="Conv-A DONE"/>
    <s v="NOT SUCCEEDED TO HEAVY TIGHT"/>
    <s v="Conv-A DONE"/>
    <s v="Conv-A DONE"/>
    <d v="2021-05-05T00:00:00"/>
    <d v="2021-05-05T00:00:00"/>
    <s v="Both side available"/>
    <s v="Found Ok"/>
    <m/>
    <m/>
    <m/>
    <m/>
    <d v="2022-02-21T00:00:00"/>
    <m/>
    <d v="2022-07-19T00:00:00"/>
    <s v="21-07-24"/>
    <d v="2023-12-07T00:00:00"/>
    <d v="2023-06-17T00:00:00"/>
    <s v="Checked"/>
    <s v="23-07-24"/>
    <d v="2024-02-29T00:00:00"/>
    <s v="18-09-24"/>
    <m/>
  </r>
  <r>
    <n v="312"/>
    <n v="37420"/>
    <s v="HLC-B"/>
    <s v="STB5M0785 HLCD"/>
    <x v="10"/>
    <s v="ECoR"/>
    <s v="KOL"/>
    <d v="2020-08-14T00:00:00"/>
    <n v="785"/>
    <s v="Nashik"/>
    <s v="U7D2S04V.005"/>
    <d v="2020-12-24T00:00:00"/>
    <s v="UAT2Y440.012"/>
    <d v="2021-05-05T00:00:00"/>
    <d v="2023-03-03T00:00:00"/>
    <m/>
    <s v="Wire Short Link "/>
    <s v="Conv-B DONE"/>
    <s v="NOT SUCCEEDED TO HEAVY TIGHT"/>
    <s v="Conv-B DONE"/>
    <s v="Conv-B DONE"/>
    <d v="2021-05-05T00:00:00"/>
    <d v="2021-05-05T00:00:00"/>
    <s v="Both side available"/>
    <s v="Found Ok"/>
    <m/>
    <m/>
    <s v="EL19H01018-R"/>
    <m/>
    <d v="2022-02-21T00:00:00"/>
    <m/>
    <d v="2022-07-19T00:00:00"/>
    <s v="21-07-24"/>
    <d v="2023-12-07T00:00:00"/>
    <d v="2023-06-17T00:00:00"/>
    <s v="Checked"/>
    <s v="15-05-2025"/>
    <d v="2024-02-29T00:00:00"/>
    <s v="18-09-24"/>
    <m/>
  </r>
  <r>
    <n v="313"/>
    <n v="37428"/>
    <s v="HLC-A"/>
    <s v="STB5M0814 HLCD"/>
    <x v="10"/>
    <s v="ECoR"/>
    <s v="KOL"/>
    <d v="2020-08-24T00:00:00"/>
    <n v="814"/>
    <s v="Nashik"/>
    <s v="U7D2S04V.005"/>
    <d v="2020-12-28T00:00:00"/>
    <s v="UAT2Y440.012"/>
    <d v="2021-04-20T00:00:00"/>
    <d v="2025-03-29T00:00:00"/>
    <m/>
    <s v="Wire Short Link "/>
    <s v="Conv-A DONE"/>
    <s v="NOT SUCCEEDED TO HEAVY TIGHT"/>
    <s v="Conv-A DONE"/>
    <s v="Conv-A DONE"/>
    <d v="2021-04-20T00:00:00"/>
    <d v="2021-04-20T00:00:00"/>
    <s v="Both side available"/>
    <s v="Found Ok"/>
    <m/>
    <m/>
    <m/>
    <m/>
    <d v="2022-03-18T00:00:00"/>
    <m/>
    <d v="2022-07-28T00:00:00"/>
    <d v="2024-06-30T00:00:00"/>
    <d v="2023-10-16T00:00:00"/>
    <d v="2023-08-24T00:00:00"/>
    <s v="Checked"/>
    <d v="2024-07-10T00:00:00"/>
    <m/>
    <s v="15-10-24"/>
    <m/>
  </r>
  <r>
    <n v="314"/>
    <n v="37428"/>
    <s v="HLC-B"/>
    <s v="STB5M0815 HLCD"/>
    <x v="10"/>
    <s v="ECoR"/>
    <s v="KOL"/>
    <d v="2020-08-24T00:00:00"/>
    <n v="815"/>
    <s v="Nashik"/>
    <s v="U7D2S04V.005"/>
    <d v="2020-12-28T00:00:00"/>
    <s v="UAT2Y440.012"/>
    <d v="2021-04-20T00:00:00"/>
    <d v="2025-03-29T00:00:00"/>
    <m/>
    <s v="Wire Short Link "/>
    <s v="Conv-B DONE"/>
    <s v="NOT SUCCEEDED TO HEAVY TIGHT"/>
    <s v="Conv-B DONE"/>
    <s v="Conv-B DONE"/>
    <d v="2021-04-20T00:00:00"/>
    <d v="2021-04-20T00:00:00"/>
    <s v="Both side available"/>
    <s v="Found Ok"/>
    <m/>
    <m/>
    <m/>
    <m/>
    <d v="2022-03-18T00:00:00"/>
    <m/>
    <d v="2022-07-28T00:00:00"/>
    <d v="2024-06-30T00:00:00"/>
    <d v="2023-10-16T00:00:00"/>
    <d v="2023-08-24T00:00:00"/>
    <s v="Checked"/>
    <d v="2024-07-10T00:00:00"/>
    <m/>
    <s v="15-10-24"/>
    <m/>
  </r>
  <r>
    <n v="315"/>
    <n v="37445"/>
    <s v="HLC-A"/>
    <s v="STB7M0866 HLCD"/>
    <x v="10"/>
    <s v="ECoR"/>
    <s v="KOL"/>
    <d v="2020-05-12T00:00:00"/>
    <n v="866"/>
    <s v="Nashik"/>
    <s v="U7D2S04V.005"/>
    <d v="2020-12-24T00:00:00"/>
    <s v="UAT2Y440.012"/>
    <d v="2021-01-19T00:00:00"/>
    <d v="2024-03-02T00:00:00"/>
    <m/>
    <s v="Wire Short Link "/>
    <s v="Modified from BLW"/>
    <s v="Conv-A DONE"/>
    <s v="Conv-A DONE"/>
    <s v="Conv-A DONE"/>
    <d v="2021-10-17T00:00:00"/>
    <d v="2021-10-17T00:00:00"/>
    <s v="Both side available"/>
    <s v="Found Ok"/>
    <m/>
    <m/>
    <m/>
    <m/>
    <d v="2022-07-19T00:00:00"/>
    <m/>
    <d v="2022-07-19T00:00:00"/>
    <d v="2024-06-27T00:00:00"/>
    <d v="2023-10-07T00:00:00"/>
    <d v="2023-08-26T00:00:00"/>
    <s v="Checked"/>
    <d v="2024-06-28T00:00:00"/>
    <d v="2024-03-02T00:00:00"/>
    <d v="2024-06-28T00:00:00"/>
    <m/>
  </r>
  <r>
    <n v="316"/>
    <n v="37445"/>
    <s v="HLC-B"/>
    <s v="STB7M0867 HLCD"/>
    <x v="10"/>
    <s v="ECoR"/>
    <s v="KOL"/>
    <d v="2020-05-12T00:00:00"/>
    <n v="867"/>
    <s v="Nashik"/>
    <s v="U7D2S04V.005"/>
    <d v="2020-12-24T00:00:00"/>
    <s v="UAT2Y440.012"/>
    <d v="2021-01-19T00:00:00"/>
    <d v="2024-03-02T00:00:00"/>
    <m/>
    <s v="Wire Short Link "/>
    <s v="Modified from BLW"/>
    <s v="Conv-B DONE"/>
    <s v="Conv-B DONE"/>
    <s v="Conv-B DONE"/>
    <d v="2021-10-17T00:00:00"/>
    <d v="2021-10-17T00:00:00"/>
    <s v="Both side available"/>
    <s v="Found Ok"/>
    <m/>
    <m/>
    <m/>
    <m/>
    <d v="2022-07-19T00:00:00"/>
    <m/>
    <d v="2022-07-19T00:00:00"/>
    <d v="2024-06-27T00:00:00"/>
    <d v="2023-06-23T00:00:00"/>
    <d v="2023-08-26T00:00:00"/>
    <s v="Checked"/>
    <d v="2024-06-28T00:00:00"/>
    <d v="2024-03-02T00:00:00"/>
    <d v="2024-06-28T00:00:00"/>
    <m/>
  </r>
  <r>
    <n v="317"/>
    <n v="37466"/>
    <s v="HLC-A"/>
    <s v="STB5M0804 HLCD"/>
    <x v="10"/>
    <s v="ECoR"/>
    <s v="KOL"/>
    <d v="2020-10-30T00:00:00"/>
    <n v="804"/>
    <s v="Nashik"/>
    <s v="U7D2S04V.005"/>
    <d v="2021-03-04T00:00:00"/>
    <s v="UAT2Y440.012"/>
    <d v="2021-03-04T00:00:00"/>
    <d v="2022-09-24T00:00:00"/>
    <m/>
    <s v="Wire Short Link "/>
    <s v="Modified from BLW"/>
    <s v="Conv-A DONE"/>
    <s v="Conv-A DONE"/>
    <s v="Conv-A DONE"/>
    <d v="2021-04-22T00:00:00"/>
    <d v="2021-10-22T00:00:00"/>
    <s v="Both side available"/>
    <s v="Found Ok"/>
    <m/>
    <m/>
    <m/>
    <m/>
    <d v="2022-04-07T00:00:00"/>
    <m/>
    <d v="2023-07-27T00:00:00"/>
    <d v="2024-06-29T00:00:00"/>
    <d v="2023-12-08T00:00:00"/>
    <d v="2023-07-29T00:00:00"/>
    <s v="Checked"/>
    <m/>
    <d v="2024-02-17T00:00:00"/>
    <s v="29-10-24"/>
    <m/>
  </r>
  <r>
    <n v="318"/>
    <n v="37466"/>
    <s v="HLC-B"/>
    <s v="STB5M0805 HLCD"/>
    <x v="10"/>
    <s v="ECoR"/>
    <s v="KOL"/>
    <d v="2020-10-30T00:00:00"/>
    <n v="805"/>
    <s v="Nashik"/>
    <s v="U7D2S04V.005"/>
    <d v="2021-03-04T00:00:00"/>
    <s v="UAT2Y440.012"/>
    <d v="2021-03-04T00:00:00"/>
    <d v="2022-09-24T00:00:00"/>
    <m/>
    <s v="Wire Short Link "/>
    <s v="Modified from BLW"/>
    <s v="Conv-B DONE"/>
    <s v="Conv-B DONE"/>
    <s v="Conv-B DONE"/>
    <d v="2021-04-22T00:00:00"/>
    <d v="2021-10-22T00:00:00"/>
    <s v="Both side available"/>
    <s v="Found Ok"/>
    <m/>
    <m/>
    <m/>
    <m/>
    <d v="2022-04-07T00:00:00"/>
    <m/>
    <d v="2023-07-27T00:00:00"/>
    <d v="2024-06-29T00:00:00"/>
    <d v="2023-12-08T00:00:00"/>
    <d v="2023-07-29T00:00:00"/>
    <s v="Checked"/>
    <m/>
    <d v="2024-02-17T00:00:00"/>
    <s v="29-10-24"/>
    <m/>
  </r>
  <r>
    <n v="319"/>
    <n v="39101"/>
    <s v="HLC-A"/>
    <s v="STB5L0537HLCD"/>
    <x v="10"/>
    <s v="ECoR"/>
    <s v="KOL"/>
    <d v="2019-10-21T00:00:00"/>
    <n v="537"/>
    <s v="Nashik"/>
    <s v="U7D2S04V.005"/>
    <d v="2021-01-04T00:00:00"/>
    <s v="UAT2Y440.012"/>
    <d v="2021-05-08T00:00:00"/>
    <d v="2024-05-06T00:00:00"/>
    <m/>
    <s v="Metal Short Link "/>
    <s v="Modified from BLW"/>
    <s v="Conv-A DONE"/>
    <s v="Conv-A DONE"/>
    <s v="Conv-A DONE"/>
    <d v="2021-05-08T00:00:00"/>
    <d v="2021-05-08T00:00:00"/>
    <s v="Not available"/>
    <s v="Found Ok"/>
    <m/>
    <m/>
    <m/>
    <m/>
    <d v="2022-03-28T00:00:00"/>
    <m/>
    <d v="2023-08-19T00:00:00"/>
    <d v="2024-07-04T00:00:00"/>
    <d v="2023-10-11T00:00:00"/>
    <d v="2023-08-19T00:00:00"/>
    <s v="Checked"/>
    <s v="28-06-24"/>
    <d v="2024-05-06T00:00:00"/>
    <d v="2024-01-11T00:00:00"/>
    <m/>
  </r>
  <r>
    <n v="320"/>
    <n v="39101"/>
    <s v="HLC-B"/>
    <s v="STB5L0530HLCD"/>
    <x v="10"/>
    <s v="ECoR"/>
    <s v="KOL"/>
    <d v="2019-10-21T00:00:00"/>
    <n v="530"/>
    <s v="Nashik"/>
    <s v="U7D2S04V.005"/>
    <d v="2021-01-04T00:00:00"/>
    <s v="UAT2Y440.012"/>
    <d v="2021-05-08T00:00:00"/>
    <d v="2024-05-06T00:00:00"/>
    <m/>
    <s v="Metal Short Link "/>
    <s v="Modified from BLW"/>
    <s v="Conv-B DONE"/>
    <s v="Conv-B DONE"/>
    <s v="Conv-B DONE"/>
    <d v="2021-05-08T00:00:00"/>
    <d v="2021-05-08T00:00:00"/>
    <s v="Not available"/>
    <s v="Found Ok"/>
    <m/>
    <m/>
    <m/>
    <m/>
    <d v="2022-03-28T00:00:00"/>
    <m/>
    <d v="2023-08-19T00:00:00"/>
    <d v="2024-07-04T00:00:00"/>
    <d v="2023-10-11T00:00:00"/>
    <d v="2023-08-19T00:00:00"/>
    <s v="Checked"/>
    <s v="28-06-24"/>
    <d v="2024-05-06T00:00:00"/>
    <d v="2024-01-11T00:00:00"/>
    <m/>
  </r>
  <r>
    <n v="321"/>
    <n v="39102"/>
    <s v="HLC-A"/>
    <s v="STB5L0531HLCD"/>
    <x v="10"/>
    <s v="ECoR"/>
    <s v="KOL"/>
    <d v="2019-10-24T00:00:00"/>
    <n v="531"/>
    <s v="Nashik"/>
    <s v="U7D2S04V.005"/>
    <d v="2020-12-28T00:00:00"/>
    <s v="UAT2Y440.012"/>
    <m/>
    <d v="2025-03-20T00:00:00"/>
    <m/>
    <s v="Metal Short Link "/>
    <s v="Modified from BLW"/>
    <s v="Conv-A DONE"/>
    <s v="Conv-A DONE"/>
    <s v="Conv-A DONE"/>
    <d v="2021-05-31T00:00:00"/>
    <d v="2021-05-30T00:00:00"/>
    <s v="Not available"/>
    <s v="Found Ok"/>
    <m/>
    <m/>
    <s v="EL18C04005-R"/>
    <m/>
    <d v="2022-02-15T00:00:00"/>
    <m/>
    <d v="2022-02-15T00:00:00"/>
    <d v="2024-06-25T00:00:00"/>
    <d v="2023-10-11T00:00:00"/>
    <d v="2023-08-17T00:00:00"/>
    <s v="Checked"/>
    <d v="2024-06-15T00:00:00"/>
    <d v="2024-03-14T00:00:00"/>
    <s v="15.06.24"/>
    <m/>
  </r>
  <r>
    <n v="322"/>
    <n v="39102"/>
    <s v="HLC-B"/>
    <s v="STB5L0533HLCD"/>
    <x v="10"/>
    <s v="ECoR"/>
    <s v="KOL"/>
    <d v="2019-10-24T00:00:00"/>
    <n v="533"/>
    <s v="Nashik"/>
    <s v="U7D2S04V.005"/>
    <d v="2020-12-28T00:00:00"/>
    <s v="UAT2Y440.012"/>
    <d v="2021-05-31T00:00:00"/>
    <d v="2025-03-20T00:00:00"/>
    <m/>
    <s v="Metal Short Link "/>
    <s v="Modified from BLW"/>
    <s v="Conv-B DONE"/>
    <s v="Conv-B DONE"/>
    <s v="Conv-B DONE"/>
    <d v="2021-05-31T00:00:00"/>
    <d v="2021-05-31T00:00:00"/>
    <s v="Not available"/>
    <s v="Found Ok"/>
    <m/>
    <m/>
    <m/>
    <m/>
    <d v="2022-02-15T00:00:00"/>
    <m/>
    <d v="2022-02-15T00:00:00"/>
    <d v="2024-06-25T00:00:00"/>
    <d v="2023-10-11T00:00:00"/>
    <d v="2023-08-17T00:00:00"/>
    <s v="Checked"/>
    <d v="2024-06-15T00:00:00"/>
    <d v="2024-03-14T00:00:00"/>
    <s v="15.06.24"/>
    <m/>
  </r>
  <r>
    <n v="323"/>
    <n v="39143"/>
    <s v="HLC-A"/>
    <s v="STBDL0767 HLCD"/>
    <x v="10"/>
    <s v="ECoR"/>
    <s v="KOL"/>
    <d v="2020-06-25T00:00:00"/>
    <n v="767"/>
    <s v="Nashik"/>
    <s v="U7D2S04V.005"/>
    <d v="2020-12-31T00:00:00"/>
    <s v="UAT2Y440.012"/>
    <d v="2021-02-08T00:00:00"/>
    <d v="2021-04-06T00:00:00"/>
    <d v="2024-04-12T00:00:00"/>
    <s v="Wire Short Link "/>
    <s v="Already Done"/>
    <s v="Conv-A DONE"/>
    <s v="Conv-A DONE"/>
    <s v="Conv-A DONE"/>
    <d v="2021-04-06T00:00:00"/>
    <d v="2021-04-06T00:00:00"/>
    <s v="Not available"/>
    <s v="Found Ok"/>
    <m/>
    <m/>
    <s v="EL17G01  021-R"/>
    <m/>
    <d v="2022-06-14T00:00:00"/>
    <m/>
    <d v="2022-06-14T00:00:00"/>
    <d v="2024-06-27T00:00:00"/>
    <d v="2024-01-11T00:00:00"/>
    <d v="2023-07-22T00:00:00"/>
    <s v="Checked"/>
    <m/>
    <d v="2024-04-12T00:00:00"/>
    <s v="25-10-24"/>
    <m/>
  </r>
  <r>
    <n v="324"/>
    <n v="39143"/>
    <s v="HLC-B"/>
    <s v="STBDL0766 HLCD"/>
    <x v="10"/>
    <s v="ECoR"/>
    <s v="KOL"/>
    <d v="2020-06-25T00:00:00"/>
    <n v="766"/>
    <s v="Nashik"/>
    <s v="U7D2S04V.005"/>
    <d v="2020-12-31T00:00:00"/>
    <s v="UAT2Y440.012"/>
    <d v="2021-02-08T00:00:00"/>
    <d v="2021-04-06T00:00:00"/>
    <d v="2024-04-12T00:00:00"/>
    <s v="Wire Short Link "/>
    <s v="Already Done"/>
    <s v="Conv-B DONE"/>
    <s v="Conv-B DONE"/>
    <s v="Conv-B DONE"/>
    <d v="2021-04-06T00:00:00"/>
    <d v="2021-04-06T00:00:00"/>
    <s v="Not available"/>
    <s v="Found Ok"/>
    <m/>
    <m/>
    <m/>
    <m/>
    <d v="2022-06-14T00:00:00"/>
    <m/>
    <d v="2022-06-14T00:00:00"/>
    <d v="2024-06-27T00:00:00"/>
    <d v="2024-01-11T00:00:00"/>
    <d v="2023-07-22T00:00:00"/>
    <s v="Checked"/>
    <m/>
    <d v="2024-04-12T00:00:00"/>
    <s v="25-10-24"/>
    <m/>
  </r>
  <r>
    <n v="325"/>
    <n v="39144"/>
    <s v="HLC-A"/>
    <s v="STB1M0770HLCD"/>
    <x v="10"/>
    <s v="ECoR"/>
    <s v="KOL"/>
    <d v="2020-06-27T00:00:00"/>
    <n v="770"/>
    <s v="Nashik"/>
    <s v="U7D2S04V.005"/>
    <d v="2020-12-24T00:00:00"/>
    <s v="UAT2Y440.012"/>
    <d v="2021-02-01T00:00:00"/>
    <d v="2021-06-22T00:00:00"/>
    <m/>
    <s v="Wire Short Link "/>
    <s v="Already Done"/>
    <s v="Conv-A DONE"/>
    <s v="Conv-A DONE"/>
    <s v="Conv-A DONE"/>
    <d v="2021-06-22T00:00:00"/>
    <d v="2021-06-22T00:00:00"/>
    <s v="Not available"/>
    <s v="Found Ok"/>
    <m/>
    <m/>
    <s v="EL19C01068-R"/>
    <m/>
    <d v="2022-06-13T00:00:00"/>
    <m/>
    <d v="2022-06-13T00:00:00"/>
    <s v="30-07-24"/>
    <d v="2023-12-18T00:00:00"/>
    <d v="2023-10-31T00:00:00"/>
    <s v="Checked"/>
    <m/>
    <m/>
    <s v="30-10-24"/>
    <s v="13.01.25"/>
  </r>
  <r>
    <n v="326"/>
    <n v="39144"/>
    <s v="HLC-B"/>
    <s v="STBDL0764HLCD"/>
    <x v="10"/>
    <s v="ECoR"/>
    <s v="KOL"/>
    <d v="2020-06-27T00:00:00"/>
    <n v="764"/>
    <s v="Nashik"/>
    <s v="U7D2S04V.005"/>
    <d v="2020-12-24T00:00:00"/>
    <s v="UAT2Y440.012"/>
    <d v="2021-02-01T00:00:00"/>
    <d v="2021-06-22T00:00:00"/>
    <m/>
    <s v="Wire Short Link "/>
    <s v="Already Done"/>
    <s v="Conv-B DONE"/>
    <s v="Conv-B DONE"/>
    <s v="Conv-B DONE"/>
    <d v="2021-06-22T00:00:00"/>
    <d v="2021-06-22T00:00:00"/>
    <s v="Not available"/>
    <s v="Found Ok"/>
    <m/>
    <m/>
    <m/>
    <m/>
    <d v="2022-06-13T00:00:00"/>
    <m/>
    <d v="2022-06-13T00:00:00"/>
    <s v="30-07-24"/>
    <d v="2023-12-18T00:00:00"/>
    <d v="2023-10-31T00:00:00"/>
    <s v="Checked"/>
    <m/>
    <m/>
    <s v="30-10-24"/>
    <m/>
  </r>
  <r>
    <n v="327"/>
    <n v="39145"/>
    <s v="HLC-A"/>
    <s v="STB1M0776 HLCD"/>
    <x v="10"/>
    <s v="ECoR"/>
    <s v="KOL"/>
    <d v="2020-07-10T00:00:00"/>
    <n v="776"/>
    <s v="Nashik"/>
    <s v="U7D2S04V.005"/>
    <d v="2021-02-20T00:00:00"/>
    <s v="UAT2Y440.012"/>
    <d v="2021-02-20T00:00:00"/>
    <d v="2025-01-03T00:00:00"/>
    <d v="2024-03-25T00:00:00"/>
    <s v="Wire Short Link "/>
    <s v="Already Done"/>
    <s v="Conv-A DONE"/>
    <s v="Conv-A DONE"/>
    <s v="Conv-A DONE"/>
    <d v="2021-04-17T00:00:00"/>
    <d v="2021-04-17T00:00:00"/>
    <s v="Not available"/>
    <s v="Found Ok"/>
    <m/>
    <m/>
    <m/>
    <m/>
    <d v="2022-08-23T00:00:00"/>
    <m/>
    <d v="2022-08-23T00:00:00"/>
    <d v="2024-06-25T00:00:00"/>
    <d v="2024-03-26T00:00:00"/>
    <d v="2023-09-11T00:00:00"/>
    <s v="Checked"/>
    <d v="2025-01-03T00:00:00"/>
    <d v="2024-03-25T00:00:00"/>
    <d v="2024-06-29T00:00:00"/>
    <m/>
  </r>
  <r>
    <n v="328"/>
    <n v="39145"/>
    <s v="HLC-B"/>
    <s v="STB1M0775 HLCD"/>
    <x v="10"/>
    <s v="ECoR"/>
    <s v="KOL"/>
    <d v="2020-07-10T00:00:00"/>
    <n v="775"/>
    <s v="Nashik"/>
    <s v="U7D2S04V.005"/>
    <d v="2021-02-20T00:00:00"/>
    <s v="UAT2Y440.012"/>
    <d v="2021-02-20T00:00:00"/>
    <d v="2025-01-03T00:00:00"/>
    <d v="2024-03-25T00:00:00"/>
    <s v="Wire Short Link "/>
    <s v="Already Done"/>
    <s v="Conv-B DONE"/>
    <s v="Conv-B DONE"/>
    <s v="Conv-B DONE"/>
    <d v="2021-04-17T00:00:00"/>
    <d v="2021-04-17T00:00:00"/>
    <s v="Not available"/>
    <s v="Found Ok"/>
    <m/>
    <m/>
    <m/>
    <m/>
    <d v="2022-08-23T00:00:00"/>
    <m/>
    <d v="2022-08-23T00:00:00"/>
    <d v="2024-06-25T00:00:00"/>
    <d v="2024-03-26T00:00:00"/>
    <d v="2023-09-11T00:00:00"/>
    <s v="Checked"/>
    <d v="2025-01-03T00:00:00"/>
    <d v="2024-03-25T00:00:00"/>
    <d v="2024-06-29T00:00:00"/>
    <m/>
  </r>
  <r>
    <n v="329"/>
    <n v="39196"/>
    <s v="HLC-A"/>
    <s v="STB1N1091HLCD"/>
    <x v="10"/>
    <s v="ECoR"/>
    <s v="KOL"/>
    <d v="2021-07-28T00:00:00"/>
    <n v="1091"/>
    <s v="Nashik"/>
    <s v="U7D2S04V.005"/>
    <d v="2021-07-16T00:00:00"/>
    <s v="UAT2Y440.012"/>
    <d v="2021-07-16T00:00:00"/>
    <d v="2024-05-14T00:00:00"/>
    <m/>
    <s v="Wire Short Link "/>
    <s v="Conv-A DONE"/>
    <s v="Conv-A DONE"/>
    <s v="Conv-A DONE"/>
    <s v="Conv-A DONE"/>
    <d v="2021-07-16T00:00:00"/>
    <d v="2021-07-16T00:00:00"/>
    <s v="Both side available"/>
    <s v="Found Ok"/>
    <m/>
    <m/>
    <m/>
    <m/>
    <d v="2022-09-21T00:00:00"/>
    <m/>
    <d v="2023-09-25T00:00:00"/>
    <d v="2024-07-01T00:00:00"/>
    <d v="2024-07-09T00:00:00"/>
    <d v="2023-06-16T00:00:00"/>
    <s v="Checked"/>
    <d v="2024-01-12T00:00:00"/>
    <m/>
    <s v="30-10-24"/>
    <m/>
  </r>
  <r>
    <n v="330"/>
    <n v="39196"/>
    <s v="HLC-B"/>
    <s v="STB1N1090HLCD"/>
    <x v="10"/>
    <s v="ECoR"/>
    <s v="KOL"/>
    <d v="2021-07-28T00:00:00"/>
    <n v="1090"/>
    <s v="Nashik"/>
    <s v="U7D2S04V.005"/>
    <d v="2021-07-16T00:00:00"/>
    <s v="UAT2Y440.012"/>
    <d v="2021-07-16T00:00:00"/>
    <d v="2024-05-14T00:00:00"/>
    <m/>
    <s v="Wire Short Link "/>
    <s v="Conv-B DONE"/>
    <s v="Conv-B DONE"/>
    <s v="Conv-B DONE"/>
    <s v="Conv-B DONE"/>
    <d v="2021-07-16T00:00:00"/>
    <d v="2021-07-16T00:00:00"/>
    <s v="Both side available"/>
    <s v="Found Ok"/>
    <m/>
    <m/>
    <m/>
    <m/>
    <d v="2022-08-23T00:00:00"/>
    <m/>
    <d v="2023-09-25T00:00:00"/>
    <d v="2024-07-01T00:00:00"/>
    <d v="2024-07-09T00:00:00"/>
    <d v="2023-06-16T00:00:00"/>
    <s v="Checked"/>
    <d v="2024-07-09T00:00:00"/>
    <m/>
    <s v="30-10-24"/>
    <m/>
  </r>
  <r>
    <n v="331"/>
    <n v="39198"/>
    <s v="HLC-A"/>
    <s v="STB1N1088HLCD"/>
    <x v="10"/>
    <s v="ECoR"/>
    <s v="KOL"/>
    <d v="2021-07-16T00:00:00"/>
    <n v="1088"/>
    <s v="Nashik"/>
    <s v="U7D2S04V.005"/>
    <s v="Modified from BLW"/>
    <s v="UAT2Y440.012"/>
    <s v="Modified from BLW"/>
    <d v="2023-03-18T00:00:00"/>
    <d v="2024-04-18T00:00:00"/>
    <s v="Wire Short Link "/>
    <s v="Conv-A DONE"/>
    <s v="Conv-A DONE"/>
    <s v="Conv-A DONE"/>
    <s v="Conv-A DONE"/>
    <s v="Done"/>
    <s v="Done"/>
    <s v="Both side available"/>
    <s v="Found Ok"/>
    <m/>
    <m/>
    <m/>
    <m/>
    <d v="2022-06-13T00:00:00"/>
    <m/>
    <d v="2022-06-13T00:00:00"/>
    <s v="27-07-24"/>
    <d v="2024-07-26T00:00:00"/>
    <d v="2023-08-17T00:00:00"/>
    <s v="Checked"/>
    <s v="26-07-24"/>
    <d v="2024-04-18T00:00:00"/>
    <s v="28-10-24"/>
    <s v="29.01.25"/>
  </r>
  <r>
    <n v="332"/>
    <n v="39198"/>
    <s v="HLC-B"/>
    <s v="STB1N1089HLCD"/>
    <x v="10"/>
    <s v="ECoR"/>
    <s v="KOL"/>
    <d v="2021-07-16T00:00:00"/>
    <n v="1089"/>
    <s v="Nashik"/>
    <s v="U7D2S04V.005"/>
    <s v="Modified from BLW"/>
    <s v="UAT2Y440.012"/>
    <s v="Modified from BLW"/>
    <d v="2023-03-18T00:00:00"/>
    <d v="2024-04-18T00:00:00"/>
    <s v="Wire Short Link "/>
    <s v="Conv-B DONE"/>
    <s v="Conv-B DONE"/>
    <s v="Conv-B DONE"/>
    <s v="Conv-B DONE"/>
    <s v="Done"/>
    <s v="Done"/>
    <s v="Both side available"/>
    <s v="Found Ok"/>
    <m/>
    <m/>
    <m/>
    <m/>
    <d v="2022-06-13T00:00:00"/>
    <m/>
    <d v="2022-06-13T00:00:00"/>
    <s v="27-07-24"/>
    <d v="2024-07-26T00:00:00"/>
    <d v="2023-08-17T00:00:00"/>
    <s v="Checked"/>
    <s v="26-07-24"/>
    <d v="2024-04-18T00:00:00"/>
    <s v="28-10-24"/>
    <s v="29.01.25"/>
  </r>
  <r>
    <n v="333"/>
    <n v="39199"/>
    <s v="HLC-A"/>
    <s v="STB1N1093HLCD"/>
    <x v="10"/>
    <s v="ECoR"/>
    <s v="KOL"/>
    <d v="2021-07-30T00:00:00"/>
    <n v="1093"/>
    <s v="Nashik"/>
    <s v="U7D2S04V.005"/>
    <s v="Modified from BLW"/>
    <s v="UAT2Y440.012"/>
    <s v="Modified from BLW"/>
    <d v="2023-03-08T00:00:00"/>
    <m/>
    <s v="Wire Short Link "/>
    <s v="Conv-A DONE"/>
    <s v="Conv-A DONE"/>
    <s v="Conv-A DONE"/>
    <s v="Conv-A DONE"/>
    <s v="Done"/>
    <s v="Done"/>
    <s v="Both side available"/>
    <s v="Found Ok"/>
    <m/>
    <m/>
    <m/>
    <m/>
    <d v="2022-03-12T00:00:00"/>
    <m/>
    <d v="2022-06-14T00:00:00"/>
    <d v="2024-07-06T00:00:00"/>
    <d v="2023-12-08T00:00:00"/>
    <d v="2023-06-19T00:00:00"/>
    <s v="Checked"/>
    <d v="2024-07-06T00:00:00"/>
    <d v="2024-01-24T00:00:00"/>
    <d v="2024-07-06T00:00:00"/>
    <m/>
  </r>
  <r>
    <n v="334"/>
    <n v="39199"/>
    <s v="HLC-B"/>
    <s v="STB1N1092HLCD"/>
    <x v="10"/>
    <s v="ECoR"/>
    <s v="KOL"/>
    <d v="2021-07-30T00:00:00"/>
    <n v="1092"/>
    <s v="Nashik"/>
    <s v="U7D2S04V.005"/>
    <s v="Modified from BLW"/>
    <s v="UAT2Y440.012"/>
    <s v="Modified from BLW"/>
    <d v="2023-03-08T00:00:00"/>
    <m/>
    <s v="Wire Short Link "/>
    <s v="Conv-B DONE"/>
    <s v="Conv-B DONE"/>
    <s v="Conv-B DONE"/>
    <s v="Conv-B DONE"/>
    <s v="Done"/>
    <s v="Done"/>
    <s v="Both side available"/>
    <s v="Found Ok"/>
    <m/>
    <m/>
    <m/>
    <m/>
    <d v="2022-03-12T00:00:00"/>
    <m/>
    <d v="2022-06-14T00:00:00"/>
    <d v="2024-07-06T00:00:00"/>
    <d v="2023-12-08T00:00:00"/>
    <d v="2023-06-19T00:00:00"/>
    <s v="Checked"/>
    <d v="2024-07-06T00:00:00"/>
    <d v="2024-01-24T00:00:00"/>
    <d v="2024-07-06T00:00:00"/>
    <m/>
  </r>
  <r>
    <n v="335"/>
    <n v="30765"/>
    <s v="HLC-A"/>
    <s v="STB5N1134HLCD"/>
    <x v="1"/>
    <s v="SER"/>
    <s v="KOL"/>
    <d v="2022-07-12T00:00:00"/>
    <n v="1134"/>
    <s v="Nashik"/>
    <m/>
    <m/>
    <m/>
    <m/>
    <d v="2023-07-27T00:00:00"/>
    <d v="2024-01-11T00:00:00"/>
    <s v="Done with wire"/>
    <s v="Done"/>
    <s v="Done"/>
    <s v="Done"/>
    <s v="Conv-A DONE"/>
    <s v="Done"/>
    <s v="Done"/>
    <s v="PWR side available"/>
    <s v="Found Ok"/>
    <m/>
    <m/>
    <m/>
    <m/>
    <d v="2022-07-12T00:00:00"/>
    <m/>
    <d v="2022-07-12T00:00:00"/>
    <d v="2024-08-10T00:00:00"/>
    <d v="2024-08-10T00:00:00"/>
    <d v="2024-01-11T00:00:00"/>
    <s v="Checked"/>
    <s v="19-06-2024"/>
    <d v="2024-01-16T00:00:00"/>
    <s v="19-05-2025"/>
    <m/>
  </r>
  <r>
    <n v="336"/>
    <n v="30765"/>
    <s v="HLC-B"/>
    <s v="STB5N1135HLCD"/>
    <x v="1"/>
    <s v="SER"/>
    <s v="KOL"/>
    <d v="2022-07-12T00:00:00"/>
    <n v="1135"/>
    <s v="Nashik"/>
    <m/>
    <m/>
    <m/>
    <m/>
    <d v="2023-07-27T00:00:00"/>
    <d v="2024-01-11T00:00:00"/>
    <s v="Done with wire"/>
    <s v="Done"/>
    <s v="Done"/>
    <s v="Done"/>
    <s v="Conv-B DONE"/>
    <s v="Done"/>
    <s v="Done"/>
    <s v="PWR side available"/>
    <s v="Found Ok"/>
    <m/>
    <m/>
    <m/>
    <m/>
    <d v="2022-07-12T00:00:00"/>
    <m/>
    <d v="2022-07-12T00:00:00"/>
    <d v="2024-08-10T00:00:00"/>
    <d v="2024-08-10T00:00:00"/>
    <d v="2024-01-11T00:00:00"/>
    <s v="Checked"/>
    <s v="19-06-2024"/>
    <d v="2024-01-16T00:00:00"/>
    <s v="19-05-2025"/>
    <m/>
  </r>
  <r>
    <n v="337"/>
    <n v="30672"/>
    <s v="HLC-A"/>
    <s v="STBNN1171HLCD"/>
    <x v="0"/>
    <s v="SER"/>
    <s v="KOL"/>
    <d v="2022-11-30T00:00:00"/>
    <n v="1171"/>
    <s v="Nashik"/>
    <m/>
    <m/>
    <m/>
    <m/>
    <d v="2023-07-19T00:00:00"/>
    <d v="2024-05-04T00:00:00"/>
    <s v="Done with wire"/>
    <s v="Conv-A DONE"/>
    <s v="Done"/>
    <s v="Conv-A DONE"/>
    <s v="Conv-A DONE"/>
    <s v="Done"/>
    <m/>
    <s v="Both side available"/>
    <s v="Found Ok"/>
    <m/>
    <m/>
    <m/>
    <m/>
    <d v="2022-12-07T00:00:00"/>
    <m/>
    <s v="Done"/>
    <d v="2024-07-12T00:00:00"/>
    <d v="2024-07-12T00:00:00"/>
    <d v="2023-07-19T00:00:00"/>
    <s v="Checked"/>
    <d v="2024-12-07T00:00:00"/>
    <m/>
    <d v="2025-01-01T00:00:00"/>
    <m/>
  </r>
  <r>
    <n v="338"/>
    <n v="30672"/>
    <s v="HLC-B"/>
    <s v="STBNN1169HLCD"/>
    <x v="0"/>
    <s v="SER"/>
    <s v="KOL"/>
    <d v="2022-11-30T00:00:00"/>
    <n v="1169"/>
    <s v="Nashik"/>
    <m/>
    <m/>
    <m/>
    <m/>
    <d v="2023-07-19T00:00:00"/>
    <d v="2024-05-04T00:00:00"/>
    <s v="Done with wire"/>
    <s v="Conv-B DONE"/>
    <s v="Done"/>
    <s v="Conv-B DONE"/>
    <s v="Conv-B DONE"/>
    <s v="Done"/>
    <m/>
    <s v="Both side available"/>
    <s v="Found Ok"/>
    <m/>
    <m/>
    <m/>
    <m/>
    <d v="2022-12-07T00:00:00"/>
    <m/>
    <s v="Done"/>
    <d v="2024-07-12T00:00:00"/>
    <d v="2024-07-12T00:00:00"/>
    <d v="2023-07-19T00:00:00"/>
    <s v="Checked"/>
    <d v="2024-12-07T00:00:00"/>
    <m/>
    <d v="2025-01-01T00:00:00"/>
    <m/>
  </r>
  <r>
    <n v="339"/>
    <n v="30699"/>
    <s v="HLC-A"/>
    <s v="STBNN1172HLCD"/>
    <x v="9"/>
    <s v="SER"/>
    <s v="KOL"/>
    <d v="2022-12-15T00:00:00"/>
    <n v="1172"/>
    <s v="Nashik"/>
    <m/>
    <m/>
    <m/>
    <m/>
    <d v="2023-11-09T00:00:00"/>
    <m/>
    <s v="Done with wire"/>
    <s v="Conv-A DONE"/>
    <s v="Done"/>
    <s v="Conv-A DONE"/>
    <s v="Conv-A DONE"/>
    <s v="Done"/>
    <m/>
    <s v="Both side available"/>
    <s v="Found Ok"/>
    <m/>
    <m/>
    <m/>
    <m/>
    <d v="2022-12-07T00:00:00"/>
    <m/>
    <s v="From NW"/>
    <d v="2024-04-07T00:00:00"/>
    <d v="2023-11-09T00:00:00"/>
    <d v="2023-11-09T00:00:00"/>
    <s v="Checked"/>
    <s v="14-04-25"/>
    <m/>
    <d v="2024-08-10T00:00:00"/>
    <m/>
  </r>
  <r>
    <n v="340"/>
    <n v="30699"/>
    <s v="HLC-B"/>
    <s v="STBNN1173HLCD"/>
    <x v="9"/>
    <s v="SER"/>
    <s v="KOL"/>
    <d v="2022-12-15T00:00:00"/>
    <n v="1173"/>
    <s v="Nashik"/>
    <m/>
    <m/>
    <m/>
    <m/>
    <d v="2023-11-09T00:00:00"/>
    <m/>
    <s v="Done with wire"/>
    <s v="Conv-B DONE"/>
    <s v="Done"/>
    <s v="Conv-B DONE"/>
    <s v="Conv-B DONE"/>
    <s v="Done"/>
    <m/>
    <s v="Both side available"/>
    <s v="Found Ok"/>
    <m/>
    <m/>
    <m/>
    <m/>
    <d v="2022-12-07T00:00:00"/>
    <m/>
    <s v="From NW"/>
    <d v="2024-04-07T00:00:00"/>
    <d v="2023-11-09T00:00:00"/>
    <d v="2023-11-09T00:00:00"/>
    <s v="Checked"/>
    <s v="15-04-25"/>
    <m/>
    <d v="2024-08-10T00:00:00"/>
    <m/>
  </r>
  <r>
    <n v="341"/>
    <n v="30663"/>
    <s v="HLC-A"/>
    <s v="STB5N1158HLCD"/>
    <x v="0"/>
    <s v="SER"/>
    <s v="KOL"/>
    <d v="2022-01-20T00:00:00"/>
    <n v="1158"/>
    <s v="Nashik"/>
    <m/>
    <m/>
    <m/>
    <m/>
    <d v="2024-03-26T00:00:00"/>
    <m/>
    <s v="Done with wire"/>
    <s v="Conv-A DONE"/>
    <s v="Done"/>
    <s v="Conv-A DONE"/>
    <s v="Conv-A DONE"/>
    <s v="Done"/>
    <s v="Done"/>
    <s v="PWR side available"/>
    <s v="Found Ok"/>
    <m/>
    <m/>
    <m/>
    <m/>
    <d v="2023-03-13T00:00:00"/>
    <m/>
    <s v="Done"/>
    <s v="31-07-24"/>
    <d v="2024-01-22T00:00:00"/>
    <d v="2023-08-03T00:00:00"/>
    <s v="Checked"/>
    <s v="17-03-2025"/>
    <d v="2025-06-25T00:00:00"/>
    <s v="14-10-24"/>
    <m/>
  </r>
  <r>
    <n v="342"/>
    <n v="30663"/>
    <s v="HLC-B"/>
    <s v="STB1N1149HLCD"/>
    <x v="0"/>
    <s v="SER"/>
    <s v="KOL"/>
    <d v="2022-01-20T00:00:00"/>
    <n v="1149"/>
    <s v="Nashik"/>
    <m/>
    <m/>
    <m/>
    <m/>
    <d v="2024-03-26T00:00:00"/>
    <m/>
    <s v="Done with wire"/>
    <s v="Conv-B DONE"/>
    <s v="Done"/>
    <s v="Conv-B DONE"/>
    <s v="Conv-B DONE"/>
    <s v="Done"/>
    <s v="Done"/>
    <s v="PWR side available"/>
    <s v="Found Ok"/>
    <m/>
    <m/>
    <m/>
    <m/>
    <d v="2023-03-13T00:00:00"/>
    <m/>
    <s v="Done"/>
    <s v="31-07-24"/>
    <d v="2024-01-22T00:00:00"/>
    <d v="2023-08-03T00:00:00"/>
    <s v="Checked"/>
    <s v="17-03-2025"/>
    <d v="2025-06-25T00:00:00"/>
    <s v="14-10-24"/>
    <m/>
  </r>
  <r>
    <n v="343"/>
    <n v="30386"/>
    <s v="HLC-A"/>
    <s v="STB3P1271HLCD"/>
    <x v="2"/>
    <s v="SECR"/>
    <s v="KOL"/>
    <d v="2023-07-28T00:00:00"/>
    <n v="1271"/>
    <s v="Nashik"/>
    <m/>
    <m/>
    <m/>
    <m/>
    <d v="2023-12-12T00:00:00"/>
    <m/>
    <s v="Done with wire"/>
    <s v="Done"/>
    <s v="Done"/>
    <s v="Done"/>
    <s v="Done"/>
    <s v="Done"/>
    <s v="Done"/>
    <s v="PWR side available"/>
    <s v="Found Ok"/>
    <m/>
    <m/>
    <m/>
    <m/>
    <d v="2023-07-28T00:00:00"/>
    <m/>
    <d v="2023-07-28T00:00:00"/>
    <d v="2024-07-12T00:00:00"/>
    <d v="2024-12-07T00:00:00"/>
    <d v="2023-12-09T00:00:00"/>
    <s v="Checked"/>
    <d v="2024-05-09T00:00:00"/>
    <s v="20-06-2025"/>
    <d v="2024-09-05T00:00:00"/>
    <m/>
  </r>
  <r>
    <n v="344"/>
    <n v="30386"/>
    <s v="HLC-B"/>
    <s v="STB9P1352HLCD"/>
    <x v="2"/>
    <s v="SECR"/>
    <s v="KOL"/>
    <d v="2023-07-28T00:00:00"/>
    <n v="1352"/>
    <s v="Nashik"/>
    <m/>
    <m/>
    <m/>
    <m/>
    <d v="2023-12-12T00:00:00"/>
    <m/>
    <s v="Done with wire"/>
    <s v="Done"/>
    <s v="Done"/>
    <s v="Done"/>
    <s v="Done"/>
    <s v="Done"/>
    <s v="Done"/>
    <s v="PWR side available"/>
    <s v="Found Ok"/>
    <m/>
    <m/>
    <m/>
    <m/>
    <d v="2023-07-28T00:00:00"/>
    <m/>
    <d v="2023-07-28T00:00:00"/>
    <d v="2024-07-12T00:00:00"/>
    <d v="2024-12-07T00:00:00"/>
    <d v="2023-12-09T00:00:00"/>
    <s v="Checked"/>
    <d v="2024-05-09T00:00:00"/>
    <s v="20-06-2025"/>
    <d v="2024-09-05T00:00:00"/>
    <m/>
  </r>
  <r>
    <n v="345"/>
    <n v="30387"/>
    <s v="HLC-A"/>
    <s v="STB0M1029HLCD"/>
    <x v="2"/>
    <s v="SECR"/>
    <s v="KOL"/>
    <d v="2023-06-28T00:00:00"/>
    <n v="1029"/>
    <s v="Nashik"/>
    <m/>
    <m/>
    <m/>
    <m/>
    <d v="2024-03-05T00:00:00"/>
    <m/>
    <s v="Done with wire"/>
    <s v="Done"/>
    <s v="Done"/>
    <s v="Done"/>
    <s v="Done"/>
    <s v="Done"/>
    <s v="Done"/>
    <s v="PWR side available"/>
    <s v="Found Ok"/>
    <m/>
    <m/>
    <m/>
    <m/>
    <d v="2023-06-28T00:00:00"/>
    <m/>
    <s v="Done"/>
    <d v="2024-07-02T00:00:00"/>
    <d v="2023-06-28T00:00:00"/>
    <d v="2023-06-28T00:00:00"/>
    <s v="Checked"/>
    <s v="17-03-25"/>
    <m/>
    <s v="25-10-24"/>
    <m/>
  </r>
  <r>
    <n v="346"/>
    <n v="30387"/>
    <s v="HLC-B"/>
    <s v="STB9P1353HLCD"/>
    <x v="2"/>
    <s v="SECR"/>
    <s v="KOL"/>
    <d v="2023-06-28T00:00:00"/>
    <n v="1353"/>
    <s v="Nashik"/>
    <m/>
    <m/>
    <m/>
    <m/>
    <d v="2024-03-05T00:00:00"/>
    <m/>
    <s v="Metal Short Link "/>
    <s v="Done"/>
    <s v="Done"/>
    <s v="Done"/>
    <s v="Done"/>
    <s v="Done"/>
    <s v="Done"/>
    <s v="PWR side available"/>
    <s v="Found Ok"/>
    <m/>
    <m/>
    <m/>
    <m/>
    <d v="2023-06-28T00:00:00"/>
    <m/>
    <d v="2023-06-28T00:00:00"/>
    <d v="2024-07-02T00:00:00"/>
    <d v="2023-06-28T00:00:00"/>
    <d v="2023-06-28T00:00:00"/>
    <s v="Checked"/>
    <s v="17-03-25"/>
    <m/>
    <s v="25-10-24"/>
    <m/>
  </r>
  <r>
    <n v="347"/>
    <n v="39208"/>
    <s v="HLC-A"/>
    <s v="STB2P1207HLCD"/>
    <x v="4"/>
    <s v="ECR"/>
    <s v="KOL"/>
    <d v="2022-12-13T00:00:00"/>
    <n v="1207"/>
    <s v="Nashik"/>
    <m/>
    <m/>
    <m/>
    <m/>
    <d v="2024-05-16T00:00:00"/>
    <m/>
    <s v="Done with wire"/>
    <s v="Done"/>
    <s v="from NW"/>
    <s v="Done"/>
    <s v="Done"/>
    <s v="Done"/>
    <s v="Done"/>
    <s v="PWR side available"/>
    <s v="Found Ok"/>
    <m/>
    <m/>
    <m/>
    <m/>
    <d v="2023-03-18T00:00:00"/>
    <m/>
    <s v="Done"/>
    <d v="2024-09-08T00:00:00"/>
    <d v="2023-12-26T00:00:00"/>
    <d v="2023-08-09T00:00:00"/>
    <s v="Checked"/>
    <s v="29-11-24"/>
    <m/>
    <s v="30-09-24"/>
    <m/>
  </r>
  <r>
    <n v="348"/>
    <n v="39208"/>
    <s v="HLC-B"/>
    <s v="STB2P1206HLCD"/>
    <x v="4"/>
    <s v="ECR"/>
    <s v="KOL"/>
    <d v="2022-12-13T00:00:00"/>
    <n v="1206"/>
    <s v="Nashik"/>
    <m/>
    <m/>
    <m/>
    <m/>
    <d v="2024-05-16T00:00:00"/>
    <m/>
    <s v="Done with wire"/>
    <s v="Done"/>
    <s v="from NW"/>
    <s v="Done"/>
    <s v="Done"/>
    <s v="Done"/>
    <s v="Done"/>
    <s v="PWR side available"/>
    <s v="Found Ok"/>
    <m/>
    <m/>
    <m/>
    <m/>
    <d v="2023-03-18T00:00:00"/>
    <m/>
    <s v="Done"/>
    <d v="2024-09-08T00:00:00"/>
    <d v="2023-12-26T00:00:00"/>
    <d v="2023-08-09T00:00:00"/>
    <s v="Checked"/>
    <s v="29-11-24"/>
    <m/>
    <s v="30-09-24"/>
    <m/>
  </r>
  <r>
    <n v="349"/>
    <n v="39209"/>
    <s v="HLC-A"/>
    <s v="STB2P1214HLCD"/>
    <x v="4"/>
    <s v="ECR"/>
    <s v="KOL"/>
    <d v="2022-12-14T00:00:00"/>
    <n v="1214"/>
    <s v="Nashik"/>
    <m/>
    <m/>
    <m/>
    <m/>
    <d v="2023-08-09T00:00:00"/>
    <m/>
    <s v="Done with wire"/>
    <s v="Done"/>
    <s v="Done"/>
    <s v="Done"/>
    <s v="Done"/>
    <s v="Done"/>
    <s v="Done"/>
    <s v="PWR side available"/>
    <s v="Found Ok"/>
    <m/>
    <m/>
    <m/>
    <m/>
    <d v="2023-03-18T00:00:00"/>
    <m/>
    <s v="Done"/>
    <d v="2024-07-08T00:00:00"/>
    <d v="2024-01-16T00:00:00"/>
    <d v="2023-10-07T00:00:00"/>
    <s v="Checked"/>
    <s v="22-01-25"/>
    <m/>
    <s v="16-10-24"/>
    <m/>
  </r>
  <r>
    <n v="350"/>
    <n v="39209"/>
    <s v="HLC-B"/>
    <s v="STB2P1215HLCD"/>
    <x v="4"/>
    <s v="ECR"/>
    <s v="KOL"/>
    <d v="2022-12-14T00:00:00"/>
    <n v="1215"/>
    <s v="Nashik"/>
    <m/>
    <m/>
    <m/>
    <m/>
    <d v="2023-08-09T00:00:00"/>
    <m/>
    <s v="Done with wire"/>
    <s v="Done"/>
    <s v="Done"/>
    <s v="Done"/>
    <s v="Done"/>
    <s v="Done"/>
    <s v="Done"/>
    <s v="PWR side available"/>
    <s v="Found Ok"/>
    <m/>
    <m/>
    <m/>
    <m/>
    <d v="2023-03-18T00:00:00"/>
    <m/>
    <s v="Done"/>
    <d v="2024-07-08T00:00:00"/>
    <d v="2024-01-16T00:00:00"/>
    <d v="2023-10-07T00:00:00"/>
    <s v="Checked"/>
    <s v="22-01-25"/>
    <m/>
    <s v="16-10-24"/>
    <m/>
  </r>
  <r>
    <n v="351"/>
    <n v="30388"/>
    <s v="HLC-A"/>
    <s v="STB3P1268HLCD"/>
    <x v="2"/>
    <s v="SECR"/>
    <s v="KOL"/>
    <d v="2023-09-16T00:00:00"/>
    <n v="1268"/>
    <s v="Nashik"/>
    <m/>
    <m/>
    <m/>
    <m/>
    <d v="2025-05-28T00:00:00"/>
    <m/>
    <s v="Metal Short Link "/>
    <s v="Done"/>
    <s v="Done"/>
    <s v="Done"/>
    <s v="Done"/>
    <s v="Done"/>
    <s v="Done"/>
    <s v="PWR side available"/>
    <s v="Found Ok"/>
    <m/>
    <m/>
    <m/>
    <m/>
    <d v="2023-09-16T00:00:00"/>
    <m/>
    <s v="Done"/>
    <d v="2024-08-01T00:00:00"/>
    <d v="2023-09-16T00:00:00"/>
    <d v="2023-09-16T00:00:00"/>
    <s v="Checked"/>
    <s v="28-05-25"/>
    <s v="28-05-25"/>
    <d v="2024-09-23T00:00:00"/>
    <m/>
  </r>
  <r>
    <n v="352"/>
    <n v="30388"/>
    <s v="HLC-B"/>
    <s v="STB3P1269HLCD"/>
    <x v="2"/>
    <s v="SECR"/>
    <s v="KOL"/>
    <d v="2023-09-16T00:00:00"/>
    <n v="1269"/>
    <s v="Nashik"/>
    <m/>
    <m/>
    <m/>
    <m/>
    <d v="2025-05-28T00:00:00"/>
    <m/>
    <s v="Metal Short Link "/>
    <s v="Done"/>
    <s v="Done"/>
    <s v="Done"/>
    <s v="Done"/>
    <s v="Done"/>
    <s v="Done"/>
    <s v="PWR side available"/>
    <s v="Found Ok"/>
    <m/>
    <m/>
    <m/>
    <m/>
    <d v="2023-09-16T00:00:00"/>
    <m/>
    <s v="Done"/>
    <d v="2024-08-01T00:00:00"/>
    <d v="2023-09-16T00:00:00"/>
    <d v="2023-09-16T00:00:00"/>
    <s v="Checked"/>
    <s v="28-05-25"/>
    <s v="28-05-25"/>
    <d v="2024-09-23T00:00:00"/>
    <m/>
  </r>
  <r>
    <n v="353"/>
    <n v="37610"/>
    <s v="HLC-A"/>
    <s v="STB4P1284HLCD"/>
    <x v="7"/>
    <s v="ER"/>
    <s v="KOL"/>
    <d v="2023-09-17T00:00:00"/>
    <n v="1284"/>
    <s v="Nashik"/>
    <m/>
    <m/>
    <m/>
    <m/>
    <d v="2023-09-12T00:00:00"/>
    <d v="2023-09-12T00:00:00"/>
    <s v="Done with wire"/>
    <s v="Done by NW"/>
    <s v="Done"/>
    <s v="Done"/>
    <s v="Done"/>
    <s v="Done"/>
    <s v="Done"/>
    <s v="Both side available"/>
    <s v="Found Ok"/>
    <m/>
    <m/>
    <m/>
    <m/>
    <d v="2023-09-12T00:00:00"/>
    <s v="Modified "/>
    <s v="Done"/>
    <s v="13-07-24"/>
    <d v="2023-12-11T00:00:00"/>
    <d v="2023-09-12T00:00:00"/>
    <s v="Checked"/>
    <m/>
    <d v="2024-03-12T00:00:00"/>
    <d v="2024-04-11T00:00:00"/>
    <m/>
  </r>
  <r>
    <n v="354"/>
    <n v="37610"/>
    <s v="HLC-B"/>
    <s v="STB4P1285HLCD"/>
    <x v="7"/>
    <s v="ER"/>
    <s v="KOL"/>
    <d v="2023-09-17T00:00:00"/>
    <n v="1285"/>
    <s v="Nashik"/>
    <m/>
    <m/>
    <m/>
    <m/>
    <d v="2023-09-12T00:00:00"/>
    <d v="2023-09-12T00:00:00"/>
    <s v="Done with wire"/>
    <s v="Done by NW"/>
    <s v="Done"/>
    <s v="Done"/>
    <s v="Done"/>
    <s v="Done"/>
    <s v="Done"/>
    <s v="Both side available"/>
    <s v="Found Ok"/>
    <m/>
    <m/>
    <m/>
    <m/>
    <d v="2023-09-12T00:00:00"/>
    <s v="Modified "/>
    <s v="Done"/>
    <s v="13-07-24"/>
    <d v="2023-12-11T00:00:00"/>
    <d v="2023-09-12T00:00:00"/>
    <s v="Checked"/>
    <m/>
    <d v="2024-03-12T00:00:00"/>
    <d v="2024-04-11T00:00:00"/>
    <m/>
  </r>
  <r>
    <n v="355"/>
    <n v="37616"/>
    <s v="HLC-A"/>
    <s v="STB4P1290HLCD"/>
    <x v="5"/>
    <s v="ECR"/>
    <s v="KOL"/>
    <d v="2023-11-01T00:00:00"/>
    <n v="1290"/>
    <s v="Nashik"/>
    <m/>
    <m/>
    <m/>
    <m/>
    <m/>
    <m/>
    <s v=" Short link  Metal "/>
    <s v="Done"/>
    <s v="Done"/>
    <d v="2023-11-01T00:00:00"/>
    <s v="Already Done"/>
    <s v="Done"/>
    <s v="Done"/>
    <s v="Both side available"/>
    <s v="Found Ok"/>
    <m/>
    <m/>
    <m/>
    <m/>
    <s v="From NW"/>
    <s v="Modified "/>
    <s v="From NW"/>
    <d v="2024-09-07T00:00:00"/>
    <d v="2023-10-28T00:00:00"/>
    <d v="2023-12-15T00:00:00"/>
    <s v="Checked"/>
    <d v="2025-04-04T00:00:00"/>
    <m/>
    <s v="19-11-24"/>
    <m/>
  </r>
  <r>
    <n v="356"/>
    <n v="37616"/>
    <s v="HLC-B"/>
    <s v="STB4P1287HLCD"/>
    <x v="5"/>
    <s v="ECR"/>
    <s v="KOL"/>
    <d v="2023-11-01T00:00:00"/>
    <n v="1287"/>
    <s v="Nashik"/>
    <m/>
    <m/>
    <m/>
    <m/>
    <m/>
    <m/>
    <s v=" Short link  Metal "/>
    <s v="Done"/>
    <s v="Done"/>
    <d v="2023-11-01T00:00:00"/>
    <s v="Already Done"/>
    <s v="Done"/>
    <s v="Done"/>
    <s v="Both side available"/>
    <s v="Found Ok"/>
    <m/>
    <m/>
    <m/>
    <m/>
    <s v="From NW"/>
    <s v="Modified "/>
    <s v="From NW"/>
    <d v="2024-09-07T00:00:00"/>
    <d v="2023-10-28T00:00:00"/>
    <d v="2023-12-15T00:00:00"/>
    <s v="Checked"/>
    <d v="2025-04-04T00:00:00"/>
    <m/>
    <s v="19-11-24"/>
    <m/>
  </r>
  <r>
    <n v="357"/>
    <n v="37617"/>
    <s v="HLC-A"/>
    <s v="STB4P1286HLCD"/>
    <x v="5"/>
    <s v="ECR"/>
    <s v="KOL"/>
    <d v="2023-10-21T00:00:00"/>
    <n v="1286"/>
    <s v="Nashik"/>
    <m/>
    <m/>
    <m/>
    <m/>
    <m/>
    <m/>
    <s v=" Short link  Metal "/>
    <s v="Done"/>
    <s v="Done"/>
    <d v="2023-10-21T00:00:00"/>
    <s v="Already Done"/>
    <s v="Done"/>
    <s v="Done"/>
    <s v="Both side available"/>
    <s v="Found Ok"/>
    <m/>
    <m/>
    <m/>
    <m/>
    <s v="From NW"/>
    <s v="Modified "/>
    <s v="From NW"/>
    <s v="30-07-24"/>
    <d v="2023-10-14T00:00:00"/>
    <s v="30-07-24"/>
    <m/>
    <m/>
    <m/>
    <d v="2024-12-11T00:00:00"/>
    <m/>
  </r>
  <r>
    <n v="358"/>
    <n v="37617"/>
    <s v="HLC-B"/>
    <s v="STB4P1291HLCD"/>
    <x v="5"/>
    <s v="ECR"/>
    <s v="KOL"/>
    <d v="2023-10-21T00:00:00"/>
    <n v="1291"/>
    <s v="Nashik"/>
    <m/>
    <m/>
    <m/>
    <m/>
    <m/>
    <m/>
    <s v=" Short link  Metal "/>
    <s v="Done"/>
    <s v="Done"/>
    <d v="2023-10-21T00:00:00"/>
    <s v="Already Done"/>
    <s v="Done"/>
    <s v="Done"/>
    <s v="Both side available"/>
    <s v="Found Ok"/>
    <m/>
    <m/>
    <m/>
    <m/>
    <s v="From NW"/>
    <s v="Modified "/>
    <s v="From NW"/>
    <s v="30-07-24"/>
    <d v="2023-10-14T00:00:00"/>
    <s v="30-07-24"/>
    <m/>
    <m/>
    <m/>
    <d v="2024-12-11T00:00:00"/>
    <m/>
  </r>
  <r>
    <n v="359"/>
    <n v="39303"/>
    <s v="HLC-A"/>
    <s v="STB4R1444HLCD"/>
    <x v="5"/>
    <s v="ECR"/>
    <s v="KOL"/>
    <d v="2024-01-10T00:00:00"/>
    <n v="1444"/>
    <s v="Nashik"/>
    <m/>
    <m/>
    <m/>
    <m/>
    <m/>
    <m/>
    <s v="Done with wire"/>
    <s v="Done"/>
    <s v="Done"/>
    <s v="Done"/>
    <s v="Done"/>
    <s v="Done"/>
    <s v="Done"/>
    <s v="Both side available"/>
    <s v="Found Ok"/>
    <m/>
    <m/>
    <m/>
    <m/>
    <d v="2024-01-06T00:00:00"/>
    <s v="Modified "/>
    <d v="2024-01-06T00:00:00"/>
    <s v="17-07-24"/>
    <s v="Done"/>
    <s v="Done"/>
    <s v="Checked"/>
    <m/>
    <m/>
    <s v="25-10-24"/>
    <m/>
  </r>
  <r>
    <n v="360"/>
    <n v="39303"/>
    <s v="HLC-B"/>
    <s v="STB4R1432HLCD"/>
    <x v="5"/>
    <s v="ECR"/>
    <s v="KOL"/>
    <d v="2024-01-10T00:00:00"/>
    <n v="1432"/>
    <s v="Nashik"/>
    <m/>
    <m/>
    <m/>
    <m/>
    <m/>
    <m/>
    <s v="Done with wire"/>
    <s v="Done"/>
    <s v="Done"/>
    <s v="Done"/>
    <s v="Done"/>
    <s v="Done"/>
    <s v="Done"/>
    <s v="Both side available"/>
    <s v="Found Ok"/>
    <m/>
    <m/>
    <m/>
    <m/>
    <d v="2024-01-06T00:00:00"/>
    <s v="Modified "/>
    <d v="2024-01-06T00:00:00"/>
    <s v="17-07-24"/>
    <s v="Done"/>
    <s v="Done"/>
    <s v="Checked"/>
    <m/>
    <m/>
    <s v="25-10-24"/>
    <m/>
  </r>
  <r>
    <n v="361"/>
    <n v="30385"/>
    <s v="HLC-A"/>
    <s v="STB3P1381HLCD"/>
    <x v="2"/>
    <s v="SECR"/>
    <s v="KOL"/>
    <d v="2023-10-20T00:00:00"/>
    <n v="1381"/>
    <s v="Nashik"/>
    <m/>
    <m/>
    <m/>
    <m/>
    <m/>
    <m/>
    <s v="Metal Short Link "/>
    <s v="Done"/>
    <s v="Done"/>
    <s v="Done"/>
    <s v="Done"/>
    <s v="Done"/>
    <s v="Done"/>
    <s v="PWR side available"/>
    <s v="Found Ok"/>
    <m/>
    <m/>
    <m/>
    <m/>
    <d v="2023-10-18T00:00:00"/>
    <s v="Modified "/>
    <d v="2023-10-18T00:00:00"/>
    <d v="2024-07-05T00:00:00"/>
    <d v="2023-10-21T00:00:00"/>
    <d v="2023-10-20T00:00:00"/>
    <s v="Checked"/>
    <m/>
    <s v="30-04-25"/>
    <d v="2024-09-23T00:00:00"/>
    <m/>
  </r>
  <r>
    <n v="362"/>
    <n v="30385"/>
    <s v="HLC-B"/>
    <s v="STB3P1383HLCD"/>
    <x v="2"/>
    <s v="SECR"/>
    <s v="KOL"/>
    <d v="2023-10-20T00:00:00"/>
    <n v="1383"/>
    <s v="Nashik"/>
    <m/>
    <m/>
    <m/>
    <m/>
    <m/>
    <m/>
    <s v="Metal Short Link "/>
    <s v="Done"/>
    <s v="Done"/>
    <s v="Done"/>
    <s v="Done"/>
    <s v="Done"/>
    <s v="Done"/>
    <s v="PWR side available"/>
    <s v="Found Ok"/>
    <m/>
    <m/>
    <m/>
    <m/>
    <d v="2023-10-18T00:00:00"/>
    <s v="Modified "/>
    <d v="2023-10-18T00:00:00"/>
    <d v="2024-07-05T00:00:00"/>
    <d v="2023-10-21T00:00:00"/>
    <d v="2023-10-20T00:00:00"/>
    <s v="Checked"/>
    <m/>
    <s v="30-04-25"/>
    <d v="2024-09-23T00:00:00"/>
    <m/>
  </r>
  <r>
    <n v="363"/>
    <n v="37645"/>
    <s v="HLC-A"/>
    <s v="STB7R1506HLCD"/>
    <x v="9"/>
    <s v="SER"/>
    <s v="KOL"/>
    <d v="2024-02-06T00:00:00"/>
    <n v="1506"/>
    <s v="Nashik"/>
    <m/>
    <m/>
    <m/>
    <m/>
    <m/>
    <m/>
    <s v="Metal Short Link "/>
    <s v="Done"/>
    <s v="Done"/>
    <s v="Done"/>
    <m/>
    <s v="Done"/>
    <m/>
    <s v="Both side available"/>
    <s v="Found Ok"/>
    <m/>
    <m/>
    <m/>
    <m/>
    <s v="From NW"/>
    <s v="Modified "/>
    <s v="From NW"/>
    <d v="2024-06-24T00:00:00"/>
    <d v="2024-06-24T00:00:00"/>
    <s v="24-06-24"/>
    <s v="Checked"/>
    <s v="17-04-2025"/>
    <m/>
    <s v="18-04-2025"/>
    <m/>
  </r>
  <r>
    <n v="364"/>
    <n v="37645"/>
    <s v="HLC-B"/>
    <s v="STB7R1507HLCD"/>
    <x v="9"/>
    <s v="SER"/>
    <s v="KOL"/>
    <d v="2024-02-06T00:00:00"/>
    <n v="1507"/>
    <s v="Nashik"/>
    <m/>
    <m/>
    <m/>
    <m/>
    <m/>
    <m/>
    <s v="Metal Short Link "/>
    <s v="Done"/>
    <s v="Done"/>
    <s v="Done"/>
    <m/>
    <s v="Done"/>
    <m/>
    <s v="Both side available"/>
    <s v="Found Ok"/>
    <m/>
    <m/>
    <m/>
    <m/>
    <s v="From NW"/>
    <s v="Modified "/>
    <s v="From NW"/>
    <d v="2024-06-24T00:00:00"/>
    <d v="2024-06-24T00:00:00"/>
    <s v="24-06-24"/>
    <s v="Checked"/>
    <s v="17-04-2025"/>
    <m/>
    <s v="18-04-2025"/>
    <m/>
  </r>
  <r>
    <n v="365"/>
    <n v="37682"/>
    <s v="HLC-A"/>
    <s v="STB7R1518HLCD"/>
    <x v="10"/>
    <s v="ECoR"/>
    <s v="KOL"/>
    <d v="2024-04-15T00:00:00"/>
    <n v="1518"/>
    <s v="Nashik"/>
    <m/>
    <m/>
    <m/>
    <m/>
    <d v="2025-03-27T00:00:00"/>
    <m/>
    <s v="Metal Short Link "/>
    <s v="Conv-A DONE"/>
    <s v="Done"/>
    <s v="Done"/>
    <s v="Done"/>
    <s v="Done"/>
    <s v="Done"/>
    <s v="Both side available"/>
    <s v="Found Ok"/>
    <m/>
    <m/>
    <m/>
    <m/>
    <s v="From NW"/>
    <s v="Modified "/>
    <s v="From NW"/>
    <d v="2024-04-10T00:00:00"/>
    <d v="2024-07-13T00:00:00"/>
    <d v="2024-03-31T00:00:00"/>
    <s v="Checked"/>
    <m/>
    <m/>
    <m/>
    <m/>
  </r>
  <r>
    <n v="366"/>
    <n v="37682"/>
    <s v="HLC-B"/>
    <s v="STB7R1519HLCD"/>
    <x v="10"/>
    <s v="ECoR"/>
    <s v="KOL"/>
    <d v="2024-04-15T00:00:00"/>
    <n v="1519"/>
    <s v="Nashik"/>
    <m/>
    <m/>
    <m/>
    <m/>
    <d v="2025-03-27T00:00:00"/>
    <m/>
    <s v="Metal Short Link "/>
    <s v="Conv-B DONE"/>
    <s v="Done"/>
    <s v="Done"/>
    <s v="Done"/>
    <s v="Done"/>
    <s v="Done"/>
    <s v="Both side available"/>
    <s v="Found Ok"/>
    <m/>
    <m/>
    <m/>
    <m/>
    <s v="From NW"/>
    <s v="Modified "/>
    <s v="From NW"/>
    <d v="2024-04-10T00:00:00"/>
    <d v="2024-07-13T00:00:00"/>
    <d v="2024-03-31T00:00:00"/>
    <s v="Checked"/>
    <m/>
    <m/>
    <m/>
    <m/>
  </r>
  <r>
    <n v="367"/>
    <n v="37683"/>
    <s v="HLC-A"/>
    <s v="STBNR1571HLCD"/>
    <x v="10"/>
    <s v="ECoR"/>
    <s v="KOL"/>
    <d v="2024-04-20T00:00:00"/>
    <n v="1571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d v="2024-06-30T00:00:00"/>
    <d v="2024-04-18T00:00:00"/>
    <d v="2024-04-06T00:00:00"/>
    <s v="Checked"/>
    <m/>
    <m/>
    <m/>
    <m/>
  </r>
  <r>
    <n v="368"/>
    <n v="37683"/>
    <s v="HLC-B"/>
    <s v="STBNR1545HLCD"/>
    <x v="10"/>
    <s v="ECoR"/>
    <s v="KOL"/>
    <d v="2024-04-20T00:00:00"/>
    <n v="1545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d v="2024-06-30T00:00:00"/>
    <d v="2024-04-18T00:00:00"/>
    <d v="2024-04-06T00:00:00"/>
    <s v="Checked"/>
    <m/>
    <m/>
    <m/>
    <m/>
  </r>
  <r>
    <n v="369"/>
    <n v="39293"/>
    <s v="HLC-A"/>
    <s v="STB3R1421HLCD"/>
    <x v="10"/>
    <s v="ECoR"/>
    <s v="KOL"/>
    <d v="2024-02-01T00:00:00"/>
    <n v="1421"/>
    <s v="Nashik"/>
    <m/>
    <m/>
    <m/>
    <m/>
    <d v="2024-01-19T00:00:00"/>
    <d v="2024-01-19T00:00:00"/>
    <s v="Metal Short Link "/>
    <s v="Done"/>
    <s v="Done"/>
    <s v="Done"/>
    <s v="Done"/>
    <s v="Done"/>
    <s v="Done"/>
    <s v="Both side available"/>
    <s v="Found Ok"/>
    <m/>
    <m/>
    <m/>
    <m/>
    <s v="Nasik"/>
    <s v="Modified "/>
    <s v="From NW"/>
    <s v="30-07-24"/>
    <d v="2024-01-19T00:00:00"/>
    <d v="2024-01-19T00:00:00"/>
    <s v="Checked"/>
    <m/>
    <m/>
    <s v="14-10-24"/>
    <m/>
  </r>
  <r>
    <n v="370"/>
    <n v="39293"/>
    <s v="HLC-B"/>
    <s v="STB3R1420HLCD"/>
    <x v="10"/>
    <s v="ECoR"/>
    <s v="KOL"/>
    <d v="2024-02-01T00:00:00"/>
    <n v="1420"/>
    <s v="Nashik"/>
    <m/>
    <m/>
    <m/>
    <m/>
    <d v="2024-01-19T00:00:00"/>
    <d v="2024-01-19T00:00:00"/>
    <s v="Metal Short Link "/>
    <s v="Done"/>
    <s v="Done"/>
    <s v="Done"/>
    <s v="Done"/>
    <s v="Done"/>
    <s v="Done"/>
    <s v="Both side available"/>
    <s v="Found Ok"/>
    <m/>
    <m/>
    <m/>
    <m/>
    <s v="Nasik"/>
    <s v="Modified "/>
    <s v="From NW"/>
    <s v="30-07-24"/>
    <d v="2024-01-19T00:00:00"/>
    <d v="2024-01-19T00:00:00"/>
    <s v="Checked"/>
    <m/>
    <m/>
    <s v="14-10-24"/>
    <m/>
  </r>
  <r>
    <n v="371"/>
    <n v="39306"/>
    <s v="HLC-A"/>
    <s v="STB5R1470HLCD"/>
    <x v="5"/>
    <s v="ECR"/>
    <s v="KOL"/>
    <d v="2024-01-31T00:00:00"/>
    <n v="1470"/>
    <s v="Nashik"/>
    <m/>
    <m/>
    <m/>
    <m/>
    <m/>
    <m/>
    <s v="Metal Short Link "/>
    <s v="Done"/>
    <m/>
    <s v="Done"/>
    <m/>
    <s v="Done"/>
    <s v="Done"/>
    <s v="Both side available"/>
    <s v="Found Ok"/>
    <m/>
    <m/>
    <m/>
    <m/>
    <s v="From NW"/>
    <s v="Modified "/>
    <s v="From NW"/>
    <s v="16-08-24"/>
    <s v="Done"/>
    <d v="2024-01-26T00:00:00"/>
    <s v="Checked"/>
    <m/>
    <m/>
    <d v="2024-04-10T00:00:00"/>
    <m/>
  </r>
  <r>
    <n v="372"/>
    <n v="39306"/>
    <s v="HLC-B"/>
    <s v="STB5R1471HLCD"/>
    <x v="5"/>
    <s v="ECR"/>
    <s v="KOL"/>
    <d v="2024-01-31T00:00:00"/>
    <n v="1471"/>
    <s v="Nashik"/>
    <m/>
    <m/>
    <m/>
    <m/>
    <m/>
    <m/>
    <s v="Metal Short Link "/>
    <s v="Done"/>
    <m/>
    <s v="Done"/>
    <m/>
    <s v="Done"/>
    <s v="Done"/>
    <s v="Both side available"/>
    <s v="Found Ok"/>
    <m/>
    <m/>
    <m/>
    <m/>
    <s v="From NW"/>
    <s v="Modified "/>
    <s v="From NW"/>
    <s v="16-08-24"/>
    <s v="Done"/>
    <d v="2024-01-26T00:00:00"/>
    <s v="Checked"/>
    <m/>
    <m/>
    <d v="2024-04-10T00:00:00"/>
    <m/>
  </r>
  <r>
    <n v="373"/>
    <n v="30438"/>
    <s v="HLC-A"/>
    <s v="STB9P1347HLCD"/>
    <x v="2"/>
    <s v="SECR"/>
    <s v="KOL"/>
    <d v="2024-05-15T00:00:00"/>
    <n v="1347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Done"/>
    <s v="Modified "/>
    <s v="From NW"/>
    <d v="2024-07-09T00:00:00"/>
    <d v="2024-05-13T00:00:00"/>
    <d v="2024-05-15T00:00:00"/>
    <s v="Checked"/>
    <m/>
    <d v="2025-01-02T00:00:00"/>
    <d v="2024-10-26T00:00:00"/>
    <m/>
  </r>
  <r>
    <n v="374"/>
    <n v="30438"/>
    <s v="HLC-B"/>
    <s v="STB9P1358HLCD"/>
    <x v="2"/>
    <s v="SECR"/>
    <s v="KOL"/>
    <d v="2024-05-15T00:00:00"/>
    <n v="1358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Done"/>
    <s v="Modified "/>
    <s v="From NW"/>
    <d v="2024-07-09T00:00:00"/>
    <d v="2024-05-13T00:00:00"/>
    <d v="2024-05-15T00:00:00"/>
    <s v="Checked"/>
    <m/>
    <d v="2025-01-02T00:00:00"/>
    <d v="2024-10-26T00:00:00"/>
    <m/>
  </r>
  <r>
    <n v="375"/>
    <n v="30435"/>
    <s v="HLC-A"/>
    <s v="STB9P1355HLCD"/>
    <x v="2"/>
    <s v="SECR"/>
    <s v="KOL"/>
    <d v="2024-05-31T00:00:00"/>
    <n v="1355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Done"/>
    <s v="Modified "/>
    <s v="From NW"/>
    <d v="2024-08-06T00:00:00"/>
    <d v="2024-06-04T00:00:00"/>
    <d v="2024-05-31T00:00:00"/>
    <s v="Checked"/>
    <m/>
    <m/>
    <d v="2025-01-27T00:00:00"/>
    <m/>
  </r>
  <r>
    <n v="376"/>
    <n v="30435"/>
    <s v="HLC-B"/>
    <s v="STB9P1349HLCD"/>
    <x v="2"/>
    <s v="SECR"/>
    <s v="KOL"/>
    <d v="2024-05-31T00:00:00"/>
    <n v="1349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Done"/>
    <s v="Modified "/>
    <s v="From NW"/>
    <d v="2024-08-06T00:00:00"/>
    <d v="2024-06-04T00:00:00"/>
    <d v="2024-05-31T00:00:00"/>
    <s v="Checked"/>
    <m/>
    <m/>
    <d v="2025-01-27T00:00:00"/>
    <m/>
  </r>
  <r>
    <n v="377"/>
    <n v="37717"/>
    <s v="HLC-A"/>
    <s v="STBNR1584HLCD"/>
    <x v="11"/>
    <s v="NFR"/>
    <s v="KOL"/>
    <d v="2024-07-13T00:00:00"/>
    <n v="1584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d v="2024-07-13T00:00:00"/>
    <d v="2024-07-13T00:00:00"/>
    <s v="Torq. done"/>
    <s v="Checked"/>
    <m/>
    <m/>
    <s v="21/06/25"/>
    <m/>
  </r>
  <r>
    <n v="378"/>
    <n v="37717"/>
    <s v="HLC-B"/>
    <s v="STBNR1585HLCD"/>
    <x v="11"/>
    <s v="NFR"/>
    <s v="KOL"/>
    <d v="2024-07-13T00:00:00"/>
    <n v="1585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d v="2024-07-13T00:00:00"/>
    <d v="2024-07-13T00:00:00"/>
    <s v="Torq. done"/>
    <s v="Checked"/>
    <m/>
    <m/>
    <s v="21/06/25"/>
    <m/>
  </r>
  <r>
    <n v="379"/>
    <n v="39300"/>
    <s v="HLC-A"/>
    <s v="STB4R1436HLCD"/>
    <x v="6"/>
    <s v="ECR"/>
    <s v="KOL"/>
    <d v="2024-01-18T00:00:00"/>
    <n v="1436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s v="13-08-24"/>
    <d v="2024-07-13T00:00:00"/>
    <s v="13-08-24"/>
    <s v="Checked"/>
    <m/>
    <m/>
    <m/>
    <m/>
  </r>
  <r>
    <n v="380"/>
    <n v="39300"/>
    <s v="HLC-B"/>
    <s v="STB4R1443HLCD"/>
    <x v="6"/>
    <s v="ECR"/>
    <s v="KOL"/>
    <d v="2024-01-18T00:00:00"/>
    <n v="1443"/>
    <s v="Nashik"/>
    <m/>
    <m/>
    <m/>
    <m/>
    <m/>
    <m/>
    <s v="Metal Short Link "/>
    <s v="Done"/>
    <s v="Done"/>
    <s v="Done"/>
    <s v="Done"/>
    <s v="Done"/>
    <s v="Done"/>
    <s v="Both side available"/>
    <s v="Found Ok"/>
    <m/>
    <m/>
    <m/>
    <m/>
    <s v="From NW"/>
    <s v="Modified "/>
    <s v="From NW"/>
    <s v="13-08-24"/>
    <d v="2024-07-13T00:00:00"/>
    <s v="13-08-24"/>
    <s v="Checked"/>
    <m/>
    <m/>
    <m/>
    <m/>
  </r>
  <r>
    <n v="381"/>
    <n v="37299"/>
    <s v="HLC-A"/>
    <s v="STB7L0593HLCD"/>
    <x v="10"/>
    <s v="ECoR"/>
    <s v="KOL"/>
    <d v="2019-12-09T00:00:00"/>
    <n v="593"/>
    <s v="Nashik"/>
    <s v="M-U7D2S04V.005,_x000a_MO-U7F2S240.005"/>
    <d v="2020-08-18T00:00:00"/>
    <s v="U9S2Y440.011"/>
    <s v="Done (ver-Nimesh)"/>
    <d v="2024-05-09T00:00:00"/>
    <m/>
    <s v="Done by NW"/>
    <s v="Done by NW"/>
    <s v="Conv-A DONE"/>
    <s v="Conv-A DONE"/>
    <s v="Conv-A DONE"/>
    <s v="Done"/>
    <s v="Done"/>
    <s v="Both side available"/>
    <s v="Found Ok"/>
    <m/>
    <m/>
    <m/>
    <m/>
    <s v="Conv-A DONE"/>
    <m/>
    <s v="Conv-A DONE"/>
    <s v="28-09-24"/>
    <d v="2024-09-28T00:00:00"/>
    <d v="2024-05-09T00:00:00"/>
    <s v="Done"/>
    <d v="2024-07-08T00:00:00"/>
    <d v="2024-05-09T00:00:00"/>
    <s v="28-09-24"/>
    <d v="2025-04-02T00:00:00"/>
  </r>
  <r>
    <n v="382"/>
    <n v="37299"/>
    <s v="HLC-B"/>
    <s v="STB6L0576HLCD"/>
    <x v="10"/>
    <s v="ECoR"/>
    <s v="KOL"/>
    <d v="2019-12-09T00:00:00"/>
    <n v="576"/>
    <s v="Nashik"/>
    <s v="M-U7D2S04V.005,_x000a_MO-U7F2S240.005"/>
    <d v="2020-08-18T00:00:00"/>
    <s v="U9S2Y440.011"/>
    <s v="Done (ver-Nimesh)"/>
    <d v="2024-05-09T00:00:00"/>
    <m/>
    <s v="Done by NW"/>
    <s v="Done by NW"/>
    <s v="Conv-B DONE"/>
    <s v="Conv-B DONE"/>
    <s v="Conv-B DONE"/>
    <s v="Done"/>
    <s v="Done"/>
    <s v="Both side available"/>
    <s v="Found Ok"/>
    <m/>
    <m/>
    <m/>
    <m/>
    <s v="Conv-B DONE"/>
    <m/>
    <s v="Conv-B DONE"/>
    <s v="28-09-24"/>
    <d v="2024-09-28T00:00:00"/>
    <d v="2024-05-09T00:00:00"/>
    <s v="Done"/>
    <d v="2024-07-08T00:00:00"/>
    <d v="2024-05-09T00:00:00"/>
    <s v="28-09-24"/>
    <m/>
  </r>
  <r>
    <n v="383"/>
    <n v="37300"/>
    <s v="HLC-A"/>
    <s v="STB7L0592HLCD"/>
    <x v="10"/>
    <s v="ECoR"/>
    <s v="KOL"/>
    <d v="2019-12-16T00:00:00"/>
    <n v="592"/>
    <s v="Nashik"/>
    <s v="M-U7D2S04V.005,_x000a_MO-U7F2S240.005"/>
    <d v="2020-09-07T00:00:00"/>
    <s v="U9S2Y440.011"/>
    <s v="Done (ver-Nimesh)"/>
    <d v="2024-01-10T00:00:00"/>
    <m/>
    <s v="Done by NW"/>
    <s v="Done by NW"/>
    <s v="Conv-A DONE"/>
    <s v="Conv-A DONE"/>
    <s v="Conv-A DONE"/>
    <s v="Done"/>
    <s v="Conv-A DONE"/>
    <s v="Conv-A DONE"/>
    <s v="Found Ok"/>
    <m/>
    <m/>
    <m/>
    <m/>
    <s v="Conv-A DONE"/>
    <m/>
    <s v="Conv-A DONE"/>
    <s v="25-09-24"/>
    <s v="Conv-A DONE"/>
    <s v="Tightness done ( without washer)"/>
    <s v="Conv-A DONE"/>
    <d v="2024-06-28T00:00:00"/>
    <d v="2024-01-10T00:00:00"/>
    <s v="25-09-24"/>
    <m/>
  </r>
  <r>
    <n v="384"/>
    <n v="37300"/>
    <s v="HLC-B"/>
    <s v="STB6I0575HLCD"/>
    <x v="10"/>
    <s v="ECoR"/>
    <s v="KOL"/>
    <d v="2019-12-16T00:00:00"/>
    <n v="575"/>
    <s v="Nashik"/>
    <s v="M-U7D2S04V.005,_x000a_MO-U7F2S240.005"/>
    <d v="2020-09-07T00:00:00"/>
    <s v="U9S2Y440.011"/>
    <s v="Done (ver-Nimesh)"/>
    <d v="2024-01-10T00:00:00"/>
    <m/>
    <s v="Done by NW"/>
    <s v="Done by NW"/>
    <s v="Conv-B DONE"/>
    <s v="Conv-B DONE"/>
    <s v="Conv-B DONE"/>
    <s v="Done"/>
    <s v="Conv-B DONE"/>
    <s v="Conv-B DONE"/>
    <s v="Found Ok"/>
    <m/>
    <m/>
    <m/>
    <m/>
    <s v="Conv-B DONE"/>
    <m/>
    <s v="Conv-B DONE"/>
    <s v="25-09-24"/>
    <s v="Conv-B DONE"/>
    <s v="Tightness done ( without washer)"/>
    <s v="Conv-B DONE"/>
    <d v="2024-06-28T00:00:00"/>
    <d v="2024-01-10T00:00:00"/>
    <s v="25-09-24"/>
    <m/>
  </r>
  <r>
    <n v="385"/>
    <n v="37314"/>
    <s v="HLC-A"/>
    <s v="STBDL0727HLCD"/>
    <x v="10"/>
    <s v="ECoR"/>
    <s v="KOL"/>
    <d v="2020-01-16T00:00:00"/>
    <n v="727"/>
    <s v="Nashik"/>
    <s v="M-U7D2S04V.005,_x000a_MO-U7F2S240.005"/>
    <d v="2020-08-25T00:00:00"/>
    <s v="U9S2Y440.011"/>
    <s v="Done (ver-Nimesh)"/>
    <d v="2024-10-03T00:00:00"/>
    <m/>
    <s v="Done by NW"/>
    <s v="Done by NW"/>
    <s v="Conv-A DONE"/>
    <s v="Conv-A DONE"/>
    <s v="Conv-A DONE"/>
    <s v="Done"/>
    <s v="Conv-A DONE"/>
    <s v="Both side available"/>
    <s v="Found Ok"/>
    <m/>
    <m/>
    <m/>
    <m/>
    <s v="Conv-A DONE"/>
    <s v="Conv-A DONE"/>
    <s v="Conv-A DONE"/>
    <d v="2024-10-03T00:00:00"/>
    <d v="2024-10-31T00:00:00"/>
    <s v="Tighnes Done without washer (1-03-24)"/>
    <s v="Conv-A DONE"/>
    <d v="2024-07-20T00:00:00"/>
    <s v="Conv-A DONE"/>
    <d v="2024-10-03T00:00:00"/>
    <m/>
  </r>
  <r>
    <n v="386"/>
    <n v="37314"/>
    <s v="HLC-B"/>
    <s v="STBDL0726HLCD"/>
    <x v="10"/>
    <s v="ECoR"/>
    <s v="KOL"/>
    <d v="2020-01-16T00:00:00"/>
    <n v="726"/>
    <s v="Nashik"/>
    <s v="M-U7D2S04V.005,_x000a_MO-U7F2S240.005"/>
    <d v="2020-08-25T00:00:00"/>
    <s v="U9S2Y440.011"/>
    <s v="Done (ver-Nimesh)"/>
    <d v="2024-10-03T00:00:00"/>
    <m/>
    <s v="Done by NW"/>
    <s v="Done by NW"/>
    <s v="Conv-B DONE"/>
    <s v="Conv-B DONE"/>
    <s v="Conv-B DONE"/>
    <s v="Done"/>
    <s v="Conv-B DONE"/>
    <s v="Both side available"/>
    <s v="Found Ok"/>
    <m/>
    <m/>
    <m/>
    <m/>
    <s v="Conv-B DONE"/>
    <s v="Conv-B DONE"/>
    <s v="Conv-B DONE"/>
    <d v="2024-10-03T00:00:00"/>
    <d v="2024-10-31T00:00:00"/>
    <s v="Tighnes Done without washer (1-03-24)"/>
    <s v="Conv-B DONE"/>
    <d v="2024-07-20T00:00:00"/>
    <s v="Conv-B DONE"/>
    <d v="2024-10-03T00:00:00"/>
    <m/>
  </r>
  <r>
    <n v="387"/>
    <n v="39400"/>
    <s v="HLC-A"/>
    <s v="STB1S1603HLCD"/>
    <x v="9"/>
    <s v="SER"/>
    <s v="KOL"/>
    <d v="2024-10-15T00:00:00"/>
    <n v="1603"/>
    <s v="Nashik"/>
    <m/>
    <m/>
    <n v="0"/>
    <m/>
    <m/>
    <m/>
    <s v="Done by NW"/>
    <s v="Done by NW"/>
    <s v="Conv-A DONE"/>
    <s v="Done"/>
    <s v="Done"/>
    <s v="Done"/>
    <s v="Done"/>
    <s v="Both side available"/>
    <s v="Found Ok"/>
    <m/>
    <m/>
    <m/>
    <m/>
    <s v="Done"/>
    <s v="Modified "/>
    <s v="Done"/>
    <s v="24-10-24"/>
    <s v="24-10-24"/>
    <s v="Done"/>
    <s v="Checked"/>
    <m/>
    <m/>
    <s v="18-04-2025"/>
    <m/>
  </r>
  <r>
    <n v="388"/>
    <n v="39400"/>
    <s v="HLC-B"/>
    <s v="STB1S1602HLCD"/>
    <x v="9"/>
    <s v="SER"/>
    <s v="KOL"/>
    <d v="2024-10-15T00:00:00"/>
    <n v="1602"/>
    <s v="Nashik"/>
    <m/>
    <m/>
    <m/>
    <m/>
    <m/>
    <m/>
    <s v="Done by NW"/>
    <s v="Done by NW"/>
    <s v="Conv-B DONE"/>
    <s v="Done"/>
    <s v="Done"/>
    <s v="Done"/>
    <s v="Done"/>
    <s v="Both side available"/>
    <s v="Found Ok"/>
    <m/>
    <m/>
    <m/>
    <m/>
    <s v="Done"/>
    <s v="Modified "/>
    <s v="Done"/>
    <s v="24-10-24"/>
    <s v="24-10-24"/>
    <s v="Done"/>
    <s v="Checked"/>
    <m/>
    <m/>
    <s v="18-04-2025"/>
    <m/>
  </r>
  <r>
    <n v="389"/>
    <n v="30321"/>
    <s v="HLC-A"/>
    <s v="STB2S1657HLCD"/>
    <x v="7"/>
    <s v="ER"/>
    <s v="KOL"/>
    <d v="2025-02-19T00:00:00"/>
    <n v="1657"/>
    <s v="Nashik"/>
    <m/>
    <m/>
    <m/>
    <m/>
    <m/>
    <m/>
    <s v="Done by NW"/>
    <s v="Done by NW"/>
    <s v="Conv-A DONE"/>
    <s v="Done"/>
    <s v="Done"/>
    <s v="Done"/>
    <s v="Done"/>
    <s v="Both side available"/>
    <s v="Found Ok"/>
    <m/>
    <m/>
    <m/>
    <m/>
    <s v="Done"/>
    <s v="Modified "/>
    <s v="Done"/>
    <s v="From NW"/>
    <s v="Done"/>
    <s v="Done"/>
    <s v="Checked"/>
    <m/>
    <m/>
    <s v="26-04-25"/>
    <m/>
  </r>
  <r>
    <n v="390"/>
    <n v="30321"/>
    <s v="HLC-B"/>
    <s v="STB2S1656HLCD"/>
    <x v="7"/>
    <s v="ER"/>
    <s v="KOL"/>
    <d v="2025-02-19T00:00:00"/>
    <n v="1656"/>
    <s v="Nashik"/>
    <m/>
    <m/>
    <m/>
    <m/>
    <m/>
    <m/>
    <s v="Done by NW"/>
    <s v="Done by NW"/>
    <s v="Conv-B DONE"/>
    <s v="Done"/>
    <s v="Done"/>
    <s v="Done"/>
    <s v="Done"/>
    <s v="Both side available"/>
    <s v="Found Ok"/>
    <m/>
    <m/>
    <m/>
    <m/>
    <s v="Done"/>
    <s v="Modified "/>
    <s v="Done"/>
    <s v="From NW"/>
    <s v="Done"/>
    <s v="Done"/>
    <s v="Checked"/>
    <m/>
    <m/>
    <s v="26-04-25"/>
    <m/>
  </r>
  <r>
    <n v="391"/>
    <n v="39436"/>
    <s v="HLC-A"/>
    <s v="STB3S1682HLCD"/>
    <x v="2"/>
    <s v="SECR"/>
    <s v="KOL"/>
    <d v="2025-03-10T00:00:00"/>
    <n v="1682"/>
    <s v="Nashik"/>
    <m/>
    <m/>
    <m/>
    <m/>
    <m/>
    <m/>
    <s v="Done by NW"/>
    <s v="Done by NW"/>
    <s v="Done"/>
    <s v="Done"/>
    <s v="Done"/>
    <s v="Done"/>
    <s v="Done"/>
    <s v="Both side available"/>
    <s v="OK"/>
    <m/>
    <m/>
    <m/>
    <m/>
    <s v="Done"/>
    <s v="Modified "/>
    <s v="From NW"/>
    <d v="2025-03-10T00:00:00"/>
    <d v="2025-03-10T00:00:00"/>
    <s v="Done"/>
    <s v="Done"/>
    <m/>
    <s v="Already done"/>
    <m/>
    <m/>
  </r>
  <r>
    <n v="392"/>
    <n v="39436"/>
    <s v="HLC-B"/>
    <s v="STB3S1683HLCD"/>
    <x v="2"/>
    <s v="SECR"/>
    <s v="KOL"/>
    <d v="2025-03-10T00:00:00"/>
    <n v="1683"/>
    <s v="Nashik"/>
    <m/>
    <m/>
    <m/>
    <m/>
    <m/>
    <m/>
    <s v="Done by NW"/>
    <s v="Done by NW"/>
    <s v="Done"/>
    <s v="Done"/>
    <s v="Done"/>
    <s v="Done"/>
    <s v="Done"/>
    <s v="Both side available"/>
    <s v="OK"/>
    <m/>
    <m/>
    <m/>
    <m/>
    <s v="Done"/>
    <s v="Modified "/>
    <s v="From NW"/>
    <d v="2025-03-10T00:00:00"/>
    <d v="2025-03-10T00:00:00"/>
    <s v="Done"/>
    <s v="Done"/>
    <m/>
    <s v="Already done"/>
    <m/>
    <m/>
  </r>
  <r>
    <n v="393"/>
    <n v="30492"/>
    <s v="HLC-A"/>
    <s v="STB2S1646HLCD"/>
    <x v="7"/>
    <s v="ER"/>
    <s v="KOL"/>
    <d v="2025-04-09T00:00:00"/>
    <n v="1646"/>
    <s v="Nashik"/>
    <m/>
    <m/>
    <m/>
    <m/>
    <m/>
    <m/>
    <s v="Done by NW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4-09T00:00:00"/>
    <d v="2025-04-09T00:00:00"/>
    <s v="Done"/>
    <s v="Checked"/>
    <m/>
    <m/>
    <m/>
    <m/>
  </r>
  <r>
    <n v="394"/>
    <n v="30492"/>
    <s v="HLC-B"/>
    <s v="STB2S1647HLCD"/>
    <x v="7"/>
    <s v="ER"/>
    <s v="KOL"/>
    <d v="2025-04-09T00:00:00"/>
    <n v="1647"/>
    <s v="Nashik"/>
    <m/>
    <m/>
    <m/>
    <m/>
    <m/>
    <m/>
    <s v="Done by NW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4-09T00:00:00"/>
    <d v="2025-04-09T00:00:00"/>
    <s v="Done"/>
    <s v="Checked"/>
    <m/>
    <m/>
    <m/>
    <m/>
  </r>
  <r>
    <n v="395"/>
    <n v="30204"/>
    <s v="HLC-A"/>
    <s v="STB2S1645HLCD"/>
    <x v="7"/>
    <s v="ER"/>
    <s v="KOL"/>
    <d v="2025-05-14T00:00:00"/>
    <n v="1645"/>
    <s v="Nashik"/>
    <m/>
    <m/>
    <m/>
    <m/>
    <m/>
    <m/>
    <s v="Done by NW"/>
    <s v="Done by NW"/>
    <s v="Done"/>
    <s v="Done"/>
    <s v="Done"/>
    <s v="Done"/>
    <s v="Done"/>
    <s v="Both side available"/>
    <s v="Found Ok"/>
    <m/>
    <m/>
    <m/>
    <m/>
    <s v="Done"/>
    <s v="Modified "/>
    <s v="From NW"/>
    <d v="2025-05-16T00:00:00"/>
    <d v="2025-05-16T00:00:00"/>
    <s v="Done"/>
    <s v="Checked"/>
    <m/>
    <m/>
    <m/>
    <m/>
  </r>
  <r>
    <n v="396"/>
    <n v="30204"/>
    <s v="HLC-B"/>
    <s v="STB2S1648HLCD"/>
    <x v="7"/>
    <s v="ER"/>
    <s v="KOL"/>
    <d v="2025-05-14T00:00:00"/>
    <n v="1648"/>
    <s v="Nashik"/>
    <m/>
    <m/>
    <m/>
    <m/>
    <m/>
    <m/>
    <s v="Done by NW"/>
    <s v="Done by NW"/>
    <s v="Done"/>
    <s v="Done"/>
    <s v="Done"/>
    <s v="Done"/>
    <s v="Done"/>
    <s v="Both side available"/>
    <s v="Found Ok"/>
    <m/>
    <m/>
    <m/>
    <m/>
    <s v="Done"/>
    <s v="Modified "/>
    <s v="From NW"/>
    <d v="2025-05-16T00:00:00"/>
    <d v="2025-05-16T00:00:00"/>
    <s v="Done"/>
    <s v="Checked"/>
    <m/>
    <m/>
    <m/>
    <m/>
  </r>
  <r>
    <n v="397"/>
    <n v="39482"/>
    <s v="HLC-A"/>
    <s v="STB3S1688HLCD"/>
    <x v="3"/>
    <s v="ER"/>
    <s v="KOL"/>
    <d v="2025-06-14T00:00:00"/>
    <n v="1688"/>
    <s v="Nashik"/>
    <m/>
    <m/>
    <m/>
    <m/>
    <m/>
    <m/>
    <s v="Done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6-16T00:00:00"/>
    <d v="2025-06-16T00:00:00"/>
    <s v="Done"/>
    <s v="Checked"/>
    <m/>
    <m/>
    <m/>
    <m/>
  </r>
  <r>
    <n v="398"/>
    <n v="39482"/>
    <s v="HLC-B"/>
    <s v="STB3S1689HLCD"/>
    <x v="3"/>
    <s v="ER"/>
    <s v="KOL"/>
    <d v="2025-06-14T00:00:00"/>
    <n v="1689"/>
    <s v="Nashik"/>
    <m/>
    <m/>
    <m/>
    <m/>
    <m/>
    <m/>
    <s v="Done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6-16T00:00:00"/>
    <d v="2025-06-16T00:00:00"/>
    <s v="Done"/>
    <s v="Checked"/>
    <m/>
    <m/>
    <m/>
    <m/>
  </r>
  <r>
    <n v="399"/>
    <n v="39481"/>
    <s v="HLC-A"/>
    <s v="STB4S1699HLCD"/>
    <x v="3"/>
    <s v="ER"/>
    <s v="KOL"/>
    <d v="2025-06-30T00:00:00"/>
    <n v="1699"/>
    <s v="Nashik"/>
    <m/>
    <m/>
    <m/>
    <m/>
    <m/>
    <m/>
    <s v="Done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6-30T00:00:00"/>
    <d v="2025-06-30T00:00:00"/>
    <s v="Done"/>
    <s v="Checked"/>
    <m/>
    <m/>
    <m/>
    <m/>
  </r>
  <r>
    <n v="400"/>
    <n v="39481"/>
    <s v="HLC-B"/>
    <s v="STB4S1698HLCD"/>
    <x v="3"/>
    <s v="ER"/>
    <s v="KOL"/>
    <d v="2025-06-30T00:00:00"/>
    <n v="1698"/>
    <s v="Nashik"/>
    <m/>
    <m/>
    <m/>
    <m/>
    <m/>
    <m/>
    <s v="Done"/>
    <s v="Done by NW"/>
    <s v="Done"/>
    <s v="Done"/>
    <s v="Done"/>
    <s v="Done"/>
    <s v="Done"/>
    <s v="Both side available"/>
    <s v="Found Ok"/>
    <m/>
    <m/>
    <m/>
    <m/>
    <s v="Done"/>
    <s v="Modified "/>
    <s v="Done"/>
    <d v="2025-06-30T00:00:00"/>
    <d v="2025-06-30T00:00:00"/>
    <s v="Done"/>
    <s v="Checked"/>
    <m/>
    <m/>
    <m/>
    <m/>
  </r>
  <r>
    <n v="401"/>
    <n v="30203"/>
    <s v="HLC-A"/>
    <s v="STB2S1654HLCD"/>
    <x v="7"/>
    <s v="ER"/>
    <s v="KOL"/>
    <d v="2025-07-14T00:00:00"/>
    <n v="1654"/>
    <s v="Nashik"/>
    <m/>
    <m/>
    <m/>
    <m/>
    <m/>
    <m/>
    <m/>
    <m/>
    <m/>
    <s v="Done"/>
    <s v="Done"/>
    <s v="Done"/>
    <s v="Done"/>
    <s v="Both side available"/>
    <s v="Found Ok"/>
    <m/>
    <m/>
    <m/>
    <m/>
    <s v="Done"/>
    <s v="Modified "/>
    <s v="Done"/>
    <m/>
    <d v="2025-07-15T00:00:00"/>
    <s v="Done"/>
    <s v="Checked"/>
    <m/>
    <m/>
    <m/>
    <m/>
  </r>
  <r>
    <n v="402"/>
    <n v="30203"/>
    <s v="HLC-B"/>
    <s v="STB2S1655HLCD"/>
    <x v="7"/>
    <s v="ER"/>
    <s v="KOL"/>
    <d v="2025-07-14T00:00:00"/>
    <n v="1655"/>
    <s v="Nashik"/>
    <m/>
    <m/>
    <m/>
    <m/>
    <m/>
    <m/>
    <m/>
    <m/>
    <m/>
    <s v="Done"/>
    <s v="Done"/>
    <s v="Done"/>
    <s v="Done"/>
    <s v="Both side available"/>
    <s v="Found Ok"/>
    <m/>
    <m/>
    <m/>
    <m/>
    <s v="Done"/>
    <s v="Modified "/>
    <s v="Done"/>
    <m/>
    <d v="2025-07-15T00:00:00"/>
    <s v="Done"/>
    <s v="Checked"/>
    <m/>
    <m/>
    <m/>
    <m/>
  </r>
  <r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n v="1"/>
    <n v="30593"/>
    <s v="HLC-A"/>
    <s v="STB5J0094HLCC"/>
    <x v="0"/>
    <s v="CR"/>
    <s v="MUM"/>
    <d v="2017-10-30T00:00:00"/>
    <n v="94"/>
    <s v="Nashik"/>
    <s v="M-U7D2S04V.005,_x000a_MO-U7F2S240.005"/>
    <s v="Done"/>
    <s v="UAT2Y440.012"/>
    <s v="Done"/>
    <d v="2020-08-27T00:00:00"/>
    <d v="2024-07-15T00:00:00"/>
    <s v="Conv-A DONE"/>
    <s v="Conv-A DONE"/>
    <m/>
    <s v="Conv-A DONE"/>
    <m/>
    <s v="Conv-A DONE"/>
    <s v="Conv-A DONE"/>
    <m/>
    <m/>
    <m/>
    <m/>
    <m/>
    <m/>
    <s v="Conv-A DONE"/>
    <d v="2024-07-31T00:00:00"/>
    <d v="2024-06-21T00:00:00"/>
    <d v="2024-07-29T00:00:00"/>
    <d v="2024-07-29T00:00:00"/>
    <d v="2024-08-07T00:00:00"/>
    <s v="Done"/>
    <d v="2024-07-31T00:00:00"/>
    <d v="2024-07-31T00:00:00"/>
    <m/>
    <m/>
  </r>
  <r>
    <n v="2"/>
    <n v="30593"/>
    <s v="HLC-B"/>
    <s v="STB5J0095HLCC"/>
    <x v="0"/>
    <s v="CR"/>
    <s v="MUM"/>
    <d v="2017-10-30T00:00:00"/>
    <n v="95"/>
    <s v="Nashik"/>
    <s v="M-U7D2S04V.005,_x000a_MO-U7F2S240.005"/>
    <s v="Done"/>
    <s v="UAT2Y440.012"/>
    <s v="Done"/>
    <d v="2020-08-27T00:00:00"/>
    <d v="2024-07-15T00:00:00"/>
    <s v="Conv-B DONE"/>
    <s v="Conv-B DONE"/>
    <m/>
    <s v="Conv-B DONE"/>
    <m/>
    <s v="Conv-B DONE"/>
    <s v="Conv-B DONE"/>
    <m/>
    <m/>
    <m/>
    <m/>
    <m/>
    <m/>
    <s v="Conv-B DONE"/>
    <d v="2024-07-31T00:00:00"/>
    <d v="2024-06-21T00:00:00"/>
    <d v="2024-07-29T00:00:00"/>
    <d v="2024-07-29T00:00:00"/>
    <d v="2024-08-07T00:00:00"/>
    <s v="Done"/>
    <d v="2024-07-31T00:00:00"/>
    <d v="2024-07-31T00:00:00"/>
    <m/>
    <m/>
  </r>
  <r>
    <n v="3"/>
    <n v="30616"/>
    <s v="HLC-A"/>
    <s v="STB5J0103HLCD"/>
    <x v="1"/>
    <s v="CR"/>
    <s v="MUM"/>
    <d v="2017-12-11T00:00:00"/>
    <n v="103"/>
    <s v="Nashik"/>
    <s v="M-U7D2S04V.005,_x000a_MO-U7F2S240.005"/>
    <d v="2021-06-12T00:00:00"/>
    <s v="UAT2Y440.012"/>
    <s v="Done"/>
    <d v="2020-08-07T00:00:00"/>
    <m/>
    <s v="Conv-A DONE"/>
    <s v="Conv-A DONE"/>
    <s v="Conv-A DONE"/>
    <s v="DONE"/>
    <m/>
    <s v="Conv-A DONE"/>
    <s v="Conv-A DONE"/>
    <s v="Conv-A DONE"/>
    <m/>
    <m/>
    <m/>
    <s v="EL18E07043-R"/>
    <m/>
    <d v="2022-05-06T00:00:00"/>
    <d v="2024-10-07T00:00:00"/>
    <d v="2023-12-23T00:00:00"/>
    <d v="2024-07-20T00:00:00"/>
    <d v="2024-10-07T00:00:00"/>
    <d v="2023-09-08T00:00:00"/>
    <s v="Done"/>
    <d v="2024-06-27T00:00:00"/>
    <d v="2024-07-16T00:00:00"/>
    <d v="2024-07-16T00:00:00"/>
    <m/>
  </r>
  <r>
    <n v="4"/>
    <n v="30616"/>
    <s v="HLC-B"/>
    <s v="STB6J0111HLCD"/>
    <x v="1"/>
    <s v="CR"/>
    <s v="MUM"/>
    <d v="2017-12-11T00:00:00"/>
    <n v="111"/>
    <s v="Nashik"/>
    <s v="M-U7D2S04V.005,_x000a_MO-U7F2S240.005"/>
    <d v="2021-06-12T00:00:00"/>
    <s v="UAT2Y440.012"/>
    <s v="Done"/>
    <d v="2020-08-07T00:00:00"/>
    <m/>
    <s v="Conv-B DONE"/>
    <s v="Conv-B DONE"/>
    <s v="Conv-B DONE"/>
    <s v="DONE"/>
    <m/>
    <s v="Conv-B DONE"/>
    <s v="Conv-B DONE"/>
    <s v="Conv-B DONE"/>
    <m/>
    <m/>
    <m/>
    <m/>
    <m/>
    <d v="2022-05-06T00:00:00"/>
    <d v="2024-10-07T00:00:00"/>
    <d v="2023-12-23T00:00:00"/>
    <d v="2024-07-20T00:00:00"/>
    <d v="2024-10-07T00:00:00"/>
    <d v="2023-09-08T00:00:00"/>
    <s v="Done"/>
    <d v="2024-06-27T00:00:00"/>
    <d v="2024-07-16T00:00:00"/>
    <d v="2024-07-16T00:00:00"/>
    <m/>
  </r>
  <r>
    <n v="5"/>
    <n v="30619"/>
    <s v="HLC-A"/>
    <s v="STB6J0117HLCD"/>
    <x v="0"/>
    <s v="CR"/>
    <s v="MUM"/>
    <d v="2017-12-09T00:00:00"/>
    <n v="117"/>
    <s v="Nashik"/>
    <s v="M-U7D2S04V.005,_x000a_MO-U7F2S240.005"/>
    <s v="Done"/>
    <s v="UAT2Y440.012"/>
    <d v="2021-07-23T00:00:00"/>
    <d v="2020-06-12T00:00:00"/>
    <m/>
    <s v="Conv-A DONE"/>
    <s v="Conv-A DONE"/>
    <s v="Conv-A DONE"/>
    <s v="DONE"/>
    <s v="Conv-A DONE"/>
    <s v="Conv-A DONE"/>
    <s v="Conv-A DONE"/>
    <m/>
    <m/>
    <m/>
    <m/>
    <m/>
    <m/>
    <d v="2022-05-11T00:00:00"/>
    <d v="2024-08-10T00:00:00"/>
    <m/>
    <d v="2024-08-22T00:00:00"/>
    <d v="2024-08-22T00:00:00"/>
    <d v="2024-08-31T00:00:00"/>
    <s v="Done"/>
    <d v="2024-08-31T00:00:00"/>
    <d v="2024-06-27T00:00:00"/>
    <m/>
    <m/>
  </r>
  <r>
    <n v="6"/>
    <n v="30619"/>
    <s v="HLC-B"/>
    <s v="STB9J0154HLCD"/>
    <x v="0"/>
    <s v="CR"/>
    <s v="MUM"/>
    <d v="2017-12-09T00:00:00"/>
    <n v="154"/>
    <s v="Nashik"/>
    <s v="M-U7D2S04V.005,_x000a_MO-U7F2S240.005"/>
    <s v="Done"/>
    <s v="UAT2Y440.012"/>
    <d v="2021-07-23T00:00:00"/>
    <d v="2020-06-12T00:00:00"/>
    <d v="2023-08-11T00:00:00"/>
    <s v="Conv-B DONE"/>
    <s v="Conv-B DONE"/>
    <s v="Conv-B DONE"/>
    <s v="DONE"/>
    <s v="Conv-B DONE"/>
    <s v="Conv-B DONE"/>
    <s v="Conv-B DONE"/>
    <m/>
    <m/>
    <m/>
    <m/>
    <s v="EL17G01027R"/>
    <m/>
    <d v="2022-05-11T00:00:00"/>
    <d v="2024-08-10T00:00:00"/>
    <m/>
    <d v="2024-08-22T00:00:00"/>
    <d v="2024-08-22T00:00:00"/>
    <d v="2024-08-31T00:00:00"/>
    <s v="Done"/>
    <d v="2024-08-31T00:00:00"/>
    <d v="2024-06-27T00:00:00"/>
    <m/>
    <m/>
  </r>
  <r>
    <n v="7"/>
    <n v="37002"/>
    <s v="HLC-A"/>
    <s v="STB1K0174HLCD"/>
    <x v="2"/>
    <s v="CR"/>
    <s v="MUM"/>
    <d v="2018-05-31T00:00:00"/>
    <n v="174"/>
    <s v="Nashik"/>
    <s v="M-U7D2S04V.005,_x000a_MO-U7F2S240.005"/>
    <d v="2021-05-06T00:00:00"/>
    <s v="UAT2Y440.012"/>
    <d v="2020-12-18T00:00:00"/>
    <d v="2020-08-10T00:00:00"/>
    <d v="2024-08-23T00:00:00"/>
    <m/>
    <s v="Conv-A DONE"/>
    <m/>
    <s v="Conv-A DONE"/>
    <s v="Conv-A DONE"/>
    <s v="Conv-A DONE"/>
    <s v="Conv-A DONE"/>
    <m/>
    <m/>
    <m/>
    <m/>
    <m/>
    <m/>
    <s v="Conv-A DONE"/>
    <d v="2024-07-10T00:00:00"/>
    <d v="2024-04-15T00:00:00"/>
    <d v="2024-06-26T00:00:00"/>
    <d v="2024-08-22T00:00:00"/>
    <d v="2023-09-04T00:00:00"/>
    <s v="Done"/>
    <d v="2024-10-29T00:00:00"/>
    <d v="2024-05-20T00:00:00"/>
    <m/>
    <m/>
  </r>
  <r>
    <n v="8"/>
    <n v="37002"/>
    <s v="HLC-B"/>
    <s v="STB1K0175HLCD"/>
    <x v="2"/>
    <s v="CR"/>
    <s v="MUM"/>
    <d v="2018-05-31T00:00:00"/>
    <n v="175"/>
    <s v="Nashik"/>
    <s v="M-U7D2S04V.005,_x000a_MO-U7F2S240.005"/>
    <d v="2021-05-06T00:00:00"/>
    <s v="UAT2Y440.012"/>
    <d v="2020-12-18T00:00:00"/>
    <d v="2020-08-10T00:00:00"/>
    <d v="2024-08-23T00:00:00"/>
    <s v="Conv-B DONE"/>
    <s v="Conv-B DONE"/>
    <m/>
    <s v="Conv-B DONE"/>
    <s v="Conv-B DONE"/>
    <s v="Conv-B DONE"/>
    <s v="Conv-B DONE"/>
    <m/>
    <m/>
    <m/>
    <m/>
    <m/>
    <m/>
    <s v="Conv-B DONE"/>
    <d v="2024-07-10T00:00:00"/>
    <d v="2024-04-15T00:00:00"/>
    <d v="2024-06-26T00:00:00"/>
    <d v="2024-08-22T00:00:00"/>
    <d v="2023-09-04T00:00:00"/>
    <s v="Done"/>
    <d v="2024-10-29T00:00:00"/>
    <d v="2024-05-20T00:00:00"/>
    <m/>
    <m/>
  </r>
  <r>
    <n v="9"/>
    <n v="37006"/>
    <s v="HLC-A"/>
    <s v="STB2K0184HLCD"/>
    <x v="1"/>
    <s v="CR"/>
    <s v="MUM"/>
    <d v="2018-06-29T00:00:00"/>
    <s v="Conv-A DONE"/>
    <s v="Nashik"/>
    <s v="M-U7D2S04V.005,_x000a_MO-U7F2S240.005"/>
    <d v="2021-08-09T00:00:00"/>
    <s v="UAT2Y440.012"/>
    <d v="2021-01-04T00:00:00"/>
    <d v="2021-01-04T00:00:00"/>
    <d v="2024-11-17T00:00:00"/>
    <s v="Conv-A DONE"/>
    <s v="Conv-A DONE"/>
    <s v="Conv-A DONE"/>
    <s v="Conv-A DONE"/>
    <s v="Conv-A DONE"/>
    <s v="Conv-A DONE"/>
    <s v="Conv-A DONE"/>
    <s v="Conv-A DONE"/>
    <m/>
    <m/>
    <m/>
    <s v="EL18K02027-R"/>
    <m/>
    <s v="Conv-A DONE"/>
    <d v="2024-07-06T00:00:00"/>
    <d v="2024-01-04T00:00:00"/>
    <d v="2024-07-04T00:00:00"/>
    <d v="2024-08-10T00:00:00"/>
    <d v="2023-09-05T00:00:00"/>
    <s v="Done"/>
    <d v="2024-07-08T00:00:00"/>
    <m/>
    <d v="2024-07-06T00:00:00"/>
    <m/>
  </r>
  <r>
    <n v="10"/>
    <n v="37006"/>
    <s v="HLC-B"/>
    <s v="STB2K0185HLCD"/>
    <x v="1"/>
    <s v="CR"/>
    <s v="MUM"/>
    <d v="2018-06-29T00:00:00"/>
    <s v="Conv-B DONE"/>
    <s v="Nashik"/>
    <s v="M-U7D2S04V.005,_x000a_MO-U7F2S240.005"/>
    <d v="2021-08-09T00:00:00"/>
    <s v="UAT2Y440.012"/>
    <d v="2021-01-04T00:00:00"/>
    <d v="2021-01-04T00:00:00"/>
    <d v="2024-11-17T00:00:00"/>
    <s v="Conv-B DONE"/>
    <s v="Conv-B DONE"/>
    <s v="Conv-B DONE"/>
    <s v="Conv-B DONE"/>
    <s v="Conv-B DONE"/>
    <s v="Conv-B DONE"/>
    <s v="Conv-B DONE"/>
    <s v="Conv-B DONE"/>
    <m/>
    <m/>
    <m/>
    <s v="EL19102040"/>
    <m/>
    <s v="Conv-B DONE"/>
    <d v="2024-07-06T00:00:00"/>
    <d v="2024-01-16T00:00:00"/>
    <d v="2024-07-04T00:00:00"/>
    <d v="2024-08-10T00:00:00"/>
    <d v="2023-09-05T00:00:00"/>
    <s v="Done"/>
    <d v="2024-07-08T00:00:00"/>
    <m/>
    <d v="2024-07-06T00:00:00"/>
    <m/>
  </r>
  <r>
    <n v="11"/>
    <n v="37021"/>
    <s v="HLC-A"/>
    <s v="STB1K0176HLCD"/>
    <x v="1"/>
    <s v="CR"/>
    <s v="MUM"/>
    <d v="2018-09-14T00:00:00"/>
    <n v="176"/>
    <s v="Nashik"/>
    <s v="M-U7D2S04V.005,_x000a_MO-U7F2S240.005"/>
    <s v="Done"/>
    <s v="UAT2Y440.012"/>
    <d v="2020-12-10T00:00:00"/>
    <d v="2020-10-13T00:00:00"/>
    <d v="2024-05-17T00:00:00"/>
    <s v="Conv-A DONE"/>
    <s v="Conv-A DONE"/>
    <s v="Conv-A DONE"/>
    <s v="Conv-A DONE"/>
    <s v="Conv-A DONE"/>
    <s v="Conv-A DONE"/>
    <s v="Conv-A DONE"/>
    <s v="Conv-A DONE"/>
    <m/>
    <m/>
    <m/>
    <m/>
    <m/>
    <s v="Conv-A DONE"/>
    <m/>
    <d v="2023-12-27T00:00:00"/>
    <d v="2024-07-03T00:00:00"/>
    <d v="2024-07-03T00:00:00"/>
    <d v="2023-12-13T00:00:00"/>
    <s v="Conv-A DONE"/>
    <d v="2024-07-03T00:00:00"/>
    <d v="2024-02-24T00:00:00"/>
    <d v="2024-09-02T00:00:00"/>
    <m/>
  </r>
  <r>
    <n v="12"/>
    <n v="37021"/>
    <s v="HLC-B"/>
    <s v="STB1K0177HLCD"/>
    <x v="1"/>
    <s v="CR"/>
    <s v="MUM"/>
    <d v="2018-09-14T00:00:00"/>
    <n v="177"/>
    <s v="Nashik"/>
    <s v="M-U7D2S04V.005,_x000a_MO-U7F2S240.005"/>
    <d v="2021-05-15T00:00:00"/>
    <s v="UAT2Y440.012"/>
    <d v="2020-12-10T00:00:00"/>
    <d v="2020-10-13T00:00:00"/>
    <d v="2024-05-17T00:00:00"/>
    <m/>
    <s v="Conv-B DONE"/>
    <s v="Conv-B DONE"/>
    <s v="Conv-B DONE"/>
    <s v="Conv-B DONE"/>
    <s v="Conv-B DONE"/>
    <s v="Conv-B DONE"/>
    <s v="Conv-B DONE"/>
    <m/>
    <m/>
    <m/>
    <m/>
    <m/>
    <s v="Conv-B DONE"/>
    <m/>
    <d v="2023-12-27T00:00:00"/>
    <d v="2024-07-03T00:00:00"/>
    <d v="2024-07-03T00:00:00"/>
    <d v="2023-12-13T00:00:00"/>
    <s v="Conv-B DONE"/>
    <d v="2024-07-03T00:00:00"/>
    <d v="2024-02-24T00:00:00"/>
    <d v="2024-09-02T00:00:00"/>
    <m/>
  </r>
  <r>
    <n v="13"/>
    <n v="37022"/>
    <s v="HLC-A"/>
    <s v="STB1K0170HLCD"/>
    <x v="2"/>
    <s v="CR"/>
    <s v="MUM"/>
    <d v="2018-09-20T00:00:00"/>
    <n v="170"/>
    <s v="Nashik"/>
    <s v="U7D2S04V.005"/>
    <d v="2021-06-28T00:00:00"/>
    <s v="UAT2Y440.012"/>
    <d v="2021-02-09T00:00:00"/>
    <d v="2020-08-20T00:00:00"/>
    <d v="2024-10-10T00:00:00"/>
    <m/>
    <s v="Conv-A DONE"/>
    <m/>
    <s v="Conv-A DONE"/>
    <s v="Conv-A DONE"/>
    <m/>
    <s v="Conv-A DONE"/>
    <m/>
    <m/>
    <m/>
    <m/>
    <s v="EL17J05008-R"/>
    <m/>
    <s v="Conv-A DONE"/>
    <m/>
    <d v="2024-03-22T00:00:00"/>
    <d v="2024-07-30T00:00:00"/>
    <d v="2024-07-30T00:00:00"/>
    <d v="2023-08-05T00:00:00"/>
    <s v="Conv-A DONE"/>
    <m/>
    <d v="2024-03-19T00:00:00"/>
    <d v="2024-10-01T00:00:00"/>
    <m/>
  </r>
  <r>
    <n v="14"/>
    <n v="37022"/>
    <s v="HLC-B"/>
    <s v="STB1K0171HLCD"/>
    <x v="2"/>
    <s v="CR"/>
    <s v="MUM"/>
    <d v="2018-09-20T00:00:00"/>
    <n v="171"/>
    <s v="Nashik"/>
    <s v="U7D2S04V.005"/>
    <d v="2021-06-28T00:00:00"/>
    <s v="UAT2Y440.012"/>
    <d v="2021-02-09T00:00:00"/>
    <d v="2020-08-20T00:00:00"/>
    <d v="2024-10-10T00:00:00"/>
    <m/>
    <s v="Conv-B DONE"/>
    <m/>
    <s v="Conv-B DONE"/>
    <s v="Conv-B DONE"/>
    <m/>
    <s v="Conv-B DONE"/>
    <m/>
    <m/>
    <m/>
    <m/>
    <m/>
    <m/>
    <s v="Conv-B DONE"/>
    <m/>
    <d v="2024-03-22T00:00:00"/>
    <d v="2024-07-30T00:00:00"/>
    <d v="2024-07-30T00:00:00"/>
    <d v="2023-08-05T00:00:00"/>
    <s v="Conv-B DONE"/>
    <m/>
    <d v="2024-03-19T00:00:00"/>
    <d v="2024-10-01T00:00:00"/>
    <m/>
  </r>
  <r>
    <n v="15"/>
    <n v="37027"/>
    <s v="HLC-A"/>
    <s v="STB2K0182HLCD"/>
    <x v="2"/>
    <s v="CR"/>
    <s v="MUM"/>
    <d v="2018-09-26T00:00:00"/>
    <n v="182"/>
    <s v="Nashik"/>
    <s v="M-U7D2S04V.005,_x000a_MO-U7F2S240.005"/>
    <s v="Done"/>
    <s v="UAT2Y440.012"/>
    <d v="2020-12-21T00:00:00"/>
    <d v="2020-08-13T00:00:00"/>
    <m/>
    <s v="Conv-A DONE"/>
    <s v="Conv-A DONE"/>
    <s v="Conv-A DONE"/>
    <s v="Conv-A DONE"/>
    <s v="Conv-A DONE"/>
    <s v="Conv-A DONE"/>
    <s v="Conv-A DONE"/>
    <s v="Conv-A DONE"/>
    <m/>
    <m/>
    <m/>
    <s v="EL18B07010-R"/>
    <m/>
    <s v="Conv-A DONE"/>
    <m/>
    <d v="2024-02-06T00:00:00"/>
    <d v="2024-06-30T00:00:00"/>
    <d v="2024-06-30T00:00:00"/>
    <d v="2023-08-03T00:00:00"/>
    <s v="Conv-A DONE"/>
    <d v="2024-11-15T00:00:00"/>
    <m/>
    <d v="2024-10-03T00:00:00"/>
    <m/>
  </r>
  <r>
    <n v="16"/>
    <n v="37027"/>
    <s v="HLC-B"/>
    <s v="STB2K0192HLCD"/>
    <x v="2"/>
    <s v="CR"/>
    <s v="MUM"/>
    <d v="2018-09-26T00:00:00"/>
    <n v="192"/>
    <s v="Nashik"/>
    <s v="M-U7D2S04V.005,_x000a_MO-U7F2S240.005"/>
    <d v="2021-05-18T00:00:00"/>
    <s v="UAT2Y440.012"/>
    <d v="2020-12-21T00:00:00"/>
    <d v="2020-08-13T00:00:00"/>
    <m/>
    <s v="Conv-B DONE"/>
    <s v="Conv-B DONE"/>
    <s v="Conv-B DONE"/>
    <s v="Conv-B DONE"/>
    <s v="Conv-B DONE"/>
    <s v="Conv-B DONE"/>
    <s v="Conv-B DONE"/>
    <s v="Conv-B DONE"/>
    <m/>
    <m/>
    <m/>
    <d v="2021-09-01T00:00:00"/>
    <m/>
    <s v="Conv-B DONE"/>
    <m/>
    <d v="2024-02-06T00:00:00"/>
    <d v="2024-06-30T00:00:00"/>
    <d v="2024-06-30T00:00:00"/>
    <d v="2023-08-03T00:00:00"/>
    <s v="Conv-B DONE"/>
    <d v="2024-11-15T00:00:00"/>
    <m/>
    <d v="2024-10-03T00:00:00"/>
    <m/>
  </r>
  <r>
    <n v="17"/>
    <n v="37028"/>
    <s v="HLC-A"/>
    <s v="STB2K0187HLCD"/>
    <x v="1"/>
    <s v="CR"/>
    <s v="MUM"/>
    <d v="2018-09-26T00:00:00"/>
    <n v="187"/>
    <s v="Nashik"/>
    <s v="M-U7D2S04V.005,_x000a_MO-U7F2S240.005"/>
    <s v="Done"/>
    <s v="UAT2Y440.012"/>
    <d v="2021-01-10T00:00:00"/>
    <d v="2021-01-10T00:00:00"/>
    <d v="2024-06-10T00:00:00"/>
    <s v="Conv-A DONE"/>
    <s v="Conv-A DONE"/>
    <s v="Conv-A DONE"/>
    <s v="Conv-A DONE"/>
    <s v="Conv-A DONE"/>
    <s v="Conv-A DONE"/>
    <s v="Conv-A DONE"/>
    <m/>
    <m/>
    <m/>
    <m/>
    <m/>
    <m/>
    <s v="Conv-A DONE"/>
    <m/>
    <d v="2024-01-15T00:00:00"/>
    <d v="2024-07-26T00:00:00"/>
    <d v="2024-07-10T00:00:00"/>
    <d v="2024-07-26T00:00:00"/>
    <s v="Done"/>
    <d v="2024-07-26T00:00:00"/>
    <d v="2024-03-25T00:00:00"/>
    <d v="2024-07-24T00:00:00"/>
    <m/>
  </r>
  <r>
    <n v="18"/>
    <n v="37028"/>
    <s v="HLC-B"/>
    <s v="STB2K0188HLCD"/>
    <x v="1"/>
    <s v="CR"/>
    <s v="MUM"/>
    <d v="2018-09-26T00:00:00"/>
    <n v="188"/>
    <s v="Nashik"/>
    <s v="M-U7D2S04V.005,_x000a_MO-U7F2S240.005"/>
    <s v="Done"/>
    <s v="UAT2Y440.012"/>
    <d v="2021-01-10T00:00:00"/>
    <d v="2021-01-10T00:00:00"/>
    <m/>
    <s v="Conv-B DONE"/>
    <s v="Conv-B DONE"/>
    <s v="Conv-B DONE"/>
    <s v="Conv-B DONE"/>
    <s v="Conv-B DONE"/>
    <s v="Conv-B DONE"/>
    <s v="Conv-B DONE"/>
    <m/>
    <m/>
    <m/>
    <m/>
    <m/>
    <m/>
    <s v="Conv-B DONE"/>
    <m/>
    <d v="2024-01-15T00:00:00"/>
    <d v="2024-07-26T00:00:00"/>
    <d v="2024-07-10T00:00:00"/>
    <d v="2024-07-26T00:00:00"/>
    <s v="Done"/>
    <d v="2024-07-26T00:00:00"/>
    <d v="2024-03-25T00:00:00"/>
    <d v="2024-07-24T00:00:00"/>
    <m/>
  </r>
  <r>
    <n v="19"/>
    <n v="37166"/>
    <s v="HLC-A"/>
    <s v="STB2L0445HLCD"/>
    <x v="2"/>
    <s v="CR"/>
    <s v="MUM"/>
    <d v="2019-05-09T00:00:00"/>
    <n v="445"/>
    <s v="Nashik"/>
    <s v="M-U7D2S04V.005,_x000a_MO-U7F2S240.005"/>
    <d v="2021-08-10T00:00:00"/>
    <s v="UAT2Y440.012"/>
    <d v="2021-01-18T00:00:00"/>
    <d v="2021-01-09T00:00:00"/>
    <m/>
    <s v="Conv-A DONE"/>
    <s v="Conv-A DONE"/>
    <s v="Conv-A DONE"/>
    <s v="Conv-A DONE"/>
    <s v="Conv-A DONE"/>
    <m/>
    <s v="Conv-A DONE"/>
    <s v="Conv-A DONE"/>
    <m/>
    <m/>
    <m/>
    <m/>
    <m/>
    <s v="Conv-A DONE"/>
    <m/>
    <d v="2024-02-01T00:00:00"/>
    <d v="2024-07-10T00:00:00"/>
    <d v="2024-07-10T00:00:00"/>
    <d v="2024-07-20T00:00:00"/>
    <s v="Conv-A DONE"/>
    <m/>
    <m/>
    <d v="2024-08-10T00:00:00"/>
    <m/>
  </r>
  <r>
    <n v="20"/>
    <n v="37166"/>
    <s v="HLC-B"/>
    <s v="STB2L0444HLCD"/>
    <x v="2"/>
    <s v="CR"/>
    <s v="MUM"/>
    <d v="2019-05-09T00:00:00"/>
    <n v="444"/>
    <s v="Nashik"/>
    <s v="M-U7D2S04V.005,_x000a_MO-U7F2S240.005"/>
    <d v="2021-08-10T00:00:00"/>
    <s v="UAT2Y440.012"/>
    <d v="2021-01-18T00:00:00"/>
    <d v="2021-01-09T00:00:00"/>
    <m/>
    <s v="Conv-B DONE"/>
    <s v="Conv-B DONE"/>
    <s v="Conv-B DONE"/>
    <s v="Conv-B DONE"/>
    <m/>
    <m/>
    <s v="Conv-B DONE"/>
    <s v="Conv-B DONE"/>
    <m/>
    <m/>
    <m/>
    <m/>
    <m/>
    <s v="Conv-B DONE"/>
    <m/>
    <d v="2024-02-01T00:00:00"/>
    <d v="2024-07-10T00:00:00"/>
    <d v="2024-07-10T00:00:00"/>
    <d v="2024-07-20T00:00:00"/>
    <s v="Conv-B DONE"/>
    <d v="2025-06-26T00:00:00"/>
    <m/>
    <d v="2024-08-10T00:00:00"/>
    <m/>
  </r>
  <r>
    <n v="21"/>
    <n v="37167"/>
    <s v="HLC-A"/>
    <s v="STB2L0437HLCD"/>
    <x v="2"/>
    <s v="CR"/>
    <s v="MUM"/>
    <d v="2019-05-11T00:00:00"/>
    <n v="437"/>
    <s v="Nashik"/>
    <s v="M-U7D2S04V.005,_x000a_MO-U7F2S240.005"/>
    <d v="2021-05-18T00:00:00"/>
    <s v="UAT2Y440.012"/>
    <d v="2020-12-10T00:00:00"/>
    <d v="2021-01-18T00:00:00"/>
    <d v="2024-10-19T00:00:00"/>
    <s v="Conv-A DONE"/>
    <s v="Conv-A DONE"/>
    <s v="Conv-A DONE"/>
    <s v="Conv-A DONE"/>
    <s v="Conv-A DONE"/>
    <m/>
    <s v="Conv-A DONE"/>
    <m/>
    <m/>
    <m/>
    <m/>
    <s v=" EL19H01028-R"/>
    <m/>
    <s v="Conv-A DONE"/>
    <m/>
    <d v="2024-04-03T00:00:00"/>
    <d v="2024-09-21T00:00:00"/>
    <d v="2024-09-21T00:00:00"/>
    <d v="2024-10-08T00:00:00"/>
    <s v="Conv-A DONE"/>
    <m/>
    <m/>
    <m/>
    <m/>
  </r>
  <r>
    <n v="22"/>
    <n v="37167"/>
    <s v="HLC-B"/>
    <s v="STB2L0449HLCD"/>
    <x v="2"/>
    <s v="CR"/>
    <s v="MUM"/>
    <d v="2019-05-11T00:00:00"/>
    <n v="449"/>
    <s v="Nashik"/>
    <s v="M-U7D2S04V.005,_x000a_MO-U7F2S240.005"/>
    <d v="2021-05-18T00:00:00"/>
    <s v="UAT2Y440.012"/>
    <d v="2020-12-10T00:00:00"/>
    <d v="2021-01-18T00:00:00"/>
    <d v="2024-10-19T00:00:00"/>
    <s v="Conv-B DONE"/>
    <s v="Conv-B DONE"/>
    <s v="Conv-B DONE"/>
    <s v="Conv-B DONE"/>
    <s v="Conv-B DONE"/>
    <m/>
    <s v="Conv-B DONE"/>
    <m/>
    <m/>
    <m/>
    <m/>
    <m/>
    <m/>
    <s v="Conv-B DONE"/>
    <m/>
    <d v="2024-04-03T00:00:00"/>
    <d v="2024-09-21T00:00:00"/>
    <d v="2024-09-21T00:00:00"/>
    <d v="2024-10-08T00:00:00"/>
    <s v="Conv-B DONE"/>
    <m/>
    <m/>
    <m/>
    <m/>
  </r>
  <r>
    <n v="23"/>
    <n v="37194"/>
    <s v="HLC-A"/>
    <s v="STB4L0463HLCD"/>
    <x v="0"/>
    <s v="CR"/>
    <s v="MUM"/>
    <d v="2019-06-18T00:00:00"/>
    <n v="463"/>
    <s v="Nashik"/>
    <s v="M-U7D2S04V.005,_x000a_MO-U7F2S240.005"/>
    <d v="2020-12-29T00:00:00"/>
    <s v="UAT2Y440.012"/>
    <d v="2020-12-29T00:00:00"/>
    <d v="2021-01-22T00:00:00"/>
    <d v="2023-08-11T00:00:00"/>
    <m/>
    <s v="Conv-A DONE"/>
    <m/>
    <s v="Conv-A DONE"/>
    <s v="Conv-A DONE"/>
    <s v="Conv-A DONE"/>
    <s v="Conv-A DONE"/>
    <m/>
    <m/>
    <m/>
    <m/>
    <m/>
    <m/>
    <s v="Conv-A DONE"/>
    <d v="2024-08-10T00:00:00"/>
    <d v="2024-01-30T00:00:00"/>
    <d v="2024-08-22T00:00:00"/>
    <d v="2024-06-25T00:00:00"/>
    <d v="2024-01-30T00:00:00"/>
    <s v="Done"/>
    <d v="2024-08-22T00:00:00"/>
    <d v="2024-08-24T00:00:00"/>
    <d v="2024-08-24T00:00:00"/>
    <m/>
  </r>
  <r>
    <n v="24"/>
    <n v="37194"/>
    <s v="HLC-B"/>
    <s v="STB4L0462HLCD"/>
    <x v="0"/>
    <s v="CR"/>
    <s v="MUM"/>
    <d v="2019-06-18T00:00:00"/>
    <n v="462"/>
    <s v="Nashik"/>
    <s v="M-U7D2S04V.005,_x000a_MO-U7F2S240.005"/>
    <d v="2020-12-29T00:00:00"/>
    <s v="UAT2Y440.012"/>
    <d v="2020-12-29T00:00:00"/>
    <d v="2021-01-22T00:00:00"/>
    <m/>
    <m/>
    <s v="Conv-B DONE"/>
    <m/>
    <s v="Conv-B DONE"/>
    <s v="Conv-B DONE"/>
    <s v="Conv-B DONE"/>
    <s v="Conv-B DONE"/>
    <m/>
    <m/>
    <m/>
    <m/>
    <m/>
    <m/>
    <s v="Conv-B DONE"/>
    <d v="2024-02-01T00:00:00"/>
    <d v="2024-01-30T00:00:00"/>
    <d v="2024-08-22T00:00:00"/>
    <d v="2024-06-25T00:00:00"/>
    <d v="2024-01-30T00:00:00"/>
    <s v="Done"/>
    <d v="2024-08-22T00:00:00"/>
    <d v="2024-08-24T00:00:00"/>
    <d v="2024-08-24T00:00:00"/>
    <m/>
  </r>
  <r>
    <n v="25"/>
    <n v="37288"/>
    <s v="HLC-A"/>
    <s v="STB6L0548HLCD"/>
    <x v="2"/>
    <s v="CR"/>
    <s v="MUM"/>
    <d v="2019-11-28T00:00:00"/>
    <n v="548"/>
    <s v="Nashik"/>
    <s v="M-U7D2S04V.005,_x000a_MO-U7F2S240.005"/>
    <s v="Done"/>
    <s v="UAT2Y440.012"/>
    <d v="2020-12-18T00:00:00"/>
    <d v="2020-12-18T00:00:00"/>
    <m/>
    <s v="Done by NW"/>
    <s v="Conv-A DONE"/>
    <s v="Conv-A DONE"/>
    <s v="Conv-A DONE"/>
    <m/>
    <m/>
    <s v="Conv-A DONE"/>
    <m/>
    <m/>
    <m/>
    <m/>
    <m/>
    <m/>
    <d v="2022-05-07T00:00:00"/>
    <m/>
    <d v="2024-03-01T00:00:00"/>
    <d v="2024-06-25T00:00:00"/>
    <d v="2024-07-01T00:00:00"/>
    <d v="2024-03-01T00:00:00"/>
    <s v="Conv-A DONE"/>
    <m/>
    <d v="2024-03-01T00:00:00"/>
    <d v="2024-09-05T00:00:00"/>
    <m/>
  </r>
  <r>
    <n v="26"/>
    <n v="37288"/>
    <s v="HLC-B"/>
    <s v="STB7L0649HLCD"/>
    <x v="2"/>
    <s v="CR"/>
    <s v="MUM"/>
    <d v="2019-11-28T00:00:00"/>
    <n v="649"/>
    <s v="Nashik"/>
    <s v="M-U7D2S04V.005,_x000a_MO-U7F2S240.005"/>
    <s v="Done"/>
    <s v="UAT2Y440.012"/>
    <d v="2020-12-18T00:00:00"/>
    <d v="2020-12-18T00:00:00"/>
    <m/>
    <s v="Done by NW"/>
    <s v="Done by NW"/>
    <s v="Conv-B DONE"/>
    <s v="Conv-B DONE"/>
    <m/>
    <m/>
    <s v="Conv-B DONE"/>
    <m/>
    <m/>
    <m/>
    <m/>
    <m/>
    <m/>
    <d v="2022-05-07T00:00:00"/>
    <m/>
    <d v="2024-03-01T00:00:00"/>
    <d v="2024-06-25T00:00:00"/>
    <d v="2024-07-01T00:00:00"/>
    <d v="2024-03-01T00:00:00"/>
    <s v="Conv-B DONE"/>
    <m/>
    <d v="2024-03-01T00:00:00"/>
    <d v="2024-09-05T00:00:00"/>
    <m/>
  </r>
  <r>
    <n v="27"/>
    <n v="37289"/>
    <s v="HLC-A"/>
    <s v="STB6L0549HLCD"/>
    <x v="2"/>
    <s v="CR"/>
    <s v="MUM"/>
    <d v="2019-11-29T00:00:00"/>
    <n v="549"/>
    <s v="Nashik"/>
    <s v="M-U7D2S04V.005,_x000a_MO-U7F2S240.005"/>
    <s v="Done"/>
    <s v="UAT2Y440.012"/>
    <s v="Done"/>
    <d v="2020-08-12T00:00:00"/>
    <m/>
    <s v="Done by NW"/>
    <s v="Conv-A DONE"/>
    <m/>
    <s v="Conv-A DONE"/>
    <s v="Conv-A DONE"/>
    <m/>
    <s v="Conv-A DONE"/>
    <m/>
    <m/>
    <m/>
    <m/>
    <m/>
    <m/>
    <s v="Conv-A DONE"/>
    <m/>
    <d v="2024-04-20T00:00:00"/>
    <d v="2024-07-01T00:00:00"/>
    <d v="2024-07-01T00:00:00"/>
    <d v="2024-07-21T00:00:00"/>
    <s v="Conv-B DONE"/>
    <m/>
    <d v="2024-07-02T00:00:00"/>
    <m/>
    <m/>
  </r>
  <r>
    <n v="28"/>
    <n v="37289"/>
    <s v="HLC-B"/>
    <s v="STB7L0648HLCD"/>
    <x v="2"/>
    <s v="CR"/>
    <s v="MUM"/>
    <d v="2019-11-29T00:00:00"/>
    <n v="648"/>
    <s v="Nashik"/>
    <s v="M-U7D2S04V.005,_x000a_MO-U7F2S240.005"/>
    <s v="Done"/>
    <s v="UAT2Y440.012"/>
    <s v="Done"/>
    <d v="2020-08-12T00:00:00"/>
    <m/>
    <s v="Done by NW"/>
    <s v="Done by NW"/>
    <m/>
    <s v="Conv-B DONE"/>
    <s v="Conv-B DONE"/>
    <m/>
    <s v="Conv-B DONE"/>
    <m/>
    <m/>
    <m/>
    <m/>
    <m/>
    <m/>
    <s v="Conv-B DONE"/>
    <m/>
    <d v="2024-04-20T00:00:00"/>
    <d v="2024-07-01T00:00:00"/>
    <d v="2024-07-01T00:00:00"/>
    <d v="2024-07-21T00:00:00"/>
    <s v="Done"/>
    <m/>
    <d v="2024-07-02T00:00:00"/>
    <m/>
    <m/>
  </r>
  <r>
    <n v="29"/>
    <n v="37343"/>
    <s v="HLC-A"/>
    <s v="STBNL0708HLCD"/>
    <x v="2"/>
    <s v="CR"/>
    <s v="MUM"/>
    <d v="2020-02-29T00:00:00"/>
    <n v="708"/>
    <s v="Nashik"/>
    <s v="M-U7D2S04V.005,_x000a_MO-U7F2S240.005"/>
    <s v="Done"/>
    <s v="UAT2Y440.012"/>
    <d v="2020-12-11T00:00:00"/>
    <d v="2020-12-12T00:00:00"/>
    <m/>
    <s v="Done by NW"/>
    <s v="Done by NW"/>
    <s v="Conv-A DONE"/>
    <s v="Conv-A DONE"/>
    <s v="Conv-A DONE"/>
    <s v="Conv-A DONE"/>
    <s v="Conv-A DONE"/>
    <m/>
    <m/>
    <m/>
    <m/>
    <m/>
    <m/>
    <s v="Conv-A DONE"/>
    <m/>
    <d v="2024-02-26T00:00:00"/>
    <d v="2024-06-25T00:00:00"/>
    <d v="2024-06-25T00:00:00"/>
    <d v="2024-10-16T00:00:00"/>
    <s v="Conv-A DONE"/>
    <d v="2024-07-02T00:00:00"/>
    <d v="2024-02-26T00:00:00"/>
    <d v="2024-08-25T00:00:00"/>
    <m/>
  </r>
  <r>
    <n v="30"/>
    <n v="37343"/>
    <s v="HLC-B"/>
    <s v="STBNL0707HLCD"/>
    <x v="2"/>
    <s v="CR"/>
    <s v="MUM"/>
    <d v="2020-02-29T00:00:00"/>
    <n v="707"/>
    <s v="Nashik"/>
    <s v="M-U7D2S04V.005,_x000a_MO-U7F2S240.005"/>
    <s v="Done"/>
    <s v="UAT2Y440.012"/>
    <d v="2020-12-11T00:00:00"/>
    <d v="2020-12-12T00:00:00"/>
    <m/>
    <s v="Done by NW"/>
    <s v="Done by NW"/>
    <s v="Conv-B DONE"/>
    <s v="Conv-B DONE"/>
    <s v="Conv-B DONE"/>
    <s v="Conv-B DONE"/>
    <s v="Conv-B DONE"/>
    <m/>
    <m/>
    <m/>
    <m/>
    <s v="EL19K01162-R"/>
    <m/>
    <s v="Conv-B DONE"/>
    <m/>
    <d v="2024-02-26T00:00:00"/>
    <d v="2024-06-25T00:00:00"/>
    <d v="2024-06-25T00:00:00"/>
    <d v="2024-10-16T00:00:00"/>
    <s v="Conv-B DONE"/>
    <d v="2024-07-02T00:00:00"/>
    <d v="2024-02-26T00:00:00"/>
    <d v="2024-08-25T00:00:00"/>
    <m/>
  </r>
  <r>
    <n v="31"/>
    <n v="37345"/>
    <s v="HLC-A"/>
    <s v="STBNL0686HLCD"/>
    <x v="2"/>
    <s v="CR"/>
    <s v="MUM"/>
    <d v="2020-03-05T00:00:00"/>
    <n v="686"/>
    <s v="Nashik"/>
    <s v="M-U7D2S04V.005,_x000a_MO-U7F2S240.005"/>
    <d v="2021-05-29T00:00:00"/>
    <s v="UAT2Y440.012"/>
    <d v="2020-12-17T00:00:00"/>
    <m/>
    <m/>
    <s v="Done by NW"/>
    <s v="Done by NW"/>
    <s v="Conv-A DONE"/>
    <s v="Conv-A DONE"/>
    <m/>
    <s v="Conv-A DONE"/>
    <s v="Conv-A DONE"/>
    <m/>
    <m/>
    <m/>
    <m/>
    <s v="EL18E11011-R"/>
    <m/>
    <s v="Conv-A DONE"/>
    <m/>
    <d v="2024-05-12T00:00:00"/>
    <d v="2024-07-01T00:00:00"/>
    <d v="2024-07-01T00:00:00"/>
    <d v="2024-12-10T00:00:00"/>
    <s v="Done"/>
    <d v="2024-12-10T00:00:00"/>
    <m/>
    <d v="2024-08-18T00:00:00"/>
    <m/>
  </r>
  <r>
    <n v="32"/>
    <n v="37345"/>
    <s v="HLC-B"/>
    <s v="STB6L0563HLCD"/>
    <x v="2"/>
    <s v="CR"/>
    <s v="MUM"/>
    <d v="2020-03-05T00:00:00"/>
    <n v="563"/>
    <s v="Nashik"/>
    <s v="M-U7D2S04V.005,_x000a_MO-U7F2S240.005"/>
    <d v="2021-05-29T00:00:00"/>
    <s v="UAT2Y440.012"/>
    <d v="2020-12-17T00:00:00"/>
    <m/>
    <m/>
    <s v="Done by NW"/>
    <s v="Done by NW"/>
    <s v="Conv-B DONE"/>
    <s v="Conv-B DONE"/>
    <m/>
    <s v="Conv-B DONE"/>
    <s v="Conv-B DONE"/>
    <m/>
    <m/>
    <m/>
    <m/>
    <m/>
    <m/>
    <s v="Conv-B DONE"/>
    <m/>
    <d v="2024-05-12T00:00:00"/>
    <d v="2024-07-01T00:00:00"/>
    <d v="2024-07-01T00:00:00"/>
    <d v="2024-12-10T00:00:00"/>
    <s v="Done"/>
    <d v="2024-12-10T00:00:00"/>
    <m/>
    <d v="2024-08-18T00:00:00"/>
    <m/>
  </r>
  <r>
    <n v="33"/>
    <n v="37347"/>
    <s v="HLC-A"/>
    <s v="STB6L0556HLCD"/>
    <x v="2"/>
    <s v="CR"/>
    <s v="MUM"/>
    <d v="2020-03-07T00:00:00"/>
    <n v="556"/>
    <s v="Nashik"/>
    <s v="M-U7D2S04V.005,_x000a_MO-U7F2S240.005"/>
    <d v="2021-08-07T00:00:00"/>
    <s v="UAT2Y440.012"/>
    <d v="2020-12-08T00:00:00"/>
    <d v="2020-08-12T00:00:00"/>
    <m/>
    <s v="Done by NW"/>
    <s v="Done by NW"/>
    <s v="Conv-A DONE"/>
    <s v="Conv-A DONE"/>
    <m/>
    <s v="Conv-A DONE"/>
    <s v="Conv-A DONE"/>
    <m/>
    <m/>
    <m/>
    <m/>
    <m/>
    <m/>
    <d v="2022-05-10T00:00:00"/>
    <m/>
    <d v="2024-02-28T00:00:00"/>
    <d v="2024-07-15T00:00:00"/>
    <d v="2024-07-15T00:00:00"/>
    <d v="2023-12-12T00:00:00"/>
    <s v="Done"/>
    <m/>
    <d v="2024-02-28T00:00:00"/>
    <m/>
    <m/>
  </r>
  <r>
    <n v="34"/>
    <n v="37347"/>
    <s v="HLC-B"/>
    <s v="STBNL0687HLCD"/>
    <x v="2"/>
    <s v="CR"/>
    <s v="MUM"/>
    <d v="2020-03-07T00:00:00"/>
    <n v="687"/>
    <s v="Nashik"/>
    <s v="M-U7D2S04V.005,_x000a_MO-U7F2S240.005"/>
    <d v="2021-08-02T00:00:00"/>
    <s v="UAT2Y440.012"/>
    <d v="2020-12-08T00:00:00"/>
    <d v="2020-08-12T00:00:00"/>
    <m/>
    <s v="Done by NW"/>
    <s v="Done by NW"/>
    <s v="Conv-B DONE"/>
    <s v="Conv-B DONE"/>
    <m/>
    <s v="Conv-B DONE"/>
    <s v="Conv-B DONE"/>
    <m/>
    <m/>
    <m/>
    <m/>
    <s v="EL19C01020R"/>
    <m/>
    <d v="2022-05-10T00:00:00"/>
    <m/>
    <d v="2024-02-28T00:00:00"/>
    <d v="2024-07-15T00:00:00"/>
    <d v="2024-07-15T00:00:00"/>
    <d v="2023-12-12T00:00:00"/>
    <s v="Done"/>
    <m/>
    <d v="2024-02-28T00:00:00"/>
    <m/>
    <m/>
  </r>
  <r>
    <n v="35"/>
    <n v="37410"/>
    <s v="HLC-A"/>
    <s v="STB6M0854HLCD"/>
    <x v="2"/>
    <s v="CR"/>
    <s v="MUM"/>
    <d v="2020-07-29T00:00:00"/>
    <n v="854"/>
    <s v="Nashik"/>
    <s v="M-U7D2S04V.005,_x000a_MO-U7F2S240.005"/>
    <d v="2020-12-31T00:00:00"/>
    <s v="UAT2Y440.012"/>
    <d v="2020-12-31T00:00:00"/>
    <m/>
    <m/>
    <s v="Done by NW"/>
    <s v="Done by NW"/>
    <s v="Conv-A DONE"/>
    <s v="Conv-A DONE"/>
    <s v="Conv-A DONE"/>
    <s v="Conv-A DONE"/>
    <m/>
    <s v="Done by NW"/>
    <m/>
    <m/>
    <m/>
    <m/>
    <m/>
    <d v="2022-04-30T00:00:00"/>
    <m/>
    <d v="2024-04-18T00:00:00"/>
    <d v="2024-07-20T00:00:00"/>
    <d v="2024-07-20T00:00:00"/>
    <d v="2024-07-25T00:00:00"/>
    <s v="Done"/>
    <m/>
    <m/>
    <m/>
    <m/>
  </r>
  <r>
    <n v="36"/>
    <n v="37410"/>
    <s v="HLC-B"/>
    <s v="STBNL0720HLCD"/>
    <x v="2"/>
    <s v="CR"/>
    <s v="MUM"/>
    <d v="2020-07-29T00:00:00"/>
    <n v="720"/>
    <s v="Nashik"/>
    <s v="M-U7D2S04V.005,_x000a_MO-U7F2S240.005"/>
    <d v="2020-12-31T00:00:00"/>
    <s v="UAT2Y440.012"/>
    <d v="2020-12-31T00:00:00"/>
    <m/>
    <m/>
    <s v="Done by NW"/>
    <s v="Done by NW"/>
    <s v="Conv-B DONE"/>
    <s v="Conv-B DONE"/>
    <s v="Conv-B DONE"/>
    <s v="Conv-B DONE"/>
    <m/>
    <m/>
    <m/>
    <m/>
    <m/>
    <m/>
    <m/>
    <d v="2022-04-30T00:00:00"/>
    <m/>
    <d v="2024-04-18T00:00:00"/>
    <d v="2024-07-20T00:00:00"/>
    <d v="2024-07-20T00:00:00"/>
    <d v="2024-07-25T00:00:00"/>
    <s v="Done"/>
    <m/>
    <m/>
    <m/>
    <m/>
  </r>
  <r>
    <n v="37"/>
    <n v="37412"/>
    <s v="HLC-A"/>
    <s v="STB5M0816HLCD"/>
    <x v="0"/>
    <s v="CR"/>
    <s v="MUM"/>
    <d v="2020-08-19T00:00:00"/>
    <n v="816"/>
    <s v="Nashik"/>
    <s v="M-U7D2S04V.005,_x000a_MO-U7F2S240.005"/>
    <d v="2020-10-21T00:00:00"/>
    <s v="U812Y440.010"/>
    <m/>
    <m/>
    <m/>
    <s v="Done by NW"/>
    <s v="Done by NW"/>
    <s v="Conv-A DONE"/>
    <s v="Conv-A DONE"/>
    <s v="Conv-A DONE"/>
    <m/>
    <s v="Conv-A DONE"/>
    <s v="Done by NW"/>
    <m/>
    <m/>
    <m/>
    <m/>
    <m/>
    <s v="Conv-A DONE"/>
    <d v="2024-08-09T00:00:00"/>
    <d v="2024-01-02T00:00:00"/>
    <d v="2024-08-10T00:00:00"/>
    <d v="2024-08-10T00:00:00"/>
    <d v="2024-12-02T00:00:00"/>
    <s v="Done"/>
    <d v="2024-08-09T00:00:00"/>
    <d v="2024-08-09T00:00:00"/>
    <m/>
    <m/>
  </r>
  <r>
    <n v="38"/>
    <n v="37412"/>
    <s v="HLC-B"/>
    <s v="STB5M0817HLCD"/>
    <x v="0"/>
    <s v="CR"/>
    <s v="MUM"/>
    <d v="2020-08-19T00:00:00"/>
    <n v="817"/>
    <s v="Nashik"/>
    <s v="M-U7D2S04V.005,_x000a_MO-U7F2S240.005"/>
    <d v="2020-10-21T00:00:00"/>
    <s v="U812Y440.010"/>
    <m/>
    <m/>
    <m/>
    <s v="Done by NW"/>
    <s v="Done by NW"/>
    <s v="Conv-B DONE"/>
    <s v="Conv-B DONE"/>
    <s v="Conv-B DONE"/>
    <m/>
    <s v="Conv-B DONE"/>
    <s v="Done by NW"/>
    <m/>
    <m/>
    <m/>
    <m/>
    <m/>
    <s v="Conv-B DONE"/>
    <d v="2024-08-09T00:00:00"/>
    <d v="2024-01-02T00:00:00"/>
    <d v="2024-08-10T00:00:00"/>
    <d v="2024-08-10T00:00:00"/>
    <d v="2024-12-02T00:00:00"/>
    <s v="Done"/>
    <d v="2024-08-09T00:00:00"/>
    <d v="2024-08-09T00:00:00"/>
    <m/>
    <m/>
  </r>
  <r>
    <n v="39"/>
    <n v="37414"/>
    <s v="HLC-A"/>
    <s v="STBNL0719HLCD"/>
    <x v="0"/>
    <s v="CR"/>
    <s v="MUM"/>
    <d v="2020-08-06T00:00:00"/>
    <n v="719"/>
    <s v="Nashik"/>
    <s v="M-U7D2S04V.005,_x000a_MO-U7F2S240.005"/>
    <d v="2021-08-07T00:00:00"/>
    <s v="UAT2Y440.012"/>
    <d v="2020-12-18T00:00:00"/>
    <m/>
    <m/>
    <s v="Done by NW"/>
    <s v="Done by NW"/>
    <s v="Conv-A DONE"/>
    <s v="Conv-A DONE"/>
    <s v="Conv-A DONE"/>
    <m/>
    <s v="Conv-A DONE"/>
    <m/>
    <m/>
    <m/>
    <m/>
    <m/>
    <m/>
    <s v="Conv-A DONE"/>
    <d v="2024-08-29T00:00:00"/>
    <d v="2024-01-26T00:00:00"/>
    <d v="2024-08-29T00:00:00"/>
    <d v="2024-08-29T00:00:00"/>
    <d v="2024-08-29T00:00:00"/>
    <s v="Done"/>
    <d v="2024-08-29T00:00:00"/>
    <d v="2024-08-29T00:00:00"/>
    <d v="2024-08-29T00:00:00"/>
    <m/>
  </r>
  <r>
    <n v="40"/>
    <n v="37414"/>
    <s v="HLC-B"/>
    <s v="STB5M0784HLCD"/>
    <x v="0"/>
    <s v="CR"/>
    <s v="MUM"/>
    <d v="2020-08-06T00:00:00"/>
    <n v="784"/>
    <s v="Nashik"/>
    <s v="M-U7D2S04V.005,_x000a_MO-U7F2S240.005"/>
    <d v="2021-08-07T00:00:00"/>
    <s v="UAT2Y440.012"/>
    <d v="2020-12-18T00:00:00"/>
    <m/>
    <m/>
    <s v="Done by NW"/>
    <s v="Done by NW"/>
    <s v="Conv-B DONE"/>
    <s v="Conv-B DONE"/>
    <s v="Conv-B DONE"/>
    <m/>
    <s v="Conv-B DONE"/>
    <s v="Done by NW"/>
    <m/>
    <m/>
    <m/>
    <s v="EL19F01022"/>
    <m/>
    <s v="Conv-B DONE"/>
    <d v="2024-08-29T00:00:00"/>
    <d v="2024-01-26T00:00:00"/>
    <d v="2024-08-29T00:00:00"/>
    <d v="2024-08-29T00:00:00"/>
    <d v="2024-08-29T00:00:00"/>
    <s v="Done"/>
    <d v="2024-08-29T00:00:00"/>
    <d v="2024-08-29T00:00:00"/>
    <d v="2024-08-29T00:00:00"/>
    <m/>
  </r>
  <r>
    <n v="41"/>
    <n v="37454"/>
    <s v="HLC-A"/>
    <s v="STB6M0844HLCD"/>
    <x v="0"/>
    <s v="CR"/>
    <s v="MUM"/>
    <d v="2021-01-05T00:00:00"/>
    <n v="844"/>
    <s v="Nashik"/>
    <s v="M-U7D2S04V.005,_x000a_MO-U7F2S240.005"/>
    <d v="2021-07-21T00:00:00"/>
    <s v="UAT2Y440.012"/>
    <d v="2020-12-22T00:00:00"/>
    <d v="2021-01-01T00:00:00"/>
    <m/>
    <s v="Done by NW"/>
    <s v="Done by NW"/>
    <s v="Conv-A DONE"/>
    <s v="Conv-A DONE"/>
    <s v="Conv-A DONE"/>
    <m/>
    <s v="Conv-A DONE"/>
    <s v="Done by NW"/>
    <m/>
    <m/>
    <m/>
    <m/>
    <m/>
    <d v="2022-05-16T00:00:00"/>
    <d v="2024-07-27T00:00:00"/>
    <d v="2024-01-15T00:00:00"/>
    <d v="2024-06-25T00:00:00"/>
    <d v="2024-06-25T00:00:00"/>
    <d v="2024-06-25T00:00:00"/>
    <s v="Done"/>
    <d v="2024-07-23T00:00:00"/>
    <d v="2024-07-23T00:00:00"/>
    <d v="2024-07-23T00:00:00"/>
    <m/>
  </r>
  <r>
    <n v="42"/>
    <n v="37454"/>
    <s v="HLC-B"/>
    <s v="STB6M0845HLCD"/>
    <x v="0"/>
    <s v="CR"/>
    <s v="MUM"/>
    <d v="2021-01-05T00:00:00"/>
    <n v="845"/>
    <s v="Nashik"/>
    <s v="M-U7D2S04V.005,_x000a_MO-U7F2S240.005"/>
    <d v="2021-07-21T00:00:00"/>
    <s v="UAT2Y440.012"/>
    <d v="2020-12-22T00:00:00"/>
    <d v="2021-01-01T00:00:00"/>
    <m/>
    <s v="Done by NW"/>
    <s v="Done by NW"/>
    <s v="Conv-B DONE"/>
    <s v="Conv-B DONE"/>
    <s v="Conv-B DONE"/>
    <m/>
    <s v="Conv-B DONE"/>
    <s v="Done by NW"/>
    <m/>
    <m/>
    <m/>
    <m/>
    <m/>
    <d v="2022-05-16T00:00:00"/>
    <d v="2024-07-27T00:00:00"/>
    <d v="2024-01-15T00:00:00"/>
    <d v="2024-06-25T00:00:00"/>
    <d v="2024-06-25T00:00:00"/>
    <d v="2024-06-25T00:00:00"/>
    <s v="Done"/>
    <d v="2024-07-23T00:00:00"/>
    <d v="2024-07-23T00:00:00"/>
    <d v="2024-07-23T00:00:00"/>
    <m/>
  </r>
  <r>
    <n v="43"/>
    <n v="37561"/>
    <s v="HLC-A"/>
    <s v="STB7M0860"/>
    <x v="0"/>
    <s v="CR"/>
    <s v="MUM"/>
    <d v="2021-03-22T00:00:00"/>
    <n v="860"/>
    <s v="Nashik"/>
    <s v="M-U7D2S04V.005,_x000a_MO-U7F2S240.005"/>
    <s v="Done"/>
    <s v="UAT2Y440.012"/>
    <s v="Done"/>
    <m/>
    <m/>
    <s v="Done by NW"/>
    <s v="Done by NW"/>
    <s v="Conv-A DONE"/>
    <s v="Conv-A DONE"/>
    <s v="Conv-A DONE"/>
    <m/>
    <m/>
    <s v="Done by NW"/>
    <m/>
    <m/>
    <m/>
    <m/>
    <m/>
    <s v="Conv-A DONE"/>
    <d v="2024-08-24T00:00:00"/>
    <d v="2024-03-29T00:00:00"/>
    <d v="2024-08-23T00:00:00"/>
    <d v="2024-08-24T00:00:00"/>
    <d v="2024-08-24T00:00:00"/>
    <s v="Conv-A DONE"/>
    <d v="2024-08-24T00:00:00"/>
    <d v="2024-08-24T00:00:00"/>
    <d v="2024-08-24T00:00:00"/>
    <m/>
  </r>
  <r>
    <n v="44"/>
    <n v="37561"/>
    <s v="HLC-B"/>
    <s v="STB7M0861"/>
    <x v="0"/>
    <s v="CR"/>
    <s v="MUM"/>
    <d v="2021-03-22T00:00:00"/>
    <n v="861"/>
    <s v="Nashik"/>
    <s v="M-U7D2S04V.005,_x000a_MO-U7F2S240.005"/>
    <s v="Done"/>
    <s v="UAT2Y440.012"/>
    <s v="Done"/>
    <m/>
    <m/>
    <s v="Done by NW"/>
    <s v="Done by NW"/>
    <s v="Conv-B DONE"/>
    <s v="Conv-B DONE"/>
    <s v="Conv-B DONE"/>
    <m/>
    <m/>
    <s v="Done by NW"/>
    <m/>
    <m/>
    <m/>
    <m/>
    <m/>
    <s v="Conv-B DONE"/>
    <d v="2024-08-24T00:00:00"/>
    <d v="2024-03-29T00:00:00"/>
    <d v="2024-08-23T00:00:00"/>
    <d v="2024-08-24T00:00:00"/>
    <d v="2024-08-24T00:00:00"/>
    <s v="Conv-B DONE"/>
    <d v="2024-08-24T00:00:00"/>
    <d v="2024-08-24T00:00:00"/>
    <d v="2024-08-24T00:00:00"/>
    <m/>
  </r>
  <r>
    <n v="45"/>
    <n v="39003"/>
    <s v="HLC-A"/>
    <s v="STB3K0205HLCD"/>
    <x v="0"/>
    <s v="CR"/>
    <s v="MUM"/>
    <d v="2018-12-30T00:00:00"/>
    <n v="205"/>
    <s v="Nashik"/>
    <s v="U7D2S04V.005"/>
    <d v="2021-06-18T00:00:00"/>
    <s v="UAT2Y440.012"/>
    <d v="2021-01-10T00:00:00"/>
    <d v="2021-01-18T00:00:00"/>
    <d v="2024-10-17T00:00:00"/>
    <s v="Conv-A DONE"/>
    <s v="Conv-A DONE"/>
    <s v="Conv-A DONE"/>
    <s v="Conv-A DONE"/>
    <s v="Conv-A DONE"/>
    <s v="Conv-A DONE"/>
    <s v="Conv-A DONE"/>
    <s v="Conv-A DONE"/>
    <m/>
    <m/>
    <m/>
    <m/>
    <m/>
    <d v="2022-05-20T00:00:00"/>
    <d v="2024-07-10T00:00:00"/>
    <d v="2023-12-26T00:00:00"/>
    <d v="2024-06-27T00:00:00"/>
    <d v="2024-06-26T00:00:00"/>
    <d v="2024-07-10T00:00:00"/>
    <s v="Done"/>
    <d v="2024-07-10T00:00:00"/>
    <d v="2024-07-10T00:00:00"/>
    <d v="2024-07-10T00:00:00"/>
    <m/>
  </r>
  <r>
    <n v="46"/>
    <n v="39003"/>
    <s v="HLC-B"/>
    <s v="STB3K0204HLCD"/>
    <x v="0"/>
    <s v="CR"/>
    <s v="MUM"/>
    <d v="2018-12-30T00:00:00"/>
    <n v="204"/>
    <s v="Nashik"/>
    <s v="U7D2S04V.005"/>
    <d v="2021-06-18T00:00:00"/>
    <s v="UAT2Y440.012"/>
    <d v="2021-01-10T00:00:00"/>
    <d v="2021-01-18T00:00:00"/>
    <d v="2024-10-17T00:00:00"/>
    <s v="Conv-B DONE"/>
    <s v="Conv-B DONE"/>
    <s v="Conv-B DONE"/>
    <s v="Conv-B DONE"/>
    <s v="Conv-B DONE"/>
    <s v="Conv-B DONE"/>
    <s v="Conv-B DONE"/>
    <s v="Conv-B DONE"/>
    <m/>
    <m/>
    <m/>
    <s v="EL22B0211"/>
    <m/>
    <d v="2022-05-20T00:00:00"/>
    <d v="2024-07-10T00:00:00"/>
    <d v="2023-12-26T00:00:00"/>
    <d v="2024-06-27T00:00:00"/>
    <d v="2024-06-26T00:00:00"/>
    <d v="2024-07-10T00:00:00"/>
    <s v="Done"/>
    <d v="2024-07-10T00:00:00"/>
    <d v="2024-07-10T00:00:00"/>
    <d v="2024-07-10T00:00:00"/>
    <m/>
  </r>
  <r>
    <n v="47"/>
    <n v="39076"/>
    <s v="HLC-A"/>
    <s v="STB4L0483HLCD"/>
    <x v="0"/>
    <s v="CR"/>
    <s v="MUM"/>
    <d v="2019-07-26T00:00:00"/>
    <n v="483"/>
    <s v="Nashik"/>
    <s v="M-U7D2S04V.005,_x000a_MO-U7F2S240.005"/>
    <s v="Done"/>
    <s v="UAT2Y440.012"/>
    <d v="2021-01-02T00:00:00"/>
    <d v="2021-01-02T00:00:00"/>
    <m/>
    <s v="Conv-A DONE"/>
    <s v="Conv-A DONE"/>
    <s v="Conv-A DONE"/>
    <s v="Conv-A DONE"/>
    <s v="Conv-A DONE"/>
    <m/>
    <s v="Conv-A DONE"/>
    <m/>
    <m/>
    <m/>
    <m/>
    <m/>
    <m/>
    <d v="2022-05-17T00:00:00"/>
    <d v="2024-05-31T00:00:00"/>
    <d v="2024-04-02T00:00:00"/>
    <d v="2024-06-25T00:00:00"/>
    <d v="2024-09-17T00:00:00"/>
    <d v="2024-09-17T00:00:00"/>
    <s v="Done"/>
    <d v="2024-09-17T00:00:00"/>
    <d v="2024-05-31T00:00:00"/>
    <m/>
    <m/>
  </r>
  <r>
    <n v="48"/>
    <n v="39076"/>
    <s v="HLC-B"/>
    <s v="STB4L0484HLCD"/>
    <x v="0"/>
    <s v="CR"/>
    <s v="MUM"/>
    <d v="2019-07-26T00:00:00"/>
    <n v="484"/>
    <s v="Nashik"/>
    <s v="M-U7D2S04V.005,_x000a_MO-U7F2S240.005"/>
    <s v="Done"/>
    <s v="UAT2Y440.012"/>
    <d v="2021-01-02T00:00:00"/>
    <d v="2021-01-02T00:00:00"/>
    <m/>
    <s v="Conv-B DONE"/>
    <s v="Conv-B DONE"/>
    <s v="Conv-B DONE"/>
    <s v="Conv-B DONE"/>
    <s v="Conv-B DONE"/>
    <m/>
    <s v="Conv-B DONE"/>
    <m/>
    <m/>
    <m/>
    <m/>
    <m/>
    <m/>
    <d v="2022-05-17T00:00:00"/>
    <d v="2024-05-31T00:00:00"/>
    <d v="2024-04-02T00:00:00"/>
    <d v="2024-06-25T00:00:00"/>
    <d v="2024-09-17T00:00:00"/>
    <d v="2024-09-17T00:00:00"/>
    <s v="Done"/>
    <d v="2024-09-17T00:00:00"/>
    <d v="2024-05-31T00:00:00"/>
    <m/>
    <m/>
  </r>
  <r>
    <n v="49"/>
    <n v="37063"/>
    <s v="HLC-A"/>
    <s v="STB5K0241HLCD"/>
    <x v="3"/>
    <s v="WCR"/>
    <s v="MUM"/>
    <d v="2018-12-18T00:00:00"/>
    <n v="241"/>
    <s v="Nashik"/>
    <s v="M-U7D2S04V.005,_x000a_MO-U7F2S240.005"/>
    <d v="2021-02-04T00:00:00"/>
    <s v="UAT2Y440.012"/>
    <d v="2021-02-04T00:00:00"/>
    <d v="2021-02-04T00:00:00"/>
    <m/>
    <m/>
    <s v="Conv-A DONE"/>
    <s v="Conv-A DONE"/>
    <m/>
    <m/>
    <s v="Conv-A DONE"/>
    <m/>
    <m/>
    <m/>
    <m/>
    <m/>
    <m/>
    <m/>
    <d v="2022-12-21T00:00:00"/>
    <s v="Conv-A DONE"/>
    <m/>
    <d v="2024-06-21T00:00:00"/>
    <d v="2024-06-21T00:00:00"/>
    <d v="2024-06-21T00:00:00"/>
    <s v="Done"/>
    <d v="2025-04-03T00:00:00"/>
    <d v="2024-09-08T00:00:00"/>
    <d v="2025-04-02T00:00:00"/>
    <m/>
  </r>
  <r>
    <n v="50"/>
    <n v="37063"/>
    <s v="HLC-B"/>
    <s v="STB5K0240HLCD"/>
    <x v="3"/>
    <s v="WCR"/>
    <s v="MUM"/>
    <d v="2018-12-18T00:00:00"/>
    <n v="240"/>
    <s v="Nashik"/>
    <s v="M-U7D2S04V.005,_x000a_MO-U7F2S240.005"/>
    <d v="2021-02-04T00:00:00"/>
    <s v="UAT2Y440.012"/>
    <d v="2021-02-04T00:00:00"/>
    <m/>
    <m/>
    <m/>
    <s v="Conv-B DONE"/>
    <s v="Conv-B DONE"/>
    <m/>
    <m/>
    <s v="Conv-B DONE"/>
    <m/>
    <m/>
    <m/>
    <m/>
    <m/>
    <d v="2021-07-27T00:00:00"/>
    <m/>
    <d v="2022-12-21T00:00:00"/>
    <s v="Conv-B DONE"/>
    <m/>
    <d v="2024-06-21T00:00:00"/>
    <d v="2024-06-21T00:00:00"/>
    <d v="2024-06-21T00:00:00"/>
    <s v="Done"/>
    <d v="2025-04-03T00:00:00"/>
    <d v="2024-09-08T00:00:00"/>
    <d v="2025-04-02T00:00:00"/>
    <m/>
  </r>
  <r>
    <n v="51"/>
    <n v="37064"/>
    <s v="HLC-A"/>
    <s v="STB5K0243HLCD"/>
    <x v="3"/>
    <s v="WCR"/>
    <s v="MUM"/>
    <d v="2018-12-23T00:00:00"/>
    <n v="243"/>
    <s v="Nashik"/>
    <s v="M-U7D2S04V.005,_x000a_MO-U7F2S240.005"/>
    <d v="2020-12-19T00:00:00"/>
    <s v="UAT2Y440.012"/>
    <d v="2020-12-19T00:00:00"/>
    <d v="2020-12-19T00:00:00"/>
    <m/>
    <m/>
    <s v="Conv-A DONE"/>
    <s v="Conv-A DONE"/>
    <m/>
    <m/>
    <s v="Conv-A DONE"/>
    <m/>
    <m/>
    <m/>
    <m/>
    <m/>
    <s v="EL21A01006"/>
    <m/>
    <d v="2023-03-04T00:00:00"/>
    <m/>
    <m/>
    <d v="2024-06-27T00:00:00"/>
    <d v="2024-08-22T00:00:00"/>
    <d v="2024-09-14T00:00:00"/>
    <s v="Done"/>
    <d v="2025-04-02T00:00:00"/>
    <m/>
    <d v="2024-09-17T00:00:00"/>
    <m/>
  </r>
  <r>
    <n v="52"/>
    <n v="37064"/>
    <s v="HLC-B"/>
    <s v="STB6K0247HLCD"/>
    <x v="3"/>
    <s v="WCR"/>
    <s v="MUM"/>
    <d v="2018-12-23T00:00:00"/>
    <n v="247"/>
    <s v="Nashik"/>
    <s v="M-U7D2S04V.005,_x000a_MO-U7F2S240.005"/>
    <d v="2020-12-19T00:00:00"/>
    <s v="UAT2Y440.012"/>
    <d v="2020-12-19T00:00:00"/>
    <m/>
    <m/>
    <m/>
    <s v="Conv-B DONE"/>
    <s v="Conv-B DONE"/>
    <m/>
    <m/>
    <s v="Conv-B DONE"/>
    <m/>
    <m/>
    <m/>
    <m/>
    <m/>
    <m/>
    <m/>
    <d v="2023-03-04T00:00:00"/>
    <m/>
    <m/>
    <d v="2024-06-27T00:00:00"/>
    <d v="2024-08-22T00:00:00"/>
    <d v="2024-09-14T00:00:00"/>
    <s v="Done"/>
    <d v="2025-04-02T00:00:00"/>
    <m/>
    <d v="2024-09-17T00:00:00"/>
    <m/>
  </r>
  <r>
    <n v="53"/>
    <n v="37065"/>
    <s v="HLC-A"/>
    <s v="STB6K0246HLCD"/>
    <x v="3"/>
    <s v="WCR"/>
    <s v="MUM"/>
    <d v="2018-12-22T00:00:00"/>
    <n v="246"/>
    <s v="Nashik"/>
    <s v="M-U7D2S04V.005,_x000a_MO-U7F2S240.005"/>
    <d v="2021-02-04T00:00:00"/>
    <s v="UAT2Y440.012"/>
    <d v="2021-02-04T00:00:00"/>
    <d v="2021-02-04T00:00:00"/>
    <m/>
    <m/>
    <s v="Conv-A DONE"/>
    <s v="Conv-A DONE"/>
    <m/>
    <s v="Conv-A DONE"/>
    <s v="Conv-A DONE"/>
    <m/>
    <m/>
    <m/>
    <m/>
    <m/>
    <s v="EL18B07019"/>
    <m/>
    <d v="2023-07-08T00:00:00"/>
    <s v="Conv-A DONE"/>
    <m/>
    <d v="2024-06-23T00:00:00"/>
    <d v="2024-07-17T00:00:00"/>
    <d v="2024-09-10T00:00:00"/>
    <s v="Done"/>
    <m/>
    <d v="2024-09-11T00:00:00"/>
    <d v="2025-03-11T00:00:00"/>
    <m/>
  </r>
  <r>
    <n v="54"/>
    <n v="37065"/>
    <s v="HLC-B"/>
    <s v="STB5K0242HLCD"/>
    <x v="3"/>
    <s v="WCR"/>
    <s v="MUM"/>
    <d v="2018-12-22T00:00:00"/>
    <n v="242"/>
    <s v="Nashik"/>
    <s v="M-U7D2S04V.005,_x000a_MO-U7F2S240.005"/>
    <d v="2021-02-04T00:00:00"/>
    <s v="UAT2Y440.012"/>
    <d v="2021-02-04T00:00:00"/>
    <m/>
    <m/>
    <m/>
    <s v="Conv-B DONE"/>
    <s v="Conv-B DONE"/>
    <m/>
    <s v="Conv-B DONE"/>
    <s v="Conv-B DONE"/>
    <m/>
    <m/>
    <m/>
    <m/>
    <m/>
    <s v="EL21A01018"/>
    <m/>
    <d v="2023-07-08T00:00:00"/>
    <s v="Conv-B DONE"/>
    <m/>
    <d v="2024-06-23T00:00:00"/>
    <d v="2024-07-17T00:00:00"/>
    <d v="2024-09-10T00:00:00"/>
    <s v="Done"/>
    <m/>
    <d v="2024-09-11T00:00:00"/>
    <d v="2025-03-11T00:00:00"/>
    <m/>
  </r>
  <r>
    <n v="55"/>
    <n v="37072"/>
    <s v="HLC-A"/>
    <s v="STB8K0285HLCD"/>
    <x v="3"/>
    <s v="WCR"/>
    <s v="MUM"/>
    <d v="2018-12-28T00:00:00"/>
    <n v="285"/>
    <s v="Nashik"/>
    <s v="M-U7D2S04V.005,_x000a_MO-U7F2S240.005"/>
    <d v="2021-01-20T00:00:00"/>
    <s v="UAT2Y440.012"/>
    <d v="2021-01-20T00:00:00"/>
    <d v="2021-01-20T00:00:00"/>
    <m/>
    <m/>
    <s v="Conv-A DONE"/>
    <m/>
    <m/>
    <s v="Conv-A DONE"/>
    <m/>
    <m/>
    <m/>
    <m/>
    <m/>
    <m/>
    <m/>
    <m/>
    <d v="2023-03-18T00:00:00"/>
    <m/>
    <m/>
    <d v="2024-06-21T00:00:00"/>
    <d v="2024-10-05T00:00:00"/>
    <d v="2024-06-21T00:00:00"/>
    <s v="Done"/>
    <d v="2025-04-04T00:00:00"/>
    <m/>
    <d v="2025-04-02T00:00:00"/>
    <m/>
  </r>
  <r>
    <n v="56"/>
    <n v="37072"/>
    <s v="HLC-B"/>
    <s v="STB8K0284HLCD"/>
    <x v="3"/>
    <s v="WCR"/>
    <s v="MUM"/>
    <d v="2018-12-28T00:00:00"/>
    <n v="284"/>
    <s v="Nashik"/>
    <s v="M-U7D2S04V.005,_x000a_MO-U7F2S240.005"/>
    <d v="2021-01-20T00:00:00"/>
    <s v="UAT2Y440.012"/>
    <d v="2021-01-20T00:00:00"/>
    <m/>
    <m/>
    <m/>
    <s v="Conv-B DONE"/>
    <m/>
    <m/>
    <s v="Conv-B DONE"/>
    <m/>
    <m/>
    <m/>
    <m/>
    <m/>
    <m/>
    <m/>
    <m/>
    <d v="2023-03-18T00:00:00"/>
    <m/>
    <m/>
    <d v="2024-06-21T00:00:00"/>
    <d v="2024-10-05T00:00:00"/>
    <d v="2024-06-21T00:00:00"/>
    <s v="Done"/>
    <d v="2025-04-04T00:00:00"/>
    <m/>
    <d v="2025-04-02T00:00:00"/>
    <m/>
  </r>
  <r>
    <n v="57"/>
    <n v="37074"/>
    <s v="HLC-A"/>
    <s v="STB7K0276HLCD"/>
    <x v="3"/>
    <s v="WCR"/>
    <s v="MUM"/>
    <d v="2018-12-29T00:00:00"/>
    <n v="276"/>
    <s v="Nashik"/>
    <s v="M-U7D2S04V.005,_x000a_MO-U7F2S240.005"/>
    <d v="2021-05-06T00:00:00"/>
    <s v="UAT2Y440.012"/>
    <s v="Done"/>
    <m/>
    <m/>
    <m/>
    <s v="Conv-A DONE"/>
    <s v="Conv-A DONE"/>
    <m/>
    <m/>
    <m/>
    <m/>
    <m/>
    <m/>
    <m/>
    <m/>
    <m/>
    <m/>
    <d v="2023-05-24T00:00:00"/>
    <m/>
    <m/>
    <d v="2024-06-28T00:00:00"/>
    <d v="2025-01-04T00:00:00"/>
    <m/>
    <s v="Done"/>
    <d v="2025-06-19T00:00:00"/>
    <m/>
    <d v="2025-06-19T00:00:00"/>
    <m/>
  </r>
  <r>
    <n v="58"/>
    <n v="37074"/>
    <s v="HLC-B"/>
    <s v="STB7K0277HLCD"/>
    <x v="3"/>
    <s v="WCR"/>
    <s v="MUM"/>
    <d v="2018-12-29T00:00:00"/>
    <n v="277"/>
    <s v="Nashik"/>
    <m/>
    <m/>
    <s v="UAT2Y440.012"/>
    <s v="Done"/>
    <m/>
    <m/>
    <m/>
    <s v="Conv-B DONE"/>
    <s v="Conv-B DONE"/>
    <m/>
    <m/>
    <m/>
    <m/>
    <m/>
    <m/>
    <m/>
    <m/>
    <m/>
    <m/>
    <d v="2023-05-24T00:00:00"/>
    <m/>
    <m/>
    <d v="2024-06-28T00:00:00"/>
    <d v="2025-01-04T00:00:00"/>
    <m/>
    <s v="Done"/>
    <d v="2025-06-19T00:00:00"/>
    <m/>
    <d v="2025-06-19T00:00:00"/>
    <m/>
  </r>
  <r>
    <n v="59"/>
    <n v="37228"/>
    <s v="HLC-A"/>
    <s v="STB5L0512HLCD"/>
    <x v="3"/>
    <s v="WCR"/>
    <s v="MUM"/>
    <d v="2019-07-26T00:00:00"/>
    <n v="512"/>
    <s v="Nashik"/>
    <s v="M-U7D2S04V.005,_x000a_MO-U7F2S240.005"/>
    <d v="2021-02-11T00:00:00"/>
    <s v="U812Y440.010"/>
    <d v="2021-01-17T00:00:00"/>
    <m/>
    <m/>
    <s v="Done by NW"/>
    <s v="Conv-A DONE"/>
    <m/>
    <s v="Conv-A DONE"/>
    <m/>
    <s v="Conv-A DONE"/>
    <m/>
    <m/>
    <m/>
    <m/>
    <m/>
    <m/>
    <m/>
    <d v="2023-02-22T00:00:00"/>
    <s v="Conv-A DONE"/>
    <m/>
    <d v="2024-06-23T00:00:00"/>
    <d v="2024-06-23T00:00:00"/>
    <d v="2024-09-09T00:00:00"/>
    <s v="Done"/>
    <d v="2025-03-17T00:00:00"/>
    <d v="2025-03-17T00:00:00"/>
    <d v="2024-08-31T00:00:00"/>
    <m/>
  </r>
  <r>
    <n v="60"/>
    <n v="37228"/>
    <s v="HLC-B"/>
    <s v="STB5L0513HLCD"/>
    <x v="3"/>
    <s v="WCR"/>
    <s v="MUM"/>
    <d v="2019-07-26T00:00:00"/>
    <n v="513"/>
    <s v="Nashik"/>
    <s v="M-U7D2S04V.005,_x000a_MO-U7F2S240.005"/>
    <d v="2021-02-11T00:00:00"/>
    <s v="U812Y440.010"/>
    <d v="1921-01-17T00:00:00"/>
    <m/>
    <m/>
    <s v="Done by NW"/>
    <s v="Conv-B DONE"/>
    <m/>
    <s v="Conv-B DONE"/>
    <m/>
    <s v="Conv-B DONE"/>
    <m/>
    <m/>
    <m/>
    <m/>
    <m/>
    <m/>
    <m/>
    <d v="2023-02-22T00:00:00"/>
    <s v="Conv-B DONE"/>
    <m/>
    <d v="2024-06-23T00:00:00"/>
    <d v="2024-06-23T00:00:00"/>
    <d v="2024-09-09T00:00:00"/>
    <s v="Done"/>
    <d v="2025-03-17T00:00:00"/>
    <d v="2025-03-17T00:00:00"/>
    <d v="2024-08-31T00:00:00"/>
    <m/>
  </r>
  <r>
    <n v="61"/>
    <n v="37229"/>
    <s v="HLC-A"/>
    <s v="STB6L0544HLCD"/>
    <x v="3"/>
    <s v="WCR"/>
    <s v="MUM"/>
    <d v="2019-07-27T00:00:00"/>
    <n v="544"/>
    <s v="Nashik"/>
    <s v="M-U7D2S04V.005,_x000a_MO-U7F2S240.005"/>
    <d v="2021-03-09T00:00:00"/>
    <s v="U812Y440.010"/>
    <d v="2021-03-09T00:00:00"/>
    <m/>
    <m/>
    <s v="Done by NW"/>
    <s v="Conv-A DONE"/>
    <m/>
    <s v="Conv-A DONE"/>
    <m/>
    <s v="Conv-A DONE"/>
    <m/>
    <m/>
    <m/>
    <m/>
    <m/>
    <m/>
    <m/>
    <d v="2023-08-20T00:00:00"/>
    <s v="Conv-A DONE"/>
    <m/>
    <d v="2024-06-22T00:00:00"/>
    <d v="2024-06-22T00:00:00"/>
    <d v="2024-02-19T00:00:00"/>
    <s v="Done"/>
    <d v="2024-07-24T00:00:00"/>
    <m/>
    <d v="2025-03-18T00:00:00"/>
    <m/>
  </r>
  <r>
    <n v="62"/>
    <n v="37229"/>
    <s v="HLC-B"/>
    <s v="STB6L0545HLCD"/>
    <x v="3"/>
    <s v="WCR"/>
    <s v="MUM"/>
    <d v="2019-07-27T00:00:00"/>
    <n v="545"/>
    <s v="Nashik"/>
    <s v="M-U7D2S04V.005,_x000a_MO-U7F2S240.005"/>
    <d v="2021-03-09T00:00:00"/>
    <s v="U812Y440.010"/>
    <d v="2021-03-09T00:00:00"/>
    <m/>
    <m/>
    <s v="Done by NW"/>
    <s v="Conv-B DONE"/>
    <m/>
    <s v="Conv-B DONE"/>
    <m/>
    <s v="Conv-B DONE"/>
    <m/>
    <m/>
    <m/>
    <m/>
    <m/>
    <s v="18B7017-R"/>
    <m/>
    <d v="2023-08-20T00:00:00"/>
    <s v="Conv-B DONE"/>
    <m/>
    <d v="2024-06-22T00:00:00"/>
    <d v="2024-06-22T00:00:00"/>
    <d v="2024-02-19T00:00:00"/>
    <s v="Done"/>
    <d v="2024-07-24T00:00:00"/>
    <m/>
    <d v="2025-03-18T00:00:00"/>
    <m/>
  </r>
  <r>
    <n v="63"/>
    <n v="37230"/>
    <s v="HLC-A"/>
    <s v="STB6L0560HLCD"/>
    <x v="3"/>
    <s v="WCR"/>
    <s v="MUM"/>
    <d v="2019-08-25T00:00:00"/>
    <n v="560"/>
    <s v="Nashik"/>
    <s v="M-U7D2S04V.005,_x000a_MO-U7F2S240.005"/>
    <d v="2021-03-10T00:00:00"/>
    <s v="U812Y440.010"/>
    <d v="2020-12-18T00:00:00"/>
    <m/>
    <m/>
    <s v="Done by NW"/>
    <s v="Done by NW"/>
    <m/>
    <s v="Conv-A DONE"/>
    <m/>
    <s v="Conv-A DONE"/>
    <m/>
    <m/>
    <m/>
    <m/>
    <m/>
    <m/>
    <m/>
    <d v="2022-09-05T00:00:00"/>
    <m/>
    <d v="2025-04-26T00:00:00"/>
    <d v="2024-08-27T00:00:00"/>
    <d v="2024-08-27T00:00:00"/>
    <d v="2025-01-20T00:00:00"/>
    <s v="Done"/>
    <d v="2025-04-25T00:00:00"/>
    <m/>
    <d v="2025-03-21T00:00:00"/>
    <m/>
  </r>
  <r>
    <n v="64"/>
    <n v="37230"/>
    <s v="HLC-B"/>
    <s v="STB6L0558HLCD"/>
    <x v="3"/>
    <s v="WCR"/>
    <s v="MUM"/>
    <d v="2019-08-25T00:00:00"/>
    <n v="558"/>
    <s v="Nashik"/>
    <s v="M-U7D2S04V.005,_x000a_MO-U7F2S240.005"/>
    <d v="2021-03-10T00:00:00"/>
    <s v="U812Y440.010"/>
    <d v="2020-12-18T00:00:00"/>
    <m/>
    <m/>
    <s v="Done by NW"/>
    <s v="Done by NW"/>
    <m/>
    <s v="Conv-B DONE"/>
    <m/>
    <s v="Conv-B DONE"/>
    <m/>
    <m/>
    <m/>
    <m/>
    <m/>
    <m/>
    <m/>
    <d v="2022-09-05T00:00:00"/>
    <m/>
    <d v="2025-04-26T00:00:00"/>
    <d v="2024-08-27T00:00:00"/>
    <d v="2024-08-27T00:00:00"/>
    <d v="2025-01-20T00:00:00"/>
    <s v="Done"/>
    <d v="2025-04-25T00:00:00"/>
    <m/>
    <d v="2025-03-21T00:00:00"/>
    <m/>
  </r>
  <r>
    <n v="65"/>
    <n v="37541"/>
    <s v="HLC-A"/>
    <s v="STB8M0935HLCD"/>
    <x v="3"/>
    <s v="WCR"/>
    <s v="MUM"/>
    <d v="2021-02-15T00:00:00"/>
    <n v="935"/>
    <s v="Nashik"/>
    <s v="M-U7D2S04V.005,_x000a_MO-U7F2S240.005"/>
    <s v="Done by NW"/>
    <s v="UAT2Y440.012"/>
    <d v="2021-02-23T00:00:00"/>
    <m/>
    <m/>
    <s v="Done by NW"/>
    <s v="Done by NW"/>
    <m/>
    <s v="Conv-A DONE"/>
    <m/>
    <s v="Conv-A DONE"/>
    <m/>
    <s v="Done by NW"/>
    <m/>
    <m/>
    <m/>
    <m/>
    <m/>
    <d v="2022-09-06T00:00:00"/>
    <m/>
    <d v="2025-05-22T00:00:00"/>
    <d v="2024-09-14T00:00:00"/>
    <d v="2024-09-14T00:00:00"/>
    <d v="2024-09-14T00:00:00"/>
    <s v="Done"/>
    <d v="2025-02-22T00:00:00"/>
    <m/>
    <d v="2024-08-23T00:00:00"/>
    <m/>
  </r>
  <r>
    <n v="66"/>
    <n v="37541"/>
    <s v="HLC-B"/>
    <s v="STB8M0909HLCD"/>
    <x v="3"/>
    <s v="WCR"/>
    <s v="MUM"/>
    <d v="2021-02-15T00:00:00"/>
    <n v="909"/>
    <s v="Nashik"/>
    <s v="M-U7D2S04V.005,_x000a_MO-U7F2S240.005"/>
    <s v="Done by NW"/>
    <s v="UAT2Y440.012"/>
    <d v="2021-02-23T00:00:00"/>
    <m/>
    <m/>
    <s v="Done by NW"/>
    <s v="Done by NW"/>
    <m/>
    <s v="Conv-B DONE"/>
    <m/>
    <s v="Conv-B DONE"/>
    <m/>
    <s v="Done by NW"/>
    <m/>
    <m/>
    <m/>
    <m/>
    <m/>
    <d v="2022-09-06T00:00:00"/>
    <m/>
    <d v="2025-05-22T00:00:00"/>
    <d v="2024-09-14T00:00:00"/>
    <d v="2024-09-14T00:00:00"/>
    <d v="2024-09-14T00:00:00"/>
    <s v="Done"/>
    <d v="2025-02-22T00:00:00"/>
    <m/>
    <d v="2024-08-23T00:00:00"/>
    <m/>
  </r>
  <r>
    <n v="67"/>
    <n v="39040"/>
    <s v="HLC-A"/>
    <s v="STB10K0307HLCD"/>
    <x v="3"/>
    <s v="WCR"/>
    <s v="MUM"/>
    <d v="2019-04-03T00:00:00"/>
    <n v="307"/>
    <s v="Nashik"/>
    <s v="M-U7D2S04V.005,_x000a_MO-U7F2S240.005"/>
    <d v="2020-10-17T00:00:00"/>
    <s v="UAT2Y440.012"/>
    <d v="2021-08-02T00:00:00"/>
    <m/>
    <m/>
    <m/>
    <s v="Conv-A DONE"/>
    <s v="Conv-A DONE"/>
    <s v="Conv-A DONE"/>
    <m/>
    <s v="Conv-A DONE"/>
    <m/>
    <m/>
    <m/>
    <m/>
    <m/>
    <m/>
    <m/>
    <d v="2023-06-13T00:00:00"/>
    <s v="Conv-A DONE"/>
    <m/>
    <d v="2024-06-21T00:00:00"/>
    <d v="2024-10-23T00:00:00"/>
    <d v="2024-01-05T00:00:00"/>
    <m/>
    <m/>
    <m/>
    <m/>
    <m/>
  </r>
  <r>
    <n v="68"/>
    <n v="39040"/>
    <s v="HLC-B"/>
    <s v="STB10K0306HLCD"/>
    <x v="3"/>
    <s v="WCR"/>
    <s v="MUM"/>
    <d v="2019-04-03T00:00:00"/>
    <n v="306"/>
    <s v="Nashik"/>
    <s v="M-U7D2S04V.005,_x000a_MO-U7F2S240.005"/>
    <d v="2020-10-17T00:00:00"/>
    <s v="UAT2Y440.012"/>
    <d v="2021-08-02T00:00:00"/>
    <m/>
    <m/>
    <m/>
    <s v="Conv-B DONE"/>
    <s v="Conv-B DONE"/>
    <s v="Conv-B DONE"/>
    <m/>
    <s v="Conv-B DONE"/>
    <m/>
    <m/>
    <m/>
    <m/>
    <m/>
    <m/>
    <m/>
    <d v="2023-06-13T00:00:00"/>
    <s v="Conv-B DONE"/>
    <m/>
    <d v="2024-06-21T00:00:00"/>
    <d v="2024-10-23T00:00:00"/>
    <d v="2024-01-05T00:00:00"/>
    <m/>
    <m/>
    <m/>
    <m/>
    <m/>
  </r>
  <r>
    <n v="69"/>
    <n v="39043"/>
    <s v="HLC-A"/>
    <s v="STB10K0302HLCD"/>
    <x v="3"/>
    <s v="WCR"/>
    <s v="MUM"/>
    <d v="2019-05-02T00:00:00"/>
    <n v="302"/>
    <s v="Nashik"/>
    <s v="M-U7D2S04V.005,_x000a_MO-U7F2S240.005"/>
    <d v="2021-03-06T00:00:00"/>
    <s v="U812Y440.010"/>
    <d v="2021-03-06T00:00:00"/>
    <d v="2021-03-06T00:00:00"/>
    <m/>
    <m/>
    <s v="Conv-A DONE"/>
    <s v="Conv-A DONE"/>
    <s v="Conv-A DONE"/>
    <s v="Conv-A DONE"/>
    <m/>
    <m/>
    <m/>
    <m/>
    <m/>
    <m/>
    <m/>
    <m/>
    <d v="2022-09-05T00:00:00"/>
    <m/>
    <m/>
    <d v="2024-08-27T00:00:00"/>
    <d v="2024-08-27T00:00:00"/>
    <d v="2024-02-25T00:00:00"/>
    <s v="Done"/>
    <d v="2025-02-27T00:00:00"/>
    <d v="2025-02-27T00:00:00"/>
    <d v="2025-03-30T00:00:00"/>
    <m/>
  </r>
  <r>
    <n v="70"/>
    <n v="39043"/>
    <s v="HLC-B"/>
    <s v="STB10K0303HLCD"/>
    <x v="3"/>
    <s v="WCR"/>
    <s v="MUM"/>
    <d v="2019-05-02T00:00:00"/>
    <n v="303"/>
    <s v="Nashik"/>
    <s v="M-U7D2S04V.005,_x000a_MO-U7F2S240.005"/>
    <d v="2021-03-06T00:00:00"/>
    <s v="U812Y440.010"/>
    <d v="2021-03-06T00:00:00"/>
    <m/>
    <m/>
    <m/>
    <s v="Conv-B DONE"/>
    <s v="Conv-B DONE"/>
    <s v="Conv-B DONE"/>
    <s v="Conv-B DONE"/>
    <m/>
    <m/>
    <m/>
    <m/>
    <m/>
    <m/>
    <m/>
    <m/>
    <d v="2022-09-05T00:00:00"/>
    <m/>
    <m/>
    <d v="2024-08-27T00:00:00"/>
    <d v="2024-08-27T00:00:00"/>
    <d v="2024-02-25T00:00:00"/>
    <s v="Done"/>
    <d v="2025-02-27T00:00:00"/>
    <d v="2025-02-27T00:00:00"/>
    <d v="2025-03-30T00:00:00"/>
    <m/>
  </r>
  <r>
    <n v="71"/>
    <n v="30542"/>
    <s v="HLC-A"/>
    <s v="STB8H0077HLCC"/>
    <x v="0"/>
    <s v="CR"/>
    <s v="MUM"/>
    <d v="2017-05-10T00:00:00"/>
    <n v="77"/>
    <s v="Imported"/>
    <s v="M-U7D2S04V.005,_x000a_MO-U7F2S240.005"/>
    <d v="2020-11-26T00:00:00"/>
    <s v="UAT2Y44O.012"/>
    <d v="2021-08-25T00:00:00"/>
    <d v="2020-12-29T00:00:00"/>
    <d v="2024-11-19T00:00:00"/>
    <m/>
    <s v="Conv-A DONE"/>
    <s v="Conv-A DONE"/>
    <s v="Conv-A DONE"/>
    <m/>
    <s v="Conv-A DONE"/>
    <m/>
    <s v="Conv-A DONE"/>
    <m/>
    <m/>
    <m/>
    <s v="EL17G01039"/>
    <m/>
    <d v="2022-02-09T00:00:00"/>
    <d v="2024-02-10T00:00:00"/>
    <m/>
    <d v="2024-08-09T00:00:00"/>
    <d v="2024-10-15T00:00:00"/>
    <d v="2024-02-08T00:00:00"/>
    <s v="Done"/>
    <d v="2024-06-22T00:00:00"/>
    <d v="2024-08-13T00:00:00"/>
    <m/>
    <m/>
  </r>
  <r>
    <n v="72"/>
    <n v="30542"/>
    <s v="HLC-B"/>
    <s v="STB7H0072HLCC"/>
    <x v="0"/>
    <s v="CR"/>
    <s v="MUM"/>
    <d v="2017-05-10T00:00:00"/>
    <n v="72"/>
    <s v="Imported"/>
    <s v="M-U7D2S04V.005,_x000a_MO-U7F2S240.005"/>
    <d v="2020-11-26T00:00:00"/>
    <s v="UAT2Y44O.012"/>
    <d v="2021-08-25T00:00:00"/>
    <d v="2020-12-19T00:00:00"/>
    <d v="2024-11-19T00:00:00"/>
    <m/>
    <s v="Conv-B DONE"/>
    <s v="Conv-B DONE"/>
    <s v="Conv-B DONE"/>
    <m/>
    <s v="Conv-B DONE"/>
    <m/>
    <s v="Conv-B DONE"/>
    <m/>
    <m/>
    <m/>
    <s v=" EL18J03056-R"/>
    <m/>
    <d v="2022-02-09T00:00:00"/>
    <d v="2024-02-10T00:00:00"/>
    <m/>
    <d v="2024-08-09T00:00:00"/>
    <d v="2024-10-15T00:00:00"/>
    <d v="2024-02-08T00:00:00"/>
    <s v="Done"/>
    <d v="2024-06-22T00:00:00"/>
    <d v="2024-08-13T00:00:00"/>
    <m/>
    <m/>
  </r>
  <r>
    <n v="73"/>
    <n v="30543"/>
    <s v="HLC-A"/>
    <s v="STB8H0076HLCC"/>
    <x v="0"/>
    <s v="CR"/>
    <s v="MUM"/>
    <d v="2017-04-29T00:00:00"/>
    <n v="76"/>
    <s v="Imported"/>
    <m/>
    <m/>
    <s v="UAT2Y44O.012"/>
    <d v="2022-02-09T00:00:00"/>
    <d v="2021-01-15T00:00:00"/>
    <d v="2024-12-29T00:00:00"/>
    <m/>
    <s v="Conv-A DONE"/>
    <s v="Conv-A DONE"/>
    <s v="Conv-A DONE"/>
    <m/>
    <s v="Conv-A DONE"/>
    <m/>
    <s v="Conv-A DONE"/>
    <m/>
    <m/>
    <m/>
    <m/>
    <m/>
    <d v="2022-02-09T00:00:00"/>
    <d v="2024-03-02T00:00:00"/>
    <m/>
    <d v="2024-07-26T00:00:00"/>
    <d v="2024-07-26T00:00:00"/>
    <d v="2024-07-06T00:00:00"/>
    <s v="Done"/>
    <d v="2024-11-21T00:00:00"/>
    <d v="2024-07-06T00:00:00"/>
    <m/>
    <m/>
  </r>
  <r>
    <n v="74"/>
    <n v="30543"/>
    <s v="HLC-B"/>
    <s v="STB8H0074HLCC"/>
    <x v="0"/>
    <s v="CR"/>
    <s v="MUM"/>
    <d v="2017-04-29T00:00:00"/>
    <n v="74"/>
    <s v="Imported"/>
    <m/>
    <m/>
    <s v="UAT2Y44O.012"/>
    <d v="2022-02-09T00:00:00"/>
    <d v="2021-01-15T00:00:00"/>
    <d v="2024-12-29T00:00:00"/>
    <m/>
    <s v="Conv-B DONE"/>
    <s v="Conv-B DONE"/>
    <s v="Conv-B DONE"/>
    <m/>
    <s v="Conv-B DONE"/>
    <m/>
    <s v="Conv-B DONE"/>
    <m/>
    <m/>
    <m/>
    <m/>
    <m/>
    <d v="2022-02-09T00:00:00"/>
    <d v="2024-03-02T00:00:00"/>
    <m/>
    <d v="2024-07-26T00:00:00"/>
    <d v="2024-07-26T00:00:00"/>
    <d v="2024-07-06T00:00:00"/>
    <s v="Done"/>
    <d v="2024-11-21T00:00:00"/>
    <d v="2024-07-06T00:00:00"/>
    <m/>
    <m/>
  </r>
  <r>
    <n v="75"/>
    <n v="30546"/>
    <s v="HLC-A"/>
    <s v="STB9H0085HLCD"/>
    <x v="0"/>
    <s v="CR"/>
    <s v="MUM"/>
    <d v="2017-08-03T00:00:00"/>
    <n v="85"/>
    <s v="Imported"/>
    <s v="M-U7D2S04V.005,_x000a_MO-U7F2S240.005"/>
    <d v="2020-08-02T00:00:00"/>
    <s v="UAT2Y44O.012"/>
    <d v="2021-09-25T00:00:00"/>
    <d v="2020-02-08T00:00:00"/>
    <d v="2024-08-17T00:00:00"/>
    <s v="Conv-A DONE"/>
    <s v="Conv-A DONE"/>
    <s v="Conv-A DONE"/>
    <s v="Conv-A DONE"/>
    <s v="Conv-A DONE"/>
    <s v="Conv-A DONE"/>
    <m/>
    <s v="YES"/>
    <m/>
    <m/>
    <m/>
    <s v="12.02.22"/>
    <m/>
    <d v="2022-04-18T00:00:00"/>
    <d v="2024-03-02T00:00:00"/>
    <m/>
    <d v="2024-07-12T00:00:00"/>
    <d v="2024-07-12T00:00:00"/>
    <d v="2024-03-02T00:00:00"/>
    <s v="Done"/>
    <d v="2024-10-21T00:00:00"/>
    <d v="2024-06-04T00:00:00"/>
    <m/>
    <m/>
  </r>
  <r>
    <n v="76"/>
    <n v="30546"/>
    <s v="HLC-B"/>
    <s v="STB9H0088HLCD"/>
    <x v="0"/>
    <s v="CR"/>
    <s v="MUM"/>
    <d v="2017-08-03T00:00:00"/>
    <n v="88"/>
    <s v="Imported"/>
    <s v="M-U7D2S04V.005,_x000a_MO-U7F2S240.005"/>
    <d v="2020-08-02T00:00:00"/>
    <s v="UAT2Y44O.O12"/>
    <d v="2021-09-25T00:00:00"/>
    <d v="2020-02-08T00:00:00"/>
    <d v="2024-08-17T00:00:00"/>
    <s v="Conv-B DONE"/>
    <s v="Conv-B DONE"/>
    <s v="Conv-B DONE"/>
    <s v="Conv-B DONE"/>
    <s v="Conv-B DONE"/>
    <s v="Conv-B DONE"/>
    <m/>
    <m/>
    <m/>
    <m/>
    <m/>
    <m/>
    <m/>
    <d v="2022-04-18T00:00:00"/>
    <d v="2024-03-02T00:00:00"/>
    <m/>
    <d v="2024-07-12T00:00:00"/>
    <d v="2024-07-12T00:00:00"/>
    <d v="2024-03-02T00:00:00"/>
    <s v="Done"/>
    <d v="2024-10-21T00:00:00"/>
    <d v="2024-06-04T00:00:00"/>
    <m/>
    <m/>
  </r>
  <r>
    <n v="77"/>
    <n v="30592"/>
    <s v="HLC-A"/>
    <s v="STB8J0141HLCD"/>
    <x v="0"/>
    <s v="CR"/>
    <s v="MUM"/>
    <d v="2018-01-29T00:00:00"/>
    <n v="141"/>
    <s v="Nashik"/>
    <s v="M-U7D2S04V.005,_x000a_MO-U7F2S240.005"/>
    <d v="2020-08-23T00:00:00"/>
    <s v="UAT2Y440.012"/>
    <d v="2020-12-12T00:00:00"/>
    <d v="2020-07-17T00:00:00"/>
    <d v="2024-06-30T00:00:00"/>
    <s v="Conv-A DONE"/>
    <s v="Conv-A DONE"/>
    <s v="Conv-A DONE"/>
    <s v="Conv-A DONE"/>
    <s v="Conv-A DONE"/>
    <s v="Conv-A DONE"/>
    <m/>
    <s v="YES"/>
    <m/>
    <m/>
    <m/>
    <s v="EL17G01017-R"/>
    <m/>
    <d v="2022-02-14T00:00:00"/>
    <d v="2024-05-24T00:00:00"/>
    <m/>
    <d v="2024-07-12T00:00:00"/>
    <d v="2024-07-12T00:00:00"/>
    <d v="2024-05-24T00:00:00"/>
    <s v="Done"/>
    <d v="2024-08-28T00:00:00"/>
    <d v="2024-08-28T00:00:00"/>
    <m/>
    <m/>
  </r>
  <r>
    <n v="78"/>
    <n v="30592"/>
    <s v="HLC-B"/>
    <s v="STB8J0139HLCD"/>
    <x v="0"/>
    <s v="CR"/>
    <s v="MUM"/>
    <d v="2018-01-29T00:00:00"/>
    <n v="139"/>
    <s v="Nashik"/>
    <s v="M-U7D2S04V.005,_x000a_MO-U7F2S240.005"/>
    <d v="2020-08-23T00:00:00"/>
    <s v="UAT2Y440.012"/>
    <d v="2020-12-12T00:00:00"/>
    <d v="2020-07-17T00:00:00"/>
    <d v="2024-06-30T00:00:00"/>
    <s v="Conv-B DONE"/>
    <s v="Conv-B DONE"/>
    <s v="Conv-B DONE"/>
    <s v="Conv-B DONE"/>
    <s v="Conv-B DONE"/>
    <s v="Conv-B DONE"/>
    <m/>
    <m/>
    <m/>
    <m/>
    <m/>
    <m/>
    <m/>
    <d v="2022-02-14T00:00:00"/>
    <d v="2024-05-24T00:00:00"/>
    <m/>
    <d v="2024-07-12T00:00:00"/>
    <d v="2024-07-12T00:00:00"/>
    <d v="2024-05-24T00:00:00"/>
    <s v="Done"/>
    <d v="2024-08-28T00:00:00"/>
    <d v="2024-08-28T00:00:00"/>
    <d v="2024-08-24T00:00:00"/>
    <m/>
  </r>
  <r>
    <n v="79"/>
    <n v="30818"/>
    <s v="HLC-A"/>
    <s v="STBDK0358HLCD"/>
    <x v="2"/>
    <s v="CR"/>
    <s v="MUM"/>
    <d v="2020-12-09T00:00:00"/>
    <n v="358"/>
    <s v="Nashik"/>
    <s v="M-U7D2S04V.005,_x000a_MO-U7F2S240.005"/>
    <d v="2021-05-12T00:00:00"/>
    <s v="UAT2Y44O.012"/>
    <d v="2021-01-16T00:00:00"/>
    <m/>
    <d v="2024-12-12T00:00:00"/>
    <s v="Conv-A DONE"/>
    <s v="Conv-A DONE"/>
    <s v="Conv-A DONE"/>
    <s v="Conv-A DONE"/>
    <s v="Conv-A DONE"/>
    <m/>
    <m/>
    <m/>
    <m/>
    <m/>
    <m/>
    <s v="EL19D01012-R"/>
    <m/>
    <d v="2022-05-21T00:00:00"/>
    <m/>
    <d v="2024-01-04T00:00:00"/>
    <d v="2024-07-10T00:00:00"/>
    <d v="2024-08-07T00:00:00"/>
    <d v="2024-01-04T00:00:00"/>
    <s v="Done"/>
    <m/>
    <m/>
    <d v="2024-08-20T00:00:00"/>
    <m/>
  </r>
  <r>
    <n v="80"/>
    <n v="30818"/>
    <s v="HLC-B"/>
    <s v="STBDK0369HLCD"/>
    <x v="2"/>
    <s v="CR"/>
    <s v="MUM"/>
    <d v="2020-12-09T00:00:00"/>
    <n v="369"/>
    <s v="Nashik"/>
    <s v="M-U7D2S04V.005,_x000a_MO-U7F2S240.005"/>
    <d v="2021-05-12T00:00:00"/>
    <s v="UAT2Y44O.012"/>
    <d v="2021-01-16T00:00:00"/>
    <m/>
    <d v="2024-12-12T00:00:00"/>
    <s v="Conv-B DONE"/>
    <s v="Conv-B DONE"/>
    <s v="Conv-B DONE"/>
    <s v="Conv-B DONE"/>
    <s v="Conv-B DONE"/>
    <m/>
    <m/>
    <m/>
    <m/>
    <m/>
    <m/>
    <s v="EL18K03029-R"/>
    <m/>
    <d v="2022-05-21T00:00:00"/>
    <d v="2023-06-06T00:00:00"/>
    <d v="2024-01-04T00:00:00"/>
    <d v="2024-07-10T00:00:00"/>
    <d v="2024-08-07T00:00:00"/>
    <d v="2024-01-04T00:00:00"/>
    <s v="Done"/>
    <m/>
    <d v="2024-07-21T00:00:00"/>
    <d v="2024-08-20T00:00:00"/>
    <m/>
  </r>
  <r>
    <n v="81"/>
    <n v="37267"/>
    <s v="HLC-A"/>
    <s v="STB7L0628HLCD"/>
    <x v="1"/>
    <s v="CR"/>
    <s v="MUM"/>
    <d v="2019-10-19T00:00:00"/>
    <n v="628"/>
    <s v="Nashik"/>
    <s v="S7Q1G04"/>
    <m/>
    <s v="UAT2Y44O.012"/>
    <d v="2021-12-15T00:00:00"/>
    <m/>
    <m/>
    <s v="Done by NW"/>
    <s v="Done by NW"/>
    <s v="Conv-B DONE"/>
    <s v="Conv-A DONE"/>
    <s v="Conv-B DONE"/>
    <m/>
    <m/>
    <m/>
    <m/>
    <m/>
    <m/>
    <m/>
    <m/>
    <d v="2022-03-31T00:00:00"/>
    <d v="2024-07-24T00:00:00"/>
    <d v="2024-03-23T00:00:00"/>
    <d v="2024-07-20T00:00:00"/>
    <d v="2024-12-20T00:00:00"/>
    <d v="2024-03-21T00:00:00"/>
    <s v="Done"/>
    <d v="2024-10-09T00:00:00"/>
    <d v="2024-03-23T00:00:00"/>
    <d v="2024-07-24T00:00:00"/>
    <m/>
  </r>
  <r>
    <n v="82"/>
    <n v="37267"/>
    <s v="HLC-B"/>
    <s v="STB7L0629HLCD"/>
    <x v="1"/>
    <s v="CR"/>
    <s v="MUM"/>
    <d v="2019-10-19T00:00:00"/>
    <n v="629"/>
    <s v="Nashik"/>
    <s v="S7Q1G04"/>
    <m/>
    <s v="UAT2Y44O.012"/>
    <d v="2020-12-17T00:00:00"/>
    <m/>
    <m/>
    <s v="Done by NW"/>
    <s v="Done by NW"/>
    <s v="Conv-A DONE"/>
    <s v="Conv-B DONE"/>
    <s v="Conv-A DONE"/>
    <m/>
    <m/>
    <m/>
    <m/>
    <m/>
    <m/>
    <m/>
    <m/>
    <d v="2022-03-31T00:00:00"/>
    <d v="2024-07-24T00:00:00"/>
    <d v="2024-03-23T00:00:00"/>
    <d v="2024-07-20T00:00:00"/>
    <d v="2024-12-20T00:00:00"/>
    <d v="2024-03-21T00:00:00"/>
    <s v="Done"/>
    <d v="2024-10-09T00:00:00"/>
    <d v="2024-03-23T00:00:00"/>
    <d v="2024-07-24T00:00:00"/>
    <m/>
  </r>
  <r>
    <n v="83"/>
    <n v="37270"/>
    <s v="HLC-A"/>
    <s v="STB6L0579HLCD"/>
    <x v="1"/>
    <s v="CR"/>
    <s v="MUM"/>
    <d v="2019-10-21T00:00:00"/>
    <n v="579"/>
    <s v="Nashik"/>
    <s v="M-U7D2S04V.005,_x000a_MO-U7F2S240.005"/>
    <d v="2020-08-01T00:00:00"/>
    <s v="UAT2Y440.012"/>
    <d v="2020-12-05T00:00:00"/>
    <d v="2020-02-08T00:00:00"/>
    <m/>
    <s v="Done by NW"/>
    <s v="Done by NW"/>
    <s v="Conv-B DONE"/>
    <s v="Conv-A DONE"/>
    <s v="Conv-B DONE"/>
    <m/>
    <m/>
    <m/>
    <m/>
    <m/>
    <m/>
    <m/>
    <m/>
    <d v="2022-05-07T00:00:00"/>
    <m/>
    <d v="2024-08-30T00:00:00"/>
    <d v="2024-08-30T00:00:00"/>
    <d v="2025-01-03T00:00:00"/>
    <d v="2024-01-20T00:00:00"/>
    <s v="Done"/>
    <m/>
    <m/>
    <d v="2025-01-20T00:00:00"/>
    <m/>
  </r>
  <r>
    <n v="84"/>
    <n v="37270"/>
    <s v="HLC-B"/>
    <s v="STB6L0578HLCD"/>
    <x v="1"/>
    <s v="CR"/>
    <s v="MUM"/>
    <d v="2019-10-21T00:00:00"/>
    <n v="578"/>
    <s v="Nashik"/>
    <s v="M-U7D2S04V.005,_x000a_MO-U7F2S240.005"/>
    <d v="2020-08-01T00:00:00"/>
    <s v="UAT2Y440.012"/>
    <d v="2020-12-05T00:00:00"/>
    <d v="2020-02-08T00:00:00"/>
    <m/>
    <s v="Done by NW"/>
    <s v="Done by NW"/>
    <s v="Conv-A DONE"/>
    <s v="Conv-B DONE"/>
    <s v="Conv-A DONE"/>
    <m/>
    <m/>
    <m/>
    <m/>
    <m/>
    <m/>
    <s v="EL17G01038-R"/>
    <m/>
    <d v="2022-05-07T00:00:00"/>
    <m/>
    <d v="2024-08-30T00:00:00"/>
    <d v="2024-08-30T00:00:00"/>
    <d v="2025-01-03T00:00:00"/>
    <d v="2024-01-20T00:00:00"/>
    <s v="Done"/>
    <m/>
    <m/>
    <d v="2025-01-20T00:00:00"/>
    <m/>
  </r>
  <r>
    <n v="85"/>
    <n v="37274"/>
    <s v="HLC-A"/>
    <s v="STB7L0596HLCD"/>
    <x v="0"/>
    <s v="CR"/>
    <s v="MUM"/>
    <d v="2019-10-23T00:00:00"/>
    <n v="596"/>
    <s v="Nashik"/>
    <s v="M-U7D2S04V.005,_x000a_MO-U7F2S240.005"/>
    <d v="2020-09-23T00:00:00"/>
    <s v="UAT2Y44O.012"/>
    <d v="2021-08-30T00:00:00"/>
    <d v="2020-03-20T00:00:00"/>
    <m/>
    <s v="Done by NW"/>
    <s v="Done by NW"/>
    <s v="Conv-A DONE"/>
    <s v="Conv-A DONE"/>
    <s v="Conv-A DONE"/>
    <m/>
    <m/>
    <m/>
    <m/>
    <m/>
    <m/>
    <s v="EL19D01026-R"/>
    <m/>
    <d v="2022-02-04T00:00:00"/>
    <d v="2024-08-07T00:00:00"/>
    <d v="2024-05-10T00:00:00"/>
    <d v="2024-08-07T00:00:00"/>
    <d v="2024-08-07T00:00:00"/>
    <d v="2024-08-07T00:00:00"/>
    <s v="Done"/>
    <d v="2024-08-07T00:00:00"/>
    <d v="2024-08-07T00:00:00"/>
    <d v="2024-11-21T00:00:00"/>
    <m/>
  </r>
  <r>
    <n v="86"/>
    <n v="37274"/>
    <s v="HLC-B"/>
    <s v="STB7L0597HLCD"/>
    <x v="0"/>
    <s v="CR"/>
    <s v="MUM"/>
    <d v="2019-10-23T00:00:00"/>
    <n v="597"/>
    <s v="Nashik"/>
    <s v="M-U7D2S04V.005,_x000a_MO-U7F2S240.005"/>
    <d v="2020-09-23T00:00:00"/>
    <s v="UAT2Y44O.012"/>
    <d v="2021-08-30T00:00:00"/>
    <d v="2020-03-20T00:00:00"/>
    <m/>
    <s v="Done by NW"/>
    <s v="Done by NW"/>
    <s v="Conv-B DONE"/>
    <s v="Conv-B DONE"/>
    <s v="Conv-B DONE"/>
    <m/>
    <m/>
    <m/>
    <m/>
    <m/>
    <m/>
    <m/>
    <m/>
    <d v="2022-02-04T00:00:00"/>
    <d v="2024-08-07T00:00:00"/>
    <d v="2024-05-10T00:00:00"/>
    <d v="2024-08-07T00:00:00"/>
    <d v="2024-08-07T00:00:00"/>
    <d v="2024-08-07T00:00:00"/>
    <s v="Done"/>
    <d v="2024-08-07T00:00:00"/>
    <d v="2024-08-07T00:00:00"/>
    <d v="2024-11-21T00:00:00"/>
    <m/>
  </r>
  <r>
    <n v="87"/>
    <n v="37276"/>
    <s v="HLC-A"/>
    <s v="STB7L0626HLCD"/>
    <x v="0"/>
    <s v="CR"/>
    <s v="MUM"/>
    <d v="2019-11-29T00:00:00"/>
    <n v="626"/>
    <s v="Nashik"/>
    <s v="M-U7D2S04V.005,_x000a_MO-U7F2S240.005"/>
    <d v="2020-12-22T00:00:00"/>
    <s v="UAT2Y44O.012"/>
    <d v="2021-09-01T00:00:00"/>
    <d v="2020-11-17T00:00:00"/>
    <m/>
    <s v="Done by NW"/>
    <s v="Done by NW"/>
    <s v="Conv-A DONE"/>
    <s v="Conv-A DONE"/>
    <s v="Conv-A DONE"/>
    <m/>
    <m/>
    <m/>
    <m/>
    <m/>
    <m/>
    <m/>
    <m/>
    <d v="2022-02-11T00:00:00"/>
    <d v="2024-03-30T00:00:00"/>
    <m/>
    <d v="2024-07-16T00:00:00"/>
    <d v="2024-07-16T00:00:00"/>
    <d v="2024-07-16T00:00:00"/>
    <s v="Done"/>
    <d v="2024-07-16T00:00:00"/>
    <d v="2024-07-16T00:00:00"/>
    <d v="2024-07-16T00:00:00"/>
    <m/>
  </r>
  <r>
    <n v="88"/>
    <n v="37276"/>
    <s v="HLC-B"/>
    <s v="STB7L0627HLCD"/>
    <x v="0"/>
    <s v="CR"/>
    <s v="MUM"/>
    <d v="2019-11-29T00:00:00"/>
    <n v="627"/>
    <s v="Nashik"/>
    <s v="M-U7D2S04V.005,_x000a_MO-U7F2S240.005"/>
    <d v="2020-12-22T00:00:00"/>
    <s v="UAT2Y44O.012"/>
    <d v="2021-09-01T00:00:00"/>
    <d v="2020-11-17T00:00:00"/>
    <m/>
    <s v="Done by NW"/>
    <s v="Done by NW"/>
    <s v="Conv-B DONE"/>
    <s v="Conv-B DONE"/>
    <s v="Conv-B DONE"/>
    <m/>
    <m/>
    <m/>
    <m/>
    <m/>
    <m/>
    <m/>
    <m/>
    <d v="2022-02-11T00:00:00"/>
    <d v="2024-03-30T00:00:00"/>
    <m/>
    <d v="2024-07-16T00:00:00"/>
    <d v="2024-07-16T00:00:00"/>
    <d v="2024-07-16T00:00:00"/>
    <s v="Done"/>
    <d v="2024-07-16T00:00:00"/>
    <d v="2024-07-16T00:00:00"/>
    <d v="2024-07-16T00:00:00"/>
    <m/>
  </r>
  <r>
    <n v="89"/>
    <n v="37323"/>
    <s v="HLC-A"/>
    <s v="STBNL0698HLCD"/>
    <x v="0"/>
    <s v="CR"/>
    <s v="MUM"/>
    <d v="2020-01-28T00:00:00"/>
    <n v="698"/>
    <s v="Nashik"/>
    <s v="M-U7D2S04V.005,_x000a_MO-U7F2S240.005"/>
    <d v="2020-10-17T00:00:00"/>
    <s v="UAT2Y44O.012"/>
    <d v="2021-10-13T00:00:00"/>
    <d v="2020-12-03T00:00:00"/>
    <m/>
    <s v="Done by NW"/>
    <s v="Done by NW"/>
    <s v="Conv-A DONE"/>
    <s v="Conv-A DONE"/>
    <s v="Conv-A DONE"/>
    <m/>
    <m/>
    <m/>
    <m/>
    <m/>
    <m/>
    <m/>
    <m/>
    <d v="2022-04-23T00:00:00"/>
    <d v="2024-08-21T00:00:00"/>
    <m/>
    <d v="2024-09-04T00:00:00"/>
    <d v="2024-09-04T00:00:00"/>
    <d v="2024-08-30T00:00:00"/>
    <s v="Done"/>
    <d v="2024-08-21T00:00:00"/>
    <d v="2024-08-21T00:00:00"/>
    <d v="2024-09-03T00:00:00"/>
    <m/>
  </r>
  <r>
    <n v="90"/>
    <n v="37323"/>
    <s v="HLC-B"/>
    <s v="STBNL0704HLCD"/>
    <x v="0"/>
    <s v="CR"/>
    <s v="MUM"/>
    <d v="2020-01-28T00:00:00"/>
    <n v="704"/>
    <s v="Nashik"/>
    <s v="M-U7D2S04V.005,_x000a_MO-U7F2S240.005"/>
    <d v="2020-10-17T00:00:00"/>
    <s v="UAT2Y44O.012"/>
    <d v="2021-10-13T00:00:00"/>
    <d v="2020-12-03T00:00:00"/>
    <m/>
    <s v="Done by NW"/>
    <s v="Done by NW"/>
    <s v="Conv-B DONE"/>
    <s v="Conv-B DONE"/>
    <s v="Conv-B DONE"/>
    <m/>
    <m/>
    <m/>
    <m/>
    <m/>
    <m/>
    <m/>
    <m/>
    <d v="2022-04-23T00:00:00"/>
    <d v="2024-08-21T00:00:00"/>
    <m/>
    <d v="2024-09-04T00:00:00"/>
    <d v="2024-09-04T00:00:00"/>
    <d v="2024-08-30T00:00:00"/>
    <s v="Done"/>
    <d v="2024-08-21T00:00:00"/>
    <d v="2024-08-21T00:00:00"/>
    <d v="2024-09-03T00:00:00"/>
    <m/>
  </r>
  <r>
    <n v="91"/>
    <n v="37325"/>
    <s v="HLC-A"/>
    <s v="STBNL0684HLCD"/>
    <x v="0"/>
    <s v="CR"/>
    <s v="MUM"/>
    <d v="2020-01-30T00:00:00"/>
    <n v="684"/>
    <s v="Nashik"/>
    <m/>
    <m/>
    <s v="UAT2Y44O.012"/>
    <d v="2022-02-04T00:00:00"/>
    <d v="2021-03-27T00:00:00"/>
    <m/>
    <s v="Done by NW"/>
    <s v="Done by NW"/>
    <s v="Conv-A DONE"/>
    <s v="Conv-A DONE"/>
    <s v="Conv-A DONE"/>
    <m/>
    <m/>
    <m/>
    <m/>
    <m/>
    <m/>
    <m/>
    <m/>
    <d v="2022-02-04T00:00:00"/>
    <d v="2024-02-02T00:00:00"/>
    <m/>
    <d v="2024-08-14T00:00:00"/>
    <d v="2024-08-14T00:00:00"/>
    <d v="2024-02-02T00:00:00"/>
    <s v="Done"/>
    <d v="2024-08-14T00:00:00"/>
    <d v="2024-08-14T00:00:00"/>
    <d v="2024-11-19T00:00:00"/>
    <m/>
  </r>
  <r>
    <n v="92"/>
    <n v="37325"/>
    <s v="HLC-B"/>
    <s v="STBNL0685HLCD"/>
    <x v="0"/>
    <s v="CR"/>
    <s v="MUM"/>
    <d v="2020-01-30T00:00:00"/>
    <n v="685"/>
    <s v="Nashik"/>
    <m/>
    <m/>
    <s v="UAT2Y44O.012"/>
    <d v="2022-02-04T00:00:00"/>
    <d v="2021-03-27T00:00:00"/>
    <m/>
    <s v="Done by NW"/>
    <s v="Done by NW"/>
    <s v="Conv-B DONE"/>
    <s v="Conv-B DONE"/>
    <s v="Conv-B DONE"/>
    <m/>
    <m/>
    <m/>
    <m/>
    <m/>
    <m/>
    <m/>
    <m/>
    <d v="2022-02-04T00:00:00"/>
    <d v="2024-02-02T00:00:00"/>
    <m/>
    <d v="2024-08-14T00:00:00"/>
    <d v="2024-08-14T00:00:00"/>
    <d v="2024-02-02T00:00:00"/>
    <s v="Done"/>
    <d v="2024-08-14T00:00:00"/>
    <d v="2024-08-14T00:00:00"/>
    <d v="2024-11-19T00:00:00"/>
    <m/>
  </r>
  <r>
    <n v="93"/>
    <n v="37329"/>
    <s v="HLC-A"/>
    <s v="STBNL0693HLCD"/>
    <x v="0"/>
    <s v="CR"/>
    <s v="MUM"/>
    <d v="2020-02-06T00:00:00"/>
    <n v="693"/>
    <s v="Nashik"/>
    <s v="M-U7D2S04V.005,_x000a_MO-U7F2S240.005"/>
    <d v="2020-08-02T00:00:00"/>
    <s v="UAT2Y44O.012"/>
    <d v="2021-03-16T00:00:00"/>
    <d v="2020-02-08T00:00:00"/>
    <d v="2024-10-23T00:00:00"/>
    <s v="Done by NW"/>
    <s v="Done by NW"/>
    <s v="Conv-A DONE"/>
    <s v="Conv-A DONE"/>
    <s v="Conv-A DONE"/>
    <m/>
    <m/>
    <m/>
    <m/>
    <m/>
    <m/>
    <s v="EL18B02009-R"/>
    <m/>
    <d v="2022-04-10T00:00:00"/>
    <d v="2024-03-04T00:00:00"/>
    <m/>
    <d v="2024-07-25T00:00:00"/>
    <d v="2024-07-25T00:00:00"/>
    <d v="2024-03-04T00:00:00"/>
    <m/>
    <d v="2024-06-17T00:00:00"/>
    <d v="2024-06-17T00:00:00"/>
    <d v="2024-09-28T00:00:00"/>
    <m/>
  </r>
  <r>
    <n v="94"/>
    <n v="37329"/>
    <s v="HLC-B"/>
    <s v="STBNL0701HLCD"/>
    <x v="0"/>
    <s v="CR"/>
    <s v="MUM"/>
    <d v="2020-02-06T00:00:00"/>
    <n v="701"/>
    <s v="Nashik"/>
    <s v="M-U7D2S04V.005,_x000a_MO-U7F2S240.005"/>
    <d v="2020-08-02T00:00:00"/>
    <s v="UAT2Y44O.012"/>
    <d v="2020-12-28T00:00:00"/>
    <d v="2020-02-08T00:00:00"/>
    <d v="2024-10-23T00:00:00"/>
    <s v="Done by NW"/>
    <s v="Done by NW"/>
    <s v="Conv-B DONE"/>
    <s v="Conv-B DONE"/>
    <s v="Conv-B DONE"/>
    <m/>
    <m/>
    <m/>
    <m/>
    <m/>
    <m/>
    <m/>
    <m/>
    <d v="2022-04-10T00:00:00"/>
    <d v="2024-03-04T00:00:00"/>
    <m/>
    <d v="2024-07-25T00:00:00"/>
    <d v="2024-07-25T00:00:00"/>
    <d v="2024-03-04T00:00:00"/>
    <s v="Done"/>
    <d v="2024-06-17T00:00:00"/>
    <d v="2024-06-17T00:00:00"/>
    <d v="2024-09-28T00:00:00"/>
    <m/>
  </r>
  <r>
    <n v="95"/>
    <n v="37333"/>
    <s v="HLC-A"/>
    <s v="STB6L0585HLCD"/>
    <x v="0"/>
    <s v="CR"/>
    <s v="MUM"/>
    <d v="2020-02-18T00:00:00"/>
    <n v="585"/>
    <s v="Nashik"/>
    <s v="M-U7D2S04V.005,_x000a_MO-U7F2S240.005"/>
    <d v="2020-09-12T00:00:00"/>
    <s v="UAT2Y44O.012"/>
    <d v="2022-02-09T00:00:00"/>
    <m/>
    <m/>
    <s v="Done by NW"/>
    <s v="Done by NW"/>
    <s v="Conv-A DONE"/>
    <s v="Conv-A DONE"/>
    <s v="Conv-A DONE"/>
    <m/>
    <m/>
    <m/>
    <m/>
    <m/>
    <m/>
    <m/>
    <m/>
    <d v="2022-02-09T00:00:00"/>
    <d v="2024-03-05T00:00:00"/>
    <m/>
    <d v="2024-07-24T00:00:00"/>
    <d v="2024-07-24T00:00:00"/>
    <d v="2024-03-05T00:00:00"/>
    <s v="Done"/>
    <d v="2024-09-21T00:00:00"/>
    <d v="2024-09-21T00:00:00"/>
    <d v="2024-09-20T00:00:00"/>
    <m/>
  </r>
  <r>
    <n v="96"/>
    <n v="37333"/>
    <s v="HLC-B"/>
    <s v="STBNL0706HLCD"/>
    <x v="0"/>
    <s v="CR"/>
    <s v="MUM"/>
    <d v="2020-02-18T00:00:00"/>
    <n v="706"/>
    <s v="Nashik"/>
    <s v="M-U7D2S04V.005,_x000a_MO-U7F2S240.005"/>
    <d v="2020-09-12T00:00:00"/>
    <s v="UAT2Y44O.012"/>
    <d v="2022-02-09T00:00:00"/>
    <m/>
    <m/>
    <s v="Done by NW"/>
    <s v="Done by NW"/>
    <s v="Conv-B DONE"/>
    <s v="Conv-B DONE"/>
    <s v="Conv-B DONE"/>
    <m/>
    <m/>
    <m/>
    <m/>
    <m/>
    <m/>
    <m/>
    <m/>
    <d v="2022-02-09T00:00:00"/>
    <d v="2023-07-30T00:00:00"/>
    <m/>
    <d v="2024-07-24T00:00:00"/>
    <d v="2024-07-24T00:00:00"/>
    <d v="2024-03-05T00:00:00"/>
    <s v="Done"/>
    <d v="2024-09-21T00:00:00"/>
    <d v="2024-09-21T00:00:00"/>
    <d v="2024-09-20T00:00:00"/>
    <m/>
  </r>
  <r>
    <n v="97"/>
    <n v="37335"/>
    <s v="HLC-A"/>
    <s v="STBNL0697HLCD"/>
    <x v="0"/>
    <s v="CR"/>
    <s v="MUM"/>
    <d v="2020-02-19T00:00:00"/>
    <n v="697"/>
    <s v="Nashik"/>
    <s v="M-U7D2S04V.005,_x000a_MO-U7F2S240.005"/>
    <s v="Done"/>
    <s v="UAT2Y44O.012"/>
    <d v="2021-11-24T00:00:00"/>
    <m/>
    <m/>
    <s v="Done by NW"/>
    <s v="Done by NW"/>
    <s v="Conv-A DONE"/>
    <s v="Conv-A DONE"/>
    <s v="Conv-A DONE"/>
    <m/>
    <m/>
    <m/>
    <m/>
    <m/>
    <m/>
    <m/>
    <m/>
    <d v="2022-04-17T00:00:00"/>
    <d v="2024-08-03T00:00:00"/>
    <m/>
    <d v="2024-08-03T00:00:00"/>
    <d v="2024-04-19T00:00:00"/>
    <d v="2024-04-19T00:00:00"/>
    <s v="Done"/>
    <d v="2024-08-03T00:00:00"/>
    <d v="2024-08-03T00:00:00"/>
    <d v="2024-11-05T00:00:00"/>
    <m/>
  </r>
  <r>
    <n v="98"/>
    <n v="37335"/>
    <s v="HLC-B"/>
    <s v="STB6L0572HLCD"/>
    <x v="0"/>
    <s v="CR"/>
    <s v="MUM"/>
    <d v="2020-02-19T00:00:00"/>
    <n v="572"/>
    <s v="Nashik"/>
    <s v="M-U7D2S04V.005,_x000a_MO-U7F2S240.005"/>
    <s v="Done"/>
    <s v="UAT2Y44O.012"/>
    <d v="2021-11-24T00:00:00"/>
    <m/>
    <m/>
    <s v="Done by NW"/>
    <s v="Done by NW"/>
    <s v="Conv-B DONE"/>
    <s v="Conv-B DONE"/>
    <s v="Conv-B DONE"/>
    <m/>
    <m/>
    <m/>
    <m/>
    <m/>
    <m/>
    <m/>
    <m/>
    <d v="2022-04-17T00:00:00"/>
    <d v="2024-08-03T00:00:00"/>
    <m/>
    <d v="2024-08-03T00:00:00"/>
    <d v="2024-04-19T00:00:00"/>
    <d v="2024-04-19T00:00:00"/>
    <s v="Done"/>
    <d v="2024-08-03T00:00:00"/>
    <d v="2024-08-03T00:00:00"/>
    <d v="2024-11-05T00:00:00"/>
    <m/>
  </r>
  <r>
    <n v="99"/>
    <n v="37434"/>
    <s v="HLC-A"/>
    <s v="STB6M0839HLCD"/>
    <x v="1"/>
    <s v="CR"/>
    <s v="MUM"/>
    <d v="2020-08-29T00:00:00"/>
    <n v="839"/>
    <s v="Nashik"/>
    <s v="M-U7D2S04V.005,_x000a_MO-U7F2S240.005"/>
    <d v="2020-12-22T00:00:00"/>
    <s v="UAT2Y44O.012"/>
    <d v="2021-10-09T00:00:00"/>
    <m/>
    <d v="2024-08-18T00:00:00"/>
    <s v="Done by NW"/>
    <s v="Done by NW"/>
    <s v="Conv-A DONE"/>
    <s v="Conv-A DONE"/>
    <s v="Conv-A DONE"/>
    <s v="Conv-A DONE"/>
    <m/>
    <s v="Done by NW"/>
    <m/>
    <m/>
    <m/>
    <m/>
    <m/>
    <d v="2022-02-05T00:00:00"/>
    <d v="2024-11-06T00:00:00"/>
    <d v="2024-01-30T00:00:00"/>
    <d v="2024-06-21T00:00:00"/>
    <d v="2024-03-04T00:00:00"/>
    <d v="2024-01-30T00:00:00"/>
    <s v="Done"/>
    <d v="2024-06-26T00:00:00"/>
    <m/>
    <d v="2025-01-30T00:00:00"/>
    <m/>
  </r>
  <r>
    <n v="100"/>
    <n v="37434"/>
    <s v="HLC-B"/>
    <s v="STB6M0837HLCD"/>
    <x v="1"/>
    <s v="CR"/>
    <s v="MUM"/>
    <d v="2020-08-29T00:00:00"/>
    <n v="837"/>
    <s v="Nashik"/>
    <s v="M-U7D2S04V.005,_x000a_MO-U7F2S240.005"/>
    <d v="2020-12-22T00:00:00"/>
    <s v="UAT2Y44O.012"/>
    <d v="2021-10-09T00:00:00"/>
    <m/>
    <d v="2024-08-18T00:00:00"/>
    <s v="Done by NW"/>
    <s v="Done by NW"/>
    <s v="Conv-B DONE"/>
    <s v="Conv-B DONE"/>
    <s v="Conv-B DONE"/>
    <s v="Conv-B DONE"/>
    <m/>
    <s v="Done by NW"/>
    <m/>
    <m/>
    <m/>
    <m/>
    <m/>
    <d v="2022-02-05T00:00:00"/>
    <d v="2024-11-06T00:00:00"/>
    <d v="2024-01-30T00:00:00"/>
    <d v="2024-06-21T00:00:00"/>
    <d v="2024-03-04T00:00:00"/>
    <d v="2024-01-30T00:00:00"/>
    <s v="Done"/>
    <d v="2024-06-26T00:00:00"/>
    <m/>
    <d v="2025-01-30T00:00:00"/>
    <m/>
  </r>
  <r>
    <n v="101"/>
    <n v="37443"/>
    <s v="HLC-A"/>
    <s v="STB6M0841HLCD"/>
    <x v="1"/>
    <s v="CR"/>
    <s v="MUM"/>
    <d v="2020-09-07T00:00:00"/>
    <n v="841"/>
    <s v="Nashik"/>
    <s v="M-U7D2S04V.005,_x000a_MO-U7F2S240.005"/>
    <s v="Done"/>
    <s v="UAT2Y44O.012"/>
    <d v="2022-02-04T00:00:00"/>
    <m/>
    <m/>
    <s v="Done by NW"/>
    <s v="Done by NW"/>
    <s v="Conv-A DONE"/>
    <s v="Conv-A DONE"/>
    <s v="Conv-A DONE"/>
    <m/>
    <m/>
    <s v="Done by NW"/>
    <m/>
    <m/>
    <m/>
    <s v="EL17G01029-R"/>
    <m/>
    <d v="2022-02-04T00:00:00"/>
    <m/>
    <s v="Done"/>
    <d v="2024-07-20T00:00:00"/>
    <d v="2024-07-20T00:00:00"/>
    <d v="2024-04-22T00:00:00"/>
    <s v="Done"/>
    <d v="2024-10-27T00:00:00"/>
    <m/>
    <d v="2025-01-10T00:00:00"/>
    <m/>
  </r>
  <r>
    <n v="102"/>
    <n v="37443"/>
    <s v="HLC-B"/>
    <s v="STB6M0846HLCD"/>
    <x v="1"/>
    <s v="CR"/>
    <s v="MUM"/>
    <d v="2020-09-07T00:00:00"/>
    <n v="846"/>
    <s v="Nashik"/>
    <s v="M-U7D2S04V.005,_x000a_MO-U7F2S240.005"/>
    <s v="Done"/>
    <s v="UAT2Y44O.012"/>
    <d v="2022-02-04T00:00:00"/>
    <m/>
    <m/>
    <s v="Done by NW"/>
    <s v="Done by NW"/>
    <s v="Conv-B DONE"/>
    <s v="Conv-B DONE"/>
    <s v="Conv-B DONE"/>
    <m/>
    <m/>
    <s v="Done by NW"/>
    <m/>
    <m/>
    <m/>
    <m/>
    <m/>
    <d v="2022-02-04T00:00:00"/>
    <m/>
    <s v="Done"/>
    <d v="2024-07-20T00:00:00"/>
    <d v="2024-07-20T00:00:00"/>
    <d v="2024-04-22T00:00:00"/>
    <s v="Done"/>
    <d v="2024-10-27T00:00:00"/>
    <m/>
    <d v="2025-01-10T00:00:00"/>
    <m/>
  </r>
  <r>
    <n v="103"/>
    <n v="37479"/>
    <s v="HLC-A"/>
    <s v="STB8M0899HLCD"/>
    <x v="1"/>
    <s v="CR"/>
    <s v="MUM"/>
    <d v="2020-11-26T00:00:00"/>
    <n v="899"/>
    <s v="Nashik"/>
    <s v="M-U7D2S04V.005,_x000a_MO-U7F2S240.005"/>
    <s v="Done by NW"/>
    <s v="UAT2Y44O.012"/>
    <d v="2021-01-02T00:00:00"/>
    <m/>
    <d v="2024-10-19T00:00:00"/>
    <s v="Done by NW"/>
    <s v="Done by NW"/>
    <s v="Conv-A DONE"/>
    <s v="Conv-A DONE"/>
    <s v="Conv-A DONE"/>
    <m/>
    <m/>
    <s v="Done by NW"/>
    <m/>
    <m/>
    <m/>
    <s v="EL17G01028-R"/>
    <m/>
    <d v="2022-02-21T00:00:00"/>
    <m/>
    <d v="2024-02-20T00:00:00"/>
    <d v="2024-08-23T00:00:00"/>
    <d v="2024-11-26T00:00:00"/>
    <d v="2024-02-20T00:00:00"/>
    <s v="Done"/>
    <m/>
    <m/>
    <d v="2024-11-26T00:00:00"/>
    <m/>
  </r>
  <r>
    <n v="104"/>
    <n v="37479"/>
    <s v="HLC-B"/>
    <s v="STB8M0903HLCD"/>
    <x v="1"/>
    <s v="CR"/>
    <s v="MUM"/>
    <d v="2020-11-26T00:00:00"/>
    <n v="903"/>
    <s v="Nashik"/>
    <s v="M-U7D2S04V.005,_x000a_MO-U7F2S240.005"/>
    <s v="Done by NW"/>
    <s v="UAT2Y44O.012"/>
    <d v="2021-01-02T00:00:00"/>
    <m/>
    <d v="2024-10-19T00:00:00"/>
    <s v="Done by NW"/>
    <s v="Done by NW"/>
    <s v="Conv-B DONE"/>
    <s v="Conv-B DONE"/>
    <s v="Conv-B DONE"/>
    <m/>
    <m/>
    <s v="Done by NW"/>
    <m/>
    <m/>
    <m/>
    <s v="19J04179-R"/>
    <m/>
    <d v="2022-02-21T00:00:00"/>
    <m/>
    <d v="2024-02-20T00:00:00"/>
    <d v="2024-08-23T00:00:00"/>
    <d v="2024-11-26T00:00:00"/>
    <d v="2024-02-20T00:00:00"/>
    <s v="Done"/>
    <m/>
    <m/>
    <d v="2024-11-26T00:00:00"/>
    <m/>
  </r>
  <r>
    <n v="105"/>
    <n v="37488"/>
    <s v="HLC-A"/>
    <s v="STB8M0948HLCD"/>
    <x v="0"/>
    <s v="CR"/>
    <s v="MUM"/>
    <d v="2020-11-29T00:00:00"/>
    <n v="948"/>
    <s v="Nashik"/>
    <s v="M-U7D2S04V.005,_x000a_MO-U7F2S240.005"/>
    <s v="Done by NW"/>
    <s v="UAT2Y44O.012"/>
    <d v="2021-09-20T00:00:00"/>
    <m/>
    <m/>
    <s v="Done by NW"/>
    <s v="Done by NW"/>
    <s v="Conv-A DONE"/>
    <s v="Conv-A DONE"/>
    <s v="Conv-A DONE"/>
    <m/>
    <m/>
    <s v="Done by NW"/>
    <m/>
    <m/>
    <m/>
    <m/>
    <m/>
    <d v="2022-02-09T00:00:00"/>
    <d v="2024-03-04T00:00:00"/>
    <m/>
    <d v="2024-10-09T00:00:00"/>
    <d v="2024-03-04T00:00:00"/>
    <d v="2024-03-04T00:00:00"/>
    <s v="Done"/>
    <d v="2024-12-23T00:00:00"/>
    <d v="2024-06-26T00:00:00"/>
    <d v="2024-10-09T00:00:00"/>
    <m/>
  </r>
  <r>
    <n v="106"/>
    <n v="37488"/>
    <s v="HLC-B"/>
    <s v="STB8M0949HLCD"/>
    <x v="0"/>
    <s v="CR"/>
    <s v="MUM"/>
    <d v="2020-11-29T00:00:00"/>
    <n v="949"/>
    <s v="Nashik"/>
    <s v="M-U7D2S04V.005,_x000a_MO-U7F2S240.005"/>
    <s v="Done by NW"/>
    <s v="UAT2Y44O.012"/>
    <d v="2021-09-20T00:00:00"/>
    <m/>
    <m/>
    <s v="Done by NW"/>
    <s v="Done by NW"/>
    <s v="Conv-B DONE"/>
    <s v="Conv-B DONE"/>
    <s v="Conv-B DONE"/>
    <m/>
    <m/>
    <s v="Done by NW"/>
    <m/>
    <m/>
    <m/>
    <m/>
    <m/>
    <d v="2022-02-09T00:00:00"/>
    <d v="2024-03-04T00:00:00"/>
    <m/>
    <d v="2024-10-09T00:00:00"/>
    <d v="2024-03-04T00:00:00"/>
    <d v="2024-03-04T00:00:00"/>
    <s v="Done"/>
    <d v="2024-12-23T00:00:00"/>
    <d v="2024-06-26T00:00:00"/>
    <d v="2024-10-09T00:00:00"/>
    <m/>
  </r>
  <r>
    <n v="107"/>
    <n v="37496"/>
    <s v="HLC-A"/>
    <s v="STB6M0848HLCD"/>
    <x v="1"/>
    <s v="CR"/>
    <s v="MUM"/>
    <d v="2020-12-12T00:00:00"/>
    <n v="848"/>
    <s v="Nashik"/>
    <m/>
    <m/>
    <s v="UAT2Y440.012"/>
    <d v="2021-01-15T00:00:00"/>
    <m/>
    <m/>
    <s v="Done by NW"/>
    <s v="Done by NW"/>
    <s v="Conv-A DONE"/>
    <s v="Conv-A DONE"/>
    <s v="Conv-A DONE"/>
    <s v="Conv-A DONE"/>
    <m/>
    <s v="Done by NW"/>
    <m/>
    <m/>
    <m/>
    <m/>
    <m/>
    <d v="2022-02-21T00:00:00"/>
    <m/>
    <s v="Done"/>
    <d v="2024-08-25T00:00:00"/>
    <d v="2024-04-19T00:00:00"/>
    <d v="2024-09-11T00:00:00"/>
    <s v="Done"/>
    <d v="2024-06-26T00:00:00"/>
    <m/>
    <d v="2024-08-20T00:00:00"/>
    <m/>
  </r>
  <r>
    <n v="108"/>
    <n v="37496"/>
    <s v="HLC-B"/>
    <s v="STB6M0849HLCD"/>
    <x v="1"/>
    <s v="CR"/>
    <s v="MUM"/>
    <d v="2020-12-12T00:00:00"/>
    <n v="849"/>
    <s v="Nashik"/>
    <m/>
    <m/>
    <s v="UAT2Y440.012"/>
    <d v="2021-01-15T00:00:00"/>
    <m/>
    <m/>
    <s v="Done by NW"/>
    <s v="Done by NW"/>
    <s v="Conv-B DONE"/>
    <s v="Conv-B DONE"/>
    <s v="Conv-B DONE"/>
    <s v="Conv-B DONE"/>
    <m/>
    <s v="Done by NW"/>
    <m/>
    <m/>
    <m/>
    <m/>
    <m/>
    <d v="2022-02-21T00:00:00"/>
    <d v="2024-10-01T00:00:00"/>
    <s v="Done"/>
    <d v="2024-08-25T00:00:00"/>
    <d v="2024-04-19T00:00:00"/>
    <d v="2024-09-11T00:00:00"/>
    <s v="Done"/>
    <d v="2024-06-26T00:00:00"/>
    <m/>
    <d v="2024-08-20T00:00:00"/>
    <m/>
  </r>
  <r>
    <n v="109"/>
    <n v="37498"/>
    <s v="HLC-A"/>
    <s v="STB8M0900HLCD"/>
    <x v="1"/>
    <s v="CR"/>
    <s v="MUM"/>
    <d v="2020-12-17T00:00:00"/>
    <n v="900"/>
    <s v="Nashik"/>
    <s v="M-U7D2S04V.005,_x000a_MO-U7F2S240.005"/>
    <s v="Done by NW"/>
    <s v="UAT2Y44O.012"/>
    <d v="2022-02-18T00:00:00"/>
    <m/>
    <m/>
    <s v="Done by NW"/>
    <s v="Done by NW"/>
    <s v="Conv-A DONE"/>
    <s v="Conv-A DONE"/>
    <s v="Conv-A DONE"/>
    <m/>
    <m/>
    <s v="Done by NW"/>
    <m/>
    <m/>
    <m/>
    <m/>
    <m/>
    <d v="2022-04-29T00:00:00"/>
    <d v="2024-10-01T00:00:00"/>
    <s v="Done"/>
    <d v="2024-08-23T00:00:00"/>
    <d v="2024-08-23T00:00:00"/>
    <d v="2024-11-20T00:00:00"/>
    <s v="Done"/>
    <d v="2024-06-18T00:00:00"/>
    <m/>
    <d v="2024-08-23T00:00:00"/>
    <m/>
  </r>
  <r>
    <n v="110"/>
    <n v="37498"/>
    <s v="HLC-B"/>
    <s v="STB8M0901HLCD"/>
    <x v="1"/>
    <s v="CR"/>
    <s v="MUM"/>
    <d v="2020-12-17T00:00:00"/>
    <n v="901"/>
    <s v="Nashik"/>
    <s v="M-U7D2S04V.005,_x000a_MO-U7F2S240.005"/>
    <s v="Done by NW"/>
    <s v="UAT2Y44O.012"/>
    <d v="2022-02-18T00:00:00"/>
    <m/>
    <m/>
    <s v="Done by NW"/>
    <s v="Done by NW"/>
    <s v="Conv-B DONE"/>
    <s v="Conv-B DONE"/>
    <s v="Conv-B DONE"/>
    <m/>
    <m/>
    <s v="Done by NW"/>
    <m/>
    <m/>
    <m/>
    <m/>
    <m/>
    <d v="2022-04-29T00:00:00"/>
    <m/>
    <s v="Done"/>
    <d v="2024-08-23T00:00:00"/>
    <d v="2024-08-23T00:00:00"/>
    <d v="2024-11-20T00:00:00"/>
    <s v="Done"/>
    <d v="2024-06-18T00:00:00"/>
    <m/>
    <d v="2024-08-23T00:00:00"/>
    <m/>
  </r>
  <r>
    <n v="111"/>
    <n v="37500"/>
    <s v="HLC-A"/>
    <s v="STB7M0874"/>
    <x v="1"/>
    <s v="CR"/>
    <s v="MUM"/>
    <d v="2020-12-21T00:00:00"/>
    <n v="874"/>
    <s v="Nashik"/>
    <m/>
    <m/>
    <s v="UAT2Y44O.012"/>
    <d v="2022-02-23T00:00:00"/>
    <m/>
    <d v="2024-07-20T00:00:00"/>
    <s v="Done by NW"/>
    <s v="Done by NW"/>
    <s v="Conv-A DONE"/>
    <s v="Conv-A DONE"/>
    <s v="Conv-A DONE"/>
    <m/>
    <m/>
    <s v="Done by NW"/>
    <m/>
    <m/>
    <m/>
    <m/>
    <m/>
    <d v="2022-04-21T00:00:00"/>
    <m/>
    <d v="2023-12-28T00:00:00"/>
    <d v="2024-07-03T00:00:00"/>
    <d v="2024-12-15T00:00:00"/>
    <d v="2024-12-16T00:00:00"/>
    <s v="Done"/>
    <m/>
    <m/>
    <d v="2024-07-08T00:00:00"/>
    <m/>
  </r>
  <r>
    <n v="112"/>
    <n v="37500"/>
    <s v="HLC-B"/>
    <s v="STB7M0875"/>
    <x v="1"/>
    <s v="CR"/>
    <s v="MUM"/>
    <d v="2020-12-21T00:00:00"/>
    <n v="875"/>
    <s v="Nashik"/>
    <m/>
    <m/>
    <s v="UAT2Y44O.012"/>
    <d v="2022-02-23T00:00:00"/>
    <m/>
    <d v="2024-07-20T00:00:00"/>
    <s v="Done by NW"/>
    <s v="Done by NW"/>
    <s v="Conv-B DONE"/>
    <s v="Conv-B DONE"/>
    <s v="Conv-B DONE"/>
    <m/>
    <m/>
    <s v="Done by NW"/>
    <m/>
    <m/>
    <m/>
    <s v="25.10.21"/>
    <m/>
    <d v="2022-04-21T00:00:00"/>
    <m/>
    <d v="2023-12-28T00:00:00"/>
    <d v="2024-07-03T00:00:00"/>
    <d v="2024-12-15T00:00:00"/>
    <d v="2024-12-16T00:00:00"/>
    <s v="Done"/>
    <m/>
    <m/>
    <d v="2024-07-08T00:00:00"/>
    <m/>
  </r>
  <r>
    <n v="113"/>
    <n v="37537"/>
    <s v="HLC-A"/>
    <s v="STB7M0862HLCD"/>
    <x v="0"/>
    <s v="CR"/>
    <s v="MUM"/>
    <d v="2021-01-29T00:00:00"/>
    <n v="862"/>
    <s v="Nashik"/>
    <s v="M-U7D2S04V.005,_x000a_MO-U7F2S240.005"/>
    <d v="2021-05-01T00:00:00"/>
    <s v="UAT2Y44O.012"/>
    <d v="2022-02-23T00:00:00"/>
    <m/>
    <d v="2024-09-15T00:00:00"/>
    <s v="Done by NW"/>
    <s v="Done by NW"/>
    <s v="Conv-A DONE"/>
    <s v="Conv-A DONE"/>
    <s v="Conv-A DONE"/>
    <m/>
    <m/>
    <s v="Done by NW"/>
    <m/>
    <m/>
    <m/>
    <m/>
    <m/>
    <d v="2022-09-02T00:00:00"/>
    <d v="2024-04-19T00:00:00"/>
    <m/>
    <d v="2024-08-30T00:00:00"/>
    <d v="2024-08-30T00:00:00"/>
    <d v="2024-04-19T00:00:00"/>
    <s v="Done"/>
    <d v="2024-10-19T00:00:00"/>
    <d v="2024-06-26T00:00:00"/>
    <d v="2024-10-19T00:00:00"/>
    <m/>
  </r>
  <r>
    <n v="114"/>
    <n v="37537"/>
    <s v="HLC-B"/>
    <s v="STB8M0931HLCD"/>
    <x v="0"/>
    <s v="CR"/>
    <s v="MUM"/>
    <d v="2021-01-29T00:00:00"/>
    <n v="931"/>
    <s v="Nashik"/>
    <s v="M-U7D2S04V.005,_x000a_MO-U7F2S240.005"/>
    <s v="Done by NW"/>
    <s v="UAT2Y44O.012"/>
    <d v="2022-02-23T00:00:00"/>
    <m/>
    <d v="2024-09-15T00:00:00"/>
    <s v="Done by NW"/>
    <s v="Done by NW"/>
    <s v="Conv-B DONE"/>
    <s v="Conv-B DONE"/>
    <s v="Conv-B DONE"/>
    <m/>
    <m/>
    <s v="Done by NW"/>
    <m/>
    <m/>
    <m/>
    <m/>
    <m/>
    <d v="2022-09-02T00:00:00"/>
    <d v="2024-04-19T00:00:00"/>
    <m/>
    <d v="2024-08-30T00:00:00"/>
    <d v="2024-08-30T00:00:00"/>
    <d v="2024-04-19T00:00:00"/>
    <s v="Done"/>
    <d v="2024-10-19T00:00:00"/>
    <d v="2024-06-26T00:00:00"/>
    <d v="2024-10-19T00:00:00"/>
    <m/>
  </r>
  <r>
    <n v="115"/>
    <n v="37565"/>
    <s v="HLC-A"/>
    <s v="STBDL0752"/>
    <x v="0"/>
    <s v="CR"/>
    <s v="MUM"/>
    <d v="2021-03-24T00:00:00"/>
    <n v="752"/>
    <s v="Nashik"/>
    <s v="M-U7D2S04V.005,_x000a_MO-U7F2S240.005"/>
    <d v="2021-05-10T00:00:00"/>
    <s v="UAT2Y44O.012"/>
    <d v="2021-09-21T00:00:00"/>
    <m/>
    <m/>
    <s v="Done by NW"/>
    <s v="Done by NW"/>
    <s v="Conv-A DONE"/>
    <s v="Conv-A DONE"/>
    <s v="Conv-A DONE"/>
    <m/>
    <m/>
    <m/>
    <m/>
    <m/>
    <m/>
    <m/>
    <m/>
    <d v="2022-02-05T00:00:00"/>
    <d v="2023-08-24T00:00:00"/>
    <m/>
    <d v="2024-07-11T00:00:00"/>
    <d v="2024-07-11T00:00:00"/>
    <d v="2024-03-08T00:00:00"/>
    <s v="Done"/>
    <m/>
    <d v="2024-07-07T00:00:00"/>
    <d v="2024-07-08T00:00:00"/>
    <m/>
  </r>
  <r>
    <n v="116"/>
    <n v="37565"/>
    <s v="HLC-B"/>
    <s v="STB5M0789"/>
    <x v="0"/>
    <s v="CR"/>
    <s v="MUM"/>
    <d v="2021-03-24T00:00:00"/>
    <n v="789"/>
    <s v="Nashik"/>
    <s v="M-U7D2S04V.005,_x000a_MO-U7F2S240.005"/>
    <d v="2021-05-10T00:00:00"/>
    <s v="UAT2Y44O.012"/>
    <d v="2021-09-21T00:00:00"/>
    <m/>
    <m/>
    <s v="Done by NW"/>
    <s v="Done by NW"/>
    <s v="Conv-B DONE"/>
    <s v="Conv-B DONE"/>
    <s v="Conv-B DONE"/>
    <m/>
    <m/>
    <s v="Done by NW"/>
    <m/>
    <m/>
    <m/>
    <m/>
    <m/>
    <d v="2022-02-05T00:00:00"/>
    <d v="2023-08-24T00:00:00"/>
    <m/>
    <d v="2024-07-11T00:00:00"/>
    <d v="2024-07-11T00:00:00"/>
    <d v="2024-03-08T00:00:00"/>
    <s v="Done"/>
    <m/>
    <d v="2024-07-07T00:00:00"/>
    <d v="2024-07-08T00:00:00"/>
    <m/>
  </r>
  <r>
    <n v="117"/>
    <n v="37572"/>
    <s v="HLC-A"/>
    <s v="STB5M0798"/>
    <x v="0"/>
    <s v="CR"/>
    <s v="MUM"/>
    <d v="2021-04-06T00:00:00"/>
    <n v="798"/>
    <s v="Nashik"/>
    <s v="M-U7D2S04V.005,_x000a_MO-U7F2S240.005"/>
    <d v="2021-05-27T00:00:00"/>
    <s v="UAT2Y44O.012"/>
    <d v="2021-09-20T00:00:00"/>
    <m/>
    <m/>
    <s v="Done by NW"/>
    <s v="Done by NW"/>
    <s v="Conv-A DONE"/>
    <s v="Conv-A DONE"/>
    <s v="Conv-A DONE"/>
    <m/>
    <m/>
    <s v="Done by NW"/>
    <m/>
    <m/>
    <m/>
    <m/>
    <m/>
    <d v="2022-02-03T00:00:00"/>
    <d v="2024-04-05T00:00:00"/>
    <m/>
    <d v="2024-07-13T00:00:00"/>
    <d v="2024-07-13T00:00:00"/>
    <d v="2024-07-13T00:00:00"/>
    <s v="Done"/>
    <d v="2024-07-13T00:00:00"/>
    <d v="2024-07-13T00:00:00"/>
    <d v="2024-07-13T00:00:00"/>
    <m/>
  </r>
  <r>
    <n v="118"/>
    <n v="37572"/>
    <s v="HLC-B"/>
    <s v="STB5M0800"/>
    <x v="0"/>
    <s v="CR"/>
    <s v="MUM"/>
    <d v="2021-04-06T00:00:00"/>
    <n v="800"/>
    <s v="Nashik"/>
    <s v="M-U7D2S04V.005,_x000a_MO-U7F2S240.005"/>
    <d v="2021-05-27T00:00:00"/>
    <s v="UAT2Y44O.012"/>
    <d v="2021-09-20T00:00:00"/>
    <m/>
    <m/>
    <s v="Done by NW"/>
    <s v="Done by NW"/>
    <s v="Conv-B DONE"/>
    <s v="Conv-B DONE"/>
    <s v="Conv-B DONE"/>
    <m/>
    <m/>
    <s v="Done by NW"/>
    <m/>
    <m/>
    <m/>
    <m/>
    <m/>
    <d v="2022-02-03T00:00:00"/>
    <d v="2024-04-05T00:00:00"/>
    <m/>
    <d v="2024-07-13T00:00:00"/>
    <d v="2024-07-13T00:00:00"/>
    <d v="2024-07-13T00:00:00"/>
    <s v="Done"/>
    <d v="2024-07-13T00:00:00"/>
    <d v="2024-07-13T00:00:00"/>
    <d v="2024-07-13T00:00:00"/>
    <m/>
  </r>
  <r>
    <n v="119"/>
    <n v="37574"/>
    <s v="HLC-A"/>
    <s v="STB5M0799"/>
    <x v="1"/>
    <s v="CR"/>
    <s v="MUM"/>
    <d v="2021-04-06T00:00:00"/>
    <n v="799"/>
    <s v="Nashik"/>
    <m/>
    <m/>
    <s v="UAT2Y44O.012"/>
    <d v="2021-09-27T00:00:00"/>
    <m/>
    <m/>
    <s v="Done by NW"/>
    <s v="Done by NW"/>
    <m/>
    <s v="Conv-A DONE"/>
    <m/>
    <m/>
    <m/>
    <s v="Done by NW"/>
    <m/>
    <m/>
    <m/>
    <m/>
    <m/>
    <d v="2022-04-08T00:00:00"/>
    <m/>
    <d v="2024-03-05T00:00:00"/>
    <d v="2024-07-29T00:00:00"/>
    <d v="2024-07-17T00:00:00"/>
    <d v="2024-03-05T00:00:00"/>
    <s v="Done"/>
    <d v="2024-11-27T00:00:00"/>
    <d v="2024-03-25T00:00:00"/>
    <d v="2024-12-22T00:00:00"/>
    <m/>
  </r>
  <r>
    <n v="120"/>
    <n v="37574"/>
    <s v="HLC-A"/>
    <s v="STBNM1034"/>
    <x v="1"/>
    <s v="CR"/>
    <s v="MUM"/>
    <d v="2021-04-06T00:00:00"/>
    <n v="1034"/>
    <s v="Nashik"/>
    <s v="M-U7D2S04V.005,_x000a_MO-U7F2S240.005"/>
    <s v="Done by NW"/>
    <s v="UAT2Y44O.012"/>
    <d v="2021-09-27T00:00:00"/>
    <m/>
    <m/>
    <s v="Done by NW"/>
    <s v="Done by NW"/>
    <m/>
    <s v="Conv-B DONE"/>
    <m/>
    <s v="Conv-A DONE"/>
    <m/>
    <s v="Done by NW"/>
    <m/>
    <m/>
    <m/>
    <m/>
    <m/>
    <d v="2022-04-08T00:00:00"/>
    <m/>
    <d v="2024-03-05T00:00:00"/>
    <d v="2024-07-29T00:00:00"/>
    <d v="2024-07-17T00:00:00"/>
    <d v="2024-03-05T00:00:00"/>
    <s v="Done"/>
    <d v="2024-11-27T00:00:00"/>
    <d v="2024-03-25T00:00:00"/>
    <d v="2024-11-27T00:00:00"/>
    <m/>
  </r>
  <r>
    <n v="121"/>
    <n v="37575"/>
    <s v="HLC-A"/>
    <s v="STB5M0801"/>
    <x v="1"/>
    <s v="CR"/>
    <s v="MUM"/>
    <d v="2021-04-06T00:00:00"/>
    <n v="801"/>
    <s v="Nashik"/>
    <s v="M-U7D2S04V.005,_x000a_MO-U7F2S240.005"/>
    <s v="Done"/>
    <s v="UAT2Y44O.012"/>
    <d v="2021-09-20T00:00:00"/>
    <m/>
    <m/>
    <s v="Done by NW"/>
    <s v="Done by NW"/>
    <s v="Conv-A DONE"/>
    <s v="Conv-A DONE"/>
    <m/>
    <s v="Conv-B DONE"/>
    <m/>
    <s v="Done by NW"/>
    <m/>
    <m/>
    <m/>
    <m/>
    <m/>
    <d v="2022-02-14T00:00:00"/>
    <m/>
    <d v="2024-02-08T00:00:00"/>
    <d v="2024-07-29T00:00:00"/>
    <d v="2024-07-12T00:00:00"/>
    <d v="2024-11-13T00:00:00"/>
    <s v="Done"/>
    <m/>
    <d v="2024-03-24T00:00:00"/>
    <d v="2024-11-13T00:00:00"/>
    <m/>
  </r>
  <r>
    <n v="122"/>
    <n v="37575"/>
    <s v="HLC-B"/>
    <s v="STB5M0803"/>
    <x v="1"/>
    <s v="CR"/>
    <s v="MUM"/>
    <d v="2021-04-06T00:00:00"/>
    <n v="803"/>
    <s v="Nashik"/>
    <s v="M-U7D2S04V.005,_x000a_MO-U7F2S240.005"/>
    <s v="Done"/>
    <s v="UAT2Y44O.012"/>
    <d v="2021-09-20T00:00:00"/>
    <m/>
    <m/>
    <s v="Done by NW"/>
    <s v="Done by NW"/>
    <s v="Conv-B DONE"/>
    <s v="Conv-B DONE"/>
    <m/>
    <m/>
    <m/>
    <s v="Done by NW"/>
    <m/>
    <m/>
    <m/>
    <m/>
    <m/>
    <d v="2022-02-14T00:00:00"/>
    <m/>
    <d v="2024-02-08T00:00:00"/>
    <d v="2024-07-29T00:00:00"/>
    <d v="2024-07-12T00:00:00"/>
    <d v="2024-11-13T00:00:00"/>
    <s v="Done"/>
    <m/>
    <d v="2024-03-24T00:00:00"/>
    <d v="2024-11-13T00:00:00"/>
    <m/>
  </r>
  <r>
    <n v="123"/>
    <n v="39033"/>
    <s v="HLC-A"/>
    <s v="STB5K0235HLCD"/>
    <x v="0"/>
    <s v="CR"/>
    <s v="MUM"/>
    <d v="2019-04-13T00:00:00"/>
    <n v="235"/>
    <s v="Nashik"/>
    <s v="M-U7D2S04V.005,_x000a_MO-U7F2S240.005"/>
    <d v="2020-09-23T00:00:00"/>
    <s v="UAT2Y44O.012"/>
    <d v="2022-02-16T00:00:00"/>
    <d v="2020-03-03T00:00:00"/>
    <d v="2024-12-10T00:00:00"/>
    <s v="Conv-A DONE"/>
    <s v="Conv-A DONE"/>
    <s v="Conv-A DONE"/>
    <s v="Conv-A DONE"/>
    <s v="Conv-A DONE"/>
    <s v="Conv-A DONE"/>
    <m/>
    <m/>
    <m/>
    <m/>
    <m/>
    <s v="EL18K02003-R"/>
    <m/>
    <d v="2022-02-21T00:00:00"/>
    <d v="2024-05-29T00:00:00"/>
    <m/>
    <d v="2024-07-17T00:00:00"/>
    <d v="2024-07-17T00:00:00"/>
    <d v="2024-05-29T00:00:00"/>
    <s v="Done"/>
    <d v="2024-09-25T00:00:00"/>
    <d v="2024-07-17T00:00:00"/>
    <d v="2024-09-24T00:00:00"/>
    <m/>
  </r>
  <r>
    <n v="124"/>
    <n v="39033"/>
    <s v="HLC-B"/>
    <s v="STB5K0234HLCD"/>
    <x v="0"/>
    <s v="CR"/>
    <s v="MUM"/>
    <d v="2019-04-13T00:00:00"/>
    <n v="234"/>
    <s v="Nashik"/>
    <s v="M-U7D2S04V.005,_x000a_MO-U7F2S240.005"/>
    <d v="2020-09-23T00:00:00"/>
    <s v="UAT2Y44O.012"/>
    <d v="2022-02-16T00:00:00"/>
    <d v="2020-03-03T00:00:00"/>
    <d v="2024-12-10T00:00:00"/>
    <s v="Conv-B DONE"/>
    <s v="Conv-B DONE"/>
    <s v="Conv-B DONE"/>
    <s v="Conv-B DONE"/>
    <s v="Conv-B DONE"/>
    <s v="Conv-B DONE"/>
    <m/>
    <m/>
    <m/>
    <m/>
    <m/>
    <s v="EL19J04167-R"/>
    <m/>
    <d v="2022-02-21T00:00:00"/>
    <d v="2024-05-29T00:00:00"/>
    <m/>
    <d v="2024-07-17T00:00:00"/>
    <d v="2024-07-17T00:00:00"/>
    <d v="2024-05-29T00:00:00"/>
    <s v="Done"/>
    <d v="2024-09-25T00:00:00"/>
    <d v="2024-07-17T00:00:00"/>
    <d v="2024-09-24T00:00:00"/>
    <m/>
  </r>
  <r>
    <n v="125"/>
    <n v="39045"/>
    <s v="HLC-A"/>
    <s v="STB0K0304HLCD"/>
    <x v="0"/>
    <s v="CR"/>
    <s v="MUM"/>
    <d v="2019-04-23T00:00:00"/>
    <n v="304"/>
    <s v="Nashik"/>
    <s v="M-U7D2S04V.005,_x000a_MO-U7F2S240.005"/>
    <d v="2020-10-23T00:00:00"/>
    <s v="UAT2Y44O.012"/>
    <d v="2022-02-16T00:00:00"/>
    <d v="2020-03-20T00:00:00"/>
    <d v="2024-12-21T00:00:00"/>
    <s v="Conv-A DONE"/>
    <s v="Conv-A DONE"/>
    <s v="Conv-A DONE"/>
    <s v="Conv-A DONE"/>
    <s v="Conv-A DONE"/>
    <s v="Conv-A DONE"/>
    <m/>
    <m/>
    <m/>
    <m/>
    <m/>
    <m/>
    <m/>
    <d v="2022-02-21T00:00:00"/>
    <m/>
    <m/>
    <d v="2024-07-12T00:00:00"/>
    <d v="2024-07-12T00:00:00"/>
    <d v="2024-03-26T00:00:00"/>
    <s v="Done"/>
    <d v="2024-10-05T00:00:00"/>
    <d v="2024-07-12T00:00:00"/>
    <d v="2024-10-05T00:00:00"/>
    <m/>
  </r>
  <r>
    <n v="126"/>
    <n v="39045"/>
    <s v="HLC-B"/>
    <s v="STB0K0305HLCD"/>
    <x v="0"/>
    <s v="CR"/>
    <s v="MUM"/>
    <d v="2019-04-23T00:00:00"/>
    <n v="305"/>
    <s v="Nashik"/>
    <s v="M-U7D2S04V.005,_x000a_MO-U7F2S240.005"/>
    <d v="2020-10-23T00:00:00"/>
    <s v="UAT2Y44O.012"/>
    <d v="2022-02-16T00:00:00"/>
    <d v="2020-03-20T00:00:00"/>
    <d v="2024-12-21T00:00:00"/>
    <s v="Conv-B DONE"/>
    <s v="Conv-B DONE"/>
    <s v="Conv-B DONE"/>
    <s v="Conv-B DONE"/>
    <s v="Conv-B DONE"/>
    <s v="Conv-B DONE"/>
    <m/>
    <m/>
    <m/>
    <m/>
    <m/>
    <m/>
    <m/>
    <d v="2022-02-21T00:00:00"/>
    <m/>
    <m/>
    <d v="2024-07-12T00:00:00"/>
    <d v="2024-07-12T00:00:00"/>
    <d v="2024-03-26T00:00:00"/>
    <s v="Done"/>
    <d v="2024-10-05T00:00:00"/>
    <d v="2024-07-12T00:00:00"/>
    <d v="2024-10-05T00:00:00"/>
    <m/>
  </r>
  <r>
    <n v="127"/>
    <n v="39056"/>
    <s v="HLC-A"/>
    <s v="STB1L0391HLCD"/>
    <x v="0"/>
    <s v="CR"/>
    <s v="MUM"/>
    <d v="2019-06-18T00:00:00"/>
    <n v="391"/>
    <s v="Nashik"/>
    <s v="M-U7D2S04V.005,_x000a_MO-U7F2S240.005"/>
    <d v="2020-09-18T00:00:00"/>
    <s v="UAT2Y44O.012"/>
    <d v="2021-11-25T00:00:00"/>
    <d v="2020-12-03T00:00:00"/>
    <d v="2024-11-01T00:00:00"/>
    <s v="Conv-A DONE"/>
    <s v="Conv-A DONE"/>
    <s v="Conv-A DONE"/>
    <s v="Conv-A DONE"/>
    <s v="Conv-A DONE"/>
    <s v="Conv-A DONE"/>
    <m/>
    <m/>
    <m/>
    <m/>
    <m/>
    <m/>
    <m/>
    <d v="2022-04-25T00:00:00"/>
    <d v="2024-07-06T00:00:00"/>
    <m/>
    <d v="2024-09-24T00:00:00"/>
    <d v="2024-09-24T00:00:00"/>
    <d v="2024-07-06T00:00:00"/>
    <s v="Done"/>
    <d v="2024-10-29T00:00:00"/>
    <d v="2024-07-06T00:00:00"/>
    <d v="2024-07-06T00:00:00"/>
    <m/>
  </r>
  <r>
    <n v="128"/>
    <n v="39056"/>
    <s v="HLC-B"/>
    <s v="STB1L0398HLCD"/>
    <x v="0"/>
    <s v="CR"/>
    <s v="MUM"/>
    <d v="2019-06-18T00:00:00"/>
    <n v="398"/>
    <s v="Nashik"/>
    <s v="M-U7D2S04V.005,_x000a_MO-U7F2S240.005"/>
    <d v="2020-09-18T00:00:00"/>
    <s v="UAT2Y44O.012"/>
    <d v="2021-11-25T00:00:00"/>
    <d v="2020-12-03T00:00:00"/>
    <d v="2024-11-01T00:00:00"/>
    <s v="Conv-B DONE"/>
    <s v="Conv-B DONE"/>
    <s v="Conv-B DONE"/>
    <s v="Conv-B DONE"/>
    <s v="Conv-B DONE"/>
    <s v="Conv-B DONE"/>
    <m/>
    <m/>
    <m/>
    <m/>
    <m/>
    <s v="EL17G01017-R"/>
    <m/>
    <d v="2022-04-25T00:00:00"/>
    <d v="2024-07-06T00:00:00"/>
    <m/>
    <d v="2024-09-24T00:00:00"/>
    <d v="2024-09-24T00:00:00"/>
    <d v="2024-07-06T00:00:00"/>
    <s v="Done"/>
    <d v="2024-10-29T00:00:00"/>
    <d v="2024-07-06T00:00:00"/>
    <d v="2024-07-06T00:00:00"/>
    <m/>
  </r>
  <r>
    <n v="129"/>
    <n v="39061"/>
    <s v="HLC-A"/>
    <s v="STB1L0396HLCD"/>
    <x v="0"/>
    <s v="CR"/>
    <s v="MUM"/>
    <d v="2019-06-20T00:00:00"/>
    <n v="396"/>
    <s v="Nashik"/>
    <s v="M-U7D2S04V.005,_x000a_MO-U7F2S240.005"/>
    <d v="2020-09-11T00:00:00"/>
    <s v="UAT2Y44O.012"/>
    <d v="2022-02-03T00:00:00"/>
    <d v="2020-02-28T00:00:00"/>
    <m/>
    <s v="Conv-A DONE"/>
    <s v="Conv-A DONE"/>
    <s v="Conv-A DONE"/>
    <s v="Conv-A DONE"/>
    <s v="Conv-A DONE"/>
    <s v="Conv-A DONE"/>
    <m/>
    <m/>
    <m/>
    <m/>
    <m/>
    <s v="23.06.21"/>
    <m/>
    <d v="2022-02-14T00:00:00"/>
    <d v="2024-07-19T00:00:00"/>
    <m/>
    <d v="2024-07-19T00:00:00"/>
    <d v="2024-07-19T00:00:00"/>
    <d v="2024-07-19T00:00:00"/>
    <s v="Done"/>
    <d v="2025-03-05T00:00:00"/>
    <d v="2024-07-19T00:00:00"/>
    <d v="2025-03-05T00:00:00"/>
    <m/>
  </r>
  <r>
    <n v="130"/>
    <n v="39061"/>
    <s v="HLC-B"/>
    <s v="STB1L0394HLCD"/>
    <x v="0"/>
    <s v="CR"/>
    <s v="MUM"/>
    <d v="2019-06-20T00:00:00"/>
    <n v="394"/>
    <s v="Nashik"/>
    <s v="M-U7D2S04V.005,_x000a_MO-U7F2S240.005"/>
    <d v="2020-09-11T00:00:00"/>
    <s v="UAT2Y44O.012"/>
    <d v="2022-02-03T00:00:00"/>
    <d v="2020-02-28T00:00:00"/>
    <m/>
    <s v="Conv-B DONE"/>
    <s v="Conv-B DONE"/>
    <s v="Conv-B DONE"/>
    <s v="Conv-B DONE"/>
    <s v="Conv-B DONE"/>
    <s v="Conv-B DONE"/>
    <m/>
    <m/>
    <m/>
    <m/>
    <m/>
    <m/>
    <m/>
    <d v="2022-02-14T00:00:00"/>
    <d v="2024-07-19T00:00:00"/>
    <m/>
    <d v="2024-07-19T00:00:00"/>
    <d v="2024-07-19T00:00:00"/>
    <d v="2024-07-19T00:00:00"/>
    <s v="Done"/>
    <d v="2025-03-05T00:00:00"/>
    <d v="2024-07-19T00:00:00"/>
    <d v="2025-03-05T00:00:00"/>
    <m/>
  </r>
  <r>
    <n v="131"/>
    <n v="39062"/>
    <s v="HLC-A"/>
    <s v="STB1L0392HLCD"/>
    <x v="0"/>
    <s v="CR"/>
    <s v="MUM"/>
    <d v="2019-06-24T00:00:00"/>
    <n v="392"/>
    <s v="Nashik"/>
    <s v="M-U7D2S04V.005,_x000a_MO-U7F2S240.005"/>
    <d v="2020-09-23T00:00:00"/>
    <s v="UAT2Y44O.012"/>
    <d v="2021-09-18T00:00:00"/>
    <d v="2020-03-30T00:00:00"/>
    <m/>
    <s v="Conv-A DONE"/>
    <s v="Conv-A DONE"/>
    <s v="Conv-A DONE"/>
    <s v="Conv-A DONE"/>
    <s v="Conv-A DONE"/>
    <s v="Conv-A DONE"/>
    <m/>
    <m/>
    <m/>
    <m/>
    <m/>
    <s v="19.07.21"/>
    <m/>
    <d v="2022-02-14T00:00:00"/>
    <d v="2024-04-08T00:00:00"/>
    <m/>
    <d v="2024-07-17T00:00:00"/>
    <d v="2024-07-17T00:00:00"/>
    <d v="2024-07-18T00:00:00"/>
    <s v="Done"/>
    <d v="2024-07-17T00:00:00"/>
    <d v="2024-07-17T00:00:00"/>
    <d v="2025-06-13T00:00:00"/>
    <m/>
  </r>
  <r>
    <n v="132"/>
    <n v="39062"/>
    <s v="HLC-B"/>
    <s v="STB1L0395HLCD"/>
    <x v="0"/>
    <s v="CR"/>
    <s v="MUM"/>
    <d v="2019-06-24T00:00:00"/>
    <n v="395"/>
    <s v="Nashik"/>
    <s v="M-U7D2S04V.005,_x000a_MO-U7F2S240.005"/>
    <d v="2020-09-23T00:00:00"/>
    <s v="UAT2Y44O.012"/>
    <d v="2021-09-18T00:00:00"/>
    <d v="2020-03-30T00:00:00"/>
    <m/>
    <s v="Conv-B DONE"/>
    <s v="Conv-B DONE"/>
    <s v="Conv-B DONE"/>
    <s v="Conv-B DONE"/>
    <s v="Conv-B DONE"/>
    <s v="Conv-B DONE"/>
    <m/>
    <m/>
    <m/>
    <m/>
    <m/>
    <m/>
    <m/>
    <d v="2022-02-14T00:00:00"/>
    <d v="2024-04-08T00:00:00"/>
    <m/>
    <d v="2024-07-17T00:00:00"/>
    <d v="2024-07-17T00:00:00"/>
    <d v="2024-07-18T00:00:00"/>
    <s v="Done"/>
    <d v="2024-07-17T00:00:00"/>
    <d v="2024-07-17T00:00:00"/>
    <d v="2025-06-13T00:00:00"/>
    <m/>
  </r>
  <r>
    <n v="133"/>
    <n v="39130"/>
    <s v="HLC-A"/>
    <s v="STB0L0656HLCD"/>
    <x v="0"/>
    <s v="CR"/>
    <s v="MUM"/>
    <d v="2020-02-14T00:00:00"/>
    <n v="656"/>
    <s v="Nashik"/>
    <s v="M-U7D2S04V.005,_x000a_MO-U7F2S240.005"/>
    <d v="2020-08-24T00:00:00"/>
    <s v="UAT2Y44O.012"/>
    <d v="2021-08-28T00:00:00"/>
    <m/>
    <m/>
    <s v="Done by NW"/>
    <s v="Done by NW"/>
    <s v="Conv-A DONE"/>
    <s v="Conv-A DONE"/>
    <s v="Conv-A DONE"/>
    <m/>
    <m/>
    <m/>
    <m/>
    <m/>
    <m/>
    <s v="21.08.21"/>
    <m/>
    <d v="2022-02-03T00:00:00"/>
    <d v="2024-06-05T00:00:00"/>
    <m/>
    <d v="2024-09-21T00:00:00"/>
    <d v="2024-09-21T00:00:00"/>
    <d v="2024-06-05T00:00:00"/>
    <s v="Done"/>
    <d v="2024-09-21T00:00:00"/>
    <d v="2024-06-05T00:00:00"/>
    <d v="2024-09-21T00:00:00"/>
    <m/>
  </r>
  <r>
    <n v="134"/>
    <n v="39130"/>
    <s v="HLC-B"/>
    <s v="STB0L0655HLCD"/>
    <x v="0"/>
    <s v="CR"/>
    <s v="MUM"/>
    <d v="2020-02-14T00:00:00"/>
    <n v="655"/>
    <s v="Nashik"/>
    <s v="M-U7D2S04V.005,_x000a_MO-U7F2S240.005"/>
    <d v="2020-08-24T00:00:00"/>
    <s v="UAT2Y44O.012"/>
    <d v="2021-08-28T00:00:00"/>
    <m/>
    <m/>
    <s v="Done by NW"/>
    <s v="Done by NW"/>
    <s v="Conv-B DONE"/>
    <s v="Conv-B DONE"/>
    <s v="Conv-B DONE"/>
    <m/>
    <m/>
    <m/>
    <m/>
    <m/>
    <m/>
    <m/>
    <m/>
    <d v="2022-02-03T00:00:00"/>
    <d v="2024-06-05T00:00:00"/>
    <m/>
    <d v="2024-09-21T00:00:00"/>
    <d v="2024-09-21T00:00:00"/>
    <d v="2024-06-05T00:00:00"/>
    <s v="Done"/>
    <d v="2024-09-21T00:00:00"/>
    <d v="2024-06-05T00:00:00"/>
    <d v="2024-09-21T00:00:00"/>
    <m/>
  </r>
  <r>
    <n v="135"/>
    <n v="39167"/>
    <s v="HLC-A"/>
    <s v="STB9M0979HLCD"/>
    <x v="0"/>
    <s v="CR"/>
    <s v="MUM"/>
    <d v="2020-11-16T00:00:00"/>
    <n v="979"/>
    <s v="Nashik"/>
    <s v="M-U7D2S04V.005,_x000a_MO-U7F2S240.005"/>
    <s v="Done by NW"/>
    <s v="UAT2Y44O.012"/>
    <d v="2021-11-09T00:00:00"/>
    <m/>
    <m/>
    <s v="Done by NW"/>
    <s v="Done by NW"/>
    <m/>
    <s v="Conv-A DONE"/>
    <m/>
    <s v="Conv-A DONE"/>
    <m/>
    <s v="Done by NW"/>
    <m/>
    <m/>
    <m/>
    <m/>
    <m/>
    <d v="2022-05-20T00:00:00"/>
    <d v="2024-08-17T00:00:00"/>
    <m/>
    <d v="2024-08-17T00:00:00"/>
    <d v="2024-08-17T00:00:00"/>
    <d v="2024-08-17T00:00:00"/>
    <s v="Done"/>
    <d v="2024-11-28T00:00:00"/>
    <d v="2024-08-17T00:00:00"/>
    <d v="2024-11-28T00:00:00"/>
    <m/>
  </r>
  <r>
    <n v="136"/>
    <n v="39167"/>
    <s v="HLC-B"/>
    <s v="STB9M0978HLCD"/>
    <x v="0"/>
    <s v="CR"/>
    <s v="MUM"/>
    <d v="2020-11-16T00:00:00"/>
    <n v="978"/>
    <s v="Nashik"/>
    <s v="M-U7D2S04V.005,_x000a_MO-U7F2S240.005"/>
    <s v="Done by NW"/>
    <s v="UAT2Y44O.012"/>
    <d v="2021-11-09T00:00:00"/>
    <m/>
    <m/>
    <s v="Done by NW"/>
    <s v="Done by NW"/>
    <s v="Conv-A DONE"/>
    <s v="Conv-B DONE"/>
    <s v="Conv-A DONE"/>
    <s v="Conv-B DONE"/>
    <m/>
    <s v="Done by NW"/>
    <m/>
    <m/>
    <m/>
    <m/>
    <m/>
    <d v="2022-05-20T00:00:00"/>
    <d v="2024-08-17T00:00:00"/>
    <m/>
    <d v="2024-08-17T00:00:00"/>
    <d v="2024-08-17T00:00:00"/>
    <d v="2024-08-17T00:00:00"/>
    <s v="Done"/>
    <d v="2024-11-28T00:00:00"/>
    <d v="2024-08-17T00:00:00"/>
    <d v="2024-11-28T00:00:00"/>
    <m/>
  </r>
  <r>
    <n v="137"/>
    <n v="39168"/>
    <s v="HLC-A"/>
    <s v="STB9M0977HLCD"/>
    <x v="0"/>
    <s v="CR"/>
    <s v="MUM"/>
    <d v="2020-11-18T00:00:00"/>
    <n v="977"/>
    <s v="Nashik"/>
    <s v="M-U7D2S04V.005,_x000a_MO-U7F2S240.005"/>
    <s v="Done by NW"/>
    <s v="UAT2Y44O.012"/>
    <d v="2022-02-05T00:00:00"/>
    <m/>
    <m/>
    <s v="Done by NW"/>
    <s v="Done by NW"/>
    <s v="Conv-A DONE"/>
    <s v="Conv-A DONE"/>
    <s v="Conv-A DONE"/>
    <s v="Conv-A DONE"/>
    <m/>
    <s v="Done by NW"/>
    <m/>
    <m/>
    <m/>
    <m/>
    <m/>
    <d v="2022-05-09T00:00:00"/>
    <d v="2024-08-16T00:00:00"/>
    <m/>
    <d v="2024-08-16T00:00:00"/>
    <d v="2024-05-06T00:00:00"/>
    <d v="2024-05-06T00:00:00"/>
    <s v="Done"/>
    <d v="2024-12-02T00:00:00"/>
    <d v="2024-08-16T00:00:00"/>
    <d v="2024-12-02T00:00:00"/>
    <m/>
  </r>
  <r>
    <n v="138"/>
    <n v="39168"/>
    <s v="HLC-B"/>
    <s v="STB9M0976HLCD"/>
    <x v="0"/>
    <s v="CR"/>
    <s v="MUM"/>
    <d v="2020-11-18T00:00:00"/>
    <n v="976"/>
    <s v="Nashik"/>
    <s v="M-U7D2S04V.005,_x000a_MO-U7F2S240.005"/>
    <s v="Done by NW"/>
    <s v="UAT2Y44O.012"/>
    <d v="2022-02-05T00:00:00"/>
    <m/>
    <m/>
    <s v="Done by NW"/>
    <s v="Done by NW"/>
    <s v="Conv-B DONE"/>
    <s v="Conv-B DONE"/>
    <s v="Conv-B DONE"/>
    <s v="Conv-B DONE"/>
    <m/>
    <s v="Done by NW"/>
    <m/>
    <m/>
    <m/>
    <m/>
    <m/>
    <d v="2022-05-09T00:00:00"/>
    <d v="2024-08-16T00:00:00"/>
    <m/>
    <d v="2024-08-16T00:00:00"/>
    <d v="2024-05-06T00:00:00"/>
    <d v="2024-05-06T00:00:00"/>
    <s v="Done"/>
    <d v="2024-12-02T00:00:00"/>
    <d v="2024-08-16T00:00:00"/>
    <d v="2024-12-02T00:00:00"/>
    <m/>
  </r>
  <r>
    <n v="139"/>
    <n v="39180"/>
    <s v="HLC-A"/>
    <s v="STBDM1054HLCD"/>
    <x v="0"/>
    <m/>
    <s v="MUM"/>
    <m/>
    <s v="1054"/>
    <s v="Nashik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m/>
    <m/>
    <m/>
    <d v="2022-05-07T00:00:00"/>
    <d v="2024-02-21T00:00:00"/>
    <m/>
    <d v="2024-09-21T00:00:00"/>
    <m/>
    <d v="2024-02-21T00:00:00"/>
    <s v="Done"/>
    <d v="2024-09-21T00:00:00"/>
    <d v="2024-09-21T00:00:00"/>
    <d v="2024-09-21T00:00:00"/>
    <m/>
  </r>
  <r>
    <n v="140"/>
    <n v="39181"/>
    <s v="HLC-A"/>
    <s v="STBDM1053HLCD"/>
    <x v="0"/>
    <m/>
    <s v="MUM"/>
    <m/>
    <s v="1053"/>
    <s v="Nashik"/>
    <s v="M-U7D2S04V.005,_x000a_MO-U7F2S240.005"/>
    <s v="Done by NW"/>
    <s v="UAT2Y44O.012"/>
    <d v="2021-09-18T00:00:00"/>
    <m/>
    <m/>
    <s v="Done by NW"/>
    <s v="Done by NW"/>
    <s v="Conv-A DONE"/>
    <s v="Conv-A DONE"/>
    <s v="Conv-A DONE"/>
    <m/>
    <m/>
    <s v="Done by NW"/>
    <m/>
    <m/>
    <m/>
    <m/>
    <m/>
    <d v="2022-09-07T00:00:00"/>
    <d v="2024-02-01T00:00:00"/>
    <m/>
    <d v="2024-06-24T00:00:00"/>
    <m/>
    <d v="2024-02-01T00:00:00"/>
    <s v="Done"/>
    <d v="2024-09-19T00:00:00"/>
    <d v="2024-06-24T00:00:00"/>
    <d v="2024-09-19T00:00:00"/>
    <m/>
  </r>
  <r>
    <n v="141"/>
    <n v="39182"/>
    <s v="HLC-A"/>
    <s v="STBDM1059HLCD"/>
    <x v="2"/>
    <s v="CR"/>
    <s v="MUM"/>
    <m/>
    <s v="1059"/>
    <s v="Nashik"/>
    <s v="M-U7D2S04V.005,_x000a_MO-U7F2S240.005"/>
    <s v="Done by NW"/>
    <s v="UAT2Y440.012"/>
    <s v="Done by NW"/>
    <m/>
    <m/>
    <s v="Done by NW"/>
    <s v="Done by NW"/>
    <s v="Conv-A DONE"/>
    <s v="Conv-A DONE"/>
    <s v="Conv-A DONE"/>
    <m/>
    <m/>
    <s v="Done by NW"/>
    <m/>
    <m/>
    <m/>
    <m/>
    <m/>
    <d v="2022-05-21T00:00:00"/>
    <m/>
    <d v="2024-05-22T00:00:00"/>
    <d v="2024-07-10T00:00:00"/>
    <d v="2024-07-10T00:00:00"/>
    <d v="2024-10-02T00:00:00"/>
    <s v="Done"/>
    <m/>
    <m/>
    <d v="2024-10-07T00:00:00"/>
    <m/>
  </r>
  <r>
    <n v="142"/>
    <n v="39182"/>
    <s v="HLC-B"/>
    <s v="STBDM1058HLCD"/>
    <x v="2"/>
    <s v="CR"/>
    <s v="MUM"/>
    <d v="2021-02-20T00:00:00"/>
    <n v="1058"/>
    <s v="Nashik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  <d v="2022-05-21T00:00:00"/>
    <m/>
    <d v="2024-10-02T00:00:00"/>
    <d v="2024-07-10T00:00:00"/>
    <d v="2024-07-10T00:00:00"/>
    <d v="2024-10-02T00:00:00"/>
    <s v="Done"/>
    <m/>
    <m/>
    <d v="2024-10-07T00:00:00"/>
    <m/>
  </r>
  <r>
    <n v="143"/>
    <n v="39187"/>
    <s v="HLC-A"/>
    <s v="STBDM1069HLCD"/>
    <x v="0"/>
    <s v="WR"/>
    <s v="MUM"/>
    <d v="2021-03-09T00:00:00"/>
    <s v="1069"/>
    <s v="Nashik"/>
    <s v="M-U7D2S04V.005,_x000a_MO-U7F2S240.005"/>
    <s v="Done by NW"/>
    <s v="UAT2Y44O.012"/>
    <d v="2021-10-03T00:00:00"/>
    <m/>
    <m/>
    <s v="Done by NW"/>
    <s v="Done by NW"/>
    <s v="Conv-A DONE"/>
    <s v="Conv-A DONE"/>
    <s v="Conv-A DONE"/>
    <m/>
    <m/>
    <s v="Done by NW"/>
    <m/>
    <m/>
    <m/>
    <m/>
    <m/>
    <d v="2022-02-05T00:00:00"/>
    <d v="2024-09-23T00:00:00"/>
    <m/>
    <d v="2024-09-24T00:00:00"/>
    <d v="2024-07-16T00:00:00"/>
    <d v="2024-03-02T00:00:00"/>
    <s v="Done"/>
    <d v="2024-09-24T00:00:00"/>
    <d v="2024-09-23T00:00:00"/>
    <d v="2024-09-24T00:00:00"/>
    <m/>
  </r>
  <r>
    <n v="144"/>
    <n v="39187"/>
    <s v="HLC-B"/>
    <s v="STBDM1068HLCD"/>
    <x v="0"/>
    <s v="WR"/>
    <s v="MUM"/>
    <d v="2021-03-09T00:00:00"/>
    <s v="1068"/>
    <s v="Nashik"/>
    <s v="M-U7D2S04V.005,_x000a_MO-U7F2S240.005"/>
    <s v="Done by NW"/>
    <s v="UAT2Y44O.012"/>
    <d v="2021-10-03T00:00:00"/>
    <m/>
    <m/>
    <s v="Done by NW"/>
    <s v="Done by NW"/>
    <s v="Conv-B DONE"/>
    <s v="Conv-B DONE"/>
    <s v="Conv-B DONE"/>
    <m/>
    <m/>
    <s v="Done by NW"/>
    <m/>
    <m/>
    <m/>
    <m/>
    <m/>
    <d v="2022-02-05T00:00:00"/>
    <d v="2024-09-23T00:00:00"/>
    <m/>
    <d v="2024-09-24T00:00:00"/>
    <d v="2024-07-16T00:00:00"/>
    <d v="2024-03-02T00:00:00"/>
    <s v="Done"/>
    <d v="2024-09-24T00:00:00"/>
    <d v="2024-09-23T00:00:00"/>
    <d v="2024-09-24T00:00:00"/>
    <m/>
  </r>
  <r>
    <n v="145"/>
    <n v="39188"/>
    <m/>
    <s v="STBDM1056HLCD"/>
    <x v="0"/>
    <s v="WR"/>
    <s v="MUM"/>
    <d v="2021-03-27T00:00:00"/>
    <s v="1056"/>
    <s v="Nashik"/>
    <s v="M-U7D2S04V.005,_x000a_MO-U7F2S240.005"/>
    <s v="Done by NW"/>
    <s v="UAT2Y44O.012"/>
    <d v="2021-10-14T00:00:00"/>
    <m/>
    <m/>
    <s v="Done by NW"/>
    <s v="Done by NW"/>
    <m/>
    <s v="Conv-A DONE"/>
    <m/>
    <m/>
    <m/>
    <s v="Done by NW"/>
    <m/>
    <m/>
    <m/>
    <m/>
    <m/>
    <d v="2022-04-12T00:00:00"/>
    <d v="2024-08-14T00:00:00"/>
    <m/>
    <d v="2024-08-14T00:00:00"/>
    <d v="2024-08-14T00:00:00"/>
    <d v="2024-08-14T00:00:00"/>
    <s v="Done"/>
    <d v="2024-12-02T00:00:00"/>
    <d v="2024-08-14T00:00:00"/>
    <d v="2024-12-02T00:00:00"/>
    <m/>
  </r>
  <r>
    <n v="146"/>
    <n v="39188"/>
    <m/>
    <s v="STBDM1057HLCD"/>
    <x v="0"/>
    <s v="WR"/>
    <s v="MUM"/>
    <d v="2021-03-27T00:00:00"/>
    <s v="1057"/>
    <s v="Nashik"/>
    <s v="M-U7D2S04V.005,_x000a_MO-U7F2S240.005"/>
    <s v="Done by NW"/>
    <s v="UAT2Y44O.012"/>
    <d v="2021-10-14T00:00:00"/>
    <m/>
    <m/>
    <s v="Done by NW"/>
    <s v="Done by NW"/>
    <m/>
    <s v="Conv-B DONE"/>
    <m/>
    <m/>
    <m/>
    <s v="Done by NW"/>
    <m/>
    <m/>
    <m/>
    <m/>
    <m/>
    <d v="2022-04-12T00:00:00"/>
    <d v="2024-08-14T00:00:00"/>
    <m/>
    <d v="2024-08-14T00:00:00"/>
    <d v="2024-08-14T00:00:00"/>
    <d v="2024-08-14T00:00:00"/>
    <s v="Done"/>
    <d v="2024-12-02T00:00:00"/>
    <d v="2024-08-14T00:00:00"/>
    <d v="2024-12-02T00:00:00"/>
    <m/>
  </r>
  <r>
    <n v="147"/>
    <n v="30470"/>
    <s v="HLC-A"/>
    <s v="STBNF0039HLCA"/>
    <x v="4"/>
    <s v="WR"/>
    <s v="MUM"/>
    <d v="2016-04-30T00:00:00"/>
    <n v="39"/>
    <s v="Imported"/>
    <s v="M-U7D2S04V.005,_x000a_MO-U7F2S240.005"/>
    <s v="Done"/>
    <s v="L3I2ZY72.008"/>
    <s v="Done"/>
    <d v="2021-04-29T00:00:00"/>
    <d v="2023-05-30T00:00:00"/>
    <s v="Conv-A DONE"/>
    <s v="Conv-A DONE"/>
    <s v="Conv-A DONE"/>
    <s v="Conv-A DONE"/>
    <s v="Conv-A DONE"/>
    <d v="2022-08-02T00:00:00"/>
    <d v="2022-08-02T00:00:00"/>
    <s v="Conv-A DONE"/>
    <s v="Conv-A DONE"/>
    <s v="Conv-A DONE"/>
    <m/>
    <m/>
    <m/>
    <d v="2022-03-27T00:00:00"/>
    <s v="NA"/>
    <d v="2025-04-21T00:00:00"/>
    <d v="2024-09-30T00:00:00"/>
    <d v="2024-09-30T00:00:00"/>
    <d v="2024-09-30T00:00:00"/>
    <d v="2024-12-16T00:00:00"/>
    <d v="2025-04-22T00:00:00"/>
    <d v="2024-09-30T00:00:00"/>
    <d v="2024-09-30T00:00:00"/>
    <m/>
  </r>
  <r>
    <n v="148"/>
    <n v="30470"/>
    <s v="HLC-B"/>
    <s v="STB8F0023HLCA"/>
    <x v="4"/>
    <s v="WR"/>
    <s v="MUM"/>
    <d v="2016-04-30T00:00:00"/>
    <n v="23"/>
    <s v="Imported"/>
    <s v="M-U7D2S04V.005,_x000a_MO-U7F2S240.005"/>
    <s v="Done"/>
    <s v="L3I2ZY72.008"/>
    <s v="Done"/>
    <d v="2021-04-29T00:00:00"/>
    <d v="2023-05-30T00:00:00"/>
    <s v="Conv-B DONE"/>
    <s v="Conv-B DONE"/>
    <s v="Conv-B DONE"/>
    <s v="Conv-B DONE"/>
    <s v="Conv-B DONE"/>
    <d v="2022-08-02T00:00:00"/>
    <d v="2022-08-02T00:00:00"/>
    <s v="Conv-B DONE"/>
    <s v="Conv-B DONE"/>
    <s v="Conv-B DONE"/>
    <m/>
    <m/>
    <m/>
    <d v="2022-03-27T00:00:00"/>
    <s v="NA"/>
    <d v="2025-04-21T00:00:00"/>
    <d v="2024-09-30T00:00:00"/>
    <d v="2024-09-30T00:00:00"/>
    <d v="2024-09-30T00:00:00"/>
    <d v="2024-12-16T00:00:00"/>
    <d v="2025-04-22T00:00:00"/>
    <d v="2024-09-30T00:00:00"/>
    <d v="2024-09-30T00:00:00"/>
    <m/>
  </r>
  <r>
    <n v="149"/>
    <n v="30471"/>
    <s v="HLC-A"/>
    <s v="STB8F0021HLCB"/>
    <x v="4"/>
    <s v="WR"/>
    <s v="MUM"/>
    <d v="2016-04-27T00:00:00"/>
    <n v="21"/>
    <s v="Imported"/>
    <s v="M-U7D2S04V.005,_x000a_MO-U7F2S240.005"/>
    <d v="2020-12-24T00:00:00"/>
    <s v="L3I2ZY72.008"/>
    <s v="Done"/>
    <d v="2021-04-20T00:00:00"/>
    <d v="2022-07-23T00:00:00"/>
    <s v="Conv-A DONE"/>
    <s v="Conv-A DONE"/>
    <s v="Conv-A DONE"/>
    <s v="Conv-A DONE"/>
    <s v="Conv-A DONE"/>
    <d v="2022-07-23T00:00:00"/>
    <d v="2022-07-23T00:00:00"/>
    <s v="Conv-A DONE"/>
    <m/>
    <m/>
    <m/>
    <m/>
    <m/>
    <d v="2022-04-21T00:00:00"/>
    <s v="NA"/>
    <d v="2025-05-12T00:00:00"/>
    <d v="2024-08-20T00:00:00"/>
    <d v="2024-08-20T00:00:00"/>
    <s v="20/06/2023"/>
    <d v="2024-12-07T00:00:00"/>
    <d v="2024-05-18T00:00:00"/>
    <d v="2024-09-05T00:00:00"/>
    <d v="2024-08-31T00:00:00"/>
    <m/>
  </r>
  <r>
    <n v="150"/>
    <n v="30471"/>
    <s v="HLC-B"/>
    <s v="STB7E0016HLCB"/>
    <x v="4"/>
    <s v="WR"/>
    <s v="MUM"/>
    <d v="2016-04-27T00:00:00"/>
    <n v="16"/>
    <s v="Imported"/>
    <s v="M-U7D2S04V.005,_x000a_MO-U7F2S240.005"/>
    <d v="2020-12-24T00:00:00"/>
    <s v="L3I2ZY72.008"/>
    <s v="Done"/>
    <d v="2021-04-20T00:00:00"/>
    <d v="2022-07-23T00:00:00"/>
    <s v="Conv-B DONE"/>
    <s v="Conv-B DONE"/>
    <s v="Conv-B DONE"/>
    <s v="Conv-B DONE"/>
    <s v="Conv-B DONE"/>
    <d v="2022-07-23T00:00:00"/>
    <d v="2022-07-23T00:00:00"/>
    <s v="Conv-B DONE"/>
    <m/>
    <m/>
    <m/>
    <m/>
    <m/>
    <d v="2022-04-21T00:00:00"/>
    <s v="NA"/>
    <d v="2025-05-12T00:00:00"/>
    <d v="2024-08-20T00:00:00"/>
    <d v="2024-08-20T00:00:00"/>
    <s v="20/06/2023"/>
    <d v="2024-12-07T00:00:00"/>
    <d v="2024-05-18T00:00:00"/>
    <d v="2024-09-05T00:00:00"/>
    <d v="2024-08-31T00:00:00"/>
    <m/>
  </r>
  <r>
    <n v="151"/>
    <n v="30472"/>
    <s v="HLC-A"/>
    <s v="STB7F0017HLCB"/>
    <x v="4"/>
    <s v="WR"/>
    <s v="MUM"/>
    <d v="2016-05-07T00:00:00"/>
    <n v="17"/>
    <s v="Imported"/>
    <s v="M-U7D2S04V.005,_x000a_MO-U7F2S240.005"/>
    <d v="2020-09-21T00:00:00"/>
    <s v="L3I2ZY72.008"/>
    <s v="Done"/>
    <m/>
    <d v="2022-06-13T00:00:00"/>
    <s v="Conv-A DONE"/>
    <s v="Conv-A DONE"/>
    <s v="Conv-A DONE"/>
    <m/>
    <s v="Conv-A DONE"/>
    <d v="2022-06-13T00:00:00"/>
    <d v="2022-06-13T00:00:00"/>
    <s v="Conv-A DONE"/>
    <m/>
    <m/>
    <m/>
    <m/>
    <m/>
    <d v="2022-06-13T00:00:00"/>
    <s v="NA"/>
    <d v="2025-04-21T00:00:00"/>
    <d v="2024-07-19T00:00:00"/>
    <d v="2024-07-19T00:00:00"/>
    <d v="2024-10-17T00:00:00"/>
    <d v="2024-12-30T00:00:00"/>
    <d v="2025-04-21T00:00:00"/>
    <d v="2024-12-30T00:00:00"/>
    <d v="2024-07-25T00:00:00"/>
    <m/>
  </r>
  <r>
    <n v="152"/>
    <n v="30472"/>
    <s v="HLC-B"/>
    <s v="STBNF0036HLCB"/>
    <x v="4"/>
    <s v="WR"/>
    <s v="MUM"/>
    <d v="2016-05-07T00:00:00"/>
    <n v="36"/>
    <s v="Imported"/>
    <s v="M-U7D2S04V.005,_x000a_MO-U7F2S240.005"/>
    <d v="2020-09-21T00:00:00"/>
    <s v="L3I2ZY72.008"/>
    <s v="Done"/>
    <m/>
    <d v="2022-06-13T00:00:00"/>
    <s v="Conv-B DONE"/>
    <s v="Conv-B DONE"/>
    <s v="Conv-B DONE"/>
    <m/>
    <s v="Conv-B DONE"/>
    <d v="2022-06-13T00:00:00"/>
    <d v="2022-06-13T00:00:00"/>
    <s v="Conv-B DONE"/>
    <m/>
    <m/>
    <m/>
    <m/>
    <m/>
    <d v="2022-06-13T00:00:00"/>
    <s v="NA"/>
    <d v="2025-04-21T00:00:00"/>
    <d v="2024-07-19T00:00:00"/>
    <d v="2024-07-19T00:00:00"/>
    <d v="2024-10-17T00:00:00"/>
    <d v="2024-12-30T00:00:00"/>
    <d v="2025-04-21T00:00:00"/>
    <d v="2024-12-30T00:00:00"/>
    <d v="2024-07-25T00:00:00"/>
    <m/>
  </r>
  <r>
    <n v="153"/>
    <n v="30473"/>
    <s v="HLC-A"/>
    <s v="STBNF0040HLCA"/>
    <x v="4"/>
    <s v="WR"/>
    <s v="MUM"/>
    <d v="2016-04-30T00:00:00"/>
    <n v="40"/>
    <s v="Imported"/>
    <s v="M-U7D2S04V.005,_x000a_MO-U7F2S240.005"/>
    <d v="2021-08-05T00:00:00"/>
    <s v="L3I2ZY72.008"/>
    <s v="Done"/>
    <d v="2022-06-14T00:00:00"/>
    <d v="2022-09-01T00:00:00"/>
    <s v="Conv-A DONE"/>
    <s v="Conv-A DONE"/>
    <m/>
    <m/>
    <s v="Conv-A DONE"/>
    <d v="2022-09-01T00:00:00"/>
    <d v="2022-09-01T00:00:00"/>
    <s v="Conv-A DONE"/>
    <m/>
    <m/>
    <m/>
    <m/>
    <m/>
    <d v="2022-09-01T00:00:00"/>
    <s v="NA"/>
    <d v="2025-05-02T00:00:00"/>
    <d v="2024-07-26T00:00:00"/>
    <d v="2024-07-26T00:00:00"/>
    <s v="20/06/2023"/>
    <d v="2024-07-26T00:00:00"/>
    <d v="2024-05-18T00:00:00"/>
    <m/>
    <d v="2024-08-02T00:00:00"/>
    <m/>
  </r>
  <r>
    <n v="154"/>
    <n v="30473"/>
    <s v="HLC-B"/>
    <s v="STBDF0044HLCA"/>
    <x v="4"/>
    <s v="WR"/>
    <s v="MUM"/>
    <d v="2016-04-30T00:00:00"/>
    <n v="44"/>
    <s v="Imported"/>
    <s v="M-U7D2S04V.005,_x000a_MO-U7F2S240.005"/>
    <d v="2021-06-09T00:00:00"/>
    <s v="L3I2ZY72.008"/>
    <s v="Done"/>
    <d v="2022-06-14T00:00:00"/>
    <d v="2022-09-01T00:00:00"/>
    <s v="Conv-B DONE"/>
    <s v="Conv-B DONE"/>
    <m/>
    <m/>
    <s v="Conv-B DONE"/>
    <d v="2022-09-01T00:00:00"/>
    <d v="2022-09-01T00:00:00"/>
    <s v="Conv-B DONE"/>
    <m/>
    <m/>
    <m/>
    <m/>
    <m/>
    <d v="2022-09-01T00:00:00"/>
    <s v="NA"/>
    <d v="2025-05-02T00:00:00"/>
    <d v="2024-07-26T00:00:00"/>
    <d v="2024-07-26T00:00:00"/>
    <s v="20/06/2023"/>
    <d v="2024-07-26T00:00:00"/>
    <d v="2024-05-18T00:00:00"/>
    <m/>
    <d v="2024-08-02T00:00:00"/>
    <m/>
  </r>
  <r>
    <n v="155"/>
    <n v="30474"/>
    <s v="HLC-A"/>
    <s v="STBDF0043HLCB"/>
    <x v="4"/>
    <s v="WR"/>
    <s v="MUM"/>
    <d v="2016-05-11T00:00:00"/>
    <n v="43"/>
    <s v="Imported"/>
    <s v="M-U7D2S04V.005,_x000a_MO-U7F2S240.005"/>
    <d v="2021-02-18T00:00:00"/>
    <s v="L3I2ZY72.008"/>
    <s v="Done"/>
    <m/>
    <d v="2022-06-03T00:00:00"/>
    <s v="Conv-A DONE"/>
    <s v="Conv-A DONE"/>
    <m/>
    <m/>
    <s v="Conv-A DONE"/>
    <m/>
    <m/>
    <s v="Conv-A DONE"/>
    <m/>
    <m/>
    <m/>
    <m/>
    <m/>
    <d v="2022-04-21T00:00:00"/>
    <s v="NA"/>
    <d v="2025-04-21T00:00:00"/>
    <d v="2024-08-05T00:00:00"/>
    <d v="2024-08-05T00:00:00"/>
    <s v="20/06/2023"/>
    <d v="2024-12-24T00:00:00"/>
    <d v="2024-04-09T00:00:00"/>
    <d v="2024-10-15T00:00:00"/>
    <d v="2022-04-21T00:00:00"/>
    <m/>
  </r>
  <r>
    <n v="156"/>
    <n v="30474"/>
    <s v="HLC-B"/>
    <s v="STB7F0015HLCB"/>
    <x v="4"/>
    <s v="WR"/>
    <s v="MUM"/>
    <d v="2016-05-11T00:00:00"/>
    <n v="15"/>
    <s v="Imported"/>
    <s v="M-U7D2S04V.005,_x000a_MO-U7F2S240.005"/>
    <d v="2021-02-18T00:00:00"/>
    <s v="L3I2ZY72.008"/>
    <s v="Done"/>
    <m/>
    <d v="2022-06-03T00:00:00"/>
    <s v="Conv-B DONE"/>
    <s v="Conv-B DONE"/>
    <m/>
    <m/>
    <s v="Conv-B DONE"/>
    <m/>
    <m/>
    <s v="Conv-B DONE"/>
    <m/>
    <m/>
    <m/>
    <m/>
    <m/>
    <d v="2022-02-10T00:00:00"/>
    <s v="NA"/>
    <d v="2025-04-21T00:00:00"/>
    <d v="2024-08-05T00:00:00"/>
    <d v="2024-08-05T00:00:00"/>
    <s v="20/06/2023"/>
    <d v="2024-12-24T00:00:00"/>
    <d v="2024-04-09T00:00:00"/>
    <d v="2024-10-15T00:00:00"/>
    <d v="2022-04-21T00:00:00"/>
    <m/>
  </r>
  <r>
    <n v="157"/>
    <n v="30476"/>
    <s v="HLC-A"/>
    <s v="STB1H0054HLCA"/>
    <x v="4"/>
    <s v="WR"/>
    <s v="MUM"/>
    <d v="2016-05-23T00:00:00"/>
    <n v="54"/>
    <s v="Imported"/>
    <s v="M-U7D2S04V.005,_x000a_MO-U7F2S240.005"/>
    <m/>
    <s v="L3I2ZY72.008"/>
    <s v="Done"/>
    <m/>
    <d v="2023-05-03T00:00:00"/>
    <s v="Conv-A DONE"/>
    <s v="Conv-A DONE"/>
    <m/>
    <m/>
    <s v="Conv-A DONE"/>
    <d v="2022-06-29T00:00:00"/>
    <d v="2022-06-29T00:00:00"/>
    <s v="Conv-A DONE"/>
    <m/>
    <m/>
    <m/>
    <m/>
    <m/>
    <d v="2022-06-29T00:00:00"/>
    <s v="NA"/>
    <d v="2025-05-17T00:00:00"/>
    <d v="2024-09-03T00:00:00"/>
    <d v="2024-09-03T00:00:00"/>
    <d v="2023-08-24T00:00:00"/>
    <d v="2024-12-16T00:00:00"/>
    <d v="2024-05-29T00:00:00"/>
    <d v="2024-09-05T00:00:00"/>
    <d v="2024-05-29T00:00:00"/>
    <m/>
  </r>
  <r>
    <n v="158"/>
    <n v="30476"/>
    <s v="HLC-B"/>
    <s v="STBNF0041HLCA"/>
    <x v="4"/>
    <s v="WR"/>
    <s v="MUM"/>
    <d v="2016-05-23T00:00:00"/>
    <n v="41"/>
    <s v="Imported"/>
    <s v="M-U7D2S04V.005,_x000a_MO-U7F2S240.005"/>
    <m/>
    <s v="L3I2ZY72.008"/>
    <s v="Done"/>
    <m/>
    <d v="2023-05-03T00:00:00"/>
    <s v="Conv-B DONE"/>
    <s v="Conv-B DONE"/>
    <m/>
    <m/>
    <s v="Conv-B DONE"/>
    <d v="2022-06-29T00:00:00"/>
    <d v="2022-06-29T00:00:00"/>
    <s v="Conv-B DONE"/>
    <m/>
    <m/>
    <m/>
    <m/>
    <m/>
    <d v="2022-06-29T00:00:00"/>
    <s v="NA"/>
    <d v="2025-05-17T00:00:00"/>
    <d v="2024-09-03T00:00:00"/>
    <d v="2024-09-03T00:00:00"/>
    <d v="2023-08-24T00:00:00"/>
    <d v="2024-12-16T00:00:00"/>
    <d v="2024-05-29T00:00:00"/>
    <d v="2024-09-05T00:00:00"/>
    <d v="2024-05-29T00:00:00"/>
    <m/>
  </r>
  <r>
    <n v="159"/>
    <n v="30480"/>
    <s v="HLC-A"/>
    <s v="STB8F0025HLCA"/>
    <x v="4"/>
    <s v="WR"/>
    <s v="MUM"/>
    <d v="2016-05-18T00:00:00"/>
    <n v="25"/>
    <s v="Imported"/>
    <s v="M-U7D2S04V.005,_x000a_MO-U7F2S240.005"/>
    <m/>
    <s v="L3I2ZY72.008"/>
    <s v="Done"/>
    <m/>
    <d v="2022-08-22T00:00:00"/>
    <s v="Conv-A DONE"/>
    <s v="Conv-A DONE"/>
    <s v="Conv-A DONE"/>
    <m/>
    <m/>
    <d v="2022-08-22T00:00:00"/>
    <d v="2022-08-22T00:00:00"/>
    <s v="Conv-A DONE"/>
    <m/>
    <m/>
    <m/>
    <m/>
    <m/>
    <d v="2022-08-22T00:00:00"/>
    <s v="NA"/>
    <d v="2025-05-20T00:00:00"/>
    <d v="2024-07-11T00:00:00"/>
    <d v="2024-07-11T00:00:00"/>
    <d v="2023-08-24T00:00:00"/>
    <d v="2024-11-06T00:00:00"/>
    <d v="2025-05-20T00:00:00"/>
    <d v="2025-02-17T00:00:00"/>
    <d v="2025-02-17T00:00:00"/>
    <m/>
  </r>
  <r>
    <n v="160"/>
    <n v="30480"/>
    <s v="HLC-B"/>
    <s v="STB1H0055HLCA"/>
    <x v="4"/>
    <s v="WR"/>
    <s v="MUM"/>
    <d v="2016-05-18T00:00:00"/>
    <n v="55"/>
    <s v="Imported"/>
    <s v="M-U7D2S04V.005,_x000a_MO-U7F2S240.005"/>
    <m/>
    <s v="L3I2ZY72.008"/>
    <s v="Done"/>
    <m/>
    <d v="2022-08-22T00:00:00"/>
    <s v="Conv-B DONE"/>
    <s v="Conv-B DONE"/>
    <s v="Conv-B DONE"/>
    <m/>
    <m/>
    <d v="2022-08-22T00:00:00"/>
    <d v="2022-08-22T00:00:00"/>
    <s v="Conv-B DONE"/>
    <m/>
    <m/>
    <m/>
    <s v="EL18C040001-R"/>
    <m/>
    <d v="2022-08-22T00:00:00"/>
    <s v="NA"/>
    <d v="2025-05-20T00:00:00"/>
    <d v="2024-07-11T00:00:00"/>
    <d v="2024-07-11T00:00:00"/>
    <d v="2023-08-24T00:00:00"/>
    <d v="2024-11-06T00:00:00"/>
    <d v="2025-05-20T00:00:00"/>
    <d v="2025-02-17T00:00:00"/>
    <d v="2025-02-17T00:00:00"/>
    <m/>
  </r>
  <r>
    <n v="161"/>
    <n v="30484"/>
    <s v="HLC-A"/>
    <s v="STB8F0024HLCA"/>
    <x v="4"/>
    <s v="WR"/>
    <s v="MUM"/>
    <d v="2016-08-10T00:00:00"/>
    <n v="24"/>
    <s v="Imported"/>
    <s v="M-U7D2S04V.005,_x000a_MO-U7F2S240.005"/>
    <d v="2020-08-16T00:00:00"/>
    <s v="L3I2ZY72.008"/>
    <s v="Done"/>
    <d v="2020-08-14T00:00:00"/>
    <d v="2023-05-20T00:00:00"/>
    <s v="Conv-A DONE"/>
    <s v="Conv-A DONE"/>
    <s v="Conv-A DONE"/>
    <m/>
    <m/>
    <d v="2022-07-21T00:00:00"/>
    <s v="Conv-A DONE"/>
    <s v="Conv-A DONE"/>
    <m/>
    <m/>
    <m/>
    <m/>
    <m/>
    <d v="2022-02-19T00:00:00"/>
    <s v="NA"/>
    <d v="2025-04-25T00:00:00"/>
    <d v="2024-07-25T00:00:00"/>
    <d v="2024-07-25T00:00:00"/>
    <d v="2023-08-24T00:00:00"/>
    <d v="2024-11-15T00:00:00"/>
    <d v="2024-06-04T00:00:00"/>
    <d v="2024-11-15T00:00:00"/>
    <d v="2024-06-04T00:00:00"/>
    <m/>
  </r>
  <r>
    <n v="162"/>
    <n v="30484"/>
    <s v="HLC-B"/>
    <s v="STBDF0049HLCA"/>
    <x v="4"/>
    <s v="WR"/>
    <s v="MUM"/>
    <d v="2016-08-10T00:00:00"/>
    <n v="49"/>
    <s v="Imported"/>
    <s v="M-U7D2S04V.005,_x000a_MO-U7F2S240.005"/>
    <d v="2020-08-16T00:00:00"/>
    <s v="L3I2ZY72.008"/>
    <s v="Done"/>
    <d v="2020-08-14T00:00:00"/>
    <d v="2023-05-20T00:00:00"/>
    <s v="Conv-B DONE"/>
    <s v="Conv-B DONE"/>
    <s v="Conv-B DONE"/>
    <m/>
    <m/>
    <d v="2022-07-21T00:00:00"/>
    <s v="Conv-B DONE"/>
    <s v="Conv-B DONE"/>
    <s v="Conv-B DONE"/>
    <s v="Conv-B DONE"/>
    <m/>
    <m/>
    <m/>
    <d v="2022-02-19T00:00:00"/>
    <s v="NA"/>
    <d v="2025-04-25T00:00:00"/>
    <d v="2024-07-25T00:00:00"/>
    <d v="2024-07-25T00:00:00"/>
    <d v="2023-08-24T00:00:00"/>
    <d v="2024-11-15T00:00:00"/>
    <d v="2024-06-04T00:00:00"/>
    <d v="2024-11-15T00:00:00"/>
    <d v="2024-06-04T00:00:00"/>
    <m/>
  </r>
  <r>
    <n v="163"/>
    <n v="30531"/>
    <s v="HLC-A"/>
    <s v="STB6H0064HLCC"/>
    <x v="4"/>
    <s v="WR"/>
    <s v="MUM"/>
    <d v="2017-02-21T00:00:00"/>
    <n v="64"/>
    <s v="Imported"/>
    <s v="M-U7D2S04V.005,_x000a_MO-U7F2S240.005"/>
    <d v="2020-03-30T00:00:00"/>
    <s v="UAT2Y440.012"/>
    <d v="2020-12-29T00:00:00"/>
    <s v="PROVIDED NEW"/>
    <d v="2022-07-06T00:00:00"/>
    <s v="Conv-A DONE"/>
    <s v="Conv-A DONE"/>
    <s v="Conv-A DONE"/>
    <s v="Conv-A DONE"/>
    <s v="Conv-A DONE"/>
    <d v="2022-07-06T00:00:00"/>
    <d v="2022-07-06T00:00:00"/>
    <s v="Conv-A DONE"/>
    <m/>
    <m/>
    <m/>
    <m/>
    <m/>
    <d v="2022-04-20T00:00:00"/>
    <s v="16/06/2023"/>
    <d v="2025-06-27T00:00:00"/>
    <d v="2024-09-12T00:00:00"/>
    <d v="2024-09-12T00:00:00"/>
    <d v="2024-03-20T00:00:00"/>
    <d v="2024-12-18T00:00:00"/>
    <d v="2024-06-07T00:00:00"/>
    <d v="2024-12-18T00:00:00"/>
    <d v="2024-06-07T00:00:00"/>
    <m/>
  </r>
  <r>
    <n v="164"/>
    <n v="30531"/>
    <s v="HLC-B"/>
    <s v="STB6H0061HLCC"/>
    <x v="4"/>
    <s v="WR"/>
    <s v="MUM"/>
    <d v="2017-02-21T00:00:00"/>
    <n v="61"/>
    <s v="Imported"/>
    <s v="M-U7D2S04V.005,_x000a_MO-U7F2S240.005"/>
    <d v="2020-03-30T00:00:00"/>
    <s v="UAT2Y440.012"/>
    <d v="2020-12-29T00:00:00"/>
    <s v="PROVIDED NEW"/>
    <d v="2022-07-06T00:00:00"/>
    <s v="Conv-B DONE"/>
    <s v="Conv-B DONE"/>
    <s v="Conv-B DONE"/>
    <s v="Conv-B DONE"/>
    <s v="Conv-B DONE"/>
    <d v="2022-07-06T00:00:00"/>
    <d v="2022-07-06T00:00:00"/>
    <s v="Conv-B DONE"/>
    <m/>
    <m/>
    <m/>
    <m/>
    <m/>
    <d v="2022-04-20T00:00:00"/>
    <s v="16/06/2023"/>
    <d v="2025-06-27T00:00:00"/>
    <d v="2024-09-12T00:00:00"/>
    <d v="2024-09-12T00:00:00"/>
    <d v="2024-03-20T00:00:00"/>
    <d v="2024-12-18T00:00:00"/>
    <d v="2024-06-07T00:00:00"/>
    <d v="2024-12-18T00:00:00"/>
    <d v="2024-06-07T00:00:00"/>
    <m/>
  </r>
  <r>
    <n v="165"/>
    <n v="30532"/>
    <s v="HLC-A"/>
    <s v="STB6H0062HLCC"/>
    <x v="4"/>
    <s v="WR"/>
    <s v="MUM"/>
    <d v="2017-02-23T00:00:00"/>
    <n v="62"/>
    <s v="Imported"/>
    <s v="M-U7D2S04V.005,_x000a_MO-U7F2S240.005"/>
    <m/>
    <s v="UAT2Y440.012"/>
    <d v="2021-02-10T00:00:00"/>
    <m/>
    <m/>
    <s v="Conv-A DONE"/>
    <s v="Conv-A DONE"/>
    <s v="Conv-A DONE"/>
    <s v="Conv-A DONE"/>
    <m/>
    <m/>
    <m/>
    <s v="Conv-A DONE"/>
    <m/>
    <m/>
    <m/>
    <m/>
    <m/>
    <d v="2022-05-03T00:00:00"/>
    <s v="30/11/2023"/>
    <d v="2025-06-14T00:00:00"/>
    <d v="2024-12-10T00:00:00"/>
    <d v="2024-12-10T00:00:00"/>
    <d v="2024-03-07T00:00:00"/>
    <d v="2024-12-10T00:00:00"/>
    <d v="2024-06-07T00:00:00"/>
    <d v="2024-09-06T00:00:00"/>
    <d v="2024-06-07T00:00:00"/>
    <m/>
  </r>
  <r>
    <n v="166"/>
    <n v="30532"/>
    <s v="HLC-B"/>
    <s v="STB6H0060HLCC"/>
    <x v="4"/>
    <s v="WR"/>
    <s v="MUM"/>
    <d v="2017-02-23T00:00:00"/>
    <n v="60"/>
    <s v="Imported"/>
    <s v="M-U7D2S04V.005,_x000a_MO-U7F2S240.005"/>
    <m/>
    <s v="UAT2Y440.012"/>
    <d v="2021-02-10T00:00:00"/>
    <m/>
    <m/>
    <s v="Conv-B DONE"/>
    <s v="Conv-B DONE"/>
    <s v="Conv-B DONE"/>
    <s v="Conv-B DONE"/>
    <m/>
    <m/>
    <m/>
    <s v="Conv-B DONE"/>
    <m/>
    <m/>
    <m/>
    <m/>
    <m/>
    <d v="2022-05-03T00:00:00"/>
    <s v="NA"/>
    <d v="2025-06-14T00:00:00"/>
    <d v="2024-12-10T00:00:00"/>
    <d v="2024-12-10T00:00:00"/>
    <d v="2024-03-07T00:00:00"/>
    <d v="2024-12-10T00:00:00"/>
    <d v="2024-06-07T00:00:00"/>
    <d v="2024-09-06T00:00:00"/>
    <d v="2024-06-07T00:00:00"/>
    <m/>
  </r>
  <r>
    <n v="167"/>
    <n v="30533"/>
    <s v="HLC-A"/>
    <s v="STB6H0059HLCC"/>
    <x v="4"/>
    <s v="WR"/>
    <s v="MUM"/>
    <d v="2017-02-25T00:00:00"/>
    <n v="59"/>
    <s v="Imported"/>
    <s v="M-U7D2S04V.005,_x000a_MO-U7F2S240.005"/>
    <d v="2021-04-08T00:00:00"/>
    <s v="UAT2Y440.012"/>
    <d v="2020-12-26T00:00:00"/>
    <m/>
    <d v="2022-07-27T00:00:00"/>
    <s v="Conv-A DONE"/>
    <s v="Conv-A DONE"/>
    <s v="Conv-A DONE"/>
    <m/>
    <m/>
    <d v="2022-07-27T00:00:00"/>
    <d v="2022-07-27T00:00:00"/>
    <s v="Conv-A DONE"/>
    <m/>
    <m/>
    <m/>
    <m/>
    <m/>
    <d v="2022-05-09T00:00:00"/>
    <d v="2023-02-01T00:00:00"/>
    <d v="2025-04-25T00:00:00"/>
    <d v="2024-06-21T00:00:00"/>
    <d v="2024-06-21T00:00:00"/>
    <d v="2024-03-30T00:00:00"/>
    <d v="2024-06-21T00:00:00"/>
    <d v="2024-06-21T00:00:00"/>
    <d v="2024-09-24T00:00:00"/>
    <d v="2024-06-21T00:00:00"/>
    <m/>
  </r>
  <r>
    <n v="168"/>
    <n v="30533"/>
    <s v="HLC-B"/>
    <s v="STB6H0063HLCC"/>
    <x v="4"/>
    <s v="WR"/>
    <s v="MUM"/>
    <d v="2017-02-25T00:00:00"/>
    <n v="63"/>
    <s v="Imported"/>
    <s v="M-U7D2S04V.005,_x000a_MO-U7F2S240.005"/>
    <d v="2021-04-08T00:00:00"/>
    <s v="UAT2Y440.012"/>
    <d v="2020-12-26T00:00:00"/>
    <m/>
    <d v="2022-07-27T00:00:00"/>
    <s v="Conv-B DONE"/>
    <s v="Conv-B DONE"/>
    <s v="Conv-B DONE"/>
    <m/>
    <m/>
    <d v="2022-07-27T00:00:00"/>
    <d v="2022-07-27T00:00:00"/>
    <s v="Conv-B DONE"/>
    <m/>
    <m/>
    <m/>
    <m/>
    <m/>
    <d v="2022-05-09T00:00:00"/>
    <d v="2023-02-01T00:00:00"/>
    <d v="2025-04-25T00:00:00"/>
    <d v="2024-06-21T00:00:00"/>
    <d v="2024-06-21T00:00:00"/>
    <d v="2024-03-30T00:00:00"/>
    <d v="2024-06-21T00:00:00"/>
    <d v="2024-06-21T00:00:00"/>
    <d v="2024-09-24T00:00:00"/>
    <d v="2024-06-21T00:00:00"/>
    <m/>
  </r>
  <r>
    <n v="169"/>
    <n v="30536"/>
    <s v="HLC-A"/>
    <s v="STB7H0066HLCC"/>
    <x v="5"/>
    <s v="WR"/>
    <s v="MUM"/>
    <d v="2017-04-06T00:00:00"/>
    <n v="66"/>
    <s v="Imported"/>
    <s v="M-U7D2S04V.005,_x000a_MO-U7F2S240.005"/>
    <d v="2020-08-16T00:00:00"/>
    <s v="UAT2Y440.012"/>
    <d v="2021-01-30T00:00:00"/>
    <m/>
    <d v="2022-06-05T00:00:00"/>
    <s v="Conv-B DONE"/>
    <s v="Conv-B DONE"/>
    <m/>
    <m/>
    <m/>
    <d v="2022-06-05T00:00:00"/>
    <d v="2022-06-05T00:00:00"/>
    <m/>
    <m/>
    <m/>
    <m/>
    <m/>
    <m/>
    <d v="2022-05-11T00:00:00"/>
    <m/>
    <m/>
    <m/>
    <m/>
    <m/>
    <m/>
    <m/>
    <m/>
    <m/>
    <m/>
  </r>
  <r>
    <n v="170"/>
    <n v="30536"/>
    <s v="HLC-B"/>
    <s v="STB7H0067HLCC"/>
    <x v="5"/>
    <s v="WR"/>
    <s v="MUM"/>
    <d v="2017-04-06T00:00:00"/>
    <n v="67"/>
    <s v="Imported"/>
    <s v="M-U7D2S04V.005,_x000a_MO-U7F2S240.005"/>
    <d v="2020-08-16T00:00:00"/>
    <s v="UAT2Y440.012"/>
    <d v="2021-01-30T00:00:00"/>
    <m/>
    <d v="2022-06-05T00:00:00"/>
    <s v="Conv-A DONE"/>
    <s v="Conv-A DONE"/>
    <m/>
    <m/>
    <m/>
    <d v="2022-06-05T00:00:00"/>
    <d v="2022-06-05T00:00:00"/>
    <m/>
    <m/>
    <m/>
    <m/>
    <m/>
    <m/>
    <d v="2022-05-11T00:00:00"/>
    <m/>
    <m/>
    <m/>
    <m/>
    <m/>
    <m/>
    <m/>
    <m/>
    <m/>
    <m/>
  </r>
  <r>
    <n v="171"/>
    <n v="30548"/>
    <s v="HLC-A"/>
    <s v="STB8H0080HLCC"/>
    <x v="5"/>
    <s v="WR"/>
    <s v="MUM"/>
    <d v="2017-05-29T00:00:00"/>
    <n v="80"/>
    <s v="Nashik"/>
    <s v="M-U7D2S04V.005,_x000a_MO-U7F2S240.005"/>
    <d v="2020-08-18T00:00:00"/>
    <s v="UAT2Y440.012"/>
    <d v="2020-12-10T00:00:00"/>
    <m/>
    <d v="2022-07-27T00:00:00"/>
    <m/>
    <m/>
    <m/>
    <m/>
    <m/>
    <d v="2022-07-27T00:00:00"/>
    <d v="2022-07-27T00:00:00"/>
    <m/>
    <m/>
    <m/>
    <m/>
    <m/>
    <m/>
    <d v="2022-02-07T00:00:00"/>
    <m/>
    <m/>
    <m/>
    <m/>
    <m/>
    <m/>
    <m/>
    <m/>
    <m/>
    <m/>
  </r>
  <r>
    <n v="172"/>
    <n v="30548"/>
    <s v="HLC-B"/>
    <s v="STB8H0078HLCC"/>
    <x v="5"/>
    <s v="WR"/>
    <s v="MUM"/>
    <d v="2017-05-29T00:00:00"/>
    <n v="78"/>
    <s v="Nashik"/>
    <s v="M-U7D2S04V.005,_x000a_MO-U7F2S240.005"/>
    <d v="2020-08-18T00:00:00"/>
    <s v="UAT2Y440.012"/>
    <d v="2020-12-10T00:00:00"/>
    <m/>
    <d v="2022-07-27T00:00:00"/>
    <m/>
    <m/>
    <m/>
    <m/>
    <m/>
    <d v="2022-07-27T00:00:00"/>
    <d v="2022-07-27T00:00:00"/>
    <m/>
    <m/>
    <m/>
    <m/>
    <m/>
    <m/>
    <d v="2022-02-07T00:00:00"/>
    <m/>
    <m/>
    <m/>
    <m/>
    <m/>
    <m/>
    <m/>
    <m/>
    <m/>
    <m/>
  </r>
  <r>
    <n v="173"/>
    <n v="30588"/>
    <s v="HLC-A"/>
    <s v="STB5J0104HLCD"/>
    <x v="4"/>
    <s v="WR"/>
    <s v="MUM"/>
    <d v="2018-01-09T00:00:00"/>
    <n v="104"/>
    <s v="Nashik"/>
    <s v="M-U7D2S04V.005,_x000a_MO-U7F2S240.005"/>
    <s v="Done"/>
    <s v="UAT2Y440.012"/>
    <d v="2020-12-14T00:00:00"/>
    <m/>
    <m/>
    <s v="Conv-A DONE"/>
    <s v="Conv-A DONE"/>
    <s v="Conv-A DONE"/>
    <m/>
    <m/>
    <m/>
    <m/>
    <s v="Conv-A DONE"/>
    <m/>
    <m/>
    <d v="2021-10-06T00:00:00"/>
    <m/>
    <m/>
    <s v="15/5/2022"/>
    <m/>
    <d v="2025-05-05T00:00:00"/>
    <d v="2024-07-25T00:00:00"/>
    <d v="2024-07-25T00:00:00"/>
    <d v="2024-01-19T00:00:00"/>
    <d v="2024-10-23T00:00:00"/>
    <d v="2025-05-05T00:00:00"/>
    <m/>
    <d v="2024-07-18T00:00:00"/>
    <m/>
  </r>
  <r>
    <n v="174"/>
    <n v="30588"/>
    <s v="HLC-B"/>
    <s v="STB830105HLCD"/>
    <x v="4"/>
    <s v="WR"/>
    <s v="MUM"/>
    <d v="2018-01-09T00:00:00"/>
    <n v="105"/>
    <s v="Nashik"/>
    <s v="M-U7D2S04V.005,_x000a_MO-U7F2S240.005"/>
    <s v="Done"/>
    <s v="UAT2Y440.012"/>
    <d v="2020-12-14T00:00:00"/>
    <m/>
    <m/>
    <s v="Conv-B DONE"/>
    <s v="Conv-B DONE"/>
    <s v="Conv-B DONE"/>
    <m/>
    <m/>
    <m/>
    <m/>
    <s v="Conv-B DONE"/>
    <m/>
    <m/>
    <d v="2021-10-06T00:00:00"/>
    <m/>
    <m/>
    <s v="15/5/2022"/>
    <m/>
    <d v="2025-05-05T00:00:00"/>
    <d v="2024-07-25T00:00:00"/>
    <d v="2024-07-25T00:00:00"/>
    <d v="2024-01-19T00:00:00"/>
    <d v="2024-10-23T00:00:00"/>
    <d v="2025-05-05T00:00:00"/>
    <m/>
    <d v="2024-07-18T00:00:00"/>
    <m/>
  </r>
  <r>
    <n v="175"/>
    <n v="30598"/>
    <s v="HLC-A"/>
    <s v="STB8J0144HLCC"/>
    <x v="5"/>
    <s v="WR"/>
    <s v="MUM"/>
    <n v="43050"/>
    <n v="144"/>
    <s v="Nashik"/>
    <m/>
    <m/>
    <s v="UAT2Y440.012"/>
    <n v="44180"/>
    <m/>
    <n v="44768"/>
    <s v="Conv-A DONE"/>
    <m/>
    <m/>
    <m/>
    <m/>
    <n v="44768"/>
    <n v="44768"/>
    <s v="Conv-A DONE"/>
    <m/>
    <m/>
    <m/>
    <m/>
    <m/>
    <n v="44690"/>
    <m/>
    <m/>
    <m/>
    <m/>
    <m/>
    <m/>
    <m/>
    <m/>
    <m/>
    <m/>
  </r>
  <r>
    <n v="176"/>
    <n v="30598"/>
    <s v="HLC-B"/>
    <s v="STB8J0145HLCD"/>
    <x v="5"/>
    <s v="WR"/>
    <s v="MUM"/>
    <n v="43050"/>
    <n v="145"/>
    <s v="Nashik"/>
    <m/>
    <m/>
    <s v="UAT2Y440.012"/>
    <n v="44180"/>
    <m/>
    <n v="44768"/>
    <s v="Conv-B DONE"/>
    <s v="Conv-B DONE"/>
    <m/>
    <m/>
    <m/>
    <n v="44768"/>
    <n v="44768"/>
    <s v="Conv-B DONE"/>
    <m/>
    <m/>
    <m/>
    <m/>
    <m/>
    <n v="44690"/>
    <m/>
    <m/>
    <m/>
    <m/>
    <m/>
    <m/>
    <m/>
    <m/>
    <m/>
    <m/>
  </r>
  <r>
    <n v="177"/>
    <n v="30606"/>
    <s v="HLC-A"/>
    <s v="STB6J0107HLCD"/>
    <x v="4"/>
    <s v="WR"/>
    <s v="MUM"/>
    <d v="2017-12-05T00:00:00"/>
    <n v="107"/>
    <s v="Nashik"/>
    <s v="M-U7D2S04V.005,_x000a_MO-U7F2S240.005"/>
    <d v="2020-10-08T00:00:00"/>
    <s v="UAT2Y440.012"/>
    <d v="2021-02-08T00:00:00"/>
    <m/>
    <d v="2022-08-08T00:00:00"/>
    <s v="Conv-A DONE"/>
    <s v="Conv-A DONE"/>
    <s v="Conv-A DONE"/>
    <m/>
    <m/>
    <d v="2022-08-08T00:00:00"/>
    <d v="2022-08-08T00:00:00"/>
    <s v="Conv-A DONE"/>
    <m/>
    <m/>
    <m/>
    <m/>
    <m/>
    <d v="2022-02-23T00:00:00"/>
    <d v="2023-02-02T00:00:00"/>
    <d v="2024-04-10T00:00:00"/>
    <d v="2024-07-20T00:00:00"/>
    <d v="2024-07-20T00:00:00"/>
    <d v="2024-04-22T00:00:00"/>
    <d v="2025-02-10T00:00:00"/>
    <d v="2024-04-22T00:00:00"/>
    <d v="2025-02-10T00:00:00"/>
    <d v="2024-04-22T00:00:00"/>
    <m/>
  </r>
  <r>
    <n v="178"/>
    <n v="30606"/>
    <s v="HLC-B"/>
    <s v="STB6J0106HLCD"/>
    <x v="4"/>
    <s v="WR"/>
    <s v="MUM"/>
    <d v="2017-12-05T00:00:00"/>
    <n v="106"/>
    <s v="Nashik"/>
    <s v="M-U7D2S04V.005,_x000a_MO-U7F2S240.005"/>
    <d v="2020-10-08T00:00:00"/>
    <s v="UAT2Y440.012"/>
    <d v="2021-02-08T00:00:00"/>
    <m/>
    <d v="2022-08-08T00:00:00"/>
    <s v="Conv-B DONE"/>
    <s v="Conv-B DONE"/>
    <s v="Conv-B DONE"/>
    <m/>
    <m/>
    <d v="2022-08-08T00:00:00"/>
    <d v="2022-08-08T00:00:00"/>
    <s v="Conv-B DONE"/>
    <m/>
    <m/>
    <m/>
    <m/>
    <m/>
    <d v="2022-02-23T00:00:00"/>
    <d v="2023-02-02T00:00:00"/>
    <d v="2024-04-10T00:00:00"/>
    <d v="2024-07-20T00:00:00"/>
    <d v="2024-07-20T00:00:00"/>
    <d v="2024-04-22T00:00:00"/>
    <d v="2025-02-10T00:00:00"/>
    <d v="2024-04-22T00:00:00"/>
    <d v="2025-02-10T00:00:00"/>
    <d v="2024-04-22T00:00:00"/>
    <m/>
  </r>
  <r>
    <n v="179"/>
    <n v="30607"/>
    <s v="HLC-A"/>
    <s v="STB7J0126HLCD"/>
    <x v="4"/>
    <s v="WR"/>
    <s v="MUM"/>
    <d v="2017-12-15T00:00:00"/>
    <n v="126"/>
    <s v="Nashik"/>
    <s v="M-U7D2S04V.005,_x000a_MO-U7F2S240.005"/>
    <d v="2020-08-29T00:00:00"/>
    <s v="UAT2Y440.012"/>
    <d v="2020-12-08T00:00:00"/>
    <s v="NEW FILTER"/>
    <d v="2022-07-11T00:00:00"/>
    <s v="Conv-A DONE"/>
    <s v="Conv-A DONE"/>
    <s v="Conv-A DONE"/>
    <m/>
    <m/>
    <d v="2022-07-11T00:00:00"/>
    <d v="2022-07-11T00:00:00"/>
    <s v="Conv-A DONE"/>
    <m/>
    <m/>
    <m/>
    <s v="10.06.21"/>
    <m/>
    <d v="2022-02-17T00:00:00"/>
    <d v="2023-01-21T00:00:00"/>
    <d v="2025-06-03T00:00:00"/>
    <d v="2024-07-09T00:00:00"/>
    <d v="2024-07-09T00:00:00"/>
    <d v="2024-02-22T00:00:00"/>
    <d v="2024-11-27T00:00:00"/>
    <d v="2024-07-12T00:00:00"/>
    <m/>
    <d v="2024-07-12T00:00:00"/>
    <m/>
  </r>
  <r>
    <n v="180"/>
    <n v="30607"/>
    <s v="HLC-B"/>
    <s v="STB7J0127HLCD"/>
    <x v="4"/>
    <s v="WR"/>
    <s v="MUM"/>
    <d v="2017-12-15T00:00:00"/>
    <n v="127"/>
    <s v="Nashik"/>
    <s v="M-U7D2S04V.005,_x000a_MO-U7F2S240.005"/>
    <d v="2020-08-29T00:00:00"/>
    <s v="UAT2Y440.012"/>
    <d v="2020-12-08T00:00:00"/>
    <s v="NEW FILTER"/>
    <d v="2022-07-11T00:00:00"/>
    <s v="Conv-B DONE"/>
    <s v="Conv-B DONE"/>
    <s v="Conv-B DONE"/>
    <m/>
    <m/>
    <d v="2022-07-11T00:00:00"/>
    <d v="2022-07-11T00:00:00"/>
    <s v="Conv-B DONE"/>
    <m/>
    <m/>
    <m/>
    <m/>
    <m/>
    <d v="2022-02-17T00:00:00"/>
    <d v="2023-01-21T00:00:00"/>
    <d v="2025-06-03T00:00:00"/>
    <d v="2024-07-09T00:00:00"/>
    <d v="2024-07-09T00:00:00"/>
    <d v="2024-02-22T00:00:00"/>
    <d v="2024-11-27T00:00:00"/>
    <d v="2024-07-12T00:00:00"/>
    <m/>
    <d v="2024-07-12T00:00:00"/>
    <m/>
  </r>
  <r>
    <n v="181"/>
    <n v="30821"/>
    <s v="HLC-A"/>
    <s v="STBDK0374HLCD"/>
    <x v="6"/>
    <s v="WR"/>
    <s v="MUM"/>
    <d v="2021-01-13T00:00:00"/>
    <n v="374"/>
    <s v="Nashik"/>
    <s v="M-U7D2S04V.005,_x000a_MO-U7F2S240.005"/>
    <d v="2021-08-10T00:00:00"/>
    <s v="UAT2Y440.012"/>
    <s v="Done"/>
    <d v="2022-08-12T00:00:00"/>
    <d v="2024-06-27T00:00:00"/>
    <m/>
    <s v="Conv-A DONE"/>
    <s v="Conv-A DONE"/>
    <s v="Conv-A DONE"/>
    <s v="Conv-A DONE"/>
    <d v="2022-08-12T00:00:00"/>
    <d v="2022-08-12T00:00:00"/>
    <s v="Conv-A DONE"/>
    <m/>
    <m/>
    <d v="2021-12-01T00:00:00"/>
    <s v="EL21A01004"/>
    <m/>
    <d v="2022-06-28T00:00:00"/>
    <d v="2023-02-18T00:00:00"/>
    <m/>
    <d v="2024-06-27T00:00:00"/>
    <d v="2024-06-27T00:00:00"/>
    <d v="2023-06-20T00:00:00"/>
    <s v="Done"/>
    <d v="2024-06-25T00:00:00"/>
    <d v="2024-11-03T00:00:00"/>
    <d v="2024-06-26T00:00:00"/>
    <m/>
  </r>
  <r>
    <n v="182"/>
    <n v="30821"/>
    <s v="HLC-B"/>
    <s v="STBDK0375HLCD"/>
    <x v="6"/>
    <s v="WR"/>
    <s v="MUM"/>
    <d v="2021-01-13T00:00:00"/>
    <n v="375"/>
    <s v="Nashik"/>
    <s v="M-U7D2S04V.005,_x000a_MO-U7F2S240.005"/>
    <d v="2021-08-10T00:00:00"/>
    <s v="UAT2Y440.012"/>
    <s v="Done"/>
    <d v="2022-08-12T00:00:00"/>
    <d v="2024-06-27T00:00:00"/>
    <m/>
    <s v="Conv-B DONE"/>
    <s v="Conv-B DONE"/>
    <s v="Conv-B DONE"/>
    <s v="Conv-B DONE"/>
    <d v="2022-08-12T00:00:00"/>
    <d v="2022-08-12T00:00:00"/>
    <s v="Conv-B DONE"/>
    <m/>
    <m/>
    <d v="2021-12-01T00:00:00"/>
    <s v="EL18K02021"/>
    <m/>
    <d v="2022-06-28T00:00:00"/>
    <d v="2023-02-18T00:00:00"/>
    <m/>
    <d v="2024-06-27T00:00:00"/>
    <d v="2024-06-27T00:00:00"/>
    <d v="2023-06-20T00:00:00"/>
    <s v="Done"/>
    <d v="2024-06-25T00:00:00"/>
    <d v="2024-11-03T00:00:00"/>
    <d v="2024-06-26T00:00:00"/>
    <m/>
  </r>
  <r>
    <n v="183"/>
    <n v="30822"/>
    <s v="HLC-A"/>
    <s v="STB8M0964HLCD"/>
    <x v="6"/>
    <s v="WR"/>
    <s v="MUM"/>
    <d v="2021-01-14T00:00:00"/>
    <n v="964"/>
    <s v="Nashik"/>
    <s v="M-U7D2S04V.005,_x000a_MO-U7F2S240.005"/>
    <s v="Done by NW"/>
    <s v="UAT2Y440.012"/>
    <d v="2021-01-25T00:00:00"/>
    <d v="2022-06-17T00:00:00"/>
    <d v="2024-10-16T00:00:00"/>
    <s v="Done by NW"/>
    <s v="Done by NW"/>
    <s v="Conv-A DONE"/>
    <s v="Conv-A DONE"/>
    <s v="Conv-A DONE"/>
    <d v="2022-06-17T00:00:00"/>
    <d v="2022-06-17T00:00:00"/>
    <s v="Done by NW"/>
    <m/>
    <m/>
    <m/>
    <m/>
    <m/>
    <s v="19/04/2022"/>
    <d v="2022-07-09T00:00:00"/>
    <d v="2023-11-03T00:00:00"/>
    <d v="2024-07-01T00:00:00"/>
    <d v="2024-07-01T00:00:00"/>
    <d v="2024-04-08T00:00:00"/>
    <s v="Done"/>
    <d v="2024-07-03T00:00:00"/>
    <d v="2024-10-19T00:00:00"/>
    <d v="2024-12-20T00:00:00"/>
    <m/>
  </r>
  <r>
    <n v="184"/>
    <n v="30822"/>
    <s v="HLC-B"/>
    <s v="STB8M0965HLCD"/>
    <x v="6"/>
    <s v="WR"/>
    <s v="MUM"/>
    <d v="2021-01-14T00:00:00"/>
    <n v="965"/>
    <s v="Nashik"/>
    <s v="M-U7D2S04V.005,_x000a_MO-U7F2S240.005"/>
    <s v="Done by NW"/>
    <s v="UAT2Y440.012"/>
    <d v="2021-01-25T00:00:00"/>
    <d v="2022-06-17T00:00:00"/>
    <d v="2024-10-16T00:00:00"/>
    <s v="Done by NW"/>
    <s v="Done by NW"/>
    <s v="Conv-B DONE"/>
    <s v="Conv-B DONE"/>
    <s v="Conv-B DONE"/>
    <d v="2022-06-17T00:00:00"/>
    <d v="2022-06-17T00:00:00"/>
    <s v="Done by NW"/>
    <m/>
    <m/>
    <m/>
    <m/>
    <m/>
    <s v="19/04/2022"/>
    <d v="2022-07-09T00:00:00"/>
    <d v="2023-11-03T00:00:00"/>
    <d v="2024-07-01T00:00:00"/>
    <d v="2024-07-01T00:00:00"/>
    <d v="2024-04-08T00:00:00"/>
    <s v="Done"/>
    <d v="2024-07-03T00:00:00"/>
    <d v="2024-10-19T00:00:00"/>
    <d v="2024-12-20T00:00:00"/>
    <m/>
  </r>
  <r>
    <n v="185"/>
    <n v="30823"/>
    <s v="HLC-A"/>
    <s v="STB0M1008HLCD"/>
    <x v="4"/>
    <s v="WR"/>
    <s v="MUM"/>
    <d v="2021-01-22T00:00:00"/>
    <n v="1008"/>
    <s v="Nashik"/>
    <s v="M-U7D2S04V.005,_x000a_MO-U7F2S240.005"/>
    <s v="Done by NW"/>
    <s v="UAT2Y440.012"/>
    <s v="Done"/>
    <m/>
    <d v="2022-07-30T00:00:00"/>
    <s v="Done by NW"/>
    <s v="Done by NW"/>
    <s v="Conv-A DONE"/>
    <s v="Conv-A DONE"/>
    <m/>
    <d v="2022-07-30T00:00:00"/>
    <d v="2022-07-30T00:00:00"/>
    <s v="Done by NW"/>
    <m/>
    <m/>
    <m/>
    <m/>
    <m/>
    <d v="2022-07-30T00:00:00"/>
    <d v="2023-02-04T00:00:00"/>
    <d v="2024-03-11T00:00:00"/>
    <d v="2024-07-01T00:00:00"/>
    <d v="2024-07-01T00:00:00"/>
    <d v="2023-12-09T00:00:00"/>
    <d v="2024-12-26T00:00:00"/>
    <d v="2024-06-19T00:00:00"/>
    <d v="2024-12-26T00:00:00"/>
    <d v="2024-06-19T00:00:00"/>
    <m/>
  </r>
  <r>
    <n v="186"/>
    <n v="30823"/>
    <s v="HLC-B"/>
    <s v="STB9M0986HLCD"/>
    <x v="4"/>
    <s v="WR"/>
    <s v="MUM"/>
    <d v="2021-01-22T00:00:00"/>
    <n v="986"/>
    <s v="Nashik"/>
    <s v="M-U7D2S04V.005,_x000a_MO-U7F2S240.005"/>
    <s v="Done by NW"/>
    <s v="UAT2Y440.012"/>
    <s v="Done"/>
    <m/>
    <d v="2022-07-30T00:00:00"/>
    <s v="Done by NW"/>
    <s v="Done by NW"/>
    <s v="Conv-B DONE"/>
    <s v="Conv-B DONE"/>
    <m/>
    <d v="2022-07-30T00:00:00"/>
    <d v="2022-07-30T00:00:00"/>
    <s v="Done by NW"/>
    <m/>
    <m/>
    <m/>
    <m/>
    <m/>
    <d v="2022-07-30T00:00:00"/>
    <d v="2023-02-04T00:00:00"/>
    <d v="2024-03-11T00:00:00"/>
    <d v="2024-07-01T00:00:00"/>
    <d v="2024-07-01T00:00:00"/>
    <d v="2023-12-09T00:00:00"/>
    <d v="2024-12-26T00:00:00"/>
    <d v="2024-06-19T00:00:00"/>
    <d v="2024-12-26T00:00:00"/>
    <d v="2024-06-19T00:00:00"/>
    <m/>
  </r>
  <r>
    <n v="187"/>
    <n v="37086"/>
    <s v="HLC-A"/>
    <s v="STB5K0244HLCD"/>
    <x v="6"/>
    <s v="WR"/>
    <s v="MUM"/>
    <d v="2019-02-14T00:00:00"/>
    <n v="244"/>
    <s v="Nashik"/>
    <s v="M-U7D2S04V.005,_x000a_MO-U7F2S240.005"/>
    <d v="2020-01-28T00:00:00"/>
    <s v="UAT2Y440.012"/>
    <d v="2020-12-22T00:00:00"/>
    <d v="2024-12-18T00:00:00"/>
    <d v="2022-08-09T00:00:00"/>
    <s v="Conv-A DONE"/>
    <s v="Conv-A DONE"/>
    <s v="Conv-A DONE"/>
    <s v="Conv-A DONE"/>
    <s v="Conv-A DONE"/>
    <d v="2022-08-09T00:00:00"/>
    <d v="2022-08-09T00:00:00"/>
    <m/>
    <m/>
    <m/>
    <d v="2021-10-25T00:00:00"/>
    <s v="EL19C01080-R"/>
    <m/>
    <d v="2022-02-07T00:00:00"/>
    <s v="21/11/2022"/>
    <d v="2023-08-11T00:00:00"/>
    <d v="2024-10-04T00:00:00"/>
    <d v="2024-08-08T00:00:00"/>
    <d v="2024-12-18T00:00:00"/>
    <s v="Done"/>
    <m/>
    <m/>
    <d v="2024-10-04T00:00:00"/>
    <m/>
  </r>
  <r>
    <n v="188"/>
    <n v="37086"/>
    <s v="HLC-B"/>
    <s v="STB5K0245HLCD"/>
    <x v="6"/>
    <s v="WR"/>
    <s v="MUM"/>
    <d v="2019-02-14T00:00:00"/>
    <n v="245"/>
    <s v="Nashik"/>
    <s v="M-U7D2S04V.005,_x000a_MO-U7F2S240.005"/>
    <d v="2020-01-28T00:00:00"/>
    <s v="UAT2Y440.012"/>
    <d v="2020-12-22T00:00:00"/>
    <d v="2024-12-18T00:00:00"/>
    <d v="2022-08-09T00:00:00"/>
    <s v="Conv-B DONE"/>
    <m/>
    <s v="Conv-B DONE"/>
    <s v="Conv-B DONE"/>
    <s v="Conv-B DONE"/>
    <d v="2022-08-09T00:00:00"/>
    <d v="2022-08-09T00:00:00"/>
    <m/>
    <m/>
    <m/>
    <d v="2021-10-25T00:00:00"/>
    <s v="EL19J04041-R"/>
    <m/>
    <d v="2022-02-07T00:00:00"/>
    <s v="21/11/2022"/>
    <d v="2023-08-11T00:00:00"/>
    <d v="2024-10-04T00:00:00"/>
    <d v="2024-08-08T00:00:00"/>
    <d v="2024-03-14T00:00:00"/>
    <s v="Done"/>
    <m/>
    <m/>
    <d v="2024-10-04T00:00:00"/>
    <m/>
  </r>
  <r>
    <n v="189"/>
    <n v="37088"/>
    <s v="HLC-A"/>
    <s v="STB6K0256HLCD"/>
    <x v="6"/>
    <s v="WR"/>
    <s v="MUM"/>
    <d v="2019-02-18T00:00:00"/>
    <n v="256"/>
    <s v="Nashik"/>
    <s v="M-U7D2S04V.005,_x000a_MO-U7F2S240.005"/>
    <d v="2021-01-22T00:00:00"/>
    <s v="UAT2Y440.012"/>
    <d v="2020-11-26T00:00:00"/>
    <d v="2024-05-21T00:00:00"/>
    <d v="2022-12-07T00:00:00"/>
    <s v="Conv-A DONE"/>
    <s v="Conv-A DONE"/>
    <m/>
    <s v="Conv-A DONE"/>
    <s v="Conv-A DONE"/>
    <d v="2022-12-07T00:00:00"/>
    <d v="2022-12-07T00:00:00"/>
    <m/>
    <m/>
    <m/>
    <d v="2021-11-18T00:00:00"/>
    <s v="20.07.21"/>
    <m/>
    <d v="2022-05-09T00:00:00"/>
    <m/>
    <d v="2024-01-31T00:00:00"/>
    <d v="2024-06-24T00:00:00"/>
    <d v="2024-06-28T00:00:00"/>
    <d v="2024-05-21T00:00:00"/>
    <s v="Done"/>
    <d v="2024-06-18T00:00:00"/>
    <d v="2024-11-09T00:00:00"/>
    <d v="2024-06-18T00:00:00"/>
    <m/>
  </r>
  <r>
    <n v="190"/>
    <n v="37088"/>
    <s v="HLC-B"/>
    <s v="STB6K0257HLCD"/>
    <x v="6"/>
    <s v="WR"/>
    <s v="MUM"/>
    <d v="2019-02-18T00:00:00"/>
    <n v="257"/>
    <s v="Nashik"/>
    <s v="M-U7D2S04V.005,_x000a_MO-U7F2S240.005"/>
    <d v="2021-01-22T00:00:00"/>
    <s v="UAT2Y440.012"/>
    <d v="2020-11-26T00:00:00"/>
    <d v="2024-05-21T00:00:00"/>
    <d v="2022-12-07T00:00:00"/>
    <s v="Conv-B DONE"/>
    <s v="Conv-B DONE"/>
    <m/>
    <s v="Conv-B DONE"/>
    <s v="Conv-B DONE"/>
    <d v="2022-12-07T00:00:00"/>
    <d v="2022-12-07T00:00:00"/>
    <m/>
    <m/>
    <m/>
    <m/>
    <s v="20.07.21"/>
    <m/>
    <d v="2022-05-09T00:00:00"/>
    <m/>
    <d v="2024-01-31T00:00:00"/>
    <d v="2024-06-24T00:00:00"/>
    <d v="2024-06-28T00:00:00"/>
    <d v="2024-05-21T00:00:00"/>
    <s v="Done"/>
    <d v="2024-06-18T00:00:00"/>
    <d v="2024-11-09T00:00:00"/>
    <d v="2024-06-18T00:00:00"/>
    <m/>
  </r>
  <r>
    <n v="191"/>
    <n v="37112"/>
    <s v="HLC-A"/>
    <s v="STBOK0318HLCD"/>
    <x v="4"/>
    <s v="WR"/>
    <s v="MUM"/>
    <d v="2019-03-14T00:00:00"/>
    <n v="318"/>
    <s v="Nashik"/>
    <s v="M-U7D2S04V.005,_x000a_MO-U7F2S240.005"/>
    <m/>
    <s v="UAT2Y440.012"/>
    <d v="2021-12-15T00:00:00"/>
    <m/>
    <d v="2022-09-02T00:00:00"/>
    <s v="Conv-A DONE"/>
    <s v="Conv-A DONE"/>
    <m/>
    <m/>
    <m/>
    <d v="2022-09-02T00:00:00"/>
    <d v="2022-09-02T00:00:00"/>
    <m/>
    <m/>
    <m/>
    <d v="2021-11-29T00:00:00"/>
    <m/>
    <m/>
    <d v="2022-09-02T00:00:00"/>
    <d v="2022-09-12T00:00:00"/>
    <d v="2024-01-23T00:00:00"/>
    <d v="2024-08-08T00:00:00"/>
    <d v="2024-11-15T00:00:00"/>
    <d v="2023-06-20T00:00:00"/>
    <d v="2024-05-24T00:00:00"/>
    <d v="2024-05-24T00:00:00"/>
    <d v="2025-03-30T00:00:00"/>
    <d v="2024-05-24T00:00:00"/>
    <m/>
  </r>
  <r>
    <n v="192"/>
    <n v="37112"/>
    <s v="HLC-B"/>
    <s v="STBOK0319HLCD"/>
    <x v="4"/>
    <s v="WR"/>
    <s v="MUM"/>
    <d v="2019-03-14T00:00:00"/>
    <n v="319"/>
    <s v="Nashik"/>
    <s v="M-U7D2S04V.005,_x000a_MO-U7F2S240.005"/>
    <m/>
    <s v="UAT2Y440.012"/>
    <d v="2021-12-15T00:00:00"/>
    <m/>
    <d v="2022-09-02T00:00:00"/>
    <s v="Conv-B DONE"/>
    <m/>
    <m/>
    <m/>
    <m/>
    <d v="2022-09-02T00:00:00"/>
    <d v="2022-09-02T00:00:00"/>
    <m/>
    <m/>
    <m/>
    <d v="2021-11-29T00:00:00"/>
    <m/>
    <s v="El22B02 035 replaced on 19.3.25"/>
    <d v="2022-09-02T00:00:00"/>
    <d v="2022-09-12T00:00:00"/>
    <d v="2024-01-23T00:00:00"/>
    <d v="2024-08-08T00:00:00"/>
    <d v="2024-11-15T00:00:00"/>
    <d v="2023-06-20T00:00:00"/>
    <d v="2024-05-24T00:00:00"/>
    <d v="2024-05-24T00:00:00"/>
    <d v="2025-03-30T00:00:00"/>
    <d v="2024-05-24T00:00:00"/>
    <m/>
  </r>
  <r>
    <n v="193"/>
    <n v="37113"/>
    <s v="HLC-A"/>
    <s v="STBDK0355HLCD"/>
    <x v="4"/>
    <s v="WR"/>
    <s v="MUM"/>
    <d v="2019-03-16T00:00:00"/>
    <n v="355"/>
    <s v="Nashik"/>
    <s v="M-U7D2S04V.005,_x000a_MO-U7F2S240.005"/>
    <d v="2020-03-02T00:00:00"/>
    <s v="UAT2Y440.012"/>
    <d v="2021-02-05T00:00:00"/>
    <m/>
    <d v="2022-09-20T00:00:00"/>
    <s v="Conv-A DONE"/>
    <m/>
    <m/>
    <m/>
    <m/>
    <d v="2022-09-20T00:00:00"/>
    <d v="2022-09-20T00:00:00"/>
    <m/>
    <m/>
    <m/>
    <d v="2021-10-28T00:00:00"/>
    <s v="EL19C01001-R"/>
    <m/>
    <d v="2022-05-11T00:00:00"/>
    <m/>
    <d v="2025-05-24T00:00:00"/>
    <d v="2024-06-28T00:00:00"/>
    <d v="2024-08-23T00:00:00"/>
    <d v="2023-06-28T00:00:00"/>
    <d v="2024-11-04T00:00:00"/>
    <d v="2024-01-17T00:00:00"/>
    <d v="2025-02-15T00:00:00"/>
    <d v="2024-11-04T00:00:00"/>
    <m/>
  </r>
  <r>
    <n v="194"/>
    <n v="37113"/>
    <s v="HLC-B"/>
    <s v="STBNK0336HLCD"/>
    <x v="4"/>
    <s v="WR"/>
    <s v="MUM"/>
    <d v="2019-03-16T00:00:00"/>
    <n v="336"/>
    <s v="Nashik"/>
    <s v="M-U7D2S04V.005,_x000a_MO-U7F2S240.005"/>
    <d v="2020-03-02T00:00:00"/>
    <s v="UAT2Y440.012"/>
    <d v="2021-02-05T00:00:00"/>
    <m/>
    <d v="2022-09-20T00:00:00"/>
    <s v="Conv-B DONE"/>
    <s v="Conv-B DONE"/>
    <m/>
    <m/>
    <m/>
    <d v="2022-09-20T00:00:00"/>
    <d v="2022-09-20T00:00:00"/>
    <m/>
    <m/>
    <m/>
    <d v="2021-10-28T00:00:00"/>
    <s v="EL19102034-R"/>
    <m/>
    <d v="2022-05-11T00:00:00"/>
    <d v="2023-07-12T00:00:00"/>
    <d v="2025-05-24T00:00:00"/>
    <d v="2024-06-28T00:00:00"/>
    <d v="2024-08-23T00:00:00"/>
    <d v="2023-06-28T00:00:00"/>
    <d v="2024-11-04T00:00:00"/>
    <d v="2024-01-17T00:00:00"/>
    <d v="2025-02-15T00:00:00"/>
    <d v="2024-11-04T00:00:00"/>
    <m/>
  </r>
  <r>
    <n v="195"/>
    <n v="37131"/>
    <s v="HLC-A"/>
    <s v="STB1L0400HLCD"/>
    <x v="4"/>
    <s v="WR"/>
    <s v="MUM"/>
    <d v="2019-03-28T00:00:00"/>
    <n v="400"/>
    <s v="Nashik"/>
    <s v="M-U7D2S04V.005,_x000a_MO-U7F2S240.005"/>
    <d v="2020-09-05T00:00:00"/>
    <s v="UAT2Y440.012"/>
    <d v="2020-12-28T00:00:00"/>
    <m/>
    <d v="2022-08-26T00:00:00"/>
    <s v="Conv-A DONE"/>
    <s v="Conv-A DONE"/>
    <m/>
    <m/>
    <m/>
    <d v="2022-08-26T00:00:00"/>
    <d v="2022-08-26T00:00:00"/>
    <m/>
    <m/>
    <m/>
    <d v="2021-11-09T00:00:00"/>
    <s v="02.02.21"/>
    <m/>
    <d v="2022-05-04T00:00:00"/>
    <d v="2023-02-25T00:00:00"/>
    <d v="2024-01-20T00:00:00"/>
    <d v="2024-11-15T00:00:00"/>
    <d v="2024-06-22T00:00:00"/>
    <d v="2024-01-19T00:00:00"/>
    <d v="2024-11-15T00:00:00"/>
    <d v="2024-01-24T00:00:00"/>
    <d v="2025-02-19T00:00:00"/>
    <d v="2024-11-15T00:00:00"/>
    <m/>
  </r>
  <r>
    <n v="196"/>
    <n v="37131"/>
    <s v="HLC-B"/>
    <s v="STBNK0323HLCD"/>
    <x v="4"/>
    <s v="WR"/>
    <s v="MUM"/>
    <d v="2019-03-28T00:00:00"/>
    <n v="323"/>
    <s v="Nashik"/>
    <s v="M-U7D2S04V.005,_x000a_MO-U7F2S240.005"/>
    <d v="2020-09-05T00:00:00"/>
    <s v="UAT2Y440.012"/>
    <d v="2020-12-28T00:00:00"/>
    <m/>
    <d v="2022-08-26T00:00:00"/>
    <s v="Conv-B DONE"/>
    <s v="Conv-B DONE"/>
    <m/>
    <m/>
    <m/>
    <d v="2022-08-26T00:00:00"/>
    <d v="2022-08-26T00:00:00"/>
    <m/>
    <m/>
    <m/>
    <m/>
    <m/>
    <m/>
    <d v="2022-05-04T00:00:00"/>
    <d v="2023-02-25T00:00:00"/>
    <d v="2024-01-20T00:00:00"/>
    <d v="2024-11-15T00:00:00"/>
    <d v="2024-06-22T00:00:00"/>
    <d v="2024-01-19T00:00:00"/>
    <d v="2024-11-15T00:00:00"/>
    <d v="2024-01-24T00:00:00"/>
    <d v="2025-02-19T00:00:00"/>
    <d v="2024-11-15T00:00:00"/>
    <m/>
  </r>
  <r>
    <n v="197"/>
    <n v="37286"/>
    <s v="HLC-A"/>
    <s v="STB6L0554HLCD"/>
    <x v="4"/>
    <s v="WR"/>
    <s v="MUM"/>
    <d v="2019-11-30T00:00:00"/>
    <n v="554"/>
    <s v="Nashik"/>
    <s v="M-U7D2S04V.005,_x000a_MO-U7F2S240.005"/>
    <d v="2020-03-12T00:00:00"/>
    <s v="UAT2Y440.012"/>
    <d v="2020-12-20T00:00:00"/>
    <d v="2022-06-08T00:00:00"/>
    <d v="2022-09-02T00:00:00"/>
    <s v="Done by NW"/>
    <s v="Done by NW"/>
    <m/>
    <m/>
    <m/>
    <d v="2022-09-02T00:00:00"/>
    <d v="2022-09-02T00:00:00"/>
    <m/>
    <m/>
    <m/>
    <d v="2021-11-24T00:00:00"/>
    <m/>
    <m/>
    <d v="2022-06-02T00:00:00"/>
    <d v="2023-03-10T00:00:00"/>
    <d v="2024-02-05T00:00:00"/>
    <d v="2024-08-23T00:00:00"/>
    <d v="2024-07-09T00:00:00"/>
    <d v="2024-08-23T00:00:00"/>
    <d v="2024-12-02T00:00:00"/>
    <d v="2024-05-11T00:00:00"/>
    <d v="2024-12-02T00:00:00"/>
    <d v="2024-08-21T00:00:00"/>
    <m/>
  </r>
  <r>
    <n v="198"/>
    <n v="37286"/>
    <s v="HLC-B"/>
    <s v="STB6L0569HLCD"/>
    <x v="4"/>
    <s v="WR"/>
    <s v="MUM"/>
    <d v="2019-11-30T00:00:00"/>
    <n v="569"/>
    <s v="Nashik"/>
    <s v="M-U7D2S04V.005,_x000a_MO-U7F2S240.005"/>
    <d v="2020-03-12T00:00:00"/>
    <s v="UAT2Y440.012"/>
    <d v="2020-12-20T00:00:00"/>
    <d v="2022-06-08T00:00:00"/>
    <d v="2022-09-02T00:00:00"/>
    <s v="Done by NW"/>
    <s v="Done by NW"/>
    <m/>
    <m/>
    <m/>
    <d v="2022-09-02T00:00:00"/>
    <d v="2022-09-02T00:00:00"/>
    <m/>
    <m/>
    <m/>
    <d v="2021-11-24T00:00:00"/>
    <m/>
    <m/>
    <d v="2022-06-02T00:00:00"/>
    <d v="2023-03-10T00:00:00"/>
    <d v="2024-02-05T00:00:00"/>
    <d v="2024-08-23T00:00:00"/>
    <d v="2024-07-09T00:00:00"/>
    <d v="2024-08-23T00:00:00"/>
    <d v="2024-12-02T00:00:00"/>
    <d v="2024-05-11T00:00:00"/>
    <d v="2024-12-02T00:00:00"/>
    <d v="2024-08-21T00:00:00"/>
    <m/>
  </r>
  <r>
    <n v="199"/>
    <n v="37287"/>
    <s v="HLC-A"/>
    <s v="STB6L0568HLCD"/>
    <x v="4"/>
    <s v="WR"/>
    <s v="MUM"/>
    <d v="2019-11-27T00:00:00"/>
    <n v="568"/>
    <s v="Nashik"/>
    <m/>
    <m/>
    <s v="UAT2Y440.012"/>
    <d v="2021-02-04T00:00:00"/>
    <m/>
    <d v="2022-10-03T00:00:00"/>
    <s v="Done by NW"/>
    <s v="Done by NW"/>
    <m/>
    <m/>
    <m/>
    <d v="2022-10-03T00:00:00"/>
    <d v="2022-10-03T00:00:00"/>
    <m/>
    <m/>
    <m/>
    <d v="2021-11-10T00:00:00"/>
    <m/>
    <m/>
    <d v="2022-02-25T00:00:00"/>
    <d v="2023-04-06T00:00:00"/>
    <d v="2024-09-28T00:00:00"/>
    <d v="2024-06-22T00:00:00"/>
    <d v="2024-07-12T00:00:00"/>
    <d v="2023-08-25T00:00:00"/>
    <d v="2025-01-03T00:00:00"/>
    <d v="2024-04-29T00:00:00"/>
    <d v="2024-09-28T00:00:00"/>
    <d v="2024-04-29T00:00:00"/>
    <m/>
  </r>
  <r>
    <n v="200"/>
    <n v="37287"/>
    <s v="HLC-B"/>
    <s v="STB6L0555HLCD"/>
    <x v="4"/>
    <s v="WR"/>
    <s v="MUM"/>
    <d v="2019-11-27T00:00:00"/>
    <n v="555"/>
    <s v="Nashik"/>
    <m/>
    <m/>
    <s v="UAT2Y440.012"/>
    <d v="2021-02-04T00:00:00"/>
    <m/>
    <d v="2022-10-03T00:00:00"/>
    <s v="Done by NW"/>
    <s v="Done by NW"/>
    <m/>
    <m/>
    <m/>
    <d v="2022-10-03T00:00:00"/>
    <d v="2022-10-03T00:00:00"/>
    <m/>
    <m/>
    <m/>
    <d v="2021-11-10T00:00:00"/>
    <s v="EL18E07 025-R  on 15.5.25"/>
    <m/>
    <d v="2022-02-25T00:00:00"/>
    <d v="2023-04-06T00:00:00"/>
    <d v="2024-09-28T00:00:00"/>
    <d v="2024-06-22T00:00:00"/>
    <d v="2024-07-12T00:00:00"/>
    <d v="2023-08-25T00:00:00"/>
    <d v="2025-01-03T00:00:00"/>
    <d v="2024-04-29T00:00:00"/>
    <d v="2024-09-28T00:00:00"/>
    <d v="2024-04-29T00:00:00"/>
    <m/>
  </r>
  <r>
    <n v="201"/>
    <n v="37321"/>
    <s v="HLC-A"/>
    <s v="STBNL0722HLCD"/>
    <x v="4"/>
    <s v="WR"/>
    <s v="MUM"/>
    <d v="2020-01-28T00:00:00"/>
    <n v="722"/>
    <s v="Nashik"/>
    <s v="M-U7D2S04V.005,_x000a_MO-U7F2S240.005"/>
    <d v="2020-08-14T00:00:00"/>
    <s v="UAT2Y440.012"/>
    <d v="2020-12-22T00:00:00"/>
    <d v="2020-08-14T00:00:00"/>
    <d v="2022-09-28T00:00:00"/>
    <s v="Done by NW"/>
    <s v="Done by NW"/>
    <m/>
    <m/>
    <m/>
    <d v="2022-09-28T00:00:00"/>
    <d v="2022-09-28T00:00:00"/>
    <m/>
    <m/>
    <m/>
    <d v="2021-11-20T00:00:00"/>
    <m/>
    <m/>
    <d v="2022-05-11T00:00:00"/>
    <d v="2023-07-06T00:00:00"/>
    <d v="2024-03-05T00:00:00"/>
    <d v="2024-07-09T00:00:00"/>
    <d v="2024-11-05T00:00:00"/>
    <d v="2024-03-05T00:00:00"/>
    <d v="2024-10-24T00:00:00"/>
    <d v="2024-07-09T00:00:00"/>
    <d v="2025-02-10T00:00:00"/>
    <d v="2024-07-09T00:00:00"/>
    <m/>
  </r>
  <r>
    <n v="202"/>
    <n v="37321"/>
    <s v="HLC-B"/>
    <s v="STBDL0729HLCD"/>
    <x v="4"/>
    <s v="WR"/>
    <s v="MUM"/>
    <d v="2020-01-28T00:00:00"/>
    <n v="729"/>
    <s v="Nashik"/>
    <s v="M-U7D2S04V.005,_x000a_MO-U7F2S240.005"/>
    <d v="2020-08-14T00:00:00"/>
    <s v="UAT2Y440.012"/>
    <d v="2020-12-22T00:00:00"/>
    <d v="2020-08-14T00:00:00"/>
    <d v="2022-09-28T00:00:00"/>
    <s v="Done by NW"/>
    <s v="Done by NW"/>
    <m/>
    <m/>
    <m/>
    <d v="2022-09-28T00:00:00"/>
    <d v="2022-09-28T00:00:00"/>
    <m/>
    <m/>
    <m/>
    <d v="2021-11-20T00:00:00"/>
    <m/>
    <m/>
    <d v="2022-05-11T00:00:00"/>
    <m/>
    <d v="2024-03-05T00:00:00"/>
    <d v="2024-07-09T00:00:00"/>
    <d v="2024-11-05T00:00:00"/>
    <d v="2024-03-05T00:00:00"/>
    <d v="2024-10-24T00:00:00"/>
    <d v="2024-07-09T00:00:00"/>
    <d v="2025-02-10T00:00:00"/>
    <d v="2024-07-09T00:00:00"/>
    <m/>
  </r>
  <r>
    <n v="203"/>
    <n v="37337"/>
    <s v="HLC-A"/>
    <s v="STBNL0702HLCD"/>
    <x v="4"/>
    <s v="WR"/>
    <s v="MUM"/>
    <d v="2020-12-05T00:00:00"/>
    <n v="702"/>
    <s v="Nashik"/>
    <m/>
    <m/>
    <s v="UAT2Y440.012"/>
    <d v="2021-01-28T00:00:00"/>
    <m/>
    <m/>
    <s v="Done by NW"/>
    <s v="Done by NW"/>
    <m/>
    <m/>
    <m/>
    <m/>
    <m/>
    <m/>
    <m/>
    <m/>
    <m/>
    <s v="Salzar(0318)"/>
    <m/>
    <d v="2022-12-23T00:00:00"/>
    <d v="2023-02-27T00:00:00"/>
    <d v="2024-03-06T00:00:00"/>
    <d v="2024-07-12T00:00:00"/>
    <d v="2024-07-04T00:00:00"/>
    <d v="2024-03-06T00:00:00"/>
    <d v="2024-12-04T00:00:00"/>
    <d v="2024-05-31T00:00:00"/>
    <d v="2025-06-26T00:00:00"/>
    <d v="2024-05-31T00:00:00"/>
    <m/>
  </r>
  <r>
    <n v="204"/>
    <n v="37337"/>
    <s v="HLC-B"/>
    <s v="STBNL0700HLCD"/>
    <x v="4"/>
    <s v="WR"/>
    <s v="MUM"/>
    <d v="2020-12-05T00:00:00"/>
    <n v="700"/>
    <s v="Nashik"/>
    <m/>
    <m/>
    <s v="UAT2Y440.012"/>
    <d v="2021-01-28T00:00:00"/>
    <m/>
    <m/>
    <s v="Done by NW"/>
    <s v="Done by NW"/>
    <m/>
    <m/>
    <m/>
    <m/>
    <m/>
    <m/>
    <m/>
    <m/>
    <d v="2021-11-08T00:00:00"/>
    <m/>
    <m/>
    <d v="2022-12-23T00:00:00"/>
    <d v="2023-02-27T00:00:00"/>
    <d v="2024-03-06T00:00:00"/>
    <d v="2024-07-12T00:00:00"/>
    <d v="2024-07-04T00:00:00"/>
    <d v="2024-03-06T00:00:00"/>
    <d v="2024-12-04T00:00:00"/>
    <d v="2024-05-31T00:00:00"/>
    <d v="2025-06-26T00:00:00"/>
    <d v="2024-05-31T00:00:00"/>
    <m/>
  </r>
  <r>
    <n v="205"/>
    <n v="37339"/>
    <s v="HLC-A"/>
    <s v="STBNL0696HLCD"/>
    <x v="4"/>
    <s v="WR"/>
    <s v="MUM"/>
    <d v="2020-02-21T00:00:00"/>
    <n v="696"/>
    <s v="Nashik"/>
    <s v="M-U7D2S04V.005,_x000a_MO-U7F2S240.005"/>
    <d v="2020-11-20T00:00:00"/>
    <s v="UAT2Y440.012"/>
    <d v="2021-01-05T00:00:00"/>
    <m/>
    <d v="2022-10-17T00:00:00"/>
    <s v="Done by NW"/>
    <s v="Done by NW"/>
    <m/>
    <m/>
    <m/>
    <d v="2022-10-17T00:00:00"/>
    <d v="2022-10-17T00:00:00"/>
    <m/>
    <m/>
    <m/>
    <d v="2022-01-07T00:00:00"/>
    <m/>
    <m/>
    <d v="2022-05-11T00:00:00"/>
    <d v="2023-01-19T00:00:00"/>
    <d v="2024-05-09T00:00:00"/>
    <d v="2024-11-05T00:00:00"/>
    <d v="2024-11-23T00:00:00"/>
    <d v="2024-05-09T00:00:00"/>
    <m/>
    <d v="2024-05-04T00:00:00"/>
    <m/>
    <d v="2024-05-04T00:00:00"/>
    <m/>
  </r>
  <r>
    <n v="206"/>
    <n v="37339"/>
    <s v="HLC-B"/>
    <s v="STBNL0703HLCD"/>
    <x v="4"/>
    <s v="WR"/>
    <s v="MUM"/>
    <d v="2020-02-21T00:00:00"/>
    <n v="703"/>
    <s v="Nashik"/>
    <s v="M-U7D2S04V.005,_x000a_MO-U7F2S240.005"/>
    <d v="2020-11-20T00:00:00"/>
    <s v="UAT2Y440.012"/>
    <d v="2021-01-05T00:00:00"/>
    <m/>
    <d v="2022-10-17T00:00:00"/>
    <s v="Done by NW"/>
    <s v="Done by NW"/>
    <m/>
    <m/>
    <m/>
    <d v="2022-10-17T00:00:00"/>
    <d v="2022-10-17T00:00:00"/>
    <m/>
    <m/>
    <m/>
    <d v="2022-01-07T00:00:00"/>
    <m/>
    <m/>
    <d v="2022-05-11T00:00:00"/>
    <d v="2023-01-19T00:00:00"/>
    <d v="2024-05-09T00:00:00"/>
    <d v="2024-11-05T00:00:00"/>
    <d v="2024-11-23T00:00:00"/>
    <d v="2024-05-09T00:00:00"/>
    <m/>
    <d v="2024-05-04T00:00:00"/>
    <m/>
    <d v="2024-05-04T00:00:00"/>
    <m/>
  </r>
  <r>
    <n v="207"/>
    <n v="37341"/>
    <s v="HLC-A"/>
    <s v="STB6L0562HLCD"/>
    <x v="4"/>
    <s v="WR"/>
    <s v="MUM"/>
    <d v="2020-02-27T00:00:00"/>
    <n v="562"/>
    <s v="Nashik"/>
    <s v="M-U7D2S04V.005,_x000a_MO-U7F2S240.005"/>
    <d v="2021-02-20T00:00:00"/>
    <s v="UAT2Y440.012"/>
    <d v="2021-01-29T00:00:00"/>
    <m/>
    <d v="2022-06-05T00:00:00"/>
    <s v="Done by NW"/>
    <s v="Done by NW"/>
    <m/>
    <d v="2025-02-17T00:00:00"/>
    <m/>
    <d v="2022-06-05T00:00:00"/>
    <d v="2022-06-05T00:00:00"/>
    <m/>
    <m/>
    <m/>
    <d v="2021-10-27T00:00:00"/>
    <m/>
    <m/>
    <d v="2022-05-19T00:00:00"/>
    <d v="2023-02-11T00:00:00"/>
    <d v="2024-06-05T00:00:00"/>
    <d v="2024-07-04T00:00:00"/>
    <d v="2024-09-06T00:00:00"/>
    <d v="2024-06-05T00:00:00"/>
    <d v="2024-10-23T00:00:00"/>
    <d v="2024-06-05T00:00:00"/>
    <d v="2025-02-17T00:00:00"/>
    <d v="2024-06-05T00:00:00"/>
    <m/>
  </r>
  <r>
    <n v="208"/>
    <n v="37341"/>
    <s v="HLC-B"/>
    <s v="STB7L0606HLCD"/>
    <x v="4"/>
    <s v="WR"/>
    <s v="MUM"/>
    <d v="2020-02-27T00:00:00"/>
    <n v="606"/>
    <s v="Nashik"/>
    <s v="M-U7D2S04V.005,_x000a_MO-U7F2S240.005"/>
    <d v="2020-12-26T00:00:00"/>
    <s v="UAT2Y440.012"/>
    <d v="2020-12-31T00:00:00"/>
    <m/>
    <d v="2022-06-05T00:00:00"/>
    <s v="Done by NW"/>
    <s v="Done by NW"/>
    <m/>
    <d v="2025-02-17T00:00:00"/>
    <m/>
    <d v="2022-06-05T00:00:00"/>
    <d v="2022-06-05T00:00:00"/>
    <m/>
    <m/>
    <m/>
    <d v="2021-10-27T00:00:00"/>
    <m/>
    <m/>
    <d v="2022-05-19T00:00:00"/>
    <d v="2023-02-11T00:00:00"/>
    <d v="2024-06-05T00:00:00"/>
    <d v="2024-07-04T00:00:00"/>
    <d v="2024-09-06T00:00:00"/>
    <d v="2024-06-05T00:00:00"/>
    <d v="2024-10-23T00:00:00"/>
    <d v="2024-06-05T00:00:00"/>
    <d v="2025-02-17T00:00:00"/>
    <d v="2024-06-05T00:00:00"/>
    <m/>
  </r>
  <r>
    <n v="209"/>
    <n v="37353"/>
    <s v="HLC-A"/>
    <s v="STB7L0615HLCD"/>
    <x v="4"/>
    <s v="WR"/>
    <s v="MUM"/>
    <d v="2020-03-18T00:00:00"/>
    <n v="615"/>
    <s v="Nashik"/>
    <s v="M-U7D2S04V.005,_x000a_MO-U7F2S240.005"/>
    <s v="Done"/>
    <s v="UAT2Y440.012"/>
    <d v="2020-12-29T00:00:00"/>
    <m/>
    <d v="2022-09-07T00:00:00"/>
    <s v="Done by NW"/>
    <s v="Done by NW"/>
    <m/>
    <m/>
    <m/>
    <d v="2022-09-07T00:00:00"/>
    <d v="2022-09-07T00:00:00"/>
    <m/>
    <m/>
    <m/>
    <d v="2021-10-20T00:00:00"/>
    <s v="EL18G03037"/>
    <s v="EL21A01058_x000a_26.10.23"/>
    <d v="2022-06-07T00:00:00"/>
    <d v="2023-03-25T00:00:00"/>
    <d v="2025-06-13T00:00:00"/>
    <d v="2024-11-23T00:00:00"/>
    <d v="2024-11-23T00:00:00"/>
    <d v="2024-04-26T00:00:00"/>
    <d v="2024-11-23T00:00:00"/>
    <d v="2024-04-26T00:00:00"/>
    <m/>
    <d v="2024-04-26T00:00:00"/>
    <m/>
  </r>
  <r>
    <n v="210"/>
    <n v="37353"/>
    <s v="HLC-B"/>
    <s v="STB7L0614HLCD"/>
    <x v="4"/>
    <s v="WR"/>
    <s v="MUM"/>
    <d v="2020-03-18T00:00:00"/>
    <n v="614"/>
    <s v="Nashik"/>
    <s v="M-U7D2S04V.005,_x000a_MO-U7F2S240.005"/>
    <s v="Done"/>
    <s v="UAT2Y440.012"/>
    <d v="2020-12-29T00:00:00"/>
    <m/>
    <d v="2022-09-07T00:00:00"/>
    <s v="Done by NW"/>
    <s v="Done by NW"/>
    <m/>
    <m/>
    <m/>
    <d v="2022-09-07T00:00:00"/>
    <d v="2022-09-07T00:00:00"/>
    <m/>
    <m/>
    <m/>
    <d v="2021-10-20T00:00:00"/>
    <s v="EL20L01021"/>
    <m/>
    <d v="2022-06-07T00:00:00"/>
    <d v="2023-03-25T00:00:00"/>
    <d v="2025-06-13T00:00:00"/>
    <d v="2024-11-23T00:00:00"/>
    <d v="2024-11-23T00:00:00"/>
    <d v="2024-04-26T00:00:00"/>
    <d v="2024-11-23T00:00:00"/>
    <d v="2024-04-26T00:00:00"/>
    <m/>
    <d v="2024-04-26T00:00:00"/>
    <m/>
  </r>
  <r>
    <n v="211"/>
    <n v="37354"/>
    <s v="HLC-A"/>
    <s v="STBNL0688HLCD"/>
    <x v="4"/>
    <s v="WR"/>
    <s v="MUM"/>
    <d v="2020-03-19T00:00:00"/>
    <n v="688"/>
    <s v="Nashik"/>
    <s v="M-U7D2S04V.005,_x000a_MO-U7F2S240.005"/>
    <d v="2021-02-17T00:00:00"/>
    <s v="UAT2Y440.012"/>
    <d v="2021-01-04T00:00:00"/>
    <m/>
    <m/>
    <s v="Done by NW"/>
    <s v="Done by NW"/>
    <m/>
    <m/>
    <m/>
    <m/>
    <m/>
    <m/>
    <m/>
    <m/>
    <d v="2021-11-18T00:00:00"/>
    <m/>
    <m/>
    <d v="2022-05-19T00:00:00"/>
    <d v="2023-03-11T00:00:00"/>
    <d v="2024-05-03T00:00:00"/>
    <d v="2024-09-06T00:00:00"/>
    <d v="2024-09-06T00:00:00"/>
    <d v="2024-05-03T00:00:00"/>
    <d v="2024-12-18T00:00:00"/>
    <d v="2024-05-03T00:00:00"/>
    <d v="2024-12-18T00:00:00"/>
    <d v="2024-05-03T00:00:00"/>
    <m/>
  </r>
  <r>
    <n v="212"/>
    <n v="37354"/>
    <s v="HLC-B"/>
    <s v="STBNL0689HLCD"/>
    <x v="4"/>
    <s v="WR"/>
    <s v="MUM"/>
    <d v="2020-03-19T00:00:00"/>
    <n v="689"/>
    <s v="Nashik"/>
    <s v="M-U7D2S04V.005,_x000a_MO-U7F2S240.005"/>
    <d v="2021-02-17T00:00:00"/>
    <s v="UAT2Y440.012"/>
    <d v="2021-01-04T00:00:00"/>
    <m/>
    <m/>
    <s v="Done by NW"/>
    <s v="Done by NW"/>
    <m/>
    <m/>
    <m/>
    <m/>
    <m/>
    <m/>
    <m/>
    <m/>
    <d v="2021-11-18T00:00:00"/>
    <s v="EL18B07 022-R on 18.3.25"/>
    <m/>
    <d v="2022-05-19T00:00:00"/>
    <d v="2023-03-11T00:00:00"/>
    <d v="2024-05-03T00:00:00"/>
    <d v="2024-09-06T00:00:00"/>
    <d v="2024-09-06T00:00:00"/>
    <d v="2024-05-03T00:00:00"/>
    <d v="2024-12-18T00:00:00"/>
    <d v="2024-05-03T00:00:00"/>
    <d v="2024-12-18T00:00:00"/>
    <d v="2024-05-03T00:00:00"/>
    <m/>
  </r>
  <r>
    <n v="213"/>
    <n v="37382"/>
    <s v="HLC-A"/>
    <s v="STB7L0607HLCD"/>
    <x v="6"/>
    <s v="WR"/>
    <s v="MUM"/>
    <d v="2020-07-10T00:00:00"/>
    <n v="607"/>
    <s v="Nashik"/>
    <s v="M-U7D2S04V.005,_x000a_MO-U7F2S240.005"/>
    <s v="Done"/>
    <s v="UAT2Y440.012"/>
    <d v="2020-12-24T00:00:00"/>
    <m/>
    <d v="2022-09-27T00:00:00"/>
    <s v="Done by NW"/>
    <s v="Done by NW"/>
    <s v="Conv-B DONE"/>
    <s v="Conv-B DONE"/>
    <s v="Conv-B DONE"/>
    <d v="2022-09-27T00:00:00"/>
    <d v="2022-09-27T00:00:00"/>
    <m/>
    <m/>
    <m/>
    <d v="2021-12-08T00:00:00"/>
    <s v="EL21A01011"/>
    <s v="-"/>
    <d v="2022-06-27T00:00:00"/>
    <s v="15/12/2022"/>
    <m/>
    <d v="2024-07-05T00:00:00"/>
    <d v="2024-07-05T00:00:00"/>
    <d v="2024-06-15T00:00:00"/>
    <s v="Done"/>
    <m/>
    <m/>
    <d v="2024-12-27T00:00:00"/>
    <m/>
  </r>
  <r>
    <n v="214"/>
    <n v="37382"/>
    <s v="HLC-B"/>
    <s v="STBDL0750HLCD"/>
    <x v="6"/>
    <s v="WR"/>
    <s v="MUM"/>
    <d v="2020-07-10T00:00:00"/>
    <n v="750"/>
    <s v="Nashik"/>
    <s v="M-U7D2S04V.005,_x000a_MO-U7F2S240.005"/>
    <d v="2020-12-26T00:00:00"/>
    <s v="UAT2Y440.012"/>
    <d v="2020-12-31T00:00:00"/>
    <m/>
    <d v="2022-09-27T00:00:00"/>
    <s v="Done by NW"/>
    <s v="Done by NW"/>
    <m/>
    <s v="Conv-A DONE"/>
    <m/>
    <d v="2022-09-27T00:00:00"/>
    <d v="2022-09-27T00:00:00"/>
    <m/>
    <m/>
    <m/>
    <m/>
    <m/>
    <m/>
    <d v="2022-06-27T00:00:00"/>
    <s v="15/12/2022"/>
    <m/>
    <d v="2024-07-05T00:00:00"/>
    <d v="2024-07-05T00:00:00"/>
    <d v="2024-06-15T00:00:00"/>
    <s v="Done"/>
    <m/>
    <m/>
    <d v="2024-12-27T00:00:00"/>
    <m/>
  </r>
  <r>
    <n v="215"/>
    <n v="37383"/>
    <s v="HLC-A"/>
    <s v="STBNL0718HLCD"/>
    <x v="6"/>
    <s v="WR"/>
    <s v="MUM"/>
    <d v="2020-07-10T00:00:00"/>
    <n v="718"/>
    <s v="Nashik"/>
    <s v="M-U7D2S04V.005,_x000a_MO-U7F2S240.005"/>
    <d v="2020-12-18T00:00:00"/>
    <s v="UAT2Y440.012"/>
    <d v="2020-12-18T00:00:00"/>
    <m/>
    <d v="2022-09-19T00:00:00"/>
    <s v="Done by NW"/>
    <s v="Done by NW"/>
    <m/>
    <s v="Conv-B DONE"/>
    <m/>
    <d v="2022-09-19T00:00:00"/>
    <d v="2022-09-19T00:00:00"/>
    <m/>
    <m/>
    <m/>
    <d v="2021-12-15T00:00:00"/>
    <s v="EL21D01-001"/>
    <m/>
    <d v="2022-02-12T00:00:00"/>
    <s v="29/09/2022"/>
    <m/>
    <d v="2024-08-08T00:00:00"/>
    <d v="2024-12-20T00:00:00"/>
    <d v="2023-08-25T00:00:00"/>
    <s v="Done"/>
    <m/>
    <d v="2024-12-22T00:00:00"/>
    <d v="2025-01-16T00:00:00"/>
    <m/>
  </r>
  <r>
    <n v="216"/>
    <n v="37383"/>
    <s v="HLC-B"/>
    <s v="STBNL0714HLCD"/>
    <x v="6"/>
    <s v="WR"/>
    <s v="MUM"/>
    <d v="2020-07-10T00:00:00"/>
    <n v="714"/>
    <s v="Nashik"/>
    <s v="M-U7D2S04V.005,_x000a_MO-U7F2S240.005"/>
    <d v="2020-12-18T00:00:00"/>
    <s v="UAT2Y440.012"/>
    <d v="2020-12-18T00:00:00"/>
    <m/>
    <d v="2022-09-19T00:00:00"/>
    <s v="Done by NW"/>
    <s v="Done by NW"/>
    <m/>
    <m/>
    <m/>
    <d v="2022-09-19T00:00:00"/>
    <d v="2022-09-19T00:00:00"/>
    <m/>
    <m/>
    <m/>
    <d v="2021-12-15T00:00:00"/>
    <s v="EL22B02003"/>
    <m/>
    <d v="2022-02-12T00:00:00"/>
    <m/>
    <m/>
    <d v="2024-08-08T00:00:00"/>
    <d v="2024-12-20T00:00:00"/>
    <d v="2023-08-25T00:00:00"/>
    <s v="Done"/>
    <m/>
    <d v="2024-12-22T00:00:00"/>
    <d v="2025-01-16T00:00:00"/>
    <m/>
  </r>
  <r>
    <n v="217"/>
    <n v="37424"/>
    <s v="HLC-A"/>
    <s v="STB5M0807HLCD"/>
    <x v="4"/>
    <s v="WR"/>
    <s v="MUM"/>
    <d v="2020-08-17T00:00:00"/>
    <n v="807"/>
    <s v="Nashik"/>
    <m/>
    <m/>
    <s v="UAT2Y440.012"/>
    <d v="2020-12-17T00:00:00"/>
    <m/>
    <d v="2022-07-12T00:00:00"/>
    <s v="Done by NW"/>
    <s v="Done by NW"/>
    <m/>
    <m/>
    <m/>
    <d v="2022-07-12T00:00:00"/>
    <d v="2022-07-12T00:00:00"/>
    <s v="Done by NW"/>
    <m/>
    <m/>
    <d v="2022-02-24T00:00:00"/>
    <m/>
    <m/>
    <d v="2022-02-10T00:00:00"/>
    <d v="2023-01-23T00:00:00"/>
    <d v="2024-03-06T00:00:00"/>
    <d v="2024-08-03T00:00:00"/>
    <d v="2024-08-03T00:00:00"/>
    <d v="2023-03-06T00:00:00"/>
    <d v="2024-08-03T00:00:00"/>
    <d v="2024-04-22T00:00:00"/>
    <m/>
    <d v="2024-04-22T00:00:00"/>
    <m/>
  </r>
  <r>
    <n v="218"/>
    <n v="37424"/>
    <s v="HLC-B"/>
    <s v="STB5M0813HLCD"/>
    <x v="4"/>
    <s v="WR"/>
    <s v="MUM"/>
    <d v="2020-08-17T00:00:00"/>
    <n v="813"/>
    <s v="Nashik"/>
    <m/>
    <m/>
    <s v="UAT2Y440.012"/>
    <d v="2020-12-17T00:00:00"/>
    <m/>
    <d v="2022-07-12T00:00:00"/>
    <s v="Done by NW"/>
    <s v="Done by NW"/>
    <m/>
    <m/>
    <m/>
    <d v="2022-07-12T00:00:00"/>
    <d v="2022-07-12T00:00:00"/>
    <s v="Done by NW"/>
    <m/>
    <m/>
    <d v="2022-02-24T00:00:00"/>
    <s v="EL17D05026R"/>
    <m/>
    <d v="2022-02-10T00:00:00"/>
    <d v="2023-01-23T00:00:00"/>
    <d v="2024-03-06T00:00:00"/>
    <d v="2024-08-03T00:00:00"/>
    <d v="2024-08-03T00:00:00"/>
    <d v="2023-03-06T00:00:00"/>
    <d v="2024-08-03T00:00:00"/>
    <d v="2024-04-22T00:00:00"/>
    <m/>
    <d v="2024-04-22T00:00:00"/>
    <m/>
  </r>
  <r>
    <n v="219"/>
    <n v="37471"/>
    <s v="HLC-A"/>
    <s v="STB8M0960HLCD"/>
    <x v="4"/>
    <s v="WR"/>
    <s v="MUM"/>
    <d v="2020-11-20T00:00:00"/>
    <n v="960"/>
    <s v="Nashik"/>
    <s v="M-U7D2S04V.005,_x000a_MO-U7F2S240.005"/>
    <s v="Done by NW"/>
    <s v="UAT2Y440.012"/>
    <d v="2020-12-19T00:00:00"/>
    <m/>
    <d v="2022-07-29T00:00:00"/>
    <s v="Done by NW"/>
    <s v="Done by NW"/>
    <m/>
    <m/>
    <m/>
    <d v="2022-07-29T00:00:00"/>
    <d v="2022-07-29T00:00:00"/>
    <s v="Done by NW"/>
    <m/>
    <m/>
    <m/>
    <m/>
    <m/>
    <d v="2022-07-29T00:00:00"/>
    <d v="2023-02-14T00:00:00"/>
    <m/>
    <d v="2024-08-10T00:00:00"/>
    <d v="2024-08-10T00:00:00"/>
    <d v="2023-05-20T00:00:00"/>
    <d v="2024-10-23T00:00:00"/>
    <d v="2024-05-06T00:00:00"/>
    <m/>
    <d v="2024-05-06T00:00:00"/>
    <m/>
  </r>
  <r>
    <n v="220"/>
    <n v="37471"/>
    <s v="HLC-B"/>
    <s v="STB8M0961HLCD"/>
    <x v="4"/>
    <s v="WR"/>
    <s v="MUM"/>
    <d v="2020-11-20T00:00:00"/>
    <n v="961"/>
    <s v="Nashik"/>
    <s v="M-U7D2S04V.005,_x000a_MO-U7F2S240.005"/>
    <s v="Done by NW"/>
    <s v="UAT2Y440.012"/>
    <d v="2020-12-19T00:00:00"/>
    <m/>
    <d v="2022-07-29T00:00:00"/>
    <s v="Done by NW"/>
    <s v="Done by NW"/>
    <m/>
    <m/>
    <m/>
    <d v="2022-07-29T00:00:00"/>
    <d v="2022-07-29T00:00:00"/>
    <s v="Done by NW"/>
    <m/>
    <m/>
    <m/>
    <s v="Salzer(0501) on 18.02.25"/>
    <m/>
    <d v="2022-07-29T00:00:00"/>
    <d v="2023-02-14T00:00:00"/>
    <m/>
    <d v="2024-08-10T00:00:00"/>
    <d v="2024-08-10T00:00:00"/>
    <d v="2023-05-20T00:00:00"/>
    <d v="2024-10-23T00:00:00"/>
    <d v="2024-05-06T00:00:00"/>
    <m/>
    <d v="2024-05-06T00:00:00"/>
    <m/>
  </r>
  <r>
    <n v="221"/>
    <n v="37504"/>
    <s v="HLC-A"/>
    <s v="STM0M1003HLCD"/>
    <x v="4"/>
    <s v="WR"/>
    <s v="MUM"/>
    <d v="2020-12-22T00:00:00"/>
    <n v="1003"/>
    <s v="Nashik"/>
    <s v="M-U7D2S04V.005,_x000a_MO-U7F2S240.005"/>
    <s v="Done by NW"/>
    <s v="UAT2Y440.012"/>
    <d v="2020-12-31T00:00:00"/>
    <m/>
    <d v="2022-11-24T00:00:00"/>
    <s v="Done by NW"/>
    <s v="Done by NW"/>
    <m/>
    <m/>
    <d v="2022-11-24T00:00:00"/>
    <s v="Conv-A DONE"/>
    <m/>
    <s v="Done by NW"/>
    <m/>
    <m/>
    <m/>
    <m/>
    <m/>
    <d v="2022-05-05T00:00:00"/>
    <d v="2023-02-27T00:00:00"/>
    <d v="2024-04-17T00:00:00"/>
    <d v="2024-07-16T00:00:00"/>
    <d v="2024-07-16T00:00:00"/>
    <d v="2023-08-24T00:00:00"/>
    <d v="2025-04-21T00:00:00"/>
    <d v="2024-04-17T00:00:00"/>
    <m/>
    <d v="2024-04-17T00:00:00"/>
    <m/>
  </r>
  <r>
    <n v="222"/>
    <n v="37504"/>
    <s v="HLC-B"/>
    <s v="STB9M0998HLCD"/>
    <x v="4"/>
    <s v="WR"/>
    <s v="MUM"/>
    <d v="2020-12-22T00:00:00"/>
    <n v="998"/>
    <s v="Nashik"/>
    <s v="M-U7D2S04V.005,_x000a_MO-U7F2S240.005"/>
    <s v="Done by NW"/>
    <s v="UAT2Y440.012"/>
    <d v="2020-12-31T00:00:00"/>
    <m/>
    <d v="2022-11-24T00:00:00"/>
    <s v="Done by NW"/>
    <s v="Done by NW"/>
    <m/>
    <m/>
    <d v="2022-11-24T00:00:00"/>
    <s v="Conv-B DONE"/>
    <m/>
    <s v="Done by NW"/>
    <m/>
    <m/>
    <m/>
    <m/>
    <m/>
    <d v="2022-05-05T00:00:00"/>
    <d v="2023-02-27T00:00:00"/>
    <d v="2024-04-17T00:00:00"/>
    <d v="2024-07-16T00:00:00"/>
    <d v="2024-07-16T00:00:00"/>
    <d v="2023-08-24T00:00:00"/>
    <d v="2025-04-21T00:00:00"/>
    <d v="2024-04-17T00:00:00"/>
    <m/>
    <d v="2024-04-17T00:00:00"/>
    <m/>
  </r>
  <r>
    <n v="223"/>
    <n v="37506"/>
    <s v="HLC-A"/>
    <s v="STB9M0999HLCD"/>
    <x v="4"/>
    <s v="WR"/>
    <s v="MUM"/>
    <d v="2020-12-26T00:00:00"/>
    <n v="999"/>
    <s v="Nashik"/>
    <s v="M-U7D2S04V.005,_x000a_MO-U7F2S240.005"/>
    <s v="Done by NW"/>
    <s v="UAT2Y440.012"/>
    <d v="2021-01-07T00:00:00"/>
    <m/>
    <d v="2022-06-20T00:00:00"/>
    <s v="Done by NW"/>
    <s v="Done by NW"/>
    <m/>
    <d v="2024-08-23T00:00:00"/>
    <m/>
    <d v="2022-06-20T00:00:00"/>
    <d v="2022-06-20T00:00:00"/>
    <s v="Done by NW"/>
    <m/>
    <m/>
    <m/>
    <m/>
    <m/>
    <d v="2022-06-21T00:00:00"/>
    <d v="2022-12-29T00:00:00"/>
    <d v="2024-02-12T00:00:00"/>
    <d v="2024-08-24T00:00:00"/>
    <d v="2024-08-24T00:00:00"/>
    <d v="2023-07-20T00:00:00"/>
    <d v="2024-12-24T00:00:00"/>
    <m/>
    <m/>
    <d v="2024-08-23T00:00:00"/>
    <m/>
  </r>
  <r>
    <n v="224"/>
    <n v="37506"/>
    <s v="HLC-B"/>
    <s v="STB8M0957HLCD"/>
    <x v="4"/>
    <s v="WR"/>
    <s v="MUM"/>
    <d v="2020-12-26T00:00:00"/>
    <n v="957"/>
    <s v="Nashik"/>
    <s v="M-U7D2S04V.005,_x000a_MO-U7F2S240.005"/>
    <s v="Done by NW"/>
    <s v="UAT2Y440.012"/>
    <s v="Done"/>
    <m/>
    <d v="2022-06-20T00:00:00"/>
    <s v="Done by NW"/>
    <s v="Done by NW"/>
    <m/>
    <d v="2024-08-23T00:00:00"/>
    <s v="Conv-B DONE"/>
    <d v="2022-06-20T00:00:00"/>
    <d v="2022-06-20T00:00:00"/>
    <s v="Done by NW"/>
    <m/>
    <m/>
    <m/>
    <m/>
    <m/>
    <d v="2022-06-21T00:00:00"/>
    <d v="2022-12-29T00:00:00"/>
    <d v="2024-02-12T00:00:00"/>
    <d v="2024-08-24T00:00:00"/>
    <d v="2024-08-24T00:00:00"/>
    <d v="2023-07-20T00:00:00"/>
    <d v="2024-12-24T00:00:00"/>
    <m/>
    <m/>
    <d v="2024-08-23T00:00:00"/>
    <m/>
  </r>
  <r>
    <n v="225"/>
    <n v="37548"/>
    <s v="HLC-A"/>
    <s v="STB5M0788"/>
    <x v="4"/>
    <s v="WR"/>
    <s v="MUM"/>
    <d v="2021-03-12T00:00:00"/>
    <n v="788"/>
    <s v="Nashik"/>
    <s v="M-U7D2S04V.005,_x000a_MO-U7F2S240.005"/>
    <d v="2020-11-12T00:00:00"/>
    <s v="UAT2Y440.012"/>
    <d v="2020-11-12T00:00:00"/>
    <m/>
    <d v="2022-07-25T00:00:00"/>
    <s v="Done by NW"/>
    <s v="Done by NW"/>
    <m/>
    <m/>
    <s v="Conv-A DONE"/>
    <d v="2022-07-25T00:00:00"/>
    <d v="2022-07-25T00:00:00"/>
    <s v="Done by NW"/>
    <m/>
    <m/>
    <m/>
    <s v="EL18F0051-R"/>
    <m/>
    <d v="2022-02-25T00:00:00"/>
    <m/>
    <d v="2025-06-23T00:00:00"/>
    <d v="2024-06-22T00:00:00"/>
    <d v="2024-06-22T00:00:00"/>
    <d v="2023-11-09T00:00:00"/>
    <m/>
    <d v="2024-05-22T00:00:00"/>
    <m/>
    <d v="2024-05-22T00:00:00"/>
    <m/>
  </r>
  <r>
    <n v="226"/>
    <n v="37548"/>
    <s v="HLC-B"/>
    <s v="STB5M0825"/>
    <x v="4"/>
    <s v="WR"/>
    <s v="MUM"/>
    <d v="2021-03-12T00:00:00"/>
    <n v="825"/>
    <s v="Nashik"/>
    <s v="M-U7D2S04V.005,_x000a_MO-U7F2S240.005"/>
    <d v="2020-11-12T00:00:00"/>
    <s v="UAT2Y440.012"/>
    <d v="2020-11-12T00:00:00"/>
    <m/>
    <d v="2022-07-25T00:00:00"/>
    <s v="Done by NW"/>
    <s v="Done by NW"/>
    <m/>
    <m/>
    <s v="Conv-B DONE"/>
    <d v="2022-07-25T00:00:00"/>
    <d v="2022-07-25T00:00:00"/>
    <s v="Done by NW"/>
    <m/>
    <m/>
    <d v="2022-01-19T00:00:00"/>
    <m/>
    <m/>
    <d v="2022-02-25T00:00:00"/>
    <m/>
    <d v="2025-06-23T00:00:00"/>
    <d v="2024-06-22T00:00:00"/>
    <d v="2024-06-22T00:00:00"/>
    <d v="2023-11-09T00:00:00"/>
    <m/>
    <d v="2024-05-22T00:00:00"/>
    <m/>
    <d v="2024-05-22T00:00:00"/>
    <m/>
  </r>
  <r>
    <n v="227"/>
    <n v="37559"/>
    <s v="HLC-A"/>
    <s v="STB0M1010"/>
    <x v="6"/>
    <s v="WR"/>
    <s v="MUM"/>
    <d v="2021-03-16T00:00:00"/>
    <n v="1010"/>
    <s v="Nashik"/>
    <s v="M-U7D2S04V.005,_x000a_MO-U7F2S240.005"/>
    <s v="Done by NW"/>
    <s v="UAT2Y440.012"/>
    <d v="2021-03-25T00:00:00"/>
    <m/>
    <d v="2024-12-22T00:00:00"/>
    <s v="Done by NW"/>
    <s v="Done by NW"/>
    <m/>
    <m/>
    <m/>
    <m/>
    <m/>
    <s v="Done by NW"/>
    <m/>
    <m/>
    <m/>
    <m/>
    <m/>
    <d v="2022-06-07T00:00:00"/>
    <d v="2023-01-27T00:00:00"/>
    <m/>
    <d v="2024-07-09T00:00:00"/>
    <d v="2024-11-07T00:00:00"/>
    <d v="2023-05-11T00:00:00"/>
    <s v="Done"/>
    <m/>
    <d v="2024-12-28T00:00:00"/>
    <d v="2024-08-02T00:00:00"/>
    <m/>
  </r>
  <r>
    <n v="228"/>
    <n v="37559"/>
    <s v="HLC-B"/>
    <s v="STB0M1011"/>
    <x v="6"/>
    <s v="WR"/>
    <s v="MUM"/>
    <d v="2021-03-16T00:00:00"/>
    <n v="1011"/>
    <s v="Nashik"/>
    <s v="M-U7D2S04V.005,_x000a_MO-U7F2S240.005"/>
    <s v="Done by NW"/>
    <s v="UAT2Y440.012"/>
    <d v="2021-03-25T00:00:00"/>
    <m/>
    <d v="2024-12-22T00:00:00"/>
    <s v="Done by NW"/>
    <s v="Done by NW"/>
    <m/>
    <m/>
    <m/>
    <m/>
    <m/>
    <s v="Done by NW"/>
    <m/>
    <m/>
    <m/>
    <m/>
    <m/>
    <d v="2022-06-07T00:00:00"/>
    <d v="2023-01-27T00:00:00"/>
    <m/>
    <d v="2024-07-09T00:00:00"/>
    <d v="2024-11-07T00:00:00"/>
    <d v="2023-05-11T00:00:00"/>
    <s v="Done"/>
    <m/>
    <d v="2024-12-28T00:00:00"/>
    <d v="2024-08-02T00:00:00"/>
    <m/>
  </r>
  <r>
    <n v="229"/>
    <n v="37569"/>
    <s v="HLC-A"/>
    <s v="STBNM1046"/>
    <x v="4"/>
    <s v="WR"/>
    <s v="MUM"/>
    <d v="2021-04-07T00:00:00"/>
    <s v="1046"/>
    <s v="Nashik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  <d v="2022-05-09T00:00:00"/>
    <d v="2023-02-20T00:00:00"/>
    <d v="2024-02-05T00:00:00"/>
    <d v="2024-08-12T00:00:00"/>
    <d v="2024-08-12T00:00:00"/>
    <d v="2023-05-11T00:00:00"/>
    <d v="2024-11-11T00:00:00"/>
    <d v="2023-10-17T00:00:00"/>
    <m/>
    <d v="2024-08-12T00:00:00"/>
    <m/>
  </r>
  <r>
    <n v="230"/>
    <n v="37569"/>
    <s v="HLC-B"/>
    <s v="STBNM1047"/>
    <x v="4"/>
    <s v="WR"/>
    <s v="MUM"/>
    <d v="2021-04-07T00:00:00"/>
    <s v="1047"/>
    <s v="Nashik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  <d v="2022-05-09T00:00:00"/>
    <d v="2023-02-20T00:00:00"/>
    <d v="2024-02-05T00:00:00"/>
    <d v="2024-08-12T00:00:00"/>
    <d v="2024-08-12T00:00:00"/>
    <d v="2023-05-11T00:00:00"/>
    <d v="2024-11-11T00:00:00"/>
    <d v="2023-10-17T00:00:00"/>
    <m/>
    <d v="2024-08-12T00:00:00"/>
    <m/>
  </r>
  <r>
    <n v="231"/>
    <n v="37571"/>
    <s v="HLC-A"/>
    <s v="STBNM1032"/>
    <x v="6"/>
    <s v="WR"/>
    <s v="MUM"/>
    <d v="2021-04-07T00:00:00"/>
    <n v="1032"/>
    <s v="Nashik"/>
    <s v="M-U7D2S04V.005,_x000a_MO-U7F2S240.005"/>
    <s v="Done by NW"/>
    <s v="UAT2Y440.012"/>
    <s v="Done by NW"/>
    <m/>
    <d v="2022-08-18T00:00:00"/>
    <s v="Done by NW"/>
    <s v="Done by NW"/>
    <s v="Conv-A DONE"/>
    <s v="Conv-A DONE"/>
    <s v="Conv-A DONE"/>
    <d v="2022-08-18T00:00:00"/>
    <d v="2022-08-18T00:00:00"/>
    <s v="Done by NW"/>
    <m/>
    <m/>
    <d v="2022-02-23T00:00:00"/>
    <m/>
    <m/>
    <d v="2022-04-20T00:00:00"/>
    <d v="2023-02-21T00:00:00"/>
    <m/>
    <d v="2024-10-18T00:00:00"/>
    <d v="2024-10-18T00:00:00"/>
    <d v="2024-03-20T00:00:00"/>
    <s v="Done"/>
    <m/>
    <m/>
    <d v="2025-01-23T00:00:00"/>
    <m/>
  </r>
  <r>
    <n v="232"/>
    <n v="37571"/>
    <s v="HLC-B"/>
    <s v="STBNM1038"/>
    <x v="6"/>
    <s v="WR"/>
    <s v="MUM"/>
    <d v="2021-04-07T00:00:00"/>
    <n v="1038"/>
    <s v="Nashik"/>
    <s v="M-U7D2S04V.005,_x000a_MO-U7F2S240.005"/>
    <s v="Done by NW"/>
    <s v="UAT2Y440.012"/>
    <s v="Done by NW"/>
    <m/>
    <d v="2022-08-18T00:00:00"/>
    <s v="Done by NW"/>
    <s v="Done by NW"/>
    <s v="Conv-B DONE"/>
    <s v="Conv-B DONE"/>
    <s v="Conv-B DONE"/>
    <d v="2022-08-18T00:00:00"/>
    <d v="2022-08-18T00:00:00"/>
    <s v="Done by NW"/>
    <m/>
    <m/>
    <m/>
    <s v="EL18K03042-R"/>
    <m/>
    <d v="2022-04-20T00:00:00"/>
    <d v="2023-02-21T00:00:00"/>
    <m/>
    <d v="2024-10-18T00:00:00"/>
    <d v="2024-10-18T00:00:00"/>
    <d v="2024-03-20T00:00:00"/>
    <s v="Done"/>
    <m/>
    <m/>
    <d v="2025-01-23T00:00:00"/>
    <m/>
  </r>
  <r>
    <n v="233"/>
    <n v="37579"/>
    <s v="HLC-A"/>
    <s v="STBNM1040"/>
    <x v="6"/>
    <s v="WR"/>
    <s v="MUM"/>
    <d v="2021-04-29T00:00:00"/>
    <s v="1040"/>
    <s v="Nashik"/>
    <s v="M-U7D2S04V.005,_x000a_MO-U7F2S240.005"/>
    <s v="Done by NW"/>
    <s v="UAT2Y440.012"/>
    <s v="Done by NW"/>
    <m/>
    <d v="2022-06-23T00:00:00"/>
    <s v="Done by NW"/>
    <s v="Done by NW"/>
    <m/>
    <s v="Conv-A DONE"/>
    <s v="Conv-A DONE"/>
    <d v="2022-06-23T00:00:00"/>
    <d v="2022-06-23T00:00:00"/>
    <s v="Done by NW"/>
    <m/>
    <m/>
    <m/>
    <m/>
    <m/>
    <d v="2022-02-05T00:00:00"/>
    <d v="2023-04-12T00:00:00"/>
    <m/>
    <d v="2024-08-27T00:00:00"/>
    <d v="2024-12-13T00:00:00"/>
    <d v="2024-03-27T00:00:00"/>
    <m/>
    <m/>
    <m/>
    <d v="2025-01-15T00:00:00"/>
    <m/>
  </r>
  <r>
    <n v="234"/>
    <n v="37579"/>
    <s v="HLC-B"/>
    <s v="STBNM1041"/>
    <x v="6"/>
    <s v="WR"/>
    <s v="MUM"/>
    <d v="2021-04-29T00:00:00"/>
    <s v="1041"/>
    <s v="Nashik"/>
    <s v="M-U7D2S04V.005,_x000a_MO-U7F2S240.005"/>
    <s v="Done by NW"/>
    <s v="UAT2Y440.012"/>
    <s v="Done by NW"/>
    <m/>
    <d v="2022-06-23T00:00:00"/>
    <s v="Done by NW"/>
    <s v="Done by NW"/>
    <m/>
    <s v="Conv-B DONE"/>
    <s v="Conv-B DONE"/>
    <d v="2022-06-23T00:00:00"/>
    <d v="2022-06-23T00:00:00"/>
    <s v="Done by NW"/>
    <m/>
    <m/>
    <m/>
    <m/>
    <m/>
    <d v="2022-02-05T00:00:00"/>
    <d v="2023-04-12T00:00:00"/>
    <m/>
    <d v="2024-08-27T00:00:00"/>
    <d v="2024-12-13T00:00:00"/>
    <d v="2024-03-27T00:00:00"/>
    <m/>
    <m/>
    <m/>
    <d v="2025-01-15T00:00:00"/>
    <m/>
  </r>
  <r>
    <n v="235"/>
    <n v="39027"/>
    <s v="HLC-A"/>
    <s v="STB6K0250HLCD"/>
    <x v="6"/>
    <s v="WR"/>
    <s v="MUM"/>
    <d v="2019-01-30T00:00:00"/>
    <n v="250"/>
    <s v="Nashik"/>
    <s v="M-U7D2S04V.005,_x000a_MO-U7F2S240.005"/>
    <d v="2021-02-16T00:00:00"/>
    <s v="UAT2Y440.012"/>
    <d v="2021-02-10T00:00:00"/>
    <m/>
    <d v="2022-09-10T00:00:00"/>
    <s v="Conv-A DONE"/>
    <s v="Conv-A DONE"/>
    <m/>
    <s v="Conv-A DONE"/>
    <m/>
    <d v="2022-09-10T00:00:00"/>
    <d v="2022-09-10T00:00:00"/>
    <m/>
    <m/>
    <m/>
    <m/>
    <s v="30.06.21"/>
    <m/>
    <d v="2022-05-11T00:00:00"/>
    <d v="2023-03-16T00:00:00"/>
    <d v="2024-01-31T00:00:00"/>
    <d v="2024-06-25T00:00:00"/>
    <d v="2024-11-29T00:00:00"/>
    <d v="2024-01-31T00:00:00"/>
    <s v="Done"/>
    <d v="2024-06-18T00:00:00"/>
    <d v="2025-01-10T00:00:00"/>
    <d v="2025-03-15T00:00:00"/>
    <m/>
  </r>
  <r>
    <n v="236"/>
    <n v="39027"/>
    <s v="HLC-B"/>
    <s v="STB6K0252HLCD"/>
    <x v="6"/>
    <s v="WR"/>
    <s v="MUM"/>
    <d v="2019-01-30T00:00:00"/>
    <n v="252"/>
    <s v="Nashik"/>
    <s v="M-U7D2S04V.005,_x000a_MO-U7F2S240.005"/>
    <d v="2021-02-16T00:00:00"/>
    <s v="UAT2Y440.012"/>
    <d v="2021-02-10T00:00:00"/>
    <m/>
    <d v="2022-09-10T00:00:00"/>
    <s v="Conv-B DONE"/>
    <s v="Conv-B DONE"/>
    <m/>
    <s v="Conv-B DONE"/>
    <m/>
    <d v="2022-09-10T00:00:00"/>
    <d v="2022-09-10T00:00:00"/>
    <m/>
    <m/>
    <m/>
    <d v="2021-09-24T00:00:00"/>
    <s v="17.01.22"/>
    <m/>
    <d v="2022-05-11T00:00:00"/>
    <d v="2023-03-16T00:00:00"/>
    <d v="2024-01-31T00:00:00"/>
    <d v="2024-06-25T00:00:00"/>
    <d v="2024-11-29T00:00:00"/>
    <d v="2024-01-31T00:00:00"/>
    <s v="Done"/>
    <d v="2024-06-18T00:00:00"/>
    <d v="2025-01-10T00:00:00"/>
    <d v="2025-03-15T00:00:00"/>
    <m/>
  </r>
  <r>
    <n v="237"/>
    <n v="39066"/>
    <s v="HLC-A"/>
    <s v="STB1L0393HLCD"/>
    <x v="6"/>
    <s v="WR"/>
    <s v="MUM"/>
    <d v="2019-07-12T00:00:00"/>
    <n v="393"/>
    <s v="Nashik"/>
    <s v="M-U7D2S04V.005,_x000a_MO-U7F2S240.005"/>
    <d v="2020-01-23T00:00:00"/>
    <s v="UAT2Y440.012"/>
    <d v="2021-02-11T00:00:00"/>
    <d v="2024-04-10T00:00:00"/>
    <d v="2022-09-10T00:00:00"/>
    <s v="Conv-A DONE"/>
    <s v="Conv-A DONE"/>
    <s v="Conv-A DONE"/>
    <s v="Conv-A DONE"/>
    <s v="Conv-A DONE"/>
    <d v="2022-09-10T00:00:00"/>
    <d v="2022-09-10T00:00:00"/>
    <m/>
    <s v="YES"/>
    <s v="YES"/>
    <d v="2021-10-23T00:00:00"/>
    <s v="EL21D01-002"/>
    <m/>
    <d v="2022-07-05T00:00:00"/>
    <d v="2023-03-11T00:00:00"/>
    <d v="2024-05-04T00:00:00"/>
    <d v="2024-08-10T00:00:00"/>
    <d v="2025-01-03T00:00:00"/>
    <d v="2024-04-10T00:00:00"/>
    <s v="Done"/>
    <d v="2024-04-29T00:00:00"/>
    <d v="2024-12-23T00:00:00"/>
    <d v="2024-04-29T00:00:00"/>
    <m/>
  </r>
  <r>
    <n v="238"/>
    <n v="39066"/>
    <s v="HLC-B"/>
    <s v="STB1L0399HLCD"/>
    <x v="6"/>
    <s v="WR"/>
    <s v="MUM"/>
    <d v="2019-07-12T00:00:00"/>
    <n v="399"/>
    <s v="Nashik"/>
    <s v="M-U7D2S04V.005,_x000a_MO-U7F2S240.005"/>
    <d v="2020-01-23T00:00:00"/>
    <s v="UAT2Y440.012"/>
    <d v="2021-02-11T00:00:00"/>
    <d v="2024-04-10T00:00:00"/>
    <d v="2022-09-10T00:00:00"/>
    <s v="Conv-B DONE"/>
    <s v="Conv-B DONE"/>
    <s v="Conv-B DONE"/>
    <s v="Conv-B DONE"/>
    <s v="Conv-B DONE"/>
    <d v="2022-09-10T00:00:00"/>
    <d v="2022-09-10T00:00:00"/>
    <m/>
    <s v="YES"/>
    <s v="YES"/>
    <d v="2021-10-23T00:00:00"/>
    <s v="EL21A01-027"/>
    <m/>
    <d v="2022-07-05T00:00:00"/>
    <d v="2023-06-13T00:00:00"/>
    <d v="2024-05-04T00:00:00"/>
    <d v="2024-08-10T00:00:00"/>
    <d v="2025-01-03T00:00:00"/>
    <d v="2024-04-10T00:00:00"/>
    <s v="Done"/>
    <d v="2024-04-29T00:00:00"/>
    <d v="2024-12-23T00:00:00"/>
    <d v="2024-04-29T00:00:00"/>
    <m/>
  </r>
  <r>
    <n v="239"/>
    <n v="39103"/>
    <s v="HLC-A"/>
    <s v="STB5L0526HLCD"/>
    <x v="4"/>
    <s v="WR"/>
    <s v="MUM"/>
    <d v="2019-10-29T00:00:00"/>
    <n v="526"/>
    <s v="Nashik"/>
    <s v="M-U7D2S04V.005,_x000a_MO-U7F2S240.005"/>
    <d v="2020-03-14T00:00:00"/>
    <s v="UAT2Y440.012"/>
    <d v="2021-02-01T00:00:00"/>
    <m/>
    <d v="2022-10-10T00:00:00"/>
    <s v="Done by NW"/>
    <s v="Conv-A DONE"/>
    <m/>
    <m/>
    <m/>
    <d v="2022-10-10T00:00:00"/>
    <d v="2022-10-10T00:00:00"/>
    <m/>
    <s v="YES"/>
    <s v="YES"/>
    <d v="2021-10-07T00:00:00"/>
    <s v="11.08.21"/>
    <m/>
    <d v="2022-02-10T00:00:00"/>
    <d v="2023-10-20T00:00:00"/>
    <d v="2024-12-05T00:00:00"/>
    <d v="2024-09-14T00:00:00"/>
    <d v="2024-09-14T00:00:00"/>
    <d v="2024-08-16T00:00:00"/>
    <d v="2024-12-05T00:00:00"/>
    <m/>
    <d v="2024-09-05T00:00:00"/>
    <d v="2024-08-20T00:00:00"/>
    <m/>
  </r>
  <r>
    <n v="240"/>
    <n v="39103"/>
    <s v="HLC-B"/>
    <s v="STB5L0527HLCD"/>
    <x v="4"/>
    <s v="WR"/>
    <s v="MUM"/>
    <d v="2019-10-29T00:00:00"/>
    <n v="527"/>
    <s v="Nashik"/>
    <s v="M-U7D2S04V.005,_x000a_MO-U7F2S240.005"/>
    <d v="2020-03-14T00:00:00"/>
    <s v="UAT2Y440.012"/>
    <d v="2021-02-01T00:00:00"/>
    <m/>
    <d v="2022-10-10T00:00:00"/>
    <s v="Done by NW"/>
    <s v="Conv-B DONE"/>
    <m/>
    <m/>
    <m/>
    <d v="2022-10-10T00:00:00"/>
    <d v="2022-10-10T00:00:00"/>
    <m/>
    <s v="YES"/>
    <s v="YES"/>
    <m/>
    <s v="EL17D04006"/>
    <m/>
    <d v="2022-02-10T00:00:00"/>
    <d v="2023-10-20T00:00:00"/>
    <d v="2024-12-05T00:00:00"/>
    <d v="2024-09-14T00:00:00"/>
    <d v="2024-09-14T00:00:00"/>
    <d v="2024-08-16T00:00:00"/>
    <d v="2024-12-05T00:00:00"/>
    <m/>
    <d v="2024-09-05T00:00:00"/>
    <d v="2024-08-20T00:00:00"/>
    <m/>
  </r>
  <r>
    <n v="241"/>
    <n v="39159"/>
    <s v="HLC-A"/>
    <s v="STB7M0884HLCD"/>
    <x v="4"/>
    <s v="WR"/>
    <s v="MUM"/>
    <d v="2020-09-18T00:00:00"/>
    <n v="884"/>
    <s v="Nashik"/>
    <s v="M-U7D2S04V.005,_x000a_MO-U7F2S240.005"/>
    <m/>
    <s v="UAT2Y440.012"/>
    <d v="2020-12-17T00:00:00"/>
    <m/>
    <d v="2022-07-05T00:00:00"/>
    <s v="Done by NW"/>
    <s v="Done by NW"/>
    <m/>
    <m/>
    <m/>
    <d v="2022-07-05T00:00:00"/>
    <d v="2022-07-05T00:00:00"/>
    <s v="Done by NW"/>
    <m/>
    <m/>
    <m/>
    <s v="EL19D01002-R"/>
    <m/>
    <d v="2022-02-07T00:00:00"/>
    <m/>
    <d v="2024-01-29T00:00:00"/>
    <d v="2024-08-03T00:00:00"/>
    <d v="2024-08-03T00:00:00"/>
    <d v="2024-01-29T00:00:00"/>
    <d v="2024-11-07T00:00:00"/>
    <d v="2024-05-01T00:00:00"/>
    <m/>
    <d v="2024-05-01T00:00:00"/>
    <m/>
  </r>
  <r>
    <n v="242"/>
    <n v="39159"/>
    <s v="HLC-B"/>
    <s v="STB7M0878HLCD"/>
    <x v="4"/>
    <s v="WR"/>
    <s v="MUM"/>
    <d v="2020-09-18T00:00:00"/>
    <n v="878"/>
    <s v="Nashik"/>
    <s v="M-U7D2S04V.005,_x000a_MO-U7F2S240.005"/>
    <m/>
    <s v="UAT2Y440.012"/>
    <d v="2020-12-17T00:00:00"/>
    <m/>
    <d v="2022-07-05T00:00:00"/>
    <s v="Done by NW"/>
    <s v="Done by NW"/>
    <m/>
    <m/>
    <m/>
    <d v="2022-07-05T00:00:00"/>
    <d v="2022-07-05T00:00:00"/>
    <s v="Done by NW"/>
    <m/>
    <m/>
    <m/>
    <m/>
    <m/>
    <d v="2022-02-07T00:00:00"/>
    <m/>
    <d v="2024-01-29T00:00:00"/>
    <d v="2024-08-03T00:00:00"/>
    <d v="2024-08-03T00:00:00"/>
    <d v="2024-01-29T00:00:00"/>
    <d v="2024-11-07T00:00:00"/>
    <d v="2024-05-01T00:00:00"/>
    <m/>
    <d v="2024-05-01T00:00:00"/>
    <m/>
  </r>
  <r>
    <n v="243"/>
    <n v="39160"/>
    <s v="HLC-A"/>
    <s v="STB7M0882HLCD"/>
    <x v="4"/>
    <s v="WR"/>
    <s v="MUM"/>
    <d v="2020-09-21T00:00:00"/>
    <n v="882"/>
    <s v="Nashik"/>
    <s v="M-U7D2S04V.005,_x000a_MO-U7F2S240.005"/>
    <s v="Done"/>
    <s v="UAT2Y440.012"/>
    <d v="2021-01-13T00:00:00"/>
    <d v="2020-08-16T00:00:00"/>
    <d v="2022-10-31T00:00:00"/>
    <s v="Done by NW"/>
    <s v="Done by NW"/>
    <m/>
    <d v="2024-12-18T00:00:00"/>
    <m/>
    <d v="2022-10-31T00:00:00"/>
    <s v="Conv-A DONE"/>
    <s v="Done by NW"/>
    <m/>
    <m/>
    <m/>
    <m/>
    <m/>
    <d v="2022-05-18T00:00:00"/>
    <d v="2023-02-15T00:00:00"/>
    <d v="2024-06-04T00:00:00"/>
    <d v="2024-06-21T00:00:00"/>
    <d v="2024-06-21T00:00:00"/>
    <d v="2023-05-12T00:00:00"/>
    <d v="2024-12-18T00:00:00"/>
    <d v="2024-06-04T00:00:00"/>
    <m/>
    <d v="2024-06-04T00:00:00"/>
    <m/>
  </r>
  <r>
    <n v="244"/>
    <n v="39160"/>
    <s v="HLC-B"/>
    <s v="STB7M0883HLCD"/>
    <x v="4"/>
    <s v="WR"/>
    <s v="MUM"/>
    <d v="2020-09-21T00:00:00"/>
    <n v="883"/>
    <s v="Nashik"/>
    <s v="M-U7D2S04V.005,_x000a_MO-U7F2S240.005"/>
    <s v="Done"/>
    <s v="UAT2Y440.012"/>
    <d v="2021-01-13T00:00:00"/>
    <d v="2020-08-16T00:00:00"/>
    <d v="2022-10-31T00:00:00"/>
    <s v="Done by NW"/>
    <s v="Done by NW"/>
    <m/>
    <d v="2024-12-18T00:00:00"/>
    <m/>
    <d v="2022-10-31T00:00:00"/>
    <s v="Conv-B DONE"/>
    <s v="Done by NW"/>
    <m/>
    <m/>
    <m/>
    <m/>
    <m/>
    <d v="2022-05-18T00:00:00"/>
    <d v="2023-02-15T00:00:00"/>
    <d v="2024-06-04T00:00:00"/>
    <d v="2024-06-21T00:00:00"/>
    <d v="2024-06-21T00:00:00"/>
    <d v="2023-05-12T00:00:00"/>
    <d v="2024-12-18T00:00:00"/>
    <d v="2024-06-04T00:00:00"/>
    <m/>
    <d v="2024-06-04T00:00:00"/>
    <m/>
  </r>
  <r>
    <n v="245"/>
    <n v="39192"/>
    <s v="HLC-A"/>
    <s v="STB1N1085HLCD"/>
    <x v="6"/>
    <s v="WR"/>
    <s v="MUM"/>
    <d v="2021-04-29T00:00:00"/>
    <s v="1085"/>
    <s v="Nashik"/>
    <s v="M-U7D2S04V.005,_x000a_MO-U7F2S240.005"/>
    <s v="Done by NW"/>
    <s v="UAT2Y440.012"/>
    <s v="Done by NW"/>
    <m/>
    <d v="2022-09-09T00:00:00"/>
    <s v="Done by NW"/>
    <s v="Done by NW"/>
    <m/>
    <m/>
    <m/>
    <d v="2022-09-09T00:00:00"/>
    <d v="2022-09-09T00:00:00"/>
    <s v="Done by NW"/>
    <m/>
    <m/>
    <m/>
    <m/>
    <m/>
    <d v="2022-02-12T00:00:00"/>
    <s v="21/11/2023"/>
    <m/>
    <d v="2024-08-16T00:00:00"/>
    <d v="2024-11-18T00:00:00"/>
    <d v="2024-05-18T00:00:00"/>
    <s v="Done"/>
    <m/>
    <m/>
    <d v="2025-02-08T00:00:00"/>
    <m/>
  </r>
  <r>
    <n v="246"/>
    <n v="39192"/>
    <s v="HLC-B"/>
    <s v="STB1N1084HLCD"/>
    <x v="6"/>
    <s v="WR"/>
    <s v="MUM"/>
    <d v="2021-04-29T00:00:00"/>
    <s v="1084"/>
    <s v="Nashik"/>
    <s v="M-U7D2S04V.005,_x000a_MO-U7F2S240.005"/>
    <s v="Done by NW"/>
    <s v="UAT2Y440.012"/>
    <s v="Done by NW"/>
    <m/>
    <d v="2022-09-09T00:00:00"/>
    <s v="Done by NW"/>
    <s v="Done by NW"/>
    <m/>
    <m/>
    <m/>
    <d v="2022-09-09T00:00:00"/>
    <d v="2022-09-09T00:00:00"/>
    <s v="Done by NW"/>
    <m/>
    <m/>
    <m/>
    <m/>
    <m/>
    <d v="2022-02-12T00:00:00"/>
    <s v="21/11/2023"/>
    <m/>
    <d v="2024-08-16T00:00:00"/>
    <d v="2024-11-18T00:00:00"/>
    <d v="2024-05-18T00:00:00"/>
    <s v="Done"/>
    <m/>
    <m/>
    <d v="2025-02-08T00:00:00"/>
    <m/>
  </r>
  <r>
    <n v="247"/>
    <n v="39180"/>
    <m/>
    <s v="STBDM1055HLCD"/>
    <x v="0"/>
    <m/>
    <s v="MUM"/>
    <m/>
    <s v="1055"/>
    <s v="Nashik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  <d v="2022-05-29T00:00:00"/>
    <d v="2024-02-21T00:00:00"/>
    <m/>
    <d v="2024-09-21T00:00:00"/>
    <m/>
    <d v="2024-02-21T00:00:00"/>
    <s v="Done"/>
    <d v="2024-09-21T00:00:00"/>
    <d v="2024-09-21T00:00:00"/>
    <d v="2024-09-21T00:00:00"/>
    <m/>
  </r>
  <r>
    <n v="248"/>
    <n v="37582"/>
    <s v="HLC-B"/>
    <s v="STB5M0802"/>
    <x v="4"/>
    <s v="WR"/>
    <s v="MUM"/>
    <m/>
    <n v="802"/>
    <s v="Nashik"/>
    <s v="M-U7D2S04V.005,_x000a_MO-U7F2S240.005"/>
    <s v="Done"/>
    <s v="UAT2Y440.012"/>
    <s v="Done by NW"/>
    <m/>
    <d v="2022-07-11T00:00:00"/>
    <s v="Done by NW"/>
    <s v="Done by NW"/>
    <m/>
    <m/>
    <m/>
    <d v="2022-10-17T00:00:00"/>
    <d v="2022-10-17T00:00:00"/>
    <s v="Done by NW"/>
    <m/>
    <m/>
    <m/>
    <s v="EL18B07003-R on date 25.7.24"/>
    <m/>
    <d v="2022-05-20T00:00:00"/>
    <d v="2023-01-20T00:00:00"/>
    <d v="2024-12-26T00:00:00"/>
    <d v="2024-08-10T00:00:00"/>
    <d v="2024-08-10T00:00:00"/>
    <d v="2023-04-28T00:00:00"/>
    <s v="Done"/>
    <d v="2024-06-18T00:00:00"/>
    <d v="2024-12-28T00:00:00"/>
    <d v="2024-06-18T00:00:00"/>
    <m/>
  </r>
  <r>
    <n v="249"/>
    <n v="37577"/>
    <s v="HLC-B"/>
    <s v="STB5M0826"/>
    <x v="6"/>
    <s v="WR"/>
    <s v="MUM"/>
    <m/>
    <n v="826"/>
    <s v="Nashik"/>
    <s v="M-U7D2S04V.005,_x000a_MO-U7F2S240.005"/>
    <m/>
    <s v="UAT2Y440.012"/>
    <d v="2021-06-17T00:00:00"/>
    <m/>
    <d v="2023-01-20T00:00:00"/>
    <s v="Done by NW"/>
    <s v="Done by NW"/>
    <m/>
    <m/>
    <m/>
    <d v="2023-01-20T00:00:00"/>
    <d v="2023-01-20T00:00:00"/>
    <s v="Done by NW"/>
    <m/>
    <m/>
    <d v="2021-12-24T00:00:00"/>
    <m/>
    <m/>
    <d v="2022-05-20T00:00:00"/>
    <d v="2023-01-20T00:00:00"/>
    <m/>
    <d v="2024-08-18T00:00:00"/>
    <d v="2024-12-10T00:00:00"/>
    <d v="2023-04-28T00:00:00"/>
    <s v="Done"/>
    <m/>
    <m/>
    <d v="2024-08-12T00:00:00"/>
    <m/>
  </r>
  <r>
    <n v="250"/>
    <n v="37577"/>
    <s v="HLC-A"/>
    <s v="STB5M0827"/>
    <x v="6"/>
    <s v="WR"/>
    <s v="MUM"/>
    <m/>
    <n v="827"/>
    <s v="Nashik"/>
    <s v="M-U7D2S04V.005,_x000a_MO-U7F2S240.005"/>
    <m/>
    <s v="UAT2Y440.012"/>
    <d v="2021-06-17T00:00:00"/>
    <m/>
    <d v="2023-01-20T00:00:00"/>
    <s v="Done by NW"/>
    <s v="Done by NW"/>
    <m/>
    <m/>
    <m/>
    <d v="2023-01-20T00:00:00"/>
    <d v="2023-01-20T00:00:00"/>
    <s v="Done by NW"/>
    <m/>
    <m/>
    <m/>
    <m/>
    <m/>
    <d v="2022-05-20T00:00:00"/>
    <d v="2023-01-20T00:00:00"/>
    <m/>
    <d v="2024-08-18T00:00:00"/>
    <d v="2024-12-10T00:00:00"/>
    <d v="2023-04-28T00:00:00"/>
    <s v="Done"/>
    <m/>
    <m/>
    <d v="2024-08-12T00:00:00"/>
    <m/>
  </r>
  <r>
    <n v="251"/>
    <n v="37595"/>
    <s v="HLC-A"/>
    <s v="STB8M0916"/>
    <x v="4"/>
    <s v="WR"/>
    <s v="MUM"/>
    <d v="2021-06-19T00:00:00"/>
    <n v="916"/>
    <s v="Nashik"/>
    <s v="M-U7D2S04V.005,_x000a_MO-U7F2S240.005"/>
    <s v="Done by NW"/>
    <s v="UAT2Y440.012"/>
    <s v="Done by NW"/>
    <m/>
    <d v="2022-10-31T00:00:00"/>
    <s v="Done by NW"/>
    <s v="Done by NW"/>
    <m/>
    <m/>
    <m/>
    <m/>
    <m/>
    <s v="Done by NW"/>
    <m/>
    <m/>
    <m/>
    <m/>
    <m/>
    <d v="2022-05-05T00:00:00"/>
    <d v="2023-02-01T00:00:00"/>
    <d v="2024-12-26T00:00:00"/>
    <d v="2024-12-26T00:00:00"/>
    <d v="2024-12-26T00:00:00"/>
    <d v="2023-05-12T00:00:00"/>
    <d v="2024-12-26T00:00:00"/>
    <d v="2024-06-14T00:00:00"/>
    <d v="2024-09-21T00:00:00"/>
    <d v="2024-06-14T00:00:00"/>
    <m/>
  </r>
  <r>
    <n v="252"/>
    <n v="37595"/>
    <s v="HLC-A"/>
    <s v="STB8M0917"/>
    <x v="4"/>
    <s v="WR"/>
    <s v="MUM"/>
    <d v="2021-06-19T00:00:00"/>
    <n v="917"/>
    <s v="Nashik"/>
    <s v="M-U7D2S04V.005,_x000a_MO-U7F2S240.005"/>
    <s v="Done by NW"/>
    <s v="UAT2Y440.012"/>
    <s v="Done by NW"/>
    <m/>
    <d v="2022-10-31T00:00:00"/>
    <s v="Done by NW"/>
    <s v="Done by NW"/>
    <m/>
    <m/>
    <m/>
    <m/>
    <m/>
    <s v="Done by NW"/>
    <m/>
    <m/>
    <m/>
    <m/>
    <m/>
    <d v="2022-05-05T00:00:00"/>
    <d v="2023-02-01T00:00:00"/>
    <d v="2024-12-26T00:00:00"/>
    <d v="2024-12-26T00:00:00"/>
    <d v="2024-12-26T00:00:00"/>
    <d v="2023-05-12T00:00:00"/>
    <d v="2024-12-26T00:00:00"/>
    <d v="2024-06-14T00:00:00"/>
    <d v="2024-09-21T00:00:00"/>
    <d v="2024-06-14T00:00:00"/>
    <m/>
  </r>
  <r>
    <n v="253"/>
    <n v="37582"/>
    <s v="HLC-A"/>
    <s v="STBOM1035"/>
    <x v="4"/>
    <s v="WR"/>
    <s v="MUM"/>
    <m/>
    <n v="1035"/>
    <s v="Nashik"/>
    <s v="M-U7D2S04V.005,_x000a_MO-U7F2S240.005"/>
    <s v="Done by NW"/>
    <s v="UAT2Y440.012"/>
    <s v="Done by NW"/>
    <m/>
    <m/>
    <s v="Done by NW"/>
    <s v="Done by NW"/>
    <m/>
    <m/>
    <m/>
    <m/>
    <m/>
    <s v="Done by NW"/>
    <m/>
    <m/>
    <m/>
    <m/>
    <m/>
    <d v="2022-07-12T00:00:00"/>
    <m/>
    <d v="2024-12-26T00:00:00"/>
    <d v="2024-08-10T00:00:00"/>
    <d v="2024-08-10T00:00:00"/>
    <d v="2023-04-28T00:00:00"/>
    <d v="2024-12-23T00:00:00"/>
    <d v="2024-06-18T00:00:00"/>
    <d v="2024-12-28T00:00:00"/>
    <d v="2024-06-18T00:00:00"/>
    <m/>
  </r>
  <r>
    <n v="254"/>
    <n v="39181"/>
    <s v="HLC-B"/>
    <s v="STBDM1052HLCD"/>
    <x v="0"/>
    <s v="WR"/>
    <s v="MUM"/>
    <d v="2021-02-10T00:00:00"/>
    <n v="1052"/>
    <s v="Nashik"/>
    <s v="M-U7D2S04V.005,_x000a_MO-U7F2S240.005"/>
    <s v="Done by NW"/>
    <s v="UAT2Y440.012"/>
    <s v="Done by NW"/>
    <m/>
    <m/>
    <s v="Done by NW"/>
    <s v="Done by NW"/>
    <s v="Conv-B DONE"/>
    <s v="Conv-B DONE"/>
    <s v="Conv-B DONE"/>
    <m/>
    <m/>
    <s v="Done by NW"/>
    <m/>
    <m/>
    <m/>
    <m/>
    <m/>
    <d v="2022-05-07T00:00:00"/>
    <d v="2024-02-21T00:00:00"/>
    <m/>
    <d v="2024-06-24T00:00:00"/>
    <m/>
    <d v="2023-02-01T00:00:00"/>
    <s v="Done"/>
    <d v="2024-09-19T00:00:00"/>
    <d v="2024-09-17T00:00:00"/>
    <d v="2024-09-19T00:00:00"/>
    <m/>
  </r>
  <r>
    <n v="256"/>
    <n v="37551"/>
    <s v="HLC-A"/>
    <s v="STB5M0786HLCD"/>
    <x v="0"/>
    <s v="WR"/>
    <s v="MUM"/>
    <m/>
    <m/>
    <s v="Nashik"/>
    <s v="U7D2S04V.005"/>
    <m/>
    <s v="UAT2Y440.012"/>
    <m/>
    <m/>
    <m/>
    <m/>
    <s v="Done by NW"/>
    <m/>
    <s v="Conv-A DONE"/>
    <m/>
    <m/>
    <m/>
    <s v="Conv-A DONE"/>
    <m/>
    <m/>
    <m/>
    <m/>
    <m/>
    <s v="Conv-A Done"/>
    <d v="2024-10-17T00:00:00"/>
    <m/>
    <d v="2024-10-17T00:00:00"/>
    <d v="2024-10-17T00:00:00"/>
    <d v="2024-05-27T00:00:00"/>
    <s v="Done"/>
    <d v="2024-10-18T00:00:00"/>
    <d v="2024-06-26T00:00:00"/>
    <d v="2024-10-18T00:00:00"/>
    <m/>
  </r>
  <r>
    <n v="257"/>
    <n v="37551"/>
    <s v="HLC-B"/>
    <s v="STB5M0824HLCD"/>
    <x v="0"/>
    <s v="WR"/>
    <s v="MUM"/>
    <m/>
    <m/>
    <s v="Nashik"/>
    <s v="U7D2S04V.005"/>
    <m/>
    <s v="UAT2Y440.012"/>
    <m/>
    <m/>
    <m/>
    <m/>
    <s v="Done by NW"/>
    <m/>
    <s v="Conv-B DONE"/>
    <m/>
    <m/>
    <m/>
    <s v="Conv-B DONE"/>
    <m/>
    <m/>
    <m/>
    <m/>
    <m/>
    <s v="Conv-B Done"/>
    <d v="2024-10-17T00:00:00"/>
    <m/>
    <d v="2024-10-17T00:00:00"/>
    <d v="2024-10-17T00:00:00"/>
    <d v="2024-05-27T00:00:00"/>
    <s v="Done"/>
    <d v="2024-10-18T00:00:00"/>
    <d v="2024-06-26T00:00:00"/>
    <d v="2024-10-18T00:00:00"/>
    <m/>
  </r>
  <r>
    <n v="258"/>
    <n v="37555"/>
    <s v="HLC-A"/>
    <s v="STB5M0819HLCD"/>
    <x v="0"/>
    <s v="WR"/>
    <s v="MUM"/>
    <m/>
    <m/>
    <s v="Nashik"/>
    <s v="U7D2S04V.005"/>
    <m/>
    <s v="UAT2Y440.012"/>
    <m/>
    <m/>
    <m/>
    <m/>
    <s v="Done by NW"/>
    <m/>
    <s v="Conv-A DONE"/>
    <m/>
    <m/>
    <m/>
    <m/>
    <m/>
    <m/>
    <m/>
    <m/>
    <m/>
    <s v="Conv-A Done"/>
    <d v="2024-04-12T00:00:00"/>
    <m/>
    <d v="2024-08-26T00:00:00"/>
    <d v="2024-08-26T00:00:00"/>
    <d v="2024-04-12T00:00:00"/>
    <s v="Done"/>
    <d v="2025-01-28T00:00:00"/>
    <d v="2024-07-02T00:00:00"/>
    <d v="2025-01-28T00:00:00"/>
    <m/>
  </r>
  <r>
    <n v="259"/>
    <n v="37555"/>
    <s v="HLC-B"/>
    <s v="STB5M0821HLCD"/>
    <x v="0"/>
    <s v="WR"/>
    <s v="MUM"/>
    <m/>
    <m/>
    <s v="Nashik"/>
    <s v="U7D2S04V.005"/>
    <m/>
    <s v="UAT2Y440.012"/>
    <m/>
    <m/>
    <m/>
    <m/>
    <s v="Done by NW"/>
    <m/>
    <s v="Conv-B DONE"/>
    <m/>
    <m/>
    <m/>
    <m/>
    <m/>
    <m/>
    <m/>
    <m/>
    <m/>
    <s v="Conv-B Done"/>
    <d v="2024-04-12T00:00:00"/>
    <m/>
    <d v="2024-08-26T00:00:00"/>
    <d v="2024-08-26T00:00:00"/>
    <d v="2024-04-12T00:00:00"/>
    <s v="Done"/>
    <d v="2025-01-28T00:00:00"/>
    <d v="2024-07-02T00:00:00"/>
    <d v="2025-01-28T00:00:00"/>
    <m/>
  </r>
  <r>
    <n v="260"/>
    <n v="37556"/>
    <s v="HLC-A"/>
    <s v="STB5M0818HLCD"/>
    <x v="0"/>
    <s v="WR"/>
    <s v="MUM"/>
    <m/>
    <m/>
    <s v="Nashik"/>
    <s v="U7D2S04V.005"/>
    <m/>
    <s v="UAT2Y440.012"/>
    <m/>
    <m/>
    <m/>
    <m/>
    <s v="Done by NW"/>
    <m/>
    <s v="Conv-A DONE"/>
    <m/>
    <m/>
    <m/>
    <s v="Conv-A DONE"/>
    <m/>
    <m/>
    <m/>
    <m/>
    <m/>
    <s v="Conv-A Done"/>
    <d v="2024-04-22T00:00:00"/>
    <m/>
    <d v="2024-08-05T00:00:00"/>
    <d v="2024-08-05T00:00:00"/>
    <d v="2024-05-22T00:00:00"/>
    <s v="Done"/>
    <d v="2024-08-05T00:00:00"/>
    <d v="2024-08-05T00:00:00"/>
    <d v="2024-08-05T00:00:00"/>
    <m/>
  </r>
  <r>
    <n v="261"/>
    <n v="37556"/>
    <s v="HLC-B"/>
    <s v="STB5M0820HLCD"/>
    <x v="0"/>
    <s v="WR"/>
    <s v="MUM"/>
    <m/>
    <m/>
    <s v="Nashik"/>
    <s v="U7D2S04V.005"/>
    <m/>
    <s v="UAT2Y440.012"/>
    <m/>
    <m/>
    <m/>
    <m/>
    <s v="Done by NW"/>
    <m/>
    <s v="Conv-B DONE"/>
    <m/>
    <m/>
    <m/>
    <s v="Conv-B DONE"/>
    <m/>
    <m/>
    <m/>
    <m/>
    <m/>
    <s v="Conv-B Done"/>
    <d v="2024-04-22T00:00:00"/>
    <m/>
    <d v="2024-08-05T00:00:00"/>
    <d v="2024-08-05T00:00:00"/>
    <d v="2024-05-22T00:00:00"/>
    <s v="Done"/>
    <d v="2024-08-05T00:00:00"/>
    <d v="2024-08-05T00:00:00"/>
    <d v="2024-08-05T00:00:00"/>
    <m/>
  </r>
  <r>
    <n v="262"/>
    <n v="37584"/>
    <s v="HLC-B"/>
    <s v="STBOM1036"/>
    <x v="0"/>
    <s v="WR"/>
    <s v="MUM"/>
    <d v="2021-05-11T00:00:00"/>
    <n v="1036"/>
    <s v="Nashik"/>
    <s v="M-U7D2S04V.005,_x000a_MO-U7F2S240.005"/>
    <s v="Done by NW"/>
    <s v="UAT2Y440.012"/>
    <s v="Done by NW"/>
    <m/>
    <m/>
    <s v="Done by NW"/>
    <s v="Done by NW"/>
    <m/>
    <s v="Conv-A DONE"/>
    <m/>
    <m/>
    <s v="Done by NW"/>
    <m/>
    <m/>
    <m/>
    <m/>
    <m/>
    <m/>
    <s v="Conv-A Done"/>
    <d v="2024-07-09T00:00:00"/>
    <m/>
    <d v="2024-07-13T00:00:00"/>
    <d v="2024-07-13T00:00:00"/>
    <d v="2024-07-09T00:00:00"/>
    <s v="Done"/>
    <d v="2024-11-17T00:00:00"/>
    <d v="2024-07-09T00:00:00"/>
    <d v="2024-07-08T00:00:00"/>
    <m/>
  </r>
  <r>
    <n v="263"/>
    <n v="37584"/>
    <s v="HLC-A"/>
    <s v="STBOM1037"/>
    <x v="0"/>
    <s v="WR"/>
    <s v="MUM"/>
    <d v="2021-05-11T00:00:00"/>
    <n v="1037"/>
    <s v="Nashik"/>
    <s v="M-U7D2S04V.005,_x000a_MO-U7F2S240.005"/>
    <s v="Done by NW"/>
    <s v="UAT2Y440.012"/>
    <s v="Done by NW"/>
    <m/>
    <m/>
    <s v="Done by NW"/>
    <s v="Done by NW"/>
    <m/>
    <s v="Conv-B DONE"/>
    <m/>
    <m/>
    <s v="Done by NW"/>
    <m/>
    <m/>
    <m/>
    <m/>
    <m/>
    <m/>
    <s v="Conv-B Done"/>
    <d v="2024-07-09T00:00:00"/>
    <m/>
    <d v="2024-07-13T00:00:00"/>
    <d v="2024-07-13T00:00:00"/>
    <d v="2024-07-09T00:00:00"/>
    <s v="Done"/>
    <d v="2024-11-17T00:00:00"/>
    <d v="2024-07-09T00:00:00"/>
    <d v="2024-07-08T00:00:00"/>
    <m/>
  </r>
  <r>
    <n v="264"/>
    <n v="30620"/>
    <s v="HLC-A"/>
    <s v="STB9J0166HLCD"/>
    <x v="3"/>
    <s v="WR"/>
    <s v="MUM"/>
    <m/>
    <m/>
    <s v="Nashik"/>
    <s v="M-U7D2S04V.005,_x000a_MO-U7F2S240.006"/>
    <d v="2020-12-09T00:00:00"/>
    <s v="UAT2Y440.012"/>
    <d v="2022-03-28T00:00:00"/>
    <d v="2022-06-02T00:00:00"/>
    <m/>
    <m/>
    <s v="Conv-A DONE"/>
    <m/>
    <s v="Conv-A DONE"/>
    <m/>
    <s v="Conv-A Done"/>
    <m/>
    <m/>
    <m/>
    <m/>
    <m/>
    <s v="EL18C04007-R"/>
    <m/>
    <s v="Conv-A DONE"/>
    <m/>
    <d v="2025-04-30T00:00:00"/>
    <d v="2024-06-20T00:00:00"/>
    <d v="2024-07-15T00:00:00"/>
    <d v="2024-01-18T00:00:00"/>
    <s v="Done"/>
    <d v="2024-10-19T00:00:00"/>
    <m/>
    <d v="2024-08-29T00:00:00"/>
    <m/>
  </r>
  <r>
    <n v="265"/>
    <n v="30620"/>
    <s v="HLC-B"/>
    <s v="STB1J0165HLCD"/>
    <x v="3"/>
    <s v="WR"/>
    <s v="MUM"/>
    <d v="2018-04-13T00:00:00"/>
    <n v="167"/>
    <s v="Nashik"/>
    <s v="M-U7D2S04V.005,_x000a_MO-U7F2S240.007"/>
    <d v="2020-12-09T00:00:00"/>
    <s v="UAT2Y440.012"/>
    <d v="2022-03-28T00:00:00"/>
    <d v="2022-06-02T00:00:00"/>
    <m/>
    <m/>
    <s v="Conv-B DONE"/>
    <m/>
    <s v="Conv-B DONE"/>
    <m/>
    <s v="Conv-B Done"/>
    <m/>
    <m/>
    <m/>
    <m/>
    <m/>
    <s v="EL20L01023-R"/>
    <m/>
    <s v="Conv-B DONE"/>
    <m/>
    <d v="2025-04-30T00:00:00"/>
    <d v="2024-06-20T00:00:00"/>
    <d v="2024-07-15T00:00:00"/>
    <d v="2024-01-18T00:00:00"/>
    <s v="Done"/>
    <d v="2024-10-19T00:00:00"/>
    <m/>
    <d v="2024-08-29T00:00:00"/>
    <m/>
  </r>
  <r>
    <n v="266"/>
    <n v="30624"/>
    <s v="HLC-A"/>
    <s v="STB9J0160HLCD"/>
    <x v="3"/>
    <s v="WR"/>
    <s v="MUM"/>
    <d v="2017-12-07T00:00:00"/>
    <n v="160"/>
    <s v="Nashik"/>
    <s v="M-U7D2S04V.005,_x000a_MO-U7F2S240.005"/>
    <s v="Done"/>
    <s v="U9S2Y440.011"/>
    <d v="2021-03-01T00:00:00"/>
    <d v="2022-11-05T00:00:00"/>
    <m/>
    <m/>
    <s v="Conv-A DONE"/>
    <m/>
    <s v="Conv-A DONE"/>
    <m/>
    <m/>
    <s v="Conv-A DONE"/>
    <m/>
    <m/>
    <m/>
    <m/>
    <s v="EL19J04175"/>
    <m/>
    <s v="Conv-A DONE"/>
    <s v="Conv-A DONE"/>
    <s v="Done"/>
    <d v="2024-07-15T00:00:00"/>
    <d v="2024-07-16T00:00:00"/>
    <d v="2024-07-15T00:00:00"/>
    <s v="Done"/>
    <d v="2024-06-22T00:00:00"/>
    <m/>
    <d v="2024-10-14T00:00:00"/>
    <m/>
  </r>
  <r>
    <n v="267"/>
    <n v="30624"/>
    <s v="HLC-B"/>
    <s v="STB9J0155HLCD"/>
    <x v="3"/>
    <s v="WR"/>
    <s v="MUM"/>
    <d v="2017-12-07T00:00:00"/>
    <n v="155"/>
    <s v="Nashik"/>
    <s v="M-U7D2S04V.005,_x000a_MO-U7F2S240.005"/>
    <s v="Done"/>
    <s v="U9S2Y440.011"/>
    <d v="2021-03-01T00:00:00"/>
    <d v="2022-11-05T00:00:00"/>
    <m/>
    <m/>
    <s v="Conv-B DONE"/>
    <m/>
    <s v="Conv-B DONE"/>
    <m/>
    <m/>
    <s v="Conv-B DONE"/>
    <m/>
    <m/>
    <m/>
    <m/>
    <s v="EL19K01021"/>
    <m/>
    <s v="Conv-B DONE"/>
    <s v="Conv-B DONE"/>
    <s v="Done"/>
    <d v="2024-07-15T00:00:00"/>
    <d v="2024-07-16T00:00:00"/>
    <d v="2024-07-15T00:00:00"/>
    <s v="Done"/>
    <d v="2024-06-22T00:00:00"/>
    <m/>
    <d v="2024-10-14T00:00:00"/>
    <m/>
  </r>
  <r>
    <n v="268"/>
    <n v="37184"/>
    <s v="HLC-A"/>
    <s v="STB4L0460HLCD"/>
    <x v="3"/>
    <s v="WR"/>
    <s v="MUM"/>
    <d v="2019-07-20T00:00:00"/>
    <n v="460"/>
    <s v="Nashik"/>
    <s v="M-U7D2S04V.005,_x000a_MO-U7F2S240.005"/>
    <d v="2020-09-02T00:00:00"/>
    <s v="UAT2Y44O.012"/>
    <d v="2021-10-20T00:00:00"/>
    <d v="2022-07-14T00:00:00"/>
    <m/>
    <m/>
    <s v="Conv-A DONE"/>
    <m/>
    <s v="Conv-A DONE"/>
    <s v="Conv-A DONE"/>
    <m/>
    <s v="Conv-A DONE"/>
    <m/>
    <m/>
    <m/>
    <m/>
    <s v="Changed"/>
    <m/>
    <d v="2023-05-10T00:00:00"/>
    <s v="Conv-A DONE"/>
    <d v="2024-12-21T00:00:00"/>
    <d v="2024-07-21T00:00:00"/>
    <d v="2024-08-10T00:00:00"/>
    <d v="2024-12-22T00:00:00"/>
    <s v="Done"/>
    <m/>
    <m/>
    <d v="2024-09-16T00:00:00"/>
    <m/>
  </r>
  <r>
    <n v="269"/>
    <n v="37184"/>
    <s v="HLC-B"/>
    <s v="STB4L0466HLCD"/>
    <x v="3"/>
    <s v="WR"/>
    <s v="MUM"/>
    <d v="2019-07-20T00:00:00"/>
    <n v="466"/>
    <s v="Nashik"/>
    <s v="M-U7D2S04V.005,_x000a_MO-U7F2S240.005"/>
    <d v="2020-09-02T00:00:00"/>
    <s v="UAT2Y44O.012"/>
    <d v="2021-10-20T00:00:00"/>
    <d v="2022-07-14T00:00:00"/>
    <m/>
    <m/>
    <s v="Conv-B DONE"/>
    <m/>
    <s v="Conv-B DONE"/>
    <s v="Conv-B DONE"/>
    <m/>
    <s v="Conv-B DONE"/>
    <m/>
    <m/>
    <m/>
    <m/>
    <s v="Changed"/>
    <m/>
    <d v="2023-05-10T00:00:00"/>
    <s v="Conv-B DONE"/>
    <d v="2024-12-21T00:00:00"/>
    <d v="2024-07-21T00:00:00"/>
    <d v="2024-08-10T00:00:00"/>
    <d v="2024-12-22T00:00:00"/>
    <s v="Done"/>
    <m/>
    <m/>
    <d v="2024-09-16T00:00:00"/>
    <m/>
  </r>
  <r>
    <n v="270"/>
    <n v="37192"/>
    <s v="HLC-A"/>
    <s v="STB4L0473HLCD"/>
    <x v="3"/>
    <s v="WR"/>
    <s v="MUM"/>
    <d v="2019-06-17T00:00:00"/>
    <n v="473"/>
    <s v="Nashik"/>
    <s v="M-U7D2S04V.005,_x000a_MO-U7F2S240.005"/>
    <s v="Done"/>
    <s v="U9S2Y440.011"/>
    <m/>
    <d v="2020-08-10T00:00:00"/>
    <m/>
    <m/>
    <s v="Conv-A DONE"/>
    <m/>
    <s v="Conv-A DONE"/>
    <m/>
    <m/>
    <s v="Conv-A DONE"/>
    <m/>
    <m/>
    <m/>
    <m/>
    <s v="EL19C01017-R"/>
    <m/>
    <s v="Conv-A DONE"/>
    <m/>
    <m/>
    <d v="2024-08-10T00:00:00"/>
    <d v="2024-08-10T00:00:00"/>
    <d v="2024-08-10T00:00:00"/>
    <m/>
    <m/>
    <m/>
    <d v="2024-08-26T00:00:00"/>
    <m/>
  </r>
  <r>
    <n v="271"/>
    <n v="37192"/>
    <s v="HLC-B"/>
    <s v="STB4L0472HLCD"/>
    <x v="3"/>
    <s v="WR"/>
    <s v="MUM"/>
    <d v="2019-06-17T00:00:00"/>
    <n v="472"/>
    <s v="Nashik"/>
    <s v="M-U7D2S04V.005,_x000a_MO-U7F2S240.005"/>
    <s v="Done"/>
    <s v="U9S2Y440.011"/>
    <m/>
    <d v="2020-08-10T00:00:00"/>
    <m/>
    <m/>
    <s v="Conv-B DONE"/>
    <m/>
    <s v="Conv-B DONE"/>
    <m/>
    <m/>
    <s v="Conv-B DONE"/>
    <m/>
    <m/>
    <m/>
    <m/>
    <s v="EL18B07026-R"/>
    <s v="98(Salzer make)"/>
    <s v="Conv-B DONE"/>
    <m/>
    <m/>
    <d v="2024-08-10T00:00:00"/>
    <d v="2024-08-10T00:00:00"/>
    <d v="2024-08-10T00:00:00"/>
    <m/>
    <m/>
    <m/>
    <d v="2024-08-26T00:00:00"/>
    <m/>
  </r>
  <r>
    <n v="272"/>
    <n v="37193"/>
    <s v="HLC-A"/>
    <s v="STB4L0474HLCD"/>
    <x v="3"/>
    <s v="WR"/>
    <s v="MUM"/>
    <d v="2019-06-17T00:00:00"/>
    <n v="474"/>
    <s v="Nashik"/>
    <s v="M-U7D2S04V.005,_x000a_MO-U7F2S240.005"/>
    <d v="2022-09-19T00:00:00"/>
    <s v="U9S2Y440.011"/>
    <d v="2022-09-19T00:00:00"/>
    <d v="2022-09-19T00:00:00"/>
    <m/>
    <m/>
    <s v="Conv-A DONE"/>
    <m/>
    <s v="Conv-A DONE"/>
    <s v="Conv-A DONE"/>
    <m/>
    <s v="Conv-A DONE"/>
    <m/>
    <m/>
    <m/>
    <m/>
    <m/>
    <m/>
    <s v="Conv-A DONE"/>
    <m/>
    <d v="2025-05-04T00:00:00"/>
    <d v="2024-06-20T00:00:00"/>
    <d v="2024-06-20T00:00:00"/>
    <d v="2024-02-19T00:00:00"/>
    <s v="Done"/>
    <d v="2024-06-18T00:00:00"/>
    <d v="2024-06-18T00:00:00"/>
    <d v="2024-10-11T00:00:00"/>
    <m/>
  </r>
  <r>
    <n v="273"/>
    <n v="37193"/>
    <s v="HLC-B"/>
    <s v="STB4L0475HLCD"/>
    <x v="3"/>
    <s v="WR"/>
    <s v="MUM"/>
    <d v="2019-06-17T00:00:00"/>
    <n v="475"/>
    <s v="Nashik"/>
    <s v="M-U7D2S04V.005,_x000a_MO-U7F2S240.005"/>
    <d v="2022-09-19T00:00:00"/>
    <s v="U9S2Y440.011"/>
    <d v="2022-09-19T00:00:00"/>
    <d v="2022-09-19T00:00:00"/>
    <m/>
    <m/>
    <s v="Conv-B DONE"/>
    <m/>
    <s v="Conv-B DONE"/>
    <s v="Conv-B DONE"/>
    <m/>
    <s v="Conv-B DONE"/>
    <m/>
    <m/>
    <m/>
    <m/>
    <m/>
    <m/>
    <s v="Conv-B DONE"/>
    <m/>
    <d v="2025-05-04T00:00:00"/>
    <d v="2024-06-20T00:00:00"/>
    <d v="2024-06-20T00:00:00"/>
    <d v="2024-02-19T00:00:00"/>
    <s v="Done"/>
    <d v="2024-06-18T00:00:00"/>
    <d v="2024-06-18T00:00:00"/>
    <d v="2024-10-11T00:00:00"/>
    <m/>
  </r>
  <r>
    <n v="274"/>
    <n v="37248"/>
    <s v="HLC-A"/>
    <s v="STB6L0582HLCD"/>
    <x v="3"/>
    <s v="WR"/>
    <s v="MUM"/>
    <d v="2019-11-01T00:00:00"/>
    <n v="582"/>
    <s v="Nashik"/>
    <s v="M-U7D2S04V.005,_x000a_MO-U7F2S240.005"/>
    <d v="2020-08-25T00:00:00"/>
    <s v="UAT2Y44O.012"/>
    <d v="2022-04-02T00:00:00"/>
    <d v="2020-12-07T00:00:00"/>
    <m/>
    <s v="Done by NW"/>
    <s v="Done by NW"/>
    <m/>
    <s v="Conv-A DONE"/>
    <s v="Conv-A DONE"/>
    <s v="Conv-A Done"/>
    <s v="Conv-A DONE"/>
    <m/>
    <m/>
    <m/>
    <m/>
    <m/>
    <m/>
    <s v="Conv-A DONE"/>
    <m/>
    <m/>
    <d v="2024-06-21T00:00:00"/>
    <d v="2024-12-27T00:00:00"/>
    <d v="2024-04-21T00:00:00"/>
    <s v="Done"/>
    <d v="2025-02-24T00:00:00"/>
    <m/>
    <d v="2025-02-10T00:00:00"/>
    <m/>
  </r>
  <r>
    <n v="275"/>
    <n v="37248"/>
    <s v="HLC-B"/>
    <s v="STB6L0583HLCD"/>
    <x v="3"/>
    <s v="WR"/>
    <s v="MUM"/>
    <d v="2019-11-01T00:00:00"/>
    <n v="583"/>
    <s v="Nashik"/>
    <s v="M-U7D2S04V.005,_x000a_MO-U7F2S240.005"/>
    <d v="2020-08-25T00:00:00"/>
    <s v="UAT2Y44O.012"/>
    <d v="2022-04-02T00:00:00"/>
    <d v="2020-12-07T00:00:00"/>
    <m/>
    <s v="Done by NW"/>
    <s v="Done by NW"/>
    <m/>
    <s v="Conv-B DONE"/>
    <s v="Conv-B DONE"/>
    <s v="Conv-B Done"/>
    <s v="Conv-B DONE"/>
    <m/>
    <m/>
    <m/>
    <m/>
    <s v="EL19F01027"/>
    <m/>
    <s v="Conv-B DONE"/>
    <m/>
    <m/>
    <d v="2024-06-21T00:00:00"/>
    <d v="2024-12-27T00:00:00"/>
    <d v="2024-04-21T00:00:00"/>
    <s v="Done"/>
    <d v="2025-02-24T00:00:00"/>
    <m/>
    <d v="2025-02-10T00:00:00"/>
    <m/>
  </r>
  <r>
    <n v="276"/>
    <n v="37251"/>
    <s v="HLC-A"/>
    <s v="STB7L0622HLCD"/>
    <x v="3"/>
    <s v="WR"/>
    <s v="MUM"/>
    <d v="2019-11-18T00:00:00"/>
    <n v="622"/>
    <s v="Nashik"/>
    <m/>
    <m/>
    <s v="UAT2Y440.012"/>
    <d v="2022-08-10T00:00:00"/>
    <d v="2022-08-10T00:00:00"/>
    <m/>
    <s v="Done by NW"/>
    <s v="Done by NW"/>
    <m/>
    <s v="Conv-A DONE"/>
    <s v="Conv-A DONE"/>
    <s v="Conv-A Done"/>
    <m/>
    <m/>
    <m/>
    <m/>
    <m/>
    <d v="2020-09-25T00:00:00"/>
    <m/>
    <s v="Conv-A Done"/>
    <m/>
    <d v="2025-05-20T00:00:00"/>
    <d v="2024-06-29T00:00:00"/>
    <d v="2024-06-29T00:00:00"/>
    <d v="2024-06-29T00:00:00"/>
    <m/>
    <d v="2025-05-20T00:00:00"/>
    <m/>
    <d v="2024-10-24T00:00:00"/>
    <m/>
  </r>
  <r>
    <n v="277"/>
    <n v="37251"/>
    <s v="HLC-B"/>
    <s v="STB7L0637HLCD"/>
    <x v="3"/>
    <s v="WR"/>
    <s v="MUM"/>
    <d v="2019-11-18T00:00:00"/>
    <n v="623"/>
    <s v="Nashik"/>
    <m/>
    <m/>
    <s v="UAT2Y440.012"/>
    <d v="2022-08-10T00:00:00"/>
    <d v="2022-08-10T00:00:00"/>
    <m/>
    <s v="Done by NW"/>
    <s v="Done by NW"/>
    <m/>
    <s v="Conv-B DONE"/>
    <s v="Conv-B DONE"/>
    <s v="Conv-B Done"/>
    <m/>
    <m/>
    <m/>
    <m/>
    <m/>
    <m/>
    <m/>
    <s v="Conv-B Done"/>
    <m/>
    <d v="2025-05-20T00:00:00"/>
    <d v="2024-06-29T00:00:00"/>
    <d v="2024-06-29T00:00:00"/>
    <d v="2024-06-29T00:00:00"/>
    <m/>
    <d v="2025-05-20T00:00:00"/>
    <m/>
    <d v="2024-10-24T00:00:00"/>
    <m/>
  </r>
  <r>
    <n v="278"/>
    <n v="37254"/>
    <s v="HLC-A"/>
    <s v="STB6L0566HLCD"/>
    <x v="3"/>
    <s v="WR"/>
    <s v="MUM"/>
    <d v="2019-09-30T00:00:00"/>
    <n v="566"/>
    <s v="Nashik"/>
    <s v="M-U7D2S04V.005,_x000a_MO-U7F2S240.005"/>
    <d v="2020-08-12T00:00:00"/>
    <s v="UAT2Y44O.012"/>
    <d v="2021-12-14T00:00:00"/>
    <d v="2020-07-27T00:00:00"/>
    <m/>
    <s v="Done by NW"/>
    <s v="Done by NW"/>
    <m/>
    <s v="Conv-A DONE"/>
    <s v="Conv-A DONE"/>
    <s v="Conv-A Done"/>
    <s v="Conv-A DONE"/>
    <m/>
    <m/>
    <m/>
    <m/>
    <s v="EL19C01074-R"/>
    <m/>
    <s v="conv-A done"/>
    <m/>
    <d v="2025-04-25T00:00:00"/>
    <d v="2024-08-17T00:00:00"/>
    <d v="2024-08-17T00:00:00"/>
    <d v="2024-12-11T00:00:00"/>
    <s v="Done"/>
    <d v="2024-06-25T00:00:00"/>
    <d v="2024-06-25T00:00:00"/>
    <d v="2024-10-09T00:00:00"/>
    <m/>
  </r>
  <r>
    <n v="279"/>
    <n v="37254"/>
    <s v="HLC-B"/>
    <s v="STB6L0567HLCD"/>
    <x v="3"/>
    <s v="WR"/>
    <s v="MUM"/>
    <d v="2019-09-30T00:00:00"/>
    <n v="567"/>
    <s v="Nashik"/>
    <s v="M-U7D2S04V.005,_x000a_MO-U7F2S240.005"/>
    <d v="2020-08-12T00:00:00"/>
    <s v="UAT2Y44O.012"/>
    <d v="2021-12-14T00:00:00"/>
    <d v="2020-07-27T00:00:00"/>
    <m/>
    <s v="Done by NW"/>
    <s v="Done by NW"/>
    <m/>
    <s v="Conv-B DONE"/>
    <s v="Conv-B DONE"/>
    <s v="Conv-B Done"/>
    <s v="Conv-B DONE"/>
    <m/>
    <m/>
    <m/>
    <m/>
    <m/>
    <m/>
    <s v="Conv -B Done"/>
    <m/>
    <d v="2025-04-25T00:00:00"/>
    <d v="2024-08-17T00:00:00"/>
    <d v="2024-08-17T00:00:00"/>
    <d v="2024-12-11T00:00:00"/>
    <s v="Done"/>
    <d v="2024-06-25T00:00:00"/>
    <d v="2024-06-25T00:00:00"/>
    <d v="2024-10-09T00:00:00"/>
    <m/>
  </r>
  <r>
    <n v="280"/>
    <n v="37367"/>
    <s v="HLC-A"/>
    <s v="STBDL0736HLCD"/>
    <x v="3"/>
    <s v="WR"/>
    <s v="MUM"/>
    <d v="2020-06-04T00:00:00"/>
    <n v="736"/>
    <s v="Nashik"/>
    <s v="M-U7D2S04V.005,_x000a_MO-U7F2S240.005"/>
    <d v="2020-08-08T00:00:00"/>
    <s v="UAT2Y44O.012"/>
    <d v="2022-03-28T00:00:00"/>
    <m/>
    <m/>
    <s v="Done by NW"/>
    <s v="Done by NW"/>
    <m/>
    <s v="Conv-A DONE"/>
    <s v="Conv-A DONE"/>
    <s v="Conv-A Done"/>
    <m/>
    <m/>
    <m/>
    <m/>
    <m/>
    <m/>
    <m/>
    <s v="Conv-A done"/>
    <m/>
    <m/>
    <d v="2024-08-29T00:00:00"/>
    <d v="2024-08-29T00:00:00"/>
    <d v="2025-04-19T00:00:00"/>
    <m/>
    <d v="2025-01-10T00:00:00"/>
    <m/>
    <d v="2025-02-15T00:00:00"/>
    <m/>
  </r>
  <r>
    <n v="281"/>
    <n v="37367"/>
    <s v="HLC-B"/>
    <s v="STBDL0745HLCD"/>
    <x v="3"/>
    <s v="WR"/>
    <s v="MUM"/>
    <d v="2020-06-04T00:00:00"/>
    <n v="745"/>
    <s v="Nashik"/>
    <s v="M-U7D2S04V.005,_x000a_MO-U7F2S240.005"/>
    <d v="2020-08-08T00:00:00"/>
    <s v="UAT2Y44O.012"/>
    <d v="2022-03-28T00:00:00"/>
    <m/>
    <m/>
    <s v="Done by NW"/>
    <s v="Done by NW"/>
    <m/>
    <s v="Conv-B DONE"/>
    <s v="Conv-B DONE"/>
    <s v="Conv-B Done"/>
    <m/>
    <m/>
    <m/>
    <m/>
    <m/>
    <s v="EL20L05008"/>
    <m/>
    <s v="Conv-B Done"/>
    <m/>
    <m/>
    <d v="2024-08-29T00:00:00"/>
    <d v="2024-08-29T00:00:00"/>
    <d v="2025-04-19T00:00:00"/>
    <m/>
    <d v="2025-01-10T00:00:00"/>
    <m/>
    <d v="2025-02-15T00:00:00"/>
    <m/>
  </r>
  <r>
    <n v="282"/>
    <n v="39042"/>
    <s v="HLC-A"/>
    <s v="STB0K0310HLCD"/>
    <x v="3"/>
    <s v="WR"/>
    <s v="MUM"/>
    <d v="2019-04-08T00:00:00"/>
    <n v="310"/>
    <s v="Nashik"/>
    <s v="M-U7D2S04V.005,_x000a_MO-U7F2S240.005"/>
    <d v="2020-12-03T00:00:00"/>
    <s v="UAT2Y44O.012"/>
    <d v="2022-07-15T00:00:00"/>
    <d v="2022-10-27T00:00:00"/>
    <m/>
    <m/>
    <s v="Conv-A DONE"/>
    <m/>
    <s v="Conv-A DONE"/>
    <s v="Conv-A DONE"/>
    <m/>
    <m/>
    <m/>
    <m/>
    <m/>
    <m/>
    <m/>
    <m/>
    <s v="Conv-A Done"/>
    <m/>
    <m/>
    <d v="2024-06-20T00:00:00"/>
    <d v="2024-11-10T00:00:00"/>
    <d v="2024-01-18T00:00:00"/>
    <s v="Done"/>
    <d v="2025-02-21T00:00:00"/>
    <m/>
    <d v="2024-10-23T00:00:00"/>
    <m/>
  </r>
  <r>
    <n v="283"/>
    <n v="39042"/>
    <s v="HLC-B"/>
    <s v="STB0K0309HLCD"/>
    <x v="3"/>
    <s v="WR"/>
    <s v="MUM"/>
    <d v="2019-04-08T00:00:00"/>
    <n v="309"/>
    <s v="Nashik"/>
    <s v="M-U7D2S04V.005,_x000a_MO-U7F2S240.005"/>
    <d v="2020-12-03T00:00:00"/>
    <s v="UAT2Y44O.012"/>
    <d v="2022-07-15T00:00:00"/>
    <d v="2022-10-27T00:00:00"/>
    <m/>
    <m/>
    <s v="Conv-B DONE"/>
    <m/>
    <s v="Conv-B DONE"/>
    <s v="Conv-B DONE"/>
    <m/>
    <m/>
    <m/>
    <m/>
    <m/>
    <m/>
    <m/>
    <m/>
    <s v="Conv-B Done"/>
    <s v="Conv-B DONE"/>
    <s v="Conv-B DONE"/>
    <d v="2024-06-20T00:00:00"/>
    <d v="2024-11-10T00:00:00"/>
    <d v="2024-01-18T00:00:00"/>
    <s v="Done"/>
    <d v="2025-02-21T00:00:00"/>
    <m/>
    <d v="2024-10-23T00:00:00"/>
    <m/>
  </r>
  <r>
    <n v="284"/>
    <n v="30674"/>
    <s v="HLC-A"/>
    <s v="STB4N1132HLCD"/>
    <x v="3"/>
    <s v="WR"/>
    <s v="MUM"/>
    <m/>
    <m/>
    <m/>
    <s v="M-U7D2S04V.005,_x000a_MO-U7F2S240.005"/>
    <s v="Done "/>
    <s v="UAT2Y44O.012"/>
    <d v="2012-10-21T00:00:00"/>
    <d v="2022-10-21T00:00:00"/>
    <m/>
    <m/>
    <s v="Done "/>
    <m/>
    <m/>
    <s v="Conv-A DONE"/>
    <m/>
    <m/>
    <m/>
    <m/>
    <m/>
    <m/>
    <m/>
    <m/>
    <s v="Conv-A DONE"/>
    <m/>
    <s v="Done"/>
    <d v="2024-06-28T00:00:00"/>
    <d v="2024-06-28T00:00:00"/>
    <d v="2025-01-21T00:00:00"/>
    <m/>
    <d v="2024-10-10T00:00:00"/>
    <m/>
    <m/>
    <m/>
  </r>
  <r>
    <n v="285"/>
    <n v="30674"/>
    <s v="HLC-B"/>
    <s v="STB4N1133HLCD"/>
    <x v="3"/>
    <s v="WR"/>
    <s v="MUM"/>
    <m/>
    <m/>
    <m/>
    <s v="M-U7D2S04V.005,_x000a_MO-U7F2S240.005"/>
    <s v="DONE"/>
    <s v="UAT2Y44O.012"/>
    <d v="2022-10-21T00:00:00"/>
    <d v="2022-10-21T00:00:00"/>
    <m/>
    <m/>
    <s v="Done "/>
    <m/>
    <m/>
    <s v="Conv-B DONE"/>
    <m/>
    <m/>
    <m/>
    <m/>
    <m/>
    <m/>
    <m/>
    <m/>
    <s v="Conv-B DONE"/>
    <m/>
    <s v="Done"/>
    <d v="2024-06-28T00:00:00"/>
    <d v="2024-06-28T00:00:00"/>
    <d v="2025-01-21T00:00:00"/>
    <m/>
    <d v="2024-10-10T00:00:00"/>
    <m/>
    <m/>
    <m/>
  </r>
  <r>
    <n v="286"/>
    <n v="30673"/>
    <s v="HLC-A"/>
    <s v="STB4N1128HLCD"/>
    <x v="3"/>
    <s v="WR"/>
    <s v="MUM"/>
    <m/>
    <m/>
    <m/>
    <s v="M-U7D2S04V.005,_x000a_MO-U7F2S240.005"/>
    <s v="Done "/>
    <s v="UAT2Y44O.012"/>
    <s v="Done"/>
    <m/>
    <m/>
    <m/>
    <s v="Done "/>
    <m/>
    <m/>
    <s v="Conv-A DONE"/>
    <m/>
    <m/>
    <m/>
    <m/>
    <m/>
    <m/>
    <m/>
    <m/>
    <s v="Conv-A DONE"/>
    <m/>
    <s v="Done"/>
    <d v="2024-06-18T00:00:00"/>
    <d v="2024-11-20T00:00:00"/>
    <d v="2024-02-25T00:00:00"/>
    <s v="Done"/>
    <d v="2024-10-21T00:00:00"/>
    <m/>
    <d v="2025-11-19T00:00:00"/>
    <m/>
  </r>
  <r>
    <n v="287"/>
    <n v="30673"/>
    <s v="HLC-B"/>
    <s v="STB4N1129HLCD"/>
    <x v="3"/>
    <s v="WR"/>
    <s v="MUM"/>
    <m/>
    <m/>
    <m/>
    <s v="M-U7D2S04V.005,_x000a_MO-U7F2S240.005"/>
    <s v="DONE"/>
    <s v="UAT2Y44O.012"/>
    <s v="Done"/>
    <m/>
    <m/>
    <m/>
    <s v="Done "/>
    <m/>
    <m/>
    <s v="Conv-B DONE"/>
    <m/>
    <m/>
    <m/>
    <m/>
    <m/>
    <m/>
    <m/>
    <m/>
    <s v="Conv-B DONE"/>
    <m/>
    <s v="Done"/>
    <d v="2024-06-18T00:00:00"/>
    <d v="2024-11-20T00:00:00"/>
    <d v="2024-02-25T00:00:00"/>
    <s v="Done"/>
    <d v="2024-10-21T00:00:00"/>
    <m/>
    <d v="2025-11-19T00:00:00"/>
    <m/>
  </r>
  <r>
    <n v="288"/>
    <n v="37079"/>
    <s v="HLC-A"/>
    <s v="STB7K0272HLCD"/>
    <x v="0"/>
    <s v="WR"/>
    <s v="MUM"/>
    <d v="2019-01-12T00:00:00"/>
    <n v="272"/>
    <s v="Nashik"/>
    <s v="U7D2S04V.005"/>
    <d v="2021-07-02T00:00:00"/>
    <s v="UAT2Y440.012"/>
    <d v="2021-07-02T00:00:00"/>
    <m/>
    <d v="2022-08-20T00:00:00"/>
    <m/>
    <s v="Conv-A DONE"/>
    <s v="Conv-A DONE"/>
    <s v="Conv-A DONE"/>
    <s v="Conv-A DONE"/>
    <s v="Conv-A DONE"/>
    <m/>
    <s v="1 no available"/>
    <m/>
    <m/>
    <m/>
    <m/>
    <m/>
    <d v="2022-08-20T00:00:00"/>
    <d v="2024-11-11T00:00:00"/>
    <d v="2022-08-20T00:00:00"/>
    <d v="2024-07-15T00:00:00"/>
    <d v="2024-07-15T00:00:00"/>
    <d v="2024-07-15T00:00:00"/>
    <s v="Checked"/>
    <d v="2024-12-10T00:00:00"/>
    <d v="2024-07-15T00:00:00"/>
    <d v="2024-07-15T00:00:00"/>
    <m/>
  </r>
  <r>
    <n v="289"/>
    <n v="37079"/>
    <s v="HLC-B"/>
    <s v="STB7K0273HLCD"/>
    <x v="0"/>
    <s v="WR"/>
    <s v="MUM"/>
    <d v="2019-01-12T00:00:00"/>
    <n v="273"/>
    <s v="Nashik"/>
    <s v="U7D2S04V.005"/>
    <d v="2021-07-02T00:00:00"/>
    <s v="UAT2Y440.012"/>
    <d v="2021-07-02T00:00:00"/>
    <m/>
    <d v="2022-08-20T00:00:00"/>
    <m/>
    <s v="Conv-B DONE"/>
    <s v="Conv-B DONE"/>
    <s v="Conv-B DONE"/>
    <s v="Conv-B DONE"/>
    <s v="Conv-B DONE"/>
    <m/>
    <s v="1 no available"/>
    <m/>
    <m/>
    <m/>
    <m/>
    <m/>
    <d v="2022-08-20T00:00:00"/>
    <d v="2024-11-11T00:00:00"/>
    <d v="2022-08-20T00:00:00"/>
    <d v="2024-07-15T00:00:00"/>
    <d v="2024-07-15T00:00:00"/>
    <d v="2024-07-15T00:00:00"/>
    <s v="Checked"/>
    <d v="2024-12-10T00:00:00"/>
    <d v="2024-07-15T00:00:00"/>
    <d v="2024-07-15T00:00:00"/>
    <m/>
  </r>
  <r>
    <n v="290"/>
    <n v="37516"/>
    <s v="HLC-A"/>
    <s v="STB6M0834HLCD"/>
    <x v="1"/>
    <s v="WR"/>
    <s v="MUM"/>
    <d v="2020-12-29T00:00:00"/>
    <n v="834"/>
    <s v="Nashik"/>
    <s v="U7D2S04V.005"/>
    <d v="2021-10-05T00:00:00"/>
    <s v="UAT2Y440.012"/>
    <d v="2021-10-05T00:00:00"/>
    <m/>
    <m/>
    <m/>
    <s v="Conv-A DONE"/>
    <m/>
    <s v="Conv-A DONE"/>
    <s v="Conv-A DONE"/>
    <m/>
    <m/>
    <s v="1 no available"/>
    <m/>
    <m/>
    <m/>
    <m/>
    <m/>
    <d v="2022-07-19T00:00:00"/>
    <m/>
    <d v="2022-07-19T00:00:00"/>
    <d v="2024-07-20T00:00:00"/>
    <d v="2024-07-16T00:00:00"/>
    <d v="2025-01-16T00:00:00"/>
    <s v="Done"/>
    <d v="2024-11-11T00:00:00"/>
    <m/>
    <d v="2024-11-11T00:00:00"/>
    <m/>
  </r>
  <r>
    <n v="291"/>
    <n v="37516"/>
    <s v="HLC-B"/>
    <s v="STB6M0843HLCD"/>
    <x v="1"/>
    <s v="WR"/>
    <s v="MUM"/>
    <d v="2020-12-29T00:00:00"/>
    <n v="843"/>
    <s v="Nashik"/>
    <s v="U7D2S04V.005"/>
    <d v="2021-10-05T00:00:00"/>
    <s v="UAT2Y440.012"/>
    <d v="2021-10-05T00:00:00"/>
    <m/>
    <m/>
    <m/>
    <s v="Conv-B DONE"/>
    <m/>
    <s v="Conv-B DONE"/>
    <s v="Conv-B DONE"/>
    <m/>
    <m/>
    <s v="1 no available"/>
    <m/>
    <m/>
    <m/>
    <m/>
    <m/>
    <d v="2022-07-19T00:00:00"/>
    <m/>
    <d v="2022-07-19T00:00:00"/>
    <d v="2024-07-20T00:00:00"/>
    <d v="2024-07-16T00:00:00"/>
    <d v="2025-01-16T00:00:00"/>
    <s v="Done"/>
    <d v="2024-11-11T00:00:00"/>
    <m/>
    <d v="2024-11-11T00:00:00"/>
    <m/>
  </r>
  <r>
    <n v="292"/>
    <n v="37518"/>
    <s v="HLC-A"/>
    <s v="STB8M0969HLCD"/>
    <x v="1"/>
    <s v="WR"/>
    <s v="MUM"/>
    <d v="2020-12-31T00:00:00"/>
    <n v="969"/>
    <s v="Nashik"/>
    <s v="U7D2S04V.005"/>
    <d v="2021-03-16T00:00:00"/>
    <s v="UAT2Y440.012"/>
    <d v="2022-03-16T00:00:00"/>
    <m/>
    <d v="2024-10-09T00:00:00"/>
    <d v="2024-12-21T00:00:00"/>
    <s v="Already DONE by NW"/>
    <m/>
    <s v="Conv-B DONE"/>
    <s v="Conv-A DONE"/>
    <m/>
    <m/>
    <s v="1 no available"/>
    <m/>
    <m/>
    <m/>
    <m/>
    <m/>
    <d v="2022-08-12T00:00:00"/>
    <m/>
    <d v="2022-07-20T00:00:00"/>
    <d v="2024-07-27T00:00:00"/>
    <d v="2024-10-09T00:00:00"/>
    <d v="2023-12-12T00:00:00"/>
    <s v="Done"/>
    <m/>
    <m/>
    <d v="2024-07-31T00:00:00"/>
    <m/>
  </r>
  <r>
    <n v="293"/>
    <n v="37518"/>
    <s v="HLC-B"/>
    <s v="STB5M0787HLCD"/>
    <x v="1"/>
    <s v="WR"/>
    <s v="MUM"/>
    <d v="2020-12-31T00:00:00"/>
    <n v="787"/>
    <s v="Nashik"/>
    <s v="U7D2S04V.005"/>
    <d v="2021-03-16T00:00:00"/>
    <s v="UAT2Y440.012"/>
    <d v="2022-03-16T00:00:00"/>
    <m/>
    <d v="2024-10-09T00:00:00"/>
    <d v="2024-12-21T00:00:00"/>
    <s v="Already DONE by NW"/>
    <m/>
    <s v="Conv-B DONE"/>
    <s v="Conv-B DONE"/>
    <m/>
    <m/>
    <s v="1 no available"/>
    <m/>
    <m/>
    <m/>
    <s v="25.10.21"/>
    <m/>
    <d v="2022-08-12T00:00:00"/>
    <m/>
    <d v="2022-07-20T00:00:00"/>
    <d v="2024-07-27T00:00:00"/>
    <d v="2024-10-09T00:00:00"/>
    <d v="2023-12-12T00:00:00"/>
    <s v="Done"/>
    <m/>
    <m/>
    <d v="2024-07-31T00:00:00"/>
    <m/>
  </r>
  <r>
    <n v="294"/>
    <n v="39005"/>
    <s v="HLC-A"/>
    <s v="STB3K0209HLCD"/>
    <x v="2"/>
    <s v="WR"/>
    <s v="MUM"/>
    <d v="2019-05-25T00:00:00"/>
    <n v="209"/>
    <s v="Nashik"/>
    <s v="U7D2S04V.005"/>
    <d v="2021-12-23T00:00:00"/>
    <s v="UAT2Y440.012"/>
    <d v="2020-12-08T00:00:00"/>
    <d v="2022-06-02T00:00:00"/>
    <m/>
    <m/>
    <s v="Conv-A DONE"/>
    <m/>
    <s v="Conv-A DONE"/>
    <s v="Conv-A DONE"/>
    <s v="Conv-A DONE"/>
    <m/>
    <s v="1 no available"/>
    <m/>
    <m/>
    <m/>
    <s v="EL18K03033-R"/>
    <m/>
    <s v="Conv-A DONE"/>
    <d v="2024-07-15T00:00:00"/>
    <d v="2022-02-12T00:00:00"/>
    <d v="2024-07-16T00:00:00"/>
    <d v="2024-07-16T00:00:00"/>
    <d v="2023-04-06T00:00:00"/>
    <s v="Checked"/>
    <m/>
    <m/>
    <d v="2025-06-23T00:00:00"/>
    <m/>
  </r>
  <r>
    <n v="295"/>
    <n v="39005"/>
    <s v="HLC-B"/>
    <s v="STB3K0208HLCD"/>
    <x v="2"/>
    <s v="WR"/>
    <s v="MUM"/>
    <d v="2019-05-25T00:00:00"/>
    <n v="208"/>
    <s v="Nashik"/>
    <s v="U7D2S04V.005"/>
    <d v="2021-12-23T00:00:00"/>
    <s v="UAT2Y440.012"/>
    <d v="2020-12-08T00:00:00"/>
    <d v="2022-06-02T00:00:00"/>
    <m/>
    <m/>
    <s v="Conv-B DONE"/>
    <m/>
    <s v="Conv-B DONE"/>
    <s v="Conv-B DONE"/>
    <s v="Conv-B DONE"/>
    <m/>
    <s v="1 no available"/>
    <m/>
    <m/>
    <m/>
    <s v="EL18C04004-R"/>
    <m/>
    <s v="Conv-B DONE"/>
    <d v="2024-07-15T00:00:00"/>
    <d v="2022-02-12T00:00:00"/>
    <d v="2024-07-16T00:00:00"/>
    <d v="2024-07-16T00:00:00"/>
    <d v="2023-04-06T00:00:00"/>
    <s v="Checked"/>
    <m/>
    <m/>
    <d v="2025-06-23T00:00:00"/>
    <m/>
  </r>
  <r>
    <n v="296"/>
    <n v="37089"/>
    <s v="HLC-A"/>
    <s v="STB8K0282HLCD"/>
    <x v="3"/>
    <s v="WR"/>
    <s v="KOL"/>
    <d v="2019-02-20T00:00:00"/>
    <n v="282"/>
    <s v="Nashik"/>
    <s v="U7D2S04V.005"/>
    <d v="2021-05-17T00:00:00"/>
    <s v="UAT2Y440.012"/>
    <d v="2021-05-17T00:00:00"/>
    <m/>
    <d v="2022-08-01T00:00:00"/>
    <m/>
    <s v="Conv-A DONE"/>
    <s v="Conv-A DONE"/>
    <s v="Conv-A DONE"/>
    <s v="Conv-A DONE"/>
    <m/>
    <m/>
    <s v="1 no available"/>
    <m/>
    <m/>
    <m/>
    <s v="EL17D05022 - R"/>
    <m/>
    <d v="2022-08-01T00:00:00"/>
    <m/>
    <d v="2022-08-01T00:00:00"/>
    <d v="2024-06-29T00:00:00"/>
    <d v="2024-06-29T00:00:00"/>
    <d v="2024-06-29T00:00:00"/>
    <s v="Checked"/>
    <d v="2024-11-15T00:00:00"/>
    <d v="2024-06-29T00:00:00"/>
    <m/>
    <m/>
  </r>
  <r>
    <n v="297"/>
    <n v="37089"/>
    <s v="HLC-B"/>
    <s v="STB6K0260HLCD"/>
    <x v="3"/>
    <s v="WR"/>
    <s v="KOL"/>
    <d v="2019-02-20T00:00:00"/>
    <n v="260"/>
    <s v="Nashik"/>
    <s v="U7D2S04V.005"/>
    <d v="2021-05-17T00:00:00"/>
    <s v="UAT2Y440.012"/>
    <d v="2021-05-17T00:00:00"/>
    <m/>
    <d v="2022-08-01T00:00:00"/>
    <m/>
    <s v="Conv-B DONE"/>
    <s v="Conv-B DONE"/>
    <s v="Conv-B DONE"/>
    <s v="Conv-B DONE"/>
    <m/>
    <m/>
    <m/>
    <m/>
    <m/>
    <m/>
    <m/>
    <m/>
    <d v="2022-08-01T00:00:00"/>
    <m/>
    <d v="2022-08-01T00:00:00"/>
    <d v="2024-06-29T00:00:00"/>
    <d v="2024-06-29T00:00:00"/>
    <d v="2024-06-29T00:00:00"/>
    <s v="Checked"/>
    <d v="2024-11-15T00:00:00"/>
    <d v="2024-06-29T00:00:00"/>
    <m/>
    <m/>
  </r>
  <r>
    <n v="298"/>
    <n v="37091"/>
    <s v="HLC-A"/>
    <s v="STB8K0280HLCD"/>
    <x v="3"/>
    <s v="WR"/>
    <s v="KOL"/>
    <d v="2019-02-21T00:00:00"/>
    <n v="280"/>
    <s v="Nashik"/>
    <s v="U7D2S04V.005"/>
    <d v="2022-04-30T00:00:00"/>
    <s v="UAT2Y440.012"/>
    <d v="2022-04-30T00:00:00"/>
    <d v="2022-04-30T00:00:00"/>
    <m/>
    <m/>
    <s v="Conv-A DONE"/>
    <s v="Conv-A DONE"/>
    <s v="Conv-A DONE"/>
    <s v="Conv-A DONE"/>
    <m/>
    <m/>
    <m/>
    <m/>
    <m/>
    <m/>
    <m/>
    <m/>
    <d v="2022-04-30T00:00:00"/>
    <s v="Conv-A DONE"/>
    <m/>
    <d v="2024-08-20T00:00:00"/>
    <d v="2024-08-20T00:00:00"/>
    <d v="2024-12-11T00:00:00"/>
    <s v="Checked"/>
    <d v="2025-03-19T00:00:00"/>
    <m/>
    <d v="2025-03-18T00:00:00"/>
    <m/>
  </r>
  <r>
    <n v="299"/>
    <n v="37091"/>
    <s v="HLC-B"/>
    <s v="STB8K0281HLCD"/>
    <x v="3"/>
    <s v="WR"/>
    <s v="KOL"/>
    <d v="2019-02-21T00:00:00"/>
    <n v="281"/>
    <s v="Nashik"/>
    <s v="U7D2S04V.005"/>
    <d v="2022-04-30T00:00:00"/>
    <s v="UAT2Y440.012"/>
    <d v="2022-04-30T00:00:00"/>
    <d v="2022-04-30T00:00:00"/>
    <m/>
    <m/>
    <s v="Conv-B DONE"/>
    <s v="Conv-B DONE"/>
    <s v="Conv-B DONE"/>
    <s v="Conv-B DONE"/>
    <m/>
    <m/>
    <m/>
    <m/>
    <m/>
    <m/>
    <m/>
    <m/>
    <d v="2022-04-30T00:00:00"/>
    <s v="Conv-B DONE"/>
    <m/>
    <d v="2024-08-20T00:00:00"/>
    <d v="2024-08-20T00:00:00"/>
    <d v="2024-12-11T00:00:00"/>
    <s v="Checked"/>
    <d v="2025-03-19T00:00:00"/>
    <m/>
    <d v="2025-03-18T00:00:00"/>
    <m/>
  </r>
  <r>
    <n v="300"/>
    <n v="37095"/>
    <s v="HLC-A"/>
    <s v="STB7K0278HLCD"/>
    <x v="3"/>
    <s v="WR"/>
    <s v="KOL"/>
    <d v="2019-02-26T00:00:00"/>
    <n v="278"/>
    <s v="Nashik"/>
    <s v="U7D2S04V.005"/>
    <d v="2021-06-01T00:00:00"/>
    <s v="UAT2Y440.012"/>
    <d v="2022-05-21T00:00:00"/>
    <m/>
    <m/>
    <m/>
    <s v="Conv-A DONE"/>
    <s v="Conv-A DONE"/>
    <s v="Conv-A DONE"/>
    <s v="Conv-A DONE"/>
    <m/>
    <m/>
    <s v="1 no available"/>
    <m/>
    <m/>
    <m/>
    <s v="EL21CO1027"/>
    <m/>
    <s v="Conv-A DONE"/>
    <m/>
    <s v="Done"/>
    <d v="2024-06-28T00:00:00"/>
    <d v="2024-12-22T00:00:00"/>
    <d v="2025-02-25T00:00:00"/>
    <s v="Checked"/>
    <d v="2025-02-25T00:00:00"/>
    <m/>
    <d v="2024-08-22T00:00:00"/>
    <m/>
  </r>
  <r>
    <n v="301"/>
    <n v="37095"/>
    <s v="HLC-B"/>
    <s v="STB5K0230HLCD"/>
    <x v="3"/>
    <s v="WR"/>
    <s v="KOL"/>
    <d v="2019-02-26T00:00:00"/>
    <n v="230"/>
    <s v="Nashik"/>
    <s v="U7D2S04V.005"/>
    <d v="2021-06-01T00:00:00"/>
    <s v="UAT2Y440.012"/>
    <d v="2022-05-21T00:00:00"/>
    <m/>
    <m/>
    <m/>
    <s v="Conv-B DONE"/>
    <s v="Conv-B DONE"/>
    <s v="Conv-B DONE"/>
    <s v="Conv-B DONE"/>
    <m/>
    <m/>
    <s v="1 no available"/>
    <m/>
    <m/>
    <m/>
    <m/>
    <m/>
    <s v="Conv-B DONE"/>
    <m/>
    <s v="Done"/>
    <d v="2024-06-28T00:00:00"/>
    <d v="2024-12-22T00:00:00"/>
    <d v="2025-02-25T00:00:00"/>
    <s v="Checked"/>
    <d v="2025-02-25T00:00:00"/>
    <m/>
    <d v="2024-08-22T00:00:00"/>
    <m/>
  </r>
  <r>
    <n v="302"/>
    <n v="39092"/>
    <s v="HLC-A"/>
    <s v="STB5L0532HLCD"/>
    <x v="3"/>
    <s v="WR"/>
    <s v="KOL"/>
    <d v="2019-08-30T00:00:00"/>
    <n v="532"/>
    <s v="Nashik"/>
    <s v="U7D2S04V.005"/>
    <d v="2021-09-22T00:00:00"/>
    <s v="UAT2Y440.012"/>
    <d v="2021-03-18T00:00:00"/>
    <d v="2021-09-22T00:00:00"/>
    <d v="2022-07-11T00:00:00"/>
    <m/>
    <s v="Modified from BLW"/>
    <s v="Conv-A DONE"/>
    <s v="Conv-A DONE"/>
    <s v="Conv-A DONE"/>
    <m/>
    <m/>
    <s v="1 no available"/>
    <m/>
    <m/>
    <m/>
    <m/>
    <m/>
    <d v="2022-07-11T00:00:00"/>
    <m/>
    <d v="2022-07-11T00:00:00"/>
    <d v="2024-09-10T00:00:00"/>
    <d v="2024-11-14T00:00:00"/>
    <d v="2024-12-19T00:00:00"/>
    <s v="Checked"/>
    <d v="2024-07-02T00:00:00"/>
    <m/>
    <m/>
    <m/>
  </r>
  <r>
    <n v="303"/>
    <n v="39092"/>
    <s v="HLC-B"/>
    <s v="STB5L0538HLCD"/>
    <x v="3"/>
    <s v="WR"/>
    <s v="KOL"/>
    <d v="2019-08-30T00:00:00"/>
    <n v="538"/>
    <s v="Nashik"/>
    <s v="U7D2S04V.005"/>
    <d v="2021-09-22T00:00:00"/>
    <s v="UAT2Y440.012"/>
    <d v="2020-12-16T00:00:00"/>
    <d v="2021-09-22T00:00:00"/>
    <d v="2022-07-11T00:00:00"/>
    <m/>
    <s v="Modified from BLW"/>
    <s v="Conv-B DONE"/>
    <s v="Conv-B DONE"/>
    <s v="Conv-B DONE"/>
    <m/>
    <m/>
    <s v="1 no available"/>
    <m/>
    <m/>
    <m/>
    <m/>
    <m/>
    <d v="2022-07-11T00:00:00"/>
    <m/>
    <d v="2022-07-11T00:00:00"/>
    <d v="2024-09-10T00:00:00"/>
    <d v="2024-11-14T00:00:00"/>
    <d v="2024-12-19T00:00:00"/>
    <s v="Checked"/>
    <d v="2024-07-02T00:00:00"/>
    <m/>
    <m/>
    <m/>
  </r>
  <r>
    <n v="304"/>
    <n v="30719"/>
    <s v="HLC-A"/>
    <s v="STBDN1184HLCD"/>
    <x v="4"/>
    <s v="WR"/>
    <s v="MUM"/>
    <m/>
    <m/>
    <s v="Nashik"/>
    <s v="M-U7D2S04V.005,_x000a_MO-U7F2S240.005"/>
    <s v="Done by NW"/>
    <s v="UAT2Y440.012"/>
    <s v="Done"/>
    <m/>
    <d v="2022-12-14T00:00:00"/>
    <s v="Done by NW"/>
    <s v="Done by NW"/>
    <m/>
    <m/>
    <m/>
    <d v="2022-12-14T00:00:00"/>
    <d v="2022-12-14T00:00:00"/>
    <m/>
    <m/>
    <m/>
    <m/>
    <m/>
    <m/>
    <d v="2022-12-14T00:00:00"/>
    <d v="2023-10-20T00:00:00"/>
    <d v="2024-09-26T00:00:00"/>
    <d v="2024-06-26T00:00:00"/>
    <d v="2024-06-26T00:00:00"/>
    <d v="2024-09-26T00:00:00"/>
    <d v="2024-12-30T00:00:00"/>
    <d v="2024-06-20T00:00:00"/>
    <d v="2024-06-26T00:00:00"/>
    <d v="2024-09-26T00:00:00"/>
    <m/>
  </r>
  <r>
    <n v="305"/>
    <n v="30719"/>
    <s v="HLC-B"/>
    <s v="STBDN1185HLCD"/>
    <x v="4"/>
    <s v="WR"/>
    <s v="MUM"/>
    <m/>
    <m/>
    <s v="Nashik"/>
    <s v="M-U7D2S04V.005,_x000a_MO-U7F2S240.005"/>
    <s v="Done by NW"/>
    <s v="UAT2Y440.012"/>
    <s v="Done"/>
    <m/>
    <d v="2022-12-14T00:00:00"/>
    <s v="Done by NW"/>
    <s v="Done by NW"/>
    <m/>
    <m/>
    <m/>
    <d v="2022-12-14T00:00:00"/>
    <d v="2022-12-14T00:00:00"/>
    <m/>
    <m/>
    <m/>
    <m/>
    <m/>
    <m/>
    <d v="2022-12-14T00:00:00"/>
    <d v="2023-10-20T00:00:00"/>
    <d v="2024-09-26T00:00:00"/>
    <d v="2024-06-26T00:00:00"/>
    <d v="2024-06-26T00:00:00"/>
    <d v="2024-09-26T00:00:00"/>
    <d v="2024-12-30T00:00:00"/>
    <d v="2024-06-20T00:00:00"/>
    <d v="2024-06-26T00:00:00"/>
    <d v="2024-09-26T00:00:00"/>
    <m/>
  </r>
  <r>
    <n v="306"/>
    <n v="37583"/>
    <s v="HLC-A"/>
    <s v="STB5M0779"/>
    <x v="4"/>
    <s v="WR"/>
    <s v="MUM"/>
    <m/>
    <m/>
    <s v="Nashik"/>
    <s v="M-U7D2S04V.005,_x000a_MO-U7F2S240.005"/>
    <s v="Done by NW"/>
    <s v="UAT2Y440.012"/>
    <s v="Done"/>
    <m/>
    <m/>
    <m/>
    <m/>
    <m/>
    <m/>
    <m/>
    <m/>
    <m/>
    <m/>
    <m/>
    <m/>
    <m/>
    <m/>
    <m/>
    <d v="2022-12-21T00:00:00"/>
    <d v="2023-04-18T00:00:00"/>
    <d v="2024-09-26T00:00:00"/>
    <d v="2024-06-26T00:00:00"/>
    <d v="2024-06-26T00:00:00"/>
    <d v="2024-12-30T00:00:00"/>
    <d v="2024-12-30T00:00:00"/>
    <d v="2023-12-23T00:00:00"/>
    <d v="2024-06-26T00:00:00"/>
    <d v="2024-09-26T00:00:00"/>
    <m/>
  </r>
  <r>
    <n v="307"/>
    <n v="37583"/>
    <s v="HLC-B"/>
    <s v="STB5M0804"/>
    <x v="4"/>
    <s v="WR"/>
    <s v="MUM"/>
    <m/>
    <m/>
    <s v="Nashik"/>
    <s v="M-U7D2S04V.005,_x000a_MO-U7F2S240.005"/>
    <s v="Done by NW"/>
    <s v="UAT2Y440.012"/>
    <s v="Done"/>
    <m/>
    <m/>
    <m/>
    <m/>
    <m/>
    <m/>
    <m/>
    <m/>
    <m/>
    <m/>
    <m/>
    <m/>
    <m/>
    <m/>
    <m/>
    <d v="2022-12-21T00:00:00"/>
    <d v="2023-04-18T00:00:00"/>
    <d v="2024-09-26T00:00:00"/>
    <d v="2024-06-26T00:00:00"/>
    <d v="2024-06-26T00:00:00"/>
    <d v="2024-12-30T00:00:00"/>
    <d v="2024-12-30T00:00:00"/>
    <d v="2023-12-23T00:00:00"/>
    <d v="2024-06-26T00:00:00"/>
    <d v="2024-09-26T00:00:00"/>
    <m/>
  </r>
  <r>
    <n v="308"/>
    <n v="30702"/>
    <s v="HLC-A"/>
    <s v="STB5N1138HLCD"/>
    <x v="1"/>
    <s v="WR"/>
    <s v="MUM"/>
    <d v="2022-04-17T00:00:00"/>
    <m/>
    <s v="Nashik"/>
    <s v="M-U7D2S04V.005,_x000a_MO-U7F2S240.005"/>
    <s v="Done"/>
    <s v="UAT2Y440.012"/>
    <s v="Done"/>
    <m/>
    <m/>
    <s v="Conv-A DONE"/>
    <s v="Conv-A DONE"/>
    <s v="Conv-A DONE"/>
    <s v="Conv-A DONE"/>
    <s v="Conv-A DONE"/>
    <s v="Conv-A DONE"/>
    <m/>
    <m/>
    <m/>
    <m/>
    <m/>
    <m/>
    <m/>
    <s v="Conv-A DONE"/>
    <m/>
    <d v="2024-05-08T00:00:00"/>
    <d v="2024-07-20T00:00:00"/>
    <d v="2024-11-20T00:00:00"/>
    <d v="2023-09-11T00:00:00"/>
    <s v="Done"/>
    <m/>
    <d v="2024-07-19T00:00:00"/>
    <d v="2024-11-09T00:00:00"/>
    <m/>
  </r>
  <r>
    <n v="309"/>
    <n v="30702"/>
    <s v="HLC-B"/>
    <s v="STB5N1139HLCD"/>
    <x v="1"/>
    <s v="WR"/>
    <s v="MUM"/>
    <d v="2022-04-17T00:00:00"/>
    <m/>
    <s v="Nashik"/>
    <s v="M-U7D2S04V.005,_x000a_MO-U7F2S240.005"/>
    <s v="Done"/>
    <s v="UAT2Y440.012"/>
    <s v="Done"/>
    <m/>
    <m/>
    <s v="Conv-B DONE"/>
    <s v="Conv-B DONE"/>
    <s v="Conv-B DONE"/>
    <s v="Conv-B DONE"/>
    <s v="Conv-B DONE"/>
    <s v="Conv-B DONE"/>
    <m/>
    <m/>
    <m/>
    <m/>
    <m/>
    <m/>
    <m/>
    <s v="Conv-B DONE"/>
    <m/>
    <d v="2024-05-08T00:00:00"/>
    <d v="2024-07-20T00:00:00"/>
    <d v="2024-11-20T00:00:00"/>
    <d v="2023-09-11T00:00:00"/>
    <s v="Done"/>
    <m/>
    <d v="2024-07-19T00:00:00"/>
    <d v="2024-11-09T00:00:00"/>
    <m/>
  </r>
  <r>
    <n v="310"/>
    <n v="30688"/>
    <s v="HLC-A"/>
    <s v="STB5N1140HLCD"/>
    <x v="2"/>
    <s v="WR"/>
    <s v="MUM"/>
    <d v="2022-03-17T00:00:00"/>
    <m/>
    <s v="Nashik"/>
    <s v="M-U7D2S04V.005,_x000a_MO-U7F2S240.005"/>
    <s v="Done"/>
    <s v="UAT2Y440.012"/>
    <s v="Done"/>
    <d v="2022-03-19T00:00:00"/>
    <m/>
    <s v="Conv-A DONE"/>
    <s v="Conv-A DONE"/>
    <s v="Conv-A DONE"/>
    <s v="Conv-A DONE"/>
    <s v="Conv-A DONE"/>
    <s v="Conv-A DONE"/>
    <s v="Conv-A DONE"/>
    <m/>
    <m/>
    <m/>
    <m/>
    <m/>
    <m/>
    <s v="Conv-A DONE"/>
    <m/>
    <d v="2024-06-23T00:00:00"/>
    <d v="2024-06-23T00:00:00"/>
    <s v="26/06/2023"/>
    <d v="2024-07-15T00:00:00"/>
    <s v="Done"/>
    <m/>
    <d v="2024-07-18T00:00:00"/>
    <m/>
    <m/>
  </r>
  <r>
    <n v="311"/>
    <n v="30688"/>
    <s v="HLC-B"/>
    <s v="STB5N1141HLCD"/>
    <x v="2"/>
    <s v="WR"/>
    <s v="MUM"/>
    <d v="2022-03-17T00:00:00"/>
    <m/>
    <s v="Nashik"/>
    <s v="M-U7D2S04V.005,_x000a_MO-U7F2S240.005"/>
    <s v="Done"/>
    <s v="UAT2Y440.012"/>
    <s v="Done"/>
    <d v="2022-03-19T00:00:00"/>
    <m/>
    <s v="Conv-B DONE"/>
    <s v="Conv-B DONE"/>
    <s v="Conv-B DONE"/>
    <s v="Conv-B DONE"/>
    <s v="Conv-B DONE"/>
    <s v="Conv-B DONE"/>
    <s v="Conv-B DONE"/>
    <m/>
    <m/>
    <m/>
    <m/>
    <m/>
    <m/>
    <s v="Conv-B DONE"/>
    <m/>
    <d v="2024-06-23T00:00:00"/>
    <d v="2024-06-23T00:00:00"/>
    <d v="2024-06-23T00:00:00"/>
    <d v="2024-07-15T00:00:00"/>
    <s v="Done"/>
    <m/>
    <d v="2024-07-18T00:00:00"/>
    <m/>
    <m/>
  </r>
  <r>
    <n v="312"/>
    <n v="39218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11-11T00:00:00"/>
    <d v="2024-09-27T00:00:00"/>
    <d v="2023-10-26T00:00:00"/>
    <d v="2024-11-11T00:00:00"/>
    <m/>
    <m/>
    <d v="2024-11-11T00:00:00"/>
    <m/>
  </r>
  <r>
    <n v="313"/>
    <n v="39218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11-11T00:00:00"/>
    <d v="2024-09-27T00:00:00"/>
    <d v="2023-10-26T00:00:00"/>
    <d v="2024-11-11T00:00:00"/>
    <m/>
    <m/>
    <d v="2024-11-11T00:00:00"/>
    <m/>
  </r>
  <r>
    <n v="314"/>
    <n v="39220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10-11T00:00:00"/>
    <d v="2024-07-05T00:00:00"/>
    <d v="2024-09-30T00:00:00"/>
    <d v="2024-10-11T00:00:00"/>
    <d v="2024-10-11T00:00:00"/>
    <m/>
    <m/>
    <d v="2024-10-11T00:00:00"/>
    <m/>
  </r>
  <r>
    <n v="315"/>
    <n v="39220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10-11T00:00:00"/>
    <d v="2024-07-05T00:00:00"/>
    <d v="2024-09-30T00:00:00"/>
    <d v="2024-10-11T00:00:00"/>
    <d v="2024-10-11T00:00:00"/>
    <m/>
    <m/>
    <d v="2024-10-11T00:00:00"/>
    <m/>
  </r>
  <r>
    <n v="316"/>
    <n v="39235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07-28T00:00:00"/>
    <d v="2024-10-01T00:00:00"/>
    <d v="2024-01-29T00:00:00"/>
    <d v="2025-02-03T00:00:00"/>
    <d v="2025-02-03T00:00:00"/>
    <d v="2025-02-03T00:00:00"/>
    <d v="2024-11-01T00:00:00"/>
    <m/>
  </r>
  <r>
    <n v="317"/>
    <n v="39235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07-28T00:00:00"/>
    <d v="2024-10-01T00:00:00"/>
    <d v="2024-01-29T00:00:00"/>
    <d v="2025-02-03T00:00:00"/>
    <d v="2025-02-03T00:00:00"/>
    <d v="2025-02-03T00:00:00"/>
    <d v="2024-11-01T00:00:00"/>
    <m/>
  </r>
  <r>
    <n v="318"/>
    <n v="39238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27T00:00:00"/>
    <d v="2024-07-25T00:00:00"/>
    <d v="2024-07-25T00:00:00"/>
    <d v="2024-07-27T00:00:00"/>
    <d v="2024-10-26T00:00:00"/>
    <m/>
    <m/>
    <d v="2024-10-26T00:00:00"/>
    <m/>
  </r>
  <r>
    <n v="319"/>
    <n v="39238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27T00:00:00"/>
    <d v="2024-07-25T00:00:00"/>
    <d v="2024-07-25T00:00:00"/>
    <d v="2024-07-27T00:00:00"/>
    <d v="2024-10-26T00:00:00"/>
    <m/>
    <m/>
    <d v="2024-10-26T00:00:00"/>
    <m/>
  </r>
  <r>
    <n v="320"/>
    <n v="39239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8-09T00:00:00"/>
    <d v="2024-08-10T00:00:00"/>
    <d v="2024-08-10T00:00:00"/>
    <d v="2024-11-11T00:00:00"/>
    <d v="2024-11-11T00:00:00"/>
    <m/>
    <m/>
    <d v="2024-09-19T00:00:00"/>
    <m/>
  </r>
  <r>
    <n v="321"/>
    <n v="39239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8-09T00:00:00"/>
    <d v="2024-08-10T00:00:00"/>
    <d v="2024-08-10T00:00:00"/>
    <d v="2024-11-11T00:00:00"/>
    <d v="2024-11-11T00:00:00"/>
    <m/>
    <m/>
    <d v="2024-09-19T00:00:00"/>
    <m/>
  </r>
  <r>
    <n v="322"/>
    <n v="39243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19T00:00:00"/>
    <d v="2024-07-19T00:00:00"/>
    <d v="2024-07-19T00:00:00"/>
    <d v="2023-06-20T00:00:00"/>
    <d v="2024-12-05T00:00:00"/>
    <m/>
    <m/>
    <d v="2024-09-03T00:00:00"/>
    <m/>
  </r>
  <r>
    <n v="323"/>
    <n v="39243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19T00:00:00"/>
    <d v="2024-07-19T00:00:00"/>
    <d v="2024-07-19T00:00:00"/>
    <d v="2023-06-20T00:00:00"/>
    <d v="2024-12-05T00:00:00"/>
    <m/>
    <m/>
    <d v="2024-09-03T00:00:00"/>
    <m/>
  </r>
  <r>
    <n v="324"/>
    <n v="39244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08-12T00:00:00"/>
    <d v="2024-08-12T00:00:00"/>
    <d v="2023-11-09T00:00:00"/>
    <d v="2024-11-18T00:00:00"/>
    <m/>
    <m/>
    <d v="2024-11-18T00:00:00"/>
    <m/>
  </r>
  <r>
    <n v="325"/>
    <n v="39244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1-29T00:00:00"/>
    <d v="2024-08-12T00:00:00"/>
    <d v="2024-08-12T00:00:00"/>
    <d v="2023-11-09T00:00:00"/>
    <d v="2024-11-18T00:00:00"/>
    <m/>
    <m/>
    <d v="2024-11-18T00:00:00"/>
    <m/>
  </r>
  <r>
    <n v="326"/>
    <n v="39283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5T00:00:00"/>
    <d v="2024-07-01T00:00:00"/>
    <d v="2025-01-09T00:00:00"/>
    <d v="2024-01-24T00:00:00"/>
    <d v="2025-01-09T00:00:00"/>
    <d v="2025-01-09T00:00:00"/>
    <d v="2025-01-09T00:00:00"/>
    <d v="2024-10-04T00:00:00"/>
    <m/>
  </r>
  <r>
    <n v="327"/>
    <n v="39283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5T00:00:00"/>
    <d v="2024-07-01T00:00:00"/>
    <d v="2025-01-09T00:00:00"/>
    <d v="2024-01-24T00:00:00"/>
    <d v="2025-01-09T00:00:00"/>
    <d v="2025-01-09T00:00:00"/>
    <d v="2025-01-09T00:00:00"/>
    <d v="2024-10-04T00:00:00"/>
    <m/>
  </r>
  <r>
    <n v="328"/>
    <n v="39285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8T00:00:00"/>
    <d v="2024-09-01T00:00:00"/>
    <d v="2024-09-01T00:00:00"/>
    <d v="2024-04-26T00:00:00"/>
    <d v="2024-12-24T00:00:00"/>
    <m/>
    <m/>
    <d v="2024-09-19T00:00:00"/>
    <m/>
  </r>
  <r>
    <n v="329"/>
    <n v="39285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8T00:00:00"/>
    <d v="2024-09-01T00:00:00"/>
    <d v="2024-09-01T00:00:00"/>
    <d v="2024-04-26T00:00:00"/>
    <d v="2024-12-24T00:00:00"/>
    <m/>
    <m/>
    <d v="2024-09-19T00:00:00"/>
    <m/>
  </r>
  <r>
    <n v="330"/>
    <n v="39287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8T00:00:00"/>
    <d v="2024-08-25T00:00:00"/>
    <d v="2024-07-05T00:00:00"/>
    <d v="2024-01-24T00:00:00"/>
    <d v="2024-10-25T00:00:00"/>
    <m/>
    <m/>
    <d v="2024-09-19T00:00:00"/>
    <m/>
  </r>
  <r>
    <n v="331"/>
    <n v="39287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8T00:00:00"/>
    <d v="2024-08-25T00:00:00"/>
    <d v="2024-07-05T00:00:00"/>
    <d v="2024-01-24T00:00:00"/>
    <d v="2024-10-25T00:00:00"/>
    <m/>
    <m/>
    <d v="2024-09-19T00:00:00"/>
    <m/>
  </r>
  <r>
    <n v="332"/>
    <n v="39289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20T00:00:00"/>
    <d v="2024-06-29T00:00:00"/>
    <d v="2025-01-02T00:00:00"/>
    <d v="2024-01-25T00:00:00"/>
    <d v="2025-01-02T00:00:00"/>
    <m/>
    <m/>
    <d v="2024-09-25T00:00:00"/>
    <m/>
  </r>
  <r>
    <n v="333"/>
    <n v="39289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s v="Salzer-471 provided on 17.01.25"/>
    <m/>
    <m/>
    <s v="NA"/>
    <d v="2024-03-20T00:00:00"/>
    <d v="2024-06-29T00:00:00"/>
    <d v="2025-01-02T00:00:00"/>
    <d v="2024-01-25T00:00:00"/>
    <d v="2025-01-02T00:00:00"/>
    <m/>
    <m/>
    <d v="2024-09-25T00:00:00"/>
    <m/>
  </r>
  <r>
    <n v="334"/>
    <n v="39305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6-25T00:00:00"/>
    <d v="2024-06-25T00:00:00"/>
    <d v="2024-11-21T00:00:00"/>
    <d v="2024-06-27T00:00:00"/>
    <d v="2024-11-21T00:00:00"/>
    <m/>
    <m/>
    <d v="2024-11-21T00:00:00"/>
    <m/>
  </r>
  <r>
    <n v="335"/>
    <n v="39305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6-25T00:00:00"/>
    <d v="2024-06-25T00:00:00"/>
    <d v="2024-11-21T00:00:00"/>
    <d v="2024-06-27T00:00:00"/>
    <d v="2024-11-21T00:00:00"/>
    <m/>
    <m/>
    <d v="2024-11-21T00:00:00"/>
    <m/>
  </r>
  <r>
    <n v="336"/>
    <n v="39308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8-08T00:00:00"/>
    <d v="2024-08-08T00:00:00"/>
    <d v="2024-08-08T00:00:00"/>
    <d v="2024-03-27T00:00:00"/>
    <d v="2025-01-09T00:00:00"/>
    <d v="2025-01-09T00:00:00"/>
    <d v="2025-01-09T00:00:00"/>
    <d v="2024-11-07T00:00:00"/>
    <m/>
  </r>
  <r>
    <n v="337"/>
    <n v="39308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8-08T00:00:00"/>
    <d v="2024-08-08T00:00:00"/>
    <d v="2024-08-08T00:00:00"/>
    <d v="2024-03-27T00:00:00"/>
    <d v="2025-01-09T00:00:00"/>
    <d v="2025-01-09T00:00:00"/>
    <d v="2025-01-09T00:00:00"/>
    <d v="2024-11-07T00:00:00"/>
    <m/>
  </r>
  <r>
    <n v="338"/>
    <n v="39311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4-27T00:00:00"/>
    <d v="2024-09-03T00:00:00"/>
    <d v="2024-12-16T00:00:00"/>
    <d v="2024-04-27T00:00:00"/>
    <d v="2024-12-16T00:00:00"/>
    <m/>
    <m/>
    <d v="2024-09-03T00:00:00"/>
    <m/>
  </r>
  <r>
    <n v="339"/>
    <n v="39311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4-27T00:00:00"/>
    <d v="2024-09-03T00:00:00"/>
    <d v="2024-12-16T00:00:00"/>
    <d v="2024-04-27T00:00:00"/>
    <d v="2024-12-16T00:00:00"/>
    <m/>
    <m/>
    <d v="2024-09-03T00:00:00"/>
    <m/>
  </r>
  <r>
    <n v="340"/>
    <n v="39314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04T00:00:00"/>
    <d v="2024-07-04T00:00:00"/>
    <d v="2024-07-04T00:00:00"/>
    <d v="2024-07-20T00:00:00"/>
    <m/>
    <m/>
    <m/>
    <d v="2024-09-26T00:00:00"/>
    <m/>
  </r>
  <r>
    <n v="341"/>
    <n v="39314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7-04T00:00:00"/>
    <d v="2024-07-04T00:00:00"/>
    <d v="2024-07-04T00:00:00"/>
    <d v="2024-07-20T00:00:00"/>
    <m/>
    <m/>
    <m/>
    <d v="2024-09-26T00:00:00"/>
    <m/>
  </r>
  <r>
    <n v="342"/>
    <n v="39328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13T00:00:00"/>
    <d v="2024-06-22T00:00:00"/>
    <d v="2024-06-22T00:00:00"/>
    <d v="2024-03-11T00:00:00"/>
    <d v="2025-01-01T00:00:00"/>
    <d v="2025-01-01T00:00:00"/>
    <d v="2025-01-01T00:00:00"/>
    <d v="2024-09-25T00:00:00"/>
    <m/>
  </r>
  <r>
    <n v="343"/>
    <n v="39328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13T00:00:00"/>
    <d v="2024-06-22T00:00:00"/>
    <d v="2024-06-22T00:00:00"/>
    <d v="2024-03-11T00:00:00"/>
    <d v="2025-01-01T00:00:00"/>
    <d v="2025-01-01T00:00:00"/>
    <d v="2025-01-01T00:00:00"/>
    <d v="2024-09-25T00:00:00"/>
    <m/>
  </r>
  <r>
    <n v="344"/>
    <n v="39331"/>
    <s v="HLC-A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m/>
    <s v="NA"/>
    <d v="2024-03-08T00:00:00"/>
    <d v="2024-07-01T00:00:00"/>
    <d v="2024-07-01T00:00:00"/>
    <d v="2024-03-08T00:00:00"/>
    <d v="2024-10-21T00:00:00"/>
    <d v="2025-05-24T00:00:00"/>
    <d v="2025-05-24T00:00:00"/>
    <d v="2024-10-21T00:00:00"/>
    <m/>
  </r>
  <r>
    <n v="345"/>
    <n v="39331"/>
    <s v="HLC-B"/>
    <m/>
    <x v="4"/>
    <s v="WR"/>
    <s v="MUM"/>
    <m/>
    <m/>
    <s v="Nashik"/>
    <m/>
    <m/>
    <m/>
    <s v="Done"/>
    <m/>
    <m/>
    <s v="Done by NW"/>
    <s v="Done by NW"/>
    <m/>
    <m/>
    <m/>
    <m/>
    <m/>
    <m/>
    <m/>
    <m/>
    <m/>
    <s v="EL19K01 004-R on date 03.01.25"/>
    <m/>
    <m/>
    <s v="NA"/>
    <d v="2024-03-08T00:00:00"/>
    <d v="2024-07-01T00:00:00"/>
    <d v="2024-07-01T00:00:00"/>
    <d v="2024-03-08T00:00:00"/>
    <d v="2024-10-21T00:00:00"/>
    <d v="2025-05-24T00:00:00"/>
    <d v="2025-05-24T00:00:00"/>
    <d v="2024-10-21T00:00:00"/>
    <m/>
  </r>
  <r>
    <n v="346"/>
    <n v="39334"/>
    <s v="HLC-A"/>
    <m/>
    <x v="4"/>
    <s v="WR"/>
    <s v="MUM"/>
    <m/>
    <m/>
    <s v="Nashik"/>
    <m/>
    <m/>
    <m/>
    <s v="Done"/>
    <m/>
    <m/>
    <s v="Done by NW"/>
    <s v="Done by NW"/>
    <m/>
    <d v="2024-10-17T00:00:00"/>
    <m/>
    <m/>
    <m/>
    <m/>
    <m/>
    <m/>
    <m/>
    <s v="EL19H01 001-R on date 25.01.25"/>
    <m/>
    <m/>
    <s v="NA"/>
    <d v="2024-03-27T00:00:00"/>
    <d v="2024-07-16T00:00:00"/>
    <d v="2024-07-16T00:00:00"/>
    <d v="2024-03-27T00:00:00"/>
    <d v="2024-10-17T00:00:00"/>
    <d v="2025-04-30T00:00:00"/>
    <m/>
    <d v="2024-10-17T00:00:00"/>
    <m/>
  </r>
  <r>
    <n v="347"/>
    <n v="39334"/>
    <s v="HLC-B"/>
    <m/>
    <x v="4"/>
    <s v="WR"/>
    <s v="MUM"/>
    <m/>
    <m/>
    <s v="Nashik"/>
    <m/>
    <m/>
    <m/>
    <s v="Done"/>
    <m/>
    <m/>
    <s v="Done by NW"/>
    <s v="Done by NW"/>
    <m/>
    <d v="2024-10-17T00:00:00"/>
    <m/>
    <m/>
    <m/>
    <m/>
    <m/>
    <m/>
    <m/>
    <m/>
    <m/>
    <m/>
    <s v="NA"/>
    <d v="2024-03-27T00:00:00"/>
    <d v="2024-07-16T00:00:00"/>
    <d v="2024-07-16T00:00:00"/>
    <d v="2024-03-27T00:00:00"/>
    <d v="2024-10-17T00:00:00"/>
    <d v="2025-04-30T00:00:00"/>
    <m/>
    <d v="2024-10-17T00:00:00"/>
    <m/>
  </r>
  <r>
    <n v="348"/>
    <n v="39336"/>
    <s v="HLC-A"/>
    <m/>
    <x v="4"/>
    <s v="WR"/>
    <s v="MUM"/>
    <m/>
    <m/>
    <s v="Nashik"/>
    <m/>
    <m/>
    <m/>
    <s v="Done"/>
    <m/>
    <m/>
    <s v="Done by NW"/>
    <s v="Done by NW"/>
    <m/>
    <d v="2025-01-17T00:00:00"/>
    <m/>
    <m/>
    <m/>
    <m/>
    <m/>
    <m/>
    <m/>
    <m/>
    <m/>
    <m/>
    <s v="NA"/>
    <d v="2024-03-27T00:00:00"/>
    <d v="2024-07-02T00:00:00"/>
    <d v="2024-07-02T00:00:00"/>
    <d v="2024-06-28T00:00:00"/>
    <d v="2025-01-17T00:00:00"/>
    <d v="2025-06-27T00:00:00"/>
    <m/>
    <d v="2024-10-04T00:00:00"/>
    <m/>
  </r>
  <r>
    <n v="349"/>
    <n v="39336"/>
    <s v="HLC-B"/>
    <m/>
    <x v="4"/>
    <s v="WR"/>
    <s v="MUM"/>
    <m/>
    <m/>
    <s v="Nashik"/>
    <m/>
    <m/>
    <m/>
    <s v="Done"/>
    <m/>
    <m/>
    <s v="Done by NW"/>
    <s v="Done by NW"/>
    <m/>
    <d v="2025-01-17T00:00:00"/>
    <m/>
    <m/>
    <m/>
    <m/>
    <m/>
    <m/>
    <m/>
    <m/>
    <m/>
    <m/>
    <s v="NA"/>
    <d v="2024-03-27T00:00:00"/>
    <d v="2024-07-02T00:00:00"/>
    <d v="2024-07-02T00:00:00"/>
    <d v="2024-06-28T00:00:00"/>
    <d v="2025-01-17T00:00:00"/>
    <d v="2025-06-27T00:00:00"/>
    <m/>
    <d v="2024-10-04T00:00:00"/>
    <m/>
  </r>
  <r>
    <n v="350"/>
    <n v="37684"/>
    <s v="HLC-A"/>
    <m/>
    <x v="6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s v="Done"/>
    <m/>
    <d v="2024-04-17T00:00:00"/>
    <d v="2024-08-14T00:00:00"/>
    <d v="2025-02-02T00:00:00"/>
    <d v="2024-05-24T00:00:00"/>
    <s v="Done"/>
    <m/>
    <m/>
    <d v="2025-01-24T00:00:00"/>
    <m/>
  </r>
  <r>
    <n v="351"/>
    <n v="37684"/>
    <s v="HLC-B"/>
    <m/>
    <x v="6"/>
    <s v="WR"/>
    <s v="MUM"/>
    <m/>
    <m/>
    <s v="Nashik"/>
    <m/>
    <m/>
    <m/>
    <s v="Done"/>
    <m/>
    <m/>
    <s v="Done by NW"/>
    <s v="Done by NW"/>
    <m/>
    <m/>
    <m/>
    <m/>
    <m/>
    <m/>
    <m/>
    <m/>
    <m/>
    <m/>
    <m/>
    <s v="Done"/>
    <m/>
    <d v="2024-04-17T00:00:00"/>
    <d v="2024-08-14T00:00:00"/>
    <d v="2025-02-02T00:00:00"/>
    <d v="2024-05-24T00:00:00"/>
    <s v="Done"/>
    <m/>
    <m/>
    <d v="2025-01-24T00:00:00"/>
    <m/>
  </r>
  <r>
    <n v="352"/>
    <n v="30224"/>
    <s v="HLC-A"/>
    <s v="STB5N1143HLCD"/>
    <x v="2"/>
    <s v="CR"/>
    <s v="MUM"/>
    <d v="2023-01-03T00:00:00"/>
    <n v="1143"/>
    <m/>
    <m/>
    <m/>
    <m/>
    <m/>
    <m/>
    <m/>
    <m/>
    <s v="Conv-A DONE"/>
    <m/>
    <s v="Conv-A DONE"/>
    <m/>
    <s v="Conv-A DONE"/>
    <m/>
    <m/>
    <m/>
    <m/>
    <m/>
    <m/>
    <m/>
    <s v="Conv-A DONE"/>
    <m/>
    <s v="Done"/>
    <d v="2024-09-27T00:00:00"/>
    <d v="2024-09-27T00:00:00"/>
    <d v="2024-07-25T00:00:00"/>
    <s v="Checked"/>
    <m/>
    <m/>
    <m/>
    <m/>
  </r>
  <r>
    <n v="353"/>
    <n v="30224"/>
    <s v="HLC-B"/>
    <s v="STB5N1142HLCD"/>
    <x v="2"/>
    <s v="CR"/>
    <s v="MUM"/>
    <d v="2023-01-03T00:00:00"/>
    <n v="1142"/>
    <m/>
    <m/>
    <m/>
    <m/>
    <m/>
    <m/>
    <m/>
    <m/>
    <s v="Conv-B DONE"/>
    <m/>
    <s v="Conv-B DONE"/>
    <m/>
    <s v="Conv-B DONE"/>
    <m/>
    <m/>
    <m/>
    <m/>
    <m/>
    <m/>
    <m/>
    <s v="Conv-B DONE"/>
    <m/>
    <s v="Done"/>
    <d v="2024-09-27T00:00:00"/>
    <d v="2024-09-27T00:00:00"/>
    <d v="2024-07-25T00:00:00"/>
    <s v="Checked"/>
    <m/>
    <m/>
    <m/>
    <m/>
  </r>
  <r>
    <n v="354"/>
    <n v="30729"/>
    <s v="HLC-A"/>
    <s v="STB5N1137HLCD"/>
    <x v="2"/>
    <s v="CR"/>
    <s v="MUM"/>
    <d v="2023-01-07T00:00:00"/>
    <m/>
    <m/>
    <m/>
    <m/>
    <m/>
    <m/>
    <m/>
    <m/>
    <m/>
    <s v="Conv-A DONE"/>
    <m/>
    <s v="Conv-A DONE"/>
    <m/>
    <s v="Conv-A DONE"/>
    <m/>
    <m/>
    <m/>
    <m/>
    <m/>
    <m/>
    <m/>
    <s v="Conv-A DONE"/>
    <m/>
    <s v="Done"/>
    <d v="2024-09-30T00:00:00"/>
    <d v="2024-09-30T00:00:00"/>
    <d v="2024-11-28T00:00:00"/>
    <s v="Done"/>
    <m/>
    <m/>
    <d v="2024-08-16T00:00:00"/>
    <m/>
  </r>
  <r>
    <n v="355"/>
    <n v="30729"/>
    <s v="HLC-B"/>
    <s v="STB5N1147HLCD"/>
    <x v="2"/>
    <s v="CR"/>
    <s v="MUM"/>
    <d v="2023-01-07T00:00:00"/>
    <m/>
    <m/>
    <m/>
    <m/>
    <m/>
    <m/>
    <m/>
    <m/>
    <m/>
    <s v="Conv-B DONE"/>
    <m/>
    <s v="Conv-B DONE"/>
    <m/>
    <s v="Conv-B DONE"/>
    <m/>
    <m/>
    <m/>
    <m/>
    <m/>
    <m/>
    <m/>
    <s v="Conv-B DONE"/>
    <m/>
    <s v="Done"/>
    <d v="2024-09-30T00:00:00"/>
    <d v="2024-09-30T00:00:00"/>
    <d v="2024-11-28T00:00:00"/>
    <s v="Done"/>
    <m/>
    <m/>
    <d v="2024-08-16T00:00:00"/>
    <m/>
  </r>
  <r>
    <n v="356"/>
    <n v="37708"/>
    <s v="HLC-A"/>
    <s v="STBNR1575HLCD"/>
    <x v="2"/>
    <s v="CR"/>
    <s v="MUM"/>
    <d v="2024-04-25T00:00:00"/>
    <m/>
    <m/>
    <m/>
    <m/>
    <m/>
    <m/>
    <m/>
    <m/>
    <m/>
    <s v="Conv-A DONE"/>
    <m/>
    <s v="Conv-A DONE"/>
    <m/>
    <s v="Conv-A DONE"/>
    <m/>
    <m/>
    <m/>
    <m/>
    <m/>
    <m/>
    <m/>
    <s v="Conv-A DONE"/>
    <m/>
    <s v="Done"/>
    <d v="2024-10-01T00:00:00"/>
    <d v="2024-10-01T00:00:00"/>
    <d v="2024-10-29T00:00:00"/>
    <s v="Done"/>
    <m/>
    <m/>
    <m/>
    <m/>
  </r>
  <r>
    <n v="357"/>
    <n v="37708"/>
    <s v="HLC-B"/>
    <s v="STBNR1574HLCD"/>
    <x v="2"/>
    <s v="CR"/>
    <s v="MUM"/>
    <d v="2024-04-25T00:00:00"/>
    <m/>
    <m/>
    <m/>
    <m/>
    <m/>
    <m/>
    <m/>
    <m/>
    <m/>
    <s v="Conv-B DONE"/>
    <m/>
    <s v="Conv-B DONE"/>
    <m/>
    <s v="Conv-B DONE"/>
    <m/>
    <m/>
    <m/>
    <m/>
    <m/>
    <m/>
    <m/>
    <s v="Conv-B DONE"/>
    <m/>
    <s v="Done"/>
    <d v="2024-10-01T00:00:00"/>
    <d v="2024-10-01T00:00:00"/>
    <d v="2024-10-29T00:00:00"/>
    <s v="Done"/>
    <m/>
    <m/>
    <m/>
    <m/>
  </r>
  <r>
    <n v="358"/>
    <n v="30296"/>
    <s v="HLC-A"/>
    <s v="STB5N1146HLCD"/>
    <x v="1"/>
    <s v="CR"/>
    <s v="MUM"/>
    <d v="2023-01-04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8-28T00:00:00"/>
    <d v="2024-12-11T00:00:00"/>
    <d v="2024-12-11T00:00:00"/>
    <s v="Done"/>
    <d v="2024-08-27T00:00:00"/>
    <m/>
    <d v="2024-08-27T00:00:00"/>
    <m/>
  </r>
  <r>
    <n v="359"/>
    <n v="30296"/>
    <s v="HLC-B"/>
    <s v="STB5N1136HLCD"/>
    <x v="1"/>
    <s v="CR"/>
    <s v="MUM"/>
    <d v="2023-01-04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8-28T00:00:00"/>
    <d v="2024-12-11T00:00:00"/>
    <d v="2024-12-11T00:00:00"/>
    <s v="Done"/>
    <d v="2024-08-27T00:00:00"/>
    <m/>
    <d v="2024-08-27T00:00:00"/>
    <m/>
  </r>
  <r>
    <n v="360"/>
    <n v="30310"/>
    <s v="HLC-A"/>
    <s v="STB1N1103HLCD"/>
    <x v="1"/>
    <s v="CR"/>
    <s v="MUM"/>
    <d v="2022-08-01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6-24T00:00:00"/>
    <d v="2025-02-05T00:00:00"/>
    <d v="2024-10-29T00:00:00"/>
    <s v="Done"/>
    <m/>
    <m/>
    <d v="2024-06-24T00:00:00"/>
    <m/>
  </r>
  <r>
    <n v="361"/>
    <n v="30310"/>
    <s v="HLC-B"/>
    <s v="STB5N1102HLCD"/>
    <x v="1"/>
    <s v="CR"/>
    <s v="MUM"/>
    <d v="2022-08-01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6-24T00:00:00"/>
    <d v="2025-02-05T00:00:00"/>
    <d v="2024-10-29T00:00:00"/>
    <s v="Done"/>
    <m/>
    <m/>
    <d v="2024-06-24T00:00:00"/>
    <m/>
  </r>
  <r>
    <n v="362"/>
    <n v="30467"/>
    <s v="HLC-A"/>
    <s v="STB0R1558HLCD"/>
    <x v="1"/>
    <s v="CR"/>
    <s v="MUM"/>
    <d v="2024-04-17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d v="2024-04-17T00:00:00"/>
    <d v="2024-06-20T00:00:00"/>
    <d v="2025-04-07T00:00:00"/>
    <d v="2024-06-27T00:00:00"/>
    <s v="Done"/>
    <m/>
    <m/>
    <d v="2025-01-07T00:00:00"/>
    <m/>
  </r>
  <r>
    <n v="363"/>
    <n v="30467"/>
    <s v="HLC-B"/>
    <s v="STB0R1559HLCD"/>
    <x v="1"/>
    <s v="CR"/>
    <s v="MUM"/>
    <d v="2024-04-17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d v="2024-04-17T00:00:00"/>
    <d v="2024-06-20T00:00:00"/>
    <d v="2025-02-10T00:00:00"/>
    <d v="2024-06-27T00:00:00"/>
    <m/>
    <m/>
    <m/>
    <d v="2025-01-07T00:00:00"/>
    <m/>
  </r>
  <r>
    <n v="364"/>
    <n v="30489"/>
    <s v="HLC-A"/>
    <s v="STB5N1144HLCD"/>
    <x v="1"/>
    <s v="CR"/>
    <s v="MUM"/>
    <d v="2023-02-07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d v="2023-06-05T00:00:00"/>
    <d v="2024-07-19T00:00:00"/>
    <d v="2025-01-11T00:00:00"/>
    <d v="2023-09-11T00:00:00"/>
    <s v="Done"/>
    <m/>
    <d v="2024-02-26T00:00:00"/>
    <d v="2024-11-13T00:00:00"/>
    <m/>
  </r>
  <r>
    <n v="365"/>
    <n v="30489"/>
    <s v="HLC-B"/>
    <s v="STB5N1145HLCD"/>
    <x v="1"/>
    <s v="CR"/>
    <s v="MUM"/>
    <d v="2023-02-07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m/>
    <d v="2023-06-05T00:00:00"/>
    <d v="2024-07-19T00:00:00"/>
    <d v="2025-01-11T00:00:00"/>
    <d v="2023-09-11T00:00:00"/>
    <s v="Done"/>
    <m/>
    <d v="2024-02-26T00:00:00"/>
    <d v="2024-11-13T00:00:00"/>
    <m/>
  </r>
  <r>
    <n v="366"/>
    <n v="30499"/>
    <s v="HLC-A"/>
    <s v="STB5P1323HLCD"/>
    <x v="1"/>
    <s v="CR"/>
    <s v="MUM"/>
    <d v="2022-11-09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m/>
    <s v="Done"/>
    <d v="2024-07-30T00:00:00"/>
    <d v="2024-11-17T00:00:00"/>
    <d v="2024-11-17T00:00:00"/>
    <s v="Done"/>
    <d v="2024-11-17T00:00:00"/>
    <d v="2024-11-08T00:00:00"/>
    <d v="2024-07-29T00:00:00"/>
    <m/>
  </r>
  <r>
    <n v="367"/>
    <n v="30499"/>
    <s v="HLC-B"/>
    <s v="STB5P1325HLCD"/>
    <x v="1"/>
    <s v="CR"/>
    <s v="MUM"/>
    <d v="2022-11-09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m/>
    <s v="Done"/>
    <d v="2024-07-30T00:00:00"/>
    <d v="2024-11-17T00:00:00"/>
    <d v="2024-11-17T00:00:00"/>
    <s v="Done"/>
    <d v="2024-11-17T00:00:00"/>
    <d v="2024-11-08T00:00:00"/>
    <d v="2024-07-29T00:00:00"/>
    <m/>
  </r>
  <r>
    <n v="368"/>
    <n v="30514"/>
    <s v="HLC-A"/>
    <s v="STB5P1320HLCD"/>
    <x v="1"/>
    <s v="CR"/>
    <s v="MUM"/>
    <d v="2022-10-13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7-20T00:00:00"/>
    <d v="2024-12-10T00:00:00"/>
    <d v="2024-11-08T00:00:00"/>
    <s v="Done"/>
    <m/>
    <m/>
    <d v="2024-11-13T00:00:00"/>
    <m/>
  </r>
  <r>
    <n v="369"/>
    <n v="30514"/>
    <s v="HLC-B"/>
    <s v="STB5P1321HLCD"/>
    <x v="1"/>
    <s v="CR"/>
    <s v="MUM"/>
    <d v="2022-10-13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7-20T00:00:00"/>
    <d v="2024-12-10T00:00:00"/>
    <d v="2024-11-08T00:00:00"/>
    <s v="Done"/>
    <m/>
    <m/>
    <d v="2024-11-13T00:00:00"/>
    <m/>
  </r>
  <r>
    <n v="370"/>
    <n v="30735"/>
    <s v="HLC-A"/>
    <s v="STBOR1560HLCD"/>
    <x v="1"/>
    <s v="CR"/>
    <s v="MUM"/>
    <d v="2024-07-17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7-23T00:00:00"/>
    <d v="2024-12-18T00:00:00"/>
    <d v="2024-09-11T00:00:00"/>
    <s v="Done"/>
    <m/>
    <d v="2024-07-16T00:00:00"/>
    <d v="2024-12-28T00:00:00"/>
    <m/>
  </r>
  <r>
    <n v="371"/>
    <n v="30735"/>
    <s v="HLC-B"/>
    <s v="STBOR1561HLCD"/>
    <x v="1"/>
    <s v="CR"/>
    <s v="MUM"/>
    <d v="2024-07-17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7-23T00:00:00"/>
    <d v="2024-12-18T00:00:00"/>
    <d v="2024-09-11T00:00:00"/>
    <s v="Done"/>
    <m/>
    <d v="2024-07-16T00:00:00"/>
    <d v="2024-12-28T00:00:00"/>
    <m/>
  </r>
  <r>
    <n v="372"/>
    <n v="37599"/>
    <s v="HLC-A"/>
    <s v="STB5P1312HLCD"/>
    <x v="1"/>
    <s v="CR"/>
    <s v="MUM"/>
    <d v="2023-01-19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d v="2023-12-01T00:00:00"/>
    <d v="2024-06-23T00:00:00"/>
    <d v="2024-10-12T00:00:00"/>
    <d v="2024-08-23T00:00:00"/>
    <s v="Done"/>
    <m/>
    <d v="2024-03-20T00:00:00"/>
    <d v="2024-09-02T00:00:00"/>
    <m/>
  </r>
  <r>
    <n v="373"/>
    <n v="37599"/>
    <s v="HLC-B"/>
    <s v="STB5P1313HLCD"/>
    <x v="1"/>
    <s v="CR"/>
    <s v="MUM"/>
    <d v="2023-01-19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d v="2023-12-01T00:00:00"/>
    <d v="2024-06-23T00:00:00"/>
    <d v="2024-10-12T00:00:00"/>
    <d v="2024-08-23T00:00:00"/>
    <s v="Done"/>
    <m/>
    <d v="2024-03-20T00:00:00"/>
    <d v="2024-09-02T00:00:00"/>
    <m/>
  </r>
  <r>
    <n v="374"/>
    <n v="39310"/>
    <s v="HLC-A"/>
    <s v="STB3R1427HLCD"/>
    <x v="1"/>
    <s v="CR"/>
    <s v="MUM"/>
    <d v="2024-01-18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6-23T00:00:00"/>
    <d v="2024-10-25T00:00:00"/>
    <d v="2024-06-27T00:00:00"/>
    <s v="Done"/>
    <m/>
    <m/>
    <d v="2024-11-09T00:00:00"/>
    <m/>
  </r>
  <r>
    <n v="375"/>
    <n v="39310"/>
    <s v="HLC-B"/>
    <s v="STB3R1426HLCD"/>
    <x v="1"/>
    <s v="CR"/>
    <s v="MUM"/>
    <d v="2024-01-18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6-23T00:00:00"/>
    <d v="2024-10-25T00:00:00"/>
    <d v="2024-06-27T00:00:00"/>
    <s v="Done"/>
    <m/>
    <m/>
    <d v="2024-11-09T00:00:00"/>
    <m/>
  </r>
  <r>
    <n v="376"/>
    <n v="30266"/>
    <s v="HLC-A"/>
    <s v="STB2S1632HLCD"/>
    <x v="1"/>
    <s v="CR"/>
    <s v="MUM"/>
    <d v="2024-08-26T00:00:00"/>
    <m/>
    <m/>
    <m/>
    <m/>
    <m/>
    <m/>
    <m/>
    <m/>
    <s v="Conv-A DONE"/>
    <s v="Conv-A DONE"/>
    <m/>
    <s v="Conv-A DONE"/>
    <m/>
    <m/>
    <m/>
    <m/>
    <m/>
    <m/>
    <m/>
    <m/>
    <m/>
    <s v="Conv-A DONE"/>
    <s v="Done"/>
    <s v="Done"/>
    <d v="2024-08-26T00:00:00"/>
    <d v="2024-08-26T00:00:00"/>
    <d v="2024-08-30T00:00:00"/>
    <s v="Done"/>
    <m/>
    <d v="2024-07-26T00:00:00"/>
    <d v="2024-12-09T00:00:00"/>
    <m/>
  </r>
  <r>
    <n v="377"/>
    <n v="30266"/>
    <s v="HLC-B"/>
    <s v="STB2S1633HLCD"/>
    <x v="1"/>
    <s v="CR"/>
    <s v="MUM"/>
    <d v="2024-08-26T00:00:00"/>
    <m/>
    <m/>
    <m/>
    <m/>
    <m/>
    <m/>
    <m/>
    <m/>
    <s v="Conv-B DONE"/>
    <s v="Conv-B DONE"/>
    <m/>
    <s v="Conv-B DONE"/>
    <m/>
    <m/>
    <m/>
    <m/>
    <m/>
    <m/>
    <m/>
    <m/>
    <m/>
    <s v="Conv-B DONE"/>
    <s v="Done"/>
    <s v="Done"/>
    <d v="2024-08-26T00:00:00"/>
    <d v="2024-08-26T00:00:00"/>
    <d v="2024-08-30T00:00:00"/>
    <s v="Done"/>
    <m/>
    <d v="2024-07-26T00:00:00"/>
    <d v="2024-12-09T00:00:00"/>
    <m/>
  </r>
  <r>
    <n v="378"/>
    <n v="30268"/>
    <s v="HLC-A"/>
    <m/>
    <x v="0"/>
    <s v="CR"/>
    <s v="MUM"/>
    <m/>
    <m/>
    <m/>
    <m/>
    <m/>
    <m/>
    <m/>
    <m/>
    <m/>
    <m/>
    <s v="Done by NW"/>
    <m/>
    <s v="Conv-A DONE"/>
    <m/>
    <m/>
    <m/>
    <m/>
    <m/>
    <m/>
    <m/>
    <m/>
    <m/>
    <s v="Conv-A Done"/>
    <d v="2024-04-05T00:00:00"/>
    <m/>
    <d v="2024-07-16T00:00:00"/>
    <d v="2024-07-16T00:00:00"/>
    <d v="2024-07-16T00:00:00"/>
    <s v="Done"/>
    <s v="Done"/>
    <d v="2024-07-16T00:00:00"/>
    <d v="2024-07-16T00:00:00"/>
    <m/>
  </r>
  <r>
    <n v="379"/>
    <n v="30268"/>
    <s v="HLC-B"/>
    <m/>
    <x v="0"/>
    <s v="CR"/>
    <s v="MUM"/>
    <m/>
    <m/>
    <m/>
    <m/>
    <m/>
    <m/>
    <m/>
    <m/>
    <m/>
    <m/>
    <s v="Done by NW"/>
    <m/>
    <s v="Conv-B DONE"/>
    <m/>
    <m/>
    <m/>
    <m/>
    <m/>
    <m/>
    <m/>
    <m/>
    <m/>
    <s v="Conv-B Done"/>
    <d v="2024-04-05T00:00:00"/>
    <m/>
    <d v="2024-07-16T00:00:00"/>
    <d v="2024-07-16T00:00:00"/>
    <d v="2024-07-16T00:00:00"/>
    <s v="Done"/>
    <s v="Done"/>
    <d v="2024-07-16T00:00:00"/>
    <d v="2024-07-16T00:00:00"/>
    <m/>
  </r>
  <r>
    <n v="380"/>
    <n v="30235"/>
    <s v="HLC-A"/>
    <m/>
    <x v="0"/>
    <s v="CR"/>
    <s v="MUM"/>
    <m/>
    <m/>
    <m/>
    <m/>
    <m/>
    <m/>
    <m/>
    <m/>
    <m/>
    <m/>
    <s v="Done by NW"/>
    <m/>
    <s v="Conv-A DONE"/>
    <m/>
    <m/>
    <m/>
    <m/>
    <m/>
    <m/>
    <m/>
    <m/>
    <m/>
    <s v="Conv-A Done"/>
    <m/>
    <m/>
    <d v="2024-08-10T00:00:00"/>
    <d v="2024-08-10T00:00:00"/>
    <d v="2024-08-10T00:00:00"/>
    <s v="Done"/>
    <s v="Done"/>
    <m/>
    <m/>
    <m/>
  </r>
  <r>
    <n v="381"/>
    <n v="30235"/>
    <s v="HLC-B"/>
    <m/>
    <x v="0"/>
    <s v="CR"/>
    <s v="MUM"/>
    <m/>
    <m/>
    <m/>
    <m/>
    <m/>
    <m/>
    <m/>
    <m/>
    <m/>
    <m/>
    <s v="Done by NW"/>
    <m/>
    <s v="Conv-B DONE"/>
    <m/>
    <m/>
    <m/>
    <m/>
    <m/>
    <m/>
    <m/>
    <m/>
    <m/>
    <s v="Conv-B Done"/>
    <m/>
    <m/>
    <d v="2024-08-10T00:00:00"/>
    <d v="2024-08-10T00:00:00"/>
    <d v="2024-08-10T00:00:00"/>
    <s v="Done"/>
    <s v="Done"/>
    <m/>
    <m/>
    <m/>
  </r>
  <r>
    <n v="382"/>
    <n v="37257"/>
    <s v="HLC-A"/>
    <s v="STB7L0640HLCD"/>
    <x v="3"/>
    <s v="WCR"/>
    <s v="MUM"/>
    <d v="2019-09-26T00:00:00"/>
    <m/>
    <m/>
    <m/>
    <m/>
    <m/>
    <m/>
    <m/>
    <m/>
    <m/>
    <m/>
    <m/>
    <m/>
    <m/>
    <s v="Conv-A DONE"/>
    <m/>
    <m/>
    <m/>
    <m/>
    <m/>
    <m/>
    <m/>
    <s v="Conv-A DONE"/>
    <m/>
    <d v="2025-06-26T00:00:00"/>
    <d v="2024-09-05T00:00:00"/>
    <d v="2024-09-09T00:00:00"/>
    <d v="2024-09-05T00:00:00"/>
    <s v="Done"/>
    <d v="2025-04-05T00:00:00"/>
    <m/>
    <d v="2024-09-20T00:00:00"/>
    <m/>
  </r>
  <r>
    <n v="383"/>
    <n v="37257"/>
    <s v="HLC-B"/>
    <s v="STB7L0641HLCD"/>
    <x v="3"/>
    <s v="WCR"/>
    <s v="MUM"/>
    <d v="2019-09-26T00:00:00"/>
    <m/>
    <m/>
    <m/>
    <m/>
    <m/>
    <m/>
    <m/>
    <m/>
    <m/>
    <m/>
    <m/>
    <m/>
    <m/>
    <s v="Conv-B DONE"/>
    <m/>
    <m/>
    <m/>
    <m/>
    <m/>
    <m/>
    <m/>
    <s v="Conv-B DONE"/>
    <m/>
    <d v="2025-06-26T00:00:00"/>
    <d v="2024-09-05T00:00:00"/>
    <d v="2024-12-18T00:00:00"/>
    <d v="2024-09-05T00:00:00"/>
    <s v="Done"/>
    <d v="2025-04-05T00:00:00"/>
    <m/>
    <d v="2024-09-20T00:00:00"/>
    <m/>
  </r>
  <r>
    <n v="384"/>
    <n v="39085"/>
    <s v="HLC-A"/>
    <s v="STB5L0520HLCD"/>
    <x v="3"/>
    <s v="WCR"/>
    <s v="MUM"/>
    <d v="2019-08-20T00:00:00"/>
    <m/>
    <m/>
    <m/>
    <m/>
    <m/>
    <m/>
    <m/>
    <m/>
    <m/>
    <m/>
    <m/>
    <m/>
    <m/>
    <s v="Conv-A DONE"/>
    <m/>
    <m/>
    <m/>
    <m/>
    <m/>
    <m/>
    <m/>
    <s v="Conv-A DONE"/>
    <m/>
    <d v="2024-12-31T00:00:00"/>
    <d v="2024-09-09T00:00:00"/>
    <d v="2024-12-18T00:00:00"/>
    <d v="2024-09-09T00:00:00"/>
    <s v="Done"/>
    <d v="2025-04-19T00:00:00"/>
    <m/>
    <d v="2025-04-19T00:00:00"/>
    <m/>
  </r>
  <r>
    <n v="385"/>
    <n v="39085"/>
    <s v="HLC-B"/>
    <s v="STB5L0522HLCD"/>
    <x v="3"/>
    <s v="WCR"/>
    <s v="MUM"/>
    <d v="2019-08-20T00:00:00"/>
    <m/>
    <m/>
    <m/>
    <m/>
    <m/>
    <m/>
    <m/>
    <m/>
    <m/>
    <m/>
    <m/>
    <m/>
    <m/>
    <s v="Conv-B DONE"/>
    <m/>
    <m/>
    <m/>
    <m/>
    <m/>
    <m/>
    <m/>
    <s v="Conv-B DONE"/>
    <m/>
    <d v="2024-12-31T00:00:00"/>
    <d v="2024-09-09T00:00:00"/>
    <d v="2024-12-18T00:00:00"/>
    <d v="2024-09-09T00:00:00"/>
    <s v="Done"/>
    <d v="2025-04-19T00:00:00"/>
    <m/>
    <d v="2025-04-19T00:00:00"/>
    <m/>
  </r>
  <r>
    <n v="386"/>
    <n v="37218"/>
    <s v="HLC-A"/>
    <s v="STB1L0388HLCD"/>
    <x v="3"/>
    <s v="WCR"/>
    <s v="MUM"/>
    <d v="2019-07-26T00:00:00"/>
    <m/>
    <m/>
    <m/>
    <m/>
    <m/>
    <m/>
    <m/>
    <m/>
    <m/>
    <m/>
    <m/>
    <m/>
    <m/>
    <s v="Conv-A Done"/>
    <m/>
    <m/>
    <m/>
    <m/>
    <m/>
    <m/>
    <m/>
    <s v="Conv-A DONE"/>
    <m/>
    <d v="2024-12-06T00:00:00"/>
    <d v="2024-09-12T00:00:00"/>
    <d v="2024-09-12T00:00:00"/>
    <d v="2024-12-05T00:00:00"/>
    <s v="Done"/>
    <d v="2025-06-11T00:00:00"/>
    <m/>
    <d v="2024-08-30T00:00:00"/>
    <m/>
  </r>
  <r>
    <n v="387"/>
    <n v="37218"/>
    <s v="HLC-B"/>
    <s v="STB1L0389HLCD"/>
    <x v="3"/>
    <s v="WCR"/>
    <s v="MUM"/>
    <d v="2019-07-26T00:00:00"/>
    <m/>
    <m/>
    <m/>
    <m/>
    <m/>
    <m/>
    <m/>
    <m/>
    <m/>
    <m/>
    <m/>
    <m/>
    <m/>
    <s v="Conv-B Done"/>
    <m/>
    <m/>
    <m/>
    <m/>
    <m/>
    <m/>
    <m/>
    <s v="Conv-B DONE"/>
    <m/>
    <d v="2024-12-06T00:00:00"/>
    <d v="2024-09-12T00:00:00"/>
    <d v="2024-09-12T00:00:00"/>
    <d v="2024-12-05T00:00:00"/>
    <s v="Done"/>
    <d v="2025-06-11T00:00:00"/>
    <m/>
    <d v="2024-08-30T00:00:00"/>
    <m/>
  </r>
  <r>
    <n v="388"/>
    <n v="37186"/>
    <s v="HLC-A"/>
    <s v="STB2L0432HLCD"/>
    <x v="3"/>
    <s v="WCR"/>
    <s v="MUM"/>
    <d v="2019-05-26T00:00:00"/>
    <m/>
    <m/>
    <m/>
    <m/>
    <m/>
    <m/>
    <m/>
    <m/>
    <m/>
    <m/>
    <m/>
    <m/>
    <m/>
    <s v="Conv-A Done"/>
    <m/>
    <m/>
    <m/>
    <m/>
    <m/>
    <m/>
    <m/>
    <s v="Conv-A DONE"/>
    <m/>
    <s v="Done"/>
    <d v="2024-09-18T00:00:00"/>
    <d v="2025-01-10T00:00:00"/>
    <d v="2024-09-18T00:00:00"/>
    <s v="Done"/>
    <d v="2024-07-20T00:00:00"/>
    <m/>
    <m/>
    <m/>
  </r>
  <r>
    <n v="389"/>
    <n v="37186"/>
    <s v="HLC-B"/>
    <s v="STB2L0433HLCD"/>
    <x v="3"/>
    <s v="WCR"/>
    <s v="MUM"/>
    <d v="2019-05-26T00:00:00"/>
    <m/>
    <m/>
    <m/>
    <m/>
    <m/>
    <m/>
    <m/>
    <m/>
    <m/>
    <m/>
    <m/>
    <m/>
    <m/>
    <s v="Conv-B Done"/>
    <m/>
    <m/>
    <m/>
    <m/>
    <m/>
    <m/>
    <m/>
    <s v="Conv-B DONE"/>
    <m/>
    <s v="Done"/>
    <d v="2024-09-18T00:00:00"/>
    <d v="2025-01-10T00:00:00"/>
    <d v="2024-09-18T00:00:00"/>
    <s v="Done"/>
    <d v="2024-07-20T00:00:00"/>
    <m/>
    <m/>
    <m/>
  </r>
  <r>
    <n v="390"/>
    <n v="37219"/>
    <s v="HLC-A"/>
    <s v="STBDK0377HLCD"/>
    <x v="3"/>
    <s v="WCR"/>
    <s v="MUM"/>
    <d v="2019-07-28T00:00:00"/>
    <m/>
    <m/>
    <m/>
    <m/>
    <m/>
    <m/>
    <m/>
    <m/>
    <m/>
    <m/>
    <m/>
    <m/>
    <m/>
    <s v="Conv-A Done"/>
    <m/>
    <m/>
    <m/>
    <m/>
    <m/>
    <m/>
    <m/>
    <s v="Conv-A DONE"/>
    <m/>
    <m/>
    <d v="2024-09-13T00:00:00"/>
    <d v="2024-09-13T00:00:00"/>
    <d v="2024-09-13T00:00:00"/>
    <s v="Done"/>
    <d v="2024-08-01T00:00:00"/>
    <m/>
    <d v="2024-08-29T00:00:00"/>
    <m/>
  </r>
  <r>
    <n v="391"/>
    <n v="37219"/>
    <s v="HLC-B"/>
    <s v="STBDK0376HLCD"/>
    <x v="3"/>
    <s v="WCR"/>
    <s v="MUM"/>
    <d v="2019-07-28T00:00:00"/>
    <m/>
    <m/>
    <m/>
    <m/>
    <m/>
    <m/>
    <m/>
    <m/>
    <m/>
    <m/>
    <m/>
    <m/>
    <m/>
    <s v="Conv-B Done"/>
    <m/>
    <m/>
    <m/>
    <m/>
    <m/>
    <m/>
    <m/>
    <s v="Conv-B DONE"/>
    <m/>
    <m/>
    <d v="2024-09-13T00:00:00"/>
    <d v="2024-09-13T00:00:00"/>
    <d v="2024-09-13T00:00:00"/>
    <s v="Done"/>
    <d v="2024-08-01T00:00:00"/>
    <m/>
    <d v="2024-08-29T00:00:00"/>
    <m/>
  </r>
  <r>
    <n v="392"/>
    <n v="30753"/>
    <s v="HLC-A"/>
    <s v="STBDK0379HLCD"/>
    <x v="3"/>
    <s v="WCR"/>
    <s v="MUM"/>
    <d v="2019-08-16T00:00:00"/>
    <m/>
    <m/>
    <m/>
    <m/>
    <m/>
    <m/>
    <m/>
    <m/>
    <m/>
    <m/>
    <m/>
    <m/>
    <m/>
    <m/>
    <m/>
    <m/>
    <m/>
    <m/>
    <m/>
    <m/>
    <m/>
    <s v="Conv-A DONE"/>
    <m/>
    <d v="2024-12-05T00:00:00"/>
    <d v="2024-09-01T00:00:00"/>
    <d v="2024-09-01T00:00:00"/>
    <d v="2024-10-14T00:00:00"/>
    <s v="Done"/>
    <d v="2024-10-23T00:00:00"/>
    <d v="2024-10-23T00:00:00"/>
    <d v="2024-10-23T00:00:00"/>
    <m/>
  </r>
  <r>
    <n v="393"/>
    <n v="30753"/>
    <s v="HLC-B"/>
    <s v="STBDK0378HLCD"/>
    <x v="3"/>
    <s v="WCR"/>
    <s v="MUM"/>
    <d v="2019-08-16T00:00:00"/>
    <m/>
    <m/>
    <m/>
    <m/>
    <m/>
    <m/>
    <m/>
    <m/>
    <m/>
    <m/>
    <m/>
    <m/>
    <m/>
    <m/>
    <m/>
    <m/>
    <m/>
    <m/>
    <m/>
    <m/>
    <m/>
    <s v="Conv-B DONE"/>
    <m/>
    <d v="2024-12-05T00:00:00"/>
    <d v="2024-09-01T00:00:00"/>
    <d v="2024-09-01T00:00:00"/>
    <d v="2024-10-14T00:00:00"/>
    <s v="Done"/>
    <d v="2024-10-23T00:00:00"/>
    <d v="2024-10-23T00:00:00"/>
    <d v="2024-10-23T00:00:00"/>
    <m/>
  </r>
  <r>
    <n v="394"/>
    <n v="37378"/>
    <s v="HLC-A"/>
    <s v="STB7L0599HLCD"/>
    <x v="3"/>
    <s v="WCR"/>
    <s v="MUM"/>
    <d v="2020-06-26T00:00:00"/>
    <m/>
    <m/>
    <m/>
    <m/>
    <m/>
    <m/>
    <m/>
    <m/>
    <m/>
    <m/>
    <m/>
    <m/>
    <m/>
    <s v="Conv-A Done"/>
    <m/>
    <m/>
    <m/>
    <m/>
    <m/>
    <m/>
    <m/>
    <s v="Conv-A DONE"/>
    <m/>
    <d v="2025-05-08T00:00:00"/>
    <d v="2024-09-08T00:00:00"/>
    <d v="2024-09-08T00:00:00"/>
    <d v="2024-09-08T00:00:00"/>
    <m/>
    <d v="2024-10-27T00:00:00"/>
    <m/>
    <d v="2024-08-23T00:00:00"/>
    <m/>
  </r>
  <r>
    <n v="395"/>
    <n v="37378"/>
    <s v="HLC-B"/>
    <s v="STB7L0715HLCD"/>
    <x v="3"/>
    <s v="WCR"/>
    <s v="MUM"/>
    <d v="2020-06-26T00:00:00"/>
    <m/>
    <m/>
    <m/>
    <m/>
    <m/>
    <m/>
    <m/>
    <m/>
    <m/>
    <m/>
    <m/>
    <m/>
    <m/>
    <s v="Conv-B Done"/>
    <m/>
    <m/>
    <m/>
    <m/>
    <m/>
    <m/>
    <m/>
    <s v="Conv-B DONE"/>
    <m/>
    <d v="2025-05-08T00:00:00"/>
    <d v="2024-09-08T00:00:00"/>
    <d v="2024-09-08T00:00:00"/>
    <d v="2024-09-08T00:00:00"/>
    <m/>
    <d v="2024-10-27T00:00:00"/>
    <m/>
    <d v="2024-08-23T00:00:00"/>
    <m/>
  </r>
  <r>
    <n v="396"/>
    <n v="37369"/>
    <s v="HLC-A"/>
    <s v="STBDL0747HLCD"/>
    <x v="3"/>
    <s v="WCR"/>
    <s v="MUM"/>
    <d v="2020-06-17T00:00:00"/>
    <m/>
    <m/>
    <m/>
    <m/>
    <m/>
    <m/>
    <m/>
    <m/>
    <m/>
    <m/>
    <m/>
    <m/>
    <m/>
    <s v="Conv-A Done"/>
    <m/>
    <m/>
    <m/>
    <m/>
    <m/>
    <m/>
    <m/>
    <s v="Conv-A DONE"/>
    <m/>
    <m/>
    <d v="2024-08-26T00:00:00"/>
    <d v="2024-08-26T00:00:00"/>
    <d v="2024-08-26T00:00:00"/>
    <s v="Done"/>
    <d v="2025-03-12T00:00:00"/>
    <m/>
    <d v="2025-03-11T00:00:00"/>
    <m/>
  </r>
  <r>
    <n v="397"/>
    <n v="37369"/>
    <s v="HLC-B"/>
    <s v="STBDL0730HLCD"/>
    <x v="3"/>
    <s v="WCR"/>
    <s v="MUM"/>
    <d v="2020-06-17T00:00:00"/>
    <m/>
    <m/>
    <m/>
    <m/>
    <m/>
    <m/>
    <m/>
    <m/>
    <m/>
    <m/>
    <m/>
    <m/>
    <m/>
    <s v="Conv-B Done"/>
    <m/>
    <m/>
    <m/>
    <m/>
    <m/>
    <m/>
    <m/>
    <s v="Conv-B DONE"/>
    <m/>
    <m/>
    <d v="2024-08-26T00:00:00"/>
    <d v="2024-08-26T00:00:00"/>
    <d v="2024-08-26T00:00:00"/>
    <s v="Done"/>
    <d v="2025-03-12T00:00:00"/>
    <m/>
    <d v="2025-03-11T00:00:00"/>
    <m/>
  </r>
  <r>
    <n v="398"/>
    <n v="39309"/>
    <s v="HLC-A"/>
    <s v="STB7R1497HLCD"/>
    <x v="3"/>
    <s v="WCR"/>
    <s v="MUM"/>
    <m/>
    <m/>
    <m/>
    <m/>
    <m/>
    <m/>
    <m/>
    <m/>
    <m/>
    <m/>
    <m/>
    <m/>
    <m/>
    <m/>
    <m/>
    <m/>
    <m/>
    <m/>
    <m/>
    <m/>
    <m/>
    <m/>
    <s v="Conv-A DONE"/>
    <m/>
    <s v="Done"/>
    <d v="2024-08-30T00:00:00"/>
    <d v="2024-08-30T00:00:00"/>
    <d v="2024-08-30T00:00:00"/>
    <s v="Done"/>
    <d v="2024-10-14T00:00:00"/>
    <m/>
    <d v="2024-10-14T00:00:00"/>
    <m/>
  </r>
  <r>
    <n v="399"/>
    <n v="39309"/>
    <s v="HLC-B"/>
    <s v="STB7R1497HLCD"/>
    <x v="3"/>
    <s v="WCR"/>
    <s v="MUM"/>
    <m/>
    <m/>
    <m/>
    <m/>
    <m/>
    <m/>
    <m/>
    <m/>
    <m/>
    <m/>
    <m/>
    <m/>
    <m/>
    <m/>
    <m/>
    <m/>
    <m/>
    <m/>
    <m/>
    <m/>
    <m/>
    <m/>
    <s v="Conv-B DONE"/>
    <m/>
    <s v="Done"/>
    <d v="2024-08-30T00:00:00"/>
    <d v="2024-08-30T00:00:00"/>
    <d v="2024-08-30T00:00:00"/>
    <s v="Done"/>
    <d v="2024-10-14T00:00:00"/>
    <m/>
    <d v="2024-10-14T00:00:00"/>
    <m/>
  </r>
  <r>
    <n v="400"/>
    <n v="39312"/>
    <s v="HLC-A"/>
    <s v="STB7R1494HLCD"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s v="Done"/>
    <d v="2024-09-12T00:00:00"/>
    <d v="2024-09-12T00:00:00"/>
    <d v="2024-09-12T00:00:00"/>
    <s v="Done"/>
    <d v="2025-06-24T00:00:00"/>
    <m/>
    <d v="2025-06-24T00:00:00"/>
    <m/>
  </r>
  <r>
    <n v="401"/>
    <n v="39312"/>
    <s v="HLC-B"/>
    <s v="STB7R1495HLCD"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s v="Done"/>
    <d v="2024-09-12T00:00:00"/>
    <d v="2024-09-12T00:00:00"/>
    <d v="2024-09-12T00:00:00"/>
    <s v="Done"/>
    <d v="2025-06-24T00:00:00"/>
    <m/>
    <d v="2025-06-24T00:00:00"/>
    <m/>
  </r>
  <r>
    <n v="402"/>
    <n v="30360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s v="Done"/>
    <d v="2024-09-10T00:00:00"/>
    <d v="2024-09-10T00:00:00"/>
    <d v="2024-09-10T00:00:00"/>
    <s v="Done"/>
    <m/>
    <m/>
    <m/>
    <m/>
  </r>
  <r>
    <n v="403"/>
    <n v="30360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s v="Done"/>
    <d v="2024-09-10T00:00:00"/>
    <d v="2024-09-10T00:00:00"/>
    <d v="2024-09-10T00:00:00"/>
    <s v="Done"/>
    <m/>
    <m/>
    <m/>
    <m/>
  </r>
  <r>
    <n v="404"/>
    <n v="37416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d v="2025-01-08T00:00:00"/>
    <d v="2024-10-03T00:00:00"/>
    <d v="2024-10-03T00:00:00"/>
    <d v="2025-03-04T00:00:00"/>
    <s v="Done"/>
    <d v="2025-03-12T00:00:00"/>
    <m/>
    <d v="2024-10-04T00:00:00"/>
    <m/>
  </r>
  <r>
    <n v="405"/>
    <n v="37416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s v="EL18B07024-R"/>
    <m/>
    <s v="Conv-B DONE"/>
    <m/>
    <d v="2025-01-08T00:00:00"/>
    <d v="2024-10-03T00:00:00"/>
    <d v="2024-10-03T00:00:00"/>
    <d v="2025-03-04T00:00:00"/>
    <s v="Done"/>
    <d v="2025-03-12T00:00:00"/>
    <m/>
    <d v="2024-10-04T00:00:00"/>
    <m/>
  </r>
  <r>
    <n v="406"/>
    <n v="37030"/>
    <s v="HLC-A"/>
    <m/>
    <x v="3"/>
    <s v="WCR"/>
    <s v="MUM"/>
    <m/>
    <m/>
    <m/>
    <m/>
    <m/>
    <m/>
    <m/>
    <m/>
    <m/>
    <m/>
    <m/>
    <m/>
    <m/>
    <m/>
    <m/>
    <m/>
    <m/>
    <m/>
    <m/>
    <m/>
    <m/>
    <m/>
    <s v="Conv-A DONE"/>
    <m/>
    <s v="Done"/>
    <d v="2024-09-05T00:00:00"/>
    <d v="2025-02-13T00:00:00"/>
    <d v="2024-09-05T00:00:00"/>
    <s v="Done"/>
    <d v="2025-02-15T00:00:00"/>
    <d v="2024-09-05T00:00:00"/>
    <m/>
    <m/>
  </r>
  <r>
    <n v="407"/>
    <n v="37030"/>
    <s v="HLC-B"/>
    <m/>
    <x v="3"/>
    <s v="WCR"/>
    <s v="MUM"/>
    <m/>
    <m/>
    <m/>
    <m/>
    <m/>
    <m/>
    <m/>
    <m/>
    <m/>
    <m/>
    <m/>
    <m/>
    <m/>
    <m/>
    <m/>
    <m/>
    <m/>
    <m/>
    <m/>
    <m/>
    <m/>
    <m/>
    <s v="Conv-B DONE"/>
    <m/>
    <s v="Done"/>
    <d v="2024-09-05T00:00:00"/>
    <d v="2025-02-13T00:00:00"/>
    <d v="2024-09-05T00:00:00"/>
    <s v="Done"/>
    <d v="2025-02-15T00:00:00"/>
    <d v="2024-09-05T00:00:00"/>
    <m/>
    <m/>
  </r>
  <r>
    <n v="408"/>
    <n v="37261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s v="Done"/>
    <d v="2024-10-02T00:00:00"/>
    <d v="2024-10-02T00:00:00"/>
    <d v="2024-09-10T00:00:00"/>
    <s v="Done"/>
    <d v="2024-09-18T00:00:00"/>
    <m/>
    <d v="2024-09-28T00:00:00"/>
    <m/>
  </r>
  <r>
    <n v="409"/>
    <n v="37261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s v="Done"/>
    <d v="2024-10-02T00:00:00"/>
    <d v="2024-10-02T00:00:00"/>
    <d v="2024-09-10T00:00:00"/>
    <s v="Done"/>
    <d v="2024-09-18T00:00:00"/>
    <m/>
    <d v="2024-09-28T00:00:00"/>
    <m/>
  </r>
  <r>
    <n v="410"/>
    <n v="37264"/>
    <s v="HLC-A"/>
    <m/>
    <x v="3"/>
    <s v="WCR"/>
    <s v="MUM"/>
    <m/>
    <m/>
    <m/>
    <m/>
    <m/>
    <m/>
    <m/>
    <m/>
    <m/>
    <m/>
    <m/>
    <m/>
    <m/>
    <m/>
    <m/>
    <m/>
    <m/>
    <m/>
    <m/>
    <m/>
    <m/>
    <m/>
    <s v="Conv-A DONE"/>
    <m/>
    <s v="Done"/>
    <d v="2024-09-18T00:00:00"/>
    <d v="2024-09-18T00:00:00"/>
    <d v="2025-01-16T00:00:00"/>
    <s v="Done"/>
    <d v="2024-10-10T00:00:00"/>
    <m/>
    <d v="2024-09-30T00:00:00"/>
    <m/>
  </r>
  <r>
    <n v="411"/>
    <n v="37264"/>
    <s v="HLC-B"/>
    <m/>
    <x v="3"/>
    <s v="WCR"/>
    <s v="MUM"/>
    <m/>
    <m/>
    <m/>
    <m/>
    <m/>
    <m/>
    <m/>
    <m/>
    <m/>
    <m/>
    <m/>
    <m/>
    <m/>
    <m/>
    <m/>
    <m/>
    <m/>
    <m/>
    <m/>
    <m/>
    <m/>
    <m/>
    <s v="Conv-B DONE"/>
    <m/>
    <s v="Done"/>
    <d v="2024-09-18T00:00:00"/>
    <d v="2024-09-18T00:00:00"/>
    <d v="2025-01-16T00:00:00"/>
    <s v="Done"/>
    <d v="2024-10-10T00:00:00"/>
    <m/>
    <d v="2024-09-30T00:00:00"/>
    <m/>
  </r>
  <r>
    <n v="412"/>
    <n v="37377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s v="Done"/>
    <d v="2024-10-08T00:00:00"/>
    <d v="2025-03-20T00:00:00"/>
    <d v="2024-10-08T00:00:00"/>
    <s v="Done"/>
    <d v="2024-10-16T00:00:00"/>
    <m/>
    <d v="2024-10-08T00:00:00"/>
    <m/>
  </r>
  <r>
    <n v="413"/>
    <n v="37377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s v="Done"/>
    <d v="2024-10-08T00:00:00"/>
    <d v="2025-03-20T00:00:00"/>
    <d v="2024-10-08T00:00:00"/>
    <s v="Done"/>
    <d v="2024-10-16T00:00:00"/>
    <m/>
    <d v="2024-10-08T00:00:00"/>
    <m/>
  </r>
  <r>
    <n v="414"/>
    <n v="37418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s v="Done"/>
    <d v="2024-09-16T00:00:00"/>
    <d v="2025-02-10T00:00:00"/>
    <d v="2024-09-16T00:00:00"/>
    <s v="Done"/>
    <d v="2024-11-20T00:00:00"/>
    <m/>
    <d v="2024-11-20T00:00:00"/>
    <m/>
  </r>
  <r>
    <n v="415"/>
    <n v="37418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s v="Done"/>
    <d v="2024-09-16T00:00:00"/>
    <d v="2025-02-10T00:00:00"/>
    <d v="2024-09-16T00:00:00"/>
    <s v="Done"/>
    <d v="2024-11-20T00:00:00"/>
    <m/>
    <d v="2024-11-20T00:00:00"/>
    <m/>
  </r>
  <r>
    <n v="416"/>
    <n v="37438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d v="2024-12-05T00:00:00"/>
    <d v="2024-09-04T00:00:00"/>
    <d v="2024-09-04T00:00:00"/>
    <d v="2024-09-04T00:00:00"/>
    <s v="Done"/>
    <d v="2025-03-21T00:00:00"/>
    <m/>
    <d v="2024-08-23T00:00:00"/>
    <m/>
  </r>
  <r>
    <n v="417"/>
    <n v="37438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d v="2024-12-05T00:00:00"/>
    <d v="2024-09-04T00:00:00"/>
    <d v="2024-09-04T00:00:00"/>
    <d v="2024-09-04T00:00:00"/>
    <s v="Done"/>
    <d v="2025-03-21T00:00:00"/>
    <m/>
    <d v="2024-08-23T00:00:00"/>
    <m/>
  </r>
  <r>
    <n v="418"/>
    <n v="37450"/>
    <s v="HLC-A"/>
    <m/>
    <x v="3"/>
    <s v="WCR"/>
    <s v="MUM"/>
    <m/>
    <m/>
    <m/>
    <m/>
    <m/>
    <m/>
    <m/>
    <m/>
    <m/>
    <m/>
    <m/>
    <m/>
    <m/>
    <m/>
    <s v="Conv-A Done"/>
    <m/>
    <m/>
    <m/>
    <m/>
    <m/>
    <m/>
    <m/>
    <s v="Conv-A DONE"/>
    <m/>
    <m/>
    <d v="2024-09-09T00:00:00"/>
    <d v="2024-09-09T00:00:00"/>
    <d v="2025-03-11T00:00:00"/>
    <s v="Done"/>
    <d v="2024-08-01T00:00:00"/>
    <m/>
    <d v="2025-03-11T00:00:00"/>
    <m/>
  </r>
  <r>
    <n v="419"/>
    <n v="37450"/>
    <s v="HLC-B"/>
    <m/>
    <x v="3"/>
    <s v="WCR"/>
    <s v="MUM"/>
    <m/>
    <m/>
    <m/>
    <m/>
    <m/>
    <m/>
    <m/>
    <m/>
    <m/>
    <m/>
    <m/>
    <m/>
    <m/>
    <m/>
    <s v="Conv-B Done"/>
    <m/>
    <m/>
    <m/>
    <m/>
    <m/>
    <m/>
    <m/>
    <s v="Conv-B DONE"/>
    <m/>
    <m/>
    <d v="2024-09-09T00:00:00"/>
    <d v="2024-09-09T00:00:00"/>
    <d v="2025-03-11T00:00:00"/>
    <s v="Done"/>
    <d v="2024-08-01T00:00:00"/>
    <m/>
    <d v="2025-03-11T00:00:00"/>
    <m/>
  </r>
  <r>
    <n v="382"/>
    <n v="30281"/>
    <s v="HLC-A"/>
    <s v="STB2S1636HLCD"/>
    <x v="0"/>
    <s v="CR"/>
    <s v="MUM"/>
    <d v="2024-10-26T00:00:00"/>
    <m/>
    <s v="Nashik"/>
    <m/>
    <m/>
    <m/>
    <m/>
    <m/>
    <m/>
    <m/>
    <s v="Done by NW"/>
    <m/>
    <s v="Conv-A DONE"/>
    <m/>
    <m/>
    <m/>
    <m/>
    <m/>
    <m/>
    <m/>
    <m/>
    <m/>
    <s v="Conv-A Done"/>
    <m/>
    <m/>
    <s v="DONE"/>
    <s v="DONE"/>
    <s v="DONE"/>
    <s v="Done"/>
    <s v="Done"/>
    <m/>
    <m/>
    <m/>
  </r>
  <r>
    <n v="383"/>
    <n v="30281"/>
    <s v="HLC-B"/>
    <s v="STB2S1637HLCD"/>
    <x v="0"/>
    <s v="CR"/>
    <s v="MUM"/>
    <d v="2024-10-26T00:00:00"/>
    <m/>
    <s v="Nashik"/>
    <m/>
    <m/>
    <m/>
    <m/>
    <m/>
    <m/>
    <m/>
    <s v="Done by NW"/>
    <m/>
    <s v="Conv-B DONE"/>
    <m/>
    <m/>
    <m/>
    <m/>
    <m/>
    <m/>
    <m/>
    <m/>
    <m/>
    <s v="Conv-B Done"/>
    <m/>
    <m/>
    <s v="DONE"/>
    <s v="DONE"/>
    <s v="DONE"/>
    <s v="Done"/>
    <s v="Done"/>
    <m/>
    <m/>
    <m/>
  </r>
  <r>
    <n v="384"/>
    <n v="30304"/>
    <s v="HLC-A"/>
    <s v="STB2S1638HLCD"/>
    <x v="0"/>
    <s v="CR"/>
    <s v="MUM"/>
    <d v="2024-10-31T00:00:00"/>
    <m/>
    <s v="Nashik"/>
    <m/>
    <m/>
    <m/>
    <m/>
    <m/>
    <m/>
    <m/>
    <s v="Done by NW"/>
    <m/>
    <s v="Conv-A DONE"/>
    <m/>
    <m/>
    <m/>
    <m/>
    <m/>
    <m/>
    <m/>
    <m/>
    <m/>
    <s v="Conv-A Done"/>
    <m/>
    <m/>
    <s v="DONE"/>
    <s v="DONE"/>
    <s v="DONE"/>
    <s v="Done"/>
    <s v="Done"/>
    <m/>
    <d v="2025-06-05T00:00:00"/>
    <m/>
  </r>
  <r>
    <n v="385"/>
    <n v="30304"/>
    <s v="HLC-B"/>
    <s v="STB2S1639HLCD"/>
    <x v="0"/>
    <s v="CR"/>
    <s v="MUM"/>
    <d v="2024-10-31T00:00:00"/>
    <m/>
    <s v="Nashik"/>
    <m/>
    <m/>
    <m/>
    <m/>
    <m/>
    <m/>
    <m/>
    <s v="Done by NW"/>
    <m/>
    <s v="Conv-B DONE"/>
    <m/>
    <m/>
    <m/>
    <m/>
    <m/>
    <m/>
    <m/>
    <m/>
    <m/>
    <s v="Conv-B Done"/>
    <m/>
    <m/>
    <s v="DONE"/>
    <s v="DONE"/>
    <s v="DONE"/>
    <s v="Done"/>
    <s v="Done"/>
    <m/>
    <d v="2025-06-05T00:00:00"/>
    <m/>
  </r>
  <r>
    <n v="386"/>
    <n v="39486"/>
    <s v="HLC-A"/>
    <s v="STB5S1726HLCD"/>
    <x v="4"/>
    <s v="WR"/>
    <s v="MUM"/>
    <d v="2025-06-28T00:00:00"/>
    <m/>
    <s v="Nashik"/>
    <s v="-"/>
    <s v="-"/>
    <s v="-"/>
    <s v="-"/>
    <m/>
    <m/>
    <s v="-"/>
    <s v="Done by NW"/>
    <m/>
    <s v="Conv-A DONE"/>
    <m/>
    <s v="Conv-A DONE"/>
    <s v="Conv-A DONE"/>
    <m/>
    <m/>
    <m/>
    <m/>
    <m/>
    <m/>
    <s v="Conv-A DONE"/>
    <m/>
    <s v="Done"/>
    <s v="Done"/>
    <s v="Done"/>
    <s v="Done"/>
    <s v="Done"/>
    <m/>
    <s v="Done"/>
    <s v="Done"/>
    <m/>
  </r>
  <r>
    <n v="387"/>
    <n v="39486"/>
    <s v="HLC-B"/>
    <s v="STB5S1727HLCD"/>
    <x v="4"/>
    <s v="WR"/>
    <s v="MUM"/>
    <d v="2025-06-28T00:00:00"/>
    <m/>
    <s v="Nashik"/>
    <s v="-"/>
    <s v="-"/>
    <s v="-"/>
    <s v="-"/>
    <m/>
    <m/>
    <s v="-"/>
    <s v="Done by NW"/>
    <m/>
    <s v="Conv-B DONE"/>
    <m/>
    <s v="Conv-B DONE"/>
    <s v="Conv-B DONE"/>
    <m/>
    <m/>
    <m/>
    <m/>
    <m/>
    <m/>
    <s v="Conv-B DONE"/>
    <m/>
    <s v="Done"/>
    <s v="Done"/>
    <s v="Done"/>
    <s v="Done"/>
    <s v="Done"/>
    <m/>
    <s v="Done"/>
    <s v="Done"/>
    <m/>
  </r>
  <r>
    <n v="388"/>
    <n v="39487"/>
    <s v="HLC-A"/>
    <s v="STB5S1724HLCD"/>
    <x v="4"/>
    <s v="WR"/>
    <s v="MUM"/>
    <d v="2025-06-27T00:00:00"/>
    <m/>
    <s v="Nashik"/>
    <s v="-"/>
    <s v="-"/>
    <s v="-"/>
    <s v="-"/>
    <m/>
    <m/>
    <s v="-"/>
    <s v="Done by NW"/>
    <m/>
    <s v="Conv-A DONE"/>
    <m/>
    <s v="Conv-A DONE"/>
    <s v="Conv-A DONE"/>
    <m/>
    <m/>
    <m/>
    <m/>
    <m/>
    <m/>
    <s v="Conv-A DONE"/>
    <m/>
    <s v="Done"/>
    <s v="Done"/>
    <s v="Done"/>
    <s v="Done"/>
    <s v="Done"/>
    <m/>
    <s v="Done"/>
    <s v="Done"/>
    <m/>
  </r>
  <r>
    <n v="389"/>
    <n v="39487"/>
    <s v="HLC-B"/>
    <s v="STB5S1725HLCD"/>
    <x v="4"/>
    <s v="WR"/>
    <s v="MUM"/>
    <d v="2025-06-27T00:00:00"/>
    <m/>
    <s v="Nashik"/>
    <s v="-"/>
    <s v="-"/>
    <s v="-"/>
    <s v="-"/>
    <m/>
    <m/>
    <s v="-"/>
    <s v="Done by NW"/>
    <m/>
    <s v="Conv-B DONE"/>
    <m/>
    <s v="Conv-B DONE"/>
    <s v="Conv-B DONE"/>
    <m/>
    <m/>
    <m/>
    <m/>
    <m/>
    <m/>
    <s v="Conv-B DONE"/>
    <m/>
    <s v="Done"/>
    <s v="Done"/>
    <s v="Done"/>
    <s v="Done"/>
    <s v="Done"/>
    <m/>
    <s v="Done"/>
    <s v="Done"/>
    <m/>
  </r>
  <r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9">
  <r>
    <n v="1"/>
    <n v="30622"/>
    <s v="HLC-A"/>
    <s v="STB9J0168HLCD"/>
    <x v="0"/>
    <s v="SWR"/>
    <s v="BAN"/>
    <d v="2018-02-07T00:00:00"/>
    <n v="168"/>
    <s v="Nashik"/>
    <s v="M-U7D2S04V.005,_x000a_MO-U7F2S240.005"/>
    <d v="2022-09-06T00:00:00"/>
    <s v="UAT2Y440.012"/>
    <s v="05.03.2021"/>
    <m/>
    <s v="07.09.22"/>
    <s v="Conv-A DONE"/>
    <s v="Conv-A DONE"/>
    <s v="Conv-A DONE"/>
    <s v="Conv-A DONE"/>
    <s v="Conv-A DONE"/>
    <s v="Conv-A DONE"/>
    <m/>
    <m/>
    <s v="Conv-A DONE"/>
    <s v="Conv-A DONE"/>
    <m/>
    <m/>
    <m/>
    <s v="Conv-A DONE"/>
    <m/>
    <s v="Conv-A DONE"/>
    <s v="23/06/24"/>
    <s v="Conv-A DONE"/>
    <d v="2024-05-01T00:00:00"/>
    <s v="Conv-A DONE"/>
    <s v="18-08-2024"/>
    <m/>
    <s v="24/10/24"/>
    <m/>
  </r>
  <r>
    <n v="2"/>
    <n v="30622"/>
    <s v="HLC-B"/>
    <s v="STB9J0169HLCD"/>
    <x v="0"/>
    <s v="SWR"/>
    <s v="BAN"/>
    <d v="2018-02-07T00:00:00"/>
    <n v="169"/>
    <s v="Nashik"/>
    <s v="M-U7D2S04V.005,_x000a_MO-U7F2S240.005"/>
    <d v="2022-09-06T00:00:00"/>
    <s v="UAT2Y440.012"/>
    <s v="05.03.2021"/>
    <m/>
    <s v="07.09.22"/>
    <s v="Conv-B DONE"/>
    <s v="Conv-B DONE"/>
    <s v="Conv-B DONE"/>
    <s v="Conv-B DONE"/>
    <s v="Conv-B DONE"/>
    <s v="Conv-B DONE"/>
    <m/>
    <m/>
    <s v="Conv-B DONE"/>
    <s v="Conv-B DONE"/>
    <m/>
    <s v="EL19D01048-R"/>
    <m/>
    <s v="Conv-B DONE"/>
    <m/>
    <s v="Conv-B DONE"/>
    <s v="23/06/24"/>
    <s v="Conv-B DONE"/>
    <d v="2024-05-01T00:00:00"/>
    <s v="Conv-B DONE"/>
    <s v="18-08-2024"/>
    <m/>
    <s v="24/10/24"/>
    <m/>
  </r>
  <r>
    <n v="3"/>
    <n v="30631"/>
    <s v="HLC-A"/>
    <s v="STB9J0158HLCD"/>
    <x v="0"/>
    <s v="SWR"/>
    <s v="BAN"/>
    <d v="2018-01-23T00:00:00"/>
    <n v="158"/>
    <s v="Nashik"/>
    <s v="M-U7D2S04V.005,_x000a_MO-U7F2S240.005"/>
    <d v="2022-03-25T00:00:00"/>
    <s v="UAT2Y440.012"/>
    <s v="11.06.2021"/>
    <s v="01.02.2022"/>
    <s v="14.07.22"/>
    <s v="Conv-A DONE"/>
    <s v="Conv-A DONE"/>
    <s v="Conv-A DONE"/>
    <s v="Conv-A DONE"/>
    <s v="Conv-A DONE"/>
    <s v="Conv-A DONE"/>
    <m/>
    <m/>
    <s v="Conv-A DONE"/>
    <s v="Conv-A DONE"/>
    <m/>
    <m/>
    <m/>
    <s v="Conv-A DONE"/>
    <m/>
    <s v="Conv-A DONE"/>
    <s v="25/06/24"/>
    <s v="Conv-A DONE"/>
    <s v="Conv-A Done"/>
    <s v="Conv-A DONE"/>
    <d v="2024-04-07T00:00:00"/>
    <m/>
    <s v="14/10/24"/>
    <m/>
  </r>
  <r>
    <n v="4"/>
    <n v="30631"/>
    <s v="HLC-B"/>
    <s v="STB9J0116HLCD"/>
    <x v="0"/>
    <s v="SWR"/>
    <s v="BAN"/>
    <d v="2018-01-23T00:00:00"/>
    <n v="116"/>
    <s v="Nashik"/>
    <s v="M-U7D2S04V.005,_x000a_MO-U7F2S240.005"/>
    <d v="2022-03-25T00:00:00"/>
    <s v="UAT2Y440.012"/>
    <s v="11.06.2021"/>
    <s v="01.02.2022"/>
    <s v="14.07.22"/>
    <s v="Conv-B DONE"/>
    <s v="Conv-B DONE"/>
    <s v="Conv-B DONE"/>
    <s v="Conv-B DONE"/>
    <s v="Conv-B DONE"/>
    <s v="Conv-B DONE"/>
    <m/>
    <m/>
    <s v="Conv-B DONE"/>
    <s v="Conv-B DONE"/>
    <m/>
    <m/>
    <m/>
    <s v="Conv-B DONE"/>
    <m/>
    <s v="Conv-B DONE"/>
    <s v="25/06/24"/>
    <s v="Conv-B DONE"/>
    <s v="Conv-B Done"/>
    <s v="Conv-B DONE"/>
    <d v="2024-05-07T00:00:00"/>
    <m/>
    <s v="14/10/24"/>
    <m/>
  </r>
  <r>
    <n v="5"/>
    <n v="30773"/>
    <s v="HLC-A"/>
    <s v="STB9M0984HLCD"/>
    <x v="0"/>
    <s v="SWR"/>
    <s v="BAN"/>
    <d v="2021-02-26T00:00:00"/>
    <n v="984"/>
    <s v="Nashik"/>
    <s v="M-U7D2S04V.005,_x000a_MO-U7F2S240.005"/>
    <s v="Done by NW"/>
    <s v="UAT2Y440.012"/>
    <s v="29.06.2021"/>
    <m/>
    <s v="09.06.2022"/>
    <s v="Done by NW"/>
    <s v="Done by NW"/>
    <s v="Conv-A DONE"/>
    <s v="Conv-A DONE"/>
    <s v="Conv-A DONE"/>
    <s v="Conv-A DONE"/>
    <m/>
    <s v="Done by NW"/>
    <s v="Conv-A DONE"/>
    <s v="Conv-A DONE"/>
    <m/>
    <m/>
    <m/>
    <s v="Conv-A DONE"/>
    <m/>
    <m/>
    <d v="2024-10-07T00:00:00"/>
    <s v="Conv-A DONE"/>
    <s v="Conv-A Done"/>
    <s v="Conv-A DONE"/>
    <s v="17/08/24"/>
    <m/>
    <d v="2024-12-09T00:00:00"/>
    <m/>
  </r>
  <r>
    <n v="6"/>
    <n v="30773"/>
    <s v="HLC-B"/>
    <s v="STB9M0985HLCD"/>
    <x v="0"/>
    <s v="SWR"/>
    <s v="BAN"/>
    <d v="2021-02-26T00:00:00"/>
    <n v="985"/>
    <s v="Nashik"/>
    <s v="M-U7D2S04V.005,_x000a_MO-U7F2S240.005"/>
    <s v="Done by NW"/>
    <s v="UAT2Y440.012"/>
    <s v="03.06.2021"/>
    <m/>
    <s v="09.06.2022"/>
    <s v="Done by NW"/>
    <s v="Done by NW"/>
    <s v="Conv-B DONE"/>
    <s v="Conv-B DONE"/>
    <s v="Conv-B DONE"/>
    <s v="Conv-B DONE"/>
    <m/>
    <s v="Done by NW"/>
    <s v="Conv-B DONE"/>
    <s v="Conv-B DONE"/>
    <m/>
    <m/>
    <m/>
    <s v="Conv-B DONE"/>
    <m/>
    <m/>
    <d v="2024-10-07T00:00:00"/>
    <s v="Conv-B DONE"/>
    <s v="Conv-B Done"/>
    <s v="Conv-B DONE"/>
    <s v="17/08/24"/>
    <m/>
    <d v="2024-12-09T00:00:00"/>
    <m/>
  </r>
  <r>
    <n v="7"/>
    <n v="37368"/>
    <s v="HLC-A"/>
    <s v="STBDL0734"/>
    <x v="0"/>
    <s v="SWR"/>
    <s v="BAN"/>
    <d v="2020-07-28T00:00:00"/>
    <n v="734"/>
    <s v="Nashik"/>
    <s v="M-U7D2S04V.005,_x000a_MO-U7F2S240.005"/>
    <d v="2022-08-06T00:00:00"/>
    <s v="UAT2Y440.012"/>
    <s v="24.05.2021"/>
    <m/>
    <s v="06.08.22"/>
    <s v="Done by NW"/>
    <s v="Done by NW"/>
    <s v="Conv-A DONE"/>
    <s v="Conv-A DONE"/>
    <s v="Conv-A DONE"/>
    <s v="Done by NW"/>
    <m/>
    <m/>
    <s v="Conv-A DONE"/>
    <s v="Conv-A DONE"/>
    <m/>
    <m/>
    <m/>
    <s v="Conv-A DONE"/>
    <m/>
    <m/>
    <d v="2024-09-08T00:00:00"/>
    <s v="Conv-A DONE"/>
    <d v="2024-12-09T00:00:00"/>
    <s v="Conv-A DONE"/>
    <d v="2024-01-08T00:00:00"/>
    <m/>
    <d v="2024-12-09T00:00:00"/>
    <m/>
  </r>
  <r>
    <n v="8"/>
    <n v="37368"/>
    <s v="HLC-B"/>
    <s v="STBDL0744"/>
    <x v="0"/>
    <s v="SWR"/>
    <s v="BAN"/>
    <d v="2020-07-28T00:00:00"/>
    <n v="744"/>
    <s v="Nashik"/>
    <s v="M-U7D2S04V.005,_x000a_MO-U7F2S240.005"/>
    <d v="2022-08-06T00:00:00"/>
    <s v="UAT2Y440.012"/>
    <s v="24.05.2021"/>
    <m/>
    <s v="06.08.22"/>
    <s v="Done by NW"/>
    <s v="Done by NW"/>
    <s v="Conv-B DONE"/>
    <s v="Conv-B DONE"/>
    <s v="Conv-B DONE"/>
    <s v="Done by NW"/>
    <m/>
    <m/>
    <s v="Conv-B DONE"/>
    <s v="Conv-B DONE"/>
    <m/>
    <m/>
    <m/>
    <s v="Conv-B DONE"/>
    <m/>
    <m/>
    <d v="2024-09-08T00:00:00"/>
    <s v="Conv-B DONE"/>
    <d v="2024-12-09T00:00:00"/>
    <s v="Conv-B DONE"/>
    <d v="2024-01-08T00:00:00"/>
    <m/>
    <d v="2024-12-09T00:00:00"/>
    <m/>
  </r>
  <r>
    <n v="9"/>
    <n v="37386"/>
    <s v="HLC-A"/>
    <s v="STBNL0713"/>
    <x v="0"/>
    <s v="SWR"/>
    <s v="BAN"/>
    <d v="2020-10-20T00:00:00"/>
    <n v="713"/>
    <s v="Nashik"/>
    <s v="M-U7D2S04V.005,_x000a_MO-U7F2S240.005"/>
    <d v="2022-02-20T00:00:00"/>
    <s v="UAT2Y440.012"/>
    <s v="19.02.2021"/>
    <m/>
    <s v="13.09.2022"/>
    <s v="Done by NW"/>
    <s v="Done by NW"/>
    <s v="Conv-A DONE"/>
    <s v="Conv-A DONE"/>
    <s v="Conv-A DONE"/>
    <s v="Conv-A DONE"/>
    <m/>
    <m/>
    <s v="Conv-A DONE"/>
    <s v="Conv-A DONE"/>
    <m/>
    <m/>
    <m/>
    <s v="Conv-A DONE"/>
    <m/>
    <m/>
    <s v="26/07/24"/>
    <s v="Conv-A DONE"/>
    <s v="28/12/23"/>
    <s v="Conv-A DONE"/>
    <s v="24/7/2024"/>
    <m/>
    <d v="2024-08-10T00:00:00"/>
    <m/>
  </r>
  <r>
    <n v="10"/>
    <n v="37386"/>
    <s v="HLC-B"/>
    <s v="STBDL0751"/>
    <x v="0"/>
    <s v="SWR"/>
    <s v="BAN"/>
    <d v="2020-10-20T00:00:00"/>
    <n v="751"/>
    <s v="Nashik"/>
    <s v="M-U7D2S04V.005,_x000a_MO-U7F2S240.005"/>
    <d v="2022-02-20T00:00:00"/>
    <s v="UAT2Y440.012"/>
    <s v="19.02.2021"/>
    <m/>
    <s v="13.09.2022"/>
    <s v="Done by NW"/>
    <s v="Done by NW"/>
    <s v="Conv-B DONE"/>
    <s v="Conv-B DONE"/>
    <s v="Conv-B DONE"/>
    <s v="Conv-B DONE"/>
    <m/>
    <m/>
    <s v="Conv-B DONE"/>
    <s v="Conv-B DONE"/>
    <m/>
    <m/>
    <m/>
    <s v="Conv-B DONE"/>
    <m/>
    <m/>
    <s v="26/07/24"/>
    <s v="Conv-B DONE"/>
    <s v="28/12/23"/>
    <s v="Conv-B DONE"/>
    <s v="24/7/2024"/>
    <m/>
    <d v="2024-08-10T00:00:00"/>
    <m/>
  </r>
  <r>
    <n v="11"/>
    <n v="37526"/>
    <s v="HLC-A"/>
    <s v="STBOM1002"/>
    <x v="0"/>
    <s v="SWR"/>
    <s v="BAN"/>
    <d v="2021-04-12T00:00:00"/>
    <n v="1002"/>
    <s v="Nashik"/>
    <s v="M-U7D2S04V.005,_x000a_MO-U7F2S240.005"/>
    <s v="Done by NW"/>
    <s v="UAT2Y440.012"/>
    <s v="Done by NW"/>
    <s v="28.01.24"/>
    <s v="13.08.2022"/>
    <s v="Done by NW"/>
    <s v="Done by NW"/>
    <s v="Conv-A DONE"/>
    <s v="Conv-A DONE"/>
    <s v="Conv-A DONE"/>
    <s v="Conv-A DONE"/>
    <m/>
    <s v="Done by NW"/>
    <s v="Conv-A DONE"/>
    <s v="Conv-A DONE"/>
    <m/>
    <m/>
    <m/>
    <s v="Conv-A DONE"/>
    <m/>
    <d v="2024-01-02T00:00:00"/>
    <d v="2024-12-10T00:00:00"/>
    <s v="Conv-A DONE"/>
    <s v="19/01/24"/>
    <s v="Conv-A DONE"/>
    <s v="13-11-2024_x000a_"/>
    <m/>
    <s v="14/10/24"/>
    <m/>
  </r>
  <r>
    <n v="12"/>
    <n v="37526"/>
    <s v="HLC-B"/>
    <s v="STB9M0974"/>
    <x v="0"/>
    <s v="SWR"/>
    <s v="BAN"/>
    <d v="2021-04-12T00:00:00"/>
    <n v="974"/>
    <s v="Nashik"/>
    <s v="M-U7D2S04V.005,_x000a_MO-U7F2S240.005"/>
    <s v="Done by NW"/>
    <s v="UAT2Y440.012"/>
    <s v="Done by NW"/>
    <s v="28.01.24"/>
    <s v="13.08.2022"/>
    <s v="Done by NW"/>
    <s v="Done by NW"/>
    <s v="Conv-B DONE"/>
    <s v="Conv-B DONE"/>
    <s v="Conv-B DONE"/>
    <s v="Conv-B DONE"/>
    <m/>
    <s v="Done by NW"/>
    <s v="Conv-B DONE"/>
    <s v="Conv-B DONE"/>
    <m/>
    <m/>
    <m/>
    <s v="Conv-B DONE"/>
    <m/>
    <d v="2024-01-02T00:00:00"/>
    <d v="2024-12-10T00:00:00"/>
    <s v="Conv-B DONE"/>
    <s v="19/01/24"/>
    <s v="Conv-B DONE"/>
    <s v="13-11-2024_x000a_"/>
    <m/>
    <s v="14/10/24"/>
    <m/>
  </r>
  <r>
    <n v="13"/>
    <n v="37528"/>
    <s v="HLC-A"/>
    <s v="STB8M0966"/>
    <x v="0"/>
    <s v="SWR"/>
    <s v="BAN"/>
    <d v="2021-04-09T00:00:00"/>
    <n v="966"/>
    <s v="Nashik"/>
    <s v="M-U7D2S04V.005,_x000a_MO-U7F2S240.005"/>
    <s v="Done by NW"/>
    <s v="UAT2Y440.012"/>
    <s v="20.07.2021"/>
    <m/>
    <s v="13.09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m/>
    <s v="27/06/24"/>
    <s v="Conv-A DONE"/>
    <d v="2024-03-10T00:00:00"/>
    <s v="Conv-A DONE"/>
    <d v="2024-02-08T00:00:00"/>
    <m/>
    <m/>
    <m/>
  </r>
  <r>
    <n v="14"/>
    <n v="37528"/>
    <s v="HLC-B"/>
    <s v="STB8M0968"/>
    <x v="0"/>
    <s v="SWR"/>
    <s v="BAN"/>
    <d v="2021-04-09T00:00:00"/>
    <n v="968"/>
    <s v="Nashik"/>
    <s v="M-U7D2S04V.005,_x000a_MO-U7F2S240.005"/>
    <s v="Done by NW"/>
    <s v="UAT2Y440.012"/>
    <s v="20.07.2021"/>
    <m/>
    <s v="13.09.2022"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m/>
    <s v="27/06/24"/>
    <s v="Conv-B DONE"/>
    <d v="2024-03-10T00:00:00"/>
    <s v="Conv-B DONE"/>
    <d v="2024-02-08T00:00:00"/>
    <m/>
    <m/>
    <m/>
  </r>
  <r>
    <n v="15"/>
    <n v="37529"/>
    <s v="HLC-A"/>
    <s v="STB0M1006HLCD"/>
    <x v="0"/>
    <s v="SWR"/>
    <s v="BAN"/>
    <d v="2021-03-24T00:00:00"/>
    <n v="1006"/>
    <s v="Nashik"/>
    <s v="M-U7D2S04V.005,_x000a_MO-U7F2S240.005"/>
    <s v="Done by NW"/>
    <s v="UAT2Y440.012"/>
    <s v="09.06.2021"/>
    <m/>
    <s v="25.07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m/>
    <d v="2024-06-11T00:00:00"/>
    <s v="Conv-A DONE"/>
    <s v="25/05/24"/>
    <s v="Conv-A DONE"/>
    <d v="2025-10-03T00:00:00"/>
    <m/>
    <d v="2024-01-09T00:00:00"/>
    <m/>
  </r>
  <r>
    <n v="16"/>
    <n v="37529"/>
    <s v="HLC-B"/>
    <s v="STB0M1009HLCD"/>
    <x v="0"/>
    <s v="SWR"/>
    <s v="BAN"/>
    <d v="2021-03-24T00:00:00"/>
    <n v="1009"/>
    <s v="Nashik"/>
    <s v="M-U7D2S04V.005,_x000a_MO-U7F2S240.005"/>
    <s v="Done by NW"/>
    <s v="UAT2Y440.012"/>
    <s v="12.06.2021"/>
    <m/>
    <s v="25.07.2022"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m/>
    <d v="2024-06-11T00:00:00"/>
    <s v="Conv-B DONE"/>
    <s v="25/05/24"/>
    <s v="Conv-B DONE"/>
    <d v="2025-10-03T00:00:00"/>
    <m/>
    <d v="2024-01-09T00:00:00"/>
    <m/>
  </r>
  <r>
    <n v="17"/>
    <n v="37531"/>
    <s v="HLC-A"/>
    <s v="STBDM1060"/>
    <x v="0"/>
    <s v="SWR"/>
    <s v="BAN"/>
    <d v="2021-03-10T00:00:00"/>
    <s v="1060"/>
    <s v="Nashik"/>
    <s v="M-U7D2S04V.005,_x000a_MO-U7F2S240.005"/>
    <s v="Done by NW"/>
    <s v="UAT2Y440.012"/>
    <s v="Done by NW"/>
    <m/>
    <s v="08.07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m/>
    <s v="20/07/24"/>
    <s v="Conv-A DONE"/>
    <s v="18/07/24"/>
    <s v="Conv-A DONE"/>
    <s v="18/7/2024"/>
    <m/>
    <s v="18/07/24"/>
    <m/>
  </r>
  <r>
    <n v="18"/>
    <n v="37531"/>
    <s v="HLC-B"/>
    <s v="STB9M0992"/>
    <x v="0"/>
    <s v="SWR"/>
    <s v="BAN"/>
    <d v="2021-03-10T00:00:00"/>
    <n v="992"/>
    <s v="Nashik"/>
    <s v="M-U7D2S04V.005,_x000a_MO-U7F2S240.005"/>
    <s v="Done by NW"/>
    <s v="UAT2Y440.012"/>
    <s v="24.03.2021"/>
    <m/>
    <s v="08.07.2022"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m/>
    <s v="20/07/24"/>
    <s v="Conv-B DONE"/>
    <s v="18/07/24"/>
    <s v="Conv-B DONE"/>
    <s v="18/7/2024"/>
    <m/>
    <s v="18/07/24"/>
    <m/>
  </r>
  <r>
    <n v="19"/>
    <n v="37568"/>
    <s v="HLC-A"/>
    <s v="STBOM1016"/>
    <x v="0"/>
    <s v="SWR"/>
    <s v="BAN"/>
    <d v="2021-05-26T00:00:00"/>
    <n v="1016"/>
    <s v="Nashik"/>
    <s v="M-U7D2S04V.005,_x000a_MO-U7F2S240.005"/>
    <s v="Done by NW"/>
    <s v="UAT2Y440.012"/>
    <s v="07.08.2021"/>
    <s v="25.01.24"/>
    <s v="20.09.2022"/>
    <s v="Done by NW"/>
    <s v="Done by NW"/>
    <s v="Conv-A DONE"/>
    <s v="Conv-A DONE"/>
    <s v="Conv-A DONE"/>
    <s v="Conv-A DONE"/>
    <m/>
    <s v="Done by NW"/>
    <s v="Conv-A DONE"/>
    <s v="Conv-A DONE"/>
    <m/>
    <m/>
    <m/>
    <s v="Conv-A DONE"/>
    <m/>
    <s v="Conv-A DONE"/>
    <s v="28/06/24"/>
    <s v="Conv-A DONE"/>
    <s v="28/04/24"/>
    <s v="Conv-A DONE"/>
    <d v="2024-08-07T00:00:00"/>
    <m/>
    <s v="15/07/24"/>
    <m/>
  </r>
  <r>
    <n v="20"/>
    <n v="37568"/>
    <s v="HLC-B"/>
    <s v="STBOM1017"/>
    <x v="0"/>
    <s v="SWR"/>
    <s v="BAN"/>
    <d v="2021-05-26T00:00:00"/>
    <n v="1017"/>
    <s v="Nashik"/>
    <s v="M-U7D2S04V.005,_x000a_MO-U7F2S240.005"/>
    <s v="Done by NW"/>
    <s v="UAT2Y440.012"/>
    <s v="07.08.2021"/>
    <s v="25.01.24"/>
    <s v="20.09.2022"/>
    <s v="Done by NW"/>
    <s v="Done by NW"/>
    <s v="Conv-B DONE"/>
    <s v="Conv-B DONE"/>
    <s v="Conv-B DONE"/>
    <s v="Conv-B DONE"/>
    <m/>
    <s v="Done by NW"/>
    <s v="Conv-B DONE"/>
    <s v="Conv-B DONE"/>
    <m/>
    <m/>
    <m/>
    <s v="Conv-B DONE"/>
    <m/>
    <s v="Conv-B DONE"/>
    <s v="28/06/24"/>
    <s v="Conv-B DONE"/>
    <s v="28/04/24"/>
    <s v="Conv-B DONE"/>
    <d v="2024-08-07T00:00:00"/>
    <m/>
    <s v="15/07/24"/>
    <m/>
  </r>
  <r>
    <n v="21"/>
    <n v="39140"/>
    <s v="HLC-A"/>
    <s v="STB1M0773HLCD"/>
    <x v="0"/>
    <s v="SWR"/>
    <s v="BAN"/>
    <d v="2020-06-25T00:00:00"/>
    <n v="773"/>
    <s v="Nashik"/>
    <s v="M-U7D2S04V.005,_x000a_MO-U7F2S240.005"/>
    <d v="2022-07-08T00:00:00"/>
    <s v="UAT2Y440.012"/>
    <s v="24.02.2021"/>
    <s v="26.01.24"/>
    <s v="08.07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m/>
    <s v="21/06/24"/>
    <s v="Conv-A DONE"/>
    <s v="16/03/24"/>
    <s v="Conv-A DONE"/>
    <s v="25/07/24"/>
    <m/>
    <s v="18/10/24"/>
    <m/>
  </r>
  <r>
    <n v="22"/>
    <n v="39140"/>
    <s v="HLC-B"/>
    <s v="STBOL0671HLCD"/>
    <x v="0"/>
    <s v="SWR"/>
    <s v="BAN"/>
    <d v="2020-06-25T00:00:00"/>
    <n v="671"/>
    <s v="Nashik"/>
    <s v="M-U7D2S04V.005,_x000a_MO-U7F2S240.005"/>
    <d v="2022-07-08T00:00:00"/>
    <s v="UAT2Y440.012"/>
    <s v="24.02.2021"/>
    <s v="26.01.24"/>
    <s v="08.07.2022"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m/>
    <s v="21/06/24"/>
    <s v="Conv-B DONE"/>
    <s v="16/03/24"/>
    <s v="Conv-B DONE"/>
    <s v="25/07/24"/>
    <m/>
    <s v="18/10/24"/>
    <m/>
  </r>
  <r>
    <n v="23"/>
    <n v="39157"/>
    <s v="HLC-A"/>
    <s v="STB7M0877HLCD"/>
    <x v="0"/>
    <s v="SWR"/>
    <s v="BAN"/>
    <d v="2020-11-28T00:00:00"/>
    <n v="877"/>
    <s v="Nashik"/>
    <s v="M-U7D2S04V.005,_x000a_MO-U7F2S240.005"/>
    <d v="2022-04-02T00:00:00"/>
    <s v="UAT2Y440.012"/>
    <s v="23.02.2021"/>
    <m/>
    <s v="11.07.2022"/>
    <s v="Done by NW"/>
    <s v="Done by NW"/>
    <s v="Conv-A DONE"/>
    <s v="Conv-A DONE"/>
    <s v="Conv-A DONE"/>
    <s v="Done by NW"/>
    <m/>
    <s v="Done by NW"/>
    <s v="Conv-A DONE"/>
    <m/>
    <m/>
    <m/>
    <m/>
    <s v="Conv-A DONE"/>
    <m/>
    <m/>
    <d v="2024-01-08T00:00:00"/>
    <s v="Conv-A DONE"/>
    <d v="2024-02-02T00:00:00"/>
    <s v="Conv-A DONE"/>
    <s v="24/8/2024"/>
    <m/>
    <d v="2024-01-08T00:00:00"/>
    <m/>
  </r>
  <r>
    <n v="24"/>
    <n v="39157"/>
    <s v="HLC-B"/>
    <s v="STB7M0876HLCD"/>
    <x v="0"/>
    <s v="SWR"/>
    <s v="BAN"/>
    <d v="2020-11-28T00:00:00"/>
    <n v="876"/>
    <s v="Nashik"/>
    <s v="M-U7D2S04V.005,_x000a_MO-U7F2S240.005"/>
    <d v="2022-04-02T00:00:00"/>
    <s v="UAT2Y440.012"/>
    <s v="23.02.2021"/>
    <m/>
    <s v="11.07.2022"/>
    <s v="Done by NW"/>
    <s v="Done by NW"/>
    <s v="Conv-B DONE"/>
    <s v="Conv-B DONE"/>
    <s v="Conv-B DONE"/>
    <s v="Done by NW"/>
    <m/>
    <s v="Done by NW"/>
    <s v="Conv-B DONE"/>
    <m/>
    <m/>
    <m/>
    <m/>
    <s v="Conv-B DONE"/>
    <m/>
    <m/>
    <d v="2024-01-08T00:00:00"/>
    <s v="Conv-B DONE"/>
    <d v="2024-02-02T00:00:00"/>
    <s v="Conv-B DONE"/>
    <s v="24/8/2024"/>
    <m/>
    <d v="2024-01-08T00:00:00"/>
    <m/>
  </r>
  <r>
    <n v="25"/>
    <n v="39158"/>
    <s v="HLC-A"/>
    <s v="STB7M0879HLCD"/>
    <x v="0"/>
    <s v="SWR"/>
    <s v="BAN"/>
    <d v="2020-12-21T00:00:00"/>
    <n v="879"/>
    <s v="Nashik"/>
    <s v="M-U7D2S04V.005,_x000a_MO-U7F2S240.005"/>
    <d v="2022-02-28T00:00:00"/>
    <s v="UAT2Y440.012"/>
    <s v="23.03.2021"/>
    <m/>
    <s v="08.07.2022"/>
    <s v="Done by NW"/>
    <s v="Done by NW"/>
    <s v="Conv-A DONE"/>
    <s v="Conv-A DONE"/>
    <s v="Conv-A DONE"/>
    <s v="Done by NW"/>
    <m/>
    <s v="Done by NW"/>
    <s v="Conv-A DONE"/>
    <s v="Conv-A DONE"/>
    <m/>
    <s v="EL17L04007-R"/>
    <m/>
    <s v="Conv-A DONE"/>
    <m/>
    <m/>
    <s v="13/09/24"/>
    <s v="Conv-A DONE"/>
    <s v="13/09/24"/>
    <s v="Conv-A DONE"/>
    <d v="2024-06-12T00:00:00"/>
    <m/>
    <s v="13/09/24"/>
    <m/>
  </r>
  <r>
    <n v="26"/>
    <n v="39158"/>
    <s v="HLC-B"/>
    <s v="STB7M0885HLCD"/>
    <x v="0"/>
    <s v="SWR"/>
    <s v="BAN"/>
    <d v="2020-12-21T00:00:00"/>
    <n v="885"/>
    <s v="Nashik"/>
    <s v="M-U7D2S04V.005,_x000a_MO-U7F2S240.005"/>
    <d v="2022-02-28T00:00:00"/>
    <s v="UAT2Y440.012"/>
    <s v="23.03.2021"/>
    <m/>
    <s v="08.07.2022"/>
    <s v="Done by NW"/>
    <s v="Done by NW"/>
    <s v="Conv-B DONE"/>
    <s v="Conv-B DONE"/>
    <s v="Conv-B DONE"/>
    <s v="Done by NW"/>
    <m/>
    <s v="Done by NW"/>
    <s v="Conv-B DONE"/>
    <s v="Conv-B DONE"/>
    <m/>
    <s v="EL17G01026-R"/>
    <m/>
    <s v="Conv-B DONE"/>
    <m/>
    <m/>
    <s v="13/09/24"/>
    <s v="Conv-B DONE"/>
    <s v="13/09/24"/>
    <s v="Conv-B DONE"/>
    <d v="2024-06-12T00:00:00"/>
    <m/>
    <s v="13/09/24"/>
    <m/>
  </r>
  <r>
    <n v="27"/>
    <n v="39165"/>
    <s v="HLC-A"/>
    <s v="STB9M0981HLCD"/>
    <x v="0"/>
    <s v="SWR"/>
    <s v="BAN"/>
    <d v="2021-01-28T00:00:00"/>
    <n v="981"/>
    <s v="Nashik"/>
    <s v="M-U7D2S04V.005,_x000a_MO-U7F2S240.005"/>
    <s v="Done by NW"/>
    <s v="UAT2Y440.012"/>
    <s v="24.02.2021"/>
    <m/>
    <s v="08.08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s v="29/01/2024"/>
    <s v="23/10/24"/>
    <s v="Conv-A DONE"/>
    <s v="29/01/2024"/>
    <s v="Conv-A DONE"/>
    <s v="26-01-2025"/>
    <m/>
    <m/>
    <m/>
  </r>
  <r>
    <n v="28"/>
    <n v="39165"/>
    <s v="HLC-B"/>
    <s v="STB9M0980HLCD"/>
    <x v="0"/>
    <s v="SWR"/>
    <s v="BAN"/>
    <d v="2021-01-28T00:00:00"/>
    <n v="980"/>
    <s v="Nashik"/>
    <s v="M-U7D2S04V.005,_x000a_MO-U7F2S240.005"/>
    <s v="Done by NW"/>
    <s v="UAT2Y440.012"/>
    <s v="24.02.2021"/>
    <m/>
    <s v="08.08.2022"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s v="29/01/2024"/>
    <s v="23/10/24"/>
    <s v="Conv-B DONE"/>
    <s v="29/01/2024"/>
    <s v="Conv-B DONE"/>
    <s v="26-01-2025"/>
    <m/>
    <m/>
    <m/>
  </r>
  <r>
    <n v="29"/>
    <n v="39166"/>
    <s v="HLC-A"/>
    <s v="STB7M0881HLCD"/>
    <x v="0"/>
    <s v="SWR"/>
    <s v="BAN"/>
    <d v="2021-01-07T00:00:00"/>
    <n v="881"/>
    <s v="Nashik"/>
    <s v="M-U7D2S04V.005,_x000a_MO-U7F2S240.005"/>
    <d v="2022-02-18T00:00:00"/>
    <s v="UAT2Y440.012"/>
    <s v="13.02.2021"/>
    <m/>
    <s v="09.07.2022"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s v="28/01/2024"/>
    <s v="19/08/24"/>
    <s v="Conv-A DONE"/>
    <s v="28/01/2024"/>
    <s v="Conv-A DONE"/>
    <s v="13-12-2024"/>
    <m/>
    <s v="21/09/24"/>
    <m/>
  </r>
  <r>
    <n v="30"/>
    <n v="39166"/>
    <s v="HLC-B"/>
    <s v="STB7M0880HLCD"/>
    <x v="0"/>
    <s v="SWR"/>
    <s v="BAN"/>
    <d v="2021-01-07T00:00:00"/>
    <n v="880"/>
    <s v="Nashik"/>
    <s v="M-U7D2S04V.005,_x000a_MO-U7F2S240.005"/>
    <d v="2022-02-18T00:00:00"/>
    <s v="UAT2Y440.012"/>
    <s v="13.02.2021"/>
    <m/>
    <s v="09.07.2022"/>
    <s v="Done by NW"/>
    <s v="Done by NW"/>
    <s v="Conv-B DONE"/>
    <s v="Conv-B DONE"/>
    <s v="Conv-B DONE"/>
    <s v="Done by NW"/>
    <m/>
    <s v="Done by NW"/>
    <s v="Conv-B DONE"/>
    <s v="Conv-B DONE"/>
    <m/>
    <s v="EL18G03048-R"/>
    <m/>
    <s v="Conv-B DONE"/>
    <m/>
    <s v="28/01/2024"/>
    <s v="19/08/24"/>
    <s v="Conv-B DONE"/>
    <s v="28/01/2024"/>
    <s v="Conv-B DONE"/>
    <s v="13-12-2024"/>
    <m/>
    <s v="21/09/24"/>
    <m/>
  </r>
  <r>
    <n v="31"/>
    <n v="30824"/>
    <s v="HLC-A"/>
    <s v="STB1N1098HLCD"/>
    <x v="0"/>
    <s v="SWR"/>
    <s v="BAN"/>
    <d v="2021-09-23T00:00:00"/>
    <n v="98"/>
    <s v="Nashik"/>
    <s v="M-U7D2S04V.005,_x000a_MO-U7F2S240.005"/>
    <s v="Done by NW"/>
    <s v="UAT2Y440.012"/>
    <s v="Done by NW"/>
    <m/>
    <s v="16.07.2022"/>
    <s v="Done by NW"/>
    <s v="Conv-A DONE"/>
    <s v="Conv-A DONE"/>
    <s v="Conv-A DONE"/>
    <s v="Conv-A DONE"/>
    <s v="Done by NW"/>
    <m/>
    <s v="Done by NW"/>
    <s v="Conv-A DONE"/>
    <s v="Conv-A DONE"/>
    <m/>
    <m/>
    <m/>
    <s v="Conv-A DONE"/>
    <m/>
    <m/>
    <s v="21/07/24"/>
    <s v="Conv-A DONE"/>
    <d v="2024-02-03T00:00:00"/>
    <s v="Conv-A DONE"/>
    <s v="20/07/24"/>
    <m/>
    <s v="18/10/24"/>
    <m/>
  </r>
  <r>
    <n v="32"/>
    <n v="30824"/>
    <s v="HLC-B"/>
    <s v="STB1N1099HLCD"/>
    <x v="0"/>
    <s v="SWR"/>
    <s v="BAN"/>
    <d v="2021-09-23T00:00:00"/>
    <n v="99"/>
    <s v="Nashik"/>
    <s v="M-U7D2S04V.005,_x000a_MO-U7F2S240.005"/>
    <s v="Done by NW"/>
    <s v="UAT2Y440.012"/>
    <s v="Done by NW"/>
    <m/>
    <s v="16.07.2022"/>
    <s v="Done by NW"/>
    <s v="Conv-B DONE"/>
    <s v="Conv-B DONE"/>
    <s v="Conv-B DONE"/>
    <s v="Conv-B DONE"/>
    <s v="Done by NW"/>
    <m/>
    <s v="Done by NW"/>
    <s v="Conv-B DONE"/>
    <s v="Conv-B DONE"/>
    <m/>
    <m/>
    <m/>
    <s v="Conv-B DONE"/>
    <m/>
    <m/>
    <s v="21/07/24"/>
    <s v="Conv-B DONE"/>
    <d v="2024-02-03T00:00:00"/>
    <s v="Conv-B DONE"/>
    <s v="20/07/24"/>
    <m/>
    <s v="18/10/24"/>
    <m/>
  </r>
  <r>
    <n v="33"/>
    <n v="39212"/>
    <s v="HLC-A"/>
    <s v="STB2P1211HLCD"/>
    <x v="0"/>
    <s v="SWR"/>
    <s v="BAN"/>
    <d v="2023-01-07T00:00:00"/>
    <n v="211"/>
    <s v="Nashik"/>
    <s v="M-U7D2S04V.005,_x000a_MO-U7F2S240.005"/>
    <m/>
    <s v="UAT2Y440.012"/>
    <s v="Done by NW"/>
    <m/>
    <m/>
    <s v="Done by NW"/>
    <s v="Done by NW"/>
    <s v="Conv-A DONE"/>
    <s v="Conv-A DONE"/>
    <s v="Conv-A DONE"/>
    <s v="Done by NW"/>
    <m/>
    <s v="Done by NW"/>
    <s v="Conv-A DONE"/>
    <s v="Conv-A DONE"/>
    <m/>
    <m/>
    <m/>
    <s v="Conv-A DONE"/>
    <m/>
    <s v="Done by NW"/>
    <s v="13/07/24"/>
    <s v="Conv-A DONE"/>
    <d v="2024-05-02T00:00:00"/>
    <s v="Conv-A DONE"/>
    <m/>
    <m/>
    <m/>
    <m/>
  </r>
  <r>
    <n v="34"/>
    <n v="39212"/>
    <s v="HLC-B"/>
    <s v="STB2P1205HLCD"/>
    <x v="0"/>
    <s v="SWR"/>
    <s v="BAN"/>
    <d v="2023-01-07T00:00:00"/>
    <n v="205"/>
    <s v="Nashik"/>
    <s v="M-U7D2S04V.005,_x000a_MO-U7F2S240.005"/>
    <m/>
    <s v="UAT2Y440.012"/>
    <s v="Done by NW"/>
    <m/>
    <m/>
    <s v="Done by NW"/>
    <s v="Done by NW"/>
    <s v="Conv-B DONE"/>
    <s v="Conv-B DONE"/>
    <s v="Conv-B DONE"/>
    <s v="Done by NW"/>
    <m/>
    <s v="Done by NW"/>
    <s v="Conv-B DONE"/>
    <s v="Conv-B DONE"/>
    <m/>
    <m/>
    <m/>
    <s v="Conv-B DONE"/>
    <m/>
    <s v="Done by NW"/>
    <s v="13/07/24"/>
    <s v="Conv-B DONE"/>
    <d v="2024-05-02T00:00:00"/>
    <s v="Conv-B DONE"/>
    <m/>
    <m/>
    <m/>
    <m/>
  </r>
  <r>
    <n v="35"/>
    <n v="37607"/>
    <s v="HLC-A"/>
    <s v="STB4P1302HLCD"/>
    <x v="0"/>
    <s v="SWR"/>
    <s v="BAN"/>
    <d v="2023-06-17T00:00:00"/>
    <n v="302"/>
    <s v="Nashik"/>
    <s v="M-U7D2S04V.005,_x000a_MO-U7F2S240.005"/>
    <m/>
    <s v="UAT2Y440.012"/>
    <s v="Done by NW"/>
    <m/>
    <m/>
    <s v="Conv-A DONE"/>
    <s v="Done by NW"/>
    <s v="Conv-A DONE"/>
    <s v="Conv-A DONE"/>
    <s v="Done by NW"/>
    <s v="Done by NW"/>
    <m/>
    <s v="Done by NW"/>
    <s v="Conv-A DONE"/>
    <m/>
    <m/>
    <m/>
    <m/>
    <s v="Conv-A DONE"/>
    <m/>
    <s v="Done by NW"/>
    <s v="17/10/24"/>
    <s v="Conv-A DONE"/>
    <d v="2024-11-03T00:00:00"/>
    <s v="Conv-A DONE"/>
    <m/>
    <m/>
    <s v="17/10/24"/>
    <m/>
  </r>
  <r>
    <n v="36"/>
    <n v="37607"/>
    <s v="HLC-B"/>
    <s v="STB4P1303HLCD"/>
    <x v="0"/>
    <s v="SWR"/>
    <s v="BAN"/>
    <d v="2023-06-17T00:00:00"/>
    <n v="303"/>
    <s v="Nashik"/>
    <s v="M-U7D2S04V.005,_x000a_MO-U7F2S240.005"/>
    <m/>
    <s v="UAT2Y440.012"/>
    <s v="Done by NW"/>
    <m/>
    <m/>
    <s v="Conv-B DONE"/>
    <s v="Done by NW"/>
    <s v="Conv-B DONE"/>
    <s v="Conv-B DONE"/>
    <s v="Done by NW"/>
    <s v="Done by NW"/>
    <m/>
    <s v="Done by NW"/>
    <s v="Conv-B DONE"/>
    <m/>
    <m/>
    <m/>
    <m/>
    <s v="Conv-B DONE"/>
    <m/>
    <s v="Done by NW"/>
    <s v="17/10/24"/>
    <s v="Conv-B DONE"/>
    <d v="2024-11-03T00:00:00"/>
    <s v="Conv-B DONE"/>
    <m/>
    <m/>
    <s v="17/10/24"/>
    <m/>
  </r>
  <r>
    <n v="37"/>
    <n v="37608"/>
    <s v="HLC-A"/>
    <s v="STB4P1310HLCD"/>
    <x v="0"/>
    <s v="SWR"/>
    <s v="BAN"/>
    <d v="2023-06-08T00:00:00"/>
    <n v="310"/>
    <s v="Nashik"/>
    <s v="M-U7D2S04V.005,_x000a_MO-U7F2S240.005"/>
    <m/>
    <s v="UAT2Y440.012"/>
    <s v="Done by NW"/>
    <m/>
    <m/>
    <s v="Conv-A DONE"/>
    <s v="Done by NW"/>
    <s v="Conv-A DONE"/>
    <s v="Conv-A DONE"/>
    <s v="Done by NW"/>
    <s v="Done by NW"/>
    <m/>
    <s v="Done by NW"/>
    <s v="Conv-A DONE"/>
    <m/>
    <m/>
    <m/>
    <m/>
    <s v="Conv-A DONE"/>
    <m/>
    <m/>
    <s v="21/06/24"/>
    <s v="Conv-A DONE"/>
    <s v="Conv-A Done"/>
    <s v="Conv-A DONE"/>
    <m/>
    <m/>
    <s v="28/08/24"/>
    <m/>
  </r>
  <r>
    <n v="38"/>
    <n v="37608"/>
    <s v="HLC-B"/>
    <s v="STB4P1311HLCD"/>
    <x v="0"/>
    <s v="SWR"/>
    <s v="BAN"/>
    <d v="2023-06-08T00:00:00"/>
    <n v="311"/>
    <s v="Nashik"/>
    <s v="M-U7D2S04V.005,_x000a_MO-U7F2S240.005"/>
    <m/>
    <s v="UAT2Y440.012"/>
    <s v="Done by NW"/>
    <m/>
    <m/>
    <s v="Conv-B DONE"/>
    <s v="Done by NW"/>
    <s v="Conv-B DONE"/>
    <s v="Conv-B DONE"/>
    <s v="Done by NW"/>
    <s v="Done by NW"/>
    <m/>
    <s v="Done by NW"/>
    <s v="Conv-B DONE"/>
    <m/>
    <m/>
    <m/>
    <m/>
    <s v="Conv-B DONE"/>
    <m/>
    <m/>
    <s v="21/06/24"/>
    <s v="Conv-B DONE"/>
    <s v="Conv-B Done"/>
    <s v="Conv-B DONE"/>
    <m/>
    <m/>
    <s v="28/08/24"/>
    <m/>
  </r>
  <r>
    <n v="39"/>
    <n v="37614"/>
    <s v="HLC-A"/>
    <s v="STB4P1298HLCD"/>
    <x v="0"/>
    <s v="SWR"/>
    <s v="BAN"/>
    <d v="2023-11-09T00:00:00"/>
    <n v="298"/>
    <s v="Nashik"/>
    <s v="M-U7D2S04V.005,_x000a_MO-U7F2S240.005"/>
    <m/>
    <s v="UAT2Y440.012"/>
    <s v="Done by NW"/>
    <m/>
    <m/>
    <s v="Conv-A DONE"/>
    <s v="Done by NW"/>
    <s v="Done by NW"/>
    <s v="Done by NW"/>
    <s v="Done by NW"/>
    <s v="Conv-A DONE"/>
    <m/>
    <s v="Done by NW"/>
    <s v="Conv-A DONE"/>
    <m/>
    <m/>
    <m/>
    <m/>
    <s v="Conv-A DONE"/>
    <m/>
    <s v="Done by NW"/>
    <d v="2024-10-07T00:00:00"/>
    <s v="Conv-A DONE"/>
    <s v="Conv-A Done"/>
    <s v="Conv-A DONE"/>
    <m/>
    <m/>
    <m/>
    <m/>
  </r>
  <r>
    <n v="40"/>
    <n v="37614"/>
    <s v="HLC-B"/>
    <s v="STB4P1299HLCD"/>
    <x v="0"/>
    <s v="SWR"/>
    <s v="BAN"/>
    <d v="2023-11-09T00:00:00"/>
    <n v="299"/>
    <s v="Nashik"/>
    <s v="M-U7D2S04V.005,_x000a_MO-U7F2S240.005"/>
    <m/>
    <s v="UAT2Y440.012"/>
    <s v="Done by NW"/>
    <m/>
    <m/>
    <s v="Conv-B DONE"/>
    <s v="Done by NW"/>
    <s v="Done by NW"/>
    <s v="Done by NW"/>
    <s v="Done by NW"/>
    <s v="Conv-B DONE"/>
    <m/>
    <s v="Done by NW"/>
    <s v="Conv-B DONE"/>
    <m/>
    <m/>
    <m/>
    <m/>
    <s v="Conv-B DONE"/>
    <m/>
    <s v="Done by NW"/>
    <d v="2024-10-07T00:00:00"/>
    <s v="Conv-B DONE"/>
    <s v="Conv-B Done"/>
    <s v="Conv-B DONE"/>
    <m/>
    <m/>
    <m/>
    <m/>
  </r>
  <r>
    <n v="41"/>
    <n v="37615"/>
    <s v="HLC-A"/>
    <s v="STB4P1288HLCD"/>
    <x v="0"/>
    <s v="SWR"/>
    <s v="BAN"/>
    <d v="2023-11-04T00:00:00"/>
    <n v="288"/>
    <s v="Nashik"/>
    <s v="M-U7D2S04V.005,_x000a_MO-U7F2S240.005"/>
    <m/>
    <s v="UAT2Y440.012"/>
    <s v="Done by NW"/>
    <m/>
    <m/>
    <s v="Conv-A DONE"/>
    <s v="Done by NW"/>
    <s v="Done by NW"/>
    <s v="Done by NW"/>
    <s v="Done by NW"/>
    <s v="Conv-A DONE"/>
    <m/>
    <s v="Done by NW"/>
    <s v="Conv-A DONE"/>
    <m/>
    <m/>
    <m/>
    <m/>
    <s v="Conv-A DONE"/>
    <m/>
    <s v="Done by NW"/>
    <s v="15/07/24"/>
    <s v="Conv-A DONE"/>
    <s v="Conv-A Done"/>
    <s v="Conv-A DONE"/>
    <m/>
    <m/>
    <s v="20/09/24"/>
    <m/>
  </r>
  <r>
    <n v="42"/>
    <n v="37615"/>
    <s v="HLC-B"/>
    <s v="STB4P1289HLCD"/>
    <x v="0"/>
    <s v="SWR"/>
    <s v="BAN"/>
    <d v="2023-11-04T00:00:00"/>
    <n v="289"/>
    <s v="Nashik"/>
    <s v="M-U7D2S04V.005,_x000a_MO-U7F2S240.005"/>
    <m/>
    <s v="UAT2Y440.012"/>
    <s v="Done by NW"/>
    <m/>
    <m/>
    <s v="Conv-B DONE"/>
    <s v="Done by NW"/>
    <s v="Done by NW"/>
    <s v="Done by NW"/>
    <s v="Done by NW"/>
    <s v="Conv-B DONE"/>
    <m/>
    <s v="Done by NW"/>
    <s v="Conv-B DONE"/>
    <m/>
    <m/>
    <m/>
    <m/>
    <s v="Conv-B DONE"/>
    <m/>
    <s v="Done by NW"/>
    <s v="15/07/24"/>
    <s v="Conv-B DONE"/>
    <s v="Conv-B Done"/>
    <s v="Conv-B DONE"/>
    <m/>
    <m/>
    <s v="20/09/24"/>
    <m/>
  </r>
  <r>
    <n v="43"/>
    <n v="39298"/>
    <s v="HLC-A"/>
    <s v="STB6R1473HLCD"/>
    <x v="0"/>
    <s v="SWR"/>
    <s v="BAN"/>
    <d v="2024-01-11T00:00:00"/>
    <n v="473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Done by NW"/>
    <s v="Conv-A DONE"/>
    <m/>
    <m/>
    <m/>
    <m/>
    <s v="Done by NW"/>
    <m/>
    <s v="Done by NW"/>
    <d v="2024-04-08T00:00:00"/>
    <s v="Conv-A DONE"/>
    <s v="Conv-A Done"/>
    <s v="Conv-A DONE"/>
    <m/>
    <m/>
    <d v="2024-05-10T00:00:00"/>
    <m/>
  </r>
  <r>
    <n v="44"/>
    <n v="39298"/>
    <s v="HLC-B"/>
    <s v="STB6R1472HLCD"/>
    <x v="0"/>
    <s v="SWR"/>
    <s v="BAN"/>
    <d v="2024-01-11T00:00:00"/>
    <n v="472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Done by NW"/>
    <s v="Conv-B DONE"/>
    <m/>
    <m/>
    <m/>
    <m/>
    <s v="Done by NW"/>
    <m/>
    <s v="Done by NW"/>
    <d v="2024-04-08T00:00:00"/>
    <s v="Conv-B DONE"/>
    <s v="Conv-B Done"/>
    <s v="Conv-B DONE"/>
    <m/>
    <m/>
    <d v="2024-05-10T00:00:00"/>
    <m/>
  </r>
  <r>
    <n v="45"/>
    <n v="39304"/>
    <s v="HLC-A"/>
    <s v="STB4R1434HLCD"/>
    <x v="0"/>
    <s v="SWR"/>
    <s v="BAN"/>
    <d v="2024-01-18T00:00:00"/>
    <n v="434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Done by NW"/>
    <s v="Conv-A DONE"/>
    <m/>
    <m/>
    <m/>
    <m/>
    <s v="Done by NW"/>
    <m/>
    <s v="Done by NW"/>
    <s v="25/06/24"/>
    <s v="Conv-A DONE"/>
    <s v="Done by NW"/>
    <s v="Conv-A DONE"/>
    <m/>
    <m/>
    <s v="14/10/24"/>
    <m/>
  </r>
  <r>
    <n v="46"/>
    <n v="39304"/>
    <s v="HLC-B"/>
    <s v="STB4R1435HLCD"/>
    <x v="0"/>
    <s v="SWR"/>
    <s v="BAN"/>
    <d v="2024-01-18T00:00:00"/>
    <n v="435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Done by NW"/>
    <s v="Conv-B DONE"/>
    <m/>
    <m/>
    <m/>
    <m/>
    <s v="Done by NW"/>
    <m/>
    <s v="Done by NW"/>
    <s v="25/06/24"/>
    <s v="Conv-B DONE"/>
    <s v="Done by NW"/>
    <s v="Conv-B DONE"/>
    <m/>
    <m/>
    <s v="14/10/24"/>
    <m/>
  </r>
  <r>
    <n v="47"/>
    <n v="39294"/>
    <s v="HLC-A"/>
    <s v="STB6R1481HLCD"/>
    <x v="0"/>
    <s v="SWR"/>
    <s v="BAN"/>
    <d v="2024-01-21T00:00:00"/>
    <n v="481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s v="Conv-A DONE"/>
    <m/>
    <m/>
    <m/>
    <s v="Done by NW"/>
    <m/>
    <s v="Done by NW"/>
    <s v="13/08/24"/>
    <s v="Conv-A DONE"/>
    <s v="28/04/24"/>
    <s v="Conv-A DONE"/>
    <m/>
    <m/>
    <s v="20/09/24"/>
    <m/>
  </r>
  <r>
    <n v="48"/>
    <n v="39294"/>
    <s v="HLC-B"/>
    <s v="STB6R1480HLCD"/>
    <x v="0"/>
    <s v="SWR"/>
    <s v="BAN"/>
    <d v="2024-01-21T00:00:00"/>
    <n v="480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s v="Conv-B DONE"/>
    <m/>
    <m/>
    <m/>
    <s v="Done by NW"/>
    <m/>
    <s v="Done by NW"/>
    <s v="13/08/24"/>
    <s v="Conv-B DONE"/>
    <s v="28/04/24"/>
    <s v="Conv-A DONE"/>
    <m/>
    <m/>
    <s v="20/09/24"/>
    <m/>
  </r>
  <r>
    <n v="49"/>
    <n v="37651"/>
    <s v="HLC-A"/>
    <s v="STBR1511HLCD"/>
    <x v="0"/>
    <s v="SWR"/>
    <s v="BAN"/>
    <d v="2024-02-10T00:00:00"/>
    <n v="511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s v="Conv-A DONE"/>
    <m/>
    <m/>
    <m/>
    <s v="Done by NW"/>
    <m/>
    <s v="Done by NW"/>
    <d v="2024-01-08T00:00:00"/>
    <s v="Conv-A DONE"/>
    <d v="2024-10-02T00:00:00"/>
    <s v="Conv-B DONE"/>
    <m/>
    <m/>
    <m/>
    <m/>
  </r>
  <r>
    <n v="50"/>
    <n v="37651"/>
    <s v="HLC-B"/>
    <s v="STBR1510HLCD"/>
    <x v="0"/>
    <s v="SWR"/>
    <s v="BAN"/>
    <d v="2024-02-10T00:00:00"/>
    <n v="510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s v="Conv-B DONE"/>
    <m/>
    <m/>
    <m/>
    <s v="Done by NW"/>
    <m/>
    <s v="Done by NW"/>
    <d v="2024-01-08T00:00:00"/>
    <s v="Conv-B DONE"/>
    <d v="2024-10-02T00:00:00"/>
    <s v="Conv-A DONE"/>
    <m/>
    <m/>
    <m/>
    <m/>
  </r>
  <r>
    <n v="51"/>
    <n v="37650"/>
    <s v="HLC-A"/>
    <s v="STB7R1513HLCD"/>
    <x v="0"/>
    <s v="SWR"/>
    <s v="BAN"/>
    <d v="2024-02-16T00:00:00"/>
    <n v="513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m/>
    <m/>
    <m/>
    <m/>
    <s v="Done by NW"/>
    <m/>
    <s v="Done by NW"/>
    <s v="26/10/24"/>
    <s v="Conv-A DONE"/>
    <s v="16/02/24"/>
    <s v="Conv-B DONE"/>
    <m/>
    <m/>
    <m/>
    <m/>
  </r>
  <r>
    <n v="52"/>
    <n v="37650"/>
    <s v="HLC-B"/>
    <s v="STB7R1512HLCD"/>
    <x v="0"/>
    <s v="SWR"/>
    <s v="BAN"/>
    <d v="2024-02-16T00:00:00"/>
    <n v="512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m/>
    <m/>
    <m/>
    <m/>
    <s v="Done by NW"/>
    <m/>
    <s v="Done by NW"/>
    <s v="26/10/24"/>
    <s v="Conv-B DONE"/>
    <s v="16/02/24"/>
    <s v="Conv-A DONE"/>
    <m/>
    <m/>
    <m/>
    <m/>
  </r>
  <r>
    <n v="53"/>
    <n v="39315"/>
    <s v="HLC-A"/>
    <s v="STB7R1502HLCD"/>
    <x v="0"/>
    <s v="SWR"/>
    <s v="BAN"/>
    <d v="2024-02-27T00:00:00"/>
    <n v="502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m/>
    <m/>
    <m/>
    <m/>
    <s v="Done by NW"/>
    <m/>
    <s v="Done by NW"/>
    <s v="22/06/24"/>
    <s v="Conv-A DONE"/>
    <s v="25/10/24"/>
    <s v="Conv-B DONE"/>
    <m/>
    <m/>
    <m/>
    <m/>
  </r>
  <r>
    <n v="54"/>
    <n v="39315"/>
    <s v="HLC-B"/>
    <s v="STB7R1503HLCD"/>
    <x v="0"/>
    <s v="SWR"/>
    <s v="BAN"/>
    <d v="2024-02-27T00:00:00"/>
    <n v="503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m/>
    <m/>
    <m/>
    <m/>
    <s v="Done by NW"/>
    <m/>
    <s v="Done by NW"/>
    <s v="22/06/24"/>
    <s v="Conv-B DONE"/>
    <s v="25/10/24"/>
    <s v="Conv-A DONE"/>
    <m/>
    <m/>
    <m/>
    <m/>
  </r>
  <r>
    <n v="55"/>
    <n v="39318"/>
    <s v="HLC-A"/>
    <s v="STB6R1485HLCD"/>
    <x v="0"/>
    <s v="SWR"/>
    <s v="BAN"/>
    <d v="2024-02-20T00:00:00"/>
    <n v="485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m/>
    <m/>
    <m/>
    <m/>
    <s v="Done by NW"/>
    <m/>
    <s v="Done by NW"/>
    <m/>
    <s v="Conv-A DONE"/>
    <s v="20/02/24"/>
    <s v="Conv-B DONE"/>
    <m/>
    <m/>
    <m/>
    <m/>
  </r>
  <r>
    <n v="56"/>
    <n v="39318"/>
    <s v="HLC-B"/>
    <s v="STB6R1484HLCD"/>
    <x v="0"/>
    <s v="SWR"/>
    <s v="BAN"/>
    <d v="2024-02-20T00:00:00"/>
    <n v="484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m/>
    <m/>
    <m/>
    <m/>
    <s v="Done by NW"/>
    <m/>
    <s v="Done by NW"/>
    <m/>
    <s v="Conv-B DONE"/>
    <s v="20/02/24"/>
    <s v="Conv-A DONE"/>
    <m/>
    <m/>
    <m/>
    <m/>
  </r>
  <r>
    <n v="57"/>
    <n v="37679"/>
    <s v="HLC-A"/>
    <s v="STBNR1566HLCD"/>
    <x v="0"/>
    <s v="SWR"/>
    <s v="BAN"/>
    <d v="2024-03-28T00:00:00"/>
    <n v="566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m/>
    <m/>
    <m/>
    <m/>
    <s v="Done by NW"/>
    <m/>
    <s v="Done by NW"/>
    <s v="27/08/24"/>
    <s v="Conv-A DONE"/>
    <s v="Done by NW"/>
    <s v="Conv-B DONE"/>
    <m/>
    <m/>
    <s v="22/10/24"/>
    <m/>
  </r>
  <r>
    <n v="58"/>
    <n v="37679"/>
    <s v="HLC-B"/>
    <s v="STBNR1569HLCD"/>
    <x v="0"/>
    <s v="SWR"/>
    <s v="BAN"/>
    <d v="2024-03-28T00:00:00"/>
    <n v="569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m/>
    <m/>
    <m/>
    <m/>
    <s v="Done by NW"/>
    <m/>
    <s v="Done by NW"/>
    <s v="27/08/24"/>
    <s v="Conv-B DONE"/>
    <s v="Done by NW"/>
    <s v="Done by NW"/>
    <m/>
    <m/>
    <s v="22/10/24"/>
    <m/>
  </r>
  <r>
    <n v="59"/>
    <n v="37681"/>
    <s v="HLC-A"/>
    <s v="STBNR1562HLCD"/>
    <x v="0"/>
    <s v="SWR"/>
    <s v="BAN"/>
    <d v="2024-04-28T00:00:00"/>
    <n v="562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A DONE"/>
    <m/>
    <s v="Conv-A DONE"/>
    <s v="Conv-A DONE"/>
    <m/>
    <m/>
    <m/>
    <m/>
    <s v="Done by NW"/>
    <m/>
    <s v="Done by NW"/>
    <d v="2024-12-07T00:00:00"/>
    <s v="Conv-A DONE"/>
    <s v="Done by NW"/>
    <s v="Done by NW"/>
    <m/>
    <m/>
    <m/>
    <m/>
  </r>
  <r>
    <n v="60"/>
    <n v="37681"/>
    <s v="HLC-B"/>
    <s v="STB9R1548HLCD"/>
    <x v="0"/>
    <s v="SWR"/>
    <s v="BAN"/>
    <d v="2024-04-28T00:00:00"/>
    <n v="548"/>
    <s v="Nashik"/>
    <s v="M-U7D2S04V.005,_x000a_MO-U7F2S240.005"/>
    <m/>
    <s v="UAT2Y440.012"/>
    <s v="Done by NW"/>
    <m/>
    <m/>
    <s v="Done by NW"/>
    <s v="Done by NW"/>
    <s v="Done by NW"/>
    <s v="Done by NW"/>
    <s v="Done by NW"/>
    <s v="Conv-B DONE"/>
    <m/>
    <s v="Conv-B DONE"/>
    <s v="Conv-B DONE"/>
    <m/>
    <m/>
    <m/>
    <m/>
    <s v="Done by NW"/>
    <m/>
    <s v="Done by NW"/>
    <d v="2024-12-07T00:00:00"/>
    <s v="Conv-B DONE"/>
    <s v="Done by NW"/>
    <s v="Done by NW"/>
    <m/>
    <m/>
    <m/>
    <m/>
  </r>
  <r>
    <n v="61"/>
    <n v="37680"/>
    <s v="HLC-A"/>
    <s v="STBNR1568HLCD"/>
    <x v="0"/>
    <s v="SWR"/>
    <s v="BAN"/>
    <d v="2024-04-26T00:00:00"/>
    <n v="568"/>
    <s v="Nashik"/>
    <m/>
    <m/>
    <m/>
    <m/>
    <m/>
    <m/>
    <s v="Conv-A DONE"/>
    <s v="Conv-A DONE"/>
    <s v="Conv-A DONE"/>
    <s v="Conv-A DONE"/>
    <s v="Conv-A DONE"/>
    <s v="Conv-A DONE"/>
    <s v="Conv-A DONE"/>
    <m/>
    <m/>
    <m/>
    <m/>
    <m/>
    <m/>
    <s v="Done by NW"/>
    <m/>
    <s v="Done by NW"/>
    <d v="2024-08-08T00:00:00"/>
    <s v="Conv-A DONE"/>
    <s v="Done by NW"/>
    <s v="Done by NW"/>
    <m/>
    <m/>
    <s v="22/10/24"/>
    <m/>
  </r>
  <r>
    <n v="62"/>
    <n v="37680"/>
    <s v="HLC-B"/>
    <s v="STBNR1567HLCD"/>
    <x v="0"/>
    <s v="SWR"/>
    <s v="BAN"/>
    <d v="2024-04-26T00:00:00"/>
    <n v="567"/>
    <s v="Nashik"/>
    <m/>
    <m/>
    <m/>
    <m/>
    <m/>
    <m/>
    <s v="Conv-B DONE"/>
    <s v="Conv-B DONE"/>
    <s v="Conv-B DONE"/>
    <s v="Conv-B DONE"/>
    <s v="Conv-B DONE"/>
    <s v="Conv-B DONE"/>
    <s v="Conv-B DONE"/>
    <m/>
    <m/>
    <m/>
    <m/>
    <m/>
    <m/>
    <s v="Done by NW"/>
    <m/>
    <s v="Done by NW"/>
    <d v="2024-08-08T00:00:00"/>
    <s v="Conv-B DONE"/>
    <s v="Done by NW"/>
    <s v="Done by NW"/>
    <m/>
    <m/>
    <s v="22/10/24"/>
    <m/>
  </r>
  <r>
    <n v="63"/>
    <n v="37694"/>
    <s v="HLC-A"/>
    <s v="STB7R1515HLCD"/>
    <x v="0"/>
    <s v="SWR"/>
    <s v="BAN"/>
    <d v="2024-05-09T00:00:00"/>
    <n v="515"/>
    <s v="Nashik"/>
    <m/>
    <m/>
    <m/>
    <m/>
    <m/>
    <m/>
    <s v="Conv-A DONE"/>
    <s v="Conv-A DONE"/>
    <s v="Conv-A DONE"/>
    <s v="Conv-A DONE"/>
    <s v="Conv-A DONE"/>
    <s v="Conv-A DONE"/>
    <s v="Conv-A DONE"/>
    <m/>
    <m/>
    <m/>
    <m/>
    <m/>
    <m/>
    <s v="Done by NW"/>
    <m/>
    <s v="Done by NW"/>
    <s v="27/06/24"/>
    <s v="Conv-A DONE"/>
    <s v="Done by NW"/>
    <s v="Done by NW"/>
    <m/>
    <m/>
    <s v="15/10/24"/>
    <m/>
  </r>
  <r>
    <n v="64"/>
    <n v="37694"/>
    <s v="HLC-B"/>
    <s v="STB7R1517HLCD"/>
    <x v="0"/>
    <s v="SWR"/>
    <s v="BAN"/>
    <d v="2024-05-09T00:00:00"/>
    <n v="517"/>
    <s v="Nashik"/>
    <m/>
    <m/>
    <m/>
    <m/>
    <m/>
    <m/>
    <s v="Conv-B DONE"/>
    <s v="Conv-B DONE"/>
    <s v="Conv-B DONE"/>
    <s v="Conv-B DONE"/>
    <s v="Conv-B DONE"/>
    <s v="Conv-B DONE"/>
    <s v="Conv-B DONE"/>
    <m/>
    <m/>
    <m/>
    <m/>
    <m/>
    <m/>
    <s v="Done by NW"/>
    <m/>
    <s v="Done by NW"/>
    <s v="27/06/24"/>
    <s v="Conv-B DONE"/>
    <s v="Done by NW"/>
    <s v="Done by NW"/>
    <m/>
    <m/>
    <s v="15/10/24"/>
    <m/>
  </r>
  <r>
    <n v="65"/>
    <n v="37732"/>
    <s v="HLC-A"/>
    <s v="STB1S1615HLCD"/>
    <x v="0"/>
    <s v="SWR"/>
    <s v="BAN"/>
    <d v="2024-08-17T00:00:00"/>
    <n v="615"/>
    <s v="Nashik"/>
    <m/>
    <m/>
    <m/>
    <m/>
    <m/>
    <m/>
    <s v="Conv-A DONE"/>
    <s v="Conv-A DONE"/>
    <s v="Conv-A DONE"/>
    <s v="Conv-A DONE"/>
    <s v="Conv-A DONE"/>
    <s v="Conv-A DONE"/>
    <s v="Conv-A DONE"/>
    <m/>
    <m/>
    <m/>
    <m/>
    <m/>
    <m/>
    <m/>
    <m/>
    <s v="Done by NW"/>
    <s v="14/08/24"/>
    <s v="Conv-A DONE"/>
    <s v="Done by NW"/>
    <s v="Done by NW"/>
    <m/>
    <m/>
    <m/>
    <m/>
  </r>
  <r>
    <n v="66"/>
    <n v="37732"/>
    <s v="HLC-B"/>
    <s v="STB1S1614HLCD"/>
    <x v="0"/>
    <s v="SWR"/>
    <s v="BAN"/>
    <d v="2024-08-17T00:00:00"/>
    <n v="614"/>
    <s v="Nashik"/>
    <m/>
    <m/>
    <m/>
    <m/>
    <m/>
    <m/>
    <s v="Conv-B DONE"/>
    <s v="Conv-B DONE"/>
    <s v="Conv-B DONE"/>
    <s v="Conv-B DONE"/>
    <s v="Conv-B DONE"/>
    <s v="Conv-B DONE"/>
    <s v="Conv-B DONE"/>
    <m/>
    <m/>
    <m/>
    <m/>
    <m/>
    <m/>
    <m/>
    <m/>
    <s v="Done by NW"/>
    <s v="14/08/24"/>
    <s v="Conv-B DONE"/>
    <s v="Done by NW"/>
    <s v="Done by NW"/>
    <m/>
    <m/>
    <m/>
    <m/>
  </r>
  <r>
    <m/>
    <n v="37762"/>
    <s v="HLC-A"/>
    <s v="STB1S1594HLCD"/>
    <x v="0"/>
    <s v="SWR"/>
    <s v="BAN"/>
    <d v="2024-11-17T00:00:00"/>
    <n v="594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n v="37762"/>
    <s v="HLC-B"/>
    <s v="STB1S1595HLCD"/>
    <x v="0"/>
    <s v="SWR"/>
    <s v="BAN"/>
    <d v="2024-11-17T00:00:00"/>
    <n v="595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n v="37761"/>
    <s v="HLC-A"/>
    <s v="STB1S1593HLCD"/>
    <x v="0"/>
    <s v="SWR"/>
    <s v="BAN"/>
    <d v="2024-11-21T00:00:00"/>
    <n v="593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n v="37761"/>
    <s v="HLC-B"/>
    <s v="STB1S1592HLCD"/>
    <x v="0"/>
    <s v="SWR"/>
    <s v="BAN"/>
    <d v="2024-11-21T00:00:00"/>
    <n v="592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n v="39426"/>
    <s v="HLC-A"/>
    <s v="STB1S1604HLCD"/>
    <x v="0"/>
    <s v="SWR"/>
    <s v="BAN"/>
    <d v="2025-04-02T00:00:00"/>
    <n v="604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n v="39426"/>
    <s v="HLC-B"/>
    <s v="STB1S1605HLCD"/>
    <x v="0"/>
    <s v="SWR"/>
    <s v="BAN"/>
    <d v="2025-04-02T00:00:00"/>
    <n v="605"/>
    <s v="Nashik"/>
    <m/>
    <m/>
    <m/>
    <m/>
    <m/>
    <m/>
    <s v="Done by Nashik"/>
    <s v="Done by Nashik"/>
    <s v="Done by Nashik"/>
    <s v="Done by Nashik"/>
    <s v="Done by Nashik"/>
    <s v="Done by Nashik"/>
    <s v="Done by Nashik"/>
    <m/>
    <m/>
    <m/>
    <m/>
    <m/>
    <m/>
    <m/>
    <m/>
    <s v="Done by NW"/>
    <s v="Done by NW"/>
    <s v="Done by NW"/>
    <s v="Done by NW"/>
    <s v="Done by NW"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2E71-E62F-44DD-A347-09745428C045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7" firstHeaderRow="0" firstDataRow="1" firstDataCol="1" rowPageCount="1" colPageCount="1"/>
  <pivotFields count="40">
    <pivotField showAll="0"/>
    <pivotField axis="axisPage" dataField="1" showAll="0">
      <items count="91">
        <item x="3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m="1" x="88"/>
        <item x="10"/>
        <item x="11"/>
        <item x="36"/>
        <item x="37"/>
        <item x="29"/>
        <item x="30"/>
        <item x="38"/>
        <item x="31"/>
        <item x="39"/>
        <item x="34"/>
        <item x="33"/>
        <item x="32"/>
        <item x="40"/>
        <item m="1" x="87"/>
        <item x="41"/>
        <item x="42"/>
        <item x="43"/>
        <item x="44"/>
        <item x="12"/>
        <item x="13"/>
        <item x="14"/>
        <item x="15"/>
        <item x="16"/>
        <item x="17"/>
        <item x="18"/>
        <item x="19"/>
        <item x="20"/>
        <item x="27"/>
        <item x="28"/>
        <item x="21"/>
        <item x="22"/>
        <item x="23"/>
        <item x="24"/>
        <item x="25"/>
        <item x="26"/>
        <item x="45"/>
        <item x="86"/>
        <item m="1" x="89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axis="axisRow" showAll="0" sortType="ascending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4">
    <i>
      <x/>
    </i>
    <i>
      <x v="1"/>
    </i>
    <i>
      <x v="3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1" hier="-1"/>
  </pageFields>
  <dataFields count="20">
    <dataField name="Total Panel" fld="1" subtotal="count" baseField="4" baseItem="0"/>
    <dataField name=" Software version in Conv" fld="11" subtotal="count" baseField="0" baseItem="0"/>
    <dataField name="Software version of Text display" fld="13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4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Count of New Software version (UAT2Y44O.012) of display updation _x000a_*DATE*" fld="33" subtotal="count" baseField="0" baseItem="0"/>
    <dataField name="Count of Sine Filter Capacitor washer fitment and tightness of connection_x000a_*DATE*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oc wall" fld="38" subtotal="count" baseField="0" baseItem="0"/>
  </dataFields>
  <formats count="20">
    <format dxfId="2424">
      <pivotArea type="all" dataOnly="0" outline="0" fieldPosition="0"/>
    </format>
    <format dxfId="2423">
      <pivotArea outline="0" collapsedLevelsAreSubtotals="1" fieldPosition="0"/>
    </format>
    <format dxfId="2422">
      <pivotArea field="4" type="button" dataOnly="0" labelOnly="1" outline="0" axis="axisRow" fieldPosition="0"/>
    </format>
    <format dxfId="2421">
      <pivotArea dataOnly="0" labelOnly="1" fieldPosition="0">
        <references count="1">
          <reference field="4" count="0"/>
        </references>
      </pivotArea>
    </format>
    <format dxfId="2420">
      <pivotArea dataOnly="0" labelOnly="1" grandRow="1" outline="0" fieldPosition="0"/>
    </format>
    <format dxfId="2419">
      <pivotArea dataOnly="0" labelOnly="1" outline="0" fieldPosition="0">
        <references count="1">
          <reference field="4294967294" count="10">
            <x v="0"/>
            <x v="1"/>
            <x v="3"/>
            <x v="4"/>
            <x v="5"/>
            <x v="6"/>
            <x v="7"/>
            <x v="8"/>
            <x v="9"/>
            <x v="12"/>
          </reference>
        </references>
      </pivotArea>
    </format>
    <format dxfId="2418">
      <pivotArea type="all" dataOnly="0" outline="0" fieldPosition="0"/>
    </format>
    <format dxfId="2417">
      <pivotArea outline="0" collapsedLevelsAreSubtotals="1" fieldPosition="0"/>
    </format>
    <format dxfId="2416">
      <pivotArea field="4" type="button" dataOnly="0" labelOnly="1" outline="0" axis="axisRow" fieldPosition="0"/>
    </format>
    <format dxfId="2415">
      <pivotArea dataOnly="0" labelOnly="1" fieldPosition="0">
        <references count="1">
          <reference field="4" count="0"/>
        </references>
      </pivotArea>
    </format>
    <format dxfId="2414">
      <pivotArea dataOnly="0" labelOnly="1" grandRow="1" outline="0" fieldPosition="0"/>
    </format>
    <format dxfId="2413">
      <pivotArea dataOnly="0" labelOnly="1" outline="0" fieldPosition="0">
        <references count="1">
          <reference field="4294967294" count="10">
            <x v="0"/>
            <x v="1"/>
            <x v="3"/>
            <x v="4"/>
            <x v="5"/>
            <x v="6"/>
            <x v="7"/>
            <x v="8"/>
            <x v="9"/>
            <x v="12"/>
          </reference>
        </references>
      </pivotArea>
    </format>
    <format dxfId="2412">
      <pivotArea field="4" type="button" dataOnly="0" labelOnly="1" outline="0" axis="axisRow" fieldPosition="0"/>
    </format>
    <format dxfId="2411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410">
      <pivotArea type="all" dataOnly="0" outline="0" fieldPosition="0"/>
    </format>
    <format dxfId="2409">
      <pivotArea outline="0" collapsedLevelsAreSubtotals="1" fieldPosition="0"/>
    </format>
    <format dxfId="2408">
      <pivotArea field="4" type="button" dataOnly="0" labelOnly="1" outline="0" axis="axisRow" fieldPosition="0"/>
    </format>
    <format dxfId="2407">
      <pivotArea dataOnly="0" labelOnly="1" fieldPosition="0">
        <references count="1">
          <reference field="4" count="0"/>
        </references>
      </pivotArea>
    </format>
    <format dxfId="2406">
      <pivotArea dataOnly="0" labelOnly="1" grandRow="1" outline="0" fieldPosition="0"/>
    </format>
    <format dxfId="2405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2F4CA-624B-4028-9F20-9ECEE7698676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7" firstHeaderRow="0" firstDataRow="1" firstDataCol="1"/>
  <pivotFields count="40"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Total Panel" fld="1" subtotal="count" baseField="4" baseItem="0"/>
    <dataField name=" Software version in Conv" fld="11" subtotal="count" baseField="0" baseItem="0"/>
    <dataField name="Software version of Text display" fld="13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0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Count of New Software version (UAT2Y44O.012) of display updation _x000a_*DATE*" fld="33" subtotal="count" baseField="0" baseItem="0"/>
    <dataField name="Count of Sine Filter Capacitor washer fitment and tightness of connection_x000a_*DATE*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oc wall" fld="38" subtotal="count" baseField="0" baseItem="0"/>
  </dataFields>
  <formats count="26">
    <format dxfId="2397">
      <pivotArea type="all" dataOnly="0" outline="0" fieldPosition="0"/>
    </format>
    <format dxfId="2396">
      <pivotArea outline="0" collapsedLevelsAreSubtotals="1" fieldPosition="0"/>
    </format>
    <format dxfId="2395">
      <pivotArea field="4" type="button" dataOnly="0" labelOnly="1" outline="0" axis="axisRow" fieldPosition="0"/>
    </format>
    <format dxfId="2394">
      <pivotArea dataOnly="0" labelOnly="1" fieldPosition="0">
        <references count="1">
          <reference field="4" count="0"/>
        </references>
      </pivotArea>
    </format>
    <format dxfId="2393">
      <pivotArea dataOnly="0" labelOnly="1" grandRow="1" outline="0" fieldPosition="0"/>
    </format>
    <format dxfId="2392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91">
      <pivotArea type="all" dataOnly="0" outline="0" fieldPosition="0"/>
    </format>
    <format dxfId="2390">
      <pivotArea outline="0" collapsedLevelsAreSubtotals="1" fieldPosition="0"/>
    </format>
    <format dxfId="2389">
      <pivotArea field="4" type="button" dataOnly="0" labelOnly="1" outline="0" axis="axisRow" fieldPosition="0"/>
    </format>
    <format dxfId="2388">
      <pivotArea dataOnly="0" labelOnly="1" fieldPosition="0">
        <references count="1">
          <reference field="4" count="0"/>
        </references>
      </pivotArea>
    </format>
    <format dxfId="2387">
      <pivotArea dataOnly="0" labelOnly="1" grandRow="1" outline="0" fieldPosition="0"/>
    </format>
    <format dxfId="238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85">
      <pivotArea field="4" type="button" dataOnly="0" labelOnly="1" outline="0" axis="axisRow" fieldPosition="0"/>
    </format>
    <format dxfId="2384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383">
      <pivotArea type="all" dataOnly="0" outline="0" fieldPosition="0"/>
    </format>
    <format dxfId="2382">
      <pivotArea outline="0" collapsedLevelsAreSubtotals="1" fieldPosition="0"/>
    </format>
    <format dxfId="2381">
      <pivotArea field="4" type="button" dataOnly="0" labelOnly="1" outline="0" axis="axisRow" fieldPosition="0"/>
    </format>
    <format dxfId="2380">
      <pivotArea dataOnly="0" labelOnly="1" fieldPosition="0">
        <references count="1">
          <reference field="4" count="0"/>
        </references>
      </pivotArea>
    </format>
    <format dxfId="2379">
      <pivotArea dataOnly="0" labelOnly="1" grandRow="1" outline="0" fieldPosition="0"/>
    </format>
    <format dxfId="2378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377">
      <pivotArea type="all" dataOnly="0" outline="0" fieldPosition="0"/>
    </format>
    <format dxfId="2376">
      <pivotArea outline="0" collapsedLevelsAreSubtotals="1" fieldPosition="0"/>
    </format>
    <format dxfId="2375">
      <pivotArea field="4" type="button" dataOnly="0" labelOnly="1" outline="0" axis="axisRow" fieldPosition="0"/>
    </format>
    <format dxfId="2374">
      <pivotArea dataOnly="0" labelOnly="1" fieldPosition="0">
        <references count="1">
          <reference field="4" count="0"/>
        </references>
      </pivotArea>
    </format>
    <format dxfId="2373">
      <pivotArea dataOnly="0" labelOnly="1" grandRow="1" outline="0" fieldPosition="0"/>
    </format>
    <format dxfId="2372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FF900-9695-4795-8C73-E7EFA39D022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14" firstHeaderRow="0" firstDataRow="1" firstDataCol="1"/>
  <pivotFields count="40">
    <pivotField showAll="0"/>
    <pivotField dataField="1" showAll="0"/>
    <pivotField showAll="0"/>
    <pivotField showAll="0"/>
    <pivotField axis="axisRow" showAll="0" sortType="ascending">
      <items count="12">
        <item x="7"/>
        <item x="6"/>
        <item x="0"/>
        <item x="9"/>
        <item m="1" x="10"/>
        <item x="3"/>
        <item x="4"/>
        <item x="1"/>
        <item x="8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Total Panel" fld="1" subtotal="count" baseField="4" baseItem="0"/>
    <dataField name=" Software version in Conv" fld="11" subtotal="count" baseField="0" baseItem="0"/>
    <dataField name="Software version of Text display" fld="13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0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Count of New Software version (UAT2Y44O.012) of display updation _x000a_*DATE*" fld="33" subtotal="count" baseField="0" baseItem="0"/>
    <dataField name="Count of Sine Filter Capacitor washer fitment and tightness of connection_x000a_*DATE*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co wall" fld="38" subtotal="count" baseField="0" baseItem="0"/>
  </dataFields>
  <formats count="27">
    <format dxfId="2362">
      <pivotArea type="all" dataOnly="0" outline="0" fieldPosition="0"/>
    </format>
    <format dxfId="2361">
      <pivotArea outline="0" collapsedLevelsAreSubtotals="1" fieldPosition="0"/>
    </format>
    <format dxfId="2360">
      <pivotArea field="4" type="button" dataOnly="0" labelOnly="1" outline="0" axis="axisRow" fieldPosition="0"/>
    </format>
    <format dxfId="2359">
      <pivotArea dataOnly="0" labelOnly="1" fieldPosition="0">
        <references count="1">
          <reference field="4" count="0"/>
        </references>
      </pivotArea>
    </format>
    <format dxfId="2358">
      <pivotArea dataOnly="0" labelOnly="1" grandRow="1" outline="0" fieldPosition="0"/>
    </format>
    <format dxfId="2357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56">
      <pivotArea type="all" dataOnly="0" outline="0" fieldPosition="0"/>
    </format>
    <format dxfId="2355">
      <pivotArea outline="0" collapsedLevelsAreSubtotals="1" fieldPosition="0"/>
    </format>
    <format dxfId="2354">
      <pivotArea field="4" type="button" dataOnly="0" labelOnly="1" outline="0" axis="axisRow" fieldPosition="0"/>
    </format>
    <format dxfId="2353">
      <pivotArea dataOnly="0" labelOnly="1" fieldPosition="0">
        <references count="1">
          <reference field="4" count="0"/>
        </references>
      </pivotArea>
    </format>
    <format dxfId="2352">
      <pivotArea dataOnly="0" labelOnly="1" grandRow="1" outline="0" fieldPosition="0"/>
    </format>
    <format dxfId="2351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50">
      <pivotArea field="4" type="button" dataOnly="0" labelOnly="1" outline="0" axis="axisRow" fieldPosition="0"/>
    </format>
    <format dxfId="2349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348">
      <pivotArea type="all" dataOnly="0" outline="0" fieldPosition="0"/>
    </format>
    <format dxfId="2347">
      <pivotArea outline="0" collapsedLevelsAreSubtotals="1" fieldPosition="0"/>
    </format>
    <format dxfId="2346">
      <pivotArea field="4" type="button" dataOnly="0" labelOnly="1" outline="0" axis="axisRow" fieldPosition="0"/>
    </format>
    <format dxfId="2345">
      <pivotArea dataOnly="0" labelOnly="1" fieldPosition="0">
        <references count="1">
          <reference field="4" count="0"/>
        </references>
      </pivotArea>
    </format>
    <format dxfId="2344">
      <pivotArea dataOnly="0" labelOnly="1" grandRow="1" outline="0" fieldPosition="0"/>
    </format>
    <format dxfId="2343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342">
      <pivotArea type="all" dataOnly="0" outline="0" fieldPosition="0"/>
    </format>
    <format dxfId="2341">
      <pivotArea outline="0" collapsedLevelsAreSubtotals="1" fieldPosition="0"/>
    </format>
    <format dxfId="2340">
      <pivotArea field="4" type="button" dataOnly="0" labelOnly="1" outline="0" axis="axisRow" fieldPosition="0"/>
    </format>
    <format dxfId="2339">
      <pivotArea dataOnly="0" labelOnly="1" fieldPosition="0">
        <references count="1">
          <reference field="4" count="0"/>
        </references>
      </pivotArea>
    </format>
    <format dxfId="2338">
      <pivotArea dataOnly="0" labelOnly="1" grandRow="1" outline="0" fieldPosition="0"/>
    </format>
    <format dxfId="2337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336">
      <pivotArea dataOnly="0" labelOnly="1" outline="0" fieldPosition="0">
        <references count="1">
          <reference field="4294967294" count="3"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18956-4EB6-4A96-A12D-49E8C92E5317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16" firstHeaderRow="0" firstDataRow="1" firstDataCol="1"/>
  <pivotFields count="40">
    <pivotField showAll="0"/>
    <pivotField dataField="1" showAll="0"/>
    <pivotField showAll="0"/>
    <pivotField showAll="0"/>
    <pivotField axis="axisRow" showAll="0">
      <items count="13">
        <item x="1"/>
        <item x="2"/>
        <item x="6"/>
        <item x="4"/>
        <item x="3"/>
        <item x="7"/>
        <item x="11"/>
        <item x="5"/>
        <item x="9"/>
        <item x="0"/>
        <item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Total Panel" fld="1" subtotal="count" baseField="4" baseItem="0"/>
    <dataField name=" Software version in Conv" fld="11" subtotal="count" baseField="0" baseItem="0"/>
    <dataField name="Software version of Text display" fld="13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0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Count of New Software version (UAT2Y44O.012) of display updation _x000a_*DATE*" fld="33" subtotal="count" baseField="0" baseItem="0"/>
    <dataField name="Count of Sine Filter Capacitor washer fitment and tightness of connection_x000a_*DATE*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co wall" fld="38" subtotal="count" baseField="0" baseItem="0"/>
  </dataFields>
  <formats count="27">
    <format dxfId="2335">
      <pivotArea type="all" dataOnly="0" outline="0" fieldPosition="0"/>
    </format>
    <format dxfId="2334">
      <pivotArea outline="0" collapsedLevelsAreSubtotals="1" fieldPosition="0"/>
    </format>
    <format dxfId="2333">
      <pivotArea field="4" type="button" dataOnly="0" labelOnly="1" outline="0" axis="axisRow" fieldPosition="0"/>
    </format>
    <format dxfId="2332">
      <pivotArea dataOnly="0" labelOnly="1" fieldPosition="0">
        <references count="1">
          <reference field="4" count="0"/>
        </references>
      </pivotArea>
    </format>
    <format dxfId="2331">
      <pivotArea dataOnly="0" labelOnly="1" grandRow="1" outline="0" fieldPosition="0"/>
    </format>
    <format dxfId="233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329">
      <pivotArea type="all" dataOnly="0" outline="0" fieldPosition="0"/>
    </format>
    <format dxfId="2328">
      <pivotArea outline="0" collapsedLevelsAreSubtotals="1" fieldPosition="0"/>
    </format>
    <format dxfId="2327">
      <pivotArea field="4" type="button" dataOnly="0" labelOnly="1" outline="0" axis="axisRow" fieldPosition="0"/>
    </format>
    <format dxfId="2326">
      <pivotArea dataOnly="0" labelOnly="1" fieldPosition="0">
        <references count="1">
          <reference field="4" count="0"/>
        </references>
      </pivotArea>
    </format>
    <format dxfId="2325">
      <pivotArea dataOnly="0" labelOnly="1" grandRow="1" outline="0" fieldPosition="0"/>
    </format>
    <format dxfId="2324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323">
      <pivotArea field="4" type="button" dataOnly="0" labelOnly="1" outline="0" axis="axisRow" fieldPosition="0"/>
    </format>
    <format dxfId="2322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32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320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319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318">
      <pivotArea dataOnly="0" labelOnly="1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2317">
      <pivotArea type="all" dataOnly="0" outline="0" fieldPosition="0"/>
    </format>
    <format dxfId="2316">
      <pivotArea outline="0" collapsedLevelsAreSubtotals="1" fieldPosition="0"/>
    </format>
    <format dxfId="2315">
      <pivotArea field="4" type="button" dataOnly="0" labelOnly="1" outline="0" axis="axisRow" fieldPosition="0"/>
    </format>
    <format dxfId="2314">
      <pivotArea dataOnly="0" labelOnly="1" fieldPosition="0">
        <references count="1">
          <reference field="4" count="0"/>
        </references>
      </pivotArea>
    </format>
    <format dxfId="2313">
      <pivotArea dataOnly="0" labelOnly="1" grandRow="1" outline="0" fieldPosition="0"/>
    </format>
    <format dxfId="2312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3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0">
      <pivotArea field="4" type="button" dataOnly="0" labelOnly="1" outline="0" axis="axisRow" fieldPosition="0"/>
    </format>
    <format dxfId="230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CB49C-097C-4CA2-B469-717FD4F8C6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12" firstHeaderRow="1" firstDataRow="2" firstDataCol="3"/>
  <pivotFields count="29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31">
        <item x="21"/>
        <item x="13"/>
        <item x="14"/>
        <item x="2"/>
        <item x="4"/>
        <item m="1" x="28"/>
        <item m="1" x="30"/>
        <item x="10"/>
        <item x="17"/>
        <item x="22"/>
        <item x="23"/>
        <item x="11"/>
        <item x="0"/>
        <item x="12"/>
        <item x="3"/>
        <item x="18"/>
        <item x="19"/>
        <item m="1" x="27"/>
        <item x="24"/>
        <item x="20"/>
        <item x="1"/>
        <item m="1" x="29"/>
        <item x="25"/>
        <item x="5"/>
        <item x="6"/>
        <item x="7"/>
        <item x="8"/>
        <item x="9"/>
        <item x="15"/>
        <item x="16"/>
        <item x="26"/>
      </items>
    </pivotField>
    <pivotField compact="0" outline="0" showAll="0"/>
    <pivotField axis="axisRow" compact="0" outline="0" showAll="0">
      <items count="8">
        <item sd="0" x="0"/>
        <item sd="0" x="2"/>
        <item sd="0" x="3"/>
        <item sd="0" x="4"/>
        <item sd="0" x="5"/>
        <item sd="0" x="6"/>
        <item sd="0"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6"/>
    <field x="4"/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anels" fld="3" subtotal="count" baseField="6" baseItem="0"/>
    <dataField name="M2500 Software" fld="11" subtotal="count" baseField="6" baseItem="0"/>
    <dataField name="20Amp fuse" fld="17" subtotal="count" baseField="6" baseItem="0"/>
  </dataFields>
  <formats count="190">
    <format dxfId="2308">
      <pivotArea outline="0" collapsedLevelsAreSubtotals="1" fieldPosition="0"/>
    </format>
    <format dxfId="23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06">
      <pivotArea type="origin" dataOnly="0" labelOnly="1" outline="0" fieldPosition="0"/>
    </format>
    <format dxfId="2305">
      <pivotArea field="6" type="button" dataOnly="0" labelOnly="1" outline="0" axis="axisRow" fieldPosition="0"/>
    </format>
    <format dxfId="2304">
      <pivotArea field="4" type="button" dataOnly="0" labelOnly="1" outline="0" axis="axisRow" fieldPosition="1"/>
    </format>
    <format dxfId="2303">
      <pivotArea dataOnly="0" labelOnly="1" outline="0" fieldPosition="0">
        <references count="1">
          <reference field="6" count="1">
            <x v="0"/>
          </reference>
        </references>
      </pivotArea>
    </format>
    <format dxfId="2302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2301">
      <pivotArea dataOnly="0" labelOnly="1" outline="0" fieldPosition="0">
        <references count="1">
          <reference field="6" count="1">
            <x v="1"/>
          </reference>
        </references>
      </pivotArea>
    </format>
    <format dxfId="2300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2299">
      <pivotArea dataOnly="0" labelOnly="1" outline="0" fieldPosition="0">
        <references count="1">
          <reference field="6" count="1">
            <x v="2"/>
          </reference>
        </references>
      </pivotArea>
    </format>
    <format dxfId="2298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2297">
      <pivotArea dataOnly="0" labelOnly="1" outline="0" fieldPosition="0">
        <references count="1">
          <reference field="6" count="1">
            <x v="3"/>
          </reference>
        </references>
      </pivotArea>
    </format>
    <format dxfId="2296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2295">
      <pivotArea dataOnly="0" labelOnly="1" outline="0" fieldPosition="0">
        <references count="1">
          <reference field="6" count="1">
            <x v="4"/>
          </reference>
        </references>
      </pivotArea>
    </format>
    <format dxfId="2294">
      <pivotArea dataOnly="0" labelOnly="1" outline="0" fieldPosition="0">
        <references count="1">
          <reference field="6" count="1" defaultSubtotal="1">
            <x v="4"/>
          </reference>
        </references>
      </pivotArea>
    </format>
    <format dxfId="2293">
      <pivotArea dataOnly="0" labelOnly="1" outline="0" fieldPosition="0">
        <references count="1">
          <reference field="6" count="1">
            <x v="5"/>
          </reference>
        </references>
      </pivotArea>
    </format>
    <format dxfId="2292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2291">
      <pivotArea dataOnly="0" labelOnly="1" outline="0" fieldPosition="0">
        <references count="1">
          <reference field="6" count="1">
            <x v="6"/>
          </reference>
        </references>
      </pivotArea>
    </format>
    <format dxfId="2290">
      <pivotArea dataOnly="0" labelOnly="1" outline="0" fieldPosition="0">
        <references count="1">
          <reference field="6" count="1" defaultSubtotal="1">
            <x v="6"/>
          </reference>
        </references>
      </pivotArea>
    </format>
    <format dxfId="2289">
      <pivotArea dataOnly="0" labelOnly="1" grandRow="1" outline="0" fieldPosition="0"/>
    </format>
    <format dxfId="2288">
      <pivotArea dataOnly="0" labelOnly="1" outline="0" fieldPosition="0">
        <references count="2">
          <reference field="4" count="1">
            <x v="12"/>
          </reference>
          <reference field="6" count="1" selected="0">
            <x v="0"/>
          </reference>
        </references>
      </pivotArea>
    </format>
    <format dxfId="2287">
      <pivotArea dataOnly="0" labelOnly="1" outline="0" fieldPosition="0">
        <references count="2">
          <reference field="4" count="1" defaultSubtotal="1">
            <x v="12"/>
          </reference>
          <reference field="6" count="1" selected="0">
            <x v="0"/>
          </reference>
        </references>
      </pivotArea>
    </format>
    <format dxfId="2286">
      <pivotArea dataOnly="0" labelOnly="1" outline="0" fieldPosition="0">
        <references count="2">
          <reference field="4" count="1">
            <x v="3"/>
          </reference>
          <reference field="6" count="1" selected="0">
            <x v="1"/>
          </reference>
        </references>
      </pivotArea>
    </format>
    <format dxfId="2285">
      <pivotArea dataOnly="0" labelOnly="1" outline="0" fieldPosition="0">
        <references count="2"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2284">
      <pivotArea dataOnly="0" labelOnly="1" outline="0" fieldPosition="0">
        <references count="2">
          <reference field="4" count="1">
            <x v="14"/>
          </reference>
          <reference field="6" count="1" selected="0">
            <x v="1"/>
          </reference>
        </references>
      </pivotArea>
    </format>
    <format dxfId="2283">
      <pivotArea dataOnly="0" labelOnly="1" outline="0" fieldPosition="0">
        <references count="2">
          <reference field="4" count="1" defaultSubtotal="1">
            <x v="14"/>
          </reference>
          <reference field="6" count="1" selected="0">
            <x v="1"/>
          </reference>
        </references>
      </pivotArea>
    </format>
    <format dxfId="2282">
      <pivotArea dataOnly="0" labelOnly="1" outline="0" fieldPosition="0">
        <references count="2">
          <reference field="4" count="1">
            <x v="4"/>
          </reference>
          <reference field="6" count="1" selected="0">
            <x v="2"/>
          </reference>
        </references>
      </pivotArea>
    </format>
    <format dxfId="2281">
      <pivotArea dataOnly="0" labelOnly="1" outline="0" fieldPosition="0">
        <references count="2">
          <reference field="4" count="1" defaultSubtotal="1">
            <x v="4"/>
          </reference>
          <reference field="6" count="1" selected="0">
            <x v="2"/>
          </reference>
        </references>
      </pivotArea>
    </format>
    <format dxfId="2280">
      <pivotArea dataOnly="0" labelOnly="1" outline="0" fieldPosition="0">
        <references count="2">
          <reference field="4" count="1">
            <x v="11"/>
          </reference>
          <reference field="6" count="1" selected="0">
            <x v="2"/>
          </reference>
        </references>
      </pivotArea>
    </format>
    <format dxfId="2279">
      <pivotArea dataOnly="0" labelOnly="1" outline="0" fieldPosition="0">
        <references count="2">
          <reference field="4" count="1" defaultSubtotal="1">
            <x v="11"/>
          </reference>
          <reference field="6" count="1" selected="0">
            <x v="2"/>
          </reference>
        </references>
      </pivotArea>
    </format>
    <format dxfId="2278">
      <pivotArea dataOnly="0" labelOnly="1" outline="0" fieldPosition="0">
        <references count="2">
          <reference field="4" count="1">
            <x v="17"/>
          </reference>
          <reference field="6" count="1" selected="0">
            <x v="2"/>
          </reference>
        </references>
      </pivotArea>
    </format>
    <format dxfId="2277">
      <pivotArea dataOnly="0" labelOnly="1" outline="0" fieldPosition="0">
        <references count="2">
          <reference field="4" count="1" defaultSubtotal="1">
            <x v="17"/>
          </reference>
          <reference field="6" count="1" selected="0">
            <x v="2"/>
          </reference>
        </references>
      </pivotArea>
    </format>
    <format dxfId="2276">
      <pivotArea dataOnly="0" labelOnly="1" outline="0" fieldPosition="0">
        <references count="2">
          <reference field="4" count="1">
            <x v="13"/>
          </reference>
          <reference field="6" count="1" selected="0">
            <x v="3"/>
          </reference>
        </references>
      </pivotArea>
    </format>
    <format dxfId="2275">
      <pivotArea dataOnly="0" labelOnly="1" outline="0" fieldPosition="0">
        <references count="2">
          <reference field="4" count="1" defaultSubtotal="1">
            <x v="13"/>
          </reference>
          <reference field="6" count="1" selected="0">
            <x v="3"/>
          </reference>
        </references>
      </pivotArea>
    </format>
    <format dxfId="2274">
      <pivotArea dataOnly="0" labelOnly="1" outline="0" fieldPosition="0">
        <references count="2">
          <reference field="4" count="1">
            <x v="1"/>
          </reference>
          <reference field="6" count="1" selected="0">
            <x v="4"/>
          </reference>
        </references>
      </pivotArea>
    </format>
    <format dxfId="2273">
      <pivotArea dataOnly="0" labelOnly="1" outline="0" fieldPosition="0">
        <references count="2">
          <reference field="4" count="1" defaultSubtotal="1">
            <x v="1"/>
          </reference>
          <reference field="6" count="1" selected="0">
            <x v="4"/>
          </reference>
        </references>
      </pivotArea>
    </format>
    <format dxfId="2272">
      <pivotArea dataOnly="0" labelOnly="1" outline="0" fieldPosition="0">
        <references count="2">
          <reference field="4" count="1">
            <x v="2"/>
          </reference>
          <reference field="6" count="1" selected="0">
            <x v="4"/>
          </reference>
        </references>
      </pivotArea>
    </format>
    <format dxfId="2271">
      <pivotArea dataOnly="0" labelOnly="1" outline="0" fieldPosition="0">
        <references count="2">
          <reference field="4" count="1" defaultSubtotal="1">
            <x v="2"/>
          </reference>
          <reference field="6" count="1" selected="0">
            <x v="4"/>
          </reference>
        </references>
      </pivotArea>
    </format>
    <format dxfId="2270">
      <pivotArea dataOnly="0" labelOnly="1" outline="0" fieldPosition="0">
        <references count="2">
          <reference field="4" count="1">
            <x v="5"/>
          </reference>
          <reference field="6" count="1" selected="0">
            <x v="4"/>
          </reference>
        </references>
      </pivotArea>
    </format>
    <format dxfId="2269">
      <pivotArea dataOnly="0" labelOnly="1" outline="0" fieldPosition="0">
        <references count="2">
          <reference field="4" count="1" defaultSubtotal="1">
            <x v="5"/>
          </reference>
          <reference field="6" count="1" selected="0">
            <x v="4"/>
          </reference>
        </references>
      </pivotArea>
    </format>
    <format dxfId="2268">
      <pivotArea dataOnly="0" labelOnly="1" outline="0" fieldPosition="0">
        <references count="2">
          <reference field="4" count="1">
            <x v="6"/>
          </reference>
          <reference field="6" count="1" selected="0">
            <x v="4"/>
          </reference>
        </references>
      </pivotArea>
    </format>
    <format dxfId="2267">
      <pivotArea dataOnly="0" labelOnly="1" outline="0" fieldPosition="0">
        <references count="2">
          <reference field="4" count="1" defaultSubtotal="1">
            <x v="6"/>
          </reference>
          <reference field="6" count="1" selected="0">
            <x v="4"/>
          </reference>
        </references>
      </pivotArea>
    </format>
    <format dxfId="2266">
      <pivotArea dataOnly="0" labelOnly="1" outline="0" fieldPosition="0">
        <references count="2">
          <reference field="4" count="1">
            <x v="7"/>
          </reference>
          <reference field="6" count="1" selected="0">
            <x v="4"/>
          </reference>
        </references>
      </pivotArea>
    </format>
    <format dxfId="2265">
      <pivotArea dataOnly="0" labelOnly="1" outline="0" fieldPosition="0">
        <references count="2">
          <reference field="4" count="1" defaultSubtotal="1">
            <x v="7"/>
          </reference>
          <reference field="6" count="1" selected="0">
            <x v="4"/>
          </reference>
        </references>
      </pivotArea>
    </format>
    <format dxfId="2264">
      <pivotArea dataOnly="0" labelOnly="1" outline="0" fieldPosition="0">
        <references count="2">
          <reference field="4" count="1">
            <x v="8"/>
          </reference>
          <reference field="6" count="1" selected="0">
            <x v="4"/>
          </reference>
        </references>
      </pivotArea>
    </format>
    <format dxfId="2263">
      <pivotArea dataOnly="0" labelOnly="1" outline="0" fieldPosition="0">
        <references count="2">
          <reference field="4" count="1" defaultSubtotal="1">
            <x v="8"/>
          </reference>
          <reference field="6" count="1" selected="0">
            <x v="4"/>
          </reference>
        </references>
      </pivotArea>
    </format>
    <format dxfId="2262">
      <pivotArea dataOnly="0" labelOnly="1" outline="0" fieldPosition="0">
        <references count="2">
          <reference field="4" count="1">
            <x v="15"/>
          </reference>
          <reference field="6" count="1" selected="0">
            <x v="4"/>
          </reference>
        </references>
      </pivotArea>
    </format>
    <format dxfId="2261">
      <pivotArea dataOnly="0" labelOnly="1" outline="0" fieldPosition="0">
        <references count="2">
          <reference field="4" count="1" defaultSubtotal="1">
            <x v="15"/>
          </reference>
          <reference field="6" count="1" selected="0">
            <x v="4"/>
          </reference>
        </references>
      </pivotArea>
    </format>
    <format dxfId="2260">
      <pivotArea dataOnly="0" labelOnly="1" outline="0" fieldPosition="0">
        <references count="2">
          <reference field="4" count="1">
            <x v="16"/>
          </reference>
          <reference field="6" count="1" selected="0">
            <x v="4"/>
          </reference>
        </references>
      </pivotArea>
    </format>
    <format dxfId="2259">
      <pivotArea dataOnly="0" labelOnly="1" outline="0" fieldPosition="0">
        <references count="2">
          <reference field="4" count="1" defaultSubtotal="1">
            <x v="16"/>
          </reference>
          <reference field="6" count="1" selected="0">
            <x v="4"/>
          </reference>
        </references>
      </pivotArea>
    </format>
    <format dxfId="2258">
      <pivotArea dataOnly="0" labelOnly="1" outline="0" fieldPosition="0">
        <references count="2">
          <reference field="4" count="1">
            <x v="19"/>
          </reference>
          <reference field="6" count="1" selected="0">
            <x v="4"/>
          </reference>
        </references>
      </pivotArea>
    </format>
    <format dxfId="2257">
      <pivotArea dataOnly="0" labelOnly="1" outline="0" fieldPosition="0">
        <references count="2">
          <reference field="4" count="1" defaultSubtotal="1">
            <x v="19"/>
          </reference>
          <reference field="6" count="1" selected="0">
            <x v="4"/>
          </reference>
        </references>
      </pivotArea>
    </format>
    <format dxfId="2256">
      <pivotArea dataOnly="0" labelOnly="1" outline="0" fieldPosition="0">
        <references count="2">
          <reference field="4" count="1">
            <x v="0"/>
          </reference>
          <reference field="6" count="1" selected="0">
            <x v="5"/>
          </reference>
        </references>
      </pivotArea>
    </format>
    <format dxfId="2255">
      <pivotArea dataOnly="0" labelOnly="1" outline="0" fieldPosition="0">
        <references count="2">
          <reference field="4" count="1" defaultSubtotal="1">
            <x v="0"/>
          </reference>
          <reference field="6" count="1" selected="0">
            <x v="5"/>
          </reference>
        </references>
      </pivotArea>
    </format>
    <format dxfId="2254">
      <pivotArea dataOnly="0" labelOnly="1" outline="0" fieldPosition="0">
        <references count="2">
          <reference field="4" count="1">
            <x v="9"/>
          </reference>
          <reference field="6" count="1" selected="0">
            <x v="5"/>
          </reference>
        </references>
      </pivotArea>
    </format>
    <format dxfId="2253">
      <pivotArea dataOnly="0" labelOnly="1" outline="0" fieldPosition="0">
        <references count="2">
          <reference field="4" count="1" defaultSubtotal="1">
            <x v="9"/>
          </reference>
          <reference field="6" count="1" selected="0">
            <x v="5"/>
          </reference>
        </references>
      </pivotArea>
    </format>
    <format dxfId="2252">
      <pivotArea dataOnly="0" labelOnly="1" outline="0" fieldPosition="0">
        <references count="2">
          <reference field="4" count="1">
            <x v="10"/>
          </reference>
          <reference field="6" count="1" selected="0">
            <x v="5"/>
          </reference>
        </references>
      </pivotArea>
    </format>
    <format dxfId="2251">
      <pivotArea dataOnly="0" labelOnly="1" outline="0" fieldPosition="0">
        <references count="2">
          <reference field="4" count="1" defaultSubtotal="1">
            <x v="10"/>
          </reference>
          <reference field="6" count="1" selected="0">
            <x v="5"/>
          </reference>
        </references>
      </pivotArea>
    </format>
    <format dxfId="2250">
      <pivotArea dataOnly="0" labelOnly="1" outline="0" fieldPosition="0">
        <references count="2">
          <reference field="4" count="1">
            <x v="18"/>
          </reference>
          <reference field="6" count="1" selected="0">
            <x v="5"/>
          </reference>
        </references>
      </pivotArea>
    </format>
    <format dxfId="2249">
      <pivotArea dataOnly="0" labelOnly="1" outline="0" fieldPosition="0">
        <references count="2">
          <reference field="4" count="1" defaultSubtotal="1">
            <x v="18"/>
          </reference>
          <reference field="6" count="1" selected="0">
            <x v="5"/>
          </reference>
        </references>
      </pivotArea>
    </format>
    <format dxfId="2248">
      <pivotArea dataOnly="0" labelOnly="1" outline="0" fieldPosition="0">
        <references count="2">
          <reference field="4" count="1">
            <x v="20"/>
          </reference>
          <reference field="6" count="1" selected="0">
            <x v="6"/>
          </reference>
        </references>
      </pivotArea>
    </format>
    <format dxfId="2247">
      <pivotArea dataOnly="0" labelOnly="1" outline="0" fieldPosition="0">
        <references count="2">
          <reference field="4" count="1" defaultSubtotal="1">
            <x v="20"/>
          </reference>
          <reference field="6" count="1" selected="0">
            <x v="6"/>
          </reference>
        </references>
      </pivotArea>
    </format>
    <format dxfId="2246">
      <pivotArea type="origin" dataOnly="0" labelOnly="1" outline="0" fieldPosition="0"/>
    </format>
    <format dxfId="2245">
      <pivotArea field="-2" type="button" dataOnly="0" labelOnly="1" outline="0" axis="axisCol" fieldPosition="0"/>
    </format>
    <format dxfId="2244">
      <pivotArea type="topRight" dataOnly="0" labelOnly="1" outline="0" fieldPosition="0"/>
    </format>
    <format dxfId="2243">
      <pivotArea field="6" type="button" dataOnly="0" labelOnly="1" outline="0" axis="axisRow" fieldPosition="0"/>
    </format>
    <format dxfId="2242">
      <pivotArea field="4" type="button" dataOnly="0" labelOnly="1" outline="0" axis="axisRow" fieldPosition="1"/>
    </format>
    <format dxfId="2241">
      <pivotArea field="9" type="button" dataOnly="0" labelOnly="1" outline="0" axis="axisRow" fieldPosition="2"/>
    </format>
    <format dxfId="22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39">
      <pivotArea outline="0" collapsedLevelsAreSubtotals="1" fieldPosition="0"/>
    </format>
    <format dxfId="2238">
      <pivotArea field="6" type="button" dataOnly="0" labelOnly="1" outline="0" axis="axisRow" fieldPosition="0"/>
    </format>
    <format dxfId="2237">
      <pivotArea field="4" type="button" dataOnly="0" labelOnly="1" outline="0" axis="axisRow" fieldPosition="1"/>
    </format>
    <format dxfId="2236">
      <pivotArea field="9" type="button" dataOnly="0" labelOnly="1" outline="0" axis="axisRow" fieldPosition="2"/>
    </format>
    <format dxfId="2235">
      <pivotArea dataOnly="0" labelOnly="1" outline="0" fieldPosition="0">
        <references count="1">
          <reference field="6" count="0"/>
        </references>
      </pivotArea>
    </format>
    <format dxfId="2234">
      <pivotArea dataOnly="0" labelOnly="1" grandRow="1" outline="0" fieldPosition="0"/>
    </format>
    <format dxfId="22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32">
      <pivotArea outline="0" collapsedLevelsAreSubtotals="1" fieldPosition="0"/>
    </format>
    <format dxfId="2231">
      <pivotArea field="6" type="button" dataOnly="0" labelOnly="1" outline="0" axis="axisRow" fieldPosition="0"/>
    </format>
    <format dxfId="2230">
      <pivotArea field="4" type="button" dataOnly="0" labelOnly="1" outline="0" axis="axisRow" fieldPosition="1"/>
    </format>
    <format dxfId="2229">
      <pivotArea field="9" type="button" dataOnly="0" labelOnly="1" outline="0" axis="axisRow" fieldPosition="2"/>
    </format>
    <format dxfId="2228">
      <pivotArea dataOnly="0" labelOnly="1" outline="0" fieldPosition="0">
        <references count="1">
          <reference field="6" count="0"/>
        </references>
      </pivotArea>
    </format>
    <format dxfId="2227">
      <pivotArea dataOnly="0" labelOnly="1" outline="0" fieldPosition="0">
        <references count="1">
          <reference field="6" count="6" defaultSubtotal="1">
            <x v="0"/>
            <x v="1"/>
            <x v="2"/>
            <x v="3"/>
            <x v="4"/>
            <x v="5"/>
          </reference>
        </references>
      </pivotArea>
    </format>
    <format dxfId="2226">
      <pivotArea dataOnly="0" labelOnly="1" grandRow="1" outline="0" fieldPosition="0"/>
    </format>
    <format dxfId="2225">
      <pivotArea dataOnly="0" labelOnly="1" outline="0" fieldPosition="0">
        <references count="2">
          <reference field="4" count="1">
            <x v="12"/>
          </reference>
          <reference field="6" count="1" selected="0">
            <x v="0"/>
          </reference>
        </references>
      </pivotArea>
    </format>
    <format dxfId="2224">
      <pivotArea dataOnly="0" labelOnly="1" outline="0" fieldPosition="0">
        <references count="2">
          <reference field="4" count="2">
            <x v="3"/>
            <x v="14"/>
          </reference>
          <reference field="6" count="1" selected="0">
            <x v="1"/>
          </reference>
        </references>
      </pivotArea>
    </format>
    <format dxfId="2223">
      <pivotArea dataOnly="0" labelOnly="1" outline="0" fieldPosition="0">
        <references count="2">
          <reference field="4" count="4">
            <x v="4"/>
            <x v="7"/>
            <x v="11"/>
            <x v="17"/>
          </reference>
          <reference field="6" count="1" selected="0">
            <x v="2"/>
          </reference>
        </references>
      </pivotArea>
    </format>
    <format dxfId="2222">
      <pivotArea dataOnly="0" labelOnly="1" outline="0" fieldPosition="0">
        <references count="2">
          <reference field="4" count="1">
            <x v="13"/>
          </reference>
          <reference field="6" count="1" selected="0">
            <x v="3"/>
          </reference>
        </references>
      </pivotArea>
    </format>
    <format dxfId="2221">
      <pivotArea dataOnly="0" labelOnly="1" outline="0" fieldPosition="0">
        <references count="2">
          <reference field="4" count="9">
            <x v="1"/>
            <x v="2"/>
            <x v="5"/>
            <x v="6"/>
            <x v="7"/>
            <x v="8"/>
            <x v="15"/>
            <x v="16"/>
            <x v="19"/>
          </reference>
          <reference field="6" count="1" selected="0">
            <x v="4"/>
          </reference>
        </references>
      </pivotArea>
    </format>
    <format dxfId="2220">
      <pivotArea dataOnly="0" labelOnly="1" outline="0" fieldPosition="0">
        <references count="2">
          <reference field="4" count="4">
            <x v="0"/>
            <x v="9"/>
            <x v="10"/>
            <x v="18"/>
          </reference>
          <reference field="6" count="1" selected="0">
            <x v="5"/>
          </reference>
        </references>
      </pivotArea>
    </format>
    <format dxfId="2219">
      <pivotArea dataOnly="0" labelOnly="1" outline="0" fieldPosition="0">
        <references count="3">
          <reference field="4" count="1" selected="0">
            <x v="12"/>
          </reference>
          <reference field="6" count="1" selected="0">
            <x v="0"/>
          </reference>
          <reference field="9" count="1">
            <x v="1"/>
          </reference>
        </references>
      </pivotArea>
    </format>
    <format dxfId="2218">
      <pivotArea dataOnly="0" labelOnly="1" outline="0" fieldPosition="0">
        <references count="3">
          <reference field="4" count="1" selected="0">
            <x v="3"/>
          </reference>
          <reference field="6" count="1" selected="0">
            <x v="1"/>
          </reference>
          <reference field="9" count="1">
            <x v="1"/>
          </reference>
        </references>
      </pivotArea>
    </format>
    <format dxfId="2217">
      <pivotArea dataOnly="0" labelOnly="1" outline="0" fieldPosition="0">
        <references count="3">
          <reference field="4" count="1" selected="0">
            <x v="14"/>
          </reference>
          <reference field="6" count="1" selected="0">
            <x v="1"/>
          </reference>
          <reference field="9" count="0"/>
        </references>
      </pivotArea>
    </format>
    <format dxfId="2216">
      <pivotArea dataOnly="0" labelOnly="1" outline="0" fieldPosition="0">
        <references count="3">
          <reference field="4" count="1" selected="0">
            <x v="4"/>
          </reference>
          <reference field="6" count="1" selected="0">
            <x v="2"/>
          </reference>
          <reference field="9" count="0"/>
        </references>
      </pivotArea>
    </format>
    <format dxfId="2215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214">
      <pivotArea dataOnly="0" labelOnly="1" outline="0" fieldPosition="0">
        <references count="3">
          <reference field="4" count="1" selected="0">
            <x v="11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213">
      <pivotArea dataOnly="0" labelOnly="1" outline="0" fieldPosition="0">
        <references count="3">
          <reference field="4" count="1" selected="0">
            <x v="1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212">
      <pivotArea dataOnly="0" labelOnly="1" outline="0" fieldPosition="0">
        <references count="3">
          <reference field="4" count="1" selected="0">
            <x v="13"/>
          </reference>
          <reference field="6" count="1" selected="0">
            <x v="3"/>
          </reference>
          <reference field="9" count="1">
            <x v="1"/>
          </reference>
        </references>
      </pivotArea>
    </format>
    <format dxfId="2211">
      <pivotArea dataOnly="0" labelOnly="1" outline="0" fieldPosition="0">
        <references count="3">
          <reference field="4" count="1" selected="0">
            <x v="1"/>
          </reference>
          <reference field="6" count="1" selected="0">
            <x v="4"/>
          </reference>
          <reference field="9" count="0"/>
        </references>
      </pivotArea>
    </format>
    <format dxfId="2210">
      <pivotArea dataOnly="0" labelOnly="1" outline="0" fieldPosition="0">
        <references count="3">
          <reference field="4" count="1" selected="0">
            <x v="2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209">
      <pivotArea dataOnly="0" labelOnly="1" outline="0" fieldPosition="0">
        <references count="3">
          <reference field="4" count="1" selected="0">
            <x v="5"/>
          </reference>
          <reference field="6" count="1" selected="0">
            <x v="4"/>
          </reference>
          <reference field="9" count="0"/>
        </references>
      </pivotArea>
    </format>
    <format dxfId="2208">
      <pivotArea dataOnly="0" labelOnly="1" outline="0" fieldPosition="0">
        <references count="3">
          <reference field="4" count="1" selected="0">
            <x v="6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207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206">
      <pivotArea dataOnly="0" labelOnly="1" outline="0" fieldPosition="0">
        <references count="3">
          <reference field="4" count="1" selected="0">
            <x v="8"/>
          </reference>
          <reference field="6" count="1" selected="0">
            <x v="4"/>
          </reference>
          <reference field="9" count="0"/>
        </references>
      </pivotArea>
    </format>
    <format dxfId="2205">
      <pivotArea dataOnly="0" labelOnly="1" outline="0" fieldPosition="0">
        <references count="3">
          <reference field="4" count="1" selected="0">
            <x v="15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204">
      <pivotArea dataOnly="0" labelOnly="1" outline="0" fieldPosition="0">
        <references count="3">
          <reference field="4" count="1" selected="0">
            <x v="16"/>
          </reference>
          <reference field="6" count="1" selected="0">
            <x v="4"/>
          </reference>
          <reference field="9" count="0"/>
        </references>
      </pivotArea>
    </format>
    <format dxfId="2203">
      <pivotArea dataOnly="0" labelOnly="1" outline="0" fieldPosition="0">
        <references count="3">
          <reference field="4" count="1" selected="0">
            <x v="19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202">
      <pivotArea dataOnly="0" labelOnly="1" outline="0" fieldPosition="0">
        <references count="3">
          <reference field="4" count="1" selected="0">
            <x v="0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201">
      <pivotArea dataOnly="0" labelOnly="1" outline="0" fieldPosition="0">
        <references count="3">
          <reference field="4" count="1" selected="0">
            <x v="9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200">
      <pivotArea dataOnly="0" labelOnly="1" outline="0" fieldPosition="0">
        <references count="3">
          <reference field="4" count="1" selected="0">
            <x v="10"/>
          </reference>
          <reference field="6" count="1" selected="0">
            <x v="5"/>
          </reference>
          <reference field="9" count="0"/>
        </references>
      </pivotArea>
    </format>
    <format dxfId="2199">
      <pivotArea dataOnly="0" labelOnly="1" outline="0" fieldPosition="0">
        <references count="3">
          <reference field="4" count="1" selected="0">
            <x v="18"/>
          </reference>
          <reference field="6" count="1" selected="0">
            <x v="5"/>
          </reference>
          <reference field="9" count="0"/>
        </references>
      </pivotArea>
    </format>
    <format dxfId="21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97">
      <pivotArea outline="0" fieldPosition="0">
        <references count="1">
          <reference field="6" count="1" selected="0" defaultSubtotal="1">
            <x v="0"/>
          </reference>
        </references>
      </pivotArea>
    </format>
    <format dxfId="2196">
      <pivotArea dataOnly="0" labelOnly="1" outline="0" fieldPosition="0">
        <references count="1">
          <reference field="6" count="1">
            <x v="0"/>
          </reference>
        </references>
      </pivotArea>
    </format>
    <format dxfId="2195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2194">
      <pivotArea dataOnly="0" labelOnly="1" outline="0" fieldPosition="0">
        <references count="2">
          <reference field="4" count="1">
            <x v="12"/>
          </reference>
          <reference field="6" count="1" selected="0">
            <x v="0"/>
          </reference>
        </references>
      </pivotArea>
    </format>
    <format dxfId="2193">
      <pivotArea dataOnly="0" labelOnly="1" outline="0" fieldPosition="0">
        <references count="3">
          <reference field="4" count="1" selected="0">
            <x v="12"/>
          </reference>
          <reference field="6" count="1" selected="0">
            <x v="0"/>
          </reference>
          <reference field="9" count="1">
            <x v="1"/>
          </reference>
        </references>
      </pivotArea>
    </format>
    <format dxfId="2192">
      <pivotArea outline="0" fieldPosition="0">
        <references count="1">
          <reference field="6" count="1" selected="0" defaultSubtotal="1">
            <x v="1"/>
          </reference>
        </references>
      </pivotArea>
    </format>
    <format dxfId="2191">
      <pivotArea dataOnly="0" labelOnly="1" outline="0" fieldPosition="0">
        <references count="1">
          <reference field="6" count="1">
            <x v="1"/>
          </reference>
        </references>
      </pivotArea>
    </format>
    <format dxfId="2190">
      <pivotArea dataOnly="0" labelOnly="1" outline="0" fieldPosition="0">
        <references count="1">
          <reference field="6" count="1" defaultSubtotal="1">
            <x v="1"/>
          </reference>
        </references>
      </pivotArea>
    </format>
    <format dxfId="2189">
      <pivotArea dataOnly="0" labelOnly="1" outline="0" fieldPosition="0">
        <references count="2">
          <reference field="4" count="2">
            <x v="3"/>
            <x v="14"/>
          </reference>
          <reference field="6" count="1" selected="0">
            <x v="1"/>
          </reference>
        </references>
      </pivotArea>
    </format>
    <format dxfId="2188">
      <pivotArea dataOnly="0" labelOnly="1" outline="0" fieldPosition="0">
        <references count="3">
          <reference field="4" count="1" selected="0">
            <x v="3"/>
          </reference>
          <reference field="6" count="1" selected="0">
            <x v="1"/>
          </reference>
          <reference field="9" count="1">
            <x v="1"/>
          </reference>
        </references>
      </pivotArea>
    </format>
    <format dxfId="2187">
      <pivotArea dataOnly="0" labelOnly="1" outline="0" fieldPosition="0">
        <references count="3">
          <reference field="4" count="1" selected="0">
            <x v="14"/>
          </reference>
          <reference field="6" count="1" selected="0">
            <x v="1"/>
          </reference>
          <reference field="9" count="0"/>
        </references>
      </pivotArea>
    </format>
    <format dxfId="2186">
      <pivotArea outline="0" fieldPosition="0">
        <references count="1">
          <reference field="6" count="1" selected="0" defaultSubtotal="1">
            <x v="2"/>
          </reference>
        </references>
      </pivotArea>
    </format>
    <format dxfId="2185">
      <pivotArea dataOnly="0" labelOnly="1" outline="0" fieldPosition="0">
        <references count="1">
          <reference field="6" count="1">
            <x v="2"/>
          </reference>
        </references>
      </pivotArea>
    </format>
    <format dxfId="2184">
      <pivotArea dataOnly="0" labelOnly="1" outline="0" fieldPosition="0">
        <references count="1">
          <reference field="6" count="1" defaultSubtotal="1">
            <x v="2"/>
          </reference>
        </references>
      </pivotArea>
    </format>
    <format dxfId="2183">
      <pivotArea dataOnly="0" labelOnly="1" outline="0" fieldPosition="0">
        <references count="2">
          <reference field="4" count="4">
            <x v="4"/>
            <x v="7"/>
            <x v="11"/>
            <x v="17"/>
          </reference>
          <reference field="6" count="1" selected="0">
            <x v="2"/>
          </reference>
        </references>
      </pivotArea>
    </format>
    <format dxfId="2182">
      <pivotArea dataOnly="0" labelOnly="1" outline="0" fieldPosition="0">
        <references count="3">
          <reference field="4" count="1" selected="0">
            <x v="4"/>
          </reference>
          <reference field="6" count="1" selected="0">
            <x v="2"/>
          </reference>
          <reference field="9" count="0"/>
        </references>
      </pivotArea>
    </format>
    <format dxfId="2181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80">
      <pivotArea dataOnly="0" labelOnly="1" outline="0" fieldPosition="0">
        <references count="3">
          <reference field="4" count="1" selected="0">
            <x v="11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79">
      <pivotArea dataOnly="0" labelOnly="1" outline="0" fieldPosition="0">
        <references count="3">
          <reference field="4" count="1" selected="0">
            <x v="1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78">
      <pivotArea outline="0" fieldPosition="0">
        <references count="1">
          <reference field="6" count="1" selected="0" defaultSubtotal="1">
            <x v="3"/>
          </reference>
        </references>
      </pivotArea>
    </format>
    <format dxfId="2177">
      <pivotArea dataOnly="0" labelOnly="1" outline="0" fieldPosition="0">
        <references count="1">
          <reference field="6" count="1">
            <x v="3"/>
          </reference>
        </references>
      </pivotArea>
    </format>
    <format dxfId="2176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2175">
      <pivotArea dataOnly="0" labelOnly="1" outline="0" fieldPosition="0">
        <references count="2">
          <reference field="4" count="1">
            <x v="13"/>
          </reference>
          <reference field="6" count="1" selected="0">
            <x v="3"/>
          </reference>
        </references>
      </pivotArea>
    </format>
    <format dxfId="2174">
      <pivotArea dataOnly="0" labelOnly="1" outline="0" fieldPosition="0">
        <references count="3">
          <reference field="4" count="1" selected="0">
            <x v="13"/>
          </reference>
          <reference field="6" count="1" selected="0">
            <x v="3"/>
          </reference>
          <reference field="9" count="1">
            <x v="1"/>
          </reference>
        </references>
      </pivotArea>
    </format>
    <format dxfId="2173">
      <pivotArea outline="0" fieldPosition="0">
        <references count="1">
          <reference field="6" count="1" selected="0" defaultSubtotal="1">
            <x v="4"/>
          </reference>
        </references>
      </pivotArea>
    </format>
    <format dxfId="2172">
      <pivotArea dataOnly="0" labelOnly="1" outline="0" fieldPosition="0">
        <references count="1">
          <reference field="6" count="1">
            <x v="4"/>
          </reference>
        </references>
      </pivotArea>
    </format>
    <format dxfId="2171">
      <pivotArea dataOnly="0" labelOnly="1" outline="0" fieldPosition="0">
        <references count="1">
          <reference field="6" count="1" defaultSubtotal="1">
            <x v="4"/>
          </reference>
        </references>
      </pivotArea>
    </format>
    <format dxfId="2170">
      <pivotArea dataOnly="0" labelOnly="1" outline="0" fieldPosition="0">
        <references count="2">
          <reference field="4" count="9">
            <x v="1"/>
            <x v="2"/>
            <x v="5"/>
            <x v="6"/>
            <x v="7"/>
            <x v="8"/>
            <x v="15"/>
            <x v="16"/>
            <x v="19"/>
          </reference>
          <reference field="6" count="1" selected="0">
            <x v="4"/>
          </reference>
        </references>
      </pivotArea>
    </format>
    <format dxfId="2169">
      <pivotArea dataOnly="0" labelOnly="1" outline="0" fieldPosition="0">
        <references count="3">
          <reference field="4" count="1" selected="0">
            <x v="1"/>
          </reference>
          <reference field="6" count="1" selected="0">
            <x v="4"/>
          </reference>
          <reference field="9" count="0"/>
        </references>
      </pivotArea>
    </format>
    <format dxfId="2168">
      <pivotArea dataOnly="0" labelOnly="1" outline="0" fieldPosition="0">
        <references count="3">
          <reference field="4" count="1" selected="0">
            <x v="2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67">
      <pivotArea dataOnly="0" labelOnly="1" outline="0" fieldPosition="0">
        <references count="3">
          <reference field="4" count="1" selected="0">
            <x v="5"/>
          </reference>
          <reference field="6" count="1" selected="0">
            <x v="4"/>
          </reference>
          <reference field="9" count="0"/>
        </references>
      </pivotArea>
    </format>
    <format dxfId="2166">
      <pivotArea dataOnly="0" labelOnly="1" outline="0" fieldPosition="0">
        <references count="3">
          <reference field="4" count="1" selected="0">
            <x v="6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65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64">
      <pivotArea dataOnly="0" labelOnly="1" outline="0" fieldPosition="0">
        <references count="3">
          <reference field="4" count="1" selected="0">
            <x v="8"/>
          </reference>
          <reference field="6" count="1" selected="0">
            <x v="4"/>
          </reference>
          <reference field="9" count="0"/>
        </references>
      </pivotArea>
    </format>
    <format dxfId="2163">
      <pivotArea dataOnly="0" labelOnly="1" outline="0" fieldPosition="0">
        <references count="3">
          <reference field="4" count="1" selected="0">
            <x v="15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62">
      <pivotArea dataOnly="0" labelOnly="1" outline="0" fieldPosition="0">
        <references count="3">
          <reference field="4" count="1" selected="0">
            <x v="16"/>
          </reference>
          <reference field="6" count="1" selected="0">
            <x v="4"/>
          </reference>
          <reference field="9" count="0"/>
        </references>
      </pivotArea>
    </format>
    <format dxfId="2161">
      <pivotArea dataOnly="0" labelOnly="1" outline="0" fieldPosition="0">
        <references count="3">
          <reference field="4" count="1" selected="0">
            <x v="19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60">
      <pivotArea outline="0" fieldPosition="0">
        <references count="1">
          <reference field="6" count="1" selected="0" defaultSubtotal="1">
            <x v="5"/>
          </reference>
        </references>
      </pivotArea>
    </format>
    <format dxfId="2159">
      <pivotArea dataOnly="0" labelOnly="1" outline="0" fieldPosition="0">
        <references count="1">
          <reference field="6" count="1">
            <x v="5"/>
          </reference>
        </references>
      </pivotArea>
    </format>
    <format dxfId="2158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2157">
      <pivotArea dataOnly="0" labelOnly="1" outline="0" fieldPosition="0">
        <references count="2">
          <reference field="4" count="4">
            <x v="0"/>
            <x v="9"/>
            <x v="10"/>
            <x v="18"/>
          </reference>
          <reference field="6" count="1" selected="0">
            <x v="5"/>
          </reference>
        </references>
      </pivotArea>
    </format>
    <format dxfId="2156">
      <pivotArea dataOnly="0" labelOnly="1" outline="0" fieldPosition="0">
        <references count="3">
          <reference field="4" count="1" selected="0">
            <x v="0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155">
      <pivotArea dataOnly="0" labelOnly="1" outline="0" fieldPosition="0">
        <references count="3">
          <reference field="4" count="1" selected="0">
            <x v="9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154">
      <pivotArea dataOnly="0" labelOnly="1" outline="0" fieldPosition="0">
        <references count="3">
          <reference field="4" count="1" selected="0">
            <x v="10"/>
          </reference>
          <reference field="6" count="1" selected="0">
            <x v="5"/>
          </reference>
          <reference field="9" count="0"/>
        </references>
      </pivotArea>
    </format>
    <format dxfId="2153">
      <pivotArea dataOnly="0" labelOnly="1" outline="0" fieldPosition="0">
        <references count="3">
          <reference field="4" count="1" selected="0">
            <x v="18"/>
          </reference>
          <reference field="6" count="1" selected="0">
            <x v="5"/>
          </reference>
          <reference field="9" count="0"/>
        </references>
      </pivotArea>
    </format>
    <format dxfId="2152">
      <pivotArea outline="0" fieldPosition="0">
        <references count="1">
          <reference field="6" count="6" selected="0" defaultSubtotal="1">
            <x v="0"/>
            <x v="1"/>
            <x v="2"/>
            <x v="3"/>
            <x v="4"/>
            <x v="5"/>
          </reference>
        </references>
      </pivotArea>
    </format>
    <format dxfId="2151">
      <pivotArea field="6" type="button" dataOnly="0" labelOnly="1" outline="0" axis="axisRow" fieldPosition="0"/>
    </format>
    <format dxfId="2150">
      <pivotArea field="4" type="button" dataOnly="0" labelOnly="1" outline="0" axis="axisRow" fieldPosition="1"/>
    </format>
    <format dxfId="2149">
      <pivotArea field="9" type="button" dataOnly="0" labelOnly="1" outline="0" axis="axisRow" fieldPosition="2"/>
    </format>
    <format dxfId="2148">
      <pivotArea dataOnly="0" labelOnly="1" outline="0" fieldPosition="0">
        <references count="1">
          <reference field="6" count="6">
            <x v="0"/>
            <x v="1"/>
            <x v="2"/>
            <x v="3"/>
            <x v="4"/>
            <x v="5"/>
          </reference>
        </references>
      </pivotArea>
    </format>
    <format dxfId="2147">
      <pivotArea dataOnly="0" labelOnly="1" outline="0" fieldPosition="0">
        <references count="1">
          <reference field="6" count="6" defaultSubtotal="1">
            <x v="0"/>
            <x v="1"/>
            <x v="2"/>
            <x v="3"/>
            <x v="4"/>
            <x v="5"/>
          </reference>
        </references>
      </pivotArea>
    </format>
    <format dxfId="2146">
      <pivotArea dataOnly="0" labelOnly="1" outline="0" fieldPosition="0">
        <references count="2">
          <reference field="4" count="1">
            <x v="12"/>
          </reference>
          <reference field="6" count="1" selected="0">
            <x v="0"/>
          </reference>
        </references>
      </pivotArea>
    </format>
    <format dxfId="2145">
      <pivotArea dataOnly="0" labelOnly="1" outline="0" fieldPosition="0">
        <references count="2">
          <reference field="4" count="2">
            <x v="3"/>
            <x v="14"/>
          </reference>
          <reference field="6" count="1" selected="0">
            <x v="1"/>
          </reference>
        </references>
      </pivotArea>
    </format>
    <format dxfId="2144">
      <pivotArea dataOnly="0" labelOnly="1" outline="0" fieldPosition="0">
        <references count="2">
          <reference field="4" count="4">
            <x v="4"/>
            <x v="7"/>
            <x v="11"/>
            <x v="17"/>
          </reference>
          <reference field="6" count="1" selected="0">
            <x v="2"/>
          </reference>
        </references>
      </pivotArea>
    </format>
    <format dxfId="2143">
      <pivotArea dataOnly="0" labelOnly="1" outline="0" fieldPosition="0">
        <references count="2">
          <reference field="4" count="1">
            <x v="13"/>
          </reference>
          <reference field="6" count="1" selected="0">
            <x v="3"/>
          </reference>
        </references>
      </pivotArea>
    </format>
    <format dxfId="2142">
      <pivotArea dataOnly="0" labelOnly="1" outline="0" fieldPosition="0">
        <references count="2">
          <reference field="4" count="9">
            <x v="1"/>
            <x v="2"/>
            <x v="5"/>
            <x v="6"/>
            <x v="7"/>
            <x v="8"/>
            <x v="15"/>
            <x v="16"/>
            <x v="19"/>
          </reference>
          <reference field="6" count="1" selected="0">
            <x v="4"/>
          </reference>
        </references>
      </pivotArea>
    </format>
    <format dxfId="2141">
      <pivotArea dataOnly="0" labelOnly="1" outline="0" fieldPosition="0">
        <references count="2">
          <reference field="4" count="4">
            <x v="0"/>
            <x v="9"/>
            <x v="10"/>
            <x v="18"/>
          </reference>
          <reference field="6" count="1" selected="0">
            <x v="5"/>
          </reference>
        </references>
      </pivotArea>
    </format>
    <format dxfId="2140">
      <pivotArea dataOnly="0" labelOnly="1" outline="0" fieldPosition="0">
        <references count="3">
          <reference field="4" count="1" selected="0">
            <x v="12"/>
          </reference>
          <reference field="6" count="1" selected="0">
            <x v="0"/>
          </reference>
          <reference field="9" count="1">
            <x v="1"/>
          </reference>
        </references>
      </pivotArea>
    </format>
    <format dxfId="2139">
      <pivotArea dataOnly="0" labelOnly="1" outline="0" fieldPosition="0">
        <references count="3">
          <reference field="4" count="1" selected="0">
            <x v="3"/>
          </reference>
          <reference field="6" count="1" selected="0">
            <x v="1"/>
          </reference>
          <reference field="9" count="1">
            <x v="1"/>
          </reference>
        </references>
      </pivotArea>
    </format>
    <format dxfId="2138">
      <pivotArea dataOnly="0" labelOnly="1" outline="0" fieldPosition="0">
        <references count="3">
          <reference field="4" count="1" selected="0">
            <x v="14"/>
          </reference>
          <reference field="6" count="1" selected="0">
            <x v="1"/>
          </reference>
          <reference field="9" count="0"/>
        </references>
      </pivotArea>
    </format>
    <format dxfId="2137">
      <pivotArea dataOnly="0" labelOnly="1" outline="0" fieldPosition="0">
        <references count="3">
          <reference field="4" count="1" selected="0">
            <x v="4"/>
          </reference>
          <reference field="6" count="1" selected="0">
            <x v="2"/>
          </reference>
          <reference field="9" count="0"/>
        </references>
      </pivotArea>
    </format>
    <format dxfId="2136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35">
      <pivotArea dataOnly="0" labelOnly="1" outline="0" fieldPosition="0">
        <references count="3">
          <reference field="4" count="1" selected="0">
            <x v="11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34">
      <pivotArea dataOnly="0" labelOnly="1" outline="0" fieldPosition="0">
        <references count="3">
          <reference field="4" count="1" selected="0">
            <x v="17"/>
          </reference>
          <reference field="6" count="1" selected="0">
            <x v="2"/>
          </reference>
          <reference field="9" count="1">
            <x v="1"/>
          </reference>
        </references>
      </pivotArea>
    </format>
    <format dxfId="2133">
      <pivotArea dataOnly="0" labelOnly="1" outline="0" fieldPosition="0">
        <references count="3">
          <reference field="4" count="1" selected="0">
            <x v="13"/>
          </reference>
          <reference field="6" count="1" selected="0">
            <x v="3"/>
          </reference>
          <reference field="9" count="1">
            <x v="1"/>
          </reference>
        </references>
      </pivotArea>
    </format>
    <format dxfId="2132">
      <pivotArea dataOnly="0" labelOnly="1" outline="0" fieldPosition="0">
        <references count="3">
          <reference field="4" count="1" selected="0">
            <x v="1"/>
          </reference>
          <reference field="6" count="1" selected="0">
            <x v="4"/>
          </reference>
          <reference field="9" count="0"/>
        </references>
      </pivotArea>
    </format>
    <format dxfId="2131">
      <pivotArea dataOnly="0" labelOnly="1" outline="0" fieldPosition="0">
        <references count="3">
          <reference field="4" count="1" selected="0">
            <x v="2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30">
      <pivotArea dataOnly="0" labelOnly="1" outline="0" fieldPosition="0">
        <references count="3">
          <reference field="4" count="1" selected="0">
            <x v="5"/>
          </reference>
          <reference field="6" count="1" selected="0">
            <x v="4"/>
          </reference>
          <reference field="9" count="0"/>
        </references>
      </pivotArea>
    </format>
    <format dxfId="2129">
      <pivotArea dataOnly="0" labelOnly="1" outline="0" fieldPosition="0">
        <references count="3">
          <reference field="4" count="1" selected="0">
            <x v="6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28">
      <pivotArea dataOnly="0" labelOnly="1" outline="0" fieldPosition="0">
        <references count="3">
          <reference field="4" count="1" selected="0">
            <x v="7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27">
      <pivotArea dataOnly="0" labelOnly="1" outline="0" fieldPosition="0">
        <references count="3">
          <reference field="4" count="1" selected="0">
            <x v="8"/>
          </reference>
          <reference field="6" count="1" selected="0">
            <x v="4"/>
          </reference>
          <reference field="9" count="0"/>
        </references>
      </pivotArea>
    </format>
    <format dxfId="2126">
      <pivotArea dataOnly="0" labelOnly="1" outline="0" fieldPosition="0">
        <references count="3">
          <reference field="4" count="1" selected="0">
            <x v="15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25">
      <pivotArea dataOnly="0" labelOnly="1" outline="0" fieldPosition="0">
        <references count="3">
          <reference field="4" count="1" selected="0">
            <x v="16"/>
          </reference>
          <reference field="6" count="1" selected="0">
            <x v="4"/>
          </reference>
          <reference field="9" count="0"/>
        </references>
      </pivotArea>
    </format>
    <format dxfId="2124">
      <pivotArea dataOnly="0" labelOnly="1" outline="0" fieldPosition="0">
        <references count="3">
          <reference field="4" count="1" selected="0">
            <x v="19"/>
          </reference>
          <reference field="6" count="1" selected="0">
            <x v="4"/>
          </reference>
          <reference field="9" count="1">
            <x v="1"/>
          </reference>
        </references>
      </pivotArea>
    </format>
    <format dxfId="2123">
      <pivotArea dataOnly="0" labelOnly="1" outline="0" fieldPosition="0">
        <references count="3">
          <reference field="4" count="1" selected="0">
            <x v="0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122">
      <pivotArea dataOnly="0" labelOnly="1" outline="0" fieldPosition="0">
        <references count="3">
          <reference field="4" count="1" selected="0">
            <x v="9"/>
          </reference>
          <reference field="6" count="1" selected="0">
            <x v="5"/>
          </reference>
          <reference field="9" count="1">
            <x v="1"/>
          </reference>
        </references>
      </pivotArea>
    </format>
    <format dxfId="2121">
      <pivotArea dataOnly="0" labelOnly="1" outline="0" fieldPosition="0">
        <references count="3">
          <reference field="4" count="1" selected="0">
            <x v="10"/>
          </reference>
          <reference field="6" count="1" selected="0">
            <x v="5"/>
          </reference>
          <reference field="9" count="0"/>
        </references>
      </pivotArea>
    </format>
    <format dxfId="2120">
      <pivotArea dataOnly="0" labelOnly="1" outline="0" fieldPosition="0">
        <references count="3">
          <reference field="4" count="1" selected="0">
            <x v="18"/>
          </reference>
          <reference field="6" count="1" selected="0">
            <x v="5"/>
          </reference>
          <reference field="9" count="0"/>
        </references>
      </pivotArea>
    </format>
    <format dxfId="21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C2F88-8411-4E6C-8623-326F1167FB2D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11" firstHeaderRow="0" firstDataRow="1" firstDataCol="1"/>
  <pivotFields count="40">
    <pivotField showAll="0"/>
    <pivotField dataField="1" showAll="0"/>
    <pivotField showAll="0"/>
    <pivotField showAll="0"/>
    <pivotField axis="axisRow" showAll="0" sortType="ascending">
      <items count="10">
        <item m="1" x="7"/>
        <item x="1"/>
        <item x="3"/>
        <item x="0"/>
        <item x="2"/>
        <item x="4"/>
        <item x="6"/>
        <item m="1"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Total Panel" fld="1" subtotal="count" baseField="4" baseItem="0"/>
    <dataField name=" Software version in Conv" fld="11" subtotal="count" baseField="0" baseItem="0"/>
    <dataField name="Software version of Text display" fld="13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0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Count of New Software version (UAT2Y44O.012) of display updation _x000a_*DATE*" fld="33" subtotal="count" baseField="0" baseItem="0"/>
    <dataField name="Count of Sine Filter Capacitor washer fitment and tightness of connection_x000a_*DATE*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co wall" fld="38" subtotal="count" baseField="0" baseItem="0"/>
  </dataFields>
  <formats count="26">
    <format dxfId="2118">
      <pivotArea type="all" dataOnly="0" outline="0" fieldPosition="0"/>
    </format>
    <format dxfId="2117">
      <pivotArea outline="0" collapsedLevelsAreSubtotals="1" fieldPosition="0"/>
    </format>
    <format dxfId="2116">
      <pivotArea field="4" type="button" dataOnly="0" labelOnly="1" outline="0" axis="axisRow" fieldPosition="0"/>
    </format>
    <format dxfId="2115">
      <pivotArea dataOnly="0" labelOnly="1" fieldPosition="0">
        <references count="1">
          <reference field="4" count="0"/>
        </references>
      </pivotArea>
    </format>
    <format dxfId="2114">
      <pivotArea dataOnly="0" labelOnly="1" grandRow="1" outline="0" fieldPosition="0"/>
    </format>
    <format dxfId="2113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112">
      <pivotArea type="all" dataOnly="0" outline="0" fieldPosition="0"/>
    </format>
    <format dxfId="2111">
      <pivotArea outline="0" collapsedLevelsAreSubtotals="1" fieldPosition="0"/>
    </format>
    <format dxfId="2110">
      <pivotArea field="4" type="button" dataOnly="0" labelOnly="1" outline="0" axis="axisRow" fieldPosition="0"/>
    </format>
    <format dxfId="2109">
      <pivotArea dataOnly="0" labelOnly="1" fieldPosition="0">
        <references count="1">
          <reference field="4" count="0"/>
        </references>
      </pivotArea>
    </format>
    <format dxfId="2108">
      <pivotArea dataOnly="0" labelOnly="1" grandRow="1" outline="0" fieldPosition="0"/>
    </format>
    <format dxfId="2107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106">
      <pivotArea field="4" type="button" dataOnly="0" labelOnly="1" outline="0" axis="axisRow" fieldPosition="0"/>
    </format>
    <format dxfId="2105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104">
      <pivotArea type="all" dataOnly="0" outline="0" fieldPosition="0"/>
    </format>
    <format dxfId="2103">
      <pivotArea outline="0" collapsedLevelsAreSubtotals="1" fieldPosition="0"/>
    </format>
    <format dxfId="2102">
      <pivotArea field="4" type="button" dataOnly="0" labelOnly="1" outline="0" axis="axisRow" fieldPosition="0"/>
    </format>
    <format dxfId="2101">
      <pivotArea dataOnly="0" labelOnly="1" fieldPosition="0">
        <references count="1">
          <reference field="4" count="0"/>
        </references>
      </pivotArea>
    </format>
    <format dxfId="2100">
      <pivotArea dataOnly="0" labelOnly="1" grandRow="1" outline="0" fieldPosition="0"/>
    </format>
    <format dxfId="2099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098">
      <pivotArea type="all" dataOnly="0" outline="0" fieldPosition="0"/>
    </format>
    <format dxfId="2097">
      <pivotArea outline="0" collapsedLevelsAreSubtotals="1" fieldPosition="0"/>
    </format>
    <format dxfId="2096">
      <pivotArea field="4" type="button" dataOnly="0" labelOnly="1" outline="0" axis="axisRow" fieldPosition="0"/>
    </format>
    <format dxfId="2095">
      <pivotArea dataOnly="0" labelOnly="1" fieldPosition="0">
        <references count="1">
          <reference field="4" count="0"/>
        </references>
      </pivotArea>
    </format>
    <format dxfId="2094">
      <pivotArea dataOnly="0" labelOnly="1" grandRow="1" outline="0" fieldPosition="0"/>
    </format>
    <format dxfId="2093">
      <pivotArea dataOnly="0" labelOnly="1" outline="0" fieldPosition="0">
        <references count="1">
          <reference field="4294967294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C1B47-502C-4CC5-AFB4-D3EC7481F8A6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6" firstHeaderRow="0" firstDataRow="1" firstDataCol="1"/>
  <pivotFields count="40"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Total Panel" fld="1" subtotal="count" baseField="4" baseItem="0"/>
    <dataField name=" Software version in Conv" fld="11" subtotal="count" baseField="0" baseItem="0"/>
    <dataField name="Count of Software version of display" fld="12" subtotal="count" baseField="0" baseItem="0"/>
    <dataField name="Removal of metal short link  from M9000 with wire" fld="16" subtotal="count" baseField="0" baseItem="0"/>
    <dataField name="Replacement of 10 amp fuse with 20 amp" fld="17" subtotal="count" baseField="0" baseItem="0"/>
    <dataField name="Shifting of wires on O/P  contactor" fld="18" subtotal="count" baseField="0" baseItem="0"/>
    <dataField name="External earth fault wire" fld="19" subtotal="count" baseField="0" baseItem="0"/>
    <dataField name="Shifting of wire of output voltage available lamp" fld="20" subtotal="count" baseField="0" baseItem="0"/>
    <dataField name="Sealing of cable entry of  panel" fld="21" subtotal="count" baseField="0" baseItem="0"/>
    <dataField name="Sealing of main fan plate  (On which DC-DC converter installed)" fld="22" subtotal="count" baseField="0" baseItem="0"/>
    <dataField name="Input choke change" fld="27" subtotal="count" baseField="0" baseItem="0"/>
    <dataField name="Control fuse _x000a_6.5amp to 15amp" fld="29" subtotal="count" baseField="0" baseItem="0"/>
    <dataField name="Display  button" fld="30" subtotal="count" baseField="0" baseItem="0"/>
    <dataField name="DC link bus bar  supporter" fld="31" subtotal="count" baseField="0" baseItem="0"/>
    <dataField name=".New Software version (UAT2Y44O.012) of display updation" fld="33" subtotal="count" baseField="0" baseItem="0"/>
    <dataField name=".Sine Filter Capacitor washer fitment and tightness of connection" fld="34" subtotal="count" baseField="0" baseItem="0"/>
    <dataField name="Count of Software version in Conv (200622)_x000a_(Master) Y6U2N04V.006_x000a_(Module) Y6U2N240.005_x000a_*DATE*" fld="32" subtotal="count" baseField="0" baseItem="0"/>
    <dataField name="Count of Heat Sink Cleaning _x000a_*Date*" fld="36" subtotal="count" baseField="0" baseItem="0"/>
    <dataField name="Count of I/P contactor SILICON washer" fld="37" subtotal="count" baseField="0" baseItem="0"/>
    <dataField name="Count of Steel mesh on cyclonic filter on looc wall" fld="38" subtotal="count" baseField="0" baseItem="0"/>
  </dataFields>
  <formats count="26">
    <format dxfId="2092">
      <pivotArea field="4" type="button" dataOnly="0" labelOnly="1" outline="0" axis="axisRow" fieldPosition="0"/>
    </format>
    <format dxfId="2091">
      <pivotArea dataOnly="0" labelOnly="1" outline="0" fieldPosition="0">
        <references count="1">
          <reference field="4294967294" count="13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090">
      <pivotArea type="all" dataOnly="0" outline="0" fieldPosition="0"/>
    </format>
    <format dxfId="2089">
      <pivotArea outline="0" collapsedLevelsAreSubtotals="1" fieldPosition="0"/>
    </format>
    <format dxfId="2088">
      <pivotArea field="4" type="button" dataOnly="0" labelOnly="1" outline="0" axis="axisRow" fieldPosition="0"/>
    </format>
    <format dxfId="2087">
      <pivotArea dataOnly="0" labelOnly="1" fieldPosition="0">
        <references count="1">
          <reference field="4" count="0"/>
        </references>
      </pivotArea>
    </format>
    <format dxfId="2086">
      <pivotArea dataOnly="0" labelOnly="1" grandRow="1" outline="0" fieldPosition="0"/>
    </format>
    <format dxfId="2085">
      <pivotArea dataOnly="0" labelOnly="1" outline="0" fieldPosition="0">
        <references count="1">
          <reference field="4294967294" count="13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084">
      <pivotArea type="all" dataOnly="0" outline="0" fieldPosition="0"/>
    </format>
    <format dxfId="2083">
      <pivotArea outline="0" collapsedLevelsAreSubtotals="1" fieldPosition="0"/>
    </format>
    <format dxfId="2082">
      <pivotArea field="4" type="button" dataOnly="0" labelOnly="1" outline="0" axis="axisRow" fieldPosition="0"/>
    </format>
    <format dxfId="2081">
      <pivotArea dataOnly="0" labelOnly="1" fieldPosition="0">
        <references count="1">
          <reference field="4" count="0"/>
        </references>
      </pivotArea>
    </format>
    <format dxfId="2080">
      <pivotArea dataOnly="0" labelOnly="1" grandRow="1" outline="0" fieldPosition="0"/>
    </format>
    <format dxfId="2079">
      <pivotArea dataOnly="0" labelOnly="1" outline="0" fieldPosition="0">
        <references count="1">
          <reference field="4294967294" count="13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0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77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07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075">
      <pivotArea type="all" dataOnly="0" outline="0" fieldPosition="0"/>
    </format>
    <format dxfId="2074">
      <pivotArea outline="0" collapsedLevelsAreSubtotals="1" fieldPosition="0"/>
    </format>
    <format dxfId="2073">
      <pivotArea field="4" type="button" dataOnly="0" labelOnly="1" outline="0" axis="axisRow" fieldPosition="0"/>
    </format>
    <format dxfId="2072">
      <pivotArea dataOnly="0" labelOnly="1" fieldPosition="0">
        <references count="1">
          <reference field="4" count="0"/>
        </references>
      </pivotArea>
    </format>
    <format dxfId="2071">
      <pivotArea dataOnly="0" labelOnly="1" grandRow="1" outline="0" fieldPosition="0"/>
    </format>
    <format dxfId="2070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069">
      <pivotArea dataOnly="0" labelOnly="1" outline="0" fieldPosition="0">
        <references count="1">
          <reference field="4294967294" count="4">
            <x v="16"/>
            <x v="17"/>
            <x v="18"/>
            <x v="19"/>
          </reference>
        </references>
      </pivotArea>
    </format>
    <format dxfId="2068">
      <pivotArea field="4" type="button" dataOnly="0" labelOnly="1" outline="0" axis="axisRow" fieldPosition="0"/>
    </format>
    <format dxfId="2067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BEE2D-1E21-44A7-BDC8-600A1DE3AD34}" name="Table1" displayName="Table1" ref="A3:AK111" totalsRowShown="0">
  <autoFilter ref="A3:AK111" xr:uid="{0E5BEE2D-1E21-44A7-BDC8-600A1DE3AD34}"/>
  <sortState xmlns:xlrd2="http://schemas.microsoft.com/office/spreadsheetml/2017/richdata2" ref="A4:AK111">
    <sortCondition ref="Q3:Q111"/>
  </sortState>
  <tableColumns count="37">
    <tableColumn id="1" xr3:uid="{46E9CDA9-68C3-49D5-8D2A-5E075B6A9110}" name="S.No."/>
    <tableColumn id="2" xr3:uid="{017D4E44-663C-4040-A190-059087A56773}" name="Loco no."/>
    <tableColumn id="3" xr3:uid="{6645A1CE-84CF-4537-9CCD-72F12B51EA64}" name="HLC"/>
    <tableColumn id="4" xr3:uid="{5D662123-532A-481C-A848-80EC59F7E8DF}" name="Serial no. of HLC"/>
    <tableColumn id="5" xr3:uid="{C99C50E1-1667-4E04-B29D-C91AC3678953}" name="Base Shed"/>
    <tableColumn id="6" xr3:uid="{7F6990D2-C472-49A4-BCF8-B26740C0F63B}" name="Railway"/>
    <tableColumn id="7" xr3:uid="{A5DB12D1-82F9-4AB0-8BFC-0AE6DDBB57D5}" name="Region"/>
    <tableColumn id="8" xr3:uid="{1DB1BA3C-2F40-499F-9E5A-569F1FC2E4CE}" name="DOC" dataDxfId="2429"/>
    <tableColumn id="9" xr3:uid="{A78C7EFF-71E7-42BD-99C9-6C450E40F28E}" name="serial no."/>
    <tableColumn id="10" xr3:uid="{25895D2F-4127-4FBD-9F28-2CA5FF915F55}" name="Type of Text display"/>
    <tableColumn id="11" xr3:uid="{AC4FC158-7370-4A52-A797-EA7D752547FB}" name="Software version in Conv" dataDxfId="2428"/>
    <tableColumn id="12" xr3:uid="{9F645749-0FB7-427B-8E9B-413496CF035E}" name="Software version in Conv_x000a_(Master) U7D2S04V.005_x000a_(Module) U7F2S240.005_x000a_*DATE*" dataDxfId="2427"/>
    <tableColumn id="13" xr3:uid="{C73DF536-A113-4E42-8B1F-02574B6BB26E}" name="Software version of display"/>
    <tableColumn id="14" xr3:uid="{CBC3E143-4B8E-4253-88F2-AB7485E65B7C}" name="Software version (UAT2Y44O.012) of display updation _x000a_*DATE*" dataDxfId="2426"/>
    <tableColumn id="15" xr3:uid="{CD7AA7D0-1FFE-408E-A47E-4DF55565E122}" name="Filter clean_x000a_*DATE*"/>
    <tableColumn id="16" xr3:uid="{4356C142-E697-4A0D-8FAE-82F70F0D381E}" name="Filter Change_x000a_*DATE*"/>
    <tableColumn id="17" xr3:uid="{5C424D92-C6E7-41B5-A45F-DFADB748E8E7}" name="Removal of metal shortlink  from M9000 with wire"/>
    <tableColumn id="18" xr3:uid="{30AB19F3-9864-45C0-A164-12B63C3D1BD2}" name="Replacement of 10 amp fuse with 20amp"/>
    <tableColumn id="19" xr3:uid="{A9795E78-A21A-4AB4-BC28-2D30ADAC491C}" name="Shifting of wires on O/P contactor"/>
    <tableColumn id="20" xr3:uid="{198DC1AB-8A9C-4934-B8DC-177ADBB2179D}" name="External earth fault wire modification"/>
    <tableColumn id="21" xr3:uid="{2A5F0249-E344-40CC-B76F-790E41FD6014}" name="Shifting of wires of output voltage available lamp"/>
    <tableColumn id="22" xr3:uid="{4E6283F6-F3D5-46E5-AB92-DFF3228EDC49}" name="Sealing of cable entry of panel"/>
    <tableColumn id="23" xr3:uid="{7C98BB37-4E17-43B7-A9E1-1117D4B5DC85}" name="Sealing of main fan plate (On which DC-DC converter installed)"/>
    <tableColumn id="24" xr3:uid="{E7D5C54E-DCC6-4D07-89CD-55EDAFF599A6}" name="Mounting of 110 volt DC fan on PWR"/>
    <tableColumn id="25" xr3:uid="{C9DB3C0E-2CA6-495C-A538-905E09337ED1}" name="Air leakage status in duct at the back of the converter"/>
    <tableColumn id="26" xr3:uid="{9901D4B8-F853-45C4-9A8A-2FCE1CE154E9}" name="FG block removal from bottom of input choke"/>
    <tableColumn id="27" xr3:uid="{2DCD548F-B1F0-4297-B34E-634F1502523E}" name="Surge arrestor fitment"/>
    <tableColumn id="28" xr3:uid="{D0AA0F25-B0FC-4B7A-9726-5795413DC3C2}" name="Input choke change_x000a_(mention sr.no. of new choke_"/>
    <tableColumn id="29" xr3:uid="{F825134A-BFCC-460B-BFE1-3C65A7774CAE}" name="O/P choke change_x000a_(mention sr.no. of new choke_"/>
    <tableColumn id="30" xr3:uid="{5A9FD5F9-BB20-4EC4-8F7B-DBD539A867B7}" name="Control fuse _x000a_6.5amp to 15amp_x000a_(Glass fuse)"/>
    <tableColumn id="31" xr3:uid="{9DADCD6A-DFDE-4017-A714-BF7142616A03}" name="Display button"/>
    <tableColumn id="32" xr3:uid="{B899A222-9977-4452-8463-7565927A19A1}" name="DC link bus bar supporter"/>
    <tableColumn id="33" xr3:uid="{A63207B6-AD25-4C82-B660-9C4E0C00668D}" name="Software version in Conv (171022)_x000a_(Master) W812N04V.005_x000a_(Module) W812N240.005_x000a_*DATE*"/>
    <tableColumn id="34" xr3:uid="{13DBA379-A31A-4AD0-A098-00214D2C9EE8}" name="New Software version (UAT2Y44O.012) of display updation _x000a_*DATE*"/>
    <tableColumn id="35" xr3:uid="{8F997237-F12D-49BF-A1EF-F24EBD7AFE59}" name="Sine Filter Capacitor washer fitment and tightness of connection_x000a_*DATE*" dataDxfId="2425"/>
    <tableColumn id="36" xr3:uid="{58BC67EC-093D-4451-A7A8-3ACDCD4B4732}" name="ELR setting to check_x000a_(1amp /10 sec)"/>
    <tableColumn id="37" xr3:uid="{E288E477-2393-4F07-BDF9-00C78807D267}" name="Heat Sink Cleaning _x000a_*Date*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939D6-B624-4EC6-97DD-4888284889A4}" name="Table2" displayName="Table2" ref="A3:AM123" totalsRowShown="0">
  <autoFilter ref="A3:AM123" xr:uid="{E5E939D6-B624-4EC6-97DD-4888284889A4}"/>
  <sortState xmlns:xlrd2="http://schemas.microsoft.com/office/spreadsheetml/2017/richdata2" ref="A4:AM123">
    <sortCondition ref="AG3:AG123"/>
  </sortState>
  <tableColumns count="39">
    <tableColumn id="1" xr3:uid="{DED53249-3E47-4BDA-8F24-E713634E21A2}" name="S.No."/>
    <tableColumn id="2" xr3:uid="{B13FD8B1-DDE8-4C99-9730-A9AC45673577}" name="Loco no."/>
    <tableColumn id="3" xr3:uid="{1488F66B-9587-4CDB-9F3F-DC4DE8993F17}" name="HLC"/>
    <tableColumn id="4" xr3:uid="{AA5A715D-629D-4C73-B3EE-7965A5DACBD5}" name="Serial no. of HLC"/>
    <tableColumn id="5" xr3:uid="{E760DC94-292E-494A-8195-107B668FB913}" name="Base Shed"/>
    <tableColumn id="6" xr3:uid="{C36CD68F-FD25-44EE-BEAD-BD3161C7DADA}" name="Railway"/>
    <tableColumn id="7" xr3:uid="{5DA8B74E-FF4B-4CE7-86C4-8AE976EBBAB2}" name="Region"/>
    <tableColumn id="8" xr3:uid="{958A6562-D986-40AA-B447-ABA07112323E}" name="DOC" dataDxfId="2404"/>
    <tableColumn id="9" xr3:uid="{731E08B4-FBD4-4739-ABE1-C50317F59ED0}" name="serial no."/>
    <tableColumn id="10" xr3:uid="{FD4C2B4C-A9C0-4A50-9F3A-52846732E754}" name="Type of Text display"/>
    <tableColumn id="11" xr3:uid="{D2EAB4F4-8E89-40AE-8468-0DDF1C497D50}" name="Software version in Conv" dataDxfId="2403"/>
    <tableColumn id="12" xr3:uid="{EB414D74-4FAA-4AE3-A246-2123E033B051}" name="Software version in Conv_x000a_(Master) U7D2S04V.005_x000a_(Module) U7F2S240.005_x000a_*DATE*" dataDxfId="2402"/>
    <tableColumn id="13" xr3:uid="{09299193-DC5A-4C62-9DF1-824649F94CC1}" name="Software version of display"/>
    <tableColumn id="14" xr3:uid="{8AE5A564-A581-4604-A7EF-CE775670AAD5}" name="Software version (UAT2Y44O.012) of display updation _x000a_*DATE*" dataDxfId="2401"/>
    <tableColumn id="15" xr3:uid="{29580AA7-3165-4E84-B661-A00F322127E2}" name="Filter clean_x000a_*DATE*" dataDxfId="2400"/>
    <tableColumn id="16" xr3:uid="{1AC933CA-385F-4127-BBB7-E5E2238E3E6D}" name="Filter Change_x000a_*DATE*"/>
    <tableColumn id="17" xr3:uid="{8F1227CA-D863-40E8-A706-EF73B170C980}" name="Removal of metal shortlink  from M9000 with wire"/>
    <tableColumn id="18" xr3:uid="{F7C20303-FA6E-46E6-9724-5C8B6EAFB19C}" name="Replacement of 10 amp fuse with 20amp"/>
    <tableColumn id="19" xr3:uid="{C95DDB9E-1DDC-459D-8904-8DAADE1B1EE7}" name="Shifting of wires on O/P contactor"/>
    <tableColumn id="20" xr3:uid="{82202AC6-F540-443A-9B4E-A789337B5B04}" name="External earth fault wire modification"/>
    <tableColumn id="21" xr3:uid="{0B353AD2-74F8-4AD4-A733-29776E6C94DD}" name="Shifting of wires of output voltage available lamp"/>
    <tableColumn id="22" xr3:uid="{01FE0414-4774-4E78-AD70-63FD7B6D0A44}" name="Sealing of cable entry of panel"/>
    <tableColumn id="23" xr3:uid="{68E6C848-A21C-4DD4-AA6B-D098941088CE}" name="Sealing of main fan plate (On which DC-DC converter installed)"/>
    <tableColumn id="24" xr3:uid="{5D6E90F2-6B0C-45A8-8A86-EA897F20ED09}" name="Mounting of 110 volt DC fan on PWR"/>
    <tableColumn id="25" xr3:uid="{B54644E6-1E23-40CF-8B05-80D6FDE49076}" name="Air leakage status in duct at the back of the converter"/>
    <tableColumn id="26" xr3:uid="{B3B7F8AF-9A85-4151-B4EB-50E365481CE0}" name="FG block removal from bottom of input choke"/>
    <tableColumn id="27" xr3:uid="{5D905457-D98F-4B29-9919-F9B877AE311B}" name="Surge arrestor fitment"/>
    <tableColumn id="28" xr3:uid="{2AFBF7AD-6CAC-494A-883F-04C824B3D1F0}" name="Input choke change_x000a_(mention sr.no. of new choke_"/>
    <tableColumn id="29" xr3:uid="{50178727-F1C8-4481-AEF7-0FF95438EEA4}" name="O/P choke change_x000a_(mention sr.no. of new choke_"/>
    <tableColumn id="30" xr3:uid="{F23A0E27-C428-4564-9B80-BA85B90F7ABB}" name="Control fuse _x000a_6.5amp to 15amp_x000a_(Glass fuse)"/>
    <tableColumn id="31" xr3:uid="{C2766C29-D309-46C9-A6DD-3158135F69E4}" name="Display button"/>
    <tableColumn id="32" xr3:uid="{11B6AE79-5334-4911-A519-317552E67FBF}" name="DC link bus bar supporter"/>
    <tableColumn id="33" xr3:uid="{9031E149-2420-481A-85BF-797948B3FBE1}" name="Software version in Conv (200622)_x000a_(Master) Y6U2N04V.006_x000a_(Module) Y6U2N240.005_x000a_*DATE*" dataDxfId="2399"/>
    <tableColumn id="34" xr3:uid="{9006099C-7B97-4547-9AE3-7DC33D907250}" name="New Software version (UAT2Y44O.012) of display updation _x000a_*DATE*"/>
    <tableColumn id="35" xr3:uid="{F025E392-F0D0-4F14-B631-CB9D03CB40EC}" name="Sine Filter Capacitor washer fitment and tightness of connection_x000a_*DATE*" dataDxfId="2398"/>
    <tableColumn id="36" xr3:uid="{61A5BA47-0305-4FAE-8D5C-52037E95E118}" name="ELR setting to check_x000a_(1amp /10 sec)"/>
    <tableColumn id="37" xr3:uid="{72F4D9CD-ECCA-4CC9-951B-9930343774B1}" name="Heat Sink Cleaning _x000a_*Date*"/>
    <tableColumn id="38" xr3:uid="{07DDBF8A-B41A-4D02-9C9B-B779E575BC38}" name="I/P contactor SILICON washer"/>
    <tableColumn id="39" xr3:uid="{D5C7CF59-B3C4-4702-AE7B-ED18E4FA5F7D}" name="Steel mesh on cyclonic filter on looc wal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5BE7FE-6CEE-4351-B0A9-C7D8A166A598}" name="Table3" displayName="Table3" ref="A3:AM81" totalsRowShown="0">
  <autoFilter ref="A3:AM81" xr:uid="{B35BE7FE-6CEE-4351-B0A9-C7D8A166A598}"/>
  <tableColumns count="39">
    <tableColumn id="1" xr3:uid="{B95269FC-20F2-4DD7-9AB5-B812DF2E4A14}" name="S.No."/>
    <tableColumn id="2" xr3:uid="{270C6E92-0F13-4811-9045-07E340C55B81}" name="Loco no."/>
    <tableColumn id="3" xr3:uid="{236C8BA7-5BC9-49F1-97C4-643DEDAC31D9}" name="HLC"/>
    <tableColumn id="4" xr3:uid="{169D5E22-A7B8-4546-A004-1B3EB7E628F1}" name="Serial no. of HLC"/>
    <tableColumn id="5" xr3:uid="{0943BEA9-6D88-45F0-99A2-8E30F25E5584}" name="Base Shed"/>
    <tableColumn id="6" xr3:uid="{BC0A2D21-D2AC-4417-A9B7-0FE3ED891175}" name="Railway"/>
    <tableColumn id="7" xr3:uid="{08310FF9-41B1-4373-8B34-C01F541F4691}" name="Region"/>
    <tableColumn id="8" xr3:uid="{DCABD9A2-99A3-4137-A222-F0EEE5648A1D}" name="DOC" dataDxfId="2371"/>
    <tableColumn id="9" xr3:uid="{1B11A9A4-AF80-4E53-BDE9-B0382296A9A7}" name="serial no."/>
    <tableColumn id="10" xr3:uid="{C1EE4201-CA09-4F51-8127-A4BAC516F255}" name="Type of Text display"/>
    <tableColumn id="11" xr3:uid="{D0071AE9-AFE3-4B79-928D-2DB934DF7947}" name="Software version in Conv" dataDxfId="2370"/>
    <tableColumn id="12" xr3:uid="{1046EE9A-83BC-4771-A9ED-219E29026668}" name="Software version in Conv_x000a_(Master) U7D2S04V.005_x000a_(Module) U7F2S240.005_x000a_*DATE*" dataDxfId="2369"/>
    <tableColumn id="13" xr3:uid="{678F7DBD-25E7-48D7-9971-63376043ABE2}" name="Software version of display"/>
    <tableColumn id="14" xr3:uid="{17F2761B-8E6C-4F4F-96B1-F632BDB07AB1}" name="Software version (UAT2Y44O.012) of display updation _x000a_*DATE*" dataDxfId="2368"/>
    <tableColumn id="15" xr3:uid="{A8E467F6-B0CE-41AE-BAEF-0B84B775F80B}" name="Filter clean_x000a_*DATE*" dataDxfId="2367"/>
    <tableColumn id="16" xr3:uid="{BCC5FDE5-B36A-4FF6-863F-E76A3A836F7A}" name="Filter Change_x000a_*DATE*"/>
    <tableColumn id="17" xr3:uid="{550091DF-24C6-406A-90FE-730DFFBEDB5A}" name="Removal of metal shortlink  from M9000 with wire"/>
    <tableColumn id="18" xr3:uid="{515A7B5F-1670-41DB-A941-08B56C2C7AE7}" name="Replacement of 10 amp fuse with 20amp"/>
    <tableColumn id="19" xr3:uid="{0567FBC7-BB8C-4111-AA08-078BC5DA2DC4}" name="Shifting of wires on O/P contactor"/>
    <tableColumn id="20" xr3:uid="{ED138986-0A67-40D4-9965-C49A9031F22F}" name="External earth fault wire modification"/>
    <tableColumn id="21" xr3:uid="{7EBEEA94-7DBC-406B-A92B-34D2A67B41B5}" name="Shifting of wires of output voltage available lamp"/>
    <tableColumn id="22" xr3:uid="{8733C234-0546-469B-99F3-2C96E1539005}" name="Sealing of cable entry of panel"/>
    <tableColumn id="23" xr3:uid="{6E087832-94D9-4A7F-BD29-5047B65254AE}" name="Sealing of main fan plate (On which DC-DC converter installed)"/>
    <tableColumn id="24" xr3:uid="{A70AF881-A635-4CC0-8277-B8C917F2FE6A}" name="Mounting of 110 volt DC fan on PWR"/>
    <tableColumn id="25" xr3:uid="{512EBDFF-A093-4748-B6AE-38C9D093EDBB}" name="Air leakage status in duct at the back of the converter"/>
    <tableColumn id="26" xr3:uid="{48D030D4-C953-4F87-B0C4-3F0D76BBAAD8}" name="FG block removal from bottom of input choke"/>
    <tableColumn id="27" xr3:uid="{35E8A927-F4F7-4243-A1DB-C58417BC37E4}" name="Surge arrestor fitment"/>
    <tableColumn id="28" xr3:uid="{521B4B02-1674-4403-8B78-96F8332FFCB0}" name="Input choke change_x000a_(mention sr.no. of new choke_"/>
    <tableColumn id="29" xr3:uid="{CE24ADD5-723A-48A9-8232-FEDC5A21DED3}" name="O/P choke change_x000a_(mention sr.no. of new choke_"/>
    <tableColumn id="30" xr3:uid="{41D34CFC-0642-4F7B-9734-320D2A3A16E6}" name="Control fuse _x000a_6.5amp to 15amp_x000a_(Glass fuse)"/>
    <tableColumn id="31" xr3:uid="{68A7DE6D-7651-4D49-8828-94FCF2A1D0A7}" name="Display button"/>
    <tableColumn id="32" xr3:uid="{566D0AA9-98F8-4C0F-8002-8C4DA62FEC53}" name="DC link bus bar supporter" dataDxfId="2366"/>
    <tableColumn id="33" xr3:uid="{C390BA9B-4F6A-41E9-97CB-913C26CDD582}" name="Software version in Conv (200622)_x000a_(Master) Y6U2N04V.006_x000a_(Module) Y6U2N240.005_x000a_*DATE*" dataDxfId="2365"/>
    <tableColumn id="34" xr3:uid="{2C6A38AC-F77F-4DF0-A673-2F18B063FA2A}" name="New Software version (UAT2Y44O.012) of display updation _x000a_*DATE*"/>
    <tableColumn id="35" xr3:uid="{2791C15A-16FE-47F0-8790-138E642D9057}" name="Sine Filter Capacitor washer fitment and tightness of connection_x000a_*DATE*" dataDxfId="2364"/>
    <tableColumn id="36" xr3:uid="{C9E3F588-A4CB-46E4-A3E7-D058334F7113}" name="ELR setting to check_x000a_(1amp /10 sec)" dataDxfId="2363"/>
    <tableColumn id="37" xr3:uid="{D22F789E-9272-4517-9CF7-52E8261C3597}" name="Heat Sink Cleaning _x000a_*Date*"/>
    <tableColumn id="38" xr3:uid="{B618E843-1478-4B89-9DE9-8515E4062AFC}" name="I/P contactor SILICON washer"/>
    <tableColumn id="39" xr3:uid="{2353BF76-FB9C-4FDA-B1FA-320AC125D3A9}" name="Steel mesh on cyclonic filter on loco wa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4" dT="2022-06-08T08:33:10.61" personId="{ABD3A482-4D5E-40D8-8649-A875F211BA6D}" id="{A89BC2AD-4C97-4B72-A095-AC48AC2A7C8E}">
    <text xml:space="preserve">Loco transfer from Gaziabad to BNDM
</text>
  </threadedComment>
  <threadedComment ref="B190" dT="2022-06-08T08:34:10.35" personId="{ABD3A482-4D5E-40D8-8649-A875F211BA6D}" id="{2B9C259F-5A55-4464-B47C-24512F9A9353}">
    <text xml:space="preserve">Loco transfer from GZB to GMO
</text>
  </threadedComment>
  <threadedComment ref="B230" dT="2022-06-08T10:51:56.54" personId="{ABD3A482-4D5E-40D8-8649-A875F211BA6D}" id="{1A16C970-FC49-4D78-8EE3-E95DF9F4499F}">
    <text>Loco transfered from Gonda to RPM dt 14/03/22</text>
  </threadedComment>
  <threadedComment ref="B232" dT="2022-06-08T10:52:19.03" personId="{ABD3A482-4D5E-40D8-8649-A875F211BA6D}" id="{468A7AFE-15D3-49A9-AD3F-AD691D878180}">
    <text xml:space="preserve">Loco transfered from Gonda to RPM dt. 14/03/22
</text>
  </threadedComment>
  <threadedComment ref="B855" dT="2022-06-08T09:31:44.14" personId="{ABD3A482-4D5E-40D8-8649-A875F211BA6D}" id="{6BC60C8F-9DB5-4387-B88C-23FEEBA464E5}">
    <text>Loco transferred Gonda to Gaziabad dt 14/03/22</text>
  </threadedComment>
  <threadedComment ref="B859" dT="2022-06-08T08:19:23.51" personId="{ABD3A482-4D5E-40D8-8649-A875F211BA6D}" id="{9A6F1DE9-D02D-42CF-A1D7-00715EEAFC30}">
    <text>Loco transfer from Vodadara to Gaziabad</text>
  </threadedComment>
  <threadedComment ref="B861" dT="2022-06-08T09:33:28.87" personId="{ABD3A482-4D5E-40D8-8649-A875F211BA6D}" id="{175FC5B5-4728-4568-8113-8F51558478EA}">
    <text>Loco transfered to RPM from Gonda shed dt 14/03/22.</text>
  </threadedComment>
  <threadedComment ref="B968" dT="2022-06-08T10:50:36.15" personId="{ABD3A482-4D5E-40D8-8649-A875F211BA6D}" id="{F7B03655-4EDB-4E39-8D05-8C8EC10AE1F0}">
    <text>Loco transfered from Gonda to kyn dt 14/03/22</text>
  </threadedComment>
  <threadedComment ref="B1050" dT="2022-06-08T11:07:22.83" personId="{ABD3A482-4D5E-40D8-8649-A875F211BA6D}" id="{41633D1A-F7D8-4661-B47C-1DF95EE5D4F2}">
    <text>Loco transfered from Gonda to KYN dt 14/03/22</text>
  </threadedComment>
  <threadedComment ref="B1052" dT="2022-06-08T11:07:27.89" personId="{ABD3A482-4D5E-40D8-8649-A875F211BA6D}" id="{D8042A66-CD8D-4E1D-ABCC-AC4253A5F0C8}">
    <text>Loco transfered from Gonda to KYN dt 14/03/22</text>
  </threadedComment>
  <threadedComment ref="B1054" dT="2022-06-08T11:07:33.50" personId="{ABD3A482-4D5E-40D8-8649-A875F211BA6D}" id="{2688E473-C869-4889-8421-5C29BE6177F1}">
    <text>Loco transfered from Gonda to KYN dt 14/03/22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0" dT="2022-06-08T10:51:56.54" personId="{ABD3A482-4D5E-40D8-8649-A875F211BA6D}" id="{1831D0F6-BD81-47F1-B855-FF143BFB3F15}">
    <text>Loco transfered from Gonda to RPM dt 14/03/22</text>
  </threadedComment>
  <threadedComment ref="B132" dT="2022-06-08T10:52:19.03" personId="{ABD3A482-4D5E-40D8-8649-A875F211BA6D}" id="{78149561-857E-497A-8AB3-0B4429092A57}">
    <text xml:space="preserve">Loco transfered from Gonda to RPM dt. 14/03/22
</text>
  </threadedComment>
  <threadedComment ref="B134" dT="2022-06-08T09:33:28.87" personId="{ABD3A482-4D5E-40D8-8649-A875F211BA6D}" id="{15F79311-48DC-4568-8E63-79250725573A}">
    <text>Loco transfered to RPM from Gonda shed dt 14/03/22.</text>
  </threadedComment>
  <threadedComment ref="B184" dT="2022-06-08T08:33:10.61" personId="{ABD3A482-4D5E-40D8-8649-A875F211BA6D}" id="{E54B2F47-43D6-4103-971C-CFCDB87ABF44}">
    <text xml:space="preserve">Loco transfer from Gaziabad to BNDM
</text>
  </threadedComment>
  <threadedComment ref="B230" dT="2022-06-08T08:34:10.35" personId="{ABD3A482-4D5E-40D8-8649-A875F211BA6D}" id="{D68E585D-8243-4FD7-A7BF-E3F0DA682166}">
    <text xml:space="preserve">Loco transfer from GZB to GMO
</text>
  </threadedComment>
  <threadedComment ref="B945" dT="2022-06-08T09:31:44.14" personId="{ABD3A482-4D5E-40D8-8649-A875F211BA6D}" id="{ECB6BD69-5352-419F-81E0-F57FB5233B19}">
    <text>Loco transferred Gonda to Gaziabad dt 14/03/22</text>
  </threadedComment>
  <threadedComment ref="B949" dT="2022-06-08T08:19:23.51" personId="{ABD3A482-4D5E-40D8-8649-A875F211BA6D}" id="{3B76A7B0-6D6D-4084-BA23-DBD8BC09D27A}">
    <text>Loco transfer from Vodadara to Gaziabad</text>
  </threadedComment>
  <threadedComment ref="B1064" dT="2022-06-08T10:50:36.15" personId="{ABD3A482-4D5E-40D8-8649-A875F211BA6D}" id="{3DE9C28A-D018-45AB-A3AC-2497A6F51D1C}">
    <text>Loco transfered from Gonda to kyn dt 14/03/22</text>
  </threadedComment>
  <threadedComment ref="B1146" dT="2022-06-08T11:07:22.83" personId="{ABD3A482-4D5E-40D8-8649-A875F211BA6D}" id="{31703A15-29CC-48B3-B422-3E32F1AB0537}">
    <text>Loco transfered from Gonda to KYN dt 14/03/22</text>
  </threadedComment>
  <threadedComment ref="B1148" dT="2022-06-08T11:07:27.89" personId="{ABD3A482-4D5E-40D8-8649-A875F211BA6D}" id="{F57A1907-C63C-4B3A-88DC-57DABDF3A281}">
    <text>Loco transfered from Gonda to KYN dt 14/03/22</text>
  </threadedComment>
  <threadedComment ref="B1150" dT="2022-06-08T11:07:33.50" personId="{ABD3A482-4D5E-40D8-8649-A875F211BA6D}" id="{0232B0BB-190C-417F-8357-5BBFBA5D561A}">
    <text>Loco transfered from Gonda to KYN dt 14/03/22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4" dT="2025-04-01T11:44:56.59" personId="{ABD3A482-4D5E-40D8-8649-A875F211BA6D}" id="{D83ED4DE-9E07-4EE8-9E24-4E5639C4DA3A}">
    <text>Loco Transferred To KYN.</text>
  </threadedComment>
  <threadedComment ref="AB60" dT="2025-03-15T07:43:16.42" personId="{ABD3A482-4D5E-40D8-8649-A875F211BA6D}" id="{BBBBD04F-75F4-412E-B954-9863CF0F885C}">
    <text xml:space="preserve">New choke now EL19F0404R dt 30.12.24
</text>
  </threadedComment>
  <threadedComment ref="AB65" dT="2025-03-15T07:39:05.65" personId="{ABD3A482-4D5E-40D8-8649-A875F211BA6D}" id="{248B9DF9-7D08-4EA8-8763-F044466AAAAC}">
    <text xml:space="preserve">New choke EL18F06061R Failed on dt  8-Oct-24.
</text>
  </threadedComment>
  <threadedComment ref="B178" dT="2022-06-08T09:31:44.14" personId="{ABD3A482-4D5E-40D8-8649-A875F211BA6D}" id="{C3F12C92-AC12-40B6-9269-8883401B2242}">
    <text>Loco transferred Gonda to Gaziabad dt 14/03/22</text>
  </threadedComment>
  <threadedComment ref="B180" dT="2022-06-08T08:19:23.51" personId="{ABD3A482-4D5E-40D8-8649-A875F211BA6D}" id="{65480D62-20E6-43E6-91D6-F0E06504E389}">
    <text>Loco transfer from Vodadara to Gaziabad</text>
  </threadedComment>
  <threadedComment ref="B337" dT="2025-04-01T11:46:12.50" personId="{ABD3A482-4D5E-40D8-8649-A875F211BA6D}" id="{F9BC625C-BE43-4678-9B50-AA62DBF416BC}">
    <text>Transferred to kyn</text>
  </threadedComment>
  <threadedComment ref="B339" dT="2025-04-01T10:46:01.00" personId="{ABD3A482-4D5E-40D8-8649-A875F211BA6D}" id="{C774D473-1BD8-4141-A6FE-4327A41ED9FD}">
    <text>No Trafo</text>
  </threadedComment>
  <threadedComment ref="B341" dT="2024-10-22T10:06:33.62" personId="{ABD3A482-4D5E-40D8-8649-A875F211BA6D}" id="{CE546D83-BCC8-4597-9663-91FD09C034F8}">
    <text>No tranfo</text>
  </threadedComment>
  <threadedComment ref="B343" dT="2024-10-22T10:06:41.12" personId="{ABD3A482-4D5E-40D8-8649-A875F211BA6D}" id="{141150DC-EA13-4D9A-9395-0D651B2CD88C}">
    <text>No tranfo</text>
  </threadedComment>
  <threadedComment ref="B345" dT="2025-04-01T10:45:16.30" personId="{ABD3A482-4D5E-40D8-8649-A875F211BA6D}" id="{485BDF46-9469-4330-B97F-2F8652D8672A}">
    <text>No Trafo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80" dT="2024-09-07T04:38:28.89" personId="{ABD3A482-4D5E-40D8-8649-A875F211BA6D}" id="{5A71F1F1-C7DC-4BE0-9A10-938D5C10CDA7}">
    <text xml:space="preserve">Transfered from GZB dt 30.08.24
</text>
  </threadedComment>
  <threadedComment ref="B382" dT="2024-09-07T04:39:25.76" personId="{ABD3A482-4D5E-40D8-8649-A875F211BA6D}" id="{EB1BBF3C-F2B1-493A-969C-AB9D12D4CDFD}">
    <text xml:space="preserve">transfered from GZB Dt 30.08.24
</text>
  </threadedComment>
  <threadedComment ref="B384" dT="2024-09-07T04:37:20.20" personId="{ABD3A482-4D5E-40D8-8649-A875F211BA6D}" id="{F2A31BA6-C67F-48D3-9DB5-2F998C8CD2E4}">
    <text xml:space="preserve">Transfered from GZB dt 30.08.24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70" dT="2022-06-08T08:33:10.61" personId="{ABD3A482-4D5E-40D8-8649-A875F211BA6D}" id="{C8BA4253-400C-4F9D-92CF-9C59559D1172}">
    <text xml:space="preserve">Loco transfer from Gaziabad to BNDM
</text>
  </threadedComment>
  <threadedComment ref="B216" dT="2022-06-08T08:34:10.35" personId="{ABD3A482-4D5E-40D8-8649-A875F211BA6D}" id="{F928CFAE-6129-4F9A-B036-21482245DF97}">
    <text xml:space="preserve">Loco transfer from GZB to GMO
</text>
  </threadedComment>
  <threadedComment ref="B256" dT="2022-06-08T10:51:56.54" personId="{ABD3A482-4D5E-40D8-8649-A875F211BA6D}" id="{99FA1625-4D6E-4CBF-9332-37B7611F0CA6}">
    <text>Loco transfered from Gonda to RPM dt 14/03/22</text>
  </threadedComment>
  <threadedComment ref="B258" dT="2022-06-08T10:52:19.03" personId="{ABD3A482-4D5E-40D8-8649-A875F211BA6D}" id="{4ED26B40-E2DB-498B-8D6A-41161D138B02}">
    <text xml:space="preserve">Loco transfered from Gonda to RPM dt. 14/03/22
</text>
  </threadedComment>
  <threadedComment ref="B935" dT="2022-06-08T09:31:44.14" personId="{ABD3A482-4D5E-40D8-8649-A875F211BA6D}" id="{E8D49FE1-7CBD-4191-BE73-A387FEF376BB}">
    <text>Loco transferred Gonda to Gaziabad dt 14/03/22</text>
  </threadedComment>
  <threadedComment ref="B939" dT="2022-06-08T08:19:23.51" personId="{ABD3A482-4D5E-40D8-8649-A875F211BA6D}" id="{F9E5C96A-C83A-43FB-BBE5-6C1A59788848}">
    <text>Loco transfer from Vodadara to Gaziabad</text>
  </threadedComment>
  <threadedComment ref="B941" dT="2022-06-08T09:33:28.87" personId="{ABD3A482-4D5E-40D8-8649-A875F211BA6D}" id="{8B5C5D7E-63D9-4B80-B5DA-587C4302C157}">
    <text>Loco transfered to RPM from Gonda shed dt 14/03/22.</text>
  </threadedComment>
  <threadedComment ref="B1061" dT="2022-06-08T10:50:36.15" personId="{ABD3A482-4D5E-40D8-8649-A875F211BA6D}" id="{DC48B759-DD13-4122-AFE8-A971E14461AF}">
    <text>Loco transfered from Gonda to kyn dt 14/03/22</text>
  </threadedComment>
  <threadedComment ref="B1146" dT="2022-06-08T11:07:22.83" personId="{ABD3A482-4D5E-40D8-8649-A875F211BA6D}" id="{97C03CC9-5FCD-44EE-BBDC-41F46E035B39}">
    <text>Loco transfered from Gonda to KYN dt 14/03/22</text>
  </threadedComment>
  <threadedComment ref="B1148" dT="2022-06-08T11:07:27.89" personId="{ABD3A482-4D5E-40D8-8649-A875F211BA6D}" id="{EF4A0482-1DD4-4320-8458-13B39A0095B7}">
    <text>Loco transfered from Gonda to KYN dt 14/03/22</text>
  </threadedComment>
  <threadedComment ref="B1150" dT="2022-06-08T11:07:33.50" personId="{ABD3A482-4D5E-40D8-8649-A875F211BA6D}" id="{7C7B38A9-5618-4654-9DA8-A4F309ECE7CC}">
    <text>Loco transfered from Gonda to KYN dt 14/03/22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56" dT="2022-06-08T11:07:22.83" personId="{ABD3A482-4D5E-40D8-8649-A875F211BA6D}" id="{8B407ECA-AEE2-4CD3-8CDE-03327278486D}">
    <text>Loco transfered from Gonda to KYN dt 14/03/22</text>
  </threadedComment>
  <threadedComment ref="B258" dT="2022-06-08T11:07:27.89" personId="{ABD3A482-4D5E-40D8-8649-A875F211BA6D}" id="{5DA37F06-ECD2-44AC-A3E1-7C497E31156E}">
    <text>Loco transfered from Gonda to KYN dt 14/03/22</text>
  </threadedComment>
  <threadedComment ref="B260" dT="2022-06-08T11:07:33.50" personId="{ABD3A482-4D5E-40D8-8649-A875F211BA6D}" id="{2B636422-F764-461D-818D-CE01EBB7F5E0}">
    <text>Loco transfered from Gonda to KYN dt 14/03/22</text>
  </threadedComment>
  <threadedComment ref="B262" dT="2022-06-08T10:50:36.15" personId="{ABD3A482-4D5E-40D8-8649-A875F211BA6D}" id="{76A2E718-EA1E-4D14-9255-B0E7DCAD4E67}">
    <text>Loco transfered from Gonda to kyn dt 14/03/22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68" dT="2022-06-08T08:33:10.61" personId="{ABD3A482-4D5E-40D8-8649-A875F211BA6D}" id="{270B5795-42A0-4099-A692-72EE761D7181}">
    <text xml:space="preserve">Loco transfer from Gaziabad to BNDM
</text>
  </threadedComment>
  <threadedComment ref="B214" dT="2022-06-08T08:34:10.35" personId="{ABD3A482-4D5E-40D8-8649-A875F211BA6D}" id="{CACCE4A1-EABD-4D2C-A170-AA276D0CBE5D}">
    <text xml:space="preserve">Loco transfer from GZB to GMO
</text>
  </threadedComment>
  <threadedComment ref="B254" dT="2022-06-08T10:51:56.54" personId="{ABD3A482-4D5E-40D8-8649-A875F211BA6D}" id="{A7607225-076D-4942-A93A-84A56ECBCF1A}">
    <text>Loco transfered from Gonda to RPM dt 14/03/22</text>
  </threadedComment>
  <threadedComment ref="B256" dT="2022-06-08T10:52:19.03" personId="{ABD3A482-4D5E-40D8-8649-A875F211BA6D}" id="{0C52BD9E-8C74-42DD-AEAA-E86D7E31E8D1}">
    <text xml:space="preserve">Loco transfered from Gonda to RPM dt. 14/03/22
</text>
  </threadedComment>
  <threadedComment ref="B933" dT="2022-06-08T09:31:44.14" personId="{ABD3A482-4D5E-40D8-8649-A875F211BA6D}" id="{3BB09A0D-5E67-45BB-B054-B4213620E0FE}">
    <text>Loco transferred Gonda to Gaziabad dt 14/03/22</text>
  </threadedComment>
  <threadedComment ref="B937" dT="2022-06-08T08:19:23.51" personId="{ABD3A482-4D5E-40D8-8649-A875F211BA6D}" id="{B9730329-F225-4D65-ADE0-E43EC70928C2}">
    <text>Loco transfer from Vodadara to Gaziabad</text>
  </threadedComment>
  <threadedComment ref="B939" dT="2022-06-08T09:33:28.87" personId="{ABD3A482-4D5E-40D8-8649-A875F211BA6D}" id="{16763826-50C6-4EA0-B06F-D3E6953DC3D3}">
    <text>Loco transfered to RPM from Gonda shed dt 14/03/22.</text>
  </threadedComment>
  <threadedComment ref="B1059" dT="2022-06-08T10:50:36.15" personId="{ABD3A482-4D5E-40D8-8649-A875F211BA6D}" id="{00BEE91A-1FEB-4429-B611-93F092B75A51}">
    <text>Loco transfered from Gonda to kyn dt 14/03/22</text>
  </threadedComment>
  <threadedComment ref="B1144" dT="2022-06-08T11:07:22.83" personId="{ABD3A482-4D5E-40D8-8649-A875F211BA6D}" id="{13AFB8B6-43E9-4D11-BE9D-3D414CBA79A7}">
    <text>Loco transfered from Gonda to KYN dt 14/03/22</text>
  </threadedComment>
  <threadedComment ref="B1146" dT="2022-06-08T11:07:27.89" personId="{ABD3A482-4D5E-40D8-8649-A875F211BA6D}" id="{0D2220DB-29B1-4FEB-9FA0-040C241C6FD1}">
    <text>Loco transfered from Gonda to KYN dt 14/03/22</text>
  </threadedComment>
  <threadedComment ref="B1148" dT="2022-06-08T11:07:33.50" personId="{ABD3A482-4D5E-40D8-8649-A875F211BA6D}" id="{56759973-CF4C-4948-AB11-A79B5E79BD14}">
    <text>Loco transfered from Gonda to KYN dt 14/03/22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BB17-9F73-4E31-AAA0-7911B5A0525F}">
  <sheetPr>
    <tabColor rgb="FFFF0000"/>
  </sheetPr>
  <dimension ref="A12:AO139"/>
  <sheetViews>
    <sheetView topLeftCell="A7" workbookViewId="0">
      <selection activeCell="C14" sqref="C14"/>
    </sheetView>
  </sheetViews>
  <sheetFormatPr defaultRowHeight="13.2" x14ac:dyDescent="0.25"/>
  <cols>
    <col min="1" max="1" width="13.44140625" customWidth="1"/>
    <col min="2" max="2" width="12.44140625" customWidth="1"/>
    <col min="3" max="3" width="15.44140625" customWidth="1"/>
  </cols>
  <sheetData>
    <row r="12" spans="1:2" ht="26.4" x14ac:dyDescent="0.25">
      <c r="A12" s="3" t="s">
        <v>0</v>
      </c>
      <c r="B12" s="18" t="s">
        <v>1</v>
      </c>
    </row>
    <row r="13" spans="1:2" x14ac:dyDescent="0.25">
      <c r="A13" s="58" t="s">
        <v>2</v>
      </c>
      <c r="B13" s="307">
        <v>45484</v>
      </c>
    </row>
    <row r="14" spans="1:2" x14ac:dyDescent="0.25">
      <c r="A14" s="58" t="s">
        <v>3</v>
      </c>
      <c r="B14" s="307">
        <v>45468</v>
      </c>
    </row>
    <row r="15" spans="1:2" x14ac:dyDescent="0.25">
      <c r="A15" s="58" t="s">
        <v>4</v>
      </c>
      <c r="B15" s="307"/>
    </row>
    <row r="16" spans="1:2" x14ac:dyDescent="0.25">
      <c r="A16" s="58" t="s">
        <v>5</v>
      </c>
      <c r="B16" s="307">
        <v>45814</v>
      </c>
    </row>
    <row r="17" spans="1:2" x14ac:dyDescent="0.25">
      <c r="A17" s="58" t="s">
        <v>6</v>
      </c>
      <c r="B17" s="307">
        <v>44866</v>
      </c>
    </row>
    <row r="18" spans="1:2" x14ac:dyDescent="0.25">
      <c r="A18" s="58" t="s">
        <v>7</v>
      </c>
      <c r="B18" s="307"/>
    </row>
    <row r="139" spans="41:41" x14ac:dyDescent="0.25">
      <c r="AO139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2B5A-63FC-424F-A763-43DE618FDCF8}">
  <dimension ref="A1:V32"/>
  <sheetViews>
    <sheetView topLeftCell="I1" zoomScaleNormal="100" workbookViewId="0">
      <pane ySplit="1" topLeftCell="A3" activePane="bottomLeft" state="frozen"/>
      <selection pane="bottomLeft" activeCell="H1" sqref="H1"/>
    </sheetView>
  </sheetViews>
  <sheetFormatPr defaultColWidth="12.44140625" defaultRowHeight="13.2" x14ac:dyDescent="0.25"/>
  <cols>
    <col min="1" max="1" width="20" customWidth="1"/>
    <col min="2" max="2" width="12.44140625" customWidth="1"/>
    <col min="3" max="4" width="12.44140625" style="504" hidden="1" customWidth="1"/>
    <col min="5" max="6" width="12.44140625" hidden="1" customWidth="1"/>
    <col min="7" max="12" width="12.44140625" customWidth="1"/>
    <col min="13" max="13" width="12.44140625" hidden="1" customWidth="1"/>
    <col min="14" max="15" width="12.44140625" customWidth="1"/>
    <col min="16" max="16" width="12.44140625" style="954" customWidth="1"/>
    <col min="17" max="17" width="18.5546875" customWidth="1"/>
    <col min="18" max="18" width="15.5546875" customWidth="1"/>
    <col min="19" max="20" width="12.44140625" customWidth="1"/>
  </cols>
  <sheetData>
    <row r="1" spans="1:22" s="303" customFormat="1" ht="98.1" customHeight="1" x14ac:dyDescent="0.25">
      <c r="A1" s="10" t="s">
        <v>9</v>
      </c>
      <c r="B1" s="10" t="str">
        <f>'Bangalore Summary'!B3</f>
        <v>Total Panel</v>
      </c>
      <c r="C1" s="503" t="str">
        <f>'Bangalore Summary'!C3</f>
        <v xml:space="preserve"> Software version in Conv</v>
      </c>
      <c r="D1" s="503" t="str">
        <f>'Bangalore Summary'!D3</f>
        <v>Count of Software version of display</v>
      </c>
      <c r="E1" s="10" t="str">
        <f>'Bangalore Summary'!E3</f>
        <v>Removal of metal short link  from M9000 with wire</v>
      </c>
      <c r="F1" s="10" t="str">
        <f>'Bangalore Summary'!F3</f>
        <v>Replacement of 10 amp fuse with 20 amp</v>
      </c>
      <c r="G1" s="10" t="str">
        <f>'Bangalore Summary'!G3</f>
        <v>Shifting of wires on O/P  contactor</v>
      </c>
      <c r="H1" s="10" t="str">
        <f>'Bangalore Summary'!H3</f>
        <v>External earth fault wire</v>
      </c>
      <c r="I1" s="10" t="str">
        <f>'Bangalore Summary'!I3</f>
        <v>Shifting of wire of output voltage available lamp</v>
      </c>
      <c r="J1" s="10" t="str">
        <f>'Bangalore Summary'!J3</f>
        <v>Sealing of cable entry of  panel</v>
      </c>
      <c r="K1" s="10" t="str">
        <f>'Bangalore Summary'!K3</f>
        <v>Sealing of main fan plate  (On which DC-DC converter installed)</v>
      </c>
      <c r="L1" s="10" t="str">
        <f>'Bangalore Summary'!L3</f>
        <v>Input choke change</v>
      </c>
      <c r="M1" s="10" t="str">
        <f>'Bangalore Summary'!M3</f>
        <v>Control fuse 
6.5amp to 15amp</v>
      </c>
      <c r="N1" s="714" t="str">
        <f>'Bangalore Summary'!N3</f>
        <v>Display  button</v>
      </c>
      <c r="O1" s="10" t="str">
        <f>'Bangalore Summary'!O3</f>
        <v>DC link bus bar  supporter</v>
      </c>
      <c r="P1" s="714" t="str">
        <f>'Bangalore Summary'!P3</f>
        <v>.New Software version (UAT2Y44O.012) of display updation</v>
      </c>
      <c r="Q1" s="10" t="str">
        <f>'Bangalore Summary'!Q3</f>
        <v>.Sine Filter Capacitor washer fitment and tightness of connection</v>
      </c>
      <c r="R1" s="714" t="str">
        <f>'Bangalore Summary'!R3</f>
        <v>Count of Software version in Conv (200622)
(Master) Y6U2N04V.006
(Module) Y6U2N240.005
*DATE*</v>
      </c>
      <c r="S1" s="303" t="str">
        <f>'Bangalore Summary'!S3</f>
        <v>Count of Heat Sink Cleaning 
*Date*</v>
      </c>
      <c r="T1" s="303" t="str">
        <f>'Bangalore Summary'!T3</f>
        <v>Count of I/P contactor SILICON washer</v>
      </c>
      <c r="U1" s="10" t="str">
        <f>'Bangalore Summary'!U3</f>
        <v>Count of Steel mesh on cyclonic filter on looc wall</v>
      </c>
      <c r="V1" s="303" t="s">
        <v>0</v>
      </c>
    </row>
    <row r="2" spans="1:22" x14ac:dyDescent="0.25">
      <c r="A2" s="379" t="str">
        <f>'Bangalore Summary'!A4</f>
        <v>Krishnarajipuram</v>
      </c>
      <c r="B2" s="24">
        <f>'Bangalore Summary'!B4</f>
        <v>72</v>
      </c>
      <c r="C2" s="435">
        <f>'Bangalore Summary'!C4</f>
        <v>32</v>
      </c>
      <c r="D2" s="435">
        <f>'Bangalore Summary'!D4</f>
        <v>60</v>
      </c>
      <c r="E2" s="24">
        <f>'Bangalore Summary'!E4</f>
        <v>72</v>
      </c>
      <c r="F2" s="24">
        <f>'Bangalore Summary'!F4</f>
        <v>72</v>
      </c>
      <c r="G2" s="24">
        <f>'Bangalore Summary'!G4</f>
        <v>72</v>
      </c>
      <c r="H2" s="24">
        <f>'Bangalore Summary'!H4</f>
        <v>72</v>
      </c>
      <c r="I2" s="24">
        <f>'Bangalore Summary'!I4</f>
        <v>72</v>
      </c>
      <c r="J2" s="24">
        <f>'Bangalore Summary'!J4</f>
        <v>72</v>
      </c>
      <c r="K2" s="24">
        <f>'Bangalore Summary'!K4</f>
        <v>12</v>
      </c>
      <c r="L2" s="24">
        <f>'Bangalore Summary'!L4</f>
        <v>4</v>
      </c>
      <c r="M2" s="24">
        <f>'Bangalore Summary'!M4</f>
        <v>64</v>
      </c>
      <c r="N2" s="24">
        <f>'Bangalore Summary'!N4</f>
        <v>0</v>
      </c>
      <c r="O2" s="24">
        <f>'Bangalore Summary'!O4</f>
        <v>50</v>
      </c>
      <c r="P2" s="951">
        <f>'Bangalore Summary'!P4</f>
        <v>72</v>
      </c>
      <c r="Q2" s="24">
        <f>'Bangalore Summary'!Q4</f>
        <v>72</v>
      </c>
      <c r="R2" s="24">
        <f>'Bangalore Summary'!R4</f>
        <v>70</v>
      </c>
      <c r="S2" s="24">
        <f>'Bangalore Summary'!S4</f>
        <v>32</v>
      </c>
      <c r="T2" s="24">
        <f>'Bangalore Summary'!T4</f>
        <v>0</v>
      </c>
      <c r="U2" s="24">
        <f>'Bangalore Summary'!U4</f>
        <v>46</v>
      </c>
      <c r="V2" t="s">
        <v>10</v>
      </c>
    </row>
    <row r="3" spans="1:22" x14ac:dyDescent="0.25">
      <c r="A3" s="379" t="str">
        <f>'Chennai Summary'!A4</f>
        <v>Erode</v>
      </c>
      <c r="B3" s="24">
        <f>'Chennai Summary'!B4</f>
        <v>100</v>
      </c>
      <c r="C3" s="435">
        <f>'Chennai Summary'!C4</f>
        <v>96</v>
      </c>
      <c r="D3" s="435">
        <f>'Chennai Summary'!D4</f>
        <v>98</v>
      </c>
      <c r="E3" s="24">
        <f>'Chennai Summary'!E4</f>
        <v>70</v>
      </c>
      <c r="F3" s="24">
        <f>'Chennai Summary'!F4</f>
        <v>98</v>
      </c>
      <c r="G3" s="24">
        <f>'Chennai Summary'!G4</f>
        <v>54</v>
      </c>
      <c r="H3" s="24">
        <f>'Chennai Summary'!H4</f>
        <v>98</v>
      </c>
      <c r="I3" s="24">
        <f>'Chennai Summary'!I4</f>
        <v>98</v>
      </c>
      <c r="J3" s="24">
        <f>'Chennai Summary'!J4</f>
        <v>10</v>
      </c>
      <c r="K3" s="24">
        <f>'Chennai Summary'!K4</f>
        <v>73</v>
      </c>
      <c r="L3" s="24">
        <f>'Chennai Summary'!L4</f>
        <v>13</v>
      </c>
      <c r="M3" s="24">
        <f>'Chennai Summary'!M4</f>
        <v>84</v>
      </c>
      <c r="N3" s="24">
        <f>'Chennai Summary'!N4</f>
        <v>10</v>
      </c>
      <c r="O3" s="24">
        <f>'Chennai Summary'!O4</f>
        <v>100</v>
      </c>
      <c r="P3" s="951">
        <f>'Chennai Summary'!P4</f>
        <v>100</v>
      </c>
      <c r="Q3" s="24">
        <f>'Chennai Summary'!Q4</f>
        <v>100</v>
      </c>
      <c r="R3" s="24">
        <f>'Chennai Summary'!R4</f>
        <v>100</v>
      </c>
      <c r="S3" s="24">
        <f>'Chennai Summary'!S4</f>
        <v>30</v>
      </c>
      <c r="T3" s="24">
        <f>'Chennai Summary'!T4</f>
        <v>0</v>
      </c>
      <c r="U3" s="24">
        <f>'Chennai Summary'!U4</f>
        <v>84</v>
      </c>
      <c r="V3" t="s">
        <v>11</v>
      </c>
    </row>
    <row r="4" spans="1:22" x14ac:dyDescent="0.25">
      <c r="A4" s="379" t="str">
        <f>'Chennai Summary'!A5</f>
        <v>Raipuram</v>
      </c>
      <c r="B4" s="24">
        <f>'Chennai Summary'!B5</f>
        <v>130</v>
      </c>
      <c r="C4" s="435">
        <f>'Chennai Summary'!C5</f>
        <v>100</v>
      </c>
      <c r="D4" s="435">
        <f>'Chennai Summary'!D5</f>
        <v>106</v>
      </c>
      <c r="E4" s="24">
        <f>'Chennai Summary'!E5</f>
        <v>93</v>
      </c>
      <c r="F4" s="24">
        <f>'Chennai Summary'!F5</f>
        <v>130</v>
      </c>
      <c r="G4" s="24">
        <f>'Chennai Summary'!G5</f>
        <v>68</v>
      </c>
      <c r="H4" s="24">
        <f>'Chennai Summary'!H5</f>
        <v>130</v>
      </c>
      <c r="I4" s="24">
        <f>'Chennai Summary'!I5</f>
        <v>113</v>
      </c>
      <c r="J4" s="24">
        <f>'Chennai Summary'!J5</f>
        <v>10</v>
      </c>
      <c r="K4" s="24">
        <f>'Chennai Summary'!K5</f>
        <v>32</v>
      </c>
      <c r="L4" s="24">
        <f>'Chennai Summary'!L5</f>
        <v>11</v>
      </c>
      <c r="M4" s="24">
        <f>'Chennai Summary'!M5</f>
        <v>130</v>
      </c>
      <c r="N4" s="24">
        <f>'Chennai Summary'!N5</f>
        <v>30</v>
      </c>
      <c r="O4" s="24">
        <f>'Chennai Summary'!O5</f>
        <v>130</v>
      </c>
      <c r="P4" s="951">
        <f>'Chennai Summary'!P5</f>
        <v>64</v>
      </c>
      <c r="Q4" s="24">
        <f>'Chennai Summary'!Q5</f>
        <v>130</v>
      </c>
      <c r="R4" s="24">
        <f>'Chennai Summary'!R5</f>
        <v>130</v>
      </c>
      <c r="S4" s="24">
        <f>'Chennai Summary'!S5</f>
        <v>11</v>
      </c>
      <c r="T4" s="24">
        <f>'Chennai Summary'!T5</f>
        <v>16</v>
      </c>
      <c r="U4" s="24">
        <f>'Chennai Summary'!U5</f>
        <v>102</v>
      </c>
      <c r="V4" t="s">
        <v>11</v>
      </c>
    </row>
    <row r="5" spans="1:22" x14ac:dyDescent="0.25">
      <c r="A5" s="379" t="str">
        <f>'Hyderabad Summary'!A4</f>
        <v>BZA</v>
      </c>
      <c r="B5" s="24">
        <f>'Hyderabad Summary'!B4</f>
        <v>44</v>
      </c>
      <c r="C5" s="435">
        <f>'Hyderabad Summary'!C4</f>
        <v>17</v>
      </c>
      <c r="D5" s="435">
        <f>'Hyderabad Summary'!D4</f>
        <v>17</v>
      </c>
      <c r="E5" s="24">
        <f>'Hyderabad Summary'!E4</f>
        <v>32</v>
      </c>
      <c r="F5" s="24">
        <f>'Hyderabad Summary'!F4</f>
        <v>32</v>
      </c>
      <c r="G5" s="24">
        <f>'Hyderabad Summary'!G4</f>
        <v>0</v>
      </c>
      <c r="H5" s="24">
        <f>'Hyderabad Summary'!H4</f>
        <v>32</v>
      </c>
      <c r="I5" s="24">
        <f>'Hyderabad Summary'!I4</f>
        <v>32</v>
      </c>
      <c r="J5" s="24">
        <f>'Hyderabad Summary'!J4</f>
        <v>0</v>
      </c>
      <c r="K5" s="24">
        <f>'Hyderabad Summary'!K4</f>
        <v>1</v>
      </c>
      <c r="L5" s="24">
        <f>'Hyderabad Summary'!L4</f>
        <v>4</v>
      </c>
      <c r="M5" s="24">
        <f>'Hyderabad Summary'!M4</f>
        <v>12</v>
      </c>
      <c r="N5" s="24">
        <f>'Hyderabad Summary'!N4</f>
        <v>22</v>
      </c>
      <c r="O5" s="24">
        <f>'Hyderabad Summary'!O4</f>
        <v>18</v>
      </c>
      <c r="P5" s="951">
        <f>'Hyderabad Summary'!P4</f>
        <v>44</v>
      </c>
      <c r="Q5" s="24">
        <f>'Hyderabad Summary'!Q4</f>
        <v>44</v>
      </c>
      <c r="R5" s="24">
        <f>'Hyderabad Summary'!R4</f>
        <v>44</v>
      </c>
      <c r="S5" s="24">
        <f>'Hyderabad Summary'!S4</f>
        <v>32</v>
      </c>
      <c r="T5" s="24">
        <f>'Hyderabad Summary'!T4</f>
        <v>2</v>
      </c>
      <c r="U5" s="24">
        <f>'Hyderabad Summary'!U4</f>
        <v>32</v>
      </c>
      <c r="V5" t="s">
        <v>12</v>
      </c>
    </row>
    <row r="6" spans="1:22" x14ac:dyDescent="0.25">
      <c r="A6" s="379" t="str">
        <f>'Hyderabad Summary'!A5</f>
        <v>Lallaguda</v>
      </c>
      <c r="B6" s="24">
        <f>'Hyderabad Summary'!B5</f>
        <v>128</v>
      </c>
      <c r="C6" s="435">
        <f>'Hyderabad Summary'!C5</f>
        <v>33</v>
      </c>
      <c r="D6" s="435">
        <f>'Hyderabad Summary'!D5</f>
        <v>33</v>
      </c>
      <c r="E6" s="24">
        <f>'Hyderabad Summary'!E5</f>
        <v>64</v>
      </c>
      <c r="F6" s="24">
        <f>'Hyderabad Summary'!F5</f>
        <v>64</v>
      </c>
      <c r="G6" s="24">
        <f>'Hyderabad Summary'!G5</f>
        <v>3</v>
      </c>
      <c r="H6" s="24">
        <f>'Hyderabad Summary'!H5</f>
        <v>64</v>
      </c>
      <c r="I6" s="24">
        <f>'Hyderabad Summary'!I5</f>
        <v>64</v>
      </c>
      <c r="J6" s="24">
        <f>'Hyderabad Summary'!J5</f>
        <v>0</v>
      </c>
      <c r="K6" s="24">
        <f>'Hyderabad Summary'!K5</f>
        <v>0</v>
      </c>
      <c r="L6" s="24">
        <f>'Hyderabad Summary'!L5</f>
        <v>6</v>
      </c>
      <c r="M6" s="24">
        <f>'Hyderabad Summary'!M5</f>
        <v>50</v>
      </c>
      <c r="N6" s="24">
        <f>'Hyderabad Summary'!N5</f>
        <v>122</v>
      </c>
      <c r="O6" s="24">
        <f>'Hyderabad Summary'!O5</f>
        <v>108</v>
      </c>
      <c r="P6" s="951">
        <f>'Hyderabad Summary'!P5</f>
        <v>122</v>
      </c>
      <c r="Q6" s="24">
        <f>'Hyderabad Summary'!Q5</f>
        <v>122</v>
      </c>
      <c r="R6" s="24">
        <f>'Hyderabad Summary'!R5</f>
        <v>122</v>
      </c>
      <c r="S6" s="24">
        <f>'Hyderabad Summary'!S5</f>
        <v>76</v>
      </c>
      <c r="T6" s="24">
        <f>'Hyderabad Summary'!T5</f>
        <v>0</v>
      </c>
      <c r="U6" s="24">
        <f>'Hyderabad Summary'!U5</f>
        <v>84</v>
      </c>
      <c r="V6" t="s">
        <v>12</v>
      </c>
    </row>
    <row r="7" spans="1:22" x14ac:dyDescent="0.25">
      <c r="A7" s="379" t="str">
        <f>'Delhi Summary'!A4</f>
        <v>BGKT</v>
      </c>
      <c r="B7" s="24">
        <f>'Delhi Summary'!B4</f>
        <v>18</v>
      </c>
      <c r="C7" s="435">
        <f>'Delhi Summary'!C4</f>
        <v>2</v>
      </c>
      <c r="D7" s="435">
        <f>'Delhi Summary'!D4</f>
        <v>2</v>
      </c>
      <c r="E7" s="24">
        <f>'Delhi Summary'!E4</f>
        <v>0</v>
      </c>
      <c r="F7" s="24">
        <f>'Delhi Summary'!F4</f>
        <v>14</v>
      </c>
      <c r="G7" s="24">
        <f>'Delhi Summary'!G4</f>
        <v>16</v>
      </c>
      <c r="H7" s="24">
        <f>'Delhi Summary'!H4</f>
        <v>10</v>
      </c>
      <c r="I7" s="24">
        <f>'Delhi Summary'!I4</f>
        <v>4</v>
      </c>
      <c r="J7" s="24">
        <f>'Delhi Summary'!J4</f>
        <v>14</v>
      </c>
      <c r="K7" s="24">
        <f>'Delhi Summary'!K4</f>
        <v>10</v>
      </c>
      <c r="L7" s="24">
        <f>'Delhi Summary'!L4</f>
        <v>0</v>
      </c>
      <c r="M7" s="24">
        <f>'Delhi Summary'!M4</f>
        <v>16</v>
      </c>
      <c r="N7" s="24">
        <f>'Delhi Summary'!N4</f>
        <v>0</v>
      </c>
      <c r="O7" s="24">
        <f>'Delhi Summary'!O4</f>
        <v>16</v>
      </c>
      <c r="P7" s="951">
        <f>'Delhi Summary'!P4</f>
        <v>16</v>
      </c>
      <c r="Q7" s="24">
        <f>'Delhi Summary'!Q4</f>
        <v>16</v>
      </c>
      <c r="R7" s="24">
        <f>'Delhi Summary'!R4</f>
        <v>12</v>
      </c>
      <c r="S7" s="24">
        <f>'Delhi Summary'!S4</f>
        <v>14</v>
      </c>
      <c r="T7" s="24">
        <f>'Delhi Summary'!T4</f>
        <v>0</v>
      </c>
      <c r="U7" s="24">
        <f>'Delhi Summary'!U4</f>
        <v>2</v>
      </c>
      <c r="V7" t="s">
        <v>13</v>
      </c>
    </row>
    <row r="8" spans="1:22" x14ac:dyDescent="0.25">
      <c r="A8" s="379" t="str">
        <f>'Delhi Summary'!A5</f>
        <v>ELS GKP</v>
      </c>
      <c r="B8" s="24">
        <f>'Delhi Summary'!B5</f>
        <v>12</v>
      </c>
      <c r="C8" s="435">
        <f>'Delhi Summary'!C5</f>
        <v>8</v>
      </c>
      <c r="D8" s="435">
        <f>'Delhi Summary'!D5</f>
        <v>10</v>
      </c>
      <c r="E8" s="24">
        <f>'Delhi Summary'!E5</f>
        <v>10</v>
      </c>
      <c r="F8" s="24">
        <f>'Delhi Summary'!F5</f>
        <v>12</v>
      </c>
      <c r="G8" s="24">
        <f>'Delhi Summary'!G5</f>
        <v>2</v>
      </c>
      <c r="H8" s="24">
        <f>'Delhi Summary'!H5</f>
        <v>10</v>
      </c>
      <c r="I8" s="24">
        <f>'Delhi Summary'!I5</f>
        <v>6</v>
      </c>
      <c r="J8" s="24">
        <f>'Delhi Summary'!J5</f>
        <v>12</v>
      </c>
      <c r="K8" s="24">
        <f>'Delhi Summary'!K5</f>
        <v>10</v>
      </c>
      <c r="L8" s="24">
        <f>'Delhi Summary'!L5</f>
        <v>0</v>
      </c>
      <c r="M8" s="24">
        <f>'Delhi Summary'!M5</f>
        <v>10</v>
      </c>
      <c r="N8" s="24">
        <f>'Delhi Summary'!N5</f>
        <v>2</v>
      </c>
      <c r="O8" s="24">
        <f>'Delhi Summary'!O5</f>
        <v>11</v>
      </c>
      <c r="P8" s="951">
        <f>'Delhi Summary'!P5</f>
        <v>2</v>
      </c>
      <c r="Q8" s="24">
        <f>'Delhi Summary'!Q5</f>
        <v>12</v>
      </c>
      <c r="R8" s="24">
        <f>'Delhi Summary'!R5</f>
        <v>12</v>
      </c>
      <c r="S8" s="24">
        <f>'Delhi Summary'!S5</f>
        <v>10</v>
      </c>
      <c r="T8" s="24">
        <f>'Delhi Summary'!T5</f>
        <v>0</v>
      </c>
      <c r="U8" s="24">
        <f>'Delhi Summary'!U5</f>
        <v>12</v>
      </c>
      <c r="V8" t="s">
        <v>13</v>
      </c>
    </row>
    <row r="9" spans="1:22" x14ac:dyDescent="0.25">
      <c r="A9" s="379" t="str">
        <f>'Delhi Summary'!A6</f>
        <v>Gaziabad</v>
      </c>
      <c r="B9" s="24">
        <f>'Delhi Summary'!B6</f>
        <v>103</v>
      </c>
      <c r="C9" s="435">
        <f>'Delhi Summary'!C6</f>
        <v>77</v>
      </c>
      <c r="D9" s="435">
        <f>'Delhi Summary'!D6</f>
        <v>77</v>
      </c>
      <c r="E9" s="24">
        <f>'Delhi Summary'!E6</f>
        <v>48</v>
      </c>
      <c r="F9" s="24">
        <f>'Delhi Summary'!F6</f>
        <v>92</v>
      </c>
      <c r="G9" s="24">
        <f>'Delhi Summary'!G6</f>
        <v>77</v>
      </c>
      <c r="H9" s="24">
        <f>'Delhi Summary'!H6</f>
        <v>79</v>
      </c>
      <c r="I9" s="24">
        <f>'Delhi Summary'!I6</f>
        <v>71</v>
      </c>
      <c r="J9" s="24">
        <f>'Delhi Summary'!J6</f>
        <v>12</v>
      </c>
      <c r="K9" s="24">
        <f>'Delhi Summary'!K6</f>
        <v>62</v>
      </c>
      <c r="L9" s="24">
        <f>'Delhi Summary'!L6</f>
        <v>15</v>
      </c>
      <c r="M9" s="24">
        <f>'Delhi Summary'!M6</f>
        <v>103</v>
      </c>
      <c r="N9" s="24">
        <f>'Delhi Summary'!N6</f>
        <v>103</v>
      </c>
      <c r="O9" s="24">
        <f>'Delhi Summary'!O6</f>
        <v>103</v>
      </c>
      <c r="P9" s="951">
        <f>'Delhi Summary'!P6</f>
        <v>36</v>
      </c>
      <c r="Q9" s="24">
        <f>'Delhi Summary'!Q6</f>
        <v>91</v>
      </c>
      <c r="R9" s="24">
        <f>'Delhi Summary'!R6</f>
        <v>94</v>
      </c>
      <c r="S9" s="24">
        <f>'Delhi Summary'!S6</f>
        <v>84</v>
      </c>
      <c r="T9" s="24">
        <f>'Delhi Summary'!T6</f>
        <v>62</v>
      </c>
      <c r="U9" s="24">
        <f>'Delhi Summary'!U6</f>
        <v>88</v>
      </c>
      <c r="V9" t="s">
        <v>13</v>
      </c>
    </row>
    <row r="10" spans="1:22" x14ac:dyDescent="0.25">
      <c r="A10" s="379" t="str">
        <f>'Delhi Summary'!A7</f>
        <v>Ghaziabad</v>
      </c>
      <c r="B10" s="24">
        <f>'Delhi Summary'!B7</f>
        <v>2</v>
      </c>
      <c r="C10" s="435">
        <f>'Delhi Summary'!C7</f>
        <v>0</v>
      </c>
      <c r="D10" s="435">
        <f>'Delhi Summary'!D7</f>
        <v>0</v>
      </c>
      <c r="E10" s="24">
        <f>'Delhi Summary'!E7</f>
        <v>2</v>
      </c>
      <c r="F10" s="24">
        <f>'Delhi Summary'!F7</f>
        <v>2</v>
      </c>
      <c r="G10" s="24">
        <f>'Delhi Summary'!G7</f>
        <v>2</v>
      </c>
      <c r="H10" s="24">
        <f>'Delhi Summary'!H7</f>
        <v>2</v>
      </c>
      <c r="I10" s="24">
        <f>'Delhi Summary'!I7</f>
        <v>2</v>
      </c>
      <c r="J10" s="24">
        <f>'Delhi Summary'!J7</f>
        <v>2</v>
      </c>
      <c r="K10" s="24">
        <f>'Delhi Summary'!K7</f>
        <v>2</v>
      </c>
      <c r="L10" s="24">
        <f>'Delhi Summary'!L7</f>
        <v>0</v>
      </c>
      <c r="M10" s="24">
        <f>'Delhi Summary'!M7</f>
        <v>2</v>
      </c>
      <c r="N10" s="24">
        <f>'Delhi Summary'!N7</f>
        <v>2</v>
      </c>
      <c r="O10" s="24">
        <f>'Delhi Summary'!O7</f>
        <v>2</v>
      </c>
      <c r="P10" s="951">
        <f>'Delhi Summary'!P7</f>
        <v>2</v>
      </c>
      <c r="Q10" s="24">
        <f>'Delhi Summary'!Q7</f>
        <v>2</v>
      </c>
      <c r="R10" s="24">
        <f>'Delhi Summary'!R7</f>
        <v>2</v>
      </c>
      <c r="S10" s="24">
        <f>'Delhi Summary'!S7</f>
        <v>2</v>
      </c>
      <c r="T10" s="24">
        <f>'Delhi Summary'!T7</f>
        <v>2</v>
      </c>
      <c r="U10" s="24">
        <f>'Delhi Summary'!U7</f>
        <v>2</v>
      </c>
      <c r="V10" t="s">
        <v>13</v>
      </c>
    </row>
    <row r="11" spans="1:22" x14ac:dyDescent="0.25">
      <c r="A11" s="379" t="str">
        <f>'Delhi Summary'!A8</f>
        <v>Gonda</v>
      </c>
      <c r="B11" s="24">
        <f>'Delhi Summary'!B8</f>
        <v>18</v>
      </c>
      <c r="C11" s="435">
        <f>'Delhi Summary'!C8</f>
        <v>4</v>
      </c>
      <c r="D11" s="435">
        <f>'Delhi Summary'!D8</f>
        <v>6</v>
      </c>
      <c r="E11" s="24">
        <f>'Delhi Summary'!E8</f>
        <v>6</v>
      </c>
      <c r="F11" s="24">
        <f>'Delhi Summary'!F8</f>
        <v>18</v>
      </c>
      <c r="G11" s="24">
        <f>'Delhi Summary'!G8</f>
        <v>0</v>
      </c>
      <c r="H11" s="24">
        <f>'Delhi Summary'!H8</f>
        <v>16</v>
      </c>
      <c r="I11" s="24">
        <f>'Delhi Summary'!I8</f>
        <v>16</v>
      </c>
      <c r="J11" s="24">
        <f>'Delhi Summary'!J8</f>
        <v>16</v>
      </c>
      <c r="K11" s="24">
        <f>'Delhi Summary'!K8</f>
        <v>12</v>
      </c>
      <c r="L11" s="24">
        <f>'Delhi Summary'!L8</f>
        <v>0</v>
      </c>
      <c r="M11" s="24">
        <f>'Delhi Summary'!M8</f>
        <v>18</v>
      </c>
      <c r="N11" s="24">
        <f>'Delhi Summary'!N8</f>
        <v>12</v>
      </c>
      <c r="O11" s="24">
        <f>'Delhi Summary'!O8</f>
        <v>18</v>
      </c>
      <c r="P11" s="951">
        <f>'Delhi Summary'!P8</f>
        <v>12</v>
      </c>
      <c r="Q11" s="24">
        <f>'Delhi Summary'!Q8</f>
        <v>18</v>
      </c>
      <c r="R11" s="24">
        <f>'Delhi Summary'!R8</f>
        <v>12</v>
      </c>
      <c r="S11" s="24">
        <f>'Delhi Summary'!S8</f>
        <v>4</v>
      </c>
      <c r="T11" s="24">
        <f>'Delhi Summary'!T8</f>
        <v>0</v>
      </c>
      <c r="U11" s="24">
        <f>'Delhi Summary'!U8</f>
        <v>18</v>
      </c>
      <c r="V11" t="s">
        <v>13</v>
      </c>
    </row>
    <row r="12" spans="1:22" x14ac:dyDescent="0.25">
      <c r="A12" s="379" t="str">
        <f>'Delhi Summary'!A9</f>
        <v>Kanpur</v>
      </c>
      <c r="B12" s="24">
        <f>'Delhi Summary'!B9</f>
        <v>78</v>
      </c>
      <c r="C12" s="435">
        <f>'Delhi Summary'!C9</f>
        <v>62</v>
      </c>
      <c r="D12" s="435">
        <f>'Delhi Summary'!D9</f>
        <v>56</v>
      </c>
      <c r="E12" s="24">
        <f>'Delhi Summary'!E9</f>
        <v>29</v>
      </c>
      <c r="F12" s="24">
        <f>'Delhi Summary'!F9</f>
        <v>78</v>
      </c>
      <c r="G12" s="24">
        <f>'Delhi Summary'!G9</f>
        <v>78</v>
      </c>
      <c r="H12" s="24">
        <f>'Delhi Summary'!H9</f>
        <v>78</v>
      </c>
      <c r="I12" s="24">
        <f>'Delhi Summary'!I9</f>
        <v>62</v>
      </c>
      <c r="J12" s="24">
        <f>'Delhi Summary'!J9</f>
        <v>5</v>
      </c>
      <c r="K12" s="24">
        <f>'Delhi Summary'!K9</f>
        <v>40</v>
      </c>
      <c r="L12" s="24">
        <f>'Delhi Summary'!L9</f>
        <v>28</v>
      </c>
      <c r="M12" s="24">
        <f>'Delhi Summary'!M9</f>
        <v>78</v>
      </c>
      <c r="N12" s="24">
        <f>'Delhi Summary'!N9</f>
        <v>11</v>
      </c>
      <c r="O12" s="24">
        <f>'Delhi Summary'!O9</f>
        <v>55</v>
      </c>
      <c r="P12" s="951">
        <f>'Delhi Summary'!P9</f>
        <v>78</v>
      </c>
      <c r="Q12" s="24">
        <f>'Delhi Summary'!Q9</f>
        <v>78</v>
      </c>
      <c r="R12" s="24">
        <f>'Delhi Summary'!R9</f>
        <v>78</v>
      </c>
      <c r="S12" s="24">
        <f>'Delhi Summary'!S9</f>
        <v>64</v>
      </c>
      <c r="T12" s="24">
        <f>'Delhi Summary'!T9</f>
        <v>2</v>
      </c>
      <c r="U12" s="24">
        <f>'Delhi Summary'!U9</f>
        <v>78</v>
      </c>
      <c r="V12" t="s">
        <v>13</v>
      </c>
    </row>
    <row r="13" spans="1:22" x14ac:dyDescent="0.25">
      <c r="A13" s="379" t="str">
        <f>'Delhi Summary'!A10</f>
        <v>LUDHIANA</v>
      </c>
      <c r="B13" s="24">
        <f>'Delhi Summary'!B10</f>
        <v>18</v>
      </c>
      <c r="C13" s="435">
        <f>'Delhi Summary'!C10</f>
        <v>6</v>
      </c>
      <c r="D13" s="435">
        <f>'Delhi Summary'!D10</f>
        <v>4</v>
      </c>
      <c r="E13" s="24">
        <f>'Delhi Summary'!E10</f>
        <v>2</v>
      </c>
      <c r="F13" s="24">
        <f>'Delhi Summary'!F10</f>
        <v>4</v>
      </c>
      <c r="G13" s="24">
        <f>'Delhi Summary'!G10</f>
        <v>8</v>
      </c>
      <c r="H13" s="24">
        <f>'Delhi Summary'!H10</f>
        <v>8</v>
      </c>
      <c r="I13" s="24">
        <f>'Delhi Summary'!I10</f>
        <v>8</v>
      </c>
      <c r="J13" s="24">
        <f>'Delhi Summary'!J10</f>
        <v>8</v>
      </c>
      <c r="K13" s="24">
        <f>'Delhi Summary'!K10</f>
        <v>2</v>
      </c>
      <c r="L13" s="24">
        <f>'Delhi Summary'!L10</f>
        <v>0</v>
      </c>
      <c r="M13" s="24">
        <f>'Delhi Summary'!M10</f>
        <v>8</v>
      </c>
      <c r="N13" s="24">
        <f>'Delhi Summary'!N10</f>
        <v>8</v>
      </c>
      <c r="O13" s="24">
        <f>'Delhi Summary'!O10</f>
        <v>18</v>
      </c>
      <c r="P13" s="951">
        <f>'Delhi Summary'!P10</f>
        <v>14</v>
      </c>
      <c r="Q13" s="24">
        <f>'Delhi Summary'!Q10</f>
        <v>14</v>
      </c>
      <c r="R13" s="24">
        <f>'Delhi Summary'!R10</f>
        <v>16</v>
      </c>
      <c r="S13" s="24">
        <f>'Delhi Summary'!S10</f>
        <v>8</v>
      </c>
      <c r="T13" s="24">
        <f>'Delhi Summary'!T10</f>
        <v>2</v>
      </c>
      <c r="U13" s="24">
        <f>'Delhi Summary'!U10</f>
        <v>18</v>
      </c>
      <c r="V13" t="s">
        <v>13</v>
      </c>
    </row>
    <row r="14" spans="1:22" x14ac:dyDescent="0.25">
      <c r="A14" s="379" t="str">
        <f>'Delhi Summary'!A11</f>
        <v>TKD</v>
      </c>
      <c r="B14" s="24">
        <f>'Delhi Summary'!B11</f>
        <v>17</v>
      </c>
      <c r="C14" s="435">
        <f>'Delhi Summary'!C11</f>
        <v>2</v>
      </c>
      <c r="D14" s="435">
        <f>'Delhi Summary'!D11</f>
        <v>2</v>
      </c>
      <c r="E14" s="24">
        <f>'Delhi Summary'!E11</f>
        <v>33</v>
      </c>
      <c r="F14" s="24">
        <f>'Delhi Summary'!F11</f>
        <v>33</v>
      </c>
      <c r="G14" s="24">
        <f>'Delhi Summary'!G11</f>
        <v>33</v>
      </c>
      <c r="H14" s="24">
        <f>'Delhi Summary'!H11</f>
        <v>33</v>
      </c>
      <c r="I14" s="24">
        <f>'Delhi Summary'!I11</f>
        <v>33</v>
      </c>
      <c r="J14" s="24">
        <f>'Delhi Summary'!J11</f>
        <v>32</v>
      </c>
      <c r="K14" s="24">
        <f>'Delhi Summary'!K11</f>
        <v>33</v>
      </c>
      <c r="L14" s="24">
        <f>'Delhi Summary'!L11</f>
        <v>10</v>
      </c>
      <c r="M14" s="24">
        <f>'Delhi Summary'!M11</f>
        <v>33</v>
      </c>
      <c r="N14" s="24">
        <f>'Delhi Summary'!N11</f>
        <v>33</v>
      </c>
      <c r="O14" s="24">
        <f>'Delhi Summary'!O11</f>
        <v>29</v>
      </c>
      <c r="P14" s="951">
        <f>'Delhi Summary'!P11</f>
        <v>33</v>
      </c>
      <c r="Q14" s="24">
        <f>'Delhi Summary'!Q11</f>
        <v>29</v>
      </c>
      <c r="R14" s="24">
        <f>'Delhi Summary'!R11</f>
        <v>33</v>
      </c>
      <c r="S14" s="24">
        <f>'Delhi Summary'!S11</f>
        <v>27</v>
      </c>
      <c r="T14" s="24">
        <f>'Delhi Summary'!T11</f>
        <v>22</v>
      </c>
      <c r="U14" s="24">
        <f>'Delhi Summary'!U11</f>
        <v>0</v>
      </c>
      <c r="V14" t="s">
        <v>13</v>
      </c>
    </row>
    <row r="15" spans="1:22" x14ac:dyDescent="0.25">
      <c r="A15" s="379" t="str">
        <f>'Kolkata Summary'!A4</f>
        <v>Bandamunda</v>
      </c>
      <c r="B15" s="24">
        <f>'Kolkata Summary'!B4</f>
        <v>12</v>
      </c>
      <c r="C15" s="435">
        <f>'Kolkata Summary'!C4</f>
        <v>0</v>
      </c>
      <c r="D15" s="435">
        <f>'Kolkata Summary'!D4</f>
        <v>8</v>
      </c>
      <c r="E15" s="24">
        <f>'Kolkata Summary'!E4</f>
        <v>12</v>
      </c>
      <c r="F15" s="24">
        <f>'Kolkata Summary'!F4</f>
        <v>12</v>
      </c>
      <c r="G15" s="24">
        <f>'Kolkata Summary'!G4</f>
        <v>12</v>
      </c>
      <c r="H15" s="24">
        <f>'Kolkata Summary'!H4</f>
        <v>12</v>
      </c>
      <c r="I15" s="24">
        <f>'Kolkata Summary'!I4</f>
        <v>12</v>
      </c>
      <c r="J15" s="24">
        <f>'Kolkata Summary'!J4</f>
        <v>12</v>
      </c>
      <c r="K15" s="24">
        <f>'Kolkata Summary'!K4</f>
        <v>12</v>
      </c>
      <c r="L15" s="24">
        <f>'Kolkata Summary'!L4</f>
        <v>0</v>
      </c>
      <c r="M15" s="24">
        <f>'Kolkata Summary'!M4</f>
        <v>12</v>
      </c>
      <c r="N15" s="24">
        <f>'Kolkata Summary'!N4</f>
        <v>2</v>
      </c>
      <c r="O15" s="24">
        <f>'Kolkata Summary'!O4</f>
        <v>12</v>
      </c>
      <c r="P15" s="951">
        <f>'Kolkata Summary'!P4</f>
        <v>12</v>
      </c>
      <c r="Q15" s="24">
        <f>'Kolkata Summary'!Q4</f>
        <v>12</v>
      </c>
      <c r="R15" s="24">
        <f>'Kolkata Summary'!R4</f>
        <v>12</v>
      </c>
      <c r="S15" s="24">
        <f>'Kolkata Summary'!S4</f>
        <v>12</v>
      </c>
      <c r="T15" s="24">
        <f>'Kolkata Summary'!T4</f>
        <v>12</v>
      </c>
      <c r="U15" s="24">
        <f>'Kolkata Summary'!U4</f>
        <v>8</v>
      </c>
      <c r="V15" t="s">
        <v>14</v>
      </c>
    </row>
    <row r="16" spans="1:22" x14ac:dyDescent="0.25">
      <c r="A16" s="379" t="str">
        <f>'Kolkata Summary'!A5</f>
        <v>Bhilai</v>
      </c>
      <c r="B16" s="24">
        <f>'Kolkata Summary'!B5</f>
        <v>20</v>
      </c>
      <c r="C16" s="435">
        <f>'Kolkata Summary'!C5</f>
        <v>6</v>
      </c>
      <c r="D16" s="435">
        <f>'Kolkata Summary'!D5</f>
        <v>6</v>
      </c>
      <c r="E16" s="24">
        <f>'Kolkata Summary'!E5</f>
        <v>20</v>
      </c>
      <c r="F16" s="24">
        <f>'Kolkata Summary'!F5</f>
        <v>20</v>
      </c>
      <c r="G16" s="24">
        <f>'Kolkata Summary'!G5</f>
        <v>20</v>
      </c>
      <c r="H16" s="24">
        <f>'Kolkata Summary'!H5</f>
        <v>20</v>
      </c>
      <c r="I16" s="24">
        <f>'Kolkata Summary'!I5</f>
        <v>20</v>
      </c>
      <c r="J16" s="24">
        <f>'Kolkata Summary'!J5</f>
        <v>20</v>
      </c>
      <c r="K16" s="24">
        <f>'Kolkata Summary'!K5</f>
        <v>20</v>
      </c>
      <c r="L16" s="24">
        <f>'Kolkata Summary'!L5</f>
        <v>0</v>
      </c>
      <c r="M16" s="24">
        <f>'Kolkata Summary'!M5</f>
        <v>20</v>
      </c>
      <c r="N16" s="24">
        <f>'Kolkata Summary'!N5</f>
        <v>8</v>
      </c>
      <c r="O16" s="24">
        <f>'Kolkata Summary'!O5</f>
        <v>20</v>
      </c>
      <c r="P16" s="951">
        <f>'Kolkata Summary'!P5</f>
        <v>20</v>
      </c>
      <c r="Q16" s="24">
        <f>'Kolkata Summary'!Q5</f>
        <v>20</v>
      </c>
      <c r="R16" s="24">
        <f>'Kolkata Summary'!R5</f>
        <v>20</v>
      </c>
      <c r="S16" s="24">
        <f>'Kolkata Summary'!S5</f>
        <v>12</v>
      </c>
      <c r="T16" s="24">
        <f>'Kolkata Summary'!T5</f>
        <v>16</v>
      </c>
      <c r="U16" s="24">
        <f>'Kolkata Summary'!U5</f>
        <v>18</v>
      </c>
      <c r="V16" t="s">
        <v>14</v>
      </c>
    </row>
    <row r="17" spans="1:22" x14ac:dyDescent="0.25">
      <c r="A17" s="379" t="str">
        <f>'Kolkata Summary'!A6</f>
        <v>BJU</v>
      </c>
      <c r="B17" s="24">
        <f>'Kolkata Summary'!B6</f>
        <v>6</v>
      </c>
      <c r="C17" s="435">
        <f>'Kolkata Summary'!C6</f>
        <v>4</v>
      </c>
      <c r="D17" s="435">
        <f>'Kolkata Summary'!D6</f>
        <v>4</v>
      </c>
      <c r="E17" s="24">
        <f>'Kolkata Summary'!E6</f>
        <v>6</v>
      </c>
      <c r="F17" s="24">
        <f>'Kolkata Summary'!F6</f>
        <v>6</v>
      </c>
      <c r="G17" s="24">
        <f>'Kolkata Summary'!G6</f>
        <v>6</v>
      </c>
      <c r="H17" s="24">
        <f>'Kolkata Summary'!H6</f>
        <v>6</v>
      </c>
      <c r="I17" s="24">
        <f>'Kolkata Summary'!I6</f>
        <v>6</v>
      </c>
      <c r="J17" s="24">
        <f>'Kolkata Summary'!J6</f>
        <v>6</v>
      </c>
      <c r="K17" s="24">
        <f>'Kolkata Summary'!K6</f>
        <v>6</v>
      </c>
      <c r="L17" s="24">
        <f>'Kolkata Summary'!L6</f>
        <v>0</v>
      </c>
      <c r="M17" s="24">
        <f>'Kolkata Summary'!M6</f>
        <v>6</v>
      </c>
      <c r="N17" s="24">
        <f>'Kolkata Summary'!N6</f>
        <v>2</v>
      </c>
      <c r="O17" s="24">
        <f>'Kolkata Summary'!O6</f>
        <v>2</v>
      </c>
      <c r="P17" s="951">
        <f>'Kolkata Summary'!P6</f>
        <v>6</v>
      </c>
      <c r="Q17" s="24">
        <f>'Kolkata Summary'!Q6</f>
        <v>6</v>
      </c>
      <c r="R17" s="24">
        <f>'Kolkata Summary'!R6</f>
        <v>6</v>
      </c>
      <c r="S17" s="24">
        <f>'Kolkata Summary'!S6</f>
        <v>4</v>
      </c>
      <c r="T17" s="24">
        <f>'Kolkata Summary'!T6</f>
        <v>2</v>
      </c>
      <c r="U17" s="24">
        <f>'Kolkata Summary'!U6</f>
        <v>4</v>
      </c>
      <c r="V17" t="s">
        <v>14</v>
      </c>
    </row>
    <row r="18" spans="1:22" x14ac:dyDescent="0.25">
      <c r="A18" s="379" t="str">
        <f>'Kolkata Summary'!A7</f>
        <v>Gomoh</v>
      </c>
      <c r="B18" s="24">
        <f>'Kolkata Summary'!B7</f>
        <v>40</v>
      </c>
      <c r="C18" s="435">
        <f>'Kolkata Summary'!C7</f>
        <v>32</v>
      </c>
      <c r="D18" s="435">
        <f>'Kolkata Summary'!D7</f>
        <v>31</v>
      </c>
      <c r="E18" s="24">
        <f>'Kolkata Summary'!E7</f>
        <v>40</v>
      </c>
      <c r="F18" s="24">
        <f>'Kolkata Summary'!F7</f>
        <v>40</v>
      </c>
      <c r="G18" s="24">
        <f>'Kolkata Summary'!G7</f>
        <v>40</v>
      </c>
      <c r="H18" s="24">
        <f>'Kolkata Summary'!H7</f>
        <v>40</v>
      </c>
      <c r="I18" s="24">
        <f>'Kolkata Summary'!I7</f>
        <v>40</v>
      </c>
      <c r="J18" s="24">
        <f>'Kolkata Summary'!J7</f>
        <v>40</v>
      </c>
      <c r="K18" s="24">
        <f>'Kolkata Summary'!K7</f>
        <v>40</v>
      </c>
      <c r="L18" s="24">
        <f>'Kolkata Summary'!L7</f>
        <v>5</v>
      </c>
      <c r="M18" s="24">
        <f>'Kolkata Summary'!M7</f>
        <v>40</v>
      </c>
      <c r="N18" s="24">
        <f>'Kolkata Summary'!N7</f>
        <v>0</v>
      </c>
      <c r="O18" s="24">
        <f>'Kolkata Summary'!O7</f>
        <v>26</v>
      </c>
      <c r="P18" s="951">
        <f>'Kolkata Summary'!P7</f>
        <v>40</v>
      </c>
      <c r="Q18" s="24">
        <f>'Kolkata Summary'!Q7</f>
        <v>40</v>
      </c>
      <c r="R18" s="24">
        <f>'Kolkata Summary'!R7</f>
        <v>40</v>
      </c>
      <c r="S18" s="24">
        <f>'Kolkata Summary'!S7</f>
        <v>38</v>
      </c>
      <c r="T18" s="24">
        <f>'Kolkata Summary'!T7</f>
        <v>12</v>
      </c>
      <c r="U18" s="24">
        <f>'Kolkata Summary'!U7</f>
        <v>40</v>
      </c>
      <c r="V18" t="s">
        <v>14</v>
      </c>
    </row>
    <row r="19" spans="1:22" x14ac:dyDescent="0.25">
      <c r="A19" s="379" t="str">
        <f>'Kolkata Summary'!A8</f>
        <v>HWH</v>
      </c>
      <c r="B19" s="24">
        <f>'Kolkata Summary'!B8</f>
        <v>74</v>
      </c>
      <c r="C19" s="435">
        <f>'Kolkata Summary'!C8</f>
        <v>70</v>
      </c>
      <c r="D19" s="435">
        <f>'Kolkata Summary'!D8</f>
        <v>70</v>
      </c>
      <c r="E19" s="24">
        <f>'Kolkata Summary'!E8</f>
        <v>74</v>
      </c>
      <c r="F19" s="24">
        <f>'Kolkata Summary'!F8</f>
        <v>74</v>
      </c>
      <c r="G19" s="24">
        <f>'Kolkata Summary'!G8</f>
        <v>74</v>
      </c>
      <c r="H19" s="24">
        <f>'Kolkata Summary'!H8</f>
        <v>74</v>
      </c>
      <c r="I19" s="24">
        <f>'Kolkata Summary'!I8</f>
        <v>74</v>
      </c>
      <c r="J19" s="24">
        <f>'Kolkata Summary'!J8</f>
        <v>74</v>
      </c>
      <c r="K19" s="24">
        <f>'Kolkata Summary'!K8</f>
        <v>74</v>
      </c>
      <c r="L19" s="24">
        <f>'Kolkata Summary'!L8</f>
        <v>18</v>
      </c>
      <c r="M19" s="24">
        <f>'Kolkata Summary'!M8</f>
        <v>74</v>
      </c>
      <c r="N19" s="24">
        <f>'Kolkata Summary'!N8</f>
        <v>10</v>
      </c>
      <c r="O19" s="24">
        <f>'Kolkata Summary'!O8</f>
        <v>74</v>
      </c>
      <c r="P19" s="951">
        <f>'Kolkata Summary'!P8</f>
        <v>74</v>
      </c>
      <c r="Q19" s="24">
        <f>'Kolkata Summary'!Q8</f>
        <v>74</v>
      </c>
      <c r="R19" s="24">
        <f>'Kolkata Summary'!R8</f>
        <v>74</v>
      </c>
      <c r="S19" s="24">
        <f>'Kolkata Summary'!S8</f>
        <v>70</v>
      </c>
      <c r="T19" s="24">
        <f>'Kolkata Summary'!T8</f>
        <v>22</v>
      </c>
      <c r="U19" s="24">
        <f>'Kolkata Summary'!U8</f>
        <v>64</v>
      </c>
      <c r="V19" t="s">
        <v>14</v>
      </c>
    </row>
    <row r="20" spans="1:22" x14ac:dyDescent="0.25">
      <c r="A20" s="379" t="str">
        <f>'Kolkata Summary'!A9</f>
        <v>SDAH</v>
      </c>
      <c r="B20" s="24">
        <f>'Kolkata Summary'!B9</f>
        <v>26</v>
      </c>
      <c r="C20" s="435">
        <f>'Kolkata Summary'!C9</f>
        <v>16</v>
      </c>
      <c r="D20" s="435">
        <f>'Kolkata Summary'!D9</f>
        <v>16</v>
      </c>
      <c r="E20" s="24">
        <f>'Kolkata Summary'!E9</f>
        <v>24</v>
      </c>
      <c r="F20" s="24">
        <f>'Kolkata Summary'!F9</f>
        <v>24</v>
      </c>
      <c r="G20" s="24">
        <f>'Kolkata Summary'!G9</f>
        <v>24</v>
      </c>
      <c r="H20" s="24">
        <f>'Kolkata Summary'!H9</f>
        <v>26</v>
      </c>
      <c r="I20" s="24">
        <f>'Kolkata Summary'!I9</f>
        <v>26</v>
      </c>
      <c r="J20" s="24">
        <f>'Kolkata Summary'!J9</f>
        <v>26</v>
      </c>
      <c r="K20" s="24">
        <f>'Kolkata Summary'!K9</f>
        <v>26</v>
      </c>
      <c r="L20" s="24">
        <f>'Kolkata Summary'!L9</f>
        <v>2</v>
      </c>
      <c r="M20" s="24">
        <f>'Kolkata Summary'!M9</f>
        <v>26</v>
      </c>
      <c r="N20" s="24">
        <f>'Kolkata Summary'!N9</f>
        <v>10</v>
      </c>
      <c r="O20" s="24">
        <f>'Kolkata Summary'!O9</f>
        <v>26</v>
      </c>
      <c r="P20" s="951">
        <f>'Kolkata Summary'!P9</f>
        <v>26</v>
      </c>
      <c r="Q20" s="24">
        <f>'Kolkata Summary'!Q9</f>
        <v>26</v>
      </c>
      <c r="R20" s="24">
        <f>'Kolkata Summary'!R9</f>
        <v>24</v>
      </c>
      <c r="S20" s="24">
        <f>'Kolkata Summary'!S9</f>
        <v>12</v>
      </c>
      <c r="T20" s="24">
        <f>'Kolkata Summary'!T9</f>
        <v>16</v>
      </c>
      <c r="U20" s="24">
        <f>'Kolkata Summary'!U9</f>
        <v>8</v>
      </c>
      <c r="V20" t="s">
        <v>14</v>
      </c>
    </row>
    <row r="21" spans="1:22" x14ac:dyDescent="0.25">
      <c r="A21" s="379" t="str">
        <f>'Kolkata Summary'!A10</f>
        <v>SGUJ</v>
      </c>
      <c r="B21" s="24">
        <f>'Kolkata Summary'!B10</f>
        <v>2</v>
      </c>
      <c r="C21" s="435">
        <f>'Kolkata Summary'!C10</f>
        <v>0</v>
      </c>
      <c r="D21" s="435">
        <f>'Kolkata Summary'!D10</f>
        <v>0</v>
      </c>
      <c r="E21" s="24">
        <f>'Kolkata Summary'!E10</f>
        <v>2</v>
      </c>
      <c r="F21" s="24">
        <f>'Kolkata Summary'!F10</f>
        <v>2</v>
      </c>
      <c r="G21" s="24">
        <f>'Kolkata Summary'!G10</f>
        <v>2</v>
      </c>
      <c r="H21" s="24">
        <f>'Kolkata Summary'!H10</f>
        <v>2</v>
      </c>
      <c r="I21" s="24">
        <f>'Kolkata Summary'!I10</f>
        <v>2</v>
      </c>
      <c r="J21" s="24">
        <f>'Kolkata Summary'!J10</f>
        <v>2</v>
      </c>
      <c r="K21" s="24">
        <f>'Kolkata Summary'!K10</f>
        <v>2</v>
      </c>
      <c r="L21" s="24">
        <f>'Kolkata Summary'!L10</f>
        <v>0</v>
      </c>
      <c r="M21" s="24">
        <f>'Kolkata Summary'!M10</f>
        <v>2</v>
      </c>
      <c r="N21" s="24">
        <f>'Kolkata Summary'!N10</f>
        <v>2</v>
      </c>
      <c r="O21" s="24">
        <f>'Kolkata Summary'!O10</f>
        <v>2</v>
      </c>
      <c r="P21" s="951">
        <f>'Kolkata Summary'!P10</f>
        <v>2</v>
      </c>
      <c r="Q21" s="24">
        <f>'Kolkata Summary'!Q10</f>
        <v>2</v>
      </c>
      <c r="R21" s="24">
        <f>'Kolkata Summary'!R10</f>
        <v>2</v>
      </c>
      <c r="S21" s="24">
        <f>'Kolkata Summary'!S10</f>
        <v>0</v>
      </c>
      <c r="T21" s="24">
        <f>'Kolkata Summary'!T10</f>
        <v>0</v>
      </c>
      <c r="U21" s="24">
        <f>'Kolkata Summary'!U10</f>
        <v>2</v>
      </c>
      <c r="V21" t="s">
        <v>14</v>
      </c>
    </row>
    <row r="22" spans="1:22" x14ac:dyDescent="0.25">
      <c r="A22" s="379" t="str">
        <f>'Kolkata Summary'!A11</f>
        <v xml:space="preserve">SPJ </v>
      </c>
      <c r="B22" s="24">
        <f>'Kolkata Summary'!B11</f>
        <v>70</v>
      </c>
      <c r="C22" s="435">
        <f>'Kolkata Summary'!C11</f>
        <v>50</v>
      </c>
      <c r="D22" s="435">
        <f>'Kolkata Summary'!D11</f>
        <v>52</v>
      </c>
      <c r="E22" s="24">
        <f>'Kolkata Summary'!E11</f>
        <v>70</v>
      </c>
      <c r="F22" s="24">
        <f>'Kolkata Summary'!F11</f>
        <v>70</v>
      </c>
      <c r="G22" s="24">
        <f>'Kolkata Summary'!G11</f>
        <v>68</v>
      </c>
      <c r="H22" s="24">
        <f>'Kolkata Summary'!H11</f>
        <v>70</v>
      </c>
      <c r="I22" s="24">
        <f>'Kolkata Summary'!I11</f>
        <v>68</v>
      </c>
      <c r="J22" s="24">
        <f>'Kolkata Summary'!J11</f>
        <v>70</v>
      </c>
      <c r="K22" s="24">
        <f>'Kolkata Summary'!K11</f>
        <v>70</v>
      </c>
      <c r="L22" s="24">
        <f>'Kolkata Summary'!L11</f>
        <v>10</v>
      </c>
      <c r="M22" s="24">
        <f>'Kolkata Summary'!M11</f>
        <v>70</v>
      </c>
      <c r="N22" s="24">
        <f>'Kolkata Summary'!N11</f>
        <v>8</v>
      </c>
      <c r="O22" s="24">
        <f>'Kolkata Summary'!O11</f>
        <v>48</v>
      </c>
      <c r="P22" s="951">
        <f>'Kolkata Summary'!P11</f>
        <v>70</v>
      </c>
      <c r="Q22" s="24">
        <f>'Kolkata Summary'!Q11</f>
        <v>70</v>
      </c>
      <c r="R22" s="24">
        <f>'Kolkata Summary'!R11</f>
        <v>70</v>
      </c>
      <c r="S22" s="24">
        <f>'Kolkata Summary'!S11</f>
        <v>48</v>
      </c>
      <c r="T22" s="24">
        <f>'Kolkata Summary'!T11</f>
        <v>19</v>
      </c>
      <c r="U22" s="24">
        <f>'Kolkata Summary'!U11</f>
        <v>66</v>
      </c>
      <c r="V22" t="s">
        <v>14</v>
      </c>
    </row>
    <row r="23" spans="1:22" x14ac:dyDescent="0.25">
      <c r="A23" s="379" t="str">
        <f>'Kolkata Summary'!A12</f>
        <v>SRC</v>
      </c>
      <c r="B23" s="24">
        <f>'Kolkata Summary'!B12</f>
        <v>16</v>
      </c>
      <c r="C23" s="435">
        <f>'Kolkata Summary'!C12</f>
        <v>10</v>
      </c>
      <c r="D23" s="435">
        <f>'Kolkata Summary'!D12</f>
        <v>8</v>
      </c>
      <c r="E23" s="24">
        <f>'Kolkata Summary'!E12</f>
        <v>16</v>
      </c>
      <c r="F23" s="24">
        <f>'Kolkata Summary'!F12</f>
        <v>16</v>
      </c>
      <c r="G23" s="24">
        <f>'Kolkata Summary'!G12</f>
        <v>16</v>
      </c>
      <c r="H23" s="24">
        <f>'Kolkata Summary'!H12</f>
        <v>16</v>
      </c>
      <c r="I23" s="24">
        <f>'Kolkata Summary'!I12</f>
        <v>14</v>
      </c>
      <c r="J23" s="24">
        <f>'Kolkata Summary'!J12</f>
        <v>16</v>
      </c>
      <c r="K23" s="24">
        <f>'Kolkata Summary'!K12</f>
        <v>12</v>
      </c>
      <c r="L23" s="24">
        <f>'Kolkata Summary'!L12</f>
        <v>3</v>
      </c>
      <c r="M23" s="24">
        <f>'Kolkata Summary'!M12</f>
        <v>16</v>
      </c>
      <c r="N23" s="24">
        <f>'Kolkata Summary'!N12</f>
        <v>5</v>
      </c>
      <c r="O23" s="24">
        <f>'Kolkata Summary'!O12</f>
        <v>16</v>
      </c>
      <c r="P23" s="951">
        <f>'Kolkata Summary'!P12</f>
        <v>16</v>
      </c>
      <c r="Q23" s="24">
        <f>'Kolkata Summary'!Q12</f>
        <v>16</v>
      </c>
      <c r="R23" s="24">
        <f>'Kolkata Summary'!R12</f>
        <v>16</v>
      </c>
      <c r="S23" s="24">
        <f>'Kolkata Summary'!S12</f>
        <v>14</v>
      </c>
      <c r="T23" s="24">
        <f>'Kolkata Summary'!T12</f>
        <v>2</v>
      </c>
      <c r="U23" s="24">
        <f>'Kolkata Summary'!U12</f>
        <v>16</v>
      </c>
      <c r="V23" t="s">
        <v>14</v>
      </c>
    </row>
    <row r="24" spans="1:22" x14ac:dyDescent="0.25">
      <c r="A24" s="379" t="str">
        <f>'Kolkata Summary'!A13</f>
        <v>Tata</v>
      </c>
      <c r="B24" s="24">
        <f>'Kolkata Summary'!B13</f>
        <v>60</v>
      </c>
      <c r="C24" s="435">
        <f>'Kolkata Summary'!C13</f>
        <v>36</v>
      </c>
      <c r="D24" s="435">
        <f>'Kolkata Summary'!D13</f>
        <v>47</v>
      </c>
      <c r="E24" s="24">
        <f>'Kolkata Summary'!E13</f>
        <v>60</v>
      </c>
      <c r="F24" s="24">
        <f>'Kolkata Summary'!F13</f>
        <v>60</v>
      </c>
      <c r="G24" s="24">
        <f>'Kolkata Summary'!G13</f>
        <v>60</v>
      </c>
      <c r="H24" s="24">
        <f>'Kolkata Summary'!H13</f>
        <v>60</v>
      </c>
      <c r="I24" s="24">
        <f>'Kolkata Summary'!I13</f>
        <v>60</v>
      </c>
      <c r="J24" s="24">
        <f>'Kolkata Summary'!J13</f>
        <v>60</v>
      </c>
      <c r="K24" s="24">
        <f>'Kolkata Summary'!K13</f>
        <v>58</v>
      </c>
      <c r="L24" s="24">
        <f>'Kolkata Summary'!L13</f>
        <v>14</v>
      </c>
      <c r="M24" s="24">
        <f>'Kolkata Summary'!M13</f>
        <v>60</v>
      </c>
      <c r="N24" s="24">
        <f>'Kolkata Summary'!N13</f>
        <v>21</v>
      </c>
      <c r="O24" s="24">
        <f>'Kolkata Summary'!O13</f>
        <v>60</v>
      </c>
      <c r="P24" s="951">
        <f>'Kolkata Summary'!P13</f>
        <v>60</v>
      </c>
      <c r="Q24" s="24">
        <f>'Kolkata Summary'!Q13</f>
        <v>60</v>
      </c>
      <c r="R24" s="24">
        <f>'Kolkata Summary'!R13</f>
        <v>60</v>
      </c>
      <c r="S24" s="24">
        <f>'Kolkata Summary'!S13</f>
        <v>60</v>
      </c>
      <c r="T24" s="24">
        <f>'Kolkata Summary'!T13</f>
        <v>18</v>
      </c>
      <c r="U24" s="24">
        <f>'Kolkata Summary'!U13</f>
        <v>52</v>
      </c>
      <c r="V24" t="s">
        <v>14</v>
      </c>
    </row>
    <row r="25" spans="1:22" x14ac:dyDescent="0.25">
      <c r="A25" s="379" t="str">
        <f>'Kolkata Summary'!A14</f>
        <v>Waltier</v>
      </c>
      <c r="B25" s="24">
        <f>'Kolkata Summary'!B14</f>
        <v>72</v>
      </c>
      <c r="C25" s="435">
        <f>'Kolkata Summary'!C14</f>
        <v>66</v>
      </c>
      <c r="D25" s="435">
        <f>'Kolkata Summary'!D14</f>
        <v>60</v>
      </c>
      <c r="E25" s="24">
        <f>'Kolkata Summary'!E14</f>
        <v>72</v>
      </c>
      <c r="F25" s="24">
        <f>'Kolkata Summary'!F14</f>
        <v>72</v>
      </c>
      <c r="G25" s="24">
        <f>'Kolkata Summary'!G14</f>
        <v>72</v>
      </c>
      <c r="H25" s="24">
        <f>'Kolkata Summary'!H14</f>
        <v>72</v>
      </c>
      <c r="I25" s="24">
        <f>'Kolkata Summary'!I14</f>
        <v>72</v>
      </c>
      <c r="J25" s="24">
        <f>'Kolkata Summary'!J14</f>
        <v>72</v>
      </c>
      <c r="K25" s="24">
        <f>'Kolkata Summary'!K14</f>
        <v>72</v>
      </c>
      <c r="L25" s="24">
        <f>'Kolkata Summary'!L14</f>
        <v>6</v>
      </c>
      <c r="M25" s="24">
        <f>'Kolkata Summary'!M14</f>
        <v>72</v>
      </c>
      <c r="N25" s="24">
        <f>'Kolkata Summary'!N14</f>
        <v>8</v>
      </c>
      <c r="O25" s="24">
        <f>'Kolkata Summary'!O14</f>
        <v>72</v>
      </c>
      <c r="P25" s="951">
        <f>'Kolkata Summary'!P14</f>
        <v>72</v>
      </c>
      <c r="Q25" s="24">
        <f>'Kolkata Summary'!Q14</f>
        <v>72</v>
      </c>
      <c r="R25" s="24">
        <f>'Kolkata Summary'!R14</f>
        <v>72</v>
      </c>
      <c r="S25" s="24">
        <f>'Kolkata Summary'!S14</f>
        <v>52</v>
      </c>
      <c r="T25" s="24">
        <f>'Kolkata Summary'!T14</f>
        <v>44</v>
      </c>
      <c r="U25" s="24">
        <f>'Kolkata Summary'!U14</f>
        <v>68</v>
      </c>
      <c r="V25" t="s">
        <v>14</v>
      </c>
    </row>
    <row r="26" spans="1:22" x14ac:dyDescent="0.25">
      <c r="A26" s="379" t="str">
        <f>'Mumbai Summary'!A4</f>
        <v>AJNI</v>
      </c>
      <c r="B26" s="24">
        <f>'Mumbai Summary'!B4</f>
        <v>54</v>
      </c>
      <c r="C26" s="435">
        <f>'Mumbai Summary'!C4</f>
        <v>27</v>
      </c>
      <c r="D26" s="435">
        <f>'Mumbai Summary'!D4</f>
        <v>34</v>
      </c>
      <c r="E26" s="24">
        <f>'Mumbai Summary'!E4</f>
        <v>51</v>
      </c>
      <c r="F26" s="24">
        <f>'Mumbai Summary'!F4</f>
        <v>54</v>
      </c>
      <c r="G26" s="24">
        <f>'Mumbai Summary'!G4</f>
        <v>28</v>
      </c>
      <c r="H26" s="24">
        <f>'Mumbai Summary'!H4</f>
        <v>54</v>
      </c>
      <c r="I26" s="24">
        <f>'Mumbai Summary'!I4</f>
        <v>28</v>
      </c>
      <c r="J26" s="24">
        <f>'Mumbai Summary'!J4</f>
        <v>16</v>
      </c>
      <c r="K26" s="24">
        <f>'Mumbai Summary'!K4</f>
        <v>8</v>
      </c>
      <c r="L26" s="24">
        <f>'Mumbai Summary'!L4</f>
        <v>9</v>
      </c>
      <c r="M26" s="24">
        <f>'Mumbai Summary'!M4</f>
        <v>54</v>
      </c>
      <c r="N26" s="24">
        <f>'Mumbai Summary'!N4</f>
        <v>27</v>
      </c>
      <c r="O26" s="24">
        <f>'Mumbai Summary'!O4</f>
        <v>54</v>
      </c>
      <c r="P26" s="951">
        <f>'Mumbai Summary'!P4</f>
        <v>54</v>
      </c>
      <c r="Q26" s="24">
        <f>'Mumbai Summary'!Q4</f>
        <v>54</v>
      </c>
      <c r="R26" s="24">
        <f>'Mumbai Summary'!R4</f>
        <v>54</v>
      </c>
      <c r="S26" s="24">
        <f>'Mumbai Summary'!S4</f>
        <v>26</v>
      </c>
      <c r="T26" s="24">
        <f>'Mumbai Summary'!T4</f>
        <v>24</v>
      </c>
      <c r="U26" s="24">
        <f>'Mumbai Summary'!U4</f>
        <v>54</v>
      </c>
      <c r="V26" t="s">
        <v>15</v>
      </c>
    </row>
    <row r="27" spans="1:22" x14ac:dyDescent="0.25">
      <c r="A27" s="379" t="str">
        <f>'Mumbai Summary'!A5</f>
        <v>Itarsi</v>
      </c>
      <c r="B27" s="24">
        <f>'Mumbai Summary'!B5</f>
        <v>92</v>
      </c>
      <c r="C27" s="435">
        <f>'Mumbai Summary'!C5</f>
        <v>51</v>
      </c>
      <c r="D27" s="435">
        <f>'Mumbai Summary'!D5</f>
        <v>52</v>
      </c>
      <c r="E27" s="24">
        <f>'Mumbai Summary'!E5</f>
        <v>16</v>
      </c>
      <c r="F27" s="24">
        <f>'Mumbai Summary'!F5</f>
        <v>54</v>
      </c>
      <c r="G27" s="24">
        <f>'Mumbai Summary'!G5</f>
        <v>20</v>
      </c>
      <c r="H27" s="24">
        <f>'Mumbai Summary'!H5</f>
        <v>40</v>
      </c>
      <c r="I27" s="24">
        <f>'Mumbai Summary'!I5</f>
        <v>32</v>
      </c>
      <c r="J27" s="24">
        <f>'Mumbai Summary'!J5</f>
        <v>56</v>
      </c>
      <c r="K27" s="24">
        <f>'Mumbai Summary'!K5</f>
        <v>12</v>
      </c>
      <c r="L27" s="24">
        <f>'Mumbai Summary'!L5</f>
        <v>20</v>
      </c>
      <c r="M27" s="24">
        <f>'Mumbai Summary'!M5</f>
        <v>92</v>
      </c>
      <c r="N27" s="24">
        <f>'Mumbai Summary'!N5</f>
        <v>17</v>
      </c>
      <c r="O27" s="24">
        <f>'Mumbai Summary'!O5</f>
        <v>59</v>
      </c>
      <c r="P27" s="951">
        <f>'Mumbai Summary'!P5</f>
        <v>92</v>
      </c>
      <c r="Q27" s="24">
        <f>'Mumbai Summary'!Q5</f>
        <v>90</v>
      </c>
      <c r="R27" s="24">
        <f>'Mumbai Summary'!R5</f>
        <v>92</v>
      </c>
      <c r="S27" s="24">
        <f>'Mumbai Summary'!S5</f>
        <v>82</v>
      </c>
      <c r="T27" s="24">
        <f>'Mumbai Summary'!T5</f>
        <v>18</v>
      </c>
      <c r="U27" s="24">
        <f>'Mumbai Summary'!U5</f>
        <v>78</v>
      </c>
      <c r="V27" t="s">
        <v>15</v>
      </c>
    </row>
    <row r="28" spans="1:22" x14ac:dyDescent="0.25">
      <c r="A28" s="379" t="str">
        <f>'Mumbai Summary'!A6</f>
        <v>Kalyan</v>
      </c>
      <c r="B28" s="24">
        <f>'Mumbai Summary'!B6</f>
        <v>90</v>
      </c>
      <c r="C28" s="435">
        <f>'Mumbai Summary'!C6</f>
        <v>72</v>
      </c>
      <c r="D28" s="435">
        <f>'Mumbai Summary'!D6</f>
        <v>74</v>
      </c>
      <c r="E28" s="24">
        <f>'Mumbai Summary'!E6</f>
        <v>68</v>
      </c>
      <c r="F28" s="24">
        <f>'Mumbai Summary'!F6</f>
        <v>90</v>
      </c>
      <c r="G28" s="24">
        <f>'Mumbai Summary'!G6</f>
        <v>67</v>
      </c>
      <c r="H28" s="24">
        <f>'Mumbai Summary'!H6</f>
        <v>90</v>
      </c>
      <c r="I28" s="24">
        <f>'Mumbai Summary'!I6</f>
        <v>65</v>
      </c>
      <c r="J28" s="24">
        <f>'Mumbai Summary'!J6</f>
        <v>32</v>
      </c>
      <c r="K28" s="24">
        <f>'Mumbai Summary'!K6</f>
        <v>18</v>
      </c>
      <c r="L28" s="24">
        <f>'Mumbai Summary'!L6</f>
        <v>15</v>
      </c>
      <c r="M28" s="24">
        <f>'Mumbai Summary'!M6</f>
        <v>90</v>
      </c>
      <c r="N28" s="24">
        <f>'Mumbai Summary'!N6</f>
        <v>82</v>
      </c>
      <c r="O28" s="24">
        <f>'Mumbai Summary'!O6</f>
        <v>20</v>
      </c>
      <c r="P28" s="951">
        <f>'Mumbai Summary'!P6</f>
        <v>86</v>
      </c>
      <c r="Q28" s="24">
        <f>'Mumbai Summary'!Q6</f>
        <v>90</v>
      </c>
      <c r="R28" s="24">
        <f>'Mumbai Summary'!R6</f>
        <v>90</v>
      </c>
      <c r="S28" s="24">
        <f>'Mumbai Summary'!S6</f>
        <v>88</v>
      </c>
      <c r="T28" s="24">
        <f>'Mumbai Summary'!T6</f>
        <v>84</v>
      </c>
      <c r="U28" s="24">
        <f>'Mumbai Summary'!U6</f>
        <v>71</v>
      </c>
      <c r="V28" t="s">
        <v>15</v>
      </c>
    </row>
    <row r="29" spans="1:22" x14ac:dyDescent="0.25">
      <c r="A29" s="379" t="str">
        <f>'Mumbai Summary'!A7</f>
        <v>Pune</v>
      </c>
      <c r="B29" s="24">
        <f>'Mumbai Summary'!B7</f>
        <v>36</v>
      </c>
      <c r="C29" s="435">
        <f>'Mumbai Summary'!C7</f>
        <v>30</v>
      </c>
      <c r="D29" s="435">
        <f>'Mumbai Summary'!D7</f>
        <v>30</v>
      </c>
      <c r="E29" s="24">
        <f>'Mumbai Summary'!E7</f>
        <v>25</v>
      </c>
      <c r="F29" s="24">
        <f>'Mumbai Summary'!F7</f>
        <v>36</v>
      </c>
      <c r="G29" s="24">
        <f>'Mumbai Summary'!G7</f>
        <v>22</v>
      </c>
      <c r="H29" s="24">
        <f>'Mumbai Summary'!H7</f>
        <v>36</v>
      </c>
      <c r="I29" s="24">
        <f>'Mumbai Summary'!I7</f>
        <v>23</v>
      </c>
      <c r="J29" s="24">
        <f>'Mumbai Summary'!J7</f>
        <v>22</v>
      </c>
      <c r="K29" s="24">
        <f>'Mumbai Summary'!K7</f>
        <v>22</v>
      </c>
      <c r="L29" s="24">
        <f>'Mumbai Summary'!L7</f>
        <v>11</v>
      </c>
      <c r="M29" s="24">
        <f>'Mumbai Summary'!M7</f>
        <v>36</v>
      </c>
      <c r="N29" s="24">
        <f>'Mumbai Summary'!N7</f>
        <v>5</v>
      </c>
      <c r="O29" s="24">
        <f>'Mumbai Summary'!O7</f>
        <v>36</v>
      </c>
      <c r="P29" s="951">
        <f>'Mumbai Summary'!P7</f>
        <v>36</v>
      </c>
      <c r="Q29" s="24">
        <f>'Mumbai Summary'!Q7</f>
        <v>36</v>
      </c>
      <c r="R29" s="24">
        <f>'Mumbai Summary'!R7</f>
        <v>36</v>
      </c>
      <c r="S29" s="24">
        <f>'Mumbai Summary'!S7</f>
        <v>9</v>
      </c>
      <c r="T29" s="24">
        <f>'Mumbai Summary'!T7</f>
        <v>15</v>
      </c>
      <c r="U29" s="24">
        <f>'Mumbai Summary'!U7</f>
        <v>20</v>
      </c>
      <c r="V29" t="s">
        <v>15</v>
      </c>
    </row>
    <row r="30" spans="1:22" x14ac:dyDescent="0.25">
      <c r="A30" s="379" t="str">
        <f>'Mumbai Summary'!A8</f>
        <v>Vadodara</v>
      </c>
      <c r="B30" s="24">
        <f>'Mumbai Summary'!B8</f>
        <v>120</v>
      </c>
      <c r="C30" s="435">
        <f>'Mumbai Summary'!C8</f>
        <v>66</v>
      </c>
      <c r="D30" s="435">
        <f>'Mumbai Summary'!D8</f>
        <v>120</v>
      </c>
      <c r="E30" s="24">
        <f>'Mumbai Summary'!E8</f>
        <v>118</v>
      </c>
      <c r="F30" s="24">
        <f>'Mumbai Summary'!F8</f>
        <v>116</v>
      </c>
      <c r="G30" s="24">
        <f>'Mumbai Summary'!G8</f>
        <v>24</v>
      </c>
      <c r="H30" s="24">
        <f>'Mumbai Summary'!H8</f>
        <v>24</v>
      </c>
      <c r="I30" s="24">
        <f>'Mumbai Summary'!I8</f>
        <v>19</v>
      </c>
      <c r="J30" s="24">
        <f>'Mumbai Summary'!J8</f>
        <v>65</v>
      </c>
      <c r="K30" s="24">
        <f>'Mumbai Summary'!K8</f>
        <v>63</v>
      </c>
      <c r="L30" s="24">
        <f>'Mumbai Summary'!L8</f>
        <v>20</v>
      </c>
      <c r="M30" s="24">
        <f>'Mumbai Summary'!M8</f>
        <v>82</v>
      </c>
      <c r="N30" s="24">
        <f>'Mumbai Summary'!N8</f>
        <v>107</v>
      </c>
      <c r="O30" s="24">
        <f>'Mumbai Summary'!O8</f>
        <v>118</v>
      </c>
      <c r="P30" s="951">
        <f>'Mumbai Summary'!P8</f>
        <v>120</v>
      </c>
      <c r="Q30" s="24">
        <f>'Mumbai Summary'!Q8</f>
        <v>120</v>
      </c>
      <c r="R30" s="24">
        <f>'Mumbai Summary'!R8</f>
        <v>120</v>
      </c>
      <c r="S30" s="24">
        <f>'Mumbai Summary'!S8</f>
        <v>88</v>
      </c>
      <c r="T30" s="24">
        <f>'Mumbai Summary'!T8</f>
        <v>66</v>
      </c>
      <c r="U30" s="24">
        <f>'Mumbai Summary'!U8</f>
        <v>120</v>
      </c>
      <c r="V30" t="s">
        <v>15</v>
      </c>
    </row>
    <row r="31" spans="1:22" x14ac:dyDescent="0.25">
      <c r="A31" s="379" t="str">
        <f>'Mumbai Summary'!A9</f>
        <v>Valsad</v>
      </c>
      <c r="B31" s="24">
        <f>'Mumbai Summary'!B9</f>
        <v>28</v>
      </c>
      <c r="C31" s="435">
        <f>'Mumbai Summary'!C9</f>
        <v>24</v>
      </c>
      <c r="D31" s="435">
        <f>'Mumbai Summary'!D9</f>
        <v>28</v>
      </c>
      <c r="E31" s="24">
        <f>'Mumbai Summary'!E9</f>
        <v>26</v>
      </c>
      <c r="F31" s="24">
        <f>'Mumbai Summary'!F9</f>
        <v>27</v>
      </c>
      <c r="G31" s="24">
        <f>'Mumbai Summary'!G9</f>
        <v>11</v>
      </c>
      <c r="H31" s="24">
        <f>'Mumbai Summary'!H9</f>
        <v>19</v>
      </c>
      <c r="I31" s="24">
        <f>'Mumbai Summary'!I9</f>
        <v>15</v>
      </c>
      <c r="J31" s="24">
        <f>'Mumbai Summary'!J9</f>
        <v>24</v>
      </c>
      <c r="K31" s="24">
        <f>'Mumbai Summary'!K9</f>
        <v>24</v>
      </c>
      <c r="L31" s="24">
        <f>'Mumbai Summary'!L9</f>
        <v>14</v>
      </c>
      <c r="M31" s="24">
        <f>'Mumbai Summary'!M9</f>
        <v>28</v>
      </c>
      <c r="N31" s="24">
        <f>'Mumbai Summary'!N9</f>
        <v>23</v>
      </c>
      <c r="O31" s="24">
        <f>'Mumbai Summary'!O9</f>
        <v>12</v>
      </c>
      <c r="P31" s="951">
        <f>'Mumbai Summary'!P9</f>
        <v>28</v>
      </c>
      <c r="Q31" s="24">
        <f>'Mumbai Summary'!Q9</f>
        <v>28</v>
      </c>
      <c r="R31" s="24">
        <f>'Mumbai Summary'!R9</f>
        <v>28</v>
      </c>
      <c r="S31" s="24">
        <f>'Mumbai Summary'!S9</f>
        <v>10</v>
      </c>
      <c r="T31" s="24">
        <f>'Mumbai Summary'!T9</f>
        <v>14</v>
      </c>
      <c r="U31" s="24">
        <f>'Mumbai Summary'!U9</f>
        <v>28</v>
      </c>
      <c r="V31" t="s">
        <v>15</v>
      </c>
    </row>
    <row r="32" spans="1:22" x14ac:dyDescent="0.25">
      <c r="A32" s="379" t="s">
        <v>16</v>
      </c>
      <c r="B32" s="379">
        <f>SUM(B2:B31)</f>
        <v>1558</v>
      </c>
      <c r="C32" s="379">
        <f t="shared" ref="C32:U32" si="0">SUM(C2:C31)</f>
        <v>999</v>
      </c>
      <c r="D32" s="379">
        <f t="shared" si="0"/>
        <v>1111</v>
      </c>
      <c r="E32" s="379">
        <f t="shared" si="0"/>
        <v>1161</v>
      </c>
      <c r="F32" s="379">
        <f t="shared" si="0"/>
        <v>1422</v>
      </c>
      <c r="G32" s="379">
        <f t="shared" si="0"/>
        <v>979</v>
      </c>
      <c r="H32" s="379">
        <f t="shared" si="0"/>
        <v>1293</v>
      </c>
      <c r="I32" s="379">
        <f t="shared" si="0"/>
        <v>1157</v>
      </c>
      <c r="J32" s="379">
        <f t="shared" si="0"/>
        <v>806</v>
      </c>
      <c r="K32" s="379">
        <f t="shared" si="0"/>
        <v>828</v>
      </c>
      <c r="L32" s="379">
        <f t="shared" si="0"/>
        <v>238</v>
      </c>
      <c r="M32" s="379">
        <f t="shared" si="0"/>
        <v>1388</v>
      </c>
      <c r="N32" s="379">
        <f t="shared" si="0"/>
        <v>692</v>
      </c>
      <c r="O32" s="379">
        <f t="shared" si="0"/>
        <v>1315</v>
      </c>
      <c r="P32" s="1156">
        <f t="shared" si="0"/>
        <v>1409</v>
      </c>
      <c r="Q32" s="379">
        <f t="shared" si="0"/>
        <v>1544</v>
      </c>
      <c r="R32" s="379">
        <f t="shared" si="0"/>
        <v>1541</v>
      </c>
      <c r="S32" s="379">
        <f t="shared" si="0"/>
        <v>1019</v>
      </c>
      <c r="T32" s="379">
        <f t="shared" si="0"/>
        <v>492</v>
      </c>
      <c r="U32" s="379">
        <f t="shared" si="0"/>
        <v>1283</v>
      </c>
    </row>
  </sheetData>
  <autoFilter ref="A1:V32" xr:uid="{BF4C2B5A-63FC-424F-A763-43DE618FDCF8}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0E4F-51DC-4A13-BB79-DBA8D2B4F9FB}">
  <dimension ref="A1:AK111"/>
  <sheetViews>
    <sheetView workbookViewId="0">
      <selection activeCell="G8" sqref="G8"/>
    </sheetView>
  </sheetViews>
  <sheetFormatPr defaultRowHeight="13.2" x14ac:dyDescent="0.25"/>
  <cols>
    <col min="2" max="2" width="11.44140625" bestFit="1" customWidth="1"/>
    <col min="4" max="4" width="18.5546875" bestFit="1" customWidth="1"/>
    <col min="5" max="5" width="12.5546875" bestFit="1" customWidth="1"/>
    <col min="6" max="6" width="10.44140625" bestFit="1" customWidth="1"/>
    <col min="7" max="7" width="9.5546875" bestFit="1" customWidth="1"/>
    <col min="8" max="8" width="10.44140625" bestFit="1" customWidth="1"/>
    <col min="9" max="9" width="11.5546875" bestFit="1" customWidth="1"/>
    <col min="10" max="10" width="21.5546875" bestFit="1" customWidth="1"/>
    <col min="11" max="11" width="26.44140625" bestFit="1" customWidth="1"/>
    <col min="12" max="12" width="75.44140625" bestFit="1" customWidth="1"/>
    <col min="13" max="13" width="28.44140625" bestFit="1" customWidth="1"/>
    <col min="14" max="14" width="59.44140625" bestFit="1" customWidth="1"/>
    <col min="15" max="15" width="19.5546875" bestFit="1" customWidth="1"/>
    <col min="16" max="16" width="22" bestFit="1" customWidth="1"/>
    <col min="17" max="17" width="48.44140625" bestFit="1" customWidth="1"/>
    <col min="18" max="18" width="40" bestFit="1" customWidth="1"/>
    <col min="19" max="19" width="34" bestFit="1" customWidth="1"/>
    <col min="20" max="20" width="36.5546875" bestFit="1" customWidth="1"/>
    <col min="21" max="21" width="47.5546875" bestFit="1" customWidth="1"/>
    <col min="22" max="22" width="30.5546875" bestFit="1" customWidth="1"/>
    <col min="23" max="23" width="60.5546875" bestFit="1" customWidth="1"/>
    <col min="24" max="24" width="36.44140625" bestFit="1" customWidth="1"/>
    <col min="25" max="25" width="52" bestFit="1" customWidth="1"/>
    <col min="26" max="26" width="44.5546875" bestFit="1" customWidth="1"/>
    <col min="27" max="27" width="23.44140625" bestFit="1" customWidth="1"/>
    <col min="28" max="28" width="48.5546875" bestFit="1" customWidth="1"/>
    <col min="29" max="29" width="47.44140625" bestFit="1" customWidth="1"/>
    <col min="30" max="30" width="41.5546875" bestFit="1" customWidth="1"/>
    <col min="31" max="31" width="16.44140625" bestFit="1" customWidth="1"/>
    <col min="32" max="32" width="26.5546875" bestFit="1" customWidth="1"/>
    <col min="33" max="33" width="84.44140625" bestFit="1" customWidth="1"/>
    <col min="34" max="34" width="63.5546875" bestFit="1" customWidth="1"/>
    <col min="35" max="35" width="68.5546875" bestFit="1" customWidth="1"/>
    <col min="36" max="36" width="35.44140625" bestFit="1" customWidth="1"/>
    <col min="37" max="37" width="26.5546875" bestFit="1" customWidth="1"/>
  </cols>
  <sheetData>
    <row r="1" spans="1:37" x14ac:dyDescent="0.25">
      <c r="A1" s="680" t="s">
        <v>17</v>
      </c>
    </row>
    <row r="3" spans="1:37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0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 t="s">
        <v>53</v>
      </c>
    </row>
    <row r="4" spans="1:37" ht="26.4" x14ac:dyDescent="0.25">
      <c r="A4">
        <v>96</v>
      </c>
      <c r="B4">
        <v>37143</v>
      </c>
      <c r="C4" t="s">
        <v>54</v>
      </c>
      <c r="D4" t="s">
        <v>55</v>
      </c>
      <c r="E4" t="s">
        <v>56</v>
      </c>
      <c r="F4" t="s">
        <v>57</v>
      </c>
      <c r="G4" t="s">
        <v>11</v>
      </c>
      <c r="H4" s="646">
        <v>43571</v>
      </c>
      <c r="I4">
        <v>412</v>
      </c>
      <c r="J4" t="s">
        <v>58</v>
      </c>
      <c r="K4" s="653" t="s">
        <v>59</v>
      </c>
      <c r="L4" s="646">
        <v>44180</v>
      </c>
      <c r="M4" t="s">
        <v>60</v>
      </c>
      <c r="N4" s="646">
        <v>44180</v>
      </c>
      <c r="O4" s="646">
        <v>45148</v>
      </c>
      <c r="Q4" t="s">
        <v>61</v>
      </c>
      <c r="R4" t="s">
        <v>62</v>
      </c>
      <c r="T4" t="s">
        <v>62</v>
      </c>
      <c r="U4" t="s">
        <v>62</v>
      </c>
      <c r="Y4" t="s">
        <v>62</v>
      </c>
      <c r="Z4" t="s">
        <v>62</v>
      </c>
      <c r="AD4" t="s">
        <v>62</v>
      </c>
      <c r="AI4" s="646">
        <v>45215</v>
      </c>
      <c r="AJ4" t="s">
        <v>63</v>
      </c>
    </row>
    <row r="5" spans="1:37" ht="26.4" x14ac:dyDescent="0.25">
      <c r="A5">
        <v>77</v>
      </c>
      <c r="B5">
        <v>30482</v>
      </c>
      <c r="C5" t="s">
        <v>64</v>
      </c>
      <c r="D5" t="s">
        <v>65</v>
      </c>
      <c r="E5" t="s">
        <v>56</v>
      </c>
      <c r="F5" t="s">
        <v>57</v>
      </c>
      <c r="G5" t="s">
        <v>11</v>
      </c>
      <c r="H5" s="646">
        <v>42570</v>
      </c>
      <c r="I5">
        <v>22</v>
      </c>
      <c r="J5" t="s">
        <v>66</v>
      </c>
      <c r="K5" s="653" t="s">
        <v>59</v>
      </c>
      <c r="L5" t="s">
        <v>63</v>
      </c>
      <c r="M5" t="s">
        <v>67</v>
      </c>
      <c r="N5" t="s">
        <v>63</v>
      </c>
      <c r="O5" s="646">
        <v>45056</v>
      </c>
      <c r="P5" s="646">
        <v>44699</v>
      </c>
      <c r="Q5" t="s">
        <v>68</v>
      </c>
      <c r="R5" t="s">
        <v>68</v>
      </c>
      <c r="T5" t="s">
        <v>68</v>
      </c>
      <c r="Y5" t="s">
        <v>68</v>
      </c>
      <c r="Z5" t="s">
        <v>68</v>
      </c>
      <c r="AD5" t="s">
        <v>68</v>
      </c>
      <c r="AJ5" t="s">
        <v>63</v>
      </c>
    </row>
    <row r="6" spans="1:37" ht="26.4" x14ac:dyDescent="0.25">
      <c r="A6">
        <v>79</v>
      </c>
      <c r="B6">
        <v>30528</v>
      </c>
      <c r="C6" t="s">
        <v>64</v>
      </c>
      <c r="D6" t="s">
        <v>69</v>
      </c>
      <c r="E6" t="s">
        <v>56</v>
      </c>
      <c r="F6" t="s">
        <v>57</v>
      </c>
      <c r="G6" t="s">
        <v>11</v>
      </c>
      <c r="H6" s="646">
        <v>42849</v>
      </c>
      <c r="I6">
        <v>68</v>
      </c>
      <c r="J6" t="s">
        <v>66</v>
      </c>
      <c r="K6" s="653" t="s">
        <v>59</v>
      </c>
      <c r="L6" s="646">
        <v>44265</v>
      </c>
      <c r="M6" t="s">
        <v>60</v>
      </c>
      <c r="N6" s="646">
        <v>44265</v>
      </c>
      <c r="O6" s="646">
        <v>45071</v>
      </c>
      <c r="P6" s="646">
        <v>44700</v>
      </c>
      <c r="Q6" t="s">
        <v>68</v>
      </c>
      <c r="R6" t="s">
        <v>68</v>
      </c>
      <c r="T6" t="s">
        <v>68</v>
      </c>
      <c r="Y6" t="s">
        <v>68</v>
      </c>
      <c r="Z6" t="s">
        <v>68</v>
      </c>
      <c r="AD6" t="s">
        <v>68</v>
      </c>
      <c r="AI6" s="646">
        <v>45166</v>
      </c>
      <c r="AJ6" t="s">
        <v>63</v>
      </c>
    </row>
    <row r="7" spans="1:37" ht="26.4" x14ac:dyDescent="0.25">
      <c r="A7">
        <v>85</v>
      </c>
      <c r="B7">
        <v>30615</v>
      </c>
      <c r="C7" t="s">
        <v>64</v>
      </c>
      <c r="D7" t="s">
        <v>70</v>
      </c>
      <c r="E7" t="s">
        <v>56</v>
      </c>
      <c r="F7" t="s">
        <v>57</v>
      </c>
      <c r="G7" t="s">
        <v>11</v>
      </c>
      <c r="H7" s="646">
        <v>43071</v>
      </c>
      <c r="I7">
        <v>137</v>
      </c>
      <c r="J7" t="s">
        <v>58</v>
      </c>
      <c r="K7" s="653" t="s">
        <v>59</v>
      </c>
      <c r="L7" s="646">
        <v>44185</v>
      </c>
      <c r="M7" t="s">
        <v>60</v>
      </c>
      <c r="N7" s="646">
        <v>44185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Z7" t="s">
        <v>68</v>
      </c>
      <c r="AD7" t="s">
        <v>68</v>
      </c>
      <c r="AF7" t="s">
        <v>68</v>
      </c>
    </row>
    <row r="8" spans="1:37" ht="26.4" x14ac:dyDescent="0.25">
      <c r="A8">
        <v>78</v>
      </c>
      <c r="B8">
        <v>30482</v>
      </c>
      <c r="C8" t="s">
        <v>54</v>
      </c>
      <c r="D8" t="s">
        <v>71</v>
      </c>
      <c r="E8" t="s">
        <v>56</v>
      </c>
      <c r="F8" t="s">
        <v>57</v>
      </c>
      <c r="G8" t="s">
        <v>11</v>
      </c>
      <c r="H8" s="646">
        <v>42570</v>
      </c>
      <c r="I8">
        <v>46</v>
      </c>
      <c r="J8" t="s">
        <v>66</v>
      </c>
      <c r="K8" s="653" t="s">
        <v>59</v>
      </c>
      <c r="L8" t="s">
        <v>63</v>
      </c>
      <c r="M8" t="s">
        <v>67</v>
      </c>
      <c r="N8" t="s">
        <v>63</v>
      </c>
      <c r="O8" s="646">
        <v>45056</v>
      </c>
      <c r="P8" s="646">
        <v>44699</v>
      </c>
      <c r="Q8" t="s">
        <v>62</v>
      </c>
      <c r="R8" t="s">
        <v>62</v>
      </c>
      <c r="T8" t="s">
        <v>62</v>
      </c>
      <c r="Y8" t="s">
        <v>62</v>
      </c>
      <c r="Z8" t="s">
        <v>62</v>
      </c>
      <c r="AD8" t="s">
        <v>62</v>
      </c>
      <c r="AJ8" t="s">
        <v>63</v>
      </c>
    </row>
    <row r="9" spans="1:37" ht="26.4" x14ac:dyDescent="0.25">
      <c r="A9">
        <v>80</v>
      </c>
      <c r="B9">
        <v>30528</v>
      </c>
      <c r="C9" t="s">
        <v>54</v>
      </c>
      <c r="D9" t="s">
        <v>72</v>
      </c>
      <c r="E9" t="s">
        <v>56</v>
      </c>
      <c r="F9" t="s">
        <v>57</v>
      </c>
      <c r="G9" t="s">
        <v>11</v>
      </c>
      <c r="H9" s="646">
        <v>42849</v>
      </c>
      <c r="I9">
        <v>71</v>
      </c>
      <c r="J9" t="s">
        <v>66</v>
      </c>
      <c r="K9" s="653" t="s">
        <v>59</v>
      </c>
      <c r="L9" s="646">
        <v>44265</v>
      </c>
      <c r="M9" t="s">
        <v>60</v>
      </c>
      <c r="N9" s="646">
        <v>44265</v>
      </c>
      <c r="O9" s="646">
        <v>45071</v>
      </c>
      <c r="P9" s="646">
        <v>44700</v>
      </c>
      <c r="Q9" t="s">
        <v>62</v>
      </c>
      <c r="R9" t="s">
        <v>62</v>
      </c>
      <c r="T9" t="s">
        <v>62</v>
      </c>
      <c r="Y9" t="s">
        <v>62</v>
      </c>
      <c r="Z9" t="s">
        <v>62</v>
      </c>
      <c r="AD9" t="s">
        <v>62</v>
      </c>
      <c r="AI9" s="646">
        <v>45166</v>
      </c>
      <c r="AJ9" t="s">
        <v>63</v>
      </c>
    </row>
    <row r="10" spans="1:37" ht="26.4" x14ac:dyDescent="0.25">
      <c r="A10">
        <v>86</v>
      </c>
      <c r="B10">
        <v>30615</v>
      </c>
      <c r="C10" t="s">
        <v>54</v>
      </c>
      <c r="D10" t="s">
        <v>73</v>
      </c>
      <c r="E10" t="s">
        <v>56</v>
      </c>
      <c r="F10" t="s">
        <v>57</v>
      </c>
      <c r="G10" t="s">
        <v>11</v>
      </c>
      <c r="H10" s="646">
        <v>43071</v>
      </c>
      <c r="I10">
        <v>157</v>
      </c>
      <c r="J10" t="s">
        <v>58</v>
      </c>
      <c r="K10" s="653" t="s">
        <v>59</v>
      </c>
      <c r="L10" s="646">
        <v>44185</v>
      </c>
      <c r="M10" t="s">
        <v>60</v>
      </c>
      <c r="N10" s="646">
        <v>44185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Z10" t="s">
        <v>62</v>
      </c>
      <c r="AD10" t="s">
        <v>62</v>
      </c>
      <c r="AF10" t="s">
        <v>62</v>
      </c>
    </row>
    <row r="11" spans="1:37" x14ac:dyDescent="0.25">
      <c r="B11">
        <v>30390</v>
      </c>
      <c r="C11" t="s">
        <v>54</v>
      </c>
      <c r="D11" t="s">
        <v>74</v>
      </c>
      <c r="E11" t="s">
        <v>56</v>
      </c>
      <c r="F11" t="s">
        <v>57</v>
      </c>
      <c r="G11" t="s">
        <v>11</v>
      </c>
      <c r="H11" s="646">
        <v>45216</v>
      </c>
      <c r="I11">
        <v>1384</v>
      </c>
      <c r="J11" t="s">
        <v>58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X11" t="s">
        <v>75</v>
      </c>
      <c r="AD11" t="s">
        <v>75</v>
      </c>
      <c r="AF11" t="s">
        <v>75</v>
      </c>
      <c r="AJ11" t="s">
        <v>63</v>
      </c>
    </row>
    <row r="12" spans="1:37" x14ac:dyDescent="0.25">
      <c r="A12">
        <v>194</v>
      </c>
      <c r="B12">
        <v>30390</v>
      </c>
      <c r="C12" t="s">
        <v>64</v>
      </c>
      <c r="D12" t="s">
        <v>76</v>
      </c>
      <c r="E12" t="s">
        <v>56</v>
      </c>
      <c r="F12" t="s">
        <v>57</v>
      </c>
      <c r="G12" t="s">
        <v>11</v>
      </c>
      <c r="H12" s="646">
        <v>45216</v>
      </c>
      <c r="I12">
        <v>1387</v>
      </c>
      <c r="J12" t="s">
        <v>58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X12" t="s">
        <v>75</v>
      </c>
      <c r="AD12" t="s">
        <v>75</v>
      </c>
      <c r="AF12" t="s">
        <v>75</v>
      </c>
      <c r="AJ12" t="s">
        <v>63</v>
      </c>
    </row>
    <row r="13" spans="1:37" x14ac:dyDescent="0.25">
      <c r="B13">
        <v>30419</v>
      </c>
      <c r="C13" t="s">
        <v>54</v>
      </c>
      <c r="D13" t="s">
        <v>77</v>
      </c>
      <c r="E13" t="s">
        <v>56</v>
      </c>
      <c r="F13" t="s">
        <v>57</v>
      </c>
      <c r="G13" t="s">
        <v>11</v>
      </c>
      <c r="H13" s="646">
        <v>45192</v>
      </c>
      <c r="I13">
        <v>1346</v>
      </c>
      <c r="J13" t="s">
        <v>58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X13" t="s">
        <v>75</v>
      </c>
      <c r="AD13" t="s">
        <v>75</v>
      </c>
      <c r="AF13" t="s">
        <v>75</v>
      </c>
      <c r="AI13" s="646">
        <v>45192</v>
      </c>
      <c r="AJ13" t="s">
        <v>63</v>
      </c>
    </row>
    <row r="14" spans="1:37" x14ac:dyDescent="0.25">
      <c r="A14">
        <v>193</v>
      </c>
      <c r="B14">
        <v>30419</v>
      </c>
      <c r="C14" t="s">
        <v>64</v>
      </c>
      <c r="D14" t="s">
        <v>78</v>
      </c>
      <c r="E14" t="s">
        <v>56</v>
      </c>
      <c r="F14" t="s">
        <v>57</v>
      </c>
      <c r="G14" t="s">
        <v>11</v>
      </c>
      <c r="H14" s="646">
        <v>45192</v>
      </c>
      <c r="I14">
        <v>1357</v>
      </c>
      <c r="J14" t="s">
        <v>58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X14" t="s">
        <v>75</v>
      </c>
      <c r="AD14" t="s">
        <v>75</v>
      </c>
      <c r="AF14" t="s">
        <v>75</v>
      </c>
      <c r="AI14" s="646">
        <v>45192</v>
      </c>
      <c r="AJ14" t="s">
        <v>63</v>
      </c>
    </row>
    <row r="15" spans="1:37" x14ac:dyDescent="0.25">
      <c r="B15">
        <v>30409</v>
      </c>
      <c r="C15" t="s">
        <v>54</v>
      </c>
      <c r="D15" t="s">
        <v>79</v>
      </c>
      <c r="E15" t="s">
        <v>56</v>
      </c>
      <c r="F15" t="s">
        <v>57</v>
      </c>
      <c r="G15" t="s">
        <v>11</v>
      </c>
      <c r="H15" s="646">
        <v>45177</v>
      </c>
      <c r="I15">
        <v>1183</v>
      </c>
      <c r="J15" t="s">
        <v>58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X15" t="s">
        <v>75</v>
      </c>
      <c r="AD15" t="s">
        <v>75</v>
      </c>
      <c r="AF15" t="s">
        <v>75</v>
      </c>
      <c r="AI15" s="646">
        <v>45177</v>
      </c>
      <c r="AJ15" t="s">
        <v>63</v>
      </c>
    </row>
    <row r="16" spans="1:37" x14ac:dyDescent="0.25">
      <c r="A16">
        <v>192</v>
      </c>
      <c r="B16">
        <v>30409</v>
      </c>
      <c r="C16" t="s">
        <v>64</v>
      </c>
      <c r="D16" t="s">
        <v>80</v>
      </c>
      <c r="E16" t="s">
        <v>56</v>
      </c>
      <c r="F16" t="s">
        <v>57</v>
      </c>
      <c r="G16" t="s">
        <v>11</v>
      </c>
      <c r="H16" s="646">
        <v>45177</v>
      </c>
      <c r="I16">
        <v>1348</v>
      </c>
      <c r="J16" t="s">
        <v>58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X16" t="s">
        <v>75</v>
      </c>
      <c r="AD16" t="s">
        <v>75</v>
      </c>
      <c r="AF16" t="s">
        <v>75</v>
      </c>
      <c r="AI16" s="646">
        <v>45177</v>
      </c>
      <c r="AJ16" t="s">
        <v>63</v>
      </c>
    </row>
    <row r="17" spans="1:36" x14ac:dyDescent="0.25">
      <c r="B17">
        <v>30424</v>
      </c>
      <c r="C17" t="s">
        <v>54</v>
      </c>
      <c r="D17" t="s">
        <v>81</v>
      </c>
      <c r="E17" t="s">
        <v>56</v>
      </c>
      <c r="F17" t="s">
        <v>57</v>
      </c>
      <c r="G17" t="s">
        <v>11</v>
      </c>
      <c r="H17" s="646">
        <v>45163</v>
      </c>
      <c r="I17">
        <v>1339</v>
      </c>
      <c r="J17" t="s">
        <v>58</v>
      </c>
      <c r="K17" t="s">
        <v>82</v>
      </c>
      <c r="L17" t="s">
        <v>82</v>
      </c>
      <c r="M17" t="s">
        <v>75</v>
      </c>
      <c r="N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W17" t="s">
        <v>82</v>
      </c>
      <c r="X17" t="s">
        <v>75</v>
      </c>
      <c r="Y17" t="s">
        <v>82</v>
      </c>
      <c r="Z17" t="s">
        <v>75</v>
      </c>
      <c r="AA17" t="s">
        <v>82</v>
      </c>
      <c r="AC17" t="s">
        <v>82</v>
      </c>
      <c r="AD17" t="s">
        <v>75</v>
      </c>
      <c r="AE17" t="s">
        <v>82</v>
      </c>
      <c r="AF17" t="s">
        <v>75</v>
      </c>
      <c r="AI17" s="646">
        <v>45162</v>
      </c>
      <c r="AJ17" t="s">
        <v>63</v>
      </c>
    </row>
    <row r="18" spans="1:36" x14ac:dyDescent="0.25">
      <c r="A18">
        <v>190</v>
      </c>
      <c r="B18">
        <v>30424</v>
      </c>
      <c r="C18" t="s">
        <v>64</v>
      </c>
      <c r="D18" t="s">
        <v>83</v>
      </c>
      <c r="E18" t="s">
        <v>56</v>
      </c>
      <c r="F18" t="s">
        <v>57</v>
      </c>
      <c r="G18" t="s">
        <v>11</v>
      </c>
      <c r="H18" s="646">
        <v>45163</v>
      </c>
      <c r="I18">
        <v>1338</v>
      </c>
      <c r="J18" t="s">
        <v>58</v>
      </c>
      <c r="K18" t="s">
        <v>82</v>
      </c>
      <c r="L18" t="s">
        <v>82</v>
      </c>
      <c r="M18" t="s">
        <v>75</v>
      </c>
      <c r="N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W18" t="s">
        <v>82</v>
      </c>
      <c r="X18" t="s">
        <v>75</v>
      </c>
      <c r="Y18" t="s">
        <v>82</v>
      </c>
      <c r="Z18" t="s">
        <v>75</v>
      </c>
      <c r="AA18" t="s">
        <v>82</v>
      </c>
      <c r="AC18" t="s">
        <v>82</v>
      </c>
      <c r="AD18" t="s">
        <v>75</v>
      </c>
      <c r="AE18" t="s">
        <v>82</v>
      </c>
      <c r="AF18" t="s">
        <v>75</v>
      </c>
      <c r="AI18" s="646">
        <v>45162</v>
      </c>
      <c r="AJ18" t="s">
        <v>63</v>
      </c>
    </row>
    <row r="19" spans="1:36" x14ac:dyDescent="0.25">
      <c r="B19">
        <v>30342</v>
      </c>
      <c r="C19" t="s">
        <v>54</v>
      </c>
      <c r="D19" t="s">
        <v>84</v>
      </c>
      <c r="E19" t="s">
        <v>56</v>
      </c>
      <c r="F19" t="s">
        <v>57</v>
      </c>
      <c r="G19" t="s">
        <v>11</v>
      </c>
      <c r="H19" s="646">
        <v>45125</v>
      </c>
      <c r="I19">
        <v>1389</v>
      </c>
      <c r="J19" t="s">
        <v>58</v>
      </c>
      <c r="K19" t="s">
        <v>82</v>
      </c>
      <c r="L19" t="s">
        <v>82</v>
      </c>
      <c r="M19" t="s">
        <v>75</v>
      </c>
      <c r="N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W19" t="s">
        <v>82</v>
      </c>
      <c r="X19" t="s">
        <v>75</v>
      </c>
      <c r="Y19" t="s">
        <v>82</v>
      </c>
      <c r="Z19" t="s">
        <v>75</v>
      </c>
      <c r="AA19" t="s">
        <v>82</v>
      </c>
      <c r="AC19" t="s">
        <v>82</v>
      </c>
      <c r="AD19" t="s">
        <v>75</v>
      </c>
      <c r="AE19" t="s">
        <v>82</v>
      </c>
      <c r="AF19" t="s">
        <v>75</v>
      </c>
      <c r="AI19" s="646">
        <v>45197</v>
      </c>
      <c r="AJ19" t="s">
        <v>63</v>
      </c>
    </row>
    <row r="20" spans="1:36" x14ac:dyDescent="0.25">
      <c r="A20">
        <v>189</v>
      </c>
      <c r="B20">
        <v>30342</v>
      </c>
      <c r="C20" t="s">
        <v>64</v>
      </c>
      <c r="D20" t="s">
        <v>85</v>
      </c>
      <c r="E20" t="s">
        <v>56</v>
      </c>
      <c r="F20" t="s">
        <v>57</v>
      </c>
      <c r="G20" t="s">
        <v>11</v>
      </c>
      <c r="H20" s="646">
        <v>45125</v>
      </c>
      <c r="I20">
        <v>1385</v>
      </c>
      <c r="J20" t="s">
        <v>58</v>
      </c>
      <c r="K20" t="s">
        <v>82</v>
      </c>
      <c r="L20" t="s">
        <v>82</v>
      </c>
      <c r="M20" t="s">
        <v>75</v>
      </c>
      <c r="N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W20" t="s">
        <v>82</v>
      </c>
      <c r="X20" t="s">
        <v>75</v>
      </c>
      <c r="Y20" t="s">
        <v>82</v>
      </c>
      <c r="Z20" t="s">
        <v>75</v>
      </c>
      <c r="AA20" t="s">
        <v>82</v>
      </c>
      <c r="AC20" t="s">
        <v>82</v>
      </c>
      <c r="AD20" t="s">
        <v>75</v>
      </c>
      <c r="AE20" t="s">
        <v>82</v>
      </c>
      <c r="AF20" t="s">
        <v>75</v>
      </c>
      <c r="AI20" s="646">
        <v>45197</v>
      </c>
      <c r="AJ20" t="s">
        <v>63</v>
      </c>
    </row>
    <row r="21" spans="1:36" x14ac:dyDescent="0.25">
      <c r="B21">
        <v>30393</v>
      </c>
      <c r="C21" t="s">
        <v>54</v>
      </c>
      <c r="D21" t="s">
        <v>86</v>
      </c>
      <c r="E21" t="s">
        <v>56</v>
      </c>
      <c r="F21" t="s">
        <v>57</v>
      </c>
      <c r="G21" t="s">
        <v>11</v>
      </c>
      <c r="H21" s="646">
        <v>45110</v>
      </c>
      <c r="I21">
        <v>1354</v>
      </c>
      <c r="J21" t="s">
        <v>58</v>
      </c>
      <c r="K21" t="s">
        <v>82</v>
      </c>
      <c r="L21" t="s">
        <v>82</v>
      </c>
      <c r="M21" t="s">
        <v>75</v>
      </c>
      <c r="N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W21" t="s">
        <v>82</v>
      </c>
      <c r="X21" t="s">
        <v>75</v>
      </c>
      <c r="Y21" t="s">
        <v>82</v>
      </c>
      <c r="Z21" t="s">
        <v>75</v>
      </c>
      <c r="AA21" t="s">
        <v>82</v>
      </c>
      <c r="AC21" t="s">
        <v>82</v>
      </c>
      <c r="AD21" t="s">
        <v>75</v>
      </c>
      <c r="AE21" t="s">
        <v>82</v>
      </c>
      <c r="AF21" t="s">
        <v>75</v>
      </c>
      <c r="AG21" s="646">
        <v>45218</v>
      </c>
      <c r="AJ21" t="s">
        <v>63</v>
      </c>
    </row>
    <row r="22" spans="1:36" x14ac:dyDescent="0.25">
      <c r="A22">
        <v>188</v>
      </c>
      <c r="B22">
        <v>30393</v>
      </c>
      <c r="C22" t="s">
        <v>64</v>
      </c>
      <c r="D22" t="s">
        <v>87</v>
      </c>
      <c r="E22" t="s">
        <v>56</v>
      </c>
      <c r="F22" t="s">
        <v>57</v>
      </c>
      <c r="G22" t="s">
        <v>11</v>
      </c>
      <c r="H22" s="646">
        <v>45110</v>
      </c>
      <c r="I22">
        <v>1359</v>
      </c>
      <c r="J22" t="s">
        <v>58</v>
      </c>
      <c r="K22" t="s">
        <v>82</v>
      </c>
      <c r="L22" t="s">
        <v>82</v>
      </c>
      <c r="M22" t="s">
        <v>75</v>
      </c>
      <c r="N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W22" t="s">
        <v>82</v>
      </c>
      <c r="X22" t="s">
        <v>75</v>
      </c>
      <c r="Y22" t="s">
        <v>82</v>
      </c>
      <c r="Z22" t="s">
        <v>75</v>
      </c>
      <c r="AA22" t="s">
        <v>82</v>
      </c>
      <c r="AC22" t="s">
        <v>82</v>
      </c>
      <c r="AD22" t="s">
        <v>75</v>
      </c>
      <c r="AE22" t="s">
        <v>82</v>
      </c>
      <c r="AF22" t="s">
        <v>75</v>
      </c>
      <c r="AG22" s="646">
        <v>45218</v>
      </c>
      <c r="AJ22" t="s">
        <v>63</v>
      </c>
    </row>
    <row r="23" spans="1:36" x14ac:dyDescent="0.25">
      <c r="B23">
        <v>30392</v>
      </c>
      <c r="C23" t="s">
        <v>54</v>
      </c>
      <c r="D23" t="s">
        <v>88</v>
      </c>
      <c r="E23" t="s">
        <v>56</v>
      </c>
      <c r="F23" t="s">
        <v>57</v>
      </c>
      <c r="G23" t="s">
        <v>11</v>
      </c>
      <c r="H23" s="646">
        <v>45110</v>
      </c>
      <c r="I23">
        <v>1180</v>
      </c>
      <c r="J23" t="s">
        <v>58</v>
      </c>
      <c r="K23" t="s">
        <v>82</v>
      </c>
      <c r="L23" t="s">
        <v>82</v>
      </c>
      <c r="M23" t="s">
        <v>75</v>
      </c>
      <c r="N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W23" t="s">
        <v>82</v>
      </c>
      <c r="X23" t="s">
        <v>75</v>
      </c>
      <c r="Y23" t="s">
        <v>82</v>
      </c>
      <c r="Z23" t="s">
        <v>75</v>
      </c>
      <c r="AA23" t="s">
        <v>82</v>
      </c>
      <c r="AC23" t="s">
        <v>82</v>
      </c>
      <c r="AD23" t="s">
        <v>75</v>
      </c>
      <c r="AE23" t="s">
        <v>82</v>
      </c>
      <c r="AF23" t="s">
        <v>75</v>
      </c>
      <c r="AI23" s="646">
        <v>45204</v>
      </c>
      <c r="AJ23" t="s">
        <v>63</v>
      </c>
    </row>
    <row r="24" spans="1:36" x14ac:dyDescent="0.25">
      <c r="A24">
        <v>187</v>
      </c>
      <c r="B24">
        <v>30392</v>
      </c>
      <c r="C24" t="s">
        <v>64</v>
      </c>
      <c r="D24" t="s">
        <v>89</v>
      </c>
      <c r="E24" t="s">
        <v>56</v>
      </c>
      <c r="F24" t="s">
        <v>57</v>
      </c>
      <c r="G24" t="s">
        <v>11</v>
      </c>
      <c r="H24" s="646">
        <v>45110</v>
      </c>
      <c r="I24">
        <v>1361</v>
      </c>
      <c r="J24" t="s">
        <v>58</v>
      </c>
      <c r="K24" t="s">
        <v>82</v>
      </c>
      <c r="L24" t="s">
        <v>82</v>
      </c>
      <c r="M24" t="s">
        <v>75</v>
      </c>
      <c r="N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W24" t="s">
        <v>82</v>
      </c>
      <c r="X24" t="s">
        <v>75</v>
      </c>
      <c r="Y24" t="s">
        <v>82</v>
      </c>
      <c r="Z24" t="s">
        <v>75</v>
      </c>
      <c r="AA24" t="s">
        <v>82</v>
      </c>
      <c r="AC24" t="s">
        <v>82</v>
      </c>
      <c r="AD24" t="s">
        <v>75</v>
      </c>
      <c r="AE24" t="s">
        <v>82</v>
      </c>
      <c r="AF24" t="s">
        <v>75</v>
      </c>
      <c r="AI24" s="646">
        <v>45204</v>
      </c>
      <c r="AJ24" t="s">
        <v>63</v>
      </c>
    </row>
    <row r="25" spans="1:36" x14ac:dyDescent="0.25">
      <c r="B25">
        <v>30411</v>
      </c>
      <c r="C25" t="s">
        <v>54</v>
      </c>
      <c r="D25" t="s">
        <v>90</v>
      </c>
      <c r="E25" t="s">
        <v>56</v>
      </c>
      <c r="F25" t="s">
        <v>57</v>
      </c>
      <c r="G25" t="s">
        <v>11</v>
      </c>
      <c r="H25" s="646">
        <v>45085</v>
      </c>
      <c r="I25">
        <v>1181</v>
      </c>
      <c r="J25" t="s">
        <v>58</v>
      </c>
      <c r="K25" t="s">
        <v>82</v>
      </c>
      <c r="L25" t="s">
        <v>82</v>
      </c>
      <c r="M25" t="s">
        <v>75</v>
      </c>
      <c r="N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W25" t="s">
        <v>82</v>
      </c>
      <c r="X25" t="s">
        <v>75</v>
      </c>
      <c r="Y25" t="s">
        <v>82</v>
      </c>
      <c r="Z25" t="s">
        <v>75</v>
      </c>
      <c r="AA25" t="s">
        <v>82</v>
      </c>
      <c r="AC25" t="s">
        <v>82</v>
      </c>
      <c r="AD25" t="s">
        <v>75</v>
      </c>
      <c r="AE25" t="s">
        <v>82</v>
      </c>
      <c r="AF25" t="s">
        <v>75</v>
      </c>
      <c r="AI25" t="s">
        <v>91</v>
      </c>
      <c r="AJ25" t="s">
        <v>63</v>
      </c>
    </row>
    <row r="26" spans="1:36" x14ac:dyDescent="0.25">
      <c r="A26">
        <v>186</v>
      </c>
      <c r="B26">
        <v>30411</v>
      </c>
      <c r="C26" t="s">
        <v>64</v>
      </c>
      <c r="D26" t="s">
        <v>92</v>
      </c>
      <c r="E26" t="s">
        <v>56</v>
      </c>
      <c r="F26" t="s">
        <v>57</v>
      </c>
      <c r="G26" t="s">
        <v>11</v>
      </c>
      <c r="H26" s="646">
        <v>45085</v>
      </c>
      <c r="I26">
        <v>1351</v>
      </c>
      <c r="J26" t="s">
        <v>58</v>
      </c>
      <c r="K26" t="s">
        <v>82</v>
      </c>
      <c r="L26" t="s">
        <v>82</v>
      </c>
      <c r="M26" t="s">
        <v>75</v>
      </c>
      <c r="N26" t="s">
        <v>75</v>
      </c>
      <c r="Q26" t="s">
        <v>75</v>
      </c>
      <c r="R26" t="s">
        <v>75</v>
      </c>
      <c r="S26" t="s">
        <v>75</v>
      </c>
      <c r="T26" t="s">
        <v>75</v>
      </c>
      <c r="U26" t="s">
        <v>75</v>
      </c>
      <c r="W26" t="s">
        <v>82</v>
      </c>
      <c r="X26" t="s">
        <v>75</v>
      </c>
      <c r="Y26" t="s">
        <v>82</v>
      </c>
      <c r="Z26" t="s">
        <v>75</v>
      </c>
      <c r="AA26" t="s">
        <v>82</v>
      </c>
      <c r="AC26" t="s">
        <v>82</v>
      </c>
      <c r="AD26" t="s">
        <v>75</v>
      </c>
      <c r="AE26" t="s">
        <v>82</v>
      </c>
      <c r="AF26" t="s">
        <v>75</v>
      </c>
      <c r="AI26" t="s">
        <v>91</v>
      </c>
      <c r="AJ26" t="s">
        <v>63</v>
      </c>
    </row>
    <row r="27" spans="1:36" x14ac:dyDescent="0.25">
      <c r="B27">
        <v>30378</v>
      </c>
      <c r="C27" t="s">
        <v>54</v>
      </c>
      <c r="D27" t="s">
        <v>93</v>
      </c>
      <c r="E27" t="s">
        <v>56</v>
      </c>
      <c r="F27" t="s">
        <v>57</v>
      </c>
      <c r="G27" t="s">
        <v>11</v>
      </c>
      <c r="H27" s="646">
        <v>45058</v>
      </c>
      <c r="I27">
        <v>1382</v>
      </c>
      <c r="J27" t="s">
        <v>58</v>
      </c>
      <c r="K27" t="s">
        <v>82</v>
      </c>
      <c r="L27" t="s">
        <v>82</v>
      </c>
      <c r="M27" t="s">
        <v>75</v>
      </c>
      <c r="N27" t="s">
        <v>75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W27" t="s">
        <v>82</v>
      </c>
      <c r="X27" t="s">
        <v>75</v>
      </c>
      <c r="Y27" t="s">
        <v>82</v>
      </c>
      <c r="Z27" t="s">
        <v>75</v>
      </c>
      <c r="AA27" t="s">
        <v>82</v>
      </c>
      <c r="AC27" t="s">
        <v>82</v>
      </c>
      <c r="AD27" t="s">
        <v>75</v>
      </c>
      <c r="AE27" t="s">
        <v>82</v>
      </c>
      <c r="AF27" t="s">
        <v>75</v>
      </c>
      <c r="AJ27" t="s">
        <v>63</v>
      </c>
    </row>
    <row r="28" spans="1:36" x14ac:dyDescent="0.25">
      <c r="A28">
        <v>185</v>
      </c>
      <c r="B28">
        <v>30378</v>
      </c>
      <c r="C28" t="s">
        <v>64</v>
      </c>
      <c r="D28" t="s">
        <v>94</v>
      </c>
      <c r="E28" t="s">
        <v>56</v>
      </c>
      <c r="F28" t="s">
        <v>57</v>
      </c>
      <c r="G28" t="s">
        <v>11</v>
      </c>
      <c r="H28" s="646">
        <v>45058</v>
      </c>
      <c r="I28">
        <v>1380</v>
      </c>
      <c r="J28" t="s">
        <v>58</v>
      </c>
      <c r="K28" t="s">
        <v>82</v>
      </c>
      <c r="L28" t="s">
        <v>82</v>
      </c>
      <c r="M28" t="s">
        <v>75</v>
      </c>
      <c r="N28" t="s">
        <v>75</v>
      </c>
      <c r="Q28" t="s">
        <v>75</v>
      </c>
      <c r="R28" t="s">
        <v>75</v>
      </c>
      <c r="S28" t="s">
        <v>75</v>
      </c>
      <c r="T28" t="s">
        <v>75</v>
      </c>
      <c r="U28" t="s">
        <v>75</v>
      </c>
      <c r="W28" t="s">
        <v>82</v>
      </c>
      <c r="X28" t="s">
        <v>75</v>
      </c>
      <c r="Y28" t="s">
        <v>82</v>
      </c>
      <c r="Z28" t="s">
        <v>75</v>
      </c>
      <c r="AA28" t="s">
        <v>82</v>
      </c>
      <c r="AC28" t="s">
        <v>82</v>
      </c>
      <c r="AD28" t="s">
        <v>75</v>
      </c>
      <c r="AE28" t="s">
        <v>82</v>
      </c>
      <c r="AF28" t="s">
        <v>75</v>
      </c>
      <c r="AJ28" t="s">
        <v>63</v>
      </c>
    </row>
    <row r="29" spans="1:36" x14ac:dyDescent="0.25">
      <c r="B29">
        <v>39240</v>
      </c>
      <c r="C29" t="s">
        <v>54</v>
      </c>
      <c r="D29" t="s">
        <v>95</v>
      </c>
      <c r="E29" t="s">
        <v>56</v>
      </c>
      <c r="F29" t="s">
        <v>57</v>
      </c>
      <c r="G29" t="s">
        <v>11</v>
      </c>
      <c r="H29" s="646">
        <v>45040</v>
      </c>
      <c r="I29">
        <v>1259</v>
      </c>
      <c r="J29" t="s">
        <v>58</v>
      </c>
      <c r="K29" t="s">
        <v>82</v>
      </c>
      <c r="L29" t="s">
        <v>82</v>
      </c>
      <c r="M29" t="s">
        <v>75</v>
      </c>
      <c r="N29" t="s">
        <v>75</v>
      </c>
      <c r="Q29" t="s">
        <v>75</v>
      </c>
      <c r="R29" t="s">
        <v>75</v>
      </c>
      <c r="S29" t="s">
        <v>75</v>
      </c>
      <c r="T29" t="s">
        <v>75</v>
      </c>
      <c r="U29" t="s">
        <v>75</v>
      </c>
      <c r="W29" t="s">
        <v>82</v>
      </c>
      <c r="X29" t="s">
        <v>75</v>
      </c>
      <c r="Y29" t="s">
        <v>82</v>
      </c>
      <c r="Z29" t="s">
        <v>75</v>
      </c>
      <c r="AA29" t="s">
        <v>82</v>
      </c>
      <c r="AC29" t="s">
        <v>82</v>
      </c>
      <c r="AD29" t="s">
        <v>75</v>
      </c>
      <c r="AE29" t="s">
        <v>82</v>
      </c>
      <c r="AF29" t="s">
        <v>75</v>
      </c>
      <c r="AI29" s="646">
        <v>45195</v>
      </c>
      <c r="AJ29" t="s">
        <v>63</v>
      </c>
    </row>
    <row r="30" spans="1:36" x14ac:dyDescent="0.25">
      <c r="A30">
        <v>184</v>
      </c>
      <c r="B30">
        <v>39240</v>
      </c>
      <c r="C30" t="s">
        <v>64</v>
      </c>
      <c r="D30" t="s">
        <v>96</v>
      </c>
      <c r="E30" t="s">
        <v>56</v>
      </c>
      <c r="F30" t="s">
        <v>57</v>
      </c>
      <c r="G30" t="s">
        <v>11</v>
      </c>
      <c r="H30" s="646">
        <v>45040</v>
      </c>
      <c r="I30">
        <v>1265</v>
      </c>
      <c r="J30" t="s">
        <v>58</v>
      </c>
      <c r="K30" t="s">
        <v>82</v>
      </c>
      <c r="L30" t="s">
        <v>82</v>
      </c>
      <c r="M30" t="s">
        <v>75</v>
      </c>
      <c r="N30" t="s">
        <v>75</v>
      </c>
      <c r="Q30" t="s">
        <v>75</v>
      </c>
      <c r="R30" t="s">
        <v>75</v>
      </c>
      <c r="S30" t="s">
        <v>75</v>
      </c>
      <c r="T30" t="s">
        <v>75</v>
      </c>
      <c r="U30" t="s">
        <v>75</v>
      </c>
      <c r="W30" t="s">
        <v>82</v>
      </c>
      <c r="X30" t="s">
        <v>75</v>
      </c>
      <c r="Y30" t="s">
        <v>82</v>
      </c>
      <c r="Z30" t="s">
        <v>75</v>
      </c>
      <c r="AA30" t="s">
        <v>82</v>
      </c>
      <c r="AC30" t="s">
        <v>82</v>
      </c>
      <c r="AD30" t="s">
        <v>75</v>
      </c>
      <c r="AE30" t="s">
        <v>82</v>
      </c>
      <c r="AF30" t="s">
        <v>75</v>
      </c>
      <c r="AI30" s="646">
        <v>45195</v>
      </c>
      <c r="AJ30" t="s">
        <v>63</v>
      </c>
    </row>
    <row r="31" spans="1:36" x14ac:dyDescent="0.25">
      <c r="B31">
        <v>37600</v>
      </c>
      <c r="C31" t="s">
        <v>54</v>
      </c>
      <c r="D31" t="s">
        <v>97</v>
      </c>
      <c r="E31" t="s">
        <v>56</v>
      </c>
      <c r="F31" t="s">
        <v>57</v>
      </c>
      <c r="G31" t="s">
        <v>11</v>
      </c>
      <c r="H31" s="646">
        <v>45016</v>
      </c>
      <c r="I31">
        <v>1301</v>
      </c>
      <c r="J31" t="s">
        <v>58</v>
      </c>
      <c r="Q31" t="s">
        <v>75</v>
      </c>
      <c r="R31" t="s">
        <v>75</v>
      </c>
      <c r="S31" t="s">
        <v>75</v>
      </c>
      <c r="T31" t="s">
        <v>75</v>
      </c>
      <c r="U31" t="s">
        <v>75</v>
      </c>
      <c r="X31" t="s">
        <v>75</v>
      </c>
      <c r="Y31" t="s">
        <v>82</v>
      </c>
      <c r="Z31" t="s">
        <v>75</v>
      </c>
      <c r="AD31" t="s">
        <v>75</v>
      </c>
      <c r="AE31" t="s">
        <v>82</v>
      </c>
      <c r="AF31" t="s">
        <v>75</v>
      </c>
      <c r="AJ31" t="s">
        <v>63</v>
      </c>
    </row>
    <row r="32" spans="1:36" x14ac:dyDescent="0.25">
      <c r="A32">
        <v>183</v>
      </c>
      <c r="B32">
        <v>37600</v>
      </c>
      <c r="C32" t="s">
        <v>64</v>
      </c>
      <c r="D32" t="s">
        <v>98</v>
      </c>
      <c r="E32" t="s">
        <v>56</v>
      </c>
      <c r="F32" t="s">
        <v>57</v>
      </c>
      <c r="G32" t="s">
        <v>11</v>
      </c>
      <c r="H32" s="646">
        <v>45016</v>
      </c>
      <c r="I32">
        <v>1295</v>
      </c>
      <c r="J32" t="s">
        <v>58</v>
      </c>
      <c r="Q32" t="s">
        <v>75</v>
      </c>
      <c r="R32" t="s">
        <v>75</v>
      </c>
      <c r="S32" t="s">
        <v>75</v>
      </c>
      <c r="T32" t="s">
        <v>75</v>
      </c>
      <c r="U32" t="s">
        <v>75</v>
      </c>
      <c r="X32" t="s">
        <v>75</v>
      </c>
      <c r="Y32" t="s">
        <v>82</v>
      </c>
      <c r="Z32" t="s">
        <v>75</v>
      </c>
      <c r="AD32" t="s">
        <v>75</v>
      </c>
      <c r="AE32" t="s">
        <v>82</v>
      </c>
      <c r="AF32" t="s">
        <v>75</v>
      </c>
      <c r="AJ32" t="s">
        <v>63</v>
      </c>
    </row>
    <row r="33" spans="1:36" x14ac:dyDescent="0.25">
      <c r="B33">
        <v>39237</v>
      </c>
      <c r="C33" t="s">
        <v>54</v>
      </c>
      <c r="D33" t="s">
        <v>99</v>
      </c>
      <c r="E33" t="s">
        <v>56</v>
      </c>
      <c r="F33" t="s">
        <v>57</v>
      </c>
      <c r="G33" t="s">
        <v>11</v>
      </c>
      <c r="H33" s="646">
        <v>45008</v>
      </c>
      <c r="I33">
        <v>1255</v>
      </c>
      <c r="J33" t="s">
        <v>58</v>
      </c>
      <c r="Q33" t="s">
        <v>75</v>
      </c>
      <c r="R33" t="s">
        <v>75</v>
      </c>
      <c r="S33" t="s">
        <v>75</v>
      </c>
      <c r="T33" t="s">
        <v>75</v>
      </c>
      <c r="U33" t="s">
        <v>75</v>
      </c>
      <c r="X33" t="s">
        <v>75</v>
      </c>
      <c r="Y33" t="s">
        <v>82</v>
      </c>
      <c r="Z33" t="s">
        <v>75</v>
      </c>
      <c r="AD33" t="s">
        <v>75</v>
      </c>
      <c r="AE33" t="s">
        <v>82</v>
      </c>
      <c r="AF33" t="s">
        <v>75</v>
      </c>
      <c r="AJ33" t="s">
        <v>63</v>
      </c>
    </row>
    <row r="34" spans="1:36" x14ac:dyDescent="0.25">
      <c r="A34">
        <v>182</v>
      </c>
      <c r="B34">
        <v>39237</v>
      </c>
      <c r="C34" t="s">
        <v>64</v>
      </c>
      <c r="D34" t="s">
        <v>100</v>
      </c>
      <c r="E34" t="s">
        <v>56</v>
      </c>
      <c r="F34" t="s">
        <v>57</v>
      </c>
      <c r="G34" t="s">
        <v>11</v>
      </c>
      <c r="H34" s="646">
        <v>45008</v>
      </c>
      <c r="I34">
        <v>1258</v>
      </c>
      <c r="J34" t="s">
        <v>58</v>
      </c>
      <c r="Q34" t="s">
        <v>75</v>
      </c>
      <c r="R34" t="s">
        <v>75</v>
      </c>
      <c r="S34" t="s">
        <v>75</v>
      </c>
      <c r="T34" t="s">
        <v>75</v>
      </c>
      <c r="U34" t="s">
        <v>75</v>
      </c>
      <c r="X34" t="s">
        <v>75</v>
      </c>
      <c r="Y34" t="s">
        <v>82</v>
      </c>
      <c r="Z34" t="s">
        <v>75</v>
      </c>
      <c r="AD34" t="s">
        <v>75</v>
      </c>
      <c r="AE34" t="s">
        <v>82</v>
      </c>
      <c r="AF34" t="s">
        <v>75</v>
      </c>
      <c r="AJ34" t="s">
        <v>63</v>
      </c>
    </row>
    <row r="35" spans="1:36" x14ac:dyDescent="0.25">
      <c r="B35">
        <v>30367</v>
      </c>
      <c r="C35" t="s">
        <v>54</v>
      </c>
      <c r="D35" t="s">
        <v>101</v>
      </c>
      <c r="E35" t="s">
        <v>56</v>
      </c>
      <c r="F35" t="s">
        <v>57</v>
      </c>
      <c r="G35" t="s">
        <v>11</v>
      </c>
      <c r="H35" s="646">
        <v>45005</v>
      </c>
      <c r="I35">
        <v>1386</v>
      </c>
      <c r="J35" t="s">
        <v>58</v>
      </c>
      <c r="Q35" t="s">
        <v>75</v>
      </c>
      <c r="R35" t="s">
        <v>75</v>
      </c>
      <c r="S35" t="s">
        <v>75</v>
      </c>
      <c r="T35" t="s">
        <v>75</v>
      </c>
      <c r="U35" t="s">
        <v>75</v>
      </c>
      <c r="X35" t="s">
        <v>75</v>
      </c>
      <c r="Y35" t="s">
        <v>82</v>
      </c>
      <c r="Z35" t="s">
        <v>75</v>
      </c>
      <c r="AD35" t="s">
        <v>75</v>
      </c>
      <c r="AE35" t="s">
        <v>82</v>
      </c>
      <c r="AF35" t="s">
        <v>75</v>
      </c>
      <c r="AI35" s="646">
        <v>45196</v>
      </c>
      <c r="AJ35" t="s">
        <v>63</v>
      </c>
    </row>
    <row r="36" spans="1:36" x14ac:dyDescent="0.25">
      <c r="A36">
        <v>181</v>
      </c>
      <c r="B36">
        <v>30367</v>
      </c>
      <c r="C36" t="s">
        <v>64</v>
      </c>
      <c r="D36" t="s">
        <v>102</v>
      </c>
      <c r="E36" t="s">
        <v>56</v>
      </c>
      <c r="F36" t="s">
        <v>57</v>
      </c>
      <c r="G36" t="s">
        <v>11</v>
      </c>
      <c r="H36" s="646">
        <v>45005</v>
      </c>
      <c r="I36">
        <v>1388</v>
      </c>
      <c r="J36" t="s">
        <v>58</v>
      </c>
      <c r="Q36" t="s">
        <v>75</v>
      </c>
      <c r="R36" t="s">
        <v>75</v>
      </c>
      <c r="S36" t="s">
        <v>75</v>
      </c>
      <c r="T36" t="s">
        <v>75</v>
      </c>
      <c r="U36" t="s">
        <v>75</v>
      </c>
      <c r="X36" t="s">
        <v>75</v>
      </c>
      <c r="Y36" t="s">
        <v>82</v>
      </c>
      <c r="Z36" t="s">
        <v>75</v>
      </c>
      <c r="AD36" t="s">
        <v>75</v>
      </c>
      <c r="AE36" t="s">
        <v>82</v>
      </c>
      <c r="AF36" t="s">
        <v>75</v>
      </c>
      <c r="AI36" s="646">
        <v>45196</v>
      </c>
      <c r="AJ36" t="s">
        <v>63</v>
      </c>
    </row>
    <row r="37" spans="1:36" ht="26.4" x14ac:dyDescent="0.25">
      <c r="A37">
        <v>180</v>
      </c>
      <c r="B37">
        <v>30421</v>
      </c>
      <c r="C37" t="s">
        <v>54</v>
      </c>
      <c r="D37" t="s">
        <v>103</v>
      </c>
      <c r="E37" t="s">
        <v>56</v>
      </c>
      <c r="F37" t="s">
        <v>57</v>
      </c>
      <c r="G37" t="s">
        <v>11</v>
      </c>
      <c r="H37" s="646">
        <v>44993</v>
      </c>
      <c r="I37">
        <v>1390</v>
      </c>
      <c r="J37" t="s">
        <v>58</v>
      </c>
      <c r="K37" s="653" t="s">
        <v>59</v>
      </c>
      <c r="L37" t="s">
        <v>75</v>
      </c>
      <c r="M37" t="s">
        <v>60</v>
      </c>
      <c r="N37" t="s">
        <v>75</v>
      </c>
      <c r="O37" t="s">
        <v>82</v>
      </c>
      <c r="P37" t="s">
        <v>82</v>
      </c>
      <c r="Q37" t="s">
        <v>75</v>
      </c>
      <c r="R37" t="s">
        <v>75</v>
      </c>
      <c r="S37" t="s">
        <v>75</v>
      </c>
      <c r="T37" t="s">
        <v>75</v>
      </c>
      <c r="U37" t="s">
        <v>75</v>
      </c>
      <c r="V37" t="s">
        <v>82</v>
      </c>
      <c r="W37" t="s">
        <v>82</v>
      </c>
      <c r="X37" t="s">
        <v>75</v>
      </c>
      <c r="Y37" t="s">
        <v>82</v>
      </c>
      <c r="Z37" t="s">
        <v>75</v>
      </c>
      <c r="AA37" t="s">
        <v>82</v>
      </c>
      <c r="AB37" t="s">
        <v>82</v>
      </c>
      <c r="AC37" t="s">
        <v>82</v>
      </c>
      <c r="AD37" t="s">
        <v>75</v>
      </c>
      <c r="AE37" t="s">
        <v>82</v>
      </c>
      <c r="AF37" t="s">
        <v>75</v>
      </c>
    </row>
    <row r="38" spans="1:36" ht="26.4" x14ac:dyDescent="0.25">
      <c r="A38">
        <v>179</v>
      </c>
      <c r="B38">
        <v>30421</v>
      </c>
      <c r="C38" t="s">
        <v>64</v>
      </c>
      <c r="D38" t="s">
        <v>104</v>
      </c>
      <c r="E38" t="s">
        <v>56</v>
      </c>
      <c r="F38" t="s">
        <v>57</v>
      </c>
      <c r="G38" t="s">
        <v>11</v>
      </c>
      <c r="H38" s="646">
        <v>44993</v>
      </c>
      <c r="I38">
        <v>1391</v>
      </c>
      <c r="J38" t="s">
        <v>58</v>
      </c>
      <c r="K38" s="653" t="s">
        <v>59</v>
      </c>
      <c r="L38" t="s">
        <v>75</v>
      </c>
      <c r="M38" t="s">
        <v>60</v>
      </c>
      <c r="N38" t="s">
        <v>75</v>
      </c>
      <c r="O38" t="s">
        <v>82</v>
      </c>
      <c r="P38" t="s">
        <v>82</v>
      </c>
      <c r="Q38" t="s">
        <v>75</v>
      </c>
      <c r="R38" t="s">
        <v>75</v>
      </c>
      <c r="S38" t="s">
        <v>75</v>
      </c>
      <c r="T38" t="s">
        <v>75</v>
      </c>
      <c r="U38" t="s">
        <v>75</v>
      </c>
      <c r="V38" t="s">
        <v>82</v>
      </c>
      <c r="W38" t="s">
        <v>82</v>
      </c>
      <c r="X38" t="s">
        <v>75</v>
      </c>
      <c r="Y38" t="s">
        <v>82</v>
      </c>
      <c r="Z38" t="s">
        <v>75</v>
      </c>
      <c r="AA38" t="s">
        <v>82</v>
      </c>
      <c r="AB38" t="s">
        <v>82</v>
      </c>
      <c r="AC38" t="s">
        <v>82</v>
      </c>
      <c r="AD38" t="s">
        <v>75</v>
      </c>
      <c r="AE38" t="s">
        <v>82</v>
      </c>
      <c r="AF38" t="s">
        <v>75</v>
      </c>
    </row>
    <row r="39" spans="1:36" ht="26.4" x14ac:dyDescent="0.25">
      <c r="A39">
        <v>178</v>
      </c>
      <c r="B39">
        <v>39229</v>
      </c>
      <c r="C39" t="s">
        <v>54</v>
      </c>
      <c r="D39" t="s">
        <v>105</v>
      </c>
      <c r="E39" t="s">
        <v>56</v>
      </c>
      <c r="F39" t="s">
        <v>57</v>
      </c>
      <c r="G39" t="s">
        <v>11</v>
      </c>
      <c r="H39" s="646">
        <v>44977</v>
      </c>
      <c r="I39">
        <v>1232</v>
      </c>
      <c r="J39" t="s">
        <v>58</v>
      </c>
      <c r="K39" s="653" t="s">
        <v>59</v>
      </c>
      <c r="L39" t="s">
        <v>75</v>
      </c>
      <c r="M39" t="s">
        <v>60</v>
      </c>
      <c r="N39" t="s">
        <v>75</v>
      </c>
      <c r="O39" t="s">
        <v>82</v>
      </c>
      <c r="P39" t="s">
        <v>82</v>
      </c>
      <c r="Q39" t="s">
        <v>75</v>
      </c>
      <c r="R39" t="s">
        <v>75</v>
      </c>
      <c r="S39" t="s">
        <v>75</v>
      </c>
      <c r="T39" t="s">
        <v>75</v>
      </c>
      <c r="U39" t="s">
        <v>75</v>
      </c>
      <c r="V39" t="s">
        <v>82</v>
      </c>
      <c r="W39" t="s">
        <v>82</v>
      </c>
      <c r="X39" t="s">
        <v>75</v>
      </c>
      <c r="Y39" t="s">
        <v>82</v>
      </c>
      <c r="Z39" t="s">
        <v>75</v>
      </c>
      <c r="AA39" t="s">
        <v>82</v>
      </c>
      <c r="AB39" t="s">
        <v>82</v>
      </c>
      <c r="AC39" t="s">
        <v>82</v>
      </c>
      <c r="AD39" t="s">
        <v>75</v>
      </c>
      <c r="AE39" t="s">
        <v>82</v>
      </c>
      <c r="AF39" t="s">
        <v>75</v>
      </c>
      <c r="AI39" s="646">
        <v>45167</v>
      </c>
      <c r="AJ39" t="s">
        <v>63</v>
      </c>
    </row>
    <row r="40" spans="1:36" ht="26.4" x14ac:dyDescent="0.25">
      <c r="A40">
        <v>177</v>
      </c>
      <c r="B40">
        <v>39229</v>
      </c>
      <c r="C40" t="s">
        <v>64</v>
      </c>
      <c r="D40" t="s">
        <v>106</v>
      </c>
      <c r="E40" t="s">
        <v>56</v>
      </c>
      <c r="F40" t="s">
        <v>57</v>
      </c>
      <c r="G40" t="s">
        <v>11</v>
      </c>
      <c r="H40" s="646">
        <v>44977</v>
      </c>
      <c r="I40">
        <v>1235</v>
      </c>
      <c r="J40" t="s">
        <v>58</v>
      </c>
      <c r="K40" s="653" t="s">
        <v>59</v>
      </c>
      <c r="L40" t="s">
        <v>75</v>
      </c>
      <c r="M40" t="s">
        <v>60</v>
      </c>
      <c r="N40" t="s">
        <v>75</v>
      </c>
      <c r="O40" t="s">
        <v>82</v>
      </c>
      <c r="P40" t="s">
        <v>82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V40" t="s">
        <v>82</v>
      </c>
      <c r="W40" t="s">
        <v>82</v>
      </c>
      <c r="X40" t="s">
        <v>75</v>
      </c>
      <c r="Y40" t="s">
        <v>82</v>
      </c>
      <c r="Z40" t="s">
        <v>75</v>
      </c>
      <c r="AA40" t="s">
        <v>82</v>
      </c>
      <c r="AB40" t="s">
        <v>82</v>
      </c>
      <c r="AC40" t="s">
        <v>82</v>
      </c>
      <c r="AD40" t="s">
        <v>75</v>
      </c>
      <c r="AE40" t="s">
        <v>82</v>
      </c>
      <c r="AF40" t="s">
        <v>75</v>
      </c>
      <c r="AI40" s="646">
        <v>45167</v>
      </c>
      <c r="AJ40" t="s">
        <v>63</v>
      </c>
    </row>
    <row r="41" spans="1:36" ht="26.4" x14ac:dyDescent="0.25">
      <c r="A41">
        <v>176</v>
      </c>
      <c r="B41">
        <v>39228</v>
      </c>
      <c r="C41" t="s">
        <v>54</v>
      </c>
      <c r="D41" t="s">
        <v>107</v>
      </c>
      <c r="E41" t="s">
        <v>56</v>
      </c>
      <c r="F41" t="s">
        <v>57</v>
      </c>
      <c r="G41" t="s">
        <v>11</v>
      </c>
      <c r="H41" s="646">
        <v>44972</v>
      </c>
      <c r="I41">
        <v>1239</v>
      </c>
      <c r="J41" t="s">
        <v>58</v>
      </c>
      <c r="K41" s="653" t="s">
        <v>59</v>
      </c>
      <c r="L41" t="s">
        <v>75</v>
      </c>
      <c r="M41" t="s">
        <v>60</v>
      </c>
      <c r="N41" t="s">
        <v>75</v>
      </c>
      <c r="O41" t="s">
        <v>82</v>
      </c>
      <c r="P41" t="s">
        <v>82</v>
      </c>
      <c r="Q41" t="s">
        <v>75</v>
      </c>
      <c r="R41" t="s">
        <v>75</v>
      </c>
      <c r="S41" t="s">
        <v>75</v>
      </c>
      <c r="T41" t="s">
        <v>75</v>
      </c>
      <c r="U41" t="s">
        <v>75</v>
      </c>
      <c r="V41" t="s">
        <v>82</v>
      </c>
      <c r="W41" t="s">
        <v>82</v>
      </c>
      <c r="X41" t="s">
        <v>75</v>
      </c>
      <c r="Y41" t="s">
        <v>82</v>
      </c>
      <c r="Z41" t="s">
        <v>75</v>
      </c>
      <c r="AA41" t="s">
        <v>82</v>
      </c>
      <c r="AB41" t="s">
        <v>82</v>
      </c>
      <c r="AC41" t="s">
        <v>82</v>
      </c>
      <c r="AD41" t="s">
        <v>75</v>
      </c>
      <c r="AE41" t="s">
        <v>82</v>
      </c>
      <c r="AF41" t="s">
        <v>75</v>
      </c>
      <c r="AI41" s="646">
        <v>45167</v>
      </c>
      <c r="AJ41" t="s">
        <v>63</v>
      </c>
    </row>
    <row r="42" spans="1:36" ht="26.4" x14ac:dyDescent="0.25">
      <c r="A42">
        <v>175</v>
      </c>
      <c r="B42">
        <v>39228</v>
      </c>
      <c r="C42" t="s">
        <v>64</v>
      </c>
      <c r="D42" t="s">
        <v>108</v>
      </c>
      <c r="E42" t="s">
        <v>56</v>
      </c>
      <c r="F42" t="s">
        <v>57</v>
      </c>
      <c r="G42" t="s">
        <v>11</v>
      </c>
      <c r="H42" s="646">
        <v>44972</v>
      </c>
      <c r="I42">
        <v>1238</v>
      </c>
      <c r="J42" t="s">
        <v>58</v>
      </c>
      <c r="K42" s="653" t="s">
        <v>59</v>
      </c>
      <c r="L42" t="s">
        <v>75</v>
      </c>
      <c r="M42" t="s">
        <v>60</v>
      </c>
      <c r="N42" t="s">
        <v>75</v>
      </c>
      <c r="O42" t="s">
        <v>82</v>
      </c>
      <c r="P42" t="s">
        <v>82</v>
      </c>
      <c r="Q42" t="s">
        <v>75</v>
      </c>
      <c r="R42" t="s">
        <v>75</v>
      </c>
      <c r="S42" t="s">
        <v>75</v>
      </c>
      <c r="T42" t="s">
        <v>75</v>
      </c>
      <c r="U42" t="s">
        <v>75</v>
      </c>
      <c r="V42" t="s">
        <v>82</v>
      </c>
      <c r="W42" t="s">
        <v>82</v>
      </c>
      <c r="X42" t="s">
        <v>75</v>
      </c>
      <c r="Y42" t="s">
        <v>82</v>
      </c>
      <c r="Z42" t="s">
        <v>75</v>
      </c>
      <c r="AA42" t="s">
        <v>82</v>
      </c>
      <c r="AB42" t="s">
        <v>82</v>
      </c>
      <c r="AC42" t="s">
        <v>82</v>
      </c>
      <c r="AD42" t="s">
        <v>75</v>
      </c>
      <c r="AE42" t="s">
        <v>82</v>
      </c>
      <c r="AF42" t="s">
        <v>75</v>
      </c>
      <c r="AI42" s="646">
        <v>45167</v>
      </c>
      <c r="AJ42" t="s">
        <v>63</v>
      </c>
    </row>
    <row r="43" spans="1:36" ht="26.4" x14ac:dyDescent="0.25">
      <c r="A43">
        <v>162</v>
      </c>
      <c r="B43">
        <v>30436</v>
      </c>
      <c r="C43" t="s">
        <v>54</v>
      </c>
      <c r="D43" t="s">
        <v>109</v>
      </c>
      <c r="E43" t="s">
        <v>56</v>
      </c>
      <c r="F43" t="s">
        <v>57</v>
      </c>
      <c r="G43" t="s">
        <v>11</v>
      </c>
      <c r="I43">
        <v>1332</v>
      </c>
      <c r="J43" t="s">
        <v>58</v>
      </c>
      <c r="K43" s="653" t="s">
        <v>59</v>
      </c>
      <c r="L43" t="s">
        <v>75</v>
      </c>
      <c r="M43" t="s">
        <v>60</v>
      </c>
      <c r="N43" t="s">
        <v>75</v>
      </c>
      <c r="Q43" t="s">
        <v>75</v>
      </c>
      <c r="R43" t="s">
        <v>75</v>
      </c>
      <c r="S43" t="s">
        <v>75</v>
      </c>
      <c r="T43" t="s">
        <v>75</v>
      </c>
      <c r="U43" t="s">
        <v>75</v>
      </c>
      <c r="X43" t="s">
        <v>75</v>
      </c>
      <c r="AD43" t="s">
        <v>75</v>
      </c>
      <c r="AF43" t="s">
        <v>75</v>
      </c>
      <c r="AI43" s="646">
        <v>45224</v>
      </c>
      <c r="AJ43" t="s">
        <v>63</v>
      </c>
    </row>
    <row r="44" spans="1:36" ht="26.4" x14ac:dyDescent="0.25">
      <c r="A44">
        <v>161</v>
      </c>
      <c r="B44">
        <v>30436</v>
      </c>
      <c r="C44" t="s">
        <v>64</v>
      </c>
      <c r="D44" t="s">
        <v>110</v>
      </c>
      <c r="E44" t="s">
        <v>56</v>
      </c>
      <c r="F44" t="s">
        <v>57</v>
      </c>
      <c r="G44" t="s">
        <v>11</v>
      </c>
      <c r="I44">
        <v>1333</v>
      </c>
      <c r="J44" t="s">
        <v>58</v>
      </c>
      <c r="K44" s="653" t="s">
        <v>59</v>
      </c>
      <c r="L44" t="s">
        <v>75</v>
      </c>
      <c r="M44" t="s">
        <v>60</v>
      </c>
      <c r="N44" t="s">
        <v>75</v>
      </c>
      <c r="Q44" t="s">
        <v>75</v>
      </c>
      <c r="R44" t="s">
        <v>75</v>
      </c>
      <c r="S44" t="s">
        <v>75</v>
      </c>
      <c r="T44" t="s">
        <v>75</v>
      </c>
      <c r="U44" t="s">
        <v>75</v>
      </c>
      <c r="X44" t="s">
        <v>75</v>
      </c>
      <c r="AD44" t="s">
        <v>75</v>
      </c>
      <c r="AF44" t="s">
        <v>75</v>
      </c>
      <c r="AI44" s="646">
        <v>45224</v>
      </c>
      <c r="AJ44" t="s">
        <v>63</v>
      </c>
    </row>
    <row r="45" spans="1:36" ht="26.4" x14ac:dyDescent="0.25">
      <c r="A45">
        <v>148</v>
      </c>
      <c r="B45">
        <v>30679</v>
      </c>
      <c r="C45" t="s">
        <v>54</v>
      </c>
      <c r="D45" t="s">
        <v>111</v>
      </c>
      <c r="E45" t="s">
        <v>56</v>
      </c>
      <c r="F45" t="s">
        <v>57</v>
      </c>
      <c r="G45" t="s">
        <v>11</v>
      </c>
      <c r="H45" s="646">
        <v>44648</v>
      </c>
      <c r="I45">
        <v>1121</v>
      </c>
      <c r="J45" t="s">
        <v>58</v>
      </c>
      <c r="K45" s="653" t="s">
        <v>59</v>
      </c>
      <c r="L45" t="s">
        <v>75</v>
      </c>
      <c r="M45" t="s">
        <v>60</v>
      </c>
      <c r="N45" t="s">
        <v>75</v>
      </c>
      <c r="O45" s="646">
        <v>45157</v>
      </c>
      <c r="Q45" t="s">
        <v>75</v>
      </c>
      <c r="R45" t="s">
        <v>75</v>
      </c>
      <c r="S45" t="s">
        <v>75</v>
      </c>
      <c r="T45" t="s">
        <v>62</v>
      </c>
      <c r="U45" t="s">
        <v>62</v>
      </c>
      <c r="X45" t="s">
        <v>75</v>
      </c>
      <c r="Y45" t="s">
        <v>62</v>
      </c>
      <c r="Z45" t="s">
        <v>62</v>
      </c>
      <c r="AD45" t="s">
        <v>62</v>
      </c>
      <c r="AF45" t="s">
        <v>62</v>
      </c>
      <c r="AG45" s="646">
        <v>45224</v>
      </c>
      <c r="AI45" s="646">
        <v>45157</v>
      </c>
      <c r="AJ45" t="s">
        <v>63</v>
      </c>
    </row>
    <row r="46" spans="1:36" ht="26.4" x14ac:dyDescent="0.25">
      <c r="A46">
        <v>147</v>
      </c>
      <c r="B46">
        <v>30679</v>
      </c>
      <c r="C46" t="s">
        <v>64</v>
      </c>
      <c r="D46" t="s">
        <v>112</v>
      </c>
      <c r="E46" t="s">
        <v>56</v>
      </c>
      <c r="F46" t="s">
        <v>57</v>
      </c>
      <c r="G46" t="s">
        <v>11</v>
      </c>
      <c r="H46" s="646">
        <v>44648</v>
      </c>
      <c r="I46">
        <v>1119</v>
      </c>
      <c r="J46" t="s">
        <v>58</v>
      </c>
      <c r="K46" s="653" t="s">
        <v>59</v>
      </c>
      <c r="L46" t="s">
        <v>75</v>
      </c>
      <c r="M46" t="s">
        <v>60</v>
      </c>
      <c r="N46" t="s">
        <v>75</v>
      </c>
      <c r="O46" s="646">
        <v>45157</v>
      </c>
      <c r="Q46" t="s">
        <v>75</v>
      </c>
      <c r="R46" t="s">
        <v>75</v>
      </c>
      <c r="S46" t="s">
        <v>75</v>
      </c>
      <c r="T46" t="s">
        <v>68</v>
      </c>
      <c r="U46" t="s">
        <v>68</v>
      </c>
      <c r="X46" t="s">
        <v>75</v>
      </c>
      <c r="Y46" t="s">
        <v>68</v>
      </c>
      <c r="Z46" t="s">
        <v>68</v>
      </c>
      <c r="AD46" t="s">
        <v>68</v>
      </c>
      <c r="AF46" t="s">
        <v>68</v>
      </c>
      <c r="AG46" s="646">
        <v>45224</v>
      </c>
      <c r="AI46" s="646">
        <v>45157</v>
      </c>
      <c r="AJ46" t="s">
        <v>63</v>
      </c>
    </row>
    <row r="47" spans="1:36" ht="26.4" x14ac:dyDescent="0.25">
      <c r="A47">
        <v>146</v>
      </c>
      <c r="B47">
        <v>30350</v>
      </c>
      <c r="C47" t="s">
        <v>54</v>
      </c>
      <c r="D47" t="s">
        <v>113</v>
      </c>
      <c r="E47" t="s">
        <v>56</v>
      </c>
      <c r="F47" t="s">
        <v>57</v>
      </c>
      <c r="G47" t="s">
        <v>11</v>
      </c>
      <c r="I47">
        <v>1118</v>
      </c>
      <c r="J47" t="s">
        <v>58</v>
      </c>
      <c r="K47" s="653" t="s">
        <v>59</v>
      </c>
      <c r="L47" t="s">
        <v>75</v>
      </c>
      <c r="M47" t="s">
        <v>60</v>
      </c>
      <c r="N47" t="s">
        <v>75</v>
      </c>
      <c r="Q47" t="s">
        <v>75</v>
      </c>
      <c r="R47" t="s">
        <v>75</v>
      </c>
      <c r="S47" t="s">
        <v>75</v>
      </c>
      <c r="T47" t="s">
        <v>62</v>
      </c>
      <c r="U47" t="s">
        <v>62</v>
      </c>
      <c r="X47" t="s">
        <v>75</v>
      </c>
      <c r="Y47" t="s">
        <v>62</v>
      </c>
      <c r="Z47" t="s">
        <v>62</v>
      </c>
      <c r="AD47" t="s">
        <v>62</v>
      </c>
      <c r="AF47" t="s">
        <v>62</v>
      </c>
      <c r="AI47" s="646">
        <v>45198</v>
      </c>
      <c r="AJ47" t="s">
        <v>63</v>
      </c>
    </row>
    <row r="48" spans="1:36" ht="26.4" x14ac:dyDescent="0.25">
      <c r="A48">
        <v>145</v>
      </c>
      <c r="B48">
        <v>30350</v>
      </c>
      <c r="C48" t="s">
        <v>64</v>
      </c>
      <c r="D48" t="s">
        <v>114</v>
      </c>
      <c r="E48" t="s">
        <v>56</v>
      </c>
      <c r="F48" t="s">
        <v>57</v>
      </c>
      <c r="G48" t="s">
        <v>11</v>
      </c>
      <c r="I48">
        <v>1120</v>
      </c>
      <c r="J48" t="s">
        <v>58</v>
      </c>
      <c r="K48" s="653" t="s">
        <v>59</v>
      </c>
      <c r="L48" t="s">
        <v>75</v>
      </c>
      <c r="M48" t="s">
        <v>60</v>
      </c>
      <c r="N48" t="s">
        <v>75</v>
      </c>
      <c r="Q48" t="s">
        <v>75</v>
      </c>
      <c r="R48" t="s">
        <v>75</v>
      </c>
      <c r="S48" t="s">
        <v>75</v>
      </c>
      <c r="T48" t="s">
        <v>68</v>
      </c>
      <c r="U48" t="s">
        <v>68</v>
      </c>
      <c r="X48" t="s">
        <v>75</v>
      </c>
      <c r="Y48" t="s">
        <v>68</v>
      </c>
      <c r="Z48" t="s">
        <v>68</v>
      </c>
      <c r="AD48" t="s">
        <v>68</v>
      </c>
      <c r="AF48" t="s">
        <v>68</v>
      </c>
      <c r="AI48" s="646">
        <v>45198</v>
      </c>
      <c r="AJ48" t="s">
        <v>63</v>
      </c>
    </row>
    <row r="49" spans="1:36" ht="26.4" x14ac:dyDescent="0.25">
      <c r="A49">
        <v>144</v>
      </c>
      <c r="B49">
        <v>30562</v>
      </c>
      <c r="C49" t="s">
        <v>54</v>
      </c>
      <c r="D49" t="s">
        <v>115</v>
      </c>
      <c r="E49" t="s">
        <v>56</v>
      </c>
      <c r="F49" t="s">
        <v>57</v>
      </c>
      <c r="G49" t="s">
        <v>11</v>
      </c>
      <c r="H49" s="646">
        <v>44715</v>
      </c>
      <c r="I49">
        <v>1117</v>
      </c>
      <c r="J49" t="s">
        <v>58</v>
      </c>
      <c r="K49" s="653" t="s">
        <v>59</v>
      </c>
      <c r="L49" t="s">
        <v>75</v>
      </c>
      <c r="M49" t="s">
        <v>60</v>
      </c>
      <c r="N49" t="s">
        <v>75</v>
      </c>
      <c r="O49" s="646">
        <v>45086</v>
      </c>
      <c r="Q49" t="s">
        <v>75</v>
      </c>
      <c r="R49" t="s">
        <v>75</v>
      </c>
      <c r="S49" t="s">
        <v>75</v>
      </c>
      <c r="T49" t="s">
        <v>62</v>
      </c>
      <c r="U49" t="s">
        <v>62</v>
      </c>
      <c r="X49" t="s">
        <v>75</v>
      </c>
      <c r="Y49" t="s">
        <v>62</v>
      </c>
      <c r="Z49" t="s">
        <v>62</v>
      </c>
      <c r="AD49" t="s">
        <v>62</v>
      </c>
      <c r="AF49" t="s">
        <v>62</v>
      </c>
    </row>
    <row r="50" spans="1:36" ht="26.4" x14ac:dyDescent="0.25">
      <c r="A50">
        <v>143</v>
      </c>
      <c r="B50">
        <v>30562</v>
      </c>
      <c r="C50" t="s">
        <v>64</v>
      </c>
      <c r="D50" t="s">
        <v>116</v>
      </c>
      <c r="E50" t="s">
        <v>56</v>
      </c>
      <c r="F50" t="s">
        <v>57</v>
      </c>
      <c r="G50" t="s">
        <v>11</v>
      </c>
      <c r="H50" s="646">
        <v>44715</v>
      </c>
      <c r="I50">
        <v>1116</v>
      </c>
      <c r="J50" t="s">
        <v>58</v>
      </c>
      <c r="K50" s="653" t="s">
        <v>59</v>
      </c>
      <c r="L50" t="s">
        <v>75</v>
      </c>
      <c r="M50" t="s">
        <v>60</v>
      </c>
      <c r="N50" t="s">
        <v>75</v>
      </c>
      <c r="O50" s="646">
        <v>45086</v>
      </c>
      <c r="Q50" t="s">
        <v>75</v>
      </c>
      <c r="R50" t="s">
        <v>75</v>
      </c>
      <c r="S50" t="s">
        <v>75</v>
      </c>
      <c r="T50" t="s">
        <v>68</v>
      </c>
      <c r="U50" t="s">
        <v>68</v>
      </c>
      <c r="X50" t="s">
        <v>75</v>
      </c>
      <c r="Y50" t="s">
        <v>68</v>
      </c>
      <c r="Z50" t="s">
        <v>68</v>
      </c>
      <c r="AD50" t="s">
        <v>68</v>
      </c>
      <c r="AF50" t="s">
        <v>68</v>
      </c>
    </row>
    <row r="51" spans="1:36" ht="26.4" x14ac:dyDescent="0.25">
      <c r="A51">
        <v>140</v>
      </c>
      <c r="B51">
        <v>37580</v>
      </c>
      <c r="C51" t="s">
        <v>54</v>
      </c>
      <c r="D51" t="s">
        <v>117</v>
      </c>
      <c r="E51" t="s">
        <v>56</v>
      </c>
      <c r="F51" t="s">
        <v>57</v>
      </c>
      <c r="G51" t="s">
        <v>11</v>
      </c>
      <c r="H51" s="646">
        <v>44336</v>
      </c>
      <c r="I51">
        <v>1039</v>
      </c>
      <c r="J51" t="s">
        <v>58</v>
      </c>
      <c r="K51" s="653" t="s">
        <v>59</v>
      </c>
      <c r="L51" t="s">
        <v>75</v>
      </c>
      <c r="M51" t="s">
        <v>60</v>
      </c>
      <c r="N51" t="s">
        <v>75</v>
      </c>
      <c r="O51" s="646">
        <v>45131</v>
      </c>
      <c r="Q51" t="s">
        <v>75</v>
      </c>
      <c r="R51" t="s">
        <v>75</v>
      </c>
      <c r="T51" t="s">
        <v>62</v>
      </c>
      <c r="U51" t="s">
        <v>62</v>
      </c>
      <c r="X51" t="s">
        <v>75</v>
      </c>
      <c r="Z51" t="s">
        <v>62</v>
      </c>
      <c r="AD51" t="s">
        <v>62</v>
      </c>
      <c r="AI51" s="646">
        <v>45162</v>
      </c>
      <c r="AJ51" t="s">
        <v>63</v>
      </c>
    </row>
    <row r="52" spans="1:36" ht="26.4" x14ac:dyDescent="0.25">
      <c r="A52">
        <v>139</v>
      </c>
      <c r="B52">
        <v>37594</v>
      </c>
      <c r="C52" t="s">
        <v>54</v>
      </c>
      <c r="D52" t="s">
        <v>118</v>
      </c>
      <c r="E52" t="s">
        <v>56</v>
      </c>
      <c r="F52" t="s">
        <v>57</v>
      </c>
      <c r="G52" t="s">
        <v>11</v>
      </c>
      <c r="H52" s="646">
        <v>44367</v>
      </c>
      <c r="I52">
        <v>937</v>
      </c>
      <c r="J52" t="s">
        <v>58</v>
      </c>
      <c r="K52" s="653" t="s">
        <v>59</v>
      </c>
      <c r="L52" t="s">
        <v>75</v>
      </c>
      <c r="O52" s="646">
        <v>45103</v>
      </c>
      <c r="Q52" t="s">
        <v>75</v>
      </c>
      <c r="R52" t="s">
        <v>75</v>
      </c>
      <c r="T52" t="s">
        <v>62</v>
      </c>
      <c r="U52" t="s">
        <v>62</v>
      </c>
      <c r="X52" t="s">
        <v>75</v>
      </c>
      <c r="Z52" t="s">
        <v>62</v>
      </c>
      <c r="AD52" t="s">
        <v>62</v>
      </c>
      <c r="AI52" s="646">
        <v>45162</v>
      </c>
      <c r="AJ52" t="s">
        <v>63</v>
      </c>
    </row>
    <row r="53" spans="1:36" ht="26.4" x14ac:dyDescent="0.25">
      <c r="A53">
        <v>138</v>
      </c>
      <c r="B53">
        <v>37594</v>
      </c>
      <c r="C53" t="s">
        <v>64</v>
      </c>
      <c r="D53" t="s">
        <v>119</v>
      </c>
      <c r="E53" t="s">
        <v>56</v>
      </c>
      <c r="F53" t="s">
        <v>57</v>
      </c>
      <c r="G53" t="s">
        <v>11</v>
      </c>
      <c r="H53" s="646">
        <v>44367</v>
      </c>
      <c r="I53">
        <v>936</v>
      </c>
      <c r="J53" t="s">
        <v>58</v>
      </c>
      <c r="K53" s="653" t="s">
        <v>59</v>
      </c>
      <c r="L53" t="s">
        <v>75</v>
      </c>
      <c r="O53" s="646">
        <v>45103</v>
      </c>
      <c r="Q53" t="s">
        <v>75</v>
      </c>
      <c r="R53" t="s">
        <v>75</v>
      </c>
      <c r="T53" t="s">
        <v>68</v>
      </c>
      <c r="U53" t="s">
        <v>68</v>
      </c>
      <c r="X53" t="s">
        <v>75</v>
      </c>
      <c r="Z53" t="s">
        <v>68</v>
      </c>
      <c r="AD53" t="s">
        <v>68</v>
      </c>
      <c r="AI53" s="646">
        <v>45175</v>
      </c>
      <c r="AJ53" t="s">
        <v>63</v>
      </c>
    </row>
    <row r="54" spans="1:36" ht="26.4" x14ac:dyDescent="0.25">
      <c r="A54">
        <v>137</v>
      </c>
      <c r="B54">
        <v>37580</v>
      </c>
      <c r="C54" t="s">
        <v>64</v>
      </c>
      <c r="D54" t="s">
        <v>120</v>
      </c>
      <c r="E54" t="s">
        <v>56</v>
      </c>
      <c r="F54" t="s">
        <v>57</v>
      </c>
      <c r="G54" t="s">
        <v>11</v>
      </c>
      <c r="H54" s="646">
        <v>44336</v>
      </c>
      <c r="I54">
        <v>780</v>
      </c>
      <c r="J54" t="s">
        <v>58</v>
      </c>
      <c r="K54" s="653" t="s">
        <v>59</v>
      </c>
      <c r="L54" t="s">
        <v>121</v>
      </c>
      <c r="M54" t="s">
        <v>60</v>
      </c>
      <c r="N54" t="s">
        <v>75</v>
      </c>
      <c r="O54" s="646">
        <v>45131</v>
      </c>
      <c r="Q54" t="s">
        <v>75</v>
      </c>
      <c r="R54" t="s">
        <v>75</v>
      </c>
      <c r="T54" t="s">
        <v>68</v>
      </c>
      <c r="U54" t="s">
        <v>68</v>
      </c>
      <c r="X54" t="s">
        <v>75</v>
      </c>
      <c r="Z54" t="s">
        <v>68</v>
      </c>
      <c r="AD54" t="s">
        <v>68</v>
      </c>
      <c r="AF54" t="s">
        <v>68</v>
      </c>
      <c r="AI54" s="646">
        <v>45175</v>
      </c>
      <c r="AJ54" t="s">
        <v>63</v>
      </c>
    </row>
    <row r="55" spans="1:36" ht="26.4" x14ac:dyDescent="0.25">
      <c r="A55">
        <v>136</v>
      </c>
      <c r="B55">
        <v>37581</v>
      </c>
      <c r="C55" t="s">
        <v>64</v>
      </c>
      <c r="D55" t="s">
        <v>122</v>
      </c>
      <c r="E55" t="s">
        <v>56</v>
      </c>
      <c r="F55" t="s">
        <v>57</v>
      </c>
      <c r="G55" t="s">
        <v>11</v>
      </c>
      <c r="H55" s="646">
        <v>44334</v>
      </c>
      <c r="I55">
        <v>757</v>
      </c>
      <c r="J55" t="s">
        <v>58</v>
      </c>
      <c r="K55" s="653" t="s">
        <v>59</v>
      </c>
      <c r="L55" t="s">
        <v>63</v>
      </c>
      <c r="M55" t="s">
        <v>60</v>
      </c>
      <c r="N55" t="s">
        <v>75</v>
      </c>
      <c r="O55" s="646">
        <v>45145</v>
      </c>
      <c r="Q55" t="s">
        <v>75</v>
      </c>
      <c r="R55" t="s">
        <v>75</v>
      </c>
      <c r="T55" t="s">
        <v>62</v>
      </c>
      <c r="U55" t="s">
        <v>62</v>
      </c>
      <c r="Z55" t="s">
        <v>62</v>
      </c>
      <c r="AD55" t="s">
        <v>62</v>
      </c>
      <c r="AI55" s="646">
        <v>45232</v>
      </c>
      <c r="AJ55" t="s">
        <v>63</v>
      </c>
    </row>
    <row r="56" spans="1:36" ht="26.4" x14ac:dyDescent="0.25">
      <c r="A56">
        <v>135</v>
      </c>
      <c r="B56">
        <v>37581</v>
      </c>
      <c r="C56" t="s">
        <v>54</v>
      </c>
      <c r="D56" t="s">
        <v>123</v>
      </c>
      <c r="E56" t="s">
        <v>56</v>
      </c>
      <c r="F56" t="s">
        <v>57</v>
      </c>
      <c r="G56" t="s">
        <v>11</v>
      </c>
      <c r="H56" s="646">
        <v>44334</v>
      </c>
      <c r="I56">
        <v>755</v>
      </c>
      <c r="J56" t="s">
        <v>58</v>
      </c>
      <c r="K56" s="653" t="s">
        <v>59</v>
      </c>
      <c r="L56" t="s">
        <v>63</v>
      </c>
      <c r="M56" t="s">
        <v>60</v>
      </c>
      <c r="N56" t="s">
        <v>75</v>
      </c>
      <c r="O56" s="646">
        <v>45145</v>
      </c>
      <c r="Q56" t="s">
        <v>75</v>
      </c>
      <c r="R56" t="s">
        <v>75</v>
      </c>
      <c r="T56" t="s">
        <v>68</v>
      </c>
      <c r="U56" t="s">
        <v>68</v>
      </c>
      <c r="Z56" t="s">
        <v>68</v>
      </c>
      <c r="AD56" t="s">
        <v>68</v>
      </c>
      <c r="AI56" s="646">
        <v>45232</v>
      </c>
      <c r="AJ56" t="s">
        <v>63</v>
      </c>
    </row>
    <row r="57" spans="1:36" ht="26.4" x14ac:dyDescent="0.25">
      <c r="A57">
        <v>128</v>
      </c>
      <c r="B57">
        <v>39121</v>
      </c>
      <c r="C57" t="s">
        <v>54</v>
      </c>
      <c r="D57" t="s">
        <v>124</v>
      </c>
      <c r="E57" t="s">
        <v>56</v>
      </c>
      <c r="F57" t="s">
        <v>57</v>
      </c>
      <c r="G57" t="s">
        <v>11</v>
      </c>
      <c r="H57" s="646">
        <v>43840</v>
      </c>
      <c r="I57">
        <v>675</v>
      </c>
      <c r="J57" t="s">
        <v>58</v>
      </c>
      <c r="K57" s="653" t="s">
        <v>59</v>
      </c>
      <c r="L57" s="646">
        <v>44551</v>
      </c>
      <c r="M57" t="s">
        <v>60</v>
      </c>
      <c r="N57" s="646">
        <v>44643</v>
      </c>
      <c r="O57" s="646">
        <v>45072</v>
      </c>
      <c r="Q57" t="s">
        <v>75</v>
      </c>
      <c r="R57" t="s">
        <v>75</v>
      </c>
      <c r="T57" t="s">
        <v>62</v>
      </c>
      <c r="U57" t="s">
        <v>62</v>
      </c>
      <c r="W57" t="s">
        <v>62</v>
      </c>
      <c r="Z57" t="s">
        <v>62</v>
      </c>
      <c r="AD57" t="s">
        <v>62</v>
      </c>
      <c r="AF57" t="s">
        <v>62</v>
      </c>
    </row>
    <row r="58" spans="1:36" ht="26.4" x14ac:dyDescent="0.25">
      <c r="A58">
        <v>127</v>
      </c>
      <c r="B58">
        <v>39121</v>
      </c>
      <c r="C58" t="s">
        <v>64</v>
      </c>
      <c r="D58" t="s">
        <v>125</v>
      </c>
      <c r="E58" t="s">
        <v>56</v>
      </c>
      <c r="F58" t="s">
        <v>57</v>
      </c>
      <c r="G58" t="s">
        <v>11</v>
      </c>
      <c r="H58" s="646">
        <v>43840</v>
      </c>
      <c r="I58">
        <v>670</v>
      </c>
      <c r="J58" t="s">
        <v>58</v>
      </c>
      <c r="K58" s="653" t="s">
        <v>59</v>
      </c>
      <c r="L58" s="646">
        <v>44551</v>
      </c>
      <c r="M58" t="s">
        <v>60</v>
      </c>
      <c r="N58" s="646">
        <v>44549</v>
      </c>
      <c r="O58" s="646">
        <v>45072</v>
      </c>
      <c r="Q58" t="s">
        <v>75</v>
      </c>
      <c r="R58" t="s">
        <v>75</v>
      </c>
      <c r="T58" t="s">
        <v>68</v>
      </c>
      <c r="U58" t="s">
        <v>68</v>
      </c>
      <c r="W58" t="s">
        <v>68</v>
      </c>
      <c r="Z58" t="s">
        <v>68</v>
      </c>
      <c r="AD58" t="s">
        <v>68</v>
      </c>
      <c r="AF58" t="s">
        <v>68</v>
      </c>
    </row>
    <row r="59" spans="1:36" ht="26.4" x14ac:dyDescent="0.25">
      <c r="A59">
        <v>126</v>
      </c>
      <c r="B59">
        <v>39119</v>
      </c>
      <c r="C59" t="s">
        <v>54</v>
      </c>
      <c r="D59" t="s">
        <v>126</v>
      </c>
      <c r="E59" t="s">
        <v>56</v>
      </c>
      <c r="F59" t="s">
        <v>57</v>
      </c>
      <c r="G59" t="s">
        <v>11</v>
      </c>
      <c r="H59" s="646">
        <v>43830</v>
      </c>
      <c r="I59">
        <v>657</v>
      </c>
      <c r="J59" t="s">
        <v>58</v>
      </c>
      <c r="K59" s="653" t="s">
        <v>59</v>
      </c>
      <c r="L59" s="646">
        <v>44256</v>
      </c>
      <c r="M59" t="s">
        <v>60</v>
      </c>
      <c r="N59" s="646">
        <v>44362</v>
      </c>
      <c r="O59" s="646">
        <v>45043</v>
      </c>
      <c r="P59" s="646">
        <v>44722</v>
      </c>
      <c r="Q59" t="s">
        <v>75</v>
      </c>
      <c r="R59" t="s">
        <v>75</v>
      </c>
      <c r="T59" t="s">
        <v>62</v>
      </c>
      <c r="U59" t="s">
        <v>62</v>
      </c>
      <c r="Z59" t="s">
        <v>62</v>
      </c>
      <c r="AD59" t="s">
        <v>62</v>
      </c>
      <c r="AF59" t="s">
        <v>62</v>
      </c>
      <c r="AI59" s="646">
        <v>45229</v>
      </c>
      <c r="AJ59" t="s">
        <v>63</v>
      </c>
    </row>
    <row r="60" spans="1:36" ht="26.4" x14ac:dyDescent="0.25">
      <c r="A60">
        <v>125</v>
      </c>
      <c r="B60">
        <v>39119</v>
      </c>
      <c r="C60" t="s">
        <v>64</v>
      </c>
      <c r="D60" t="s">
        <v>127</v>
      </c>
      <c r="E60" t="s">
        <v>56</v>
      </c>
      <c r="F60" t="s">
        <v>57</v>
      </c>
      <c r="G60" t="s">
        <v>11</v>
      </c>
      <c r="H60" s="646">
        <v>43830</v>
      </c>
      <c r="I60">
        <v>660</v>
      </c>
      <c r="J60" t="s">
        <v>58</v>
      </c>
      <c r="K60" s="653" t="s">
        <v>59</v>
      </c>
      <c r="L60" s="646">
        <v>44256</v>
      </c>
      <c r="M60" t="s">
        <v>60</v>
      </c>
      <c r="N60" s="646">
        <v>44362</v>
      </c>
      <c r="O60" s="646">
        <v>45043</v>
      </c>
      <c r="P60" s="646">
        <v>44722</v>
      </c>
      <c r="Q60" t="s">
        <v>75</v>
      </c>
      <c r="R60" t="s">
        <v>75</v>
      </c>
      <c r="T60" t="s">
        <v>68</v>
      </c>
      <c r="U60" t="s">
        <v>68</v>
      </c>
      <c r="Z60" t="s">
        <v>68</v>
      </c>
      <c r="AD60" t="s">
        <v>68</v>
      </c>
      <c r="AF60" t="s">
        <v>68</v>
      </c>
      <c r="AI60" s="646">
        <v>45229</v>
      </c>
      <c r="AJ60" t="s">
        <v>63</v>
      </c>
    </row>
    <row r="61" spans="1:36" ht="26.4" x14ac:dyDescent="0.25">
      <c r="A61">
        <v>118</v>
      </c>
      <c r="B61">
        <v>37547</v>
      </c>
      <c r="C61" t="s">
        <v>54</v>
      </c>
      <c r="D61" t="s">
        <v>128</v>
      </c>
      <c r="E61" t="s">
        <v>56</v>
      </c>
      <c r="F61" t="s">
        <v>57</v>
      </c>
      <c r="G61" t="s">
        <v>11</v>
      </c>
      <c r="H61" s="646">
        <v>44285</v>
      </c>
      <c r="I61">
        <v>915</v>
      </c>
      <c r="J61" t="s">
        <v>58</v>
      </c>
      <c r="K61" s="653" t="s">
        <v>59</v>
      </c>
      <c r="L61" t="s">
        <v>75</v>
      </c>
      <c r="M61" t="s">
        <v>60</v>
      </c>
      <c r="N61" s="646">
        <v>44674</v>
      </c>
      <c r="O61" s="646">
        <v>45089</v>
      </c>
      <c r="Q61" t="s">
        <v>75</v>
      </c>
      <c r="R61" t="s">
        <v>75</v>
      </c>
      <c r="T61" t="s">
        <v>62</v>
      </c>
      <c r="U61" t="s">
        <v>62</v>
      </c>
      <c r="X61" t="s">
        <v>75</v>
      </c>
      <c r="Z61" t="s">
        <v>62</v>
      </c>
      <c r="AD61" t="s">
        <v>62</v>
      </c>
      <c r="AF61" t="s">
        <v>62</v>
      </c>
    </row>
    <row r="62" spans="1:36" ht="26.4" x14ac:dyDescent="0.25">
      <c r="A62">
        <v>117</v>
      </c>
      <c r="B62">
        <v>37547</v>
      </c>
      <c r="C62" t="s">
        <v>64</v>
      </c>
      <c r="D62" t="s">
        <v>129</v>
      </c>
      <c r="E62" t="s">
        <v>56</v>
      </c>
      <c r="F62" t="s">
        <v>57</v>
      </c>
      <c r="G62" t="s">
        <v>11</v>
      </c>
      <c r="H62" s="646">
        <v>44285</v>
      </c>
      <c r="I62">
        <v>1012</v>
      </c>
      <c r="J62" t="s">
        <v>58</v>
      </c>
      <c r="K62" s="653" t="s">
        <v>59</v>
      </c>
      <c r="L62" t="s">
        <v>75</v>
      </c>
      <c r="M62" t="s">
        <v>60</v>
      </c>
      <c r="N62" s="646">
        <v>44615</v>
      </c>
      <c r="O62" s="646">
        <v>45089</v>
      </c>
      <c r="Q62" t="s">
        <v>75</v>
      </c>
      <c r="R62" t="s">
        <v>75</v>
      </c>
      <c r="T62" t="s">
        <v>68</v>
      </c>
      <c r="U62" t="s">
        <v>68</v>
      </c>
      <c r="X62" t="s">
        <v>75</v>
      </c>
      <c r="Z62" t="s">
        <v>68</v>
      </c>
      <c r="AD62" t="s">
        <v>68</v>
      </c>
      <c r="AF62" t="s">
        <v>68</v>
      </c>
      <c r="AI62" s="646">
        <v>45092</v>
      </c>
      <c r="AJ62" t="s">
        <v>63</v>
      </c>
    </row>
    <row r="63" spans="1:36" ht="26.4" x14ac:dyDescent="0.25">
      <c r="A63">
        <v>116</v>
      </c>
      <c r="B63">
        <v>37514</v>
      </c>
      <c r="C63" t="s">
        <v>54</v>
      </c>
      <c r="D63" t="s">
        <v>130</v>
      </c>
      <c r="E63" t="s">
        <v>56</v>
      </c>
      <c r="F63" t="s">
        <v>57</v>
      </c>
      <c r="G63" t="s">
        <v>11</v>
      </c>
      <c r="H63" s="646">
        <v>44195</v>
      </c>
      <c r="I63">
        <v>759</v>
      </c>
      <c r="J63" t="s">
        <v>58</v>
      </c>
      <c r="K63" s="653" t="s">
        <v>59</v>
      </c>
      <c r="L63" s="646">
        <v>44327</v>
      </c>
      <c r="M63" t="s">
        <v>60</v>
      </c>
      <c r="N63" s="646">
        <v>44346</v>
      </c>
      <c r="Q63" t="s">
        <v>75</v>
      </c>
      <c r="R63" t="s">
        <v>75</v>
      </c>
      <c r="T63" t="s">
        <v>62</v>
      </c>
      <c r="U63" t="s">
        <v>62</v>
      </c>
      <c r="X63" t="s">
        <v>75</v>
      </c>
      <c r="Z63" t="s">
        <v>62</v>
      </c>
      <c r="AD63" t="s">
        <v>62</v>
      </c>
      <c r="AF63" t="s">
        <v>62</v>
      </c>
      <c r="AG63" s="646">
        <v>45229</v>
      </c>
      <c r="AI63" s="646">
        <v>45227</v>
      </c>
      <c r="AJ63" t="s">
        <v>63</v>
      </c>
    </row>
    <row r="64" spans="1:36" ht="26.4" x14ac:dyDescent="0.25">
      <c r="A64">
        <v>115</v>
      </c>
      <c r="B64">
        <v>37514</v>
      </c>
      <c r="C64" t="s">
        <v>64</v>
      </c>
      <c r="D64" t="s">
        <v>131</v>
      </c>
      <c r="E64" t="s">
        <v>56</v>
      </c>
      <c r="F64" t="s">
        <v>57</v>
      </c>
      <c r="G64" t="s">
        <v>11</v>
      </c>
      <c r="H64" s="646">
        <v>44195</v>
      </c>
      <c r="I64">
        <v>925</v>
      </c>
      <c r="J64" t="s">
        <v>58</v>
      </c>
      <c r="K64" s="653" t="s">
        <v>59</v>
      </c>
      <c r="L64" t="s">
        <v>75</v>
      </c>
      <c r="M64" t="s">
        <v>60</v>
      </c>
      <c r="N64" s="646">
        <v>44346</v>
      </c>
      <c r="Q64" t="s">
        <v>75</v>
      </c>
      <c r="R64" t="s">
        <v>75</v>
      </c>
      <c r="T64" t="s">
        <v>68</v>
      </c>
      <c r="U64" t="s">
        <v>68</v>
      </c>
      <c r="X64" t="s">
        <v>75</v>
      </c>
      <c r="Z64" t="s">
        <v>68</v>
      </c>
      <c r="AD64" t="s">
        <v>68</v>
      </c>
      <c r="AF64" t="s">
        <v>68</v>
      </c>
      <c r="AG64" s="646">
        <v>45229</v>
      </c>
      <c r="AI64" s="646">
        <v>45227</v>
      </c>
      <c r="AJ64" t="s">
        <v>63</v>
      </c>
    </row>
    <row r="65" spans="1:36" ht="26.4" x14ac:dyDescent="0.25">
      <c r="A65">
        <v>65</v>
      </c>
      <c r="B65">
        <v>37563</v>
      </c>
      <c r="C65" t="s">
        <v>64</v>
      </c>
      <c r="D65" t="s">
        <v>132</v>
      </c>
      <c r="E65" t="s">
        <v>56</v>
      </c>
      <c r="F65" t="s">
        <v>57</v>
      </c>
      <c r="G65" t="s">
        <v>11</v>
      </c>
      <c r="H65" s="646">
        <v>44291</v>
      </c>
      <c r="I65">
        <v>865</v>
      </c>
      <c r="J65" t="s">
        <v>58</v>
      </c>
      <c r="K65" s="653" t="s">
        <v>59</v>
      </c>
      <c r="L65" t="s">
        <v>75</v>
      </c>
      <c r="M65" t="s">
        <v>60</v>
      </c>
      <c r="N65" t="s">
        <v>63</v>
      </c>
      <c r="O65" t="s">
        <v>82</v>
      </c>
      <c r="Q65" t="s">
        <v>75</v>
      </c>
      <c r="R65" t="s">
        <v>75</v>
      </c>
      <c r="T65" t="s">
        <v>68</v>
      </c>
      <c r="X65" t="s">
        <v>75</v>
      </c>
      <c r="Z65" t="s">
        <v>68</v>
      </c>
      <c r="AD65" t="s">
        <v>68</v>
      </c>
      <c r="AF65" t="s">
        <v>68</v>
      </c>
      <c r="AI65" s="646">
        <v>45119</v>
      </c>
    </row>
    <row r="66" spans="1:36" ht="26.4" x14ac:dyDescent="0.25">
      <c r="A66">
        <v>66</v>
      </c>
      <c r="B66">
        <v>37563</v>
      </c>
      <c r="C66" t="s">
        <v>54</v>
      </c>
      <c r="D66" t="s">
        <v>133</v>
      </c>
      <c r="E66" t="s">
        <v>56</v>
      </c>
      <c r="F66" t="s">
        <v>57</v>
      </c>
      <c r="G66" t="s">
        <v>11</v>
      </c>
      <c r="H66" s="646">
        <v>44291</v>
      </c>
      <c r="I66">
        <v>864</v>
      </c>
      <c r="J66" t="s">
        <v>58</v>
      </c>
      <c r="K66" s="653" t="s">
        <v>59</v>
      </c>
      <c r="L66" t="s">
        <v>75</v>
      </c>
      <c r="M66" t="s">
        <v>60</v>
      </c>
      <c r="N66" t="s">
        <v>121</v>
      </c>
      <c r="O66" t="s">
        <v>82</v>
      </c>
      <c r="Q66" t="s">
        <v>75</v>
      </c>
      <c r="R66" t="s">
        <v>75</v>
      </c>
      <c r="T66" t="s">
        <v>62</v>
      </c>
      <c r="X66" t="s">
        <v>75</v>
      </c>
      <c r="Z66" t="s">
        <v>62</v>
      </c>
      <c r="AD66" t="s">
        <v>62</v>
      </c>
      <c r="AF66" t="s">
        <v>62</v>
      </c>
      <c r="AI66" s="646">
        <v>45119</v>
      </c>
    </row>
    <row r="67" spans="1:36" ht="26.4" x14ac:dyDescent="0.25">
      <c r="A67">
        <v>114</v>
      </c>
      <c r="B67">
        <v>37301</v>
      </c>
      <c r="C67" t="s">
        <v>54</v>
      </c>
      <c r="D67" t="s">
        <v>134</v>
      </c>
      <c r="E67" t="s">
        <v>56</v>
      </c>
      <c r="F67" t="s">
        <v>57</v>
      </c>
      <c r="G67" t="s">
        <v>11</v>
      </c>
      <c r="H67" s="646">
        <v>43815</v>
      </c>
      <c r="I67">
        <v>557</v>
      </c>
      <c r="J67" t="s">
        <v>58</v>
      </c>
      <c r="K67" s="653" t="s">
        <v>59</v>
      </c>
      <c r="L67" s="646">
        <v>44180</v>
      </c>
      <c r="M67" t="s">
        <v>60</v>
      </c>
      <c r="N67" s="646">
        <v>44180</v>
      </c>
      <c r="O67" s="646">
        <v>45119</v>
      </c>
      <c r="Q67" t="s">
        <v>75</v>
      </c>
      <c r="R67" t="s">
        <v>75</v>
      </c>
      <c r="T67" t="s">
        <v>62</v>
      </c>
      <c r="U67" t="s">
        <v>62</v>
      </c>
      <c r="Y67" t="s">
        <v>62</v>
      </c>
      <c r="Z67" t="s">
        <v>62</v>
      </c>
      <c r="AB67" t="s">
        <v>135</v>
      </c>
      <c r="AC67" t="s">
        <v>136</v>
      </c>
      <c r="AD67" t="s">
        <v>62</v>
      </c>
      <c r="AF67" t="s">
        <v>62</v>
      </c>
    </row>
    <row r="68" spans="1:36" ht="26.4" x14ac:dyDescent="0.25">
      <c r="A68">
        <v>113</v>
      </c>
      <c r="B68">
        <v>37301</v>
      </c>
      <c r="C68" t="s">
        <v>64</v>
      </c>
      <c r="D68" t="s">
        <v>137</v>
      </c>
      <c r="E68" t="s">
        <v>56</v>
      </c>
      <c r="F68" t="s">
        <v>57</v>
      </c>
      <c r="G68" t="s">
        <v>11</v>
      </c>
      <c r="H68" s="646">
        <v>43815</v>
      </c>
      <c r="I68">
        <v>574</v>
      </c>
      <c r="J68" t="s">
        <v>58</v>
      </c>
      <c r="K68" s="653" t="s">
        <v>59</v>
      </c>
      <c r="L68" s="646">
        <v>44180</v>
      </c>
      <c r="M68" t="s">
        <v>60</v>
      </c>
      <c r="N68" s="646">
        <v>44180</v>
      </c>
      <c r="O68" s="646">
        <v>45119</v>
      </c>
      <c r="Q68" t="s">
        <v>75</v>
      </c>
      <c r="R68" t="s">
        <v>75</v>
      </c>
      <c r="T68" t="s">
        <v>68</v>
      </c>
      <c r="U68" t="s">
        <v>68</v>
      </c>
      <c r="Y68" t="s">
        <v>68</v>
      </c>
      <c r="Z68" t="s">
        <v>68</v>
      </c>
      <c r="AD68" t="s">
        <v>68</v>
      </c>
      <c r="AF68" t="s">
        <v>68</v>
      </c>
    </row>
    <row r="69" spans="1:36" ht="26.4" x14ac:dyDescent="0.25">
      <c r="A69">
        <v>111</v>
      </c>
      <c r="B69">
        <v>37213</v>
      </c>
      <c r="C69" t="s">
        <v>64</v>
      </c>
      <c r="D69" t="s">
        <v>138</v>
      </c>
      <c r="E69" t="s">
        <v>56</v>
      </c>
      <c r="F69" t="s">
        <v>57</v>
      </c>
      <c r="G69" t="s">
        <v>11</v>
      </c>
      <c r="H69" s="646">
        <v>43670</v>
      </c>
      <c r="I69">
        <v>509</v>
      </c>
      <c r="J69" t="s">
        <v>58</v>
      </c>
      <c r="K69" s="653" t="s">
        <v>59</v>
      </c>
      <c r="L69" s="646">
        <v>44255</v>
      </c>
      <c r="M69" t="s">
        <v>60</v>
      </c>
      <c r="N69" s="646">
        <v>44199</v>
      </c>
      <c r="O69" s="646">
        <v>45076</v>
      </c>
      <c r="Q69" t="s">
        <v>75</v>
      </c>
      <c r="R69" t="s">
        <v>68</v>
      </c>
      <c r="T69" t="s">
        <v>68</v>
      </c>
      <c r="U69" t="s">
        <v>68</v>
      </c>
      <c r="Z69" t="s">
        <v>68</v>
      </c>
      <c r="AD69" t="s">
        <v>68</v>
      </c>
      <c r="AF69" t="s">
        <v>68</v>
      </c>
      <c r="AI69" s="646">
        <v>45134</v>
      </c>
      <c r="AJ69" t="s">
        <v>63</v>
      </c>
    </row>
    <row r="70" spans="1:36" ht="26.4" x14ac:dyDescent="0.25">
      <c r="A70">
        <v>109</v>
      </c>
      <c r="B70">
        <v>37211</v>
      </c>
      <c r="C70" t="s">
        <v>64</v>
      </c>
      <c r="D70" t="s">
        <v>139</v>
      </c>
      <c r="E70" t="s">
        <v>56</v>
      </c>
      <c r="F70" t="s">
        <v>57</v>
      </c>
      <c r="G70" t="s">
        <v>11</v>
      </c>
      <c r="H70" s="646">
        <v>43669</v>
      </c>
      <c r="I70">
        <v>515</v>
      </c>
      <c r="J70" t="s">
        <v>58</v>
      </c>
      <c r="K70" s="653" t="s">
        <v>59</v>
      </c>
      <c r="L70" s="646">
        <v>44189</v>
      </c>
      <c r="M70" t="s">
        <v>60</v>
      </c>
      <c r="N70" s="646">
        <v>44189</v>
      </c>
      <c r="O70" s="646">
        <v>45066</v>
      </c>
      <c r="Q70" t="s">
        <v>75</v>
      </c>
      <c r="R70" t="s">
        <v>68</v>
      </c>
      <c r="S70" t="s">
        <v>68</v>
      </c>
      <c r="T70" t="s">
        <v>140</v>
      </c>
      <c r="U70" t="s">
        <v>68</v>
      </c>
      <c r="Y70" t="s">
        <v>68</v>
      </c>
      <c r="Z70" t="s">
        <v>68</v>
      </c>
      <c r="AD70" t="s">
        <v>68</v>
      </c>
      <c r="AF70" t="s">
        <v>68</v>
      </c>
      <c r="AI70" s="646">
        <v>45164</v>
      </c>
      <c r="AJ70" t="s">
        <v>63</v>
      </c>
    </row>
    <row r="71" spans="1:36" ht="26.4" x14ac:dyDescent="0.25">
      <c r="A71">
        <v>102</v>
      </c>
      <c r="B71">
        <v>37205</v>
      </c>
      <c r="C71" t="s">
        <v>54</v>
      </c>
      <c r="D71" t="s">
        <v>141</v>
      </c>
      <c r="E71" t="s">
        <v>56</v>
      </c>
      <c r="F71" t="s">
        <v>57</v>
      </c>
      <c r="G71" t="s">
        <v>11</v>
      </c>
      <c r="H71" s="646">
        <v>43639</v>
      </c>
      <c r="I71">
        <v>511</v>
      </c>
      <c r="J71" t="s">
        <v>58</v>
      </c>
      <c r="K71" s="653" t="s">
        <v>59</v>
      </c>
      <c r="L71" s="646">
        <v>44558</v>
      </c>
      <c r="M71" t="s">
        <v>60</v>
      </c>
      <c r="N71" s="646">
        <v>44800</v>
      </c>
      <c r="O71" s="646">
        <v>45050</v>
      </c>
      <c r="Q71" t="s">
        <v>75</v>
      </c>
      <c r="R71" t="s">
        <v>62</v>
      </c>
      <c r="T71" t="s">
        <v>62</v>
      </c>
      <c r="U71" t="s">
        <v>62</v>
      </c>
      <c r="Y71" t="s">
        <v>62</v>
      </c>
      <c r="Z71" t="s">
        <v>62</v>
      </c>
      <c r="AD71" t="s">
        <v>62</v>
      </c>
      <c r="AF71" t="s">
        <v>62</v>
      </c>
      <c r="AI71" t="s">
        <v>91</v>
      </c>
      <c r="AJ71" t="s">
        <v>63</v>
      </c>
    </row>
    <row r="72" spans="1:36" ht="26.4" x14ac:dyDescent="0.25">
      <c r="A72">
        <v>104</v>
      </c>
      <c r="B72">
        <v>37207</v>
      </c>
      <c r="C72" t="s">
        <v>54</v>
      </c>
      <c r="D72" t="s">
        <v>142</v>
      </c>
      <c r="E72" t="s">
        <v>56</v>
      </c>
      <c r="F72" t="s">
        <v>57</v>
      </c>
      <c r="G72" t="s">
        <v>11</v>
      </c>
      <c r="H72" s="646">
        <v>43640</v>
      </c>
      <c r="I72">
        <v>510</v>
      </c>
      <c r="J72" t="s">
        <v>58</v>
      </c>
      <c r="K72" s="653" t="s">
        <v>59</v>
      </c>
      <c r="L72" s="646">
        <v>44217</v>
      </c>
      <c r="M72" t="s">
        <v>60</v>
      </c>
      <c r="N72" s="646">
        <v>44217</v>
      </c>
      <c r="Q72" t="s">
        <v>75</v>
      </c>
      <c r="R72" t="s">
        <v>62</v>
      </c>
      <c r="T72" t="s">
        <v>62</v>
      </c>
      <c r="U72" t="s">
        <v>62</v>
      </c>
      <c r="Y72" t="s">
        <v>62</v>
      </c>
      <c r="Z72" t="s">
        <v>62</v>
      </c>
      <c r="AD72" t="s">
        <v>62</v>
      </c>
      <c r="AF72" t="s">
        <v>62</v>
      </c>
      <c r="AI72" s="646">
        <v>45174</v>
      </c>
      <c r="AJ72" t="s">
        <v>63</v>
      </c>
    </row>
    <row r="73" spans="1:36" ht="26.4" x14ac:dyDescent="0.25">
      <c r="A73">
        <v>106</v>
      </c>
      <c r="B73">
        <v>37208</v>
      </c>
      <c r="C73" t="s">
        <v>54</v>
      </c>
      <c r="D73" t="s">
        <v>143</v>
      </c>
      <c r="E73" t="s">
        <v>56</v>
      </c>
      <c r="F73" t="s">
        <v>57</v>
      </c>
      <c r="G73" t="s">
        <v>11</v>
      </c>
      <c r="H73" s="646">
        <v>43641</v>
      </c>
      <c r="I73">
        <v>519</v>
      </c>
      <c r="J73" t="s">
        <v>58</v>
      </c>
      <c r="K73" s="653" t="s">
        <v>59</v>
      </c>
      <c r="L73" t="s">
        <v>63</v>
      </c>
      <c r="M73" t="s">
        <v>60</v>
      </c>
      <c r="N73" s="646">
        <v>44375</v>
      </c>
      <c r="O73" s="646">
        <v>45114</v>
      </c>
      <c r="Q73" t="s">
        <v>75</v>
      </c>
      <c r="R73" t="s">
        <v>62</v>
      </c>
      <c r="T73" t="s">
        <v>62</v>
      </c>
      <c r="Y73" t="s">
        <v>62</v>
      </c>
      <c r="Z73" t="s">
        <v>62</v>
      </c>
      <c r="AD73" t="s">
        <v>62</v>
      </c>
      <c r="AF73" t="s">
        <v>62</v>
      </c>
      <c r="AI73" s="646">
        <v>45206</v>
      </c>
      <c r="AJ73" t="s">
        <v>63</v>
      </c>
    </row>
    <row r="74" spans="1:36" ht="26.4" x14ac:dyDescent="0.25">
      <c r="A74">
        <v>108</v>
      </c>
      <c r="B74">
        <v>37210</v>
      </c>
      <c r="C74" t="s">
        <v>54</v>
      </c>
      <c r="D74" t="s">
        <v>144</v>
      </c>
      <c r="E74" t="s">
        <v>56</v>
      </c>
      <c r="F74" t="s">
        <v>57</v>
      </c>
      <c r="G74" t="s">
        <v>11</v>
      </c>
      <c r="H74" s="646">
        <v>43669</v>
      </c>
      <c r="I74">
        <v>514</v>
      </c>
      <c r="J74" t="s">
        <v>58</v>
      </c>
      <c r="K74" s="653" t="s">
        <v>59</v>
      </c>
      <c r="L74" s="646">
        <v>44521</v>
      </c>
      <c r="M74" t="s">
        <v>60</v>
      </c>
      <c r="N74" s="646">
        <v>44204</v>
      </c>
      <c r="P74" s="646">
        <v>45048</v>
      </c>
      <c r="Q74" t="s">
        <v>75</v>
      </c>
      <c r="R74" t="s">
        <v>62</v>
      </c>
      <c r="T74" t="s">
        <v>62</v>
      </c>
      <c r="U74" t="s">
        <v>62</v>
      </c>
      <c r="Z74" t="s">
        <v>62</v>
      </c>
      <c r="AD74" t="s">
        <v>62</v>
      </c>
      <c r="AF74" t="s">
        <v>62</v>
      </c>
      <c r="AI74" s="646">
        <v>45135</v>
      </c>
      <c r="AJ74" t="s">
        <v>63</v>
      </c>
    </row>
    <row r="75" spans="1:36" ht="26.4" x14ac:dyDescent="0.25">
      <c r="A75">
        <v>1</v>
      </c>
      <c r="B75">
        <v>30782</v>
      </c>
      <c r="C75" t="s">
        <v>64</v>
      </c>
      <c r="D75" t="s">
        <v>145</v>
      </c>
      <c r="E75" t="s">
        <v>56</v>
      </c>
      <c r="F75" t="s">
        <v>57</v>
      </c>
      <c r="G75" t="s">
        <v>11</v>
      </c>
      <c r="H75" s="646">
        <v>43818</v>
      </c>
      <c r="I75">
        <v>346</v>
      </c>
      <c r="J75" t="s">
        <v>58</v>
      </c>
      <c r="K75" s="653" t="s">
        <v>59</v>
      </c>
      <c r="L75" s="646">
        <v>44266</v>
      </c>
      <c r="M75" t="s">
        <v>60</v>
      </c>
      <c r="N75" s="646">
        <v>44179</v>
      </c>
      <c r="P75" s="646">
        <v>44722</v>
      </c>
      <c r="R75" t="s">
        <v>68</v>
      </c>
      <c r="S75" t="s">
        <v>68</v>
      </c>
      <c r="T75" t="s">
        <v>68</v>
      </c>
      <c r="U75" t="s">
        <v>68</v>
      </c>
      <c r="W75" t="s">
        <v>68</v>
      </c>
      <c r="X75" t="s">
        <v>68</v>
      </c>
      <c r="Y75" t="s">
        <v>68</v>
      </c>
      <c r="Z75" t="s">
        <v>68</v>
      </c>
      <c r="AD75" t="s">
        <v>68</v>
      </c>
      <c r="AF75" t="s">
        <v>68</v>
      </c>
    </row>
    <row r="76" spans="1:36" ht="26.4" x14ac:dyDescent="0.25">
      <c r="A76">
        <v>2</v>
      </c>
      <c r="B76">
        <v>30782</v>
      </c>
      <c r="C76" t="s">
        <v>54</v>
      </c>
      <c r="D76" t="s">
        <v>146</v>
      </c>
      <c r="E76" t="s">
        <v>56</v>
      </c>
      <c r="F76" t="s">
        <v>57</v>
      </c>
      <c r="G76" t="s">
        <v>11</v>
      </c>
      <c r="H76" s="646">
        <v>43818</v>
      </c>
      <c r="I76">
        <v>347</v>
      </c>
      <c r="J76" t="s">
        <v>58</v>
      </c>
      <c r="K76" s="653" t="s">
        <v>59</v>
      </c>
      <c r="L76" s="646">
        <v>44266</v>
      </c>
      <c r="M76" t="s">
        <v>60</v>
      </c>
      <c r="N76" s="646">
        <v>44179</v>
      </c>
      <c r="P76" s="646">
        <v>44722</v>
      </c>
      <c r="R76" t="s">
        <v>62</v>
      </c>
      <c r="S76" t="s">
        <v>62</v>
      </c>
      <c r="T76" t="s">
        <v>62</v>
      </c>
      <c r="U76" t="s">
        <v>62</v>
      </c>
      <c r="W76" t="s">
        <v>62</v>
      </c>
      <c r="X76" t="s">
        <v>62</v>
      </c>
      <c r="Y76" t="s">
        <v>62</v>
      </c>
      <c r="Z76" t="s">
        <v>62</v>
      </c>
      <c r="AD76" t="s">
        <v>62</v>
      </c>
    </row>
    <row r="77" spans="1:36" ht="26.4" x14ac:dyDescent="0.25">
      <c r="A77">
        <v>3</v>
      </c>
      <c r="B77">
        <v>30783</v>
      </c>
      <c r="C77" t="s">
        <v>64</v>
      </c>
      <c r="D77" t="s">
        <v>147</v>
      </c>
      <c r="E77" t="s">
        <v>56</v>
      </c>
      <c r="F77" t="s">
        <v>57</v>
      </c>
      <c r="G77" t="s">
        <v>11</v>
      </c>
      <c r="H77" s="646">
        <v>43834</v>
      </c>
      <c r="I77">
        <v>361</v>
      </c>
      <c r="J77" t="s">
        <v>58</v>
      </c>
      <c r="K77" s="653" t="s">
        <v>59</v>
      </c>
      <c r="L77" s="646">
        <v>44217</v>
      </c>
      <c r="M77" t="s">
        <v>60</v>
      </c>
      <c r="N77" s="646">
        <v>44198</v>
      </c>
      <c r="P77" s="646">
        <v>44722</v>
      </c>
      <c r="R77" t="s">
        <v>68</v>
      </c>
      <c r="T77" t="s">
        <v>68</v>
      </c>
      <c r="U77" t="s">
        <v>68</v>
      </c>
      <c r="Z77" t="s">
        <v>68</v>
      </c>
      <c r="AD77" t="s">
        <v>68</v>
      </c>
      <c r="AF77" t="s">
        <v>68</v>
      </c>
    </row>
    <row r="78" spans="1:36" ht="26.4" x14ac:dyDescent="0.25">
      <c r="A78">
        <v>4</v>
      </c>
      <c r="B78">
        <v>30783</v>
      </c>
      <c r="C78" t="s">
        <v>54</v>
      </c>
      <c r="D78" t="s">
        <v>148</v>
      </c>
      <c r="E78" t="s">
        <v>56</v>
      </c>
      <c r="F78" t="s">
        <v>57</v>
      </c>
      <c r="G78" t="s">
        <v>11</v>
      </c>
      <c r="H78" s="646">
        <v>43834</v>
      </c>
      <c r="I78">
        <v>352</v>
      </c>
      <c r="J78" t="s">
        <v>58</v>
      </c>
      <c r="K78" s="653" t="s">
        <v>59</v>
      </c>
      <c r="L78" s="646">
        <v>44217</v>
      </c>
      <c r="M78" t="s">
        <v>60</v>
      </c>
      <c r="N78" s="646">
        <v>44198</v>
      </c>
      <c r="P78" s="646">
        <v>44722</v>
      </c>
      <c r="R78" t="s">
        <v>62</v>
      </c>
      <c r="T78" t="s">
        <v>62</v>
      </c>
      <c r="U78" t="s">
        <v>62</v>
      </c>
      <c r="Z78" t="s">
        <v>62</v>
      </c>
      <c r="AD78" t="s">
        <v>62</v>
      </c>
      <c r="AF78" t="s">
        <v>62</v>
      </c>
    </row>
    <row r="79" spans="1:36" ht="26.4" x14ac:dyDescent="0.25">
      <c r="A79">
        <v>124</v>
      </c>
      <c r="B79">
        <v>39082</v>
      </c>
      <c r="C79" t="s">
        <v>54</v>
      </c>
      <c r="D79" t="s">
        <v>149</v>
      </c>
      <c r="E79" t="s">
        <v>56</v>
      </c>
      <c r="F79" t="s">
        <v>57</v>
      </c>
      <c r="G79" t="s">
        <v>11</v>
      </c>
      <c r="H79" s="646">
        <v>43686</v>
      </c>
      <c r="I79">
        <v>486</v>
      </c>
      <c r="J79" t="s">
        <v>58</v>
      </c>
      <c r="K79" s="653" t="s">
        <v>59</v>
      </c>
      <c r="L79" s="646">
        <v>44246</v>
      </c>
      <c r="M79" t="s">
        <v>60</v>
      </c>
      <c r="N79" s="646">
        <v>44199</v>
      </c>
      <c r="R79" t="s">
        <v>62</v>
      </c>
      <c r="T79" t="s">
        <v>62</v>
      </c>
      <c r="U79" t="s">
        <v>62</v>
      </c>
      <c r="Z79" t="s">
        <v>62</v>
      </c>
      <c r="AD79" t="s">
        <v>62</v>
      </c>
      <c r="AF79" t="s">
        <v>62</v>
      </c>
      <c r="AI79" s="646">
        <v>45168</v>
      </c>
      <c r="AJ79" t="s">
        <v>63</v>
      </c>
    </row>
    <row r="80" spans="1:36" ht="26.4" x14ac:dyDescent="0.25">
      <c r="A80">
        <v>123</v>
      </c>
      <c r="B80">
        <v>39082</v>
      </c>
      <c r="C80" t="s">
        <v>64</v>
      </c>
      <c r="D80" t="s">
        <v>150</v>
      </c>
      <c r="E80" t="s">
        <v>56</v>
      </c>
      <c r="F80" t="s">
        <v>57</v>
      </c>
      <c r="G80" t="s">
        <v>11</v>
      </c>
      <c r="H80" s="646">
        <v>43686</v>
      </c>
      <c r="I80">
        <v>488</v>
      </c>
      <c r="J80" t="s">
        <v>58</v>
      </c>
      <c r="K80" s="653" t="s">
        <v>59</v>
      </c>
      <c r="L80" s="646">
        <v>44246</v>
      </c>
      <c r="M80" t="s">
        <v>60</v>
      </c>
      <c r="N80" s="646">
        <v>44199</v>
      </c>
      <c r="R80" t="s">
        <v>68</v>
      </c>
      <c r="T80" t="s">
        <v>68</v>
      </c>
      <c r="U80" t="s">
        <v>68</v>
      </c>
      <c r="Z80" t="s">
        <v>68</v>
      </c>
      <c r="AB80" t="s">
        <v>151</v>
      </c>
      <c r="AD80" t="s">
        <v>68</v>
      </c>
      <c r="AF80" t="s">
        <v>68</v>
      </c>
      <c r="AI80" s="646">
        <v>45168</v>
      </c>
      <c r="AJ80" t="s">
        <v>63</v>
      </c>
    </row>
    <row r="81" spans="1:36" ht="26.4" x14ac:dyDescent="0.25">
      <c r="A81">
        <v>122</v>
      </c>
      <c r="B81">
        <v>39081</v>
      </c>
      <c r="C81" t="s">
        <v>54</v>
      </c>
      <c r="D81" t="s">
        <v>152</v>
      </c>
      <c r="E81" t="s">
        <v>56</v>
      </c>
      <c r="F81" t="s">
        <v>57</v>
      </c>
      <c r="G81" t="s">
        <v>11</v>
      </c>
      <c r="H81" s="646">
        <v>43691</v>
      </c>
      <c r="I81">
        <v>480</v>
      </c>
      <c r="J81" t="s">
        <v>58</v>
      </c>
      <c r="K81" s="653" t="s">
        <v>59</v>
      </c>
      <c r="L81" s="646">
        <v>44161</v>
      </c>
      <c r="M81" t="s">
        <v>60</v>
      </c>
      <c r="N81" s="646">
        <v>44182</v>
      </c>
      <c r="O81" s="646">
        <v>45080</v>
      </c>
      <c r="R81" t="s">
        <v>62</v>
      </c>
      <c r="T81" t="s">
        <v>62</v>
      </c>
      <c r="U81" t="s">
        <v>62</v>
      </c>
      <c r="Y81" t="s">
        <v>62</v>
      </c>
      <c r="Z81" t="s">
        <v>62</v>
      </c>
      <c r="AD81" t="s">
        <v>62</v>
      </c>
      <c r="AF81" t="s">
        <v>62</v>
      </c>
      <c r="AI81" s="646">
        <v>45150</v>
      </c>
      <c r="AJ81" t="s">
        <v>63</v>
      </c>
    </row>
    <row r="82" spans="1:36" ht="26.4" x14ac:dyDescent="0.25">
      <c r="A82">
        <v>121</v>
      </c>
      <c r="B82">
        <v>39081</v>
      </c>
      <c r="C82" t="s">
        <v>64</v>
      </c>
      <c r="D82" t="s">
        <v>153</v>
      </c>
      <c r="E82" t="s">
        <v>56</v>
      </c>
      <c r="F82" t="s">
        <v>57</v>
      </c>
      <c r="G82" t="s">
        <v>11</v>
      </c>
      <c r="H82" s="646">
        <v>43691</v>
      </c>
      <c r="I82">
        <v>485</v>
      </c>
      <c r="J82" t="s">
        <v>58</v>
      </c>
      <c r="K82" s="653" t="s">
        <v>59</v>
      </c>
      <c r="L82" s="646">
        <v>44161</v>
      </c>
      <c r="M82" t="s">
        <v>60</v>
      </c>
      <c r="N82" s="646">
        <v>44182</v>
      </c>
      <c r="O82" s="646">
        <v>45080</v>
      </c>
      <c r="R82" t="s">
        <v>68</v>
      </c>
      <c r="T82" t="s">
        <v>68</v>
      </c>
      <c r="U82" t="s">
        <v>68</v>
      </c>
      <c r="Y82" t="s">
        <v>68</v>
      </c>
      <c r="Z82" t="s">
        <v>68</v>
      </c>
      <c r="AD82" t="s">
        <v>68</v>
      </c>
      <c r="AF82" t="s">
        <v>68</v>
      </c>
      <c r="AI82" s="646">
        <v>45150</v>
      </c>
      <c r="AJ82" t="s">
        <v>63</v>
      </c>
    </row>
    <row r="83" spans="1:36" ht="26.4" x14ac:dyDescent="0.25">
      <c r="A83">
        <v>120</v>
      </c>
      <c r="B83">
        <v>39002</v>
      </c>
      <c r="C83" t="s">
        <v>54</v>
      </c>
      <c r="D83" t="s">
        <v>154</v>
      </c>
      <c r="E83" t="s">
        <v>56</v>
      </c>
      <c r="F83" t="s">
        <v>57</v>
      </c>
      <c r="G83" t="s">
        <v>11</v>
      </c>
      <c r="H83" s="646">
        <v>43434</v>
      </c>
      <c r="I83">
        <v>207</v>
      </c>
      <c r="J83" t="s">
        <v>58</v>
      </c>
      <c r="K83" s="653" t="s">
        <v>59</v>
      </c>
      <c r="L83" s="646">
        <v>44407</v>
      </c>
      <c r="M83" t="s">
        <v>60</v>
      </c>
      <c r="N83" s="646">
        <v>44185</v>
      </c>
      <c r="O83" s="646">
        <v>45057</v>
      </c>
      <c r="R83" t="s">
        <v>62</v>
      </c>
      <c r="T83" t="s">
        <v>62</v>
      </c>
      <c r="U83" t="s">
        <v>62</v>
      </c>
      <c r="Z83" t="s">
        <v>62</v>
      </c>
      <c r="AD83" t="s">
        <v>62</v>
      </c>
      <c r="AF83" t="s">
        <v>62</v>
      </c>
    </row>
    <row r="84" spans="1:36" ht="26.4" x14ac:dyDescent="0.25">
      <c r="A84">
        <v>119</v>
      </c>
      <c r="B84">
        <v>39002</v>
      </c>
      <c r="C84" t="s">
        <v>64</v>
      </c>
      <c r="D84" t="s">
        <v>155</v>
      </c>
      <c r="E84" t="s">
        <v>56</v>
      </c>
      <c r="F84" t="s">
        <v>57</v>
      </c>
      <c r="G84" t="s">
        <v>11</v>
      </c>
      <c r="H84" s="646">
        <v>43434</v>
      </c>
      <c r="I84">
        <v>206</v>
      </c>
      <c r="J84" t="s">
        <v>58</v>
      </c>
      <c r="K84" s="653" t="s">
        <v>59</v>
      </c>
      <c r="L84" s="646">
        <v>44407</v>
      </c>
      <c r="M84" t="s">
        <v>60</v>
      </c>
      <c r="N84" s="646">
        <v>44195</v>
      </c>
      <c r="O84" s="646">
        <v>45057</v>
      </c>
      <c r="R84" t="s">
        <v>68</v>
      </c>
      <c r="T84" t="s">
        <v>68</v>
      </c>
      <c r="U84" t="s">
        <v>68</v>
      </c>
      <c r="Z84" t="s">
        <v>68</v>
      </c>
      <c r="AB84" t="s">
        <v>156</v>
      </c>
      <c r="AD84" t="s">
        <v>68</v>
      </c>
      <c r="AF84" t="s">
        <v>68</v>
      </c>
    </row>
    <row r="85" spans="1:36" ht="26.4" x14ac:dyDescent="0.25">
      <c r="A85">
        <v>112</v>
      </c>
      <c r="B85">
        <v>37213</v>
      </c>
      <c r="C85" t="s">
        <v>54</v>
      </c>
      <c r="D85" t="s">
        <v>157</v>
      </c>
      <c r="E85" t="s">
        <v>56</v>
      </c>
      <c r="F85" t="s">
        <v>57</v>
      </c>
      <c r="G85" t="s">
        <v>11</v>
      </c>
      <c r="H85" s="646">
        <v>43670</v>
      </c>
      <c r="I85">
        <v>492</v>
      </c>
      <c r="J85" t="s">
        <v>58</v>
      </c>
      <c r="K85" s="653" t="s">
        <v>59</v>
      </c>
      <c r="L85" s="646">
        <v>44255</v>
      </c>
      <c r="M85" t="s">
        <v>60</v>
      </c>
      <c r="N85" s="646">
        <v>44199</v>
      </c>
      <c r="O85" s="646">
        <v>45076</v>
      </c>
      <c r="R85" t="s">
        <v>62</v>
      </c>
      <c r="T85" t="s">
        <v>62</v>
      </c>
      <c r="U85" t="s">
        <v>62</v>
      </c>
      <c r="Z85" t="s">
        <v>62</v>
      </c>
      <c r="AD85" t="s">
        <v>62</v>
      </c>
      <c r="AF85" t="s">
        <v>62</v>
      </c>
      <c r="AI85" s="646">
        <v>45134</v>
      </c>
      <c r="AJ85" t="s">
        <v>63</v>
      </c>
    </row>
    <row r="86" spans="1:36" ht="26.4" x14ac:dyDescent="0.25">
      <c r="A86">
        <v>71</v>
      </c>
      <c r="B86">
        <v>30475</v>
      </c>
      <c r="C86" t="s">
        <v>64</v>
      </c>
      <c r="D86" t="s">
        <v>158</v>
      </c>
      <c r="E86" t="s">
        <v>56</v>
      </c>
      <c r="F86" t="s">
        <v>57</v>
      </c>
      <c r="G86" t="s">
        <v>11</v>
      </c>
      <c r="H86" s="646">
        <v>42511</v>
      </c>
      <c r="I86">
        <v>47</v>
      </c>
      <c r="J86" t="s">
        <v>66</v>
      </c>
      <c r="K86" s="653" t="s">
        <v>59</v>
      </c>
      <c r="L86" s="646">
        <v>44168</v>
      </c>
      <c r="M86" t="s">
        <v>67</v>
      </c>
      <c r="N86" t="s">
        <v>63</v>
      </c>
      <c r="O86" s="646">
        <v>44168</v>
      </c>
      <c r="R86" t="s">
        <v>68</v>
      </c>
      <c r="T86" t="s">
        <v>68</v>
      </c>
      <c r="Y86" t="s">
        <v>68</v>
      </c>
      <c r="Z86" t="s">
        <v>68</v>
      </c>
      <c r="AD86" t="s">
        <v>68</v>
      </c>
      <c r="AI86" s="646">
        <v>45192</v>
      </c>
      <c r="AJ86" t="s">
        <v>63</v>
      </c>
    </row>
    <row r="87" spans="1:36" ht="26.4" x14ac:dyDescent="0.25">
      <c r="A87">
        <v>72</v>
      </c>
      <c r="B87">
        <v>30475</v>
      </c>
      <c r="C87" t="s">
        <v>54</v>
      </c>
      <c r="D87" t="s">
        <v>159</v>
      </c>
      <c r="E87" t="s">
        <v>56</v>
      </c>
      <c r="F87" t="s">
        <v>57</v>
      </c>
      <c r="G87" t="s">
        <v>11</v>
      </c>
      <c r="H87" s="646">
        <v>42511</v>
      </c>
      <c r="I87">
        <v>48</v>
      </c>
      <c r="J87" t="s">
        <v>66</v>
      </c>
      <c r="K87" s="653" t="s">
        <v>59</v>
      </c>
      <c r="L87" s="646">
        <v>44168</v>
      </c>
      <c r="M87" t="s">
        <v>67</v>
      </c>
      <c r="N87" t="s">
        <v>63</v>
      </c>
      <c r="O87" s="646">
        <v>44168</v>
      </c>
      <c r="R87" t="s">
        <v>62</v>
      </c>
      <c r="T87" t="s">
        <v>62</v>
      </c>
      <c r="Y87" t="s">
        <v>62</v>
      </c>
      <c r="Z87" t="s">
        <v>62</v>
      </c>
      <c r="AD87" t="s">
        <v>62</v>
      </c>
      <c r="AI87" s="646">
        <v>45192</v>
      </c>
      <c r="AJ87" t="s">
        <v>63</v>
      </c>
    </row>
    <row r="88" spans="1:36" ht="26.4" x14ac:dyDescent="0.25">
      <c r="A88">
        <v>73</v>
      </c>
      <c r="B88">
        <v>30477</v>
      </c>
      <c r="C88" t="s">
        <v>64</v>
      </c>
      <c r="D88" t="s">
        <v>160</v>
      </c>
      <c r="E88" t="s">
        <v>56</v>
      </c>
      <c r="F88" t="s">
        <v>57</v>
      </c>
      <c r="G88" t="s">
        <v>11</v>
      </c>
      <c r="H88" s="646">
        <v>42520</v>
      </c>
      <c r="I88">
        <v>42</v>
      </c>
      <c r="J88" t="s">
        <v>66</v>
      </c>
      <c r="K88" s="653" t="s">
        <v>59</v>
      </c>
      <c r="L88" s="646">
        <v>44124</v>
      </c>
      <c r="M88" t="s">
        <v>67</v>
      </c>
      <c r="N88" t="s">
        <v>63</v>
      </c>
      <c r="O88" s="646">
        <v>45061</v>
      </c>
      <c r="R88" t="s">
        <v>68</v>
      </c>
      <c r="T88" t="s">
        <v>68</v>
      </c>
      <c r="Y88" t="s">
        <v>68</v>
      </c>
      <c r="Z88" t="s">
        <v>68</v>
      </c>
      <c r="AD88" t="s">
        <v>68</v>
      </c>
      <c r="AJ88" t="s">
        <v>63</v>
      </c>
    </row>
    <row r="89" spans="1:36" ht="26.4" x14ac:dyDescent="0.25">
      <c r="A89">
        <v>74</v>
      </c>
      <c r="B89">
        <v>30477</v>
      </c>
      <c r="C89" t="s">
        <v>54</v>
      </c>
      <c r="D89" t="s">
        <v>161</v>
      </c>
      <c r="E89" t="s">
        <v>56</v>
      </c>
      <c r="F89" t="s">
        <v>57</v>
      </c>
      <c r="G89" t="s">
        <v>11</v>
      </c>
      <c r="H89" s="646">
        <v>42520</v>
      </c>
      <c r="I89">
        <v>37</v>
      </c>
      <c r="J89" t="s">
        <v>66</v>
      </c>
      <c r="K89" s="653" t="s">
        <v>59</v>
      </c>
      <c r="L89" s="646">
        <v>44124</v>
      </c>
      <c r="M89" t="s">
        <v>67</v>
      </c>
      <c r="N89" t="s">
        <v>63</v>
      </c>
      <c r="O89" s="646">
        <v>45061</v>
      </c>
      <c r="R89" t="s">
        <v>62</v>
      </c>
      <c r="T89" t="s">
        <v>62</v>
      </c>
      <c r="Y89" t="s">
        <v>62</v>
      </c>
      <c r="Z89" t="s">
        <v>62</v>
      </c>
      <c r="AD89" t="s">
        <v>62</v>
      </c>
      <c r="AJ89" t="s">
        <v>63</v>
      </c>
    </row>
    <row r="90" spans="1:36" ht="26.4" x14ac:dyDescent="0.25">
      <c r="A90">
        <v>75</v>
      </c>
      <c r="B90">
        <v>30479</v>
      </c>
      <c r="C90" t="s">
        <v>64</v>
      </c>
      <c r="D90" t="s">
        <v>162</v>
      </c>
      <c r="E90" t="s">
        <v>56</v>
      </c>
      <c r="F90" t="s">
        <v>57</v>
      </c>
      <c r="G90" t="s">
        <v>11</v>
      </c>
      <c r="H90" s="646">
        <v>42516</v>
      </c>
      <c r="I90">
        <v>30</v>
      </c>
      <c r="J90" t="s">
        <v>66</v>
      </c>
      <c r="K90" s="653" t="s">
        <v>59</v>
      </c>
      <c r="L90" s="646">
        <v>44170</v>
      </c>
      <c r="M90" t="s">
        <v>67</v>
      </c>
      <c r="N90" t="s">
        <v>63</v>
      </c>
      <c r="O90" s="646">
        <v>45084</v>
      </c>
      <c r="P90" s="646">
        <v>44683</v>
      </c>
      <c r="R90" t="s">
        <v>68</v>
      </c>
      <c r="T90" t="s">
        <v>68</v>
      </c>
      <c r="Y90" t="s">
        <v>68</v>
      </c>
      <c r="Z90" t="s">
        <v>68</v>
      </c>
      <c r="AD90" t="s">
        <v>68</v>
      </c>
      <c r="AI90" s="646">
        <v>45205</v>
      </c>
      <c r="AJ90" t="s">
        <v>63</v>
      </c>
    </row>
    <row r="91" spans="1:36" ht="26.4" x14ac:dyDescent="0.25">
      <c r="A91">
        <v>76</v>
      </c>
      <c r="B91">
        <v>30479</v>
      </c>
      <c r="C91" t="s">
        <v>54</v>
      </c>
      <c r="D91" t="s">
        <v>163</v>
      </c>
      <c r="E91" t="s">
        <v>56</v>
      </c>
      <c r="F91" t="s">
        <v>57</v>
      </c>
      <c r="G91" t="s">
        <v>11</v>
      </c>
      <c r="H91" s="646">
        <v>42516</v>
      </c>
      <c r="I91">
        <v>29</v>
      </c>
      <c r="J91" t="s">
        <v>66</v>
      </c>
      <c r="K91" s="653" t="s">
        <v>59</v>
      </c>
      <c r="L91" s="646">
        <v>44170</v>
      </c>
      <c r="M91" t="s">
        <v>67</v>
      </c>
      <c r="N91" t="s">
        <v>63</v>
      </c>
      <c r="O91" s="646">
        <v>45084</v>
      </c>
      <c r="P91" s="646">
        <v>44683</v>
      </c>
      <c r="R91" t="s">
        <v>62</v>
      </c>
      <c r="T91" t="s">
        <v>62</v>
      </c>
      <c r="Y91" t="s">
        <v>62</v>
      </c>
      <c r="Z91" t="s">
        <v>62</v>
      </c>
      <c r="AD91" t="s">
        <v>62</v>
      </c>
      <c r="AI91" s="646">
        <v>45205</v>
      </c>
      <c r="AJ91" t="s">
        <v>63</v>
      </c>
    </row>
    <row r="92" spans="1:36" ht="26.4" x14ac:dyDescent="0.25">
      <c r="A92">
        <v>81</v>
      </c>
      <c r="B92">
        <v>30545</v>
      </c>
      <c r="C92" t="s">
        <v>64</v>
      </c>
      <c r="D92" t="s">
        <v>164</v>
      </c>
      <c r="E92" t="s">
        <v>56</v>
      </c>
      <c r="F92" t="s">
        <v>57</v>
      </c>
      <c r="G92" t="s">
        <v>11</v>
      </c>
      <c r="H92" s="646">
        <v>42886</v>
      </c>
      <c r="I92">
        <v>83</v>
      </c>
      <c r="J92" t="s">
        <v>66</v>
      </c>
      <c r="K92" s="653" t="s">
        <v>59</v>
      </c>
      <c r="L92" s="646">
        <v>44176</v>
      </c>
      <c r="M92" t="s">
        <v>60</v>
      </c>
      <c r="N92" s="646">
        <v>44196</v>
      </c>
      <c r="O92" s="646">
        <v>45019</v>
      </c>
      <c r="P92" s="646">
        <v>44663</v>
      </c>
      <c r="R92" t="s">
        <v>68</v>
      </c>
      <c r="T92" t="s">
        <v>68</v>
      </c>
      <c r="Y92" t="s">
        <v>68</v>
      </c>
      <c r="Z92" t="s">
        <v>68</v>
      </c>
      <c r="AD92" t="s">
        <v>68</v>
      </c>
      <c r="AI92" s="646">
        <v>45192</v>
      </c>
      <c r="AJ92" t="s">
        <v>63</v>
      </c>
    </row>
    <row r="93" spans="1:36" ht="26.4" x14ac:dyDescent="0.25">
      <c r="A93">
        <v>82</v>
      </c>
      <c r="B93">
        <v>30545</v>
      </c>
      <c r="C93" t="s">
        <v>54</v>
      </c>
      <c r="D93" t="s">
        <v>165</v>
      </c>
      <c r="E93" t="s">
        <v>56</v>
      </c>
      <c r="F93" t="s">
        <v>57</v>
      </c>
      <c r="G93" t="s">
        <v>11</v>
      </c>
      <c r="H93" s="646">
        <v>42886</v>
      </c>
      <c r="I93">
        <v>82</v>
      </c>
      <c r="J93" t="s">
        <v>66</v>
      </c>
      <c r="K93" s="653" t="s">
        <v>59</v>
      </c>
      <c r="L93" s="646">
        <v>44176</v>
      </c>
      <c r="M93" t="s">
        <v>60</v>
      </c>
      <c r="N93" s="646">
        <v>44196</v>
      </c>
      <c r="O93" s="646">
        <v>45019</v>
      </c>
      <c r="P93" s="646">
        <v>44663</v>
      </c>
      <c r="R93" t="s">
        <v>62</v>
      </c>
      <c r="T93" t="s">
        <v>62</v>
      </c>
      <c r="Y93" t="s">
        <v>62</v>
      </c>
      <c r="Z93" t="s">
        <v>62</v>
      </c>
      <c r="AD93" t="s">
        <v>62</v>
      </c>
      <c r="AI93" s="646">
        <v>45192</v>
      </c>
      <c r="AJ93" t="s">
        <v>63</v>
      </c>
    </row>
    <row r="94" spans="1:36" ht="26.4" x14ac:dyDescent="0.25">
      <c r="A94">
        <v>83</v>
      </c>
      <c r="B94">
        <v>30597</v>
      </c>
      <c r="C94" t="s">
        <v>64</v>
      </c>
      <c r="D94" t="s">
        <v>166</v>
      </c>
      <c r="E94" t="s">
        <v>56</v>
      </c>
      <c r="F94" t="s">
        <v>57</v>
      </c>
      <c r="G94" t="s">
        <v>11</v>
      </c>
      <c r="H94" s="646">
        <v>43053</v>
      </c>
      <c r="I94">
        <v>110</v>
      </c>
      <c r="J94" t="s">
        <v>58</v>
      </c>
      <c r="K94" s="653" t="s">
        <v>59</v>
      </c>
      <c r="L94" s="646">
        <v>44335</v>
      </c>
      <c r="M94" t="s">
        <v>60</v>
      </c>
      <c r="N94" s="646">
        <v>44464</v>
      </c>
      <c r="R94" t="s">
        <v>68</v>
      </c>
      <c r="T94" t="s">
        <v>68</v>
      </c>
      <c r="Z94" t="s">
        <v>68</v>
      </c>
      <c r="AD94" t="s">
        <v>68</v>
      </c>
      <c r="AF94" t="s">
        <v>68</v>
      </c>
      <c r="AI94" s="646">
        <v>45209</v>
      </c>
      <c r="AJ94" t="s">
        <v>63</v>
      </c>
    </row>
    <row r="95" spans="1:36" ht="26.4" x14ac:dyDescent="0.25">
      <c r="A95">
        <v>84</v>
      </c>
      <c r="B95">
        <v>30597</v>
      </c>
      <c r="C95" t="s">
        <v>54</v>
      </c>
      <c r="D95" t="s">
        <v>167</v>
      </c>
      <c r="E95" t="s">
        <v>56</v>
      </c>
      <c r="F95" t="s">
        <v>57</v>
      </c>
      <c r="G95" t="s">
        <v>11</v>
      </c>
      <c r="H95" s="646">
        <v>43053</v>
      </c>
      <c r="I95">
        <v>113</v>
      </c>
      <c r="J95" t="s">
        <v>58</v>
      </c>
      <c r="K95" s="653" t="s">
        <v>59</v>
      </c>
      <c r="L95" s="646">
        <v>44335</v>
      </c>
      <c r="M95" t="s">
        <v>60</v>
      </c>
      <c r="N95" s="646">
        <v>44464</v>
      </c>
      <c r="R95" t="s">
        <v>62</v>
      </c>
      <c r="T95" t="s">
        <v>62</v>
      </c>
      <c r="Z95" t="s">
        <v>62</v>
      </c>
      <c r="AD95" t="s">
        <v>62</v>
      </c>
      <c r="AF95" t="s">
        <v>62</v>
      </c>
      <c r="AI95" s="646">
        <v>45209</v>
      </c>
      <c r="AJ95" t="s">
        <v>63</v>
      </c>
    </row>
    <row r="96" spans="1:36" ht="26.4" x14ac:dyDescent="0.25">
      <c r="A96">
        <v>110</v>
      </c>
      <c r="B96">
        <v>37211</v>
      </c>
      <c r="C96" t="s">
        <v>54</v>
      </c>
      <c r="D96" t="s">
        <v>168</v>
      </c>
      <c r="E96" t="s">
        <v>56</v>
      </c>
      <c r="F96" t="s">
        <v>57</v>
      </c>
      <c r="G96" t="s">
        <v>11</v>
      </c>
      <c r="H96" s="646">
        <v>43669</v>
      </c>
      <c r="I96">
        <v>380</v>
      </c>
      <c r="J96" t="s">
        <v>58</v>
      </c>
      <c r="K96" s="653" t="s">
        <v>59</v>
      </c>
      <c r="L96" s="646">
        <v>44189</v>
      </c>
      <c r="M96" t="s">
        <v>60</v>
      </c>
      <c r="N96" s="646">
        <v>44189</v>
      </c>
      <c r="O96" s="646">
        <v>45066</v>
      </c>
      <c r="R96" t="s">
        <v>62</v>
      </c>
      <c r="S96" t="s">
        <v>62</v>
      </c>
      <c r="T96" t="s">
        <v>62</v>
      </c>
      <c r="U96" t="s">
        <v>62</v>
      </c>
      <c r="Y96" t="s">
        <v>62</v>
      </c>
      <c r="Z96" t="s">
        <v>62</v>
      </c>
      <c r="AD96" t="s">
        <v>62</v>
      </c>
      <c r="AF96" t="s">
        <v>62</v>
      </c>
      <c r="AI96" s="646">
        <v>45164</v>
      </c>
      <c r="AJ96" t="s">
        <v>63</v>
      </c>
    </row>
    <row r="97" spans="1:36" ht="26.4" x14ac:dyDescent="0.25">
      <c r="A97">
        <v>89</v>
      </c>
      <c r="B97">
        <v>37068</v>
      </c>
      <c r="C97" t="s">
        <v>64</v>
      </c>
      <c r="D97" t="s">
        <v>169</v>
      </c>
      <c r="E97" t="s">
        <v>56</v>
      </c>
      <c r="F97" t="s">
        <v>57</v>
      </c>
      <c r="G97" t="s">
        <v>11</v>
      </c>
      <c r="H97" s="646">
        <v>43459</v>
      </c>
      <c r="I97">
        <v>255</v>
      </c>
      <c r="J97" t="s">
        <v>58</v>
      </c>
      <c r="K97" s="653" t="s">
        <v>59</v>
      </c>
      <c r="L97" s="646">
        <v>44342</v>
      </c>
      <c r="M97" t="s">
        <v>60</v>
      </c>
      <c r="N97" s="646">
        <v>44203</v>
      </c>
      <c r="O97" s="646">
        <v>45078</v>
      </c>
      <c r="R97" t="s">
        <v>68</v>
      </c>
      <c r="T97" t="s">
        <v>68</v>
      </c>
      <c r="U97" t="s">
        <v>68</v>
      </c>
      <c r="Y97" t="s">
        <v>68</v>
      </c>
      <c r="Z97" t="s">
        <v>68</v>
      </c>
      <c r="AB97" t="s">
        <v>170</v>
      </c>
      <c r="AD97" t="s">
        <v>68</v>
      </c>
      <c r="AF97" t="s">
        <v>68</v>
      </c>
    </row>
    <row r="98" spans="1:36" ht="26.4" x14ac:dyDescent="0.25">
      <c r="A98">
        <v>90</v>
      </c>
      <c r="B98">
        <v>37068</v>
      </c>
      <c r="C98" t="s">
        <v>54</v>
      </c>
      <c r="D98" t="s">
        <v>171</v>
      </c>
      <c r="E98" t="s">
        <v>56</v>
      </c>
      <c r="F98" t="s">
        <v>57</v>
      </c>
      <c r="G98" t="s">
        <v>11</v>
      </c>
      <c r="H98" s="646">
        <v>43459</v>
      </c>
      <c r="I98">
        <v>265</v>
      </c>
      <c r="J98" t="s">
        <v>58</v>
      </c>
      <c r="K98" s="653" t="s">
        <v>59</v>
      </c>
      <c r="L98" s="646">
        <v>44342</v>
      </c>
      <c r="M98" t="s">
        <v>60</v>
      </c>
      <c r="N98" s="646">
        <v>44203</v>
      </c>
      <c r="O98" s="646">
        <v>45078</v>
      </c>
      <c r="R98" t="s">
        <v>62</v>
      </c>
      <c r="T98" t="s">
        <v>62</v>
      </c>
      <c r="U98" t="s">
        <v>62</v>
      </c>
      <c r="Y98" t="s">
        <v>62</v>
      </c>
      <c r="Z98" t="s">
        <v>62</v>
      </c>
      <c r="AD98" t="s">
        <v>62</v>
      </c>
      <c r="AF98" t="s">
        <v>62</v>
      </c>
    </row>
    <row r="99" spans="1:36" ht="26.4" x14ac:dyDescent="0.25">
      <c r="A99">
        <v>91</v>
      </c>
      <c r="B99">
        <v>37069</v>
      </c>
      <c r="C99" t="s">
        <v>64</v>
      </c>
      <c r="D99" t="s">
        <v>172</v>
      </c>
      <c r="E99" t="s">
        <v>56</v>
      </c>
      <c r="F99" t="s">
        <v>57</v>
      </c>
      <c r="G99" t="s">
        <v>11</v>
      </c>
      <c r="H99" s="646">
        <v>43461</v>
      </c>
      <c r="I99">
        <v>254</v>
      </c>
      <c r="J99" t="s">
        <v>58</v>
      </c>
      <c r="K99" s="653" t="s">
        <v>59</v>
      </c>
      <c r="L99" s="646">
        <v>44270</v>
      </c>
      <c r="M99" t="s">
        <v>60</v>
      </c>
      <c r="N99" s="646">
        <v>44270</v>
      </c>
      <c r="P99" s="646">
        <v>45049</v>
      </c>
      <c r="R99" t="s">
        <v>68</v>
      </c>
      <c r="T99" t="s">
        <v>68</v>
      </c>
      <c r="U99" t="s">
        <v>68</v>
      </c>
      <c r="Y99" t="s">
        <v>68</v>
      </c>
      <c r="Z99" t="s">
        <v>68</v>
      </c>
      <c r="AD99" t="s">
        <v>68</v>
      </c>
      <c r="AF99" t="s">
        <v>68</v>
      </c>
      <c r="AI99" s="646">
        <v>45194</v>
      </c>
      <c r="AJ99" t="s">
        <v>63</v>
      </c>
    </row>
    <row r="100" spans="1:36" ht="26.4" x14ac:dyDescent="0.25">
      <c r="A100">
        <v>92</v>
      </c>
      <c r="B100">
        <v>37069</v>
      </c>
      <c r="C100" t="s">
        <v>54</v>
      </c>
      <c r="D100" t="s">
        <v>173</v>
      </c>
      <c r="E100" t="s">
        <v>56</v>
      </c>
      <c r="F100" t="s">
        <v>57</v>
      </c>
      <c r="G100" t="s">
        <v>11</v>
      </c>
      <c r="H100" s="646">
        <v>43461</v>
      </c>
      <c r="I100">
        <v>264</v>
      </c>
      <c r="J100" t="s">
        <v>58</v>
      </c>
      <c r="K100" s="653" t="s">
        <v>59</v>
      </c>
      <c r="L100" s="646">
        <v>44270</v>
      </c>
      <c r="M100" t="s">
        <v>60</v>
      </c>
      <c r="N100" s="646">
        <v>44270</v>
      </c>
      <c r="P100" s="646">
        <v>45049</v>
      </c>
      <c r="R100" t="s">
        <v>62</v>
      </c>
      <c r="T100" t="s">
        <v>62</v>
      </c>
      <c r="U100" t="s">
        <v>62</v>
      </c>
      <c r="Y100" t="s">
        <v>62</v>
      </c>
      <c r="Z100" t="s">
        <v>62</v>
      </c>
      <c r="AD100" t="s">
        <v>62</v>
      </c>
      <c r="AF100" t="s">
        <v>62</v>
      </c>
      <c r="AI100" s="646">
        <v>45194</v>
      </c>
      <c r="AJ100" t="s">
        <v>63</v>
      </c>
    </row>
    <row r="101" spans="1:36" ht="26.4" x14ac:dyDescent="0.25">
      <c r="A101">
        <v>93</v>
      </c>
      <c r="B101">
        <v>37114</v>
      </c>
      <c r="C101" t="s">
        <v>64</v>
      </c>
      <c r="D101" t="s">
        <v>174</v>
      </c>
      <c r="E101" t="s">
        <v>56</v>
      </c>
      <c r="F101" t="s">
        <v>57</v>
      </c>
      <c r="G101" t="s">
        <v>11</v>
      </c>
      <c r="H101" s="646">
        <v>43542</v>
      </c>
      <c r="I101">
        <v>317</v>
      </c>
      <c r="J101" t="s">
        <v>58</v>
      </c>
      <c r="K101" s="653" t="s">
        <v>59</v>
      </c>
      <c r="L101" s="646">
        <v>44191</v>
      </c>
      <c r="M101" t="s">
        <v>60</v>
      </c>
      <c r="N101" s="646">
        <v>44191</v>
      </c>
      <c r="P101" s="646">
        <v>44735</v>
      </c>
      <c r="R101" t="s">
        <v>68</v>
      </c>
      <c r="T101" t="s">
        <v>68</v>
      </c>
      <c r="U101" t="s">
        <v>68</v>
      </c>
      <c r="Y101" t="s">
        <v>68</v>
      </c>
      <c r="Z101" t="s">
        <v>68</v>
      </c>
      <c r="AD101" t="s">
        <v>68</v>
      </c>
      <c r="AF101" t="s">
        <v>68</v>
      </c>
      <c r="AI101" s="646">
        <v>45176</v>
      </c>
      <c r="AJ101" t="s">
        <v>63</v>
      </c>
    </row>
    <row r="102" spans="1:36" ht="26.4" x14ac:dyDescent="0.25">
      <c r="A102">
        <v>94</v>
      </c>
      <c r="B102">
        <v>37114</v>
      </c>
      <c r="C102" t="s">
        <v>54</v>
      </c>
      <c r="D102" t="s">
        <v>175</v>
      </c>
      <c r="E102" t="s">
        <v>56</v>
      </c>
      <c r="F102" t="s">
        <v>57</v>
      </c>
      <c r="G102" t="s">
        <v>11</v>
      </c>
      <c r="H102" s="646">
        <v>43542</v>
      </c>
      <c r="I102">
        <v>316</v>
      </c>
      <c r="J102" t="s">
        <v>58</v>
      </c>
      <c r="K102" s="653" t="s">
        <v>59</v>
      </c>
      <c r="L102" s="646">
        <v>44191</v>
      </c>
      <c r="M102" t="s">
        <v>60</v>
      </c>
      <c r="N102" s="646">
        <v>44191</v>
      </c>
      <c r="P102" s="646">
        <v>44735</v>
      </c>
      <c r="R102" t="s">
        <v>62</v>
      </c>
      <c r="T102" t="s">
        <v>62</v>
      </c>
      <c r="U102" t="s">
        <v>62</v>
      </c>
      <c r="Y102" t="s">
        <v>62</v>
      </c>
      <c r="Z102" t="s">
        <v>62</v>
      </c>
      <c r="AD102" t="s">
        <v>62</v>
      </c>
      <c r="AF102" t="s">
        <v>62</v>
      </c>
      <c r="AI102" s="646">
        <v>45176</v>
      </c>
      <c r="AJ102" t="s">
        <v>63</v>
      </c>
    </row>
    <row r="103" spans="1:36" ht="26.4" x14ac:dyDescent="0.25">
      <c r="A103">
        <v>95</v>
      </c>
      <c r="B103">
        <v>37143</v>
      </c>
      <c r="C103" t="s">
        <v>64</v>
      </c>
      <c r="D103" t="s">
        <v>176</v>
      </c>
      <c r="E103" t="s">
        <v>56</v>
      </c>
      <c r="F103" t="s">
        <v>57</v>
      </c>
      <c r="G103" t="s">
        <v>11</v>
      </c>
      <c r="H103" s="646">
        <v>43571</v>
      </c>
      <c r="I103">
        <v>413</v>
      </c>
      <c r="J103" t="s">
        <v>58</v>
      </c>
      <c r="K103" s="653" t="s">
        <v>59</v>
      </c>
      <c r="L103" s="646">
        <v>44180</v>
      </c>
      <c r="M103" t="s">
        <v>60</v>
      </c>
      <c r="N103" s="646">
        <v>44180</v>
      </c>
      <c r="O103" s="646">
        <v>45148</v>
      </c>
      <c r="R103" t="s">
        <v>68</v>
      </c>
      <c r="T103" t="s">
        <v>68</v>
      </c>
      <c r="U103" t="s">
        <v>68</v>
      </c>
      <c r="Y103" t="s">
        <v>68</v>
      </c>
      <c r="Z103" t="s">
        <v>68</v>
      </c>
      <c r="AD103" t="s">
        <v>68</v>
      </c>
      <c r="AI103" s="646">
        <v>45215</v>
      </c>
      <c r="AJ103" t="s">
        <v>63</v>
      </c>
    </row>
    <row r="104" spans="1:36" ht="26.4" x14ac:dyDescent="0.25">
      <c r="A104">
        <v>97</v>
      </c>
      <c r="B104">
        <v>37201</v>
      </c>
      <c r="C104" t="s">
        <v>64</v>
      </c>
      <c r="D104" t="s">
        <v>177</v>
      </c>
      <c r="E104" t="s">
        <v>56</v>
      </c>
      <c r="F104" t="s">
        <v>57</v>
      </c>
      <c r="G104" t="s">
        <v>11</v>
      </c>
      <c r="H104" s="646">
        <v>43637</v>
      </c>
      <c r="I104">
        <v>470</v>
      </c>
      <c r="J104" t="s">
        <v>58</v>
      </c>
      <c r="K104" s="653" t="s">
        <v>59</v>
      </c>
      <c r="L104" s="646">
        <v>44111</v>
      </c>
      <c r="M104" t="s">
        <v>60</v>
      </c>
      <c r="N104" s="646">
        <v>44188</v>
      </c>
      <c r="O104" s="646">
        <v>45083</v>
      </c>
      <c r="R104" t="s">
        <v>68</v>
      </c>
      <c r="T104" t="s">
        <v>68</v>
      </c>
      <c r="U104" t="s">
        <v>68</v>
      </c>
      <c r="X104" t="s">
        <v>68</v>
      </c>
      <c r="Z104" t="s">
        <v>68</v>
      </c>
      <c r="AD104" t="s">
        <v>68</v>
      </c>
      <c r="AF104" t="s">
        <v>68</v>
      </c>
      <c r="AI104" s="646">
        <v>45188</v>
      </c>
      <c r="AJ104" t="s">
        <v>63</v>
      </c>
    </row>
    <row r="105" spans="1:36" ht="26.4" x14ac:dyDescent="0.25">
      <c r="A105">
        <v>98</v>
      </c>
      <c r="B105">
        <v>37201</v>
      </c>
      <c r="C105" t="s">
        <v>54</v>
      </c>
      <c r="D105" t="s">
        <v>178</v>
      </c>
      <c r="E105" t="s">
        <v>56</v>
      </c>
      <c r="F105" t="s">
        <v>57</v>
      </c>
      <c r="G105" t="s">
        <v>11</v>
      </c>
      <c r="H105" s="646">
        <v>43637</v>
      </c>
      <c r="I105">
        <v>497</v>
      </c>
      <c r="J105" t="s">
        <v>58</v>
      </c>
      <c r="K105" s="653" t="s">
        <v>59</v>
      </c>
      <c r="L105" s="646">
        <v>44111</v>
      </c>
      <c r="M105" t="s">
        <v>60</v>
      </c>
      <c r="N105" s="646">
        <v>44188</v>
      </c>
      <c r="O105" s="646">
        <v>45083</v>
      </c>
      <c r="R105" t="s">
        <v>62</v>
      </c>
      <c r="T105" t="s">
        <v>62</v>
      </c>
      <c r="U105" t="s">
        <v>62</v>
      </c>
      <c r="X105" t="s">
        <v>62</v>
      </c>
      <c r="Z105" t="s">
        <v>62</v>
      </c>
      <c r="AB105" t="s">
        <v>179</v>
      </c>
      <c r="AD105" t="s">
        <v>62</v>
      </c>
      <c r="AF105" t="s">
        <v>62</v>
      </c>
      <c r="AI105" s="646">
        <v>45188</v>
      </c>
      <c r="AJ105" t="s">
        <v>63</v>
      </c>
    </row>
    <row r="106" spans="1:36" ht="26.4" x14ac:dyDescent="0.25">
      <c r="A106">
        <v>99</v>
      </c>
      <c r="B106">
        <v>37203</v>
      </c>
      <c r="C106" t="s">
        <v>64</v>
      </c>
      <c r="D106" t="s">
        <v>180</v>
      </c>
      <c r="E106" t="s">
        <v>56</v>
      </c>
      <c r="F106" t="s">
        <v>57</v>
      </c>
      <c r="G106" t="s">
        <v>11</v>
      </c>
      <c r="H106" s="646">
        <v>43638</v>
      </c>
      <c r="I106">
        <v>496</v>
      </c>
      <c r="J106" t="s">
        <v>58</v>
      </c>
      <c r="K106" s="653" t="s">
        <v>59</v>
      </c>
      <c r="L106" s="646">
        <v>44291</v>
      </c>
      <c r="M106" t="s">
        <v>60</v>
      </c>
      <c r="N106" s="646">
        <v>44196</v>
      </c>
      <c r="O106" s="646">
        <v>45120</v>
      </c>
      <c r="R106" t="s">
        <v>68</v>
      </c>
      <c r="T106" t="s">
        <v>68</v>
      </c>
      <c r="U106" t="s">
        <v>68</v>
      </c>
      <c r="Y106" t="s">
        <v>68</v>
      </c>
      <c r="Z106" t="s">
        <v>68</v>
      </c>
      <c r="AD106" t="s">
        <v>68</v>
      </c>
      <c r="AF106" t="s">
        <v>68</v>
      </c>
      <c r="AI106" s="646">
        <v>45211</v>
      </c>
      <c r="AJ106" t="s">
        <v>63</v>
      </c>
    </row>
    <row r="107" spans="1:36" ht="26.4" x14ac:dyDescent="0.25">
      <c r="A107">
        <v>100</v>
      </c>
      <c r="B107">
        <v>37203</v>
      </c>
      <c r="C107" t="s">
        <v>54</v>
      </c>
      <c r="D107" t="s">
        <v>181</v>
      </c>
      <c r="E107" t="s">
        <v>56</v>
      </c>
      <c r="F107" t="s">
        <v>57</v>
      </c>
      <c r="G107" t="s">
        <v>11</v>
      </c>
      <c r="H107" s="646">
        <v>43638</v>
      </c>
      <c r="I107">
        <v>471</v>
      </c>
      <c r="J107" t="s">
        <v>58</v>
      </c>
      <c r="K107" s="653" t="s">
        <v>59</v>
      </c>
      <c r="L107" s="646">
        <v>44291</v>
      </c>
      <c r="M107" t="s">
        <v>60</v>
      </c>
      <c r="N107" s="646">
        <v>44196</v>
      </c>
      <c r="O107" s="646">
        <v>45120</v>
      </c>
      <c r="R107" t="s">
        <v>62</v>
      </c>
      <c r="T107" t="s">
        <v>62</v>
      </c>
      <c r="U107" t="s">
        <v>62</v>
      </c>
      <c r="Y107" t="s">
        <v>62</v>
      </c>
      <c r="Z107" t="s">
        <v>62</v>
      </c>
      <c r="AD107" t="s">
        <v>62</v>
      </c>
      <c r="AI107" s="646">
        <v>45211</v>
      </c>
      <c r="AJ107" t="s">
        <v>63</v>
      </c>
    </row>
    <row r="108" spans="1:36" ht="26.4" x14ac:dyDescent="0.25">
      <c r="A108">
        <v>101</v>
      </c>
      <c r="B108">
        <v>37205</v>
      </c>
      <c r="C108" t="s">
        <v>64</v>
      </c>
      <c r="D108" t="s">
        <v>182</v>
      </c>
      <c r="E108" t="s">
        <v>56</v>
      </c>
      <c r="F108" t="s">
        <v>57</v>
      </c>
      <c r="G108" t="s">
        <v>11</v>
      </c>
      <c r="H108" s="646">
        <v>43639</v>
      </c>
      <c r="I108">
        <v>502</v>
      </c>
      <c r="J108" t="s">
        <v>58</v>
      </c>
      <c r="K108" s="653" t="s">
        <v>59</v>
      </c>
      <c r="L108" s="646">
        <v>44558</v>
      </c>
      <c r="M108" t="s">
        <v>60</v>
      </c>
      <c r="N108" s="646">
        <v>44800</v>
      </c>
      <c r="O108" s="646">
        <v>45050</v>
      </c>
      <c r="R108" t="s">
        <v>68</v>
      </c>
      <c r="T108" t="s">
        <v>68</v>
      </c>
      <c r="U108" t="s">
        <v>68</v>
      </c>
      <c r="Y108" t="s">
        <v>68</v>
      </c>
      <c r="Z108" t="s">
        <v>68</v>
      </c>
      <c r="AD108" t="s">
        <v>68</v>
      </c>
      <c r="AF108" t="s">
        <v>68</v>
      </c>
      <c r="AI108" t="s">
        <v>91</v>
      </c>
      <c r="AJ108" t="s">
        <v>63</v>
      </c>
    </row>
    <row r="109" spans="1:36" ht="26.4" x14ac:dyDescent="0.25">
      <c r="A109">
        <v>103</v>
      </c>
      <c r="B109">
        <v>37207</v>
      </c>
      <c r="C109" t="s">
        <v>64</v>
      </c>
      <c r="D109" t="s">
        <v>183</v>
      </c>
      <c r="E109" t="s">
        <v>56</v>
      </c>
      <c r="F109" t="s">
        <v>57</v>
      </c>
      <c r="G109" t="s">
        <v>11</v>
      </c>
      <c r="H109" s="646">
        <v>43640</v>
      </c>
      <c r="I109">
        <v>503</v>
      </c>
      <c r="J109" t="s">
        <v>58</v>
      </c>
      <c r="K109" s="653" t="s">
        <v>59</v>
      </c>
      <c r="L109" s="646">
        <v>44217</v>
      </c>
      <c r="M109" t="s">
        <v>60</v>
      </c>
      <c r="N109" s="646">
        <v>44217</v>
      </c>
      <c r="R109" t="s">
        <v>68</v>
      </c>
      <c r="T109" t="s">
        <v>68</v>
      </c>
      <c r="U109" t="s">
        <v>68</v>
      </c>
      <c r="Y109" t="s">
        <v>68</v>
      </c>
      <c r="Z109" t="s">
        <v>68</v>
      </c>
      <c r="AB109" t="s">
        <v>184</v>
      </c>
      <c r="AD109" t="s">
        <v>68</v>
      </c>
      <c r="AF109" t="s">
        <v>68</v>
      </c>
      <c r="AI109" s="646">
        <v>45174</v>
      </c>
      <c r="AJ109" t="s">
        <v>63</v>
      </c>
    </row>
    <row r="110" spans="1:36" ht="26.4" x14ac:dyDescent="0.25">
      <c r="A110">
        <v>105</v>
      </c>
      <c r="B110">
        <v>37208</v>
      </c>
      <c r="C110" t="s">
        <v>64</v>
      </c>
      <c r="D110" t="s">
        <v>185</v>
      </c>
      <c r="E110" t="s">
        <v>56</v>
      </c>
      <c r="F110" t="s">
        <v>57</v>
      </c>
      <c r="G110" t="s">
        <v>11</v>
      </c>
      <c r="H110" s="646">
        <v>43641</v>
      </c>
      <c r="I110">
        <v>499</v>
      </c>
      <c r="J110" t="s">
        <v>58</v>
      </c>
      <c r="K110" s="653" t="s">
        <v>59</v>
      </c>
      <c r="L110" s="646">
        <v>44250</v>
      </c>
      <c r="M110" t="s">
        <v>60</v>
      </c>
      <c r="N110" s="646">
        <v>44188</v>
      </c>
      <c r="O110" s="646">
        <v>45114</v>
      </c>
      <c r="R110" t="s">
        <v>68</v>
      </c>
      <c r="T110" t="s">
        <v>68</v>
      </c>
      <c r="U110" t="s">
        <v>68</v>
      </c>
      <c r="Y110" t="s">
        <v>68</v>
      </c>
      <c r="Z110" t="s">
        <v>68</v>
      </c>
      <c r="AD110" t="s">
        <v>68</v>
      </c>
      <c r="AF110" t="s">
        <v>68</v>
      </c>
      <c r="AI110" s="646">
        <v>45206</v>
      </c>
      <c r="AJ110" t="s">
        <v>63</v>
      </c>
    </row>
    <row r="111" spans="1:36" ht="26.4" x14ac:dyDescent="0.25">
      <c r="A111">
        <v>107</v>
      </c>
      <c r="B111">
        <v>37210</v>
      </c>
      <c r="C111" t="s">
        <v>64</v>
      </c>
      <c r="D111" t="s">
        <v>186</v>
      </c>
      <c r="E111" t="s">
        <v>56</v>
      </c>
      <c r="F111" t="s">
        <v>57</v>
      </c>
      <c r="G111" t="s">
        <v>11</v>
      </c>
      <c r="H111" s="646">
        <v>43669</v>
      </c>
      <c r="I111">
        <v>381</v>
      </c>
      <c r="J111" t="s">
        <v>58</v>
      </c>
      <c r="K111" s="653" t="s">
        <v>59</v>
      </c>
      <c r="L111" s="646">
        <v>44521</v>
      </c>
      <c r="M111" t="s">
        <v>60</v>
      </c>
      <c r="N111" s="646">
        <v>44204</v>
      </c>
      <c r="P111" s="646">
        <v>45048</v>
      </c>
      <c r="R111" t="s">
        <v>68</v>
      </c>
      <c r="T111" t="s">
        <v>68</v>
      </c>
      <c r="U111" t="s">
        <v>68</v>
      </c>
      <c r="Z111" t="s">
        <v>68</v>
      </c>
      <c r="AD111" t="s">
        <v>68</v>
      </c>
      <c r="AF111" t="s">
        <v>68</v>
      </c>
      <c r="AI111" s="646">
        <v>45135</v>
      </c>
      <c r="AJ111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0A64-CB33-472E-9379-EDD8968132E5}">
  <dimension ref="A1:AR1054"/>
  <sheetViews>
    <sheetView zoomScale="80" zoomScaleNormal="80" workbookViewId="0">
      <pane xSplit="2" ySplit="1" topLeftCell="AE2" activePane="bottomRight" state="frozen"/>
      <selection pane="topRight" activeCell="C1" sqref="C1"/>
      <selection pane="bottomLeft" activeCell="A2" sqref="A2"/>
      <selection pane="bottomRight"/>
    </sheetView>
  </sheetViews>
  <sheetFormatPr defaultColWidth="8.5546875" defaultRowHeight="12.75" customHeight="1" x14ac:dyDescent="0.25"/>
  <cols>
    <col min="1" max="1" width="7.5546875" style="2" customWidth="1"/>
    <col min="2" max="2" width="9.44140625" style="72" customWidth="1"/>
    <col min="3" max="3" width="6.5546875" style="72" bestFit="1" customWidth="1"/>
    <col min="4" max="4" width="17.44140625" style="2" bestFit="1" customWidth="1"/>
    <col min="5" max="5" width="17.5546875" style="72" customWidth="1"/>
    <col min="6" max="7" width="11" style="2" customWidth="1"/>
    <col min="8" max="9" width="15.44140625" style="2" customWidth="1"/>
    <col min="10" max="10" width="20.44140625" style="61" customWidth="1"/>
    <col min="11" max="11" width="27.5546875" style="470" customWidth="1"/>
    <col min="12" max="12" width="45.44140625" style="441" customWidth="1"/>
    <col min="13" max="13" width="16.44140625" style="441" customWidth="1"/>
    <col min="14" max="14" width="41.44140625" style="470" customWidth="1"/>
    <col min="15" max="15" width="14.44140625" style="68" customWidth="1"/>
    <col min="16" max="16" width="30.44140625" style="61" customWidth="1"/>
    <col min="17" max="17" width="19.5546875" style="61" customWidth="1"/>
    <col min="18" max="18" width="30.44140625" style="61" customWidth="1"/>
    <col min="19" max="19" width="35.5546875" style="61" customWidth="1"/>
    <col min="20" max="20" width="33.5546875" style="61" customWidth="1"/>
    <col min="21" max="21" width="27.44140625" style="61" customWidth="1"/>
    <col min="22" max="22" width="35.44140625" style="61" customWidth="1"/>
    <col min="23" max="23" width="44.44140625" style="61" customWidth="1"/>
    <col min="24" max="24" width="32.5546875" style="61" customWidth="1"/>
    <col min="25" max="25" width="32" style="61" customWidth="1"/>
    <col min="26" max="26" width="33.44140625" style="441" hidden="1" customWidth="1"/>
    <col min="27" max="27" width="28" style="441" hidden="1" customWidth="1"/>
    <col min="28" max="28" width="39.5546875" style="61" customWidth="1"/>
    <col min="29" max="29" width="33" style="61" customWidth="1"/>
    <col min="30" max="30" width="31" style="16" customWidth="1"/>
    <col min="31" max="31" width="29.5546875" style="16" customWidth="1"/>
    <col min="32" max="32" width="29.5546875" style="23" customWidth="1"/>
    <col min="33" max="37" width="16.5546875" style="24" customWidth="1"/>
    <col min="38" max="40" width="20" style="24" customWidth="1"/>
    <col min="41" max="41" width="20.44140625" customWidth="1"/>
    <col min="42" max="42" width="13.5546875" bestFit="1" customWidth="1"/>
  </cols>
  <sheetData>
    <row r="1" spans="1:44" s="375" customFormat="1" ht="102.6" customHeight="1" x14ac:dyDescent="0.25">
      <c r="A1" s="368" t="s">
        <v>18</v>
      </c>
      <c r="B1" s="369" t="s">
        <v>19</v>
      </c>
      <c r="C1" s="369" t="s">
        <v>20</v>
      </c>
      <c r="D1" s="370" t="s">
        <v>21</v>
      </c>
      <c r="E1" s="370" t="s">
        <v>22</v>
      </c>
      <c r="F1" s="370" t="s">
        <v>23</v>
      </c>
      <c r="G1" s="370" t="s">
        <v>0</v>
      </c>
      <c r="H1" s="370" t="s">
        <v>24</v>
      </c>
      <c r="I1" s="27" t="s">
        <v>25</v>
      </c>
      <c r="J1" s="371" t="s">
        <v>26</v>
      </c>
      <c r="K1" s="473" t="s">
        <v>27</v>
      </c>
      <c r="L1" s="473" t="s">
        <v>187</v>
      </c>
      <c r="M1" s="473" t="s">
        <v>29</v>
      </c>
      <c r="N1" s="473" t="s">
        <v>188</v>
      </c>
      <c r="O1" s="371" t="s">
        <v>189</v>
      </c>
      <c r="P1" s="371" t="s">
        <v>190</v>
      </c>
      <c r="Q1" s="371" t="s">
        <v>33</v>
      </c>
      <c r="R1" s="371" t="s">
        <v>34</v>
      </c>
      <c r="S1" s="371" t="s">
        <v>35</v>
      </c>
      <c r="T1" s="371" t="s">
        <v>36</v>
      </c>
      <c r="U1" s="371" t="s">
        <v>37</v>
      </c>
      <c r="V1" s="371" t="s">
        <v>38</v>
      </c>
      <c r="W1" s="371" t="s">
        <v>39</v>
      </c>
      <c r="X1" s="371" t="s">
        <v>40</v>
      </c>
      <c r="Y1" s="371" t="s">
        <v>41</v>
      </c>
      <c r="Z1" s="473" t="s">
        <v>42</v>
      </c>
      <c r="AA1" s="473" t="s">
        <v>43</v>
      </c>
      <c r="AB1" s="330" t="s">
        <v>44</v>
      </c>
      <c r="AC1" s="330" t="s">
        <v>45</v>
      </c>
      <c r="AD1" s="371" t="s">
        <v>191</v>
      </c>
      <c r="AE1" s="371" t="s">
        <v>47</v>
      </c>
      <c r="AF1" s="376" t="s">
        <v>192</v>
      </c>
      <c r="AG1" s="331" t="s">
        <v>193</v>
      </c>
      <c r="AH1" s="13" t="s">
        <v>194</v>
      </c>
      <c r="AI1" s="13" t="s">
        <v>195</v>
      </c>
      <c r="AJ1" s="505" t="s">
        <v>196</v>
      </c>
      <c r="AK1" s="621" t="s">
        <v>53</v>
      </c>
      <c r="AL1" s="830" t="s">
        <v>197</v>
      </c>
      <c r="AM1" s="621" t="s">
        <v>198</v>
      </c>
      <c r="AN1" s="621" t="s">
        <v>199</v>
      </c>
      <c r="AP1" s="374"/>
      <c r="AQ1" s="372" t="s">
        <v>200</v>
      </c>
      <c r="AR1" s="373" t="s">
        <v>201</v>
      </c>
    </row>
    <row r="2" spans="1:44" ht="14.4" x14ac:dyDescent="0.3">
      <c r="A2" s="1398">
        <v>1</v>
      </c>
      <c r="B2" s="104">
        <v>30587</v>
      </c>
      <c r="C2" s="319" t="s">
        <v>64</v>
      </c>
      <c r="D2" s="320" t="s">
        <v>202</v>
      </c>
      <c r="E2" s="319" t="s">
        <v>203</v>
      </c>
      <c r="F2" s="319" t="s">
        <v>204</v>
      </c>
      <c r="G2" s="319" t="s">
        <v>12</v>
      </c>
      <c r="H2" s="321">
        <v>42942</v>
      </c>
      <c r="I2" s="321"/>
      <c r="J2" s="320" t="s">
        <v>58</v>
      </c>
      <c r="K2" s="474" t="s">
        <v>205</v>
      </c>
      <c r="L2" s="475" t="s">
        <v>63</v>
      </c>
      <c r="M2" s="475" t="s">
        <v>60</v>
      </c>
      <c r="N2" s="476">
        <v>44195</v>
      </c>
      <c r="O2" s="130"/>
      <c r="P2" s="130"/>
      <c r="Q2" s="130" t="s">
        <v>63</v>
      </c>
      <c r="R2" s="130" t="s">
        <v>68</v>
      </c>
      <c r="S2" s="130"/>
      <c r="T2" s="130" t="s">
        <v>68</v>
      </c>
      <c r="U2" s="130" t="s">
        <v>68</v>
      </c>
      <c r="V2" s="130"/>
      <c r="W2" s="130"/>
      <c r="X2" s="130"/>
      <c r="Y2" s="130"/>
      <c r="Z2" s="469"/>
      <c r="AA2" s="469"/>
      <c r="AB2" s="383"/>
      <c r="AC2" s="130"/>
      <c r="AD2" s="322" t="s">
        <v>63</v>
      </c>
      <c r="AE2" s="1404" t="s">
        <v>206</v>
      </c>
      <c r="AF2" s="1405" t="s">
        <v>207</v>
      </c>
      <c r="AG2" s="1387">
        <v>45359</v>
      </c>
      <c r="AH2" s="1387">
        <v>45359</v>
      </c>
      <c r="AI2" s="513" t="s">
        <v>208</v>
      </c>
      <c r="AJ2" s="513" t="s">
        <v>206</v>
      </c>
      <c r="AK2" s="513" t="s">
        <v>208</v>
      </c>
      <c r="AM2" s="24" t="s">
        <v>209</v>
      </c>
      <c r="AO2" s="318"/>
      <c r="AP2" s="318"/>
      <c r="AQ2" s="318"/>
      <c r="AR2" s="318"/>
    </row>
    <row r="3" spans="1:44" ht="14.4" x14ac:dyDescent="0.3">
      <c r="A3" s="1398">
        <v>2</v>
      </c>
      <c r="B3" s="104">
        <v>30587</v>
      </c>
      <c r="C3" s="319" t="s">
        <v>54</v>
      </c>
      <c r="D3" s="320" t="s">
        <v>210</v>
      </c>
      <c r="E3" s="319" t="s">
        <v>203</v>
      </c>
      <c r="F3" s="319" t="s">
        <v>204</v>
      </c>
      <c r="G3" s="319" t="s">
        <v>12</v>
      </c>
      <c r="H3" s="321">
        <v>42942</v>
      </c>
      <c r="I3" s="321"/>
      <c r="J3" s="320" t="s">
        <v>58</v>
      </c>
      <c r="K3" s="474" t="s">
        <v>205</v>
      </c>
      <c r="L3" s="475" t="s">
        <v>63</v>
      </c>
      <c r="M3" s="475" t="s">
        <v>60</v>
      </c>
      <c r="N3" s="475" t="s">
        <v>63</v>
      </c>
      <c r="O3" s="130"/>
      <c r="P3" s="130"/>
      <c r="Q3" s="130" t="s">
        <v>63</v>
      </c>
      <c r="R3" s="130" t="s">
        <v>62</v>
      </c>
      <c r="S3" s="130"/>
      <c r="T3" s="130" t="s">
        <v>62</v>
      </c>
      <c r="U3" s="130" t="s">
        <v>62</v>
      </c>
      <c r="V3" s="130"/>
      <c r="W3" s="130"/>
      <c r="X3" s="130"/>
      <c r="Y3" s="130"/>
      <c r="Z3" s="469"/>
      <c r="AA3" s="469"/>
      <c r="AB3" s="383"/>
      <c r="AC3" s="130"/>
      <c r="AD3" s="322" t="s">
        <v>63</v>
      </c>
      <c r="AE3" s="1404" t="s">
        <v>206</v>
      </c>
      <c r="AF3" s="1405" t="s">
        <v>208</v>
      </c>
      <c r="AG3" s="1387">
        <v>45359</v>
      </c>
      <c r="AH3" s="1387">
        <v>45359</v>
      </c>
      <c r="AI3" s="513" t="s">
        <v>208</v>
      </c>
      <c r="AJ3" s="513" t="s">
        <v>206</v>
      </c>
      <c r="AK3" s="513" t="s">
        <v>208</v>
      </c>
      <c r="AM3" s="24" t="s">
        <v>209</v>
      </c>
      <c r="AO3" s="318"/>
      <c r="AP3" s="318"/>
      <c r="AQ3" s="318"/>
      <c r="AR3" s="318"/>
    </row>
    <row r="4" spans="1:44" ht="14.4" x14ac:dyDescent="0.3">
      <c r="A4" s="1398">
        <v>3</v>
      </c>
      <c r="B4" s="104">
        <v>30595</v>
      </c>
      <c r="C4" s="319" t="s">
        <v>64</v>
      </c>
      <c r="D4" s="320" t="s">
        <v>211</v>
      </c>
      <c r="E4" s="319" t="s">
        <v>203</v>
      </c>
      <c r="F4" s="319" t="s">
        <v>204</v>
      </c>
      <c r="G4" s="319" t="s">
        <v>12</v>
      </c>
      <c r="H4" s="321">
        <v>43054</v>
      </c>
      <c r="I4" s="321"/>
      <c r="J4" s="320" t="s">
        <v>58</v>
      </c>
      <c r="K4" s="474" t="s">
        <v>205</v>
      </c>
      <c r="L4" s="475" t="s">
        <v>63</v>
      </c>
      <c r="M4" s="475" t="s">
        <v>60</v>
      </c>
      <c r="N4" s="476">
        <v>44191</v>
      </c>
      <c r="O4" s="130"/>
      <c r="P4" s="130"/>
      <c r="Q4" s="130" t="s">
        <v>63</v>
      </c>
      <c r="R4" s="130" t="s">
        <v>68</v>
      </c>
      <c r="S4" s="130"/>
      <c r="T4" s="130" t="s">
        <v>68</v>
      </c>
      <c r="U4" s="130" t="s">
        <v>68</v>
      </c>
      <c r="V4" s="130"/>
      <c r="W4" s="130"/>
      <c r="X4" s="130"/>
      <c r="Y4" s="130"/>
      <c r="Z4" s="469"/>
      <c r="AA4" s="469"/>
      <c r="AB4" s="383"/>
      <c r="AC4" s="130"/>
      <c r="AD4" s="322"/>
      <c r="AE4" s="1404" t="s">
        <v>206</v>
      </c>
      <c r="AF4" s="1405" t="s">
        <v>212</v>
      </c>
      <c r="AG4" s="513" t="s">
        <v>213</v>
      </c>
      <c r="AH4" s="513" t="s">
        <v>213</v>
      </c>
      <c r="AI4" s="513" t="s">
        <v>212</v>
      </c>
      <c r="AJ4" s="513" t="s">
        <v>206</v>
      </c>
      <c r="AK4" s="513" t="s">
        <v>212</v>
      </c>
      <c r="AM4" s="24" t="s">
        <v>214</v>
      </c>
      <c r="AO4" s="318"/>
      <c r="AP4" s="318"/>
      <c r="AQ4" s="318"/>
      <c r="AR4" s="318"/>
    </row>
    <row r="5" spans="1:44" ht="14.4" x14ac:dyDescent="0.3">
      <c r="A5" s="1398">
        <v>4</v>
      </c>
      <c r="B5" s="104">
        <v>30595</v>
      </c>
      <c r="C5" s="319" t="s">
        <v>54</v>
      </c>
      <c r="D5" s="320" t="s">
        <v>215</v>
      </c>
      <c r="E5" s="319" t="s">
        <v>203</v>
      </c>
      <c r="F5" s="319" t="s">
        <v>204</v>
      </c>
      <c r="G5" s="319" t="s">
        <v>12</v>
      </c>
      <c r="H5" s="321">
        <v>43054</v>
      </c>
      <c r="I5" s="321"/>
      <c r="J5" s="320" t="s">
        <v>58</v>
      </c>
      <c r="K5" s="474" t="s">
        <v>205</v>
      </c>
      <c r="L5" s="475" t="s">
        <v>63</v>
      </c>
      <c r="M5" s="475" t="s">
        <v>60</v>
      </c>
      <c r="N5" s="476">
        <v>44219</v>
      </c>
      <c r="O5" s="130"/>
      <c r="P5" s="130"/>
      <c r="Q5" s="130" t="s">
        <v>63</v>
      </c>
      <c r="R5" s="130" t="s">
        <v>62</v>
      </c>
      <c r="S5" s="130"/>
      <c r="T5" s="130" t="s">
        <v>62</v>
      </c>
      <c r="U5" s="130" t="s">
        <v>62</v>
      </c>
      <c r="V5" s="130"/>
      <c r="W5" s="130"/>
      <c r="X5" s="130"/>
      <c r="Y5" s="130"/>
      <c r="Z5" s="469"/>
      <c r="AA5" s="469"/>
      <c r="AB5" s="383"/>
      <c r="AC5" s="130"/>
      <c r="AD5" s="322"/>
      <c r="AE5" s="1404" t="s">
        <v>206</v>
      </c>
      <c r="AF5" s="1405" t="s">
        <v>212</v>
      </c>
      <c r="AG5" s="513" t="s">
        <v>213</v>
      </c>
      <c r="AH5" s="513" t="s">
        <v>213</v>
      </c>
      <c r="AI5" s="513" t="s">
        <v>212</v>
      </c>
      <c r="AJ5" s="513" t="s">
        <v>206</v>
      </c>
      <c r="AK5" s="513" t="s">
        <v>212</v>
      </c>
      <c r="AM5" s="24" t="s">
        <v>214</v>
      </c>
      <c r="AO5" s="318"/>
      <c r="AP5" s="318"/>
      <c r="AQ5" s="318"/>
      <c r="AR5" s="318"/>
    </row>
    <row r="6" spans="1:44" ht="14.4" x14ac:dyDescent="0.3">
      <c r="A6" s="1398">
        <v>5</v>
      </c>
      <c r="B6" s="104">
        <v>30596</v>
      </c>
      <c r="C6" s="319" t="s">
        <v>64</v>
      </c>
      <c r="D6" s="320" t="s">
        <v>216</v>
      </c>
      <c r="E6" s="319" t="s">
        <v>203</v>
      </c>
      <c r="F6" s="319" t="s">
        <v>204</v>
      </c>
      <c r="G6" s="319" t="s">
        <v>12</v>
      </c>
      <c r="H6" s="321">
        <v>43026</v>
      </c>
      <c r="I6" s="321"/>
      <c r="J6" s="320" t="s">
        <v>58</v>
      </c>
      <c r="K6" s="474" t="s">
        <v>205</v>
      </c>
      <c r="L6" s="475" t="s">
        <v>63</v>
      </c>
      <c r="M6" s="475" t="s">
        <v>60</v>
      </c>
      <c r="N6" s="475" t="s">
        <v>63</v>
      </c>
      <c r="O6" s="654"/>
      <c r="P6" s="130"/>
      <c r="Q6" s="130" t="s">
        <v>63</v>
      </c>
      <c r="R6" s="130" t="s">
        <v>62</v>
      </c>
      <c r="S6" s="130"/>
      <c r="T6" s="130" t="s">
        <v>68</v>
      </c>
      <c r="U6" s="130" t="s">
        <v>68</v>
      </c>
      <c r="V6" s="130"/>
      <c r="W6" s="130"/>
      <c r="X6" s="130"/>
      <c r="Y6" s="130"/>
      <c r="Z6" s="469"/>
      <c r="AA6" s="469"/>
      <c r="AB6" s="383"/>
      <c r="AC6" s="130"/>
      <c r="AD6" s="322" t="s">
        <v>63</v>
      </c>
      <c r="AE6" s="1404" t="s">
        <v>206</v>
      </c>
      <c r="AF6" s="1405" t="s">
        <v>217</v>
      </c>
      <c r="AG6" s="513" t="s">
        <v>218</v>
      </c>
      <c r="AH6" s="513" t="s">
        <v>218</v>
      </c>
      <c r="AI6" s="1387" t="s">
        <v>217</v>
      </c>
      <c r="AJ6" s="513" t="s">
        <v>206</v>
      </c>
      <c r="AK6" s="1387" t="s">
        <v>217</v>
      </c>
      <c r="AM6" s="251">
        <v>45514</v>
      </c>
      <c r="AN6" s="251"/>
      <c r="AO6" s="318"/>
      <c r="AP6" s="318"/>
      <c r="AQ6" s="318"/>
      <c r="AR6" s="318"/>
    </row>
    <row r="7" spans="1:44" ht="14.4" x14ac:dyDescent="0.3">
      <c r="A7" s="1398">
        <v>6</v>
      </c>
      <c r="B7" s="104">
        <v>30596</v>
      </c>
      <c r="C7" s="319" t="s">
        <v>54</v>
      </c>
      <c r="D7" s="320" t="s">
        <v>219</v>
      </c>
      <c r="E7" s="319" t="s">
        <v>203</v>
      </c>
      <c r="F7" s="319" t="s">
        <v>204</v>
      </c>
      <c r="G7" s="319" t="s">
        <v>12</v>
      </c>
      <c r="H7" s="321">
        <v>43026</v>
      </c>
      <c r="I7" s="321"/>
      <c r="J7" s="320" t="s">
        <v>58</v>
      </c>
      <c r="K7" s="474" t="s">
        <v>205</v>
      </c>
      <c r="L7" s="475" t="s">
        <v>63</v>
      </c>
      <c r="M7" s="475" t="s">
        <v>60</v>
      </c>
      <c r="N7" s="476">
        <v>44270</v>
      </c>
      <c r="O7" s="130"/>
      <c r="P7" s="130"/>
      <c r="Q7" s="130" t="s">
        <v>63</v>
      </c>
      <c r="R7" s="130" t="s">
        <v>68</v>
      </c>
      <c r="S7" s="130"/>
      <c r="T7" s="130" t="s">
        <v>62</v>
      </c>
      <c r="U7" s="130" t="s">
        <v>62</v>
      </c>
      <c r="V7" s="130"/>
      <c r="W7" s="130"/>
      <c r="X7" s="130"/>
      <c r="Y7" s="130"/>
      <c r="Z7" s="469"/>
      <c r="AA7" s="469"/>
      <c r="AB7" s="383"/>
      <c r="AC7" s="130"/>
      <c r="AD7" s="322" t="s">
        <v>63</v>
      </c>
      <c r="AE7" s="1404" t="s">
        <v>206</v>
      </c>
      <c r="AF7" s="1405" t="s">
        <v>217</v>
      </c>
      <c r="AG7" s="513" t="s">
        <v>218</v>
      </c>
      <c r="AH7" s="513" t="s">
        <v>218</v>
      </c>
      <c r="AI7" s="513" t="s">
        <v>217</v>
      </c>
      <c r="AJ7" s="513" t="s">
        <v>206</v>
      </c>
      <c r="AK7" s="513" t="s">
        <v>217</v>
      </c>
      <c r="AM7" s="251">
        <v>45514</v>
      </c>
      <c r="AN7" s="251"/>
      <c r="AO7" s="318"/>
      <c r="AP7" s="318"/>
      <c r="AQ7" s="318"/>
      <c r="AR7" s="318"/>
    </row>
    <row r="8" spans="1:44" ht="14.4" x14ac:dyDescent="0.3">
      <c r="A8" s="1398">
        <v>7</v>
      </c>
      <c r="B8" s="104">
        <v>30602</v>
      </c>
      <c r="C8" s="319" t="s">
        <v>64</v>
      </c>
      <c r="D8" s="320" t="s">
        <v>220</v>
      </c>
      <c r="E8" s="319" t="s">
        <v>221</v>
      </c>
      <c r="F8" s="319" t="s">
        <v>204</v>
      </c>
      <c r="G8" s="319" t="s">
        <v>12</v>
      </c>
      <c r="H8" s="321">
        <v>43053</v>
      </c>
      <c r="I8" s="321"/>
      <c r="J8" s="320" t="s">
        <v>58</v>
      </c>
      <c r="K8" s="474" t="s">
        <v>205</v>
      </c>
      <c r="L8" s="475" t="s">
        <v>63</v>
      </c>
      <c r="M8" s="475" t="s">
        <v>60</v>
      </c>
      <c r="N8" s="475" t="s">
        <v>63</v>
      </c>
      <c r="O8" s="130"/>
      <c r="P8" s="130"/>
      <c r="Q8" s="130" t="s">
        <v>63</v>
      </c>
      <c r="R8" s="130" t="s">
        <v>68</v>
      </c>
      <c r="S8" s="130"/>
      <c r="T8" s="130" t="s">
        <v>68</v>
      </c>
      <c r="U8" s="130" t="s">
        <v>68</v>
      </c>
      <c r="V8" s="130"/>
      <c r="W8" s="130"/>
      <c r="X8" s="130"/>
      <c r="Y8" s="130"/>
      <c r="Z8" s="469"/>
      <c r="AA8" s="469"/>
      <c r="AB8" s="383"/>
      <c r="AC8" s="130"/>
      <c r="AD8" s="322"/>
      <c r="AE8" s="1404"/>
      <c r="AF8" s="1405"/>
      <c r="AG8" s="513" t="s">
        <v>222</v>
      </c>
      <c r="AH8" s="513" t="s">
        <v>222</v>
      </c>
      <c r="AI8" s="513" t="s">
        <v>223</v>
      </c>
      <c r="AJ8" s="513" t="s">
        <v>206</v>
      </c>
      <c r="AK8" s="513" t="s">
        <v>223</v>
      </c>
      <c r="AO8" s="318"/>
      <c r="AP8" s="318"/>
      <c r="AQ8" s="318"/>
      <c r="AR8" s="318"/>
    </row>
    <row r="9" spans="1:44" ht="14.4" x14ac:dyDescent="0.3">
      <c r="A9" s="1398">
        <v>8</v>
      </c>
      <c r="B9" s="104">
        <v>30602</v>
      </c>
      <c r="C9" s="319" t="s">
        <v>54</v>
      </c>
      <c r="D9" s="319" t="s">
        <v>224</v>
      </c>
      <c r="E9" s="319" t="s">
        <v>221</v>
      </c>
      <c r="F9" s="319" t="s">
        <v>204</v>
      </c>
      <c r="G9" s="319" t="s">
        <v>12</v>
      </c>
      <c r="H9" s="321">
        <v>43053</v>
      </c>
      <c r="I9" s="321"/>
      <c r="J9" s="320" t="s">
        <v>58</v>
      </c>
      <c r="K9" s="474" t="s">
        <v>205</v>
      </c>
      <c r="L9" s="475" t="s">
        <v>63</v>
      </c>
      <c r="M9" s="475" t="s">
        <v>60</v>
      </c>
      <c r="N9" s="476">
        <v>44183</v>
      </c>
      <c r="O9" s="130"/>
      <c r="P9" s="130"/>
      <c r="Q9" s="130" t="s">
        <v>63</v>
      </c>
      <c r="R9" s="130" t="s">
        <v>62</v>
      </c>
      <c r="S9" s="130"/>
      <c r="T9" s="130" t="s">
        <v>62</v>
      </c>
      <c r="U9" s="130" t="s">
        <v>62</v>
      </c>
      <c r="V9" s="130"/>
      <c r="W9" s="130"/>
      <c r="X9" s="130"/>
      <c r="Y9" s="130"/>
      <c r="Z9" s="469"/>
      <c r="AA9" s="469"/>
      <c r="AB9" s="383">
        <v>44523</v>
      </c>
      <c r="AC9" s="130"/>
      <c r="AD9" s="322"/>
      <c r="AE9" s="1404"/>
      <c r="AF9" s="1405"/>
      <c r="AG9" s="1387" t="s">
        <v>222</v>
      </c>
      <c r="AH9" s="1387" t="s">
        <v>222</v>
      </c>
      <c r="AI9" s="513" t="s">
        <v>223</v>
      </c>
      <c r="AJ9" s="513" t="s">
        <v>206</v>
      </c>
      <c r="AK9" s="513" t="s">
        <v>223</v>
      </c>
      <c r="AO9" s="318"/>
      <c r="AP9" s="318"/>
      <c r="AQ9" s="318"/>
      <c r="AR9" s="318"/>
    </row>
    <row r="10" spans="1:44" ht="14.4" x14ac:dyDescent="0.3">
      <c r="A10" s="1398">
        <v>9</v>
      </c>
      <c r="B10" s="104">
        <v>30603</v>
      </c>
      <c r="C10" s="319" t="s">
        <v>64</v>
      </c>
      <c r="D10" s="319" t="s">
        <v>225</v>
      </c>
      <c r="E10" s="319" t="s">
        <v>203</v>
      </c>
      <c r="F10" s="319" t="s">
        <v>204</v>
      </c>
      <c r="G10" s="319" t="s">
        <v>12</v>
      </c>
      <c r="H10" s="321">
        <v>43064</v>
      </c>
      <c r="I10" s="321"/>
      <c r="J10" s="320" t="s">
        <v>58</v>
      </c>
      <c r="K10" s="474" t="s">
        <v>205</v>
      </c>
      <c r="L10" s="475" t="s">
        <v>63</v>
      </c>
      <c r="M10" s="475" t="s">
        <v>60</v>
      </c>
      <c r="N10" s="476">
        <v>44176</v>
      </c>
      <c r="O10" s="654"/>
      <c r="P10" s="130"/>
      <c r="Q10" s="130" t="s">
        <v>63</v>
      </c>
      <c r="R10" s="130" t="s">
        <v>68</v>
      </c>
      <c r="S10" s="130"/>
      <c r="T10" s="130" t="s">
        <v>68</v>
      </c>
      <c r="U10" s="130" t="s">
        <v>68</v>
      </c>
      <c r="V10" s="130"/>
      <c r="W10" s="130"/>
      <c r="X10" s="130"/>
      <c r="Y10" s="130"/>
      <c r="Z10" s="469"/>
      <c r="AA10" s="469"/>
      <c r="AB10" s="383">
        <v>44778</v>
      </c>
      <c r="AC10" s="130"/>
      <c r="AD10" s="322" t="s">
        <v>63</v>
      </c>
      <c r="AE10" s="1404" t="s">
        <v>206</v>
      </c>
      <c r="AF10" s="1406">
        <v>45455</v>
      </c>
      <c r="AG10" s="513" t="s">
        <v>212</v>
      </c>
      <c r="AH10" s="513" t="s">
        <v>212</v>
      </c>
      <c r="AI10" s="1387">
        <v>45603</v>
      </c>
      <c r="AJ10" s="513" t="s">
        <v>206</v>
      </c>
      <c r="AK10" s="1387">
        <v>45603</v>
      </c>
      <c r="AM10" s="251">
        <v>45455</v>
      </c>
      <c r="AN10" s="251"/>
    </row>
    <row r="11" spans="1:44" ht="14.4" x14ac:dyDescent="0.3">
      <c r="A11" s="1398">
        <v>10</v>
      </c>
      <c r="B11" s="104">
        <v>30603</v>
      </c>
      <c r="C11" s="319" t="s">
        <v>54</v>
      </c>
      <c r="D11" s="320" t="s">
        <v>226</v>
      </c>
      <c r="E11" s="319" t="s">
        <v>203</v>
      </c>
      <c r="F11" s="319" t="s">
        <v>204</v>
      </c>
      <c r="G11" s="319" t="s">
        <v>12</v>
      </c>
      <c r="H11" s="321">
        <v>43064</v>
      </c>
      <c r="I11" s="321"/>
      <c r="J11" s="320" t="s">
        <v>58</v>
      </c>
      <c r="K11" s="474" t="s">
        <v>205</v>
      </c>
      <c r="L11" s="475" t="s">
        <v>63</v>
      </c>
      <c r="M11" s="475" t="s">
        <v>60</v>
      </c>
      <c r="N11" s="476">
        <v>44180</v>
      </c>
      <c r="O11" s="130"/>
      <c r="P11" s="130"/>
      <c r="Q11" s="130" t="s">
        <v>63</v>
      </c>
      <c r="R11" s="130" t="s">
        <v>62</v>
      </c>
      <c r="S11" s="130"/>
      <c r="T11" s="130" t="s">
        <v>62</v>
      </c>
      <c r="U11" s="130" t="s">
        <v>62</v>
      </c>
      <c r="V11" s="130"/>
      <c r="W11" s="130"/>
      <c r="X11" s="130"/>
      <c r="Y11" s="130"/>
      <c r="Z11" s="469"/>
      <c r="AA11" s="469"/>
      <c r="AB11" s="383">
        <v>44236</v>
      </c>
      <c r="AC11" s="130"/>
      <c r="AD11" s="322" t="s">
        <v>63</v>
      </c>
      <c r="AE11" s="1404" t="s">
        <v>206</v>
      </c>
      <c r="AF11" s="1406">
        <v>45455</v>
      </c>
      <c r="AG11" s="513" t="s">
        <v>212</v>
      </c>
      <c r="AH11" s="513" t="s">
        <v>212</v>
      </c>
      <c r="AI11" s="1387">
        <v>45603</v>
      </c>
      <c r="AJ11" s="513" t="s">
        <v>206</v>
      </c>
      <c r="AK11" s="1387">
        <v>45603</v>
      </c>
      <c r="AM11" s="251">
        <v>45455</v>
      </c>
      <c r="AN11" s="251"/>
    </row>
    <row r="12" spans="1:44" ht="14.4" x14ac:dyDescent="0.3">
      <c r="A12" s="1398">
        <v>11</v>
      </c>
      <c r="B12" s="104">
        <v>30605</v>
      </c>
      <c r="C12" s="319" t="s">
        <v>64</v>
      </c>
      <c r="D12" s="320" t="s">
        <v>227</v>
      </c>
      <c r="E12" s="319" t="s">
        <v>221</v>
      </c>
      <c r="F12" s="319" t="s">
        <v>204</v>
      </c>
      <c r="G12" s="319" t="s">
        <v>12</v>
      </c>
      <c r="H12" s="321">
        <v>43060</v>
      </c>
      <c r="I12" s="321"/>
      <c r="J12" s="320" t="s">
        <v>58</v>
      </c>
      <c r="K12" s="474" t="s">
        <v>205</v>
      </c>
      <c r="L12" s="475" t="s">
        <v>63</v>
      </c>
      <c r="M12" s="475" t="s">
        <v>60</v>
      </c>
      <c r="N12" s="476">
        <v>44177</v>
      </c>
      <c r="O12" s="130"/>
      <c r="P12" s="130"/>
      <c r="Q12" s="130" t="s">
        <v>63</v>
      </c>
      <c r="R12" s="130" t="s">
        <v>68</v>
      </c>
      <c r="S12" s="130"/>
      <c r="T12" s="130" t="s">
        <v>68</v>
      </c>
      <c r="U12" s="130" t="s">
        <v>68</v>
      </c>
      <c r="V12" s="130"/>
      <c r="W12" s="130"/>
      <c r="X12" s="130"/>
      <c r="Y12" s="130"/>
      <c r="Z12" s="469"/>
      <c r="AA12" s="469"/>
      <c r="AB12" s="383">
        <v>44778</v>
      </c>
      <c r="AC12" s="130"/>
      <c r="AD12" s="322" t="s">
        <v>63</v>
      </c>
      <c r="AE12" s="1404" t="s">
        <v>206</v>
      </c>
      <c r="AF12" s="1405"/>
      <c r="AG12" s="1387" t="s">
        <v>228</v>
      </c>
      <c r="AH12" s="1387" t="s">
        <v>228</v>
      </c>
      <c r="AI12" s="1387" t="s">
        <v>228</v>
      </c>
      <c r="AJ12" s="513" t="s">
        <v>206</v>
      </c>
      <c r="AK12" s="513" t="s">
        <v>228</v>
      </c>
      <c r="AM12" s="251"/>
      <c r="AN12" s="251"/>
    </row>
    <row r="13" spans="1:44" ht="14.4" x14ac:dyDescent="0.3">
      <c r="A13" s="1398">
        <v>12</v>
      </c>
      <c r="B13" s="104">
        <v>30605</v>
      </c>
      <c r="C13" s="319" t="s">
        <v>54</v>
      </c>
      <c r="D13" s="320" t="s">
        <v>229</v>
      </c>
      <c r="E13" s="319" t="s">
        <v>221</v>
      </c>
      <c r="F13" s="319" t="s">
        <v>204</v>
      </c>
      <c r="G13" s="319" t="s">
        <v>12</v>
      </c>
      <c r="H13" s="321">
        <v>43060</v>
      </c>
      <c r="I13" s="321"/>
      <c r="J13" s="320" t="s">
        <v>58</v>
      </c>
      <c r="K13" s="474" t="s">
        <v>205</v>
      </c>
      <c r="L13" s="475" t="s">
        <v>63</v>
      </c>
      <c r="M13" s="475" t="s">
        <v>60</v>
      </c>
      <c r="N13" s="475" t="s">
        <v>63</v>
      </c>
      <c r="O13" s="654"/>
      <c r="P13" s="130"/>
      <c r="Q13" s="130" t="s">
        <v>63</v>
      </c>
      <c r="R13" s="130" t="s">
        <v>62</v>
      </c>
      <c r="S13" s="130"/>
      <c r="T13" s="130" t="s">
        <v>62</v>
      </c>
      <c r="U13" s="130" t="s">
        <v>62</v>
      </c>
      <c r="V13" s="130"/>
      <c r="W13" s="130"/>
      <c r="X13" s="130"/>
      <c r="Y13" s="130"/>
      <c r="Z13" s="469"/>
      <c r="AA13" s="469"/>
      <c r="AB13" s="383">
        <v>44301</v>
      </c>
      <c r="AC13" s="130"/>
      <c r="AD13" s="322" t="s">
        <v>63</v>
      </c>
      <c r="AE13" s="1404" t="s">
        <v>206</v>
      </c>
      <c r="AF13" s="1405"/>
      <c r="AG13" s="1387" t="s">
        <v>228</v>
      </c>
      <c r="AH13" s="1387" t="s">
        <v>228</v>
      </c>
      <c r="AI13" s="1387" t="s">
        <v>228</v>
      </c>
      <c r="AJ13" s="513" t="s">
        <v>206</v>
      </c>
      <c r="AK13" s="1387" t="s">
        <v>228</v>
      </c>
    </row>
    <row r="14" spans="1:44" ht="14.4" x14ac:dyDescent="0.3">
      <c r="A14" s="1398">
        <v>13</v>
      </c>
      <c r="B14" s="104">
        <v>30610</v>
      </c>
      <c r="C14" s="319" t="s">
        <v>64</v>
      </c>
      <c r="D14" s="320" t="s">
        <v>230</v>
      </c>
      <c r="E14" s="319" t="s">
        <v>221</v>
      </c>
      <c r="F14" s="319" t="s">
        <v>204</v>
      </c>
      <c r="G14" s="319" t="s">
        <v>12</v>
      </c>
      <c r="H14" s="321">
        <v>43082</v>
      </c>
      <c r="I14" s="321"/>
      <c r="J14" s="320" t="s">
        <v>58</v>
      </c>
      <c r="K14" s="474" t="s">
        <v>205</v>
      </c>
      <c r="L14" s="475" t="s">
        <v>63</v>
      </c>
      <c r="M14" s="475" t="s">
        <v>60</v>
      </c>
      <c r="N14" s="476">
        <v>44193</v>
      </c>
      <c r="O14" s="654"/>
      <c r="P14" s="130"/>
      <c r="Q14" s="130" t="s">
        <v>63</v>
      </c>
      <c r="R14" s="130" t="s">
        <v>68</v>
      </c>
      <c r="S14" s="130"/>
      <c r="T14" s="130" t="s">
        <v>68</v>
      </c>
      <c r="U14" s="130" t="s">
        <v>68</v>
      </c>
      <c r="V14" s="130"/>
      <c r="W14" s="130"/>
      <c r="X14" s="130"/>
      <c r="Y14" s="130"/>
      <c r="Z14" s="469"/>
      <c r="AA14" s="469"/>
      <c r="AB14" s="383"/>
      <c r="AC14" s="130"/>
      <c r="AD14" s="322"/>
      <c r="AE14" s="1404"/>
      <c r="AF14" s="1406"/>
      <c r="AG14" s="1387" t="s">
        <v>217</v>
      </c>
      <c r="AH14" s="1387" t="s">
        <v>217</v>
      </c>
      <c r="AI14" s="1387" t="s">
        <v>217</v>
      </c>
      <c r="AJ14" s="513" t="s">
        <v>206</v>
      </c>
      <c r="AK14" s="1387" t="s">
        <v>217</v>
      </c>
      <c r="AM14" s="24" t="s">
        <v>231</v>
      </c>
    </row>
    <row r="15" spans="1:44" ht="14.4" x14ac:dyDescent="0.3">
      <c r="A15" s="1398">
        <v>14</v>
      </c>
      <c r="B15" s="104">
        <v>30610</v>
      </c>
      <c r="C15" s="319" t="s">
        <v>54</v>
      </c>
      <c r="D15" s="320" t="s">
        <v>232</v>
      </c>
      <c r="E15" s="319" t="s">
        <v>221</v>
      </c>
      <c r="F15" s="319" t="s">
        <v>204</v>
      </c>
      <c r="G15" s="319" t="s">
        <v>12</v>
      </c>
      <c r="H15" s="321">
        <v>43082</v>
      </c>
      <c r="I15" s="321"/>
      <c r="J15" s="320" t="s">
        <v>58</v>
      </c>
      <c r="K15" s="474" t="s">
        <v>205</v>
      </c>
      <c r="L15" s="475" t="s">
        <v>63</v>
      </c>
      <c r="M15" s="475" t="s">
        <v>60</v>
      </c>
      <c r="N15" s="476">
        <v>44191</v>
      </c>
      <c r="O15" s="130"/>
      <c r="P15" s="130"/>
      <c r="Q15" s="130" t="s">
        <v>63</v>
      </c>
      <c r="R15" s="130" t="s">
        <v>62</v>
      </c>
      <c r="S15" s="130"/>
      <c r="T15" s="130" t="s">
        <v>62</v>
      </c>
      <c r="U15" s="130" t="s">
        <v>62</v>
      </c>
      <c r="V15" s="130"/>
      <c r="W15" s="130"/>
      <c r="X15" s="130"/>
      <c r="Y15" s="130"/>
      <c r="Z15" s="469"/>
      <c r="AA15" s="469"/>
      <c r="AB15" s="1293">
        <v>44512</v>
      </c>
      <c r="AC15" s="130"/>
      <c r="AD15" s="322"/>
      <c r="AE15" s="1404"/>
      <c r="AF15" s="1405"/>
      <c r="AG15" s="513" t="s">
        <v>217</v>
      </c>
      <c r="AH15" s="513" t="s">
        <v>217</v>
      </c>
      <c r="AI15" s="513" t="s">
        <v>217</v>
      </c>
      <c r="AJ15" s="513" t="s">
        <v>206</v>
      </c>
      <c r="AK15" s="513" t="s">
        <v>217</v>
      </c>
      <c r="AM15" s="24" t="s">
        <v>231</v>
      </c>
    </row>
    <row r="16" spans="1:44" ht="14.4" x14ac:dyDescent="0.3">
      <c r="A16" s="1398">
        <v>15</v>
      </c>
      <c r="B16" s="104">
        <v>30611</v>
      </c>
      <c r="C16" s="319" t="s">
        <v>64</v>
      </c>
      <c r="D16" s="319" t="s">
        <v>233</v>
      </c>
      <c r="E16" s="319" t="s">
        <v>203</v>
      </c>
      <c r="F16" s="319" t="s">
        <v>204</v>
      </c>
      <c r="G16" s="319" t="s">
        <v>12</v>
      </c>
      <c r="H16" s="321">
        <v>43068</v>
      </c>
      <c r="I16" s="321"/>
      <c r="J16" s="320" t="s">
        <v>58</v>
      </c>
      <c r="K16" s="474" t="s">
        <v>205</v>
      </c>
      <c r="L16" s="475" t="s">
        <v>63</v>
      </c>
      <c r="M16" s="475" t="s">
        <v>60</v>
      </c>
      <c r="N16" s="476">
        <v>44215</v>
      </c>
      <c r="O16" s="130"/>
      <c r="P16" s="130"/>
      <c r="Q16" s="130" t="s">
        <v>63</v>
      </c>
      <c r="R16" s="130" t="s">
        <v>68</v>
      </c>
      <c r="S16" s="130"/>
      <c r="T16" s="130" t="s">
        <v>68</v>
      </c>
      <c r="U16" s="130" t="s">
        <v>68</v>
      </c>
      <c r="V16" s="130"/>
      <c r="W16" s="130"/>
      <c r="X16" s="130"/>
      <c r="Y16" s="130"/>
      <c r="Z16" s="469"/>
      <c r="AA16" s="469"/>
      <c r="AB16" s="383">
        <v>44721</v>
      </c>
      <c r="AC16" s="130"/>
      <c r="AD16" s="322"/>
      <c r="AE16" s="1404" t="s">
        <v>206</v>
      </c>
      <c r="AF16" s="1406">
        <v>45901</v>
      </c>
      <c r="AG16" s="1387">
        <v>45298</v>
      </c>
      <c r="AH16" s="1387">
        <v>45298</v>
      </c>
      <c r="AI16" s="513" t="s">
        <v>234</v>
      </c>
      <c r="AJ16" s="513" t="s">
        <v>206</v>
      </c>
      <c r="AK16" s="513" t="s">
        <v>234</v>
      </c>
      <c r="AM16" s="24" t="s">
        <v>222</v>
      </c>
    </row>
    <row r="17" spans="1:40" ht="14.4" x14ac:dyDescent="0.3">
      <c r="A17" s="1398">
        <v>16</v>
      </c>
      <c r="B17" s="104">
        <v>30611</v>
      </c>
      <c r="C17" s="319" t="s">
        <v>54</v>
      </c>
      <c r="D17" s="324" t="s">
        <v>235</v>
      </c>
      <c r="E17" s="319" t="s">
        <v>203</v>
      </c>
      <c r="F17" s="319" t="s">
        <v>204</v>
      </c>
      <c r="G17" s="319" t="s">
        <v>12</v>
      </c>
      <c r="H17" s="321">
        <v>43068</v>
      </c>
      <c r="I17" s="321"/>
      <c r="J17" s="320" t="s">
        <v>58</v>
      </c>
      <c r="K17" s="474" t="s">
        <v>205</v>
      </c>
      <c r="L17" s="475" t="s">
        <v>63</v>
      </c>
      <c r="M17" s="475" t="s">
        <v>60</v>
      </c>
      <c r="N17" s="476">
        <v>44238</v>
      </c>
      <c r="O17" s="654"/>
      <c r="P17" s="130"/>
      <c r="Q17" s="130" t="s">
        <v>63</v>
      </c>
      <c r="R17" s="130" t="s">
        <v>62</v>
      </c>
      <c r="S17" s="130"/>
      <c r="T17" s="130" t="s">
        <v>62</v>
      </c>
      <c r="U17" s="130" t="s">
        <v>62</v>
      </c>
      <c r="V17" s="317"/>
      <c r="W17" s="130"/>
      <c r="X17" s="130"/>
      <c r="Y17" s="130"/>
      <c r="Z17" s="469"/>
      <c r="AA17" s="469"/>
      <c r="AB17" s="383">
        <v>44806</v>
      </c>
      <c r="AC17" s="130"/>
      <c r="AD17" s="322"/>
      <c r="AE17" s="1404" t="s">
        <v>206</v>
      </c>
      <c r="AF17" s="1406">
        <v>45901</v>
      </c>
      <c r="AG17" s="1387">
        <v>45298</v>
      </c>
      <c r="AH17" s="1387">
        <v>45298</v>
      </c>
      <c r="AI17" s="1387" t="s">
        <v>234</v>
      </c>
      <c r="AJ17" s="513" t="s">
        <v>206</v>
      </c>
      <c r="AK17" s="1387" t="s">
        <v>234</v>
      </c>
      <c r="AM17" s="251" t="s">
        <v>222</v>
      </c>
      <c r="AN17" s="251"/>
    </row>
    <row r="18" spans="1:40" ht="14.4" x14ac:dyDescent="0.3">
      <c r="A18" s="1398">
        <v>17</v>
      </c>
      <c r="B18" s="104">
        <v>30612</v>
      </c>
      <c r="C18" s="319" t="s">
        <v>64</v>
      </c>
      <c r="D18" s="320" t="s">
        <v>236</v>
      </c>
      <c r="E18" s="319" t="s">
        <v>221</v>
      </c>
      <c r="F18" s="319" t="s">
        <v>204</v>
      </c>
      <c r="G18" s="319" t="s">
        <v>12</v>
      </c>
      <c r="H18" s="321">
        <v>43100</v>
      </c>
      <c r="I18" s="321"/>
      <c r="J18" s="320" t="s">
        <v>58</v>
      </c>
      <c r="K18" s="474" t="s">
        <v>205</v>
      </c>
      <c r="L18" s="475" t="s">
        <v>63</v>
      </c>
      <c r="M18" s="475" t="s">
        <v>60</v>
      </c>
      <c r="N18" s="476">
        <v>44217</v>
      </c>
      <c r="O18" s="654"/>
      <c r="P18" s="130"/>
      <c r="Q18" s="130" t="s">
        <v>63</v>
      </c>
      <c r="R18" s="130" t="s">
        <v>68</v>
      </c>
      <c r="S18" s="130"/>
      <c r="T18" s="130" t="s">
        <v>68</v>
      </c>
      <c r="U18" s="130" t="s">
        <v>68</v>
      </c>
      <c r="V18" s="130"/>
      <c r="W18" s="130"/>
      <c r="X18" s="130"/>
      <c r="Y18" s="130"/>
      <c r="Z18" s="469"/>
      <c r="AA18" s="469"/>
      <c r="AB18" s="383"/>
      <c r="AC18" s="130"/>
      <c r="AD18" s="322" t="s">
        <v>63</v>
      </c>
      <c r="AE18" s="1404" t="s">
        <v>206</v>
      </c>
      <c r="AF18" s="1406"/>
      <c r="AG18" s="513" t="s">
        <v>237</v>
      </c>
      <c r="AH18" s="513" t="s">
        <v>237</v>
      </c>
      <c r="AI18" s="513" t="s">
        <v>237</v>
      </c>
      <c r="AJ18" s="513" t="s">
        <v>206</v>
      </c>
      <c r="AK18" s="1387">
        <v>45481</v>
      </c>
      <c r="AM18" s="24" t="s">
        <v>238</v>
      </c>
    </row>
    <row r="19" spans="1:40" ht="14.4" x14ac:dyDescent="0.3">
      <c r="A19" s="1398">
        <v>18</v>
      </c>
      <c r="B19" s="104">
        <v>30612</v>
      </c>
      <c r="C19" s="319" t="s">
        <v>54</v>
      </c>
      <c r="D19" s="319" t="s">
        <v>239</v>
      </c>
      <c r="E19" s="319" t="s">
        <v>221</v>
      </c>
      <c r="F19" s="319" t="s">
        <v>204</v>
      </c>
      <c r="G19" s="319" t="s">
        <v>12</v>
      </c>
      <c r="H19" s="321">
        <v>43100</v>
      </c>
      <c r="I19" s="321"/>
      <c r="J19" s="320" t="s">
        <v>58</v>
      </c>
      <c r="K19" s="474" t="s">
        <v>205</v>
      </c>
      <c r="L19" s="475" t="s">
        <v>63</v>
      </c>
      <c r="M19" s="475" t="s">
        <v>60</v>
      </c>
      <c r="N19" s="476">
        <v>44200</v>
      </c>
      <c r="O19" s="130"/>
      <c r="P19" s="130"/>
      <c r="Q19" s="130" t="s">
        <v>63</v>
      </c>
      <c r="R19" s="130" t="s">
        <v>62</v>
      </c>
      <c r="S19" s="130"/>
      <c r="T19" s="130" t="s">
        <v>62</v>
      </c>
      <c r="U19" s="130" t="s">
        <v>62</v>
      </c>
      <c r="V19" s="130"/>
      <c r="W19" s="130"/>
      <c r="X19" s="130"/>
      <c r="Y19" s="130"/>
      <c r="Z19" s="469"/>
      <c r="AA19" s="469"/>
      <c r="AB19" s="383"/>
      <c r="AC19" s="130"/>
      <c r="AD19" s="322" t="s">
        <v>63</v>
      </c>
      <c r="AE19" s="1404" t="s">
        <v>206</v>
      </c>
      <c r="AF19" s="1405"/>
      <c r="AG19" s="513" t="s">
        <v>237</v>
      </c>
      <c r="AH19" s="513" t="s">
        <v>237</v>
      </c>
      <c r="AI19" s="513" t="s">
        <v>237</v>
      </c>
      <c r="AJ19" s="513" t="s">
        <v>206</v>
      </c>
      <c r="AK19" s="1387">
        <v>45481</v>
      </c>
      <c r="AM19" s="24" t="s">
        <v>238</v>
      </c>
    </row>
    <row r="20" spans="1:40" ht="14.4" x14ac:dyDescent="0.3">
      <c r="A20" s="1398">
        <v>19</v>
      </c>
      <c r="B20" s="104">
        <v>30613</v>
      </c>
      <c r="C20" s="319" t="s">
        <v>64</v>
      </c>
      <c r="D20" s="320" t="s">
        <v>240</v>
      </c>
      <c r="E20" s="319" t="s">
        <v>221</v>
      </c>
      <c r="F20" s="319" t="s">
        <v>204</v>
      </c>
      <c r="G20" s="319" t="s">
        <v>12</v>
      </c>
      <c r="H20" s="321">
        <v>43130</v>
      </c>
      <c r="I20" s="321"/>
      <c r="J20" s="320" t="s">
        <v>58</v>
      </c>
      <c r="K20" s="474" t="s">
        <v>205</v>
      </c>
      <c r="L20" s="475" t="s">
        <v>63</v>
      </c>
      <c r="M20" s="475" t="s">
        <v>60</v>
      </c>
      <c r="N20" s="476">
        <v>44217</v>
      </c>
      <c r="O20" s="130"/>
      <c r="P20" s="130"/>
      <c r="Q20" s="130" t="s">
        <v>63</v>
      </c>
      <c r="R20" s="130" t="s">
        <v>68</v>
      </c>
      <c r="S20" s="130"/>
      <c r="T20" s="130" t="s">
        <v>68</v>
      </c>
      <c r="U20" s="130" t="s">
        <v>68</v>
      </c>
      <c r="V20" s="130"/>
      <c r="W20" s="130"/>
      <c r="X20" s="130"/>
      <c r="Y20" s="130"/>
      <c r="Z20" s="469"/>
      <c r="AA20" s="469"/>
      <c r="AB20" s="383"/>
      <c r="AC20" s="130"/>
      <c r="AD20" s="322" t="s">
        <v>63</v>
      </c>
      <c r="AE20" s="1404"/>
      <c r="AF20" s="1405"/>
      <c r="AG20" s="513" t="s">
        <v>241</v>
      </c>
      <c r="AH20" s="513" t="s">
        <v>241</v>
      </c>
      <c r="AI20" s="513" t="s">
        <v>241</v>
      </c>
      <c r="AJ20" s="513" t="s">
        <v>206</v>
      </c>
      <c r="AK20" s="513" t="s">
        <v>242</v>
      </c>
      <c r="AM20" s="24" t="s">
        <v>243</v>
      </c>
    </row>
    <row r="21" spans="1:40" ht="14.4" x14ac:dyDescent="0.3">
      <c r="A21" s="1398">
        <v>20</v>
      </c>
      <c r="B21" s="104">
        <v>30613</v>
      </c>
      <c r="C21" s="319" t="s">
        <v>54</v>
      </c>
      <c r="D21" s="319" t="s">
        <v>244</v>
      </c>
      <c r="E21" s="319" t="s">
        <v>221</v>
      </c>
      <c r="F21" s="319" t="s">
        <v>204</v>
      </c>
      <c r="G21" s="319" t="s">
        <v>12</v>
      </c>
      <c r="H21" s="321">
        <v>43130</v>
      </c>
      <c r="I21" s="321"/>
      <c r="J21" s="320" t="s">
        <v>58</v>
      </c>
      <c r="K21" s="474" t="s">
        <v>205</v>
      </c>
      <c r="L21" s="475" t="s">
        <v>63</v>
      </c>
      <c r="M21" s="475" t="s">
        <v>60</v>
      </c>
      <c r="N21" s="476">
        <v>44300</v>
      </c>
      <c r="O21" s="654">
        <v>44086</v>
      </c>
      <c r="P21" s="130"/>
      <c r="Q21" s="130" t="s">
        <v>63</v>
      </c>
      <c r="R21" s="130" t="s">
        <v>62</v>
      </c>
      <c r="S21" s="130"/>
      <c r="T21" s="130" t="s">
        <v>62</v>
      </c>
      <c r="U21" s="130" t="s">
        <v>62</v>
      </c>
      <c r="V21" s="317"/>
      <c r="W21" s="130" t="s">
        <v>62</v>
      </c>
      <c r="X21" s="130"/>
      <c r="Y21" s="130"/>
      <c r="Z21" s="469"/>
      <c r="AA21" s="469"/>
      <c r="AB21" s="383"/>
      <c r="AC21" s="130"/>
      <c r="AD21" s="322" t="s">
        <v>63</v>
      </c>
      <c r="AE21" s="1404"/>
      <c r="AF21" s="1406"/>
      <c r="AG21" s="513" t="s">
        <v>241</v>
      </c>
      <c r="AH21" s="513" t="s">
        <v>241</v>
      </c>
      <c r="AI21" s="1387" t="s">
        <v>241</v>
      </c>
      <c r="AJ21" s="513" t="s">
        <v>206</v>
      </c>
      <c r="AK21" s="1387" t="s">
        <v>242</v>
      </c>
      <c r="AM21" s="251" t="s">
        <v>243</v>
      </c>
      <c r="AN21" s="251"/>
    </row>
    <row r="22" spans="1:40" ht="14.4" x14ac:dyDescent="0.3">
      <c r="A22" s="1398">
        <v>21</v>
      </c>
      <c r="B22" s="104">
        <v>30617</v>
      </c>
      <c r="C22" s="319" t="s">
        <v>64</v>
      </c>
      <c r="D22" s="319" t="s">
        <v>245</v>
      </c>
      <c r="E22" s="319" t="s">
        <v>221</v>
      </c>
      <c r="F22" s="319" t="s">
        <v>204</v>
      </c>
      <c r="G22" s="319" t="s">
        <v>12</v>
      </c>
      <c r="H22" s="321">
        <v>43102</v>
      </c>
      <c r="I22" s="321"/>
      <c r="J22" s="320" t="s">
        <v>58</v>
      </c>
      <c r="K22" s="474" t="s">
        <v>205</v>
      </c>
      <c r="L22" s="475" t="s">
        <v>63</v>
      </c>
      <c r="M22" s="475" t="s">
        <v>60</v>
      </c>
      <c r="N22" s="476">
        <v>44301</v>
      </c>
      <c r="O22" s="1146"/>
      <c r="P22" s="322"/>
      <c r="Q22" s="130" t="s">
        <v>63</v>
      </c>
      <c r="R22" s="130" t="s">
        <v>68</v>
      </c>
      <c r="S22" s="322"/>
      <c r="T22" s="130" t="s">
        <v>68</v>
      </c>
      <c r="U22" s="130" t="s">
        <v>68</v>
      </c>
      <c r="V22" s="322"/>
      <c r="W22" s="322"/>
      <c r="X22" s="130"/>
      <c r="Y22" s="322"/>
      <c r="Z22" s="565"/>
      <c r="AA22" s="565"/>
      <c r="AB22" s="383"/>
      <c r="AC22" s="322"/>
      <c r="AD22" s="322" t="s">
        <v>63</v>
      </c>
      <c r="AE22" s="1404" t="s">
        <v>206</v>
      </c>
      <c r="AF22" s="1406"/>
      <c r="AG22" s="1387">
        <v>45574</v>
      </c>
      <c r="AH22" s="1387">
        <v>45574</v>
      </c>
      <c r="AI22" s="1387">
        <v>45574</v>
      </c>
      <c r="AJ22" s="513" t="s">
        <v>206</v>
      </c>
      <c r="AK22" s="1387">
        <v>45638</v>
      </c>
      <c r="AM22" s="251">
        <v>45574</v>
      </c>
      <c r="AN22" s="251"/>
    </row>
    <row r="23" spans="1:40" ht="14.4" x14ac:dyDescent="0.3">
      <c r="A23" s="1398">
        <v>22</v>
      </c>
      <c r="B23" s="104">
        <v>30617</v>
      </c>
      <c r="C23" s="319" t="s">
        <v>54</v>
      </c>
      <c r="D23" s="320" t="s">
        <v>246</v>
      </c>
      <c r="E23" s="319" t="s">
        <v>221</v>
      </c>
      <c r="F23" s="319" t="s">
        <v>204</v>
      </c>
      <c r="G23" s="319" t="s">
        <v>12</v>
      </c>
      <c r="H23" s="321">
        <v>43102</v>
      </c>
      <c r="I23" s="321"/>
      <c r="J23" s="320" t="s">
        <v>58</v>
      </c>
      <c r="K23" s="474" t="s">
        <v>205</v>
      </c>
      <c r="L23" s="475" t="s">
        <v>63</v>
      </c>
      <c r="M23" s="475" t="s">
        <v>60</v>
      </c>
      <c r="N23" s="476">
        <v>44230</v>
      </c>
      <c r="O23" s="130"/>
      <c r="P23" s="130"/>
      <c r="Q23" s="130" t="s">
        <v>63</v>
      </c>
      <c r="R23" s="130" t="s">
        <v>62</v>
      </c>
      <c r="S23" s="130"/>
      <c r="T23" s="130" t="s">
        <v>62</v>
      </c>
      <c r="U23" s="130" t="s">
        <v>62</v>
      </c>
      <c r="V23" s="130"/>
      <c r="W23" s="130"/>
      <c r="X23" s="130"/>
      <c r="Y23" s="130"/>
      <c r="Z23" s="469"/>
      <c r="AA23" s="469"/>
      <c r="AB23" s="383"/>
      <c r="AC23" s="130"/>
      <c r="AD23" s="322" t="s">
        <v>63</v>
      </c>
      <c r="AE23" s="1404" t="s">
        <v>206</v>
      </c>
      <c r="AF23" s="1405"/>
      <c r="AG23" s="1387">
        <v>45574</v>
      </c>
      <c r="AH23" s="1387">
        <v>45574</v>
      </c>
      <c r="AI23" s="1387">
        <v>45574</v>
      </c>
      <c r="AJ23" s="513" t="s">
        <v>206</v>
      </c>
      <c r="AK23" s="1387">
        <v>45638</v>
      </c>
      <c r="AM23" s="251">
        <v>45574</v>
      </c>
      <c r="AN23" s="251"/>
    </row>
    <row r="24" spans="1:40" ht="14.4" x14ac:dyDescent="0.3">
      <c r="A24" s="1398">
        <v>23</v>
      </c>
      <c r="B24" s="104">
        <v>30618</v>
      </c>
      <c r="C24" s="319" t="s">
        <v>64</v>
      </c>
      <c r="D24" s="320" t="s">
        <v>247</v>
      </c>
      <c r="E24" s="319" t="s">
        <v>221</v>
      </c>
      <c r="F24" s="319" t="s">
        <v>204</v>
      </c>
      <c r="G24" s="319" t="s">
        <v>12</v>
      </c>
      <c r="H24" s="321">
        <v>43099</v>
      </c>
      <c r="I24" s="321"/>
      <c r="J24" s="320" t="s">
        <v>58</v>
      </c>
      <c r="K24" s="474" t="s">
        <v>205</v>
      </c>
      <c r="L24" s="475" t="s">
        <v>63</v>
      </c>
      <c r="M24" s="475" t="s">
        <v>60</v>
      </c>
      <c r="N24" s="476">
        <v>44263</v>
      </c>
      <c r="O24" s="654"/>
      <c r="P24" s="130"/>
      <c r="Q24" s="130" t="s">
        <v>63</v>
      </c>
      <c r="R24" s="130" t="s">
        <v>68</v>
      </c>
      <c r="S24" s="130"/>
      <c r="T24" s="130" t="s">
        <v>68</v>
      </c>
      <c r="U24" s="130" t="s">
        <v>68</v>
      </c>
      <c r="V24" s="130"/>
      <c r="W24" s="130"/>
      <c r="X24" s="130"/>
      <c r="Y24" s="130"/>
      <c r="Z24" s="469"/>
      <c r="AA24" s="469"/>
      <c r="AB24" s="1116"/>
      <c r="AC24" s="130"/>
      <c r="AD24" s="322" t="s">
        <v>63</v>
      </c>
      <c r="AE24" s="1404" t="s">
        <v>206</v>
      </c>
      <c r="AF24" s="1406"/>
      <c r="AG24" s="1387">
        <v>45634</v>
      </c>
      <c r="AH24" s="1387">
        <v>41251</v>
      </c>
      <c r="AI24" s="1387">
        <v>45634</v>
      </c>
      <c r="AJ24" s="513" t="s">
        <v>206</v>
      </c>
      <c r="AK24" s="1387">
        <v>45573</v>
      </c>
    </row>
    <row r="25" spans="1:40" ht="14.4" x14ac:dyDescent="0.3">
      <c r="A25" s="1398">
        <v>24</v>
      </c>
      <c r="B25" s="104">
        <v>30618</v>
      </c>
      <c r="C25" s="319" t="s">
        <v>54</v>
      </c>
      <c r="D25" s="320" t="s">
        <v>248</v>
      </c>
      <c r="E25" s="319" t="s">
        <v>221</v>
      </c>
      <c r="F25" s="319" t="s">
        <v>204</v>
      </c>
      <c r="G25" s="319" t="s">
        <v>12</v>
      </c>
      <c r="H25" s="321">
        <v>43099</v>
      </c>
      <c r="I25" s="321"/>
      <c r="J25" s="320" t="s">
        <v>58</v>
      </c>
      <c r="K25" s="474" t="s">
        <v>205</v>
      </c>
      <c r="L25" s="475" t="s">
        <v>63</v>
      </c>
      <c r="M25" s="475" t="s">
        <v>60</v>
      </c>
      <c r="N25" s="476">
        <v>44280</v>
      </c>
      <c r="O25" s="654"/>
      <c r="P25" s="130"/>
      <c r="Q25" s="130" t="s">
        <v>63</v>
      </c>
      <c r="R25" s="130" t="s">
        <v>62</v>
      </c>
      <c r="S25" s="130"/>
      <c r="T25" s="130" t="s">
        <v>62</v>
      </c>
      <c r="U25" s="130" t="s">
        <v>62</v>
      </c>
      <c r="V25" s="130"/>
      <c r="W25" s="130"/>
      <c r="X25" s="130"/>
      <c r="Y25" s="130"/>
      <c r="Z25" s="469"/>
      <c r="AA25" s="469"/>
      <c r="AB25" s="383"/>
      <c r="AC25" s="130"/>
      <c r="AD25" s="322" t="s">
        <v>63</v>
      </c>
      <c r="AE25" s="1404" t="s">
        <v>206</v>
      </c>
      <c r="AF25" s="1405"/>
      <c r="AG25" s="1387">
        <v>45634</v>
      </c>
      <c r="AH25" s="1387">
        <v>45634</v>
      </c>
      <c r="AI25" s="1387">
        <v>45634</v>
      </c>
      <c r="AJ25" s="513" t="s">
        <v>206</v>
      </c>
      <c r="AK25" s="1387">
        <v>45573</v>
      </c>
      <c r="AM25" s="251"/>
      <c r="AN25" s="251"/>
    </row>
    <row r="26" spans="1:40" ht="14.4" x14ac:dyDescent="0.3">
      <c r="A26" s="1398">
        <v>25</v>
      </c>
      <c r="B26" s="104">
        <v>37062</v>
      </c>
      <c r="C26" s="319" t="s">
        <v>64</v>
      </c>
      <c r="D26" s="133" t="s">
        <v>249</v>
      </c>
      <c r="E26" s="319" t="s">
        <v>203</v>
      </c>
      <c r="F26" s="319" t="s">
        <v>204</v>
      </c>
      <c r="G26" s="319" t="s">
        <v>12</v>
      </c>
      <c r="H26" s="321">
        <v>43456</v>
      </c>
      <c r="I26" s="321"/>
      <c r="J26" s="320" t="s">
        <v>58</v>
      </c>
      <c r="K26" s="474" t="s">
        <v>205</v>
      </c>
      <c r="L26" s="475" t="s">
        <v>63</v>
      </c>
      <c r="M26" s="475" t="s">
        <v>60</v>
      </c>
      <c r="N26" s="476">
        <v>44176</v>
      </c>
      <c r="O26" s="130"/>
      <c r="P26" s="130"/>
      <c r="Q26" s="130" t="s">
        <v>63</v>
      </c>
      <c r="R26" s="130" t="s">
        <v>68</v>
      </c>
      <c r="S26" s="130"/>
      <c r="T26" s="130" t="s">
        <v>68</v>
      </c>
      <c r="U26" s="130" t="s">
        <v>68</v>
      </c>
      <c r="V26" s="130"/>
      <c r="W26" s="130"/>
      <c r="X26" s="130"/>
      <c r="Y26" s="130"/>
      <c r="Z26" s="469"/>
      <c r="AA26" s="469"/>
      <c r="AB26" s="383"/>
      <c r="AC26" s="130"/>
      <c r="AD26" s="322" t="s">
        <v>63</v>
      </c>
      <c r="AE26" s="1404" t="s">
        <v>206</v>
      </c>
      <c r="AF26" s="1406">
        <v>45573</v>
      </c>
      <c r="AG26" s="1387">
        <v>45573</v>
      </c>
      <c r="AH26" s="1387">
        <v>45573</v>
      </c>
      <c r="AI26" s="1387">
        <v>45573</v>
      </c>
      <c r="AJ26" s="513" t="s">
        <v>206</v>
      </c>
      <c r="AK26" s="1387">
        <v>45573</v>
      </c>
      <c r="AM26" s="24" t="s">
        <v>250</v>
      </c>
    </row>
    <row r="27" spans="1:40" ht="14.4" x14ac:dyDescent="0.3">
      <c r="A27" s="1398">
        <v>26</v>
      </c>
      <c r="B27" s="104">
        <v>37062</v>
      </c>
      <c r="C27" s="319" t="s">
        <v>54</v>
      </c>
      <c r="D27" s="319" t="s">
        <v>251</v>
      </c>
      <c r="E27" s="319" t="s">
        <v>203</v>
      </c>
      <c r="F27" s="319" t="s">
        <v>204</v>
      </c>
      <c r="G27" s="319" t="s">
        <v>12</v>
      </c>
      <c r="H27" s="321">
        <v>43456</v>
      </c>
      <c r="I27" s="321"/>
      <c r="J27" s="320" t="s">
        <v>58</v>
      </c>
      <c r="K27" s="474" t="s">
        <v>205</v>
      </c>
      <c r="L27" s="475" t="s">
        <v>63</v>
      </c>
      <c r="M27" s="475" t="s">
        <v>60</v>
      </c>
      <c r="N27" s="476">
        <v>44184</v>
      </c>
      <c r="O27" s="130"/>
      <c r="P27" s="130"/>
      <c r="Q27" s="130" t="s">
        <v>63</v>
      </c>
      <c r="R27" s="130" t="s">
        <v>62</v>
      </c>
      <c r="S27" s="130"/>
      <c r="T27" s="130" t="s">
        <v>62</v>
      </c>
      <c r="U27" s="130" t="s">
        <v>62</v>
      </c>
      <c r="V27" s="130"/>
      <c r="W27" s="130"/>
      <c r="X27" s="130"/>
      <c r="Y27" s="130"/>
      <c r="Z27" s="469"/>
      <c r="AA27" s="469"/>
      <c r="AB27" s="383">
        <v>44408</v>
      </c>
      <c r="AC27" s="130"/>
      <c r="AD27" s="322" t="s">
        <v>63</v>
      </c>
      <c r="AE27" s="1404" t="s">
        <v>206</v>
      </c>
      <c r="AF27" s="1406">
        <v>45573</v>
      </c>
      <c r="AG27" s="1387">
        <v>45573</v>
      </c>
      <c r="AH27" s="1387">
        <v>45573</v>
      </c>
      <c r="AI27" s="1387">
        <v>45573</v>
      </c>
      <c r="AJ27" s="513" t="s">
        <v>206</v>
      </c>
      <c r="AK27" s="1387">
        <v>45573</v>
      </c>
      <c r="AM27" s="24" t="s">
        <v>250</v>
      </c>
    </row>
    <row r="28" spans="1:40" ht="14.4" x14ac:dyDescent="0.3">
      <c r="A28" s="1398">
        <v>27</v>
      </c>
      <c r="B28" s="104">
        <v>37085</v>
      </c>
      <c r="C28" s="319" t="s">
        <v>64</v>
      </c>
      <c r="D28" s="320" t="s">
        <v>252</v>
      </c>
      <c r="E28" s="319" t="s">
        <v>203</v>
      </c>
      <c r="F28" s="319" t="s">
        <v>204</v>
      </c>
      <c r="G28" s="319" t="s">
        <v>12</v>
      </c>
      <c r="H28" s="321">
        <v>43507</v>
      </c>
      <c r="I28" s="321"/>
      <c r="J28" s="320" t="s">
        <v>58</v>
      </c>
      <c r="K28" s="474" t="s">
        <v>205</v>
      </c>
      <c r="L28" s="475" t="s">
        <v>63</v>
      </c>
      <c r="M28" s="475" t="s">
        <v>60</v>
      </c>
      <c r="N28" s="476">
        <v>44214</v>
      </c>
      <c r="O28" s="130"/>
      <c r="P28" s="130"/>
      <c r="Q28" s="130" t="s">
        <v>63</v>
      </c>
      <c r="R28" s="130" t="s">
        <v>68</v>
      </c>
      <c r="S28" s="130"/>
      <c r="T28" s="130" t="s">
        <v>68</v>
      </c>
      <c r="U28" s="130" t="s">
        <v>68</v>
      </c>
      <c r="V28" s="130"/>
      <c r="W28" s="130"/>
      <c r="X28" s="130"/>
      <c r="Y28" s="130"/>
      <c r="Z28" s="469"/>
      <c r="AA28" s="469"/>
      <c r="AB28" s="383">
        <v>44020</v>
      </c>
      <c r="AC28" s="130"/>
      <c r="AD28" s="322"/>
      <c r="AE28" s="1404" t="s">
        <v>206</v>
      </c>
      <c r="AF28" s="1405" t="s">
        <v>253</v>
      </c>
      <c r="AG28" s="513" t="s">
        <v>254</v>
      </c>
      <c r="AH28" s="513" t="s">
        <v>254</v>
      </c>
      <c r="AI28" s="513" t="s">
        <v>253</v>
      </c>
      <c r="AJ28" s="513" t="s">
        <v>206</v>
      </c>
      <c r="AK28" s="513" t="s">
        <v>253</v>
      </c>
      <c r="AM28" s="24" t="s">
        <v>255</v>
      </c>
    </row>
    <row r="29" spans="1:40" ht="14.4" x14ac:dyDescent="0.3">
      <c r="A29" s="1398">
        <v>28</v>
      </c>
      <c r="B29" s="104">
        <v>37085</v>
      </c>
      <c r="C29" s="319" t="s">
        <v>54</v>
      </c>
      <c r="D29" s="319" t="s">
        <v>256</v>
      </c>
      <c r="E29" s="319" t="s">
        <v>203</v>
      </c>
      <c r="F29" s="319" t="s">
        <v>204</v>
      </c>
      <c r="G29" s="319" t="s">
        <v>12</v>
      </c>
      <c r="H29" s="321">
        <v>43507</v>
      </c>
      <c r="I29" s="321"/>
      <c r="J29" s="320" t="s">
        <v>58</v>
      </c>
      <c r="K29" s="474" t="s">
        <v>205</v>
      </c>
      <c r="L29" s="475" t="s">
        <v>63</v>
      </c>
      <c r="M29" s="475" t="s">
        <v>60</v>
      </c>
      <c r="N29" s="475" t="s">
        <v>75</v>
      </c>
      <c r="O29" s="130"/>
      <c r="P29" s="130"/>
      <c r="Q29" s="130" t="s">
        <v>63</v>
      </c>
      <c r="R29" s="130" t="s">
        <v>62</v>
      </c>
      <c r="S29" s="130"/>
      <c r="T29" s="130" t="s">
        <v>62</v>
      </c>
      <c r="U29" s="130" t="s">
        <v>62</v>
      </c>
      <c r="V29" s="325"/>
      <c r="W29" s="130"/>
      <c r="X29" s="130"/>
      <c r="Y29" s="130"/>
      <c r="Z29" s="469"/>
      <c r="AA29" s="469"/>
      <c r="AB29" s="383"/>
      <c r="AC29" s="130"/>
      <c r="AD29" s="322"/>
      <c r="AE29" s="1404" t="s">
        <v>206</v>
      </c>
      <c r="AF29" s="1405" t="s">
        <v>253</v>
      </c>
      <c r="AG29" s="1387" t="s">
        <v>254</v>
      </c>
      <c r="AH29" s="1387" t="s">
        <v>254</v>
      </c>
      <c r="AI29" s="1387" t="s">
        <v>253</v>
      </c>
      <c r="AJ29" s="513" t="s">
        <v>206</v>
      </c>
      <c r="AK29" s="513" t="s">
        <v>253</v>
      </c>
      <c r="AM29" s="24" t="s">
        <v>255</v>
      </c>
    </row>
    <row r="30" spans="1:40" ht="14.4" x14ac:dyDescent="0.3">
      <c r="A30" s="1398">
        <v>29</v>
      </c>
      <c r="B30" s="104">
        <v>37363</v>
      </c>
      <c r="C30" s="319" t="s">
        <v>64</v>
      </c>
      <c r="D30" s="319" t="s">
        <v>257</v>
      </c>
      <c r="E30" s="319" t="s">
        <v>203</v>
      </c>
      <c r="F30" s="319" t="s">
        <v>204</v>
      </c>
      <c r="G30" s="319" t="s">
        <v>12</v>
      </c>
      <c r="H30" s="321">
        <v>43977</v>
      </c>
      <c r="I30" s="321"/>
      <c r="J30" s="320" t="s">
        <v>58</v>
      </c>
      <c r="K30" s="474" t="s">
        <v>205</v>
      </c>
      <c r="L30" s="475" t="s">
        <v>75</v>
      </c>
      <c r="M30" s="475" t="s">
        <v>60</v>
      </c>
      <c r="N30" s="475" t="s">
        <v>75</v>
      </c>
      <c r="O30" s="1146"/>
      <c r="P30" s="322"/>
      <c r="Q30" s="130" t="s">
        <v>75</v>
      </c>
      <c r="R30" s="130" t="s">
        <v>75</v>
      </c>
      <c r="S30" s="322"/>
      <c r="T30" s="130" t="s">
        <v>68</v>
      </c>
      <c r="U30" s="130" t="s">
        <v>68</v>
      </c>
      <c r="V30" s="322"/>
      <c r="W30" s="322"/>
      <c r="X30" s="130"/>
      <c r="Y30" s="322"/>
      <c r="Z30" s="565"/>
      <c r="AA30" s="565"/>
      <c r="AB30" s="383"/>
      <c r="AC30" s="322"/>
      <c r="AD30" s="322"/>
      <c r="AE30" s="1404" t="s">
        <v>206</v>
      </c>
      <c r="AF30" s="1405" t="s">
        <v>258</v>
      </c>
      <c r="AG30" s="513" t="s">
        <v>259</v>
      </c>
      <c r="AH30" s="513" t="s">
        <v>259</v>
      </c>
      <c r="AI30" s="513" t="s">
        <v>259</v>
      </c>
      <c r="AJ30" s="513" t="s">
        <v>206</v>
      </c>
      <c r="AK30" s="1387" t="s">
        <v>258</v>
      </c>
      <c r="AM30" s="251" t="s">
        <v>260</v>
      </c>
      <c r="AN30" s="251"/>
    </row>
    <row r="31" spans="1:40" ht="14.4" x14ac:dyDescent="0.3">
      <c r="A31" s="1398">
        <v>30</v>
      </c>
      <c r="B31" s="104">
        <v>37363</v>
      </c>
      <c r="C31" s="319" t="s">
        <v>54</v>
      </c>
      <c r="D31" s="319" t="s">
        <v>261</v>
      </c>
      <c r="E31" s="319" t="s">
        <v>203</v>
      </c>
      <c r="F31" s="319" t="s">
        <v>204</v>
      </c>
      <c r="G31" s="319" t="s">
        <v>12</v>
      </c>
      <c r="H31" s="321">
        <v>43977</v>
      </c>
      <c r="I31" s="319"/>
      <c r="J31" s="320" t="s">
        <v>58</v>
      </c>
      <c r="K31" s="474" t="s">
        <v>205</v>
      </c>
      <c r="L31" s="475" t="s">
        <v>75</v>
      </c>
      <c r="M31" s="475" t="s">
        <v>60</v>
      </c>
      <c r="N31" s="475" t="s">
        <v>75</v>
      </c>
      <c r="O31" s="322"/>
      <c r="P31" s="322"/>
      <c r="Q31" s="130" t="s">
        <v>75</v>
      </c>
      <c r="R31" s="130" t="s">
        <v>75</v>
      </c>
      <c r="S31" s="322"/>
      <c r="T31" s="130" t="s">
        <v>62</v>
      </c>
      <c r="U31" s="130" t="s">
        <v>62</v>
      </c>
      <c r="V31" s="322"/>
      <c r="W31" s="322"/>
      <c r="X31" s="130"/>
      <c r="Y31" s="322"/>
      <c r="Z31" s="565"/>
      <c r="AA31" s="565"/>
      <c r="AB31" s="383"/>
      <c r="AC31" s="322"/>
      <c r="AD31" s="322"/>
      <c r="AE31" s="1404" t="s">
        <v>206</v>
      </c>
      <c r="AF31" s="1405" t="s">
        <v>258</v>
      </c>
      <c r="AG31" s="513" t="s">
        <v>259</v>
      </c>
      <c r="AH31" s="513" t="s">
        <v>259</v>
      </c>
      <c r="AI31" s="513" t="s">
        <v>259</v>
      </c>
      <c r="AJ31" s="513" t="s">
        <v>206</v>
      </c>
      <c r="AK31" s="513" t="s">
        <v>258</v>
      </c>
      <c r="AM31" s="24" t="s">
        <v>260</v>
      </c>
    </row>
    <row r="32" spans="1:40" ht="14.4" x14ac:dyDescent="0.3">
      <c r="A32" s="1398">
        <v>31</v>
      </c>
      <c r="B32" s="104">
        <v>37375</v>
      </c>
      <c r="C32" s="319" t="s">
        <v>64</v>
      </c>
      <c r="D32" s="319" t="s">
        <v>262</v>
      </c>
      <c r="E32" s="319" t="s">
        <v>203</v>
      </c>
      <c r="F32" s="319" t="s">
        <v>204</v>
      </c>
      <c r="G32" s="319" t="s">
        <v>12</v>
      </c>
      <c r="H32" s="321">
        <v>44004</v>
      </c>
      <c r="I32" s="319"/>
      <c r="J32" s="320" t="s">
        <v>58</v>
      </c>
      <c r="K32" s="474" t="s">
        <v>205</v>
      </c>
      <c r="L32" s="475" t="s">
        <v>75</v>
      </c>
      <c r="M32" s="475" t="s">
        <v>60</v>
      </c>
      <c r="N32" s="475" t="s">
        <v>75</v>
      </c>
      <c r="O32" s="322"/>
      <c r="P32" s="322"/>
      <c r="Q32" s="130" t="s">
        <v>75</v>
      </c>
      <c r="R32" s="130" t="s">
        <v>75</v>
      </c>
      <c r="S32" s="322"/>
      <c r="T32" s="130" t="s">
        <v>68</v>
      </c>
      <c r="U32" s="130" t="s">
        <v>68</v>
      </c>
      <c r="V32" s="322"/>
      <c r="W32" s="322"/>
      <c r="X32" s="130"/>
      <c r="Y32" s="322"/>
      <c r="Z32" s="565"/>
      <c r="AA32" s="565"/>
      <c r="AB32" s="383"/>
      <c r="AC32" s="322"/>
      <c r="AD32" s="322"/>
      <c r="AE32" s="1404" t="s">
        <v>206</v>
      </c>
      <c r="AF32" s="1406">
        <v>45452</v>
      </c>
      <c r="AG32" s="1387">
        <v>45482</v>
      </c>
      <c r="AH32" s="1387">
        <v>45482</v>
      </c>
      <c r="AI32" s="1387">
        <v>45452</v>
      </c>
      <c r="AJ32" s="513" t="s">
        <v>206</v>
      </c>
      <c r="AK32" s="1387">
        <v>45452</v>
      </c>
      <c r="AM32" s="251">
        <v>45452</v>
      </c>
      <c r="AN32" s="251"/>
    </row>
    <row r="33" spans="1:40" ht="14.4" x14ac:dyDescent="0.3">
      <c r="A33" s="1398">
        <v>32</v>
      </c>
      <c r="B33" s="104">
        <v>37375</v>
      </c>
      <c r="C33" s="319" t="s">
        <v>54</v>
      </c>
      <c r="D33" s="319" t="s">
        <v>263</v>
      </c>
      <c r="E33" s="319" t="s">
        <v>203</v>
      </c>
      <c r="F33" s="319" t="s">
        <v>204</v>
      </c>
      <c r="G33" s="319" t="s">
        <v>12</v>
      </c>
      <c r="H33" s="1144">
        <v>44004</v>
      </c>
      <c r="I33" s="319"/>
      <c r="J33" s="320" t="s">
        <v>58</v>
      </c>
      <c r="K33" s="474" t="s">
        <v>205</v>
      </c>
      <c r="L33" s="475" t="s">
        <v>75</v>
      </c>
      <c r="M33" s="475" t="s">
        <v>60</v>
      </c>
      <c r="N33" s="475" t="s">
        <v>75</v>
      </c>
      <c r="O33" s="1290">
        <v>44075</v>
      </c>
      <c r="P33" s="322"/>
      <c r="Q33" s="130" t="s">
        <v>75</v>
      </c>
      <c r="R33" s="130" t="s">
        <v>75</v>
      </c>
      <c r="S33" s="322" t="s">
        <v>68</v>
      </c>
      <c r="T33" s="130" t="s">
        <v>62</v>
      </c>
      <c r="U33" s="130" t="s">
        <v>62</v>
      </c>
      <c r="V33" s="322"/>
      <c r="W33" s="322"/>
      <c r="X33" s="130"/>
      <c r="Y33" s="322"/>
      <c r="Z33" s="565"/>
      <c r="AA33" s="565"/>
      <c r="AB33" s="383"/>
      <c r="AC33" s="322"/>
      <c r="AD33" s="322"/>
      <c r="AE33" s="1404" t="s">
        <v>206</v>
      </c>
      <c r="AF33" s="1406">
        <v>45452</v>
      </c>
      <c r="AG33" s="1387">
        <v>45482</v>
      </c>
      <c r="AH33" s="1387">
        <v>45482</v>
      </c>
      <c r="AI33" s="1387">
        <v>45452</v>
      </c>
      <c r="AJ33" s="513" t="s">
        <v>206</v>
      </c>
      <c r="AK33" s="1387">
        <v>45452</v>
      </c>
      <c r="AM33" s="251">
        <v>45452</v>
      </c>
      <c r="AN33" s="251"/>
    </row>
    <row r="34" spans="1:40" ht="14.4" x14ac:dyDescent="0.3">
      <c r="A34" s="1398">
        <v>33</v>
      </c>
      <c r="B34" s="104">
        <v>37376</v>
      </c>
      <c r="C34" s="319" t="s">
        <v>64</v>
      </c>
      <c r="D34" s="319" t="s">
        <v>264</v>
      </c>
      <c r="E34" s="319" t="s">
        <v>203</v>
      </c>
      <c r="F34" s="319" t="s">
        <v>204</v>
      </c>
      <c r="G34" s="319" t="s">
        <v>12</v>
      </c>
      <c r="H34" s="1144">
        <v>44006</v>
      </c>
      <c r="I34" s="319"/>
      <c r="J34" s="320" t="s">
        <v>58</v>
      </c>
      <c r="K34" s="474" t="s">
        <v>205</v>
      </c>
      <c r="L34" s="475" t="s">
        <v>75</v>
      </c>
      <c r="M34" s="475" t="s">
        <v>60</v>
      </c>
      <c r="N34" s="475" t="s">
        <v>75</v>
      </c>
      <c r="O34" s="130"/>
      <c r="P34" s="130"/>
      <c r="Q34" s="130" t="s">
        <v>75</v>
      </c>
      <c r="R34" s="130" t="s">
        <v>75</v>
      </c>
      <c r="S34" s="322"/>
      <c r="T34" s="130" t="s">
        <v>68</v>
      </c>
      <c r="U34" s="130" t="s">
        <v>68</v>
      </c>
      <c r="V34" s="322"/>
      <c r="W34" s="322"/>
      <c r="X34" s="130"/>
      <c r="Y34" s="322"/>
      <c r="Z34" s="565"/>
      <c r="AA34" s="565"/>
      <c r="AB34" s="383"/>
      <c r="AC34" s="322"/>
      <c r="AD34" s="322" t="s">
        <v>63</v>
      </c>
      <c r="AE34" s="1404" t="s">
        <v>206</v>
      </c>
      <c r="AF34" s="1406">
        <v>45633</v>
      </c>
      <c r="AG34" s="513" t="s">
        <v>265</v>
      </c>
      <c r="AH34" s="513" t="s">
        <v>265</v>
      </c>
      <c r="AI34" s="513" t="s">
        <v>265</v>
      </c>
      <c r="AJ34" s="513" t="s">
        <v>206</v>
      </c>
      <c r="AK34" s="1387">
        <v>45450</v>
      </c>
    </row>
    <row r="35" spans="1:40" ht="14.4" x14ac:dyDescent="0.3">
      <c r="A35" s="1398">
        <v>34</v>
      </c>
      <c r="B35" s="104">
        <v>37376</v>
      </c>
      <c r="C35" s="319" t="s">
        <v>54</v>
      </c>
      <c r="D35" s="319" t="s">
        <v>266</v>
      </c>
      <c r="E35" s="319" t="s">
        <v>203</v>
      </c>
      <c r="F35" s="319" t="s">
        <v>204</v>
      </c>
      <c r="G35" s="319" t="s">
        <v>12</v>
      </c>
      <c r="H35" s="1144">
        <v>44006</v>
      </c>
      <c r="I35" s="319"/>
      <c r="J35" s="320" t="s">
        <v>58</v>
      </c>
      <c r="K35" s="474" t="s">
        <v>205</v>
      </c>
      <c r="L35" s="475" t="s">
        <v>75</v>
      </c>
      <c r="M35" s="475" t="s">
        <v>60</v>
      </c>
      <c r="N35" s="475" t="s">
        <v>75</v>
      </c>
      <c r="O35" s="322"/>
      <c r="P35" s="322"/>
      <c r="Q35" s="130" t="s">
        <v>75</v>
      </c>
      <c r="R35" s="130" t="s">
        <v>75</v>
      </c>
      <c r="S35" s="322"/>
      <c r="T35" s="130" t="s">
        <v>62</v>
      </c>
      <c r="U35" s="130" t="s">
        <v>62</v>
      </c>
      <c r="V35" s="322"/>
      <c r="W35" s="322"/>
      <c r="X35" s="130"/>
      <c r="Y35" s="322"/>
      <c r="Z35" s="565"/>
      <c r="AA35" s="565"/>
      <c r="AB35" s="383"/>
      <c r="AC35" s="322"/>
      <c r="AD35" s="322" t="s">
        <v>63</v>
      </c>
      <c r="AE35" s="1404" t="s">
        <v>206</v>
      </c>
      <c r="AF35" s="1406">
        <v>45633</v>
      </c>
      <c r="AG35" s="1387" t="s">
        <v>265</v>
      </c>
      <c r="AH35" s="1387" t="s">
        <v>265</v>
      </c>
      <c r="AI35" s="1387" t="s">
        <v>265</v>
      </c>
      <c r="AJ35" s="513" t="s">
        <v>206</v>
      </c>
      <c r="AK35" s="1387">
        <v>45450</v>
      </c>
    </row>
    <row r="36" spans="1:40" ht="14.4" x14ac:dyDescent="0.3">
      <c r="A36" s="1398">
        <v>35</v>
      </c>
      <c r="B36" s="104">
        <v>37473</v>
      </c>
      <c r="C36" s="319" t="s">
        <v>64</v>
      </c>
      <c r="D36" s="319" t="s">
        <v>267</v>
      </c>
      <c r="E36" s="319" t="s">
        <v>203</v>
      </c>
      <c r="F36" s="319" t="s">
        <v>204</v>
      </c>
      <c r="G36" s="319" t="s">
        <v>12</v>
      </c>
      <c r="H36" s="1144">
        <v>44153</v>
      </c>
      <c r="I36" s="319"/>
      <c r="J36" s="320" t="s">
        <v>58</v>
      </c>
      <c r="K36" s="474" t="s">
        <v>205</v>
      </c>
      <c r="L36" s="475" t="s">
        <v>75</v>
      </c>
      <c r="M36" s="475" t="s">
        <v>60</v>
      </c>
      <c r="N36" s="475" t="s">
        <v>75</v>
      </c>
      <c r="O36" s="130"/>
      <c r="P36" s="130"/>
      <c r="Q36" s="130" t="s">
        <v>75</v>
      </c>
      <c r="R36" s="130" t="s">
        <v>75</v>
      </c>
      <c r="S36" s="130" t="s">
        <v>68</v>
      </c>
      <c r="T36" s="130" t="s">
        <v>68</v>
      </c>
      <c r="U36" s="130" t="s">
        <v>68</v>
      </c>
      <c r="V36" s="130"/>
      <c r="W36" s="130"/>
      <c r="X36" s="130" t="s">
        <v>75</v>
      </c>
      <c r="Y36" s="130"/>
      <c r="Z36" s="469"/>
      <c r="AA36" s="469"/>
      <c r="AB36" s="383"/>
      <c r="AC36" s="130"/>
      <c r="AD36" s="322" t="s">
        <v>63</v>
      </c>
      <c r="AE36" s="1404" t="s">
        <v>206</v>
      </c>
      <c r="AF36" s="1405" t="s">
        <v>268</v>
      </c>
      <c r="AG36" s="513" t="s">
        <v>218</v>
      </c>
      <c r="AH36" s="513" t="s">
        <v>218</v>
      </c>
      <c r="AI36" s="513" t="s">
        <v>269</v>
      </c>
      <c r="AJ36" s="513" t="s">
        <v>206</v>
      </c>
      <c r="AK36" s="513" t="s">
        <v>269</v>
      </c>
      <c r="AM36" s="24" t="s">
        <v>268</v>
      </c>
    </row>
    <row r="37" spans="1:40" ht="14.4" x14ac:dyDescent="0.3">
      <c r="A37" s="1398">
        <v>36</v>
      </c>
      <c r="B37" s="104">
        <v>37473</v>
      </c>
      <c r="C37" s="319" t="s">
        <v>54</v>
      </c>
      <c r="D37" s="319" t="s">
        <v>270</v>
      </c>
      <c r="E37" s="319" t="s">
        <v>203</v>
      </c>
      <c r="F37" s="319" t="s">
        <v>204</v>
      </c>
      <c r="G37" s="319" t="s">
        <v>12</v>
      </c>
      <c r="H37" s="1145">
        <v>44153</v>
      </c>
      <c r="I37" s="320"/>
      <c r="J37" s="320" t="s">
        <v>58</v>
      </c>
      <c r="K37" s="474" t="s">
        <v>205</v>
      </c>
      <c r="L37" s="475" t="s">
        <v>75</v>
      </c>
      <c r="M37" s="475" t="s">
        <v>60</v>
      </c>
      <c r="N37" s="475" t="s">
        <v>75</v>
      </c>
      <c r="O37" s="130"/>
      <c r="P37" s="130"/>
      <c r="Q37" s="130" t="s">
        <v>75</v>
      </c>
      <c r="R37" s="130" t="s">
        <v>75</v>
      </c>
      <c r="S37" s="130" t="s">
        <v>62</v>
      </c>
      <c r="T37" s="130" t="s">
        <v>62</v>
      </c>
      <c r="U37" s="130" t="s">
        <v>62</v>
      </c>
      <c r="V37" s="130"/>
      <c r="W37" s="130"/>
      <c r="X37" s="130" t="s">
        <v>75</v>
      </c>
      <c r="Y37" s="130"/>
      <c r="Z37" s="469"/>
      <c r="AA37" s="469"/>
      <c r="AB37" s="383"/>
      <c r="AC37" s="130"/>
      <c r="AD37" s="322" t="s">
        <v>63</v>
      </c>
      <c r="AE37" s="1404" t="s">
        <v>206</v>
      </c>
      <c r="AF37" s="1405" t="s">
        <v>268</v>
      </c>
      <c r="AG37" s="513" t="s">
        <v>218</v>
      </c>
      <c r="AH37" s="513" t="s">
        <v>218</v>
      </c>
      <c r="AI37" s="513" t="s">
        <v>269</v>
      </c>
      <c r="AJ37" s="513" t="s">
        <v>206</v>
      </c>
      <c r="AK37" s="513" t="s">
        <v>269</v>
      </c>
      <c r="AM37" s="24" t="s">
        <v>268</v>
      </c>
    </row>
    <row r="38" spans="1:40" ht="14.4" x14ac:dyDescent="0.3">
      <c r="A38" s="1398">
        <v>37</v>
      </c>
      <c r="B38" s="104">
        <v>37477</v>
      </c>
      <c r="C38" s="319" t="s">
        <v>64</v>
      </c>
      <c r="D38" s="322" t="s">
        <v>271</v>
      </c>
      <c r="E38" s="319" t="s">
        <v>203</v>
      </c>
      <c r="F38" s="319" t="s">
        <v>204</v>
      </c>
      <c r="G38" s="319" t="s">
        <v>12</v>
      </c>
      <c r="H38" s="1290">
        <v>44157</v>
      </c>
      <c r="I38" s="322"/>
      <c r="J38" s="320" t="s">
        <v>58</v>
      </c>
      <c r="K38" s="474" t="s">
        <v>205</v>
      </c>
      <c r="L38" s="475" t="s">
        <v>75</v>
      </c>
      <c r="M38" s="475" t="s">
        <v>60</v>
      </c>
      <c r="N38" s="475" t="s">
        <v>75</v>
      </c>
      <c r="O38" s="322"/>
      <c r="P38" s="322"/>
      <c r="Q38" s="130" t="s">
        <v>75</v>
      </c>
      <c r="R38" s="130" t="s">
        <v>75</v>
      </c>
      <c r="S38" s="322"/>
      <c r="T38" s="130" t="s">
        <v>68</v>
      </c>
      <c r="U38" s="130" t="s">
        <v>68</v>
      </c>
      <c r="V38" s="322"/>
      <c r="W38" s="322"/>
      <c r="X38" s="130" t="s">
        <v>75</v>
      </c>
      <c r="Y38" s="322"/>
      <c r="Z38" s="565"/>
      <c r="AA38" s="565"/>
      <c r="AB38" s="383"/>
      <c r="AC38" s="322"/>
      <c r="AD38" s="322" t="s">
        <v>121</v>
      </c>
      <c r="AE38" s="1404" t="s">
        <v>206</v>
      </c>
      <c r="AF38" s="1405" t="s">
        <v>213</v>
      </c>
      <c r="AG38" s="1387" t="s">
        <v>272</v>
      </c>
      <c r="AH38" s="1387" t="s">
        <v>272</v>
      </c>
      <c r="AI38" s="1387" t="s">
        <v>273</v>
      </c>
      <c r="AJ38" s="513" t="s">
        <v>206</v>
      </c>
      <c r="AK38" s="513" t="s">
        <v>241</v>
      </c>
      <c r="AM38" s="251" t="s">
        <v>274</v>
      </c>
      <c r="AN38" s="251"/>
    </row>
    <row r="39" spans="1:40" ht="14.4" x14ac:dyDescent="0.3">
      <c r="A39" s="1398">
        <v>38</v>
      </c>
      <c r="B39" s="104">
        <v>37477</v>
      </c>
      <c r="C39" s="319" t="s">
        <v>54</v>
      </c>
      <c r="D39" s="322" t="s">
        <v>275</v>
      </c>
      <c r="E39" s="319" t="s">
        <v>203</v>
      </c>
      <c r="F39" s="319" t="s">
        <v>204</v>
      </c>
      <c r="G39" s="319" t="s">
        <v>12</v>
      </c>
      <c r="H39" s="1290">
        <v>44157</v>
      </c>
      <c r="I39" s="322"/>
      <c r="J39" s="320" t="s">
        <v>58</v>
      </c>
      <c r="K39" s="474" t="s">
        <v>205</v>
      </c>
      <c r="L39" s="475" t="s">
        <v>75</v>
      </c>
      <c r="M39" s="475" t="s">
        <v>60</v>
      </c>
      <c r="N39" s="475" t="s">
        <v>75</v>
      </c>
      <c r="O39" s="1146"/>
      <c r="P39" s="322"/>
      <c r="Q39" s="130" t="s">
        <v>75</v>
      </c>
      <c r="R39" s="130" t="s">
        <v>75</v>
      </c>
      <c r="S39" s="322"/>
      <c r="T39" s="130" t="s">
        <v>62</v>
      </c>
      <c r="U39" s="130" t="s">
        <v>62</v>
      </c>
      <c r="V39" s="322"/>
      <c r="W39" s="322"/>
      <c r="X39" s="130" t="s">
        <v>75</v>
      </c>
      <c r="Y39" s="322"/>
      <c r="Z39" s="565"/>
      <c r="AA39" s="565"/>
      <c r="AB39" s="383"/>
      <c r="AC39" s="322"/>
      <c r="AD39" s="322" t="s">
        <v>121</v>
      </c>
      <c r="AE39" s="1404" t="s">
        <v>206</v>
      </c>
      <c r="AF39" s="1406" t="s">
        <v>213</v>
      </c>
      <c r="AG39" s="1387" t="s">
        <v>272</v>
      </c>
      <c r="AH39" s="1387" t="s">
        <v>272</v>
      </c>
      <c r="AI39" s="1387" t="s">
        <v>273</v>
      </c>
      <c r="AJ39" s="513" t="s">
        <v>206</v>
      </c>
      <c r="AK39" s="1387" t="s">
        <v>241</v>
      </c>
      <c r="AM39" s="24" t="s">
        <v>274</v>
      </c>
    </row>
    <row r="40" spans="1:40" ht="14.4" x14ac:dyDescent="0.3">
      <c r="A40" s="1398">
        <v>39</v>
      </c>
      <c r="B40" s="104">
        <v>37538</v>
      </c>
      <c r="C40" s="319" t="s">
        <v>64</v>
      </c>
      <c r="D40" s="322" t="s">
        <v>276</v>
      </c>
      <c r="E40" s="319" t="s">
        <v>203</v>
      </c>
      <c r="F40" s="319" t="s">
        <v>204</v>
      </c>
      <c r="G40" s="319" t="s">
        <v>12</v>
      </c>
      <c r="H40" s="1146">
        <v>44226</v>
      </c>
      <c r="I40" s="322"/>
      <c r="J40" s="320" t="s">
        <v>58</v>
      </c>
      <c r="K40" s="474" t="s">
        <v>205</v>
      </c>
      <c r="L40" s="475" t="s">
        <v>75</v>
      </c>
      <c r="M40" s="475" t="s">
        <v>60</v>
      </c>
      <c r="N40" s="475" t="s">
        <v>75</v>
      </c>
      <c r="O40" s="322"/>
      <c r="P40" s="322"/>
      <c r="Q40" s="130" t="s">
        <v>75</v>
      </c>
      <c r="R40" s="130" t="s">
        <v>75</v>
      </c>
      <c r="S40" s="322"/>
      <c r="T40" s="130" t="s">
        <v>68</v>
      </c>
      <c r="U40" s="130" t="s">
        <v>68</v>
      </c>
      <c r="V40" s="322"/>
      <c r="W40" s="322"/>
      <c r="X40" s="130" t="s">
        <v>75</v>
      </c>
      <c r="Y40" s="322"/>
      <c r="Z40" s="565"/>
      <c r="AA40" s="565"/>
      <c r="AB40" s="383"/>
      <c r="AC40" s="322"/>
      <c r="AD40" s="322"/>
      <c r="AE40" s="1404" t="s">
        <v>206</v>
      </c>
      <c r="AF40" s="1406">
        <v>45574</v>
      </c>
      <c r="AG40" s="513" t="s">
        <v>277</v>
      </c>
      <c r="AH40" s="513" t="s">
        <v>277</v>
      </c>
      <c r="AI40" s="1387">
        <v>45605</v>
      </c>
      <c r="AJ40" s="513" t="s">
        <v>206</v>
      </c>
      <c r="AK40" s="1387">
        <v>45574</v>
      </c>
      <c r="AM40" s="251">
        <v>45605</v>
      </c>
      <c r="AN40" s="251"/>
    </row>
    <row r="41" spans="1:40" ht="14.4" x14ac:dyDescent="0.3">
      <c r="A41" s="1398">
        <v>40</v>
      </c>
      <c r="B41" s="104">
        <v>37538</v>
      </c>
      <c r="C41" s="319" t="s">
        <v>54</v>
      </c>
      <c r="D41" s="322" t="s">
        <v>278</v>
      </c>
      <c r="E41" s="319" t="s">
        <v>203</v>
      </c>
      <c r="F41" s="319" t="s">
        <v>204</v>
      </c>
      <c r="G41" s="319" t="s">
        <v>12</v>
      </c>
      <c r="H41" s="1146">
        <v>44226</v>
      </c>
      <c r="I41" s="322"/>
      <c r="J41" s="320" t="s">
        <v>58</v>
      </c>
      <c r="K41" s="474" t="s">
        <v>205</v>
      </c>
      <c r="L41" s="475" t="s">
        <v>75</v>
      </c>
      <c r="M41" s="475" t="s">
        <v>60</v>
      </c>
      <c r="N41" s="475" t="s">
        <v>75</v>
      </c>
      <c r="O41" s="322"/>
      <c r="P41" s="322"/>
      <c r="Q41" s="130" t="s">
        <v>75</v>
      </c>
      <c r="R41" s="130" t="s">
        <v>75</v>
      </c>
      <c r="S41" s="322"/>
      <c r="T41" s="130" t="s">
        <v>62</v>
      </c>
      <c r="U41" s="130" t="s">
        <v>62</v>
      </c>
      <c r="V41" s="322"/>
      <c r="W41" s="322"/>
      <c r="X41" s="130" t="s">
        <v>75</v>
      </c>
      <c r="Y41" s="322"/>
      <c r="Z41" s="565"/>
      <c r="AA41" s="565"/>
      <c r="AB41" s="383"/>
      <c r="AC41" s="322"/>
      <c r="AD41" s="322"/>
      <c r="AE41" s="1404" t="s">
        <v>206</v>
      </c>
      <c r="AF41" s="1406">
        <v>45574</v>
      </c>
      <c r="AG41" s="513" t="s">
        <v>277</v>
      </c>
      <c r="AH41" s="513" t="s">
        <v>277</v>
      </c>
      <c r="AI41" s="1387">
        <v>45605</v>
      </c>
      <c r="AJ41" s="513" t="s">
        <v>206</v>
      </c>
      <c r="AK41" s="1387">
        <v>45574</v>
      </c>
      <c r="AM41" s="251">
        <v>45605</v>
      </c>
      <c r="AN41" s="251"/>
    </row>
    <row r="42" spans="1:40" ht="14.4" x14ac:dyDescent="0.3">
      <c r="A42" s="1398">
        <v>41</v>
      </c>
      <c r="B42" s="104">
        <v>37540</v>
      </c>
      <c r="C42" s="319" t="s">
        <v>64</v>
      </c>
      <c r="D42" s="322" t="s">
        <v>279</v>
      </c>
      <c r="E42" s="319" t="s">
        <v>203</v>
      </c>
      <c r="F42" s="319" t="s">
        <v>204</v>
      </c>
      <c r="G42" s="319" t="s">
        <v>12</v>
      </c>
      <c r="H42" s="1146">
        <v>44226</v>
      </c>
      <c r="I42" s="322"/>
      <c r="J42" s="320" t="s">
        <v>58</v>
      </c>
      <c r="K42" s="474" t="s">
        <v>205</v>
      </c>
      <c r="L42" s="475" t="s">
        <v>75</v>
      </c>
      <c r="M42" s="475" t="s">
        <v>60</v>
      </c>
      <c r="N42" s="475" t="s">
        <v>75</v>
      </c>
      <c r="O42" s="1146"/>
      <c r="P42" s="322"/>
      <c r="Q42" s="130" t="s">
        <v>75</v>
      </c>
      <c r="R42" s="130" t="s">
        <v>75</v>
      </c>
      <c r="S42" s="322"/>
      <c r="T42" s="130" t="s">
        <v>68</v>
      </c>
      <c r="U42" s="130" t="s">
        <v>68</v>
      </c>
      <c r="V42" s="322"/>
      <c r="W42" s="322"/>
      <c r="X42" s="130" t="s">
        <v>75</v>
      </c>
      <c r="Y42" s="322"/>
      <c r="Z42" s="565"/>
      <c r="AA42" s="565"/>
      <c r="AB42" s="383"/>
      <c r="AC42" s="322"/>
      <c r="AD42" s="322" t="s">
        <v>63</v>
      </c>
      <c r="AE42" s="1404" t="s">
        <v>206</v>
      </c>
      <c r="AF42" s="1406">
        <v>45451</v>
      </c>
      <c r="AG42" s="1387">
        <v>45451</v>
      </c>
      <c r="AH42" s="1387">
        <v>45451</v>
      </c>
      <c r="AI42" s="1387">
        <v>45451</v>
      </c>
      <c r="AJ42" s="513" t="s">
        <v>206</v>
      </c>
      <c r="AK42" s="1387">
        <v>45451</v>
      </c>
      <c r="AM42" s="24" t="s">
        <v>280</v>
      </c>
    </row>
    <row r="43" spans="1:40" ht="14.4" x14ac:dyDescent="0.3">
      <c r="A43" s="1398">
        <v>42</v>
      </c>
      <c r="B43" s="104">
        <v>37540</v>
      </c>
      <c r="C43" s="319" t="s">
        <v>54</v>
      </c>
      <c r="D43" s="322" t="s">
        <v>281</v>
      </c>
      <c r="E43" s="319" t="s">
        <v>203</v>
      </c>
      <c r="F43" s="319" t="s">
        <v>204</v>
      </c>
      <c r="G43" s="319" t="s">
        <v>12</v>
      </c>
      <c r="H43" s="1290">
        <v>44226</v>
      </c>
      <c r="I43" s="322"/>
      <c r="J43" s="320" t="s">
        <v>58</v>
      </c>
      <c r="K43" s="474" t="s">
        <v>205</v>
      </c>
      <c r="L43" s="475" t="s">
        <v>75</v>
      </c>
      <c r="M43" s="475" t="s">
        <v>60</v>
      </c>
      <c r="N43" s="475" t="s">
        <v>75</v>
      </c>
      <c r="O43" s="1146"/>
      <c r="P43" s="322"/>
      <c r="Q43" s="130" t="s">
        <v>75</v>
      </c>
      <c r="R43" s="130" t="s">
        <v>75</v>
      </c>
      <c r="S43" s="322"/>
      <c r="T43" s="130" t="s">
        <v>62</v>
      </c>
      <c r="U43" s="130" t="s">
        <v>62</v>
      </c>
      <c r="V43" s="322"/>
      <c r="W43" s="322"/>
      <c r="X43" s="130" t="s">
        <v>75</v>
      </c>
      <c r="Y43" s="322"/>
      <c r="Z43" s="565"/>
      <c r="AA43" s="565"/>
      <c r="AB43" s="383"/>
      <c r="AC43" s="322"/>
      <c r="AD43" s="322" t="s">
        <v>63</v>
      </c>
      <c r="AE43" s="1404" t="s">
        <v>206</v>
      </c>
      <c r="AF43" s="1406">
        <v>45451</v>
      </c>
      <c r="AG43" s="1387">
        <v>45451</v>
      </c>
      <c r="AH43" s="1387">
        <v>45451</v>
      </c>
      <c r="AI43" s="1387">
        <v>45451</v>
      </c>
      <c r="AJ43" s="513" t="s">
        <v>206</v>
      </c>
      <c r="AK43" s="1387">
        <v>45451</v>
      </c>
      <c r="AM43" s="251" t="s">
        <v>280</v>
      </c>
      <c r="AN43" s="251"/>
    </row>
    <row r="44" spans="1:40" ht="14.4" x14ac:dyDescent="0.3">
      <c r="A44" s="1398">
        <v>43</v>
      </c>
      <c r="B44" s="104">
        <v>39118</v>
      </c>
      <c r="C44" s="319" t="s">
        <v>64</v>
      </c>
      <c r="D44" s="322" t="s">
        <v>282</v>
      </c>
      <c r="E44" s="319" t="s">
        <v>203</v>
      </c>
      <c r="F44" s="319" t="s">
        <v>204</v>
      </c>
      <c r="G44" s="319" t="s">
        <v>12</v>
      </c>
      <c r="H44" s="1290">
        <v>43826</v>
      </c>
      <c r="I44" s="322"/>
      <c r="J44" s="320" t="s">
        <v>58</v>
      </c>
      <c r="K44" s="474" t="s">
        <v>205</v>
      </c>
      <c r="L44" s="475" t="s">
        <v>75</v>
      </c>
      <c r="M44" s="475" t="s">
        <v>60</v>
      </c>
      <c r="N44" s="475" t="s">
        <v>75</v>
      </c>
      <c r="O44" s="322"/>
      <c r="P44" s="322"/>
      <c r="Q44" s="130" t="s">
        <v>75</v>
      </c>
      <c r="R44" s="130" t="s">
        <v>75</v>
      </c>
      <c r="S44" s="322"/>
      <c r="T44" s="130" t="s">
        <v>68</v>
      </c>
      <c r="U44" s="130" t="s">
        <v>68</v>
      </c>
      <c r="V44" s="322"/>
      <c r="W44" s="322"/>
      <c r="X44" s="130"/>
      <c r="Y44" s="322"/>
      <c r="Z44" s="565"/>
      <c r="AA44" s="565"/>
      <c r="AB44" s="383"/>
      <c r="AC44" s="322"/>
      <c r="AD44" s="322" t="s">
        <v>63</v>
      </c>
      <c r="AE44" s="1404" t="s">
        <v>206</v>
      </c>
      <c r="AF44" s="1405" t="s">
        <v>254</v>
      </c>
      <c r="AG44" s="513" t="s">
        <v>253</v>
      </c>
      <c r="AH44" s="513" t="s">
        <v>253</v>
      </c>
      <c r="AI44" s="513" t="s">
        <v>254</v>
      </c>
      <c r="AJ44" s="513" t="s">
        <v>206</v>
      </c>
      <c r="AK44" s="513" t="s">
        <v>254</v>
      </c>
      <c r="AM44" s="24" t="s">
        <v>255</v>
      </c>
    </row>
    <row r="45" spans="1:40" ht="14.4" x14ac:dyDescent="0.3">
      <c r="A45" s="1398">
        <v>44</v>
      </c>
      <c r="B45" s="104">
        <v>39118</v>
      </c>
      <c r="C45" s="319" t="s">
        <v>54</v>
      </c>
      <c r="D45" s="322" t="s">
        <v>283</v>
      </c>
      <c r="E45" s="319" t="s">
        <v>203</v>
      </c>
      <c r="F45" s="319" t="s">
        <v>204</v>
      </c>
      <c r="G45" s="319" t="s">
        <v>12</v>
      </c>
      <c r="H45" s="1146">
        <v>43826</v>
      </c>
      <c r="I45" s="322"/>
      <c r="J45" s="320" t="s">
        <v>58</v>
      </c>
      <c r="K45" s="474" t="s">
        <v>205</v>
      </c>
      <c r="L45" s="475" t="s">
        <v>75</v>
      </c>
      <c r="M45" s="475" t="s">
        <v>60</v>
      </c>
      <c r="N45" s="475" t="s">
        <v>75</v>
      </c>
      <c r="O45" s="322"/>
      <c r="P45" s="322"/>
      <c r="Q45" s="130" t="s">
        <v>75</v>
      </c>
      <c r="R45" s="130" t="s">
        <v>75</v>
      </c>
      <c r="S45" s="322"/>
      <c r="T45" s="130" t="s">
        <v>62</v>
      </c>
      <c r="U45" s="130" t="s">
        <v>62</v>
      </c>
      <c r="V45" s="322"/>
      <c r="W45" s="322"/>
      <c r="X45" s="130"/>
      <c r="Y45" s="322"/>
      <c r="Z45" s="565"/>
      <c r="AA45" s="565"/>
      <c r="AB45" s="383"/>
      <c r="AC45" s="322"/>
      <c r="AD45" s="322" t="s">
        <v>63</v>
      </c>
      <c r="AE45" s="1404" t="s">
        <v>206</v>
      </c>
      <c r="AF45" s="1405" t="s">
        <v>254</v>
      </c>
      <c r="AG45" s="513" t="s">
        <v>253</v>
      </c>
      <c r="AH45" s="513" t="s">
        <v>253</v>
      </c>
      <c r="AI45" s="513" t="s">
        <v>254</v>
      </c>
      <c r="AJ45" s="513" t="s">
        <v>206</v>
      </c>
      <c r="AK45" s="513" t="s">
        <v>254</v>
      </c>
      <c r="AM45" s="24" t="s">
        <v>255</v>
      </c>
    </row>
    <row r="46" spans="1:40" ht="14.4" x14ac:dyDescent="0.3">
      <c r="A46" s="1398">
        <v>45</v>
      </c>
      <c r="B46" s="104">
        <v>39120</v>
      </c>
      <c r="C46" s="319" t="s">
        <v>64</v>
      </c>
      <c r="D46" s="322" t="s">
        <v>284</v>
      </c>
      <c r="E46" s="319" t="s">
        <v>203</v>
      </c>
      <c r="F46" s="319" t="s">
        <v>204</v>
      </c>
      <c r="G46" s="319" t="s">
        <v>12</v>
      </c>
      <c r="H46" s="1290">
        <v>43838</v>
      </c>
      <c r="I46" s="322"/>
      <c r="J46" s="320" t="s">
        <v>58</v>
      </c>
      <c r="K46" s="474" t="s">
        <v>205</v>
      </c>
      <c r="L46" s="475" t="s">
        <v>75</v>
      </c>
      <c r="M46" s="475" t="s">
        <v>60</v>
      </c>
      <c r="N46" s="475" t="s">
        <v>75</v>
      </c>
      <c r="O46" s="1146"/>
      <c r="P46" s="322"/>
      <c r="Q46" s="130" t="s">
        <v>75</v>
      </c>
      <c r="R46" s="130" t="s">
        <v>75</v>
      </c>
      <c r="S46" s="322"/>
      <c r="T46" s="130" t="s">
        <v>68</v>
      </c>
      <c r="U46" s="130" t="s">
        <v>68</v>
      </c>
      <c r="V46" s="322"/>
      <c r="W46" s="322"/>
      <c r="X46" s="130"/>
      <c r="Y46" s="322"/>
      <c r="Z46" s="565"/>
      <c r="AA46" s="565"/>
      <c r="AB46" s="383"/>
      <c r="AC46" s="322"/>
      <c r="AD46" s="322" t="s">
        <v>63</v>
      </c>
      <c r="AE46" s="1404" t="s">
        <v>206</v>
      </c>
      <c r="AF46" s="1406">
        <v>45633</v>
      </c>
      <c r="AG46" s="1387">
        <v>45450</v>
      </c>
      <c r="AH46" s="1387">
        <v>45450</v>
      </c>
      <c r="AI46" s="1387">
        <v>45572</v>
      </c>
      <c r="AJ46" s="513" t="s">
        <v>206</v>
      </c>
      <c r="AK46" s="1387">
        <v>45572</v>
      </c>
      <c r="AM46" s="24" t="s">
        <v>285</v>
      </c>
    </row>
    <row r="47" spans="1:40" ht="14.4" x14ac:dyDescent="0.3">
      <c r="A47" s="1398">
        <v>46</v>
      </c>
      <c r="B47" s="104">
        <v>39120</v>
      </c>
      <c r="C47" s="319" t="s">
        <v>54</v>
      </c>
      <c r="D47" s="322" t="s">
        <v>286</v>
      </c>
      <c r="E47" s="319" t="s">
        <v>203</v>
      </c>
      <c r="F47" s="319" t="s">
        <v>204</v>
      </c>
      <c r="G47" s="319" t="s">
        <v>12</v>
      </c>
      <c r="H47" s="1290">
        <v>43838</v>
      </c>
      <c r="I47" s="322"/>
      <c r="J47" s="320" t="s">
        <v>58</v>
      </c>
      <c r="K47" s="474" t="s">
        <v>205</v>
      </c>
      <c r="L47" s="475" t="s">
        <v>75</v>
      </c>
      <c r="M47" s="475" t="s">
        <v>60</v>
      </c>
      <c r="N47" s="475" t="s">
        <v>75</v>
      </c>
      <c r="O47" s="322"/>
      <c r="P47" s="322"/>
      <c r="Q47" s="130" t="s">
        <v>75</v>
      </c>
      <c r="R47" s="130" t="s">
        <v>75</v>
      </c>
      <c r="S47" s="322"/>
      <c r="T47" s="130" t="s">
        <v>62</v>
      </c>
      <c r="U47" s="130" t="s">
        <v>62</v>
      </c>
      <c r="V47" s="322"/>
      <c r="W47" s="322"/>
      <c r="X47" s="130"/>
      <c r="Y47" s="322"/>
      <c r="Z47" s="565"/>
      <c r="AA47" s="565"/>
      <c r="AB47" s="383"/>
      <c r="AC47" s="322"/>
      <c r="AD47" s="322" t="s">
        <v>63</v>
      </c>
      <c r="AE47" s="1404" t="s">
        <v>206</v>
      </c>
      <c r="AF47" s="1406">
        <v>45633</v>
      </c>
      <c r="AG47" s="1387">
        <v>45450</v>
      </c>
      <c r="AH47" s="1387">
        <v>45450</v>
      </c>
      <c r="AI47" s="1387">
        <v>45572</v>
      </c>
      <c r="AJ47" s="513" t="s">
        <v>206</v>
      </c>
      <c r="AK47" s="1387">
        <v>45572</v>
      </c>
      <c r="AM47" s="24" t="s">
        <v>285</v>
      </c>
    </row>
    <row r="48" spans="1:40" ht="14.4" x14ac:dyDescent="0.3">
      <c r="A48" s="1398">
        <v>47</v>
      </c>
      <c r="B48" s="104">
        <v>39137</v>
      </c>
      <c r="C48" s="319" t="s">
        <v>64</v>
      </c>
      <c r="D48" s="322" t="s">
        <v>287</v>
      </c>
      <c r="E48" s="319" t="s">
        <v>221</v>
      </c>
      <c r="F48" s="319" t="s">
        <v>204</v>
      </c>
      <c r="G48" s="319" t="s">
        <v>12</v>
      </c>
      <c r="H48" s="1290">
        <v>43907</v>
      </c>
      <c r="I48" s="322"/>
      <c r="J48" s="320" t="s">
        <v>58</v>
      </c>
      <c r="K48" s="474" t="s">
        <v>205</v>
      </c>
      <c r="L48" s="475" t="s">
        <v>75</v>
      </c>
      <c r="M48" s="475" t="s">
        <v>60</v>
      </c>
      <c r="N48" s="475" t="s">
        <v>75</v>
      </c>
      <c r="O48" s="322"/>
      <c r="P48" s="322"/>
      <c r="Q48" s="130" t="s">
        <v>75</v>
      </c>
      <c r="R48" s="130" t="s">
        <v>75</v>
      </c>
      <c r="S48" s="322"/>
      <c r="T48" s="130" t="s">
        <v>68</v>
      </c>
      <c r="U48" s="130" t="s">
        <v>68</v>
      </c>
      <c r="V48" s="322"/>
      <c r="W48" s="322"/>
      <c r="X48" s="130"/>
      <c r="Y48" s="322"/>
      <c r="Z48" s="565"/>
      <c r="AA48" s="565"/>
      <c r="AB48" s="383"/>
      <c r="AC48" s="322"/>
      <c r="AD48" s="322"/>
      <c r="AE48" s="1404"/>
      <c r="AF48" s="1405"/>
      <c r="AG48" s="1387">
        <v>45450</v>
      </c>
      <c r="AH48" s="1387">
        <v>45450</v>
      </c>
      <c r="AI48" s="1387">
        <v>45450</v>
      </c>
      <c r="AJ48" s="513" t="s">
        <v>206</v>
      </c>
      <c r="AK48" s="1387">
        <v>45542</v>
      </c>
      <c r="AM48" s="251">
        <v>45450</v>
      </c>
      <c r="AN48" s="251"/>
    </row>
    <row r="49" spans="1:40" ht="14.4" x14ac:dyDescent="0.3">
      <c r="A49" s="1398">
        <v>48</v>
      </c>
      <c r="B49" s="104">
        <v>39137</v>
      </c>
      <c r="C49" s="319" t="s">
        <v>54</v>
      </c>
      <c r="D49" s="322" t="s">
        <v>288</v>
      </c>
      <c r="E49" s="319" t="s">
        <v>221</v>
      </c>
      <c r="F49" s="319" t="s">
        <v>204</v>
      </c>
      <c r="G49" s="319" t="s">
        <v>12</v>
      </c>
      <c r="H49" s="1290">
        <v>43907</v>
      </c>
      <c r="I49" s="322"/>
      <c r="J49" s="320" t="s">
        <v>58</v>
      </c>
      <c r="K49" s="474" t="s">
        <v>205</v>
      </c>
      <c r="L49" s="475" t="s">
        <v>75</v>
      </c>
      <c r="M49" s="475" t="s">
        <v>60</v>
      </c>
      <c r="N49" s="475" t="s">
        <v>75</v>
      </c>
      <c r="O49" s="322"/>
      <c r="P49" s="322"/>
      <c r="Q49" s="130" t="s">
        <v>75</v>
      </c>
      <c r="R49" s="130" t="s">
        <v>75</v>
      </c>
      <c r="S49" s="322"/>
      <c r="T49" s="130" t="s">
        <v>62</v>
      </c>
      <c r="U49" s="130" t="s">
        <v>62</v>
      </c>
      <c r="V49" s="322"/>
      <c r="W49" s="322"/>
      <c r="X49" s="130"/>
      <c r="Y49" s="322"/>
      <c r="Z49" s="565"/>
      <c r="AA49" s="565"/>
      <c r="AB49" s="383"/>
      <c r="AC49" s="322"/>
      <c r="AD49" s="322"/>
      <c r="AE49" s="1404"/>
      <c r="AF49" s="1405"/>
      <c r="AG49" s="1387">
        <v>45450</v>
      </c>
      <c r="AH49" s="1387">
        <v>45450</v>
      </c>
      <c r="AI49" s="1387">
        <v>45450</v>
      </c>
      <c r="AJ49" s="513" t="s">
        <v>206</v>
      </c>
      <c r="AK49" s="1387">
        <v>45542</v>
      </c>
      <c r="AM49" s="251">
        <v>45450</v>
      </c>
      <c r="AN49" s="251"/>
    </row>
    <row r="50" spans="1:40" ht="14.4" x14ac:dyDescent="0.3">
      <c r="A50" s="1398">
        <v>49</v>
      </c>
      <c r="B50" s="104">
        <v>39139</v>
      </c>
      <c r="C50" s="319" t="s">
        <v>64</v>
      </c>
      <c r="D50" s="322" t="s">
        <v>289</v>
      </c>
      <c r="E50" s="319" t="s">
        <v>221</v>
      </c>
      <c r="F50" s="319" t="s">
        <v>204</v>
      </c>
      <c r="G50" s="319" t="s">
        <v>12</v>
      </c>
      <c r="H50" s="1290">
        <v>43988</v>
      </c>
      <c r="I50" s="322"/>
      <c r="J50" s="320" t="s">
        <v>58</v>
      </c>
      <c r="K50" s="474" t="s">
        <v>205</v>
      </c>
      <c r="L50" s="475" t="s">
        <v>75</v>
      </c>
      <c r="M50" s="475" t="s">
        <v>60</v>
      </c>
      <c r="N50" s="475" t="s">
        <v>75</v>
      </c>
      <c r="O50" s="322"/>
      <c r="P50" s="322"/>
      <c r="Q50" s="130" t="s">
        <v>75</v>
      </c>
      <c r="R50" s="130" t="s">
        <v>75</v>
      </c>
      <c r="S50" s="322"/>
      <c r="T50" s="130" t="s">
        <v>68</v>
      </c>
      <c r="U50" s="130" t="s">
        <v>68</v>
      </c>
      <c r="V50" s="322"/>
      <c r="W50" s="322"/>
      <c r="X50" s="130"/>
      <c r="Y50" s="322"/>
      <c r="Z50" s="565"/>
      <c r="AA50" s="565"/>
      <c r="AB50" s="383"/>
      <c r="AC50" s="322"/>
      <c r="AD50" s="322"/>
      <c r="AE50" s="1404" t="s">
        <v>206</v>
      </c>
      <c r="AF50" s="1405"/>
      <c r="AG50" s="1387" t="s">
        <v>290</v>
      </c>
      <c r="AH50" s="1387" t="s">
        <v>290</v>
      </c>
      <c r="AI50" s="1387" t="s">
        <v>291</v>
      </c>
      <c r="AJ50" s="513" t="s">
        <v>206</v>
      </c>
      <c r="AK50" s="513" t="s">
        <v>291</v>
      </c>
    </row>
    <row r="51" spans="1:40" ht="13.2" x14ac:dyDescent="0.25">
      <c r="A51" s="255">
        <v>50</v>
      </c>
      <c r="B51" s="104">
        <v>39139</v>
      </c>
      <c r="C51" s="319" t="s">
        <v>54</v>
      </c>
      <c r="D51" s="20" t="s">
        <v>292</v>
      </c>
      <c r="E51" s="319" t="s">
        <v>221</v>
      </c>
      <c r="F51" s="319" t="s">
        <v>204</v>
      </c>
      <c r="G51" s="319" t="s">
        <v>12</v>
      </c>
      <c r="H51" s="52">
        <v>43988</v>
      </c>
      <c r="I51" s="3"/>
      <c r="J51" s="37" t="s">
        <v>58</v>
      </c>
      <c r="K51" s="432" t="s">
        <v>205</v>
      </c>
      <c r="L51" s="432"/>
      <c r="M51" s="444"/>
      <c r="N51" s="435"/>
      <c r="O51" s="251"/>
      <c r="P51" s="16"/>
      <c r="Q51" s="16" t="s">
        <v>75</v>
      </c>
      <c r="R51" s="16" t="s">
        <v>75</v>
      </c>
      <c r="S51" s="24"/>
      <c r="T51" s="16" t="s">
        <v>62</v>
      </c>
      <c r="U51" s="24" t="s">
        <v>62</v>
      </c>
      <c r="V51" s="24"/>
      <c r="W51" s="16"/>
      <c r="X51" s="24"/>
      <c r="Y51" s="24"/>
      <c r="Z51" s="435"/>
      <c r="AA51" s="435"/>
      <c r="AB51" s="383"/>
      <c r="AC51" s="79"/>
      <c r="AE51" s="16" t="s">
        <v>206</v>
      </c>
      <c r="AF51" s="1147"/>
      <c r="AG51" s="251" t="s">
        <v>290</v>
      </c>
      <c r="AH51" s="251" t="s">
        <v>290</v>
      </c>
      <c r="AI51" s="251" t="s">
        <v>291</v>
      </c>
      <c r="AJ51" s="24" t="s">
        <v>206</v>
      </c>
      <c r="AK51" s="251" t="s">
        <v>291</v>
      </c>
      <c r="AM51" s="251"/>
      <c r="AN51" s="251"/>
    </row>
    <row r="52" spans="1:40" ht="26.4" x14ac:dyDescent="0.25">
      <c r="A52" s="315">
        <v>51</v>
      </c>
      <c r="B52" s="104">
        <v>39149</v>
      </c>
      <c r="C52" s="27" t="s">
        <v>64</v>
      </c>
      <c r="D52" s="20" t="s">
        <v>293</v>
      </c>
      <c r="E52" s="319" t="s">
        <v>203</v>
      </c>
      <c r="F52" s="3" t="s">
        <v>204</v>
      </c>
      <c r="G52" s="29" t="s">
        <v>12</v>
      </c>
      <c r="H52" s="19">
        <v>44035</v>
      </c>
      <c r="I52" s="3"/>
      <c r="J52" s="3" t="s">
        <v>58</v>
      </c>
      <c r="K52" s="429" t="s">
        <v>205</v>
      </c>
      <c r="L52" s="452">
        <v>44259</v>
      </c>
      <c r="M52" s="451" t="s">
        <v>60</v>
      </c>
      <c r="N52" s="451" t="s">
        <v>294</v>
      </c>
      <c r="O52" s="102"/>
      <c r="P52" s="24"/>
      <c r="Q52" s="16" t="s">
        <v>75</v>
      </c>
      <c r="R52" s="16" t="s">
        <v>75</v>
      </c>
      <c r="S52" s="101"/>
      <c r="T52" s="101" t="s">
        <v>68</v>
      </c>
      <c r="U52" s="101" t="s">
        <v>68</v>
      </c>
      <c r="V52" s="24"/>
      <c r="W52" s="24"/>
      <c r="X52" s="16"/>
      <c r="Y52" s="24"/>
      <c r="Z52" s="435"/>
      <c r="AA52" s="435"/>
      <c r="AB52" s="16"/>
      <c r="AC52" s="16"/>
      <c r="AD52" s="79" t="s">
        <v>63</v>
      </c>
      <c r="AE52" s="24" t="s">
        <v>206</v>
      </c>
      <c r="AF52" s="79"/>
      <c r="AG52" s="143" t="s">
        <v>295</v>
      </c>
      <c r="AH52" s="251" t="s">
        <v>295</v>
      </c>
      <c r="AI52" s="1148" t="s">
        <v>296</v>
      </c>
      <c r="AJ52" s="79" t="s">
        <v>206</v>
      </c>
      <c r="AK52" s="79" t="s">
        <v>297</v>
      </c>
      <c r="AL52" s="79"/>
      <c r="AM52" s="24" t="s">
        <v>298</v>
      </c>
    </row>
    <row r="53" spans="1:40" ht="26.4" x14ac:dyDescent="0.25">
      <c r="A53" s="12">
        <v>52</v>
      </c>
      <c r="B53" s="104">
        <v>39149</v>
      </c>
      <c r="C53" s="27" t="s">
        <v>54</v>
      </c>
      <c r="D53" s="3" t="s">
        <v>299</v>
      </c>
      <c r="E53" s="20" t="s">
        <v>203</v>
      </c>
      <c r="F53" s="3" t="s">
        <v>204</v>
      </c>
      <c r="G53" s="3" t="s">
        <v>12</v>
      </c>
      <c r="H53" s="52">
        <v>44035</v>
      </c>
      <c r="I53" s="3"/>
      <c r="J53" s="37" t="s">
        <v>58</v>
      </c>
      <c r="K53" s="443" t="s">
        <v>205</v>
      </c>
      <c r="L53" s="432"/>
      <c r="M53" s="443"/>
      <c r="N53" s="443"/>
      <c r="O53" s="33"/>
      <c r="P53" s="16"/>
      <c r="Q53" s="16" t="s">
        <v>75</v>
      </c>
      <c r="R53" s="16" t="s">
        <v>75</v>
      </c>
      <c r="S53" s="16"/>
      <c r="T53" s="16" t="s">
        <v>62</v>
      </c>
      <c r="U53" s="16" t="s">
        <v>62</v>
      </c>
      <c r="V53" s="16"/>
      <c r="W53" s="16"/>
      <c r="X53" s="16"/>
      <c r="Y53" s="16"/>
      <c r="Z53" s="432"/>
      <c r="AA53" s="435"/>
      <c r="AB53" s="24"/>
      <c r="AC53" s="276"/>
      <c r="AD53" s="16" t="s">
        <v>63</v>
      </c>
      <c r="AE53" s="37" t="s">
        <v>206</v>
      </c>
      <c r="AG53" s="24" t="s">
        <v>295</v>
      </c>
      <c r="AH53" s="24" t="s">
        <v>295</v>
      </c>
      <c r="AI53" s="24" t="s">
        <v>296</v>
      </c>
      <c r="AJ53" s="24" t="s">
        <v>206</v>
      </c>
      <c r="AK53" s="24" t="s">
        <v>297</v>
      </c>
      <c r="AM53" s="24" t="s">
        <v>298</v>
      </c>
    </row>
    <row r="54" spans="1:40" ht="26.4" x14ac:dyDescent="0.25">
      <c r="A54" s="12">
        <v>53</v>
      </c>
      <c r="B54" s="104">
        <v>39156</v>
      </c>
      <c r="C54" s="27" t="s">
        <v>64</v>
      </c>
      <c r="D54" s="3" t="s">
        <v>300</v>
      </c>
      <c r="E54" s="20" t="s">
        <v>221</v>
      </c>
      <c r="F54" s="3" t="s">
        <v>204</v>
      </c>
      <c r="G54" s="3" t="s">
        <v>12</v>
      </c>
      <c r="H54" s="52">
        <v>44067</v>
      </c>
      <c r="I54" s="3"/>
      <c r="J54" s="37" t="s">
        <v>58</v>
      </c>
      <c r="K54" s="443" t="s">
        <v>205</v>
      </c>
      <c r="L54" s="432"/>
      <c r="M54" s="443"/>
      <c r="N54" s="443"/>
      <c r="O54" s="33"/>
      <c r="P54" s="16"/>
      <c r="Q54" s="16" t="s">
        <v>75</v>
      </c>
      <c r="R54" s="16" t="s">
        <v>75</v>
      </c>
      <c r="S54" s="16"/>
      <c r="T54" s="16" t="s">
        <v>68</v>
      </c>
      <c r="U54" s="16" t="s">
        <v>68</v>
      </c>
      <c r="V54" s="16"/>
      <c r="W54" s="16"/>
      <c r="X54" s="16"/>
      <c r="Y54" s="16"/>
      <c r="Z54" s="432"/>
      <c r="AA54" s="435"/>
      <c r="AB54" s="24"/>
      <c r="AC54" s="276"/>
      <c r="AE54" s="37" t="s">
        <v>206</v>
      </c>
      <c r="AG54" s="24" t="s">
        <v>237</v>
      </c>
      <c r="AH54" s="24" t="s">
        <v>237</v>
      </c>
      <c r="AI54" s="24" t="s">
        <v>237</v>
      </c>
      <c r="AJ54" s="24" t="s">
        <v>206</v>
      </c>
      <c r="AK54" s="24" t="s">
        <v>301</v>
      </c>
      <c r="AM54" s="24" t="s">
        <v>302</v>
      </c>
    </row>
    <row r="55" spans="1:40" ht="26.4" x14ac:dyDescent="0.25">
      <c r="A55" s="12">
        <v>54</v>
      </c>
      <c r="B55" s="104">
        <v>39156</v>
      </c>
      <c r="C55" s="27" t="s">
        <v>54</v>
      </c>
      <c r="D55" s="3" t="s">
        <v>303</v>
      </c>
      <c r="E55" s="20" t="s">
        <v>221</v>
      </c>
      <c r="F55" s="3" t="s">
        <v>204</v>
      </c>
      <c r="G55" s="3" t="s">
        <v>12</v>
      </c>
      <c r="H55" s="52">
        <v>44067</v>
      </c>
      <c r="I55" s="3"/>
      <c r="J55" s="37" t="s">
        <v>58</v>
      </c>
      <c r="K55" s="443" t="s">
        <v>205</v>
      </c>
      <c r="L55" s="432"/>
      <c r="M55" s="443"/>
      <c r="N55" s="443"/>
      <c r="O55" s="33"/>
      <c r="P55" s="16"/>
      <c r="Q55" s="16" t="s">
        <v>75</v>
      </c>
      <c r="R55" s="16" t="s">
        <v>75</v>
      </c>
      <c r="S55" s="16"/>
      <c r="T55" s="16" t="s">
        <v>62</v>
      </c>
      <c r="U55" s="16" t="s">
        <v>62</v>
      </c>
      <c r="V55" s="16"/>
      <c r="W55" s="16"/>
      <c r="X55" s="16"/>
      <c r="Y55" s="16"/>
      <c r="Z55" s="432"/>
      <c r="AA55" s="435"/>
      <c r="AB55" s="24"/>
      <c r="AC55" s="276"/>
      <c r="AE55" s="37" t="s">
        <v>206</v>
      </c>
      <c r="AG55" s="24" t="s">
        <v>237</v>
      </c>
      <c r="AH55" s="24" t="s">
        <v>237</v>
      </c>
      <c r="AI55" s="24" t="s">
        <v>237</v>
      </c>
      <c r="AJ55" s="24" t="s">
        <v>206</v>
      </c>
      <c r="AK55" s="24" t="s">
        <v>301</v>
      </c>
      <c r="AM55" s="24" t="s">
        <v>302</v>
      </c>
    </row>
    <row r="56" spans="1:40" ht="13.2" x14ac:dyDescent="0.25">
      <c r="A56" s="12">
        <v>55</v>
      </c>
      <c r="B56" s="104">
        <v>37587</v>
      </c>
      <c r="C56" s="17" t="s">
        <v>54</v>
      </c>
      <c r="D56" s="3" t="s">
        <v>304</v>
      </c>
      <c r="E56" s="20" t="s">
        <v>221</v>
      </c>
      <c r="F56" s="3" t="s">
        <v>204</v>
      </c>
      <c r="G56" s="3" t="s">
        <v>12</v>
      </c>
      <c r="H56" s="52">
        <v>44344</v>
      </c>
      <c r="I56" s="3"/>
      <c r="J56" s="37" t="s">
        <v>58</v>
      </c>
      <c r="K56" s="432" t="s">
        <v>205</v>
      </c>
      <c r="L56" s="432"/>
      <c r="M56" s="432"/>
      <c r="N56" s="443"/>
      <c r="O56" s="33"/>
      <c r="P56" s="16"/>
      <c r="Q56" s="16" t="s">
        <v>75</v>
      </c>
      <c r="R56" s="16" t="s">
        <v>75</v>
      </c>
      <c r="S56" s="16"/>
      <c r="T56" s="16" t="s">
        <v>68</v>
      </c>
      <c r="U56" s="16" t="s">
        <v>68</v>
      </c>
      <c r="V56" s="16"/>
      <c r="W56" s="16"/>
      <c r="X56" s="16" t="s">
        <v>75</v>
      </c>
      <c r="Y56" s="3"/>
      <c r="Z56" s="444"/>
      <c r="AA56" s="435"/>
      <c r="AB56" s="24"/>
      <c r="AC56" s="276"/>
      <c r="AE56" s="37"/>
      <c r="AF56" s="23" t="s">
        <v>305</v>
      </c>
      <c r="AG56" s="251">
        <v>45572</v>
      </c>
      <c r="AH56" s="251">
        <v>45572</v>
      </c>
      <c r="AI56" s="251">
        <v>45572</v>
      </c>
      <c r="AJ56" s="24" t="s">
        <v>206</v>
      </c>
      <c r="AK56" s="24" t="s">
        <v>305</v>
      </c>
      <c r="AM56" s="251">
        <v>45575</v>
      </c>
      <c r="AN56" s="251"/>
    </row>
    <row r="57" spans="1:40" ht="26.4" x14ac:dyDescent="0.25">
      <c r="A57" s="12">
        <v>56</v>
      </c>
      <c r="B57" s="104">
        <v>37587</v>
      </c>
      <c r="C57" s="27" t="s">
        <v>64</v>
      </c>
      <c r="D57" s="3" t="s">
        <v>306</v>
      </c>
      <c r="E57" s="20" t="s">
        <v>221</v>
      </c>
      <c r="F57" s="3" t="s">
        <v>204</v>
      </c>
      <c r="G57" s="3" t="s">
        <v>12</v>
      </c>
      <c r="H57" s="52">
        <v>44344</v>
      </c>
      <c r="I57" s="3"/>
      <c r="J57" s="37" t="s">
        <v>58</v>
      </c>
      <c r="K57" s="443" t="s">
        <v>205</v>
      </c>
      <c r="L57" s="432"/>
      <c r="M57" s="443"/>
      <c r="N57" s="443"/>
      <c r="O57" s="33"/>
      <c r="P57" s="16"/>
      <c r="Q57" s="16" t="s">
        <v>75</v>
      </c>
      <c r="R57" s="16" t="s">
        <v>75</v>
      </c>
      <c r="S57" s="16"/>
      <c r="T57" s="16" t="s">
        <v>62</v>
      </c>
      <c r="U57" s="16" t="s">
        <v>62</v>
      </c>
      <c r="V57" s="16"/>
      <c r="W57" s="16"/>
      <c r="X57" s="16" t="s">
        <v>75</v>
      </c>
      <c r="Y57" s="16"/>
      <c r="Z57" s="432"/>
      <c r="AA57" s="435"/>
      <c r="AB57" s="24"/>
      <c r="AC57" s="276"/>
      <c r="AE57" s="37"/>
      <c r="AF57" s="23" t="s">
        <v>305</v>
      </c>
      <c r="AG57" s="251">
        <v>45572</v>
      </c>
      <c r="AH57" s="251">
        <v>45572</v>
      </c>
      <c r="AI57" s="251">
        <v>45572</v>
      </c>
      <c r="AJ57" s="24" t="s">
        <v>206</v>
      </c>
      <c r="AK57" s="24" t="s">
        <v>305</v>
      </c>
      <c r="AM57" s="251">
        <v>45575</v>
      </c>
      <c r="AN57" s="251"/>
    </row>
    <row r="58" spans="1:40" ht="26.4" x14ac:dyDescent="0.25">
      <c r="A58" s="12">
        <v>57</v>
      </c>
      <c r="B58" s="104">
        <v>37588</v>
      </c>
      <c r="C58" s="27" t="s">
        <v>64</v>
      </c>
      <c r="D58" s="3" t="s">
        <v>307</v>
      </c>
      <c r="E58" s="20" t="s">
        <v>221</v>
      </c>
      <c r="F58" s="29" t="s">
        <v>204</v>
      </c>
      <c r="G58" s="3" t="s">
        <v>12</v>
      </c>
      <c r="H58" s="84">
        <v>44367</v>
      </c>
      <c r="I58" s="3"/>
      <c r="J58" s="37" t="s">
        <v>58</v>
      </c>
      <c r="K58" s="443" t="s">
        <v>205</v>
      </c>
      <c r="L58" s="432"/>
      <c r="M58" s="443"/>
      <c r="N58" s="443"/>
      <c r="O58" s="33"/>
      <c r="P58" s="16"/>
      <c r="Q58" s="16" t="s">
        <v>75</v>
      </c>
      <c r="R58" s="16" t="s">
        <v>75</v>
      </c>
      <c r="S58" s="16"/>
      <c r="T58" s="16" t="s">
        <v>68</v>
      </c>
      <c r="U58" s="16" t="s">
        <v>68</v>
      </c>
      <c r="V58" s="16"/>
      <c r="W58" s="16"/>
      <c r="X58" s="16" t="s">
        <v>75</v>
      </c>
      <c r="Y58" s="16"/>
      <c r="Z58" s="432"/>
      <c r="AA58" s="435"/>
      <c r="AB58" s="24"/>
      <c r="AC58" s="276"/>
      <c r="AE58" s="37"/>
      <c r="AG58" s="24" t="s">
        <v>222</v>
      </c>
      <c r="AH58" s="24" t="s">
        <v>222</v>
      </c>
      <c r="AI58" s="24" t="s">
        <v>222</v>
      </c>
      <c r="AJ58" s="24" t="s">
        <v>206</v>
      </c>
      <c r="AK58" s="251">
        <v>45358</v>
      </c>
      <c r="AM58" s="251">
        <v>45358</v>
      </c>
      <c r="AN58" s="251"/>
    </row>
    <row r="59" spans="1:40" ht="26.4" x14ac:dyDescent="0.25">
      <c r="A59" s="12">
        <v>58</v>
      </c>
      <c r="B59" s="104">
        <v>37588</v>
      </c>
      <c r="C59" s="27" t="s">
        <v>54</v>
      </c>
      <c r="D59" s="3" t="s">
        <v>308</v>
      </c>
      <c r="E59" s="20" t="s">
        <v>221</v>
      </c>
      <c r="F59" s="29" t="s">
        <v>204</v>
      </c>
      <c r="G59" s="3" t="s">
        <v>12</v>
      </c>
      <c r="H59" s="52">
        <v>44367</v>
      </c>
      <c r="I59" s="3"/>
      <c r="J59" s="37" t="s">
        <v>58</v>
      </c>
      <c r="K59" s="443" t="s">
        <v>205</v>
      </c>
      <c r="L59" s="432"/>
      <c r="M59" s="443"/>
      <c r="N59" s="443"/>
      <c r="O59" s="33"/>
      <c r="P59" s="16"/>
      <c r="Q59" s="16" t="s">
        <v>75</v>
      </c>
      <c r="R59" s="16" t="s">
        <v>75</v>
      </c>
      <c r="S59" s="16"/>
      <c r="T59" s="16" t="s">
        <v>62</v>
      </c>
      <c r="U59" s="16" t="s">
        <v>62</v>
      </c>
      <c r="V59" s="16"/>
      <c r="W59" s="16"/>
      <c r="X59" s="16" t="s">
        <v>75</v>
      </c>
      <c r="Y59" s="16"/>
      <c r="Z59" s="432"/>
      <c r="AA59" s="435"/>
      <c r="AB59" s="24"/>
      <c r="AC59" s="276"/>
      <c r="AE59" s="36"/>
      <c r="AG59" s="24" t="s">
        <v>222</v>
      </c>
      <c r="AH59" s="24" t="s">
        <v>222</v>
      </c>
      <c r="AI59" s="24" t="s">
        <v>222</v>
      </c>
      <c r="AJ59" s="24" t="s">
        <v>206</v>
      </c>
      <c r="AK59" s="251">
        <v>45358</v>
      </c>
      <c r="AM59" s="251">
        <v>45358</v>
      </c>
      <c r="AN59" s="251"/>
    </row>
    <row r="60" spans="1:40" ht="26.4" x14ac:dyDescent="0.25">
      <c r="A60" s="12">
        <v>59</v>
      </c>
      <c r="B60" s="104">
        <v>30655</v>
      </c>
      <c r="C60" s="27" t="s">
        <v>64</v>
      </c>
      <c r="D60" s="3" t="s">
        <v>309</v>
      </c>
      <c r="E60" s="20" t="s">
        <v>203</v>
      </c>
      <c r="F60" s="3" t="s">
        <v>204</v>
      </c>
      <c r="G60" s="3" t="s">
        <v>12</v>
      </c>
      <c r="H60" s="84" t="s">
        <v>310</v>
      </c>
      <c r="I60" s="3"/>
      <c r="J60" s="37" t="s">
        <v>58</v>
      </c>
      <c r="K60" s="443" t="s">
        <v>205</v>
      </c>
      <c r="L60" s="432"/>
      <c r="M60" s="443"/>
      <c r="N60" s="443"/>
      <c r="O60" s="33"/>
      <c r="P60" s="16"/>
      <c r="Q60" s="16" t="s">
        <v>75</v>
      </c>
      <c r="R60" s="16" t="s">
        <v>75</v>
      </c>
      <c r="S60" s="16"/>
      <c r="T60" s="16" t="s">
        <v>68</v>
      </c>
      <c r="U60" s="16" t="s">
        <v>68</v>
      </c>
      <c r="V60" s="16"/>
      <c r="W60" s="16"/>
      <c r="X60" s="16" t="s">
        <v>75</v>
      </c>
      <c r="Y60" s="16"/>
      <c r="Z60" s="432"/>
      <c r="AA60" s="435"/>
      <c r="AB60" s="24"/>
      <c r="AC60" s="276"/>
      <c r="AD60" s="16" t="s">
        <v>63</v>
      </c>
      <c r="AE60" s="16" t="s">
        <v>206</v>
      </c>
      <c r="AG60" s="251" t="s">
        <v>234</v>
      </c>
      <c r="AH60" s="251" t="s">
        <v>234</v>
      </c>
      <c r="AI60" s="251" t="s">
        <v>273</v>
      </c>
      <c r="AJ60" s="24" t="s">
        <v>206</v>
      </c>
      <c r="AK60" s="24" t="s">
        <v>273</v>
      </c>
      <c r="AM60" s="24" t="s">
        <v>311</v>
      </c>
    </row>
    <row r="61" spans="1:40" ht="26.4" x14ac:dyDescent="0.25">
      <c r="A61" s="12">
        <v>60</v>
      </c>
      <c r="B61" s="104">
        <v>30655</v>
      </c>
      <c r="C61" s="27" t="s">
        <v>54</v>
      </c>
      <c r="D61" s="3" t="s">
        <v>312</v>
      </c>
      <c r="E61" s="20" t="s">
        <v>203</v>
      </c>
      <c r="F61" s="29" t="s">
        <v>204</v>
      </c>
      <c r="G61" s="3" t="s">
        <v>12</v>
      </c>
      <c r="H61" s="52" t="s">
        <v>310</v>
      </c>
      <c r="I61" s="3"/>
      <c r="J61" s="37" t="s">
        <v>58</v>
      </c>
      <c r="K61" s="443" t="s">
        <v>205</v>
      </c>
      <c r="L61" s="432"/>
      <c r="M61" s="443"/>
      <c r="N61" s="443"/>
      <c r="O61" s="33"/>
      <c r="P61" s="16"/>
      <c r="Q61" s="16" t="s">
        <v>75</v>
      </c>
      <c r="R61" s="16" t="s">
        <v>75</v>
      </c>
      <c r="S61" s="16"/>
      <c r="T61" s="16" t="s">
        <v>62</v>
      </c>
      <c r="U61" s="16" t="s">
        <v>62</v>
      </c>
      <c r="V61" s="16"/>
      <c r="W61" s="16"/>
      <c r="X61" s="16" t="s">
        <v>75</v>
      </c>
      <c r="Y61" s="16"/>
      <c r="Z61" s="432"/>
      <c r="AA61" s="435"/>
      <c r="AB61" s="24"/>
      <c r="AC61" s="276"/>
      <c r="AD61" s="16" t="s">
        <v>63</v>
      </c>
      <c r="AE61" s="16" t="s">
        <v>206</v>
      </c>
      <c r="AG61" s="251" t="s">
        <v>234</v>
      </c>
      <c r="AH61" s="251" t="s">
        <v>234</v>
      </c>
      <c r="AI61" s="251" t="s">
        <v>273</v>
      </c>
      <c r="AJ61" s="24" t="s">
        <v>206</v>
      </c>
      <c r="AK61" s="24" t="s">
        <v>273</v>
      </c>
      <c r="AM61" s="24" t="s">
        <v>311</v>
      </c>
    </row>
    <row r="62" spans="1:40" ht="26.4" x14ac:dyDescent="0.25">
      <c r="A62" s="12">
        <v>61</v>
      </c>
      <c r="B62" s="104">
        <v>30656</v>
      </c>
      <c r="C62" s="27" t="s">
        <v>64</v>
      </c>
      <c r="D62" s="3" t="s">
        <v>313</v>
      </c>
      <c r="E62" s="20" t="s">
        <v>203</v>
      </c>
      <c r="F62" s="29" t="s">
        <v>204</v>
      </c>
      <c r="G62" s="3" t="s">
        <v>12</v>
      </c>
      <c r="H62" s="84" t="s">
        <v>314</v>
      </c>
      <c r="I62" s="3"/>
      <c r="J62" s="37" t="s">
        <v>58</v>
      </c>
      <c r="K62" s="443" t="s">
        <v>205</v>
      </c>
      <c r="L62" s="432"/>
      <c r="M62" s="443"/>
      <c r="N62" s="443"/>
      <c r="O62" s="33"/>
      <c r="P62" s="16"/>
      <c r="Q62" s="16" t="s">
        <v>75</v>
      </c>
      <c r="R62" s="16" t="s">
        <v>75</v>
      </c>
      <c r="S62" s="16"/>
      <c r="T62" s="16" t="s">
        <v>68</v>
      </c>
      <c r="U62" s="16" t="s">
        <v>68</v>
      </c>
      <c r="V62" s="16"/>
      <c r="W62" s="16"/>
      <c r="X62" s="16" t="s">
        <v>75</v>
      </c>
      <c r="Y62" s="16"/>
      <c r="Z62" s="432"/>
      <c r="AA62" s="435"/>
      <c r="AB62" s="24"/>
      <c r="AC62" s="276"/>
      <c r="AE62" s="37" t="s">
        <v>206</v>
      </c>
      <c r="AG62" s="251">
        <v>45419</v>
      </c>
      <c r="AH62" s="251">
        <v>45419</v>
      </c>
      <c r="AI62" s="251" t="s">
        <v>223</v>
      </c>
      <c r="AJ62" s="24" t="s">
        <v>206</v>
      </c>
      <c r="AK62" s="24" t="s">
        <v>223</v>
      </c>
      <c r="AM62" s="24" t="s">
        <v>222</v>
      </c>
    </row>
    <row r="63" spans="1:40" ht="26.4" x14ac:dyDescent="0.25">
      <c r="A63" s="12">
        <v>62</v>
      </c>
      <c r="B63" s="104">
        <v>30656</v>
      </c>
      <c r="C63" s="27" t="s">
        <v>54</v>
      </c>
      <c r="D63" s="3" t="s">
        <v>315</v>
      </c>
      <c r="E63" s="20" t="s">
        <v>203</v>
      </c>
      <c r="F63" s="29" t="s">
        <v>204</v>
      </c>
      <c r="G63" s="3" t="s">
        <v>12</v>
      </c>
      <c r="H63" s="3" t="s">
        <v>314</v>
      </c>
      <c r="I63" s="3"/>
      <c r="J63" s="37" t="s">
        <v>58</v>
      </c>
      <c r="K63" s="443" t="s">
        <v>205</v>
      </c>
      <c r="L63" s="432"/>
      <c r="M63" s="443"/>
      <c r="N63" s="443"/>
      <c r="O63" s="33"/>
      <c r="P63" s="16"/>
      <c r="Q63" s="16" t="s">
        <v>75</v>
      </c>
      <c r="R63" s="16" t="s">
        <v>75</v>
      </c>
      <c r="S63" s="16"/>
      <c r="T63" s="16" t="s">
        <v>62</v>
      </c>
      <c r="U63" s="16" t="s">
        <v>62</v>
      </c>
      <c r="V63" s="16"/>
      <c r="W63" s="16"/>
      <c r="X63" s="16" t="s">
        <v>75</v>
      </c>
      <c r="Y63" s="16"/>
      <c r="Z63" s="432"/>
      <c r="AA63" s="435"/>
      <c r="AB63" s="24"/>
      <c r="AC63" s="276"/>
      <c r="AE63" s="37" t="s">
        <v>206</v>
      </c>
      <c r="AG63" s="251">
        <v>45419</v>
      </c>
      <c r="AH63" s="251">
        <v>45419</v>
      </c>
      <c r="AI63" s="24" t="s">
        <v>223</v>
      </c>
      <c r="AJ63" s="24" t="s">
        <v>206</v>
      </c>
      <c r="AK63" s="24" t="s">
        <v>223</v>
      </c>
      <c r="AM63" s="24" t="s">
        <v>222</v>
      </c>
    </row>
    <row r="64" spans="1:40" ht="26.4" x14ac:dyDescent="0.25">
      <c r="A64" s="12">
        <v>63</v>
      </c>
      <c r="B64" s="104">
        <v>30660</v>
      </c>
      <c r="C64" s="27" t="s">
        <v>64</v>
      </c>
      <c r="D64" s="3" t="s">
        <v>316</v>
      </c>
      <c r="E64" s="20" t="s">
        <v>203</v>
      </c>
      <c r="F64" s="29" t="s">
        <v>204</v>
      </c>
      <c r="G64" s="3" t="s">
        <v>12</v>
      </c>
      <c r="H64" s="84">
        <v>44321</v>
      </c>
      <c r="I64" s="3"/>
      <c r="J64" s="37" t="s">
        <v>58</v>
      </c>
      <c r="K64" s="465" t="s">
        <v>205</v>
      </c>
      <c r="L64" s="432"/>
      <c r="M64" s="443"/>
      <c r="N64" s="443"/>
      <c r="O64" s="33"/>
      <c r="P64" s="16"/>
      <c r="Q64" s="16" t="s">
        <v>75</v>
      </c>
      <c r="R64" s="16" t="s">
        <v>75</v>
      </c>
      <c r="S64" s="16"/>
      <c r="T64" s="16" t="s">
        <v>68</v>
      </c>
      <c r="U64" s="16" t="s">
        <v>68</v>
      </c>
      <c r="V64" s="16"/>
      <c r="W64" s="16"/>
      <c r="X64" s="16" t="s">
        <v>75</v>
      </c>
      <c r="Y64" s="16"/>
      <c r="Z64" s="432"/>
      <c r="AA64" s="435"/>
      <c r="AB64" s="24"/>
      <c r="AC64" s="276"/>
      <c r="AD64" s="16" t="s">
        <v>63</v>
      </c>
      <c r="AE64" s="36" t="s">
        <v>206</v>
      </c>
      <c r="AG64" s="24" t="s">
        <v>296</v>
      </c>
      <c r="AH64" s="24" t="s">
        <v>296</v>
      </c>
      <c r="AI64" s="24" t="s">
        <v>273</v>
      </c>
      <c r="AJ64" s="24" t="s">
        <v>206</v>
      </c>
      <c r="AK64" s="24" t="s">
        <v>317</v>
      </c>
      <c r="AM64" s="24" t="s">
        <v>259</v>
      </c>
    </row>
    <row r="65" spans="1:40" ht="26.4" x14ac:dyDescent="0.25">
      <c r="A65" s="12">
        <v>64</v>
      </c>
      <c r="B65" s="104">
        <v>30660</v>
      </c>
      <c r="C65" s="27" t="s">
        <v>54</v>
      </c>
      <c r="D65" s="3" t="s">
        <v>318</v>
      </c>
      <c r="E65" s="20" t="s">
        <v>203</v>
      </c>
      <c r="F65" s="29" t="s">
        <v>204</v>
      </c>
      <c r="G65" s="3" t="s">
        <v>12</v>
      </c>
      <c r="H65" s="84">
        <v>44321</v>
      </c>
      <c r="I65" s="3"/>
      <c r="J65" s="37" t="s">
        <v>58</v>
      </c>
      <c r="K65" s="465" t="s">
        <v>205</v>
      </c>
      <c r="L65" s="432"/>
      <c r="M65" s="443"/>
      <c r="N65" s="443"/>
      <c r="O65" s="33"/>
      <c r="P65" s="16"/>
      <c r="Q65" s="16" t="s">
        <v>75</v>
      </c>
      <c r="R65" s="16" t="s">
        <v>75</v>
      </c>
      <c r="S65" s="16"/>
      <c r="T65" s="16" t="s">
        <v>62</v>
      </c>
      <c r="U65" s="16" t="s">
        <v>62</v>
      </c>
      <c r="V65" s="16"/>
      <c r="W65" s="16"/>
      <c r="X65" s="16" t="s">
        <v>75</v>
      </c>
      <c r="Y65" s="16"/>
      <c r="Z65" s="432"/>
      <c r="AA65" s="435"/>
      <c r="AB65" s="24"/>
      <c r="AC65" s="276"/>
      <c r="AD65" s="16" t="s">
        <v>63</v>
      </c>
      <c r="AE65" s="36" t="s">
        <v>206</v>
      </c>
      <c r="AG65" s="24" t="s">
        <v>296</v>
      </c>
      <c r="AH65" s="24" t="s">
        <v>296</v>
      </c>
      <c r="AI65" s="24" t="s">
        <v>273</v>
      </c>
      <c r="AJ65" s="24" t="s">
        <v>206</v>
      </c>
      <c r="AK65" s="24" t="s">
        <v>317</v>
      </c>
      <c r="AM65" s="24" t="s">
        <v>259</v>
      </c>
    </row>
    <row r="66" spans="1:40" ht="26.4" x14ac:dyDescent="0.25">
      <c r="A66" s="12">
        <v>65</v>
      </c>
      <c r="B66" s="104">
        <v>30681</v>
      </c>
      <c r="C66" s="27" t="s">
        <v>64</v>
      </c>
      <c r="D66" s="3" t="s">
        <v>319</v>
      </c>
      <c r="E66" s="20" t="s">
        <v>221</v>
      </c>
      <c r="F66" s="29" t="s">
        <v>204</v>
      </c>
      <c r="G66" s="3" t="s">
        <v>12</v>
      </c>
      <c r="H66" s="84">
        <v>44203</v>
      </c>
      <c r="I66" s="3"/>
      <c r="J66" s="37" t="s">
        <v>58</v>
      </c>
      <c r="K66" s="443" t="s">
        <v>205</v>
      </c>
      <c r="L66" s="432"/>
      <c r="M66" s="443"/>
      <c r="N66" s="443"/>
      <c r="O66" s="33"/>
      <c r="P66" s="16"/>
      <c r="Q66" s="16" t="s">
        <v>75</v>
      </c>
      <c r="R66" s="16" t="s">
        <v>75</v>
      </c>
      <c r="S66" s="16"/>
      <c r="T66" s="16" t="s">
        <v>68</v>
      </c>
      <c r="U66" s="16" t="s">
        <v>68</v>
      </c>
      <c r="V66" s="16"/>
      <c r="W66" s="16"/>
      <c r="X66" s="16" t="s">
        <v>75</v>
      </c>
      <c r="Y66" s="16"/>
      <c r="Z66" s="432"/>
      <c r="AA66" s="435"/>
      <c r="AB66" s="24"/>
      <c r="AC66" s="276"/>
      <c r="AE66" s="36" t="s">
        <v>206</v>
      </c>
      <c r="AG66" s="24" t="s">
        <v>320</v>
      </c>
      <c r="AH66" s="24" t="s">
        <v>320</v>
      </c>
      <c r="AI66" s="24" t="s">
        <v>320</v>
      </c>
      <c r="AJ66" s="24" t="s">
        <v>206</v>
      </c>
      <c r="AK66" s="24" t="s">
        <v>321</v>
      </c>
    </row>
    <row r="67" spans="1:40" ht="26.4" x14ac:dyDescent="0.25">
      <c r="A67" s="12">
        <v>66</v>
      </c>
      <c r="B67" s="104">
        <v>30681</v>
      </c>
      <c r="C67" s="27" t="s">
        <v>54</v>
      </c>
      <c r="D67" s="3" t="s">
        <v>322</v>
      </c>
      <c r="E67" s="20" t="s">
        <v>221</v>
      </c>
      <c r="F67" s="3" t="s">
        <v>204</v>
      </c>
      <c r="G67" s="3" t="s">
        <v>12</v>
      </c>
      <c r="H67" s="84">
        <v>44203</v>
      </c>
      <c r="I67" s="3"/>
      <c r="J67" s="37" t="s">
        <v>58</v>
      </c>
      <c r="K67" s="443" t="s">
        <v>205</v>
      </c>
      <c r="L67" s="432"/>
      <c r="M67" s="443"/>
      <c r="N67" s="443"/>
      <c r="O67" s="33"/>
      <c r="P67" s="16"/>
      <c r="Q67" s="16" t="s">
        <v>75</v>
      </c>
      <c r="R67" s="16" t="s">
        <v>75</v>
      </c>
      <c r="S67" s="16"/>
      <c r="T67" s="16" t="s">
        <v>62</v>
      </c>
      <c r="U67" s="16" t="s">
        <v>62</v>
      </c>
      <c r="V67" s="16"/>
      <c r="W67" s="16"/>
      <c r="X67" s="16" t="s">
        <v>75</v>
      </c>
      <c r="Y67" s="16"/>
      <c r="Z67" s="432"/>
      <c r="AA67" s="435"/>
      <c r="AB67" s="24"/>
      <c r="AC67" s="276"/>
      <c r="AE67" s="37" t="s">
        <v>206</v>
      </c>
      <c r="AG67" s="24" t="s">
        <v>320</v>
      </c>
      <c r="AH67" s="24" t="s">
        <v>320</v>
      </c>
      <c r="AI67" s="24" t="s">
        <v>320</v>
      </c>
      <c r="AJ67" s="24" t="s">
        <v>206</v>
      </c>
      <c r="AK67" s="24" t="s">
        <v>321</v>
      </c>
    </row>
    <row r="68" spans="1:40" ht="26.4" x14ac:dyDescent="0.25">
      <c r="A68" s="12">
        <v>67</v>
      </c>
      <c r="B68" s="104">
        <v>30668</v>
      </c>
      <c r="C68" s="27" t="s">
        <v>64</v>
      </c>
      <c r="D68" s="3" t="s">
        <v>323</v>
      </c>
      <c r="E68" s="20" t="s">
        <v>221</v>
      </c>
      <c r="F68" s="3" t="s">
        <v>204</v>
      </c>
      <c r="G68" s="3" t="s">
        <v>12</v>
      </c>
      <c r="H68" s="84">
        <v>43839</v>
      </c>
      <c r="I68" s="3"/>
      <c r="J68" s="37" t="s">
        <v>58</v>
      </c>
      <c r="K68" s="443" t="s">
        <v>205</v>
      </c>
      <c r="L68" s="432"/>
      <c r="M68" s="443"/>
      <c r="N68" s="443"/>
      <c r="O68" s="33"/>
      <c r="P68" s="16"/>
      <c r="Q68" s="16" t="s">
        <v>75</v>
      </c>
      <c r="R68" s="16" t="s">
        <v>75</v>
      </c>
      <c r="S68" s="16"/>
      <c r="T68" s="16" t="s">
        <v>68</v>
      </c>
      <c r="U68" s="16" t="s">
        <v>68</v>
      </c>
      <c r="V68" s="16"/>
      <c r="W68" s="16"/>
      <c r="X68" s="16" t="s">
        <v>75</v>
      </c>
      <c r="Y68" s="16"/>
      <c r="Z68" s="432"/>
      <c r="AA68" s="435"/>
      <c r="AB68" s="24"/>
      <c r="AC68" s="276"/>
      <c r="AE68" s="37" t="s">
        <v>206</v>
      </c>
      <c r="AF68" s="23" t="s">
        <v>324</v>
      </c>
      <c r="AG68" s="251">
        <v>45603</v>
      </c>
      <c r="AH68" s="251">
        <v>45603</v>
      </c>
      <c r="AI68" s="251">
        <v>45603</v>
      </c>
      <c r="AJ68" s="24" t="s">
        <v>206</v>
      </c>
      <c r="AK68" s="24" t="s">
        <v>325</v>
      </c>
      <c r="AM68" s="24" t="s">
        <v>326</v>
      </c>
    </row>
    <row r="69" spans="1:40" ht="26.4" x14ac:dyDescent="0.25">
      <c r="A69" s="12">
        <v>68</v>
      </c>
      <c r="B69" s="104">
        <v>30668</v>
      </c>
      <c r="C69" s="27" t="s">
        <v>54</v>
      </c>
      <c r="D69" s="3" t="s">
        <v>327</v>
      </c>
      <c r="E69" s="20" t="s">
        <v>221</v>
      </c>
      <c r="F69" s="3" t="s">
        <v>204</v>
      </c>
      <c r="G69" s="3" t="s">
        <v>12</v>
      </c>
      <c r="H69" s="84">
        <v>43839</v>
      </c>
      <c r="I69" s="3"/>
      <c r="J69" s="37" t="s">
        <v>58</v>
      </c>
      <c r="K69" s="443" t="s">
        <v>205</v>
      </c>
      <c r="L69" s="432"/>
      <c r="M69" s="443"/>
      <c r="N69" s="443"/>
      <c r="O69" s="33"/>
      <c r="P69" s="16"/>
      <c r="Q69" s="16" t="s">
        <v>75</v>
      </c>
      <c r="R69" s="16" t="s">
        <v>75</v>
      </c>
      <c r="S69" s="16"/>
      <c r="T69" s="16" t="s">
        <v>62</v>
      </c>
      <c r="U69" s="16" t="s">
        <v>62</v>
      </c>
      <c r="V69" s="16"/>
      <c r="W69" s="16"/>
      <c r="X69" s="16" t="s">
        <v>75</v>
      </c>
      <c r="Y69" s="16"/>
      <c r="Z69" s="432"/>
      <c r="AA69" s="435"/>
      <c r="AB69" s="24"/>
      <c r="AC69" s="276"/>
      <c r="AE69" s="37" t="s">
        <v>206</v>
      </c>
      <c r="AF69" s="23" t="s">
        <v>324</v>
      </c>
      <c r="AG69" s="251">
        <v>45603</v>
      </c>
      <c r="AH69" s="251">
        <v>45603</v>
      </c>
      <c r="AI69" s="251">
        <v>45603</v>
      </c>
      <c r="AJ69" s="24" t="s">
        <v>206</v>
      </c>
      <c r="AK69" s="24" t="s">
        <v>325</v>
      </c>
      <c r="AM69" s="24" t="s">
        <v>326</v>
      </c>
    </row>
    <row r="70" spans="1:40" ht="26.4" x14ac:dyDescent="0.25">
      <c r="A70" s="12">
        <v>69</v>
      </c>
      <c r="B70" s="104">
        <v>30667</v>
      </c>
      <c r="C70" s="27" t="s">
        <v>64</v>
      </c>
      <c r="D70" s="3" t="s">
        <v>328</v>
      </c>
      <c r="E70" s="20" t="s">
        <v>203</v>
      </c>
      <c r="F70" s="3" t="s">
        <v>204</v>
      </c>
      <c r="G70" s="3" t="s">
        <v>12</v>
      </c>
      <c r="H70" s="84">
        <v>44381</v>
      </c>
      <c r="I70" s="3"/>
      <c r="J70" s="37" t="s">
        <v>58</v>
      </c>
      <c r="K70" s="443" t="s">
        <v>205</v>
      </c>
      <c r="L70" s="432"/>
      <c r="M70" s="443"/>
      <c r="N70" s="443"/>
      <c r="O70" s="33"/>
      <c r="P70" s="16"/>
      <c r="Q70" s="16" t="s">
        <v>75</v>
      </c>
      <c r="R70" s="16" t="s">
        <v>75</v>
      </c>
      <c r="S70" s="16"/>
      <c r="T70" s="16" t="s">
        <v>68</v>
      </c>
      <c r="U70" s="16" t="s">
        <v>68</v>
      </c>
      <c r="V70" s="16"/>
      <c r="W70" s="16"/>
      <c r="X70" s="16" t="s">
        <v>75</v>
      </c>
      <c r="Y70" s="16"/>
      <c r="Z70" s="432"/>
      <c r="AA70" s="435"/>
      <c r="AB70" s="24"/>
      <c r="AC70" s="276"/>
      <c r="AD70" s="16" t="s">
        <v>63</v>
      </c>
      <c r="AE70" s="36" t="s">
        <v>206</v>
      </c>
      <c r="AF70" s="23" t="s">
        <v>329</v>
      </c>
      <c r="AG70" s="24" t="s">
        <v>265</v>
      </c>
      <c r="AH70" s="24" t="s">
        <v>265</v>
      </c>
      <c r="AI70" s="24" t="s">
        <v>265</v>
      </c>
      <c r="AJ70" s="24" t="s">
        <v>206</v>
      </c>
      <c r="AK70" s="24" t="s">
        <v>329</v>
      </c>
      <c r="AM70" s="24" t="s">
        <v>330</v>
      </c>
    </row>
    <row r="71" spans="1:40" ht="26.4" x14ac:dyDescent="0.25">
      <c r="A71" s="12">
        <v>70</v>
      </c>
      <c r="B71" s="104">
        <v>30667</v>
      </c>
      <c r="C71" s="27" t="s">
        <v>54</v>
      </c>
      <c r="D71" s="3" t="s">
        <v>201</v>
      </c>
      <c r="E71" s="20" t="s">
        <v>203</v>
      </c>
      <c r="F71" s="3" t="s">
        <v>204</v>
      </c>
      <c r="G71" s="3" t="s">
        <v>12</v>
      </c>
      <c r="H71" s="84">
        <v>44381</v>
      </c>
      <c r="I71" s="3"/>
      <c r="J71" s="37" t="s">
        <v>58</v>
      </c>
      <c r="K71" s="443" t="s">
        <v>205</v>
      </c>
      <c r="L71" s="432"/>
      <c r="M71" s="443"/>
      <c r="N71" s="443"/>
      <c r="O71" s="33"/>
      <c r="P71" s="16"/>
      <c r="Q71" s="16" t="s">
        <v>75</v>
      </c>
      <c r="R71" s="16" t="s">
        <v>75</v>
      </c>
      <c r="S71" s="16"/>
      <c r="T71" s="16" t="s">
        <v>62</v>
      </c>
      <c r="U71" s="16" t="s">
        <v>62</v>
      </c>
      <c r="V71" s="16"/>
      <c r="W71" s="16"/>
      <c r="X71" s="16" t="s">
        <v>75</v>
      </c>
      <c r="Y71" s="16"/>
      <c r="Z71" s="432"/>
      <c r="AA71" s="435"/>
      <c r="AB71" s="24"/>
      <c r="AC71" s="276"/>
      <c r="AD71" s="16" t="s">
        <v>63</v>
      </c>
      <c r="AE71" s="36" t="s">
        <v>206</v>
      </c>
      <c r="AF71" s="23" t="s">
        <v>329</v>
      </c>
      <c r="AG71" s="251" t="s">
        <v>265</v>
      </c>
      <c r="AH71" s="251" t="s">
        <v>265</v>
      </c>
      <c r="AI71" s="251" t="s">
        <v>265</v>
      </c>
      <c r="AJ71" s="24" t="s">
        <v>206</v>
      </c>
      <c r="AK71" s="24" t="s">
        <v>329</v>
      </c>
      <c r="AM71" s="24" t="s">
        <v>330</v>
      </c>
    </row>
    <row r="72" spans="1:40" ht="26.4" x14ac:dyDescent="0.25">
      <c r="A72" s="12">
        <v>71</v>
      </c>
      <c r="B72" s="104">
        <v>30317</v>
      </c>
      <c r="C72" s="27" t="s">
        <v>64</v>
      </c>
      <c r="D72" s="3" t="s">
        <v>331</v>
      </c>
      <c r="E72" s="20" t="s">
        <v>203</v>
      </c>
      <c r="F72" s="3" t="s">
        <v>204</v>
      </c>
      <c r="G72" s="3" t="s">
        <v>12</v>
      </c>
      <c r="H72" s="84">
        <v>44357</v>
      </c>
      <c r="I72" s="3"/>
      <c r="J72" s="37" t="s">
        <v>58</v>
      </c>
      <c r="K72" s="443" t="s">
        <v>205</v>
      </c>
      <c r="L72" s="432"/>
      <c r="M72" s="443"/>
      <c r="N72" s="443"/>
      <c r="O72" s="33"/>
      <c r="P72" s="16"/>
      <c r="Q72" s="16" t="s">
        <v>75</v>
      </c>
      <c r="R72" s="16" t="s">
        <v>75</v>
      </c>
      <c r="S72" s="16"/>
      <c r="T72" s="16" t="s">
        <v>68</v>
      </c>
      <c r="U72" s="16" t="s">
        <v>68</v>
      </c>
      <c r="V72" s="16"/>
      <c r="W72" s="16"/>
      <c r="X72" s="16" t="s">
        <v>75</v>
      </c>
      <c r="Y72" s="16"/>
      <c r="Z72" s="432"/>
      <c r="AA72" s="435"/>
      <c r="AB72" s="24"/>
      <c r="AC72" s="276"/>
      <c r="AE72" s="37" t="s">
        <v>206</v>
      </c>
      <c r="AF72" s="1147">
        <v>45484</v>
      </c>
      <c r="AG72" s="251" t="s">
        <v>259</v>
      </c>
      <c r="AH72" s="251" t="s">
        <v>259</v>
      </c>
      <c r="AI72" s="24" t="s">
        <v>259</v>
      </c>
      <c r="AJ72" s="24" t="s">
        <v>206</v>
      </c>
      <c r="AK72" s="251">
        <v>45484</v>
      </c>
      <c r="AM72" s="251">
        <v>45546</v>
      </c>
      <c r="AN72" s="251"/>
    </row>
    <row r="73" spans="1:40" ht="26.4" x14ac:dyDescent="0.25">
      <c r="A73" s="12">
        <v>72</v>
      </c>
      <c r="B73" s="104">
        <v>30317</v>
      </c>
      <c r="C73" s="27" t="s">
        <v>54</v>
      </c>
      <c r="D73" s="3" t="s">
        <v>332</v>
      </c>
      <c r="E73" s="20" t="s">
        <v>203</v>
      </c>
      <c r="F73" s="3" t="s">
        <v>204</v>
      </c>
      <c r="G73" s="3" t="s">
        <v>12</v>
      </c>
      <c r="H73" s="84">
        <v>44357</v>
      </c>
      <c r="I73" s="3"/>
      <c r="J73" s="37" t="s">
        <v>58</v>
      </c>
      <c r="K73" s="443" t="s">
        <v>205</v>
      </c>
      <c r="L73" s="432"/>
      <c r="M73" s="443"/>
      <c r="N73" s="443"/>
      <c r="O73" s="33"/>
      <c r="P73" s="16"/>
      <c r="Q73" s="16" t="s">
        <v>75</v>
      </c>
      <c r="R73" s="16" t="s">
        <v>75</v>
      </c>
      <c r="S73" s="16"/>
      <c r="T73" s="16" t="s">
        <v>62</v>
      </c>
      <c r="U73" s="16" t="s">
        <v>62</v>
      </c>
      <c r="V73" s="16"/>
      <c r="W73" s="16"/>
      <c r="X73" s="16" t="s">
        <v>75</v>
      </c>
      <c r="Y73" s="16"/>
      <c r="Z73" s="432"/>
      <c r="AA73" s="435"/>
      <c r="AB73" s="24"/>
      <c r="AC73" s="276"/>
      <c r="AE73" s="36" t="s">
        <v>206</v>
      </c>
      <c r="AF73" s="1147">
        <v>45484</v>
      </c>
      <c r="AG73" s="24" t="s">
        <v>259</v>
      </c>
      <c r="AH73" s="24" t="s">
        <v>259</v>
      </c>
      <c r="AI73" s="24" t="s">
        <v>259</v>
      </c>
      <c r="AJ73" s="24" t="s">
        <v>206</v>
      </c>
      <c r="AK73" s="251">
        <v>45484</v>
      </c>
      <c r="AM73" s="251">
        <v>45546</v>
      </c>
      <c r="AN73" s="251"/>
    </row>
    <row r="74" spans="1:40" ht="26.4" x14ac:dyDescent="0.25">
      <c r="A74" s="12">
        <v>73</v>
      </c>
      <c r="B74" s="104">
        <v>30647</v>
      </c>
      <c r="C74" s="27" t="s">
        <v>64</v>
      </c>
      <c r="D74" s="3" t="s">
        <v>333</v>
      </c>
      <c r="E74" s="20" t="s">
        <v>221</v>
      </c>
      <c r="F74" s="3" t="s">
        <v>204</v>
      </c>
      <c r="G74" s="3" t="s">
        <v>12</v>
      </c>
      <c r="H74" s="3" t="s">
        <v>334</v>
      </c>
      <c r="I74" s="3"/>
      <c r="J74" s="37" t="s">
        <v>58</v>
      </c>
      <c r="K74" s="443" t="s">
        <v>205</v>
      </c>
      <c r="L74" s="432"/>
      <c r="M74" s="443"/>
      <c r="N74" s="443"/>
      <c r="O74" s="33"/>
      <c r="P74" s="16"/>
      <c r="Q74" s="16" t="s">
        <v>75</v>
      </c>
      <c r="R74" s="16" t="s">
        <v>75</v>
      </c>
      <c r="S74" s="16"/>
      <c r="T74" s="16" t="s">
        <v>68</v>
      </c>
      <c r="U74" s="16" t="s">
        <v>68</v>
      </c>
      <c r="V74" s="16"/>
      <c r="W74" s="16"/>
      <c r="X74" s="16" t="s">
        <v>75</v>
      </c>
      <c r="Y74" s="16"/>
      <c r="Z74" s="432"/>
      <c r="AA74" s="435"/>
      <c r="AB74" s="24"/>
      <c r="AC74" s="276"/>
      <c r="AE74" s="36"/>
      <c r="AG74" s="251">
        <v>45329</v>
      </c>
      <c r="AH74" s="251">
        <v>45329</v>
      </c>
      <c r="AI74" s="251">
        <v>45329</v>
      </c>
      <c r="AJ74" s="24" t="s">
        <v>206</v>
      </c>
      <c r="AK74" s="24" t="s">
        <v>335</v>
      </c>
      <c r="AM74" s="251">
        <v>45358</v>
      </c>
      <c r="AN74" s="251"/>
    </row>
    <row r="75" spans="1:40" ht="26.4" x14ac:dyDescent="0.25">
      <c r="A75" s="12">
        <v>74</v>
      </c>
      <c r="B75" s="104">
        <v>30647</v>
      </c>
      <c r="C75" s="27" t="s">
        <v>54</v>
      </c>
      <c r="D75" s="3" t="s">
        <v>336</v>
      </c>
      <c r="E75" s="20" t="s">
        <v>221</v>
      </c>
      <c r="F75" s="3" t="s">
        <v>204</v>
      </c>
      <c r="G75" s="3" t="s">
        <v>12</v>
      </c>
      <c r="H75" s="3" t="s">
        <v>334</v>
      </c>
      <c r="I75" s="3"/>
      <c r="J75" s="37" t="s">
        <v>58</v>
      </c>
      <c r="K75" s="443" t="s">
        <v>205</v>
      </c>
      <c r="L75" s="432"/>
      <c r="M75" s="443"/>
      <c r="N75" s="443"/>
      <c r="O75" s="33"/>
      <c r="P75" s="16"/>
      <c r="Q75" s="16" t="s">
        <v>75</v>
      </c>
      <c r="R75" s="16" t="s">
        <v>75</v>
      </c>
      <c r="S75" s="16"/>
      <c r="T75" s="16" t="s">
        <v>62</v>
      </c>
      <c r="U75" s="16" t="s">
        <v>62</v>
      </c>
      <c r="V75" s="16"/>
      <c r="W75" s="16"/>
      <c r="X75" s="16" t="s">
        <v>75</v>
      </c>
      <c r="Y75" s="16"/>
      <c r="Z75" s="432"/>
      <c r="AA75" s="435"/>
      <c r="AB75" s="24"/>
      <c r="AC75" s="276"/>
      <c r="AE75" s="24"/>
      <c r="AG75" s="251">
        <v>45329</v>
      </c>
      <c r="AH75" s="251">
        <v>45329</v>
      </c>
      <c r="AI75" s="251">
        <v>45329</v>
      </c>
      <c r="AJ75" s="24" t="s">
        <v>206</v>
      </c>
      <c r="AK75" s="24" t="s">
        <v>335</v>
      </c>
      <c r="AM75" s="251">
        <v>45358</v>
      </c>
      <c r="AN75" s="251"/>
    </row>
    <row r="76" spans="1:40" ht="26.4" x14ac:dyDescent="0.25">
      <c r="A76" s="12">
        <v>75</v>
      </c>
      <c r="B76" s="104">
        <v>30648</v>
      </c>
      <c r="C76" s="27" t="s">
        <v>64</v>
      </c>
      <c r="D76" s="3" t="s">
        <v>337</v>
      </c>
      <c r="E76" s="20" t="s">
        <v>203</v>
      </c>
      <c r="F76" s="3" t="s">
        <v>204</v>
      </c>
      <c r="G76" s="3" t="s">
        <v>12</v>
      </c>
      <c r="H76" s="3" t="s">
        <v>338</v>
      </c>
      <c r="I76" s="3"/>
      <c r="J76" s="37" t="s">
        <v>58</v>
      </c>
      <c r="K76" s="443" t="s">
        <v>205</v>
      </c>
      <c r="L76" s="432"/>
      <c r="M76" s="443"/>
      <c r="N76" s="443"/>
      <c r="O76" s="33"/>
      <c r="P76" s="16"/>
      <c r="Q76" s="16" t="s">
        <v>75</v>
      </c>
      <c r="R76" s="16" t="s">
        <v>75</v>
      </c>
      <c r="S76" s="16"/>
      <c r="T76" s="16" t="s">
        <v>68</v>
      </c>
      <c r="U76" s="16" t="s">
        <v>68</v>
      </c>
      <c r="V76" s="16"/>
      <c r="W76" s="16"/>
      <c r="X76" s="16" t="s">
        <v>75</v>
      </c>
      <c r="Y76" s="16"/>
      <c r="Z76" s="432"/>
      <c r="AA76" s="435"/>
      <c r="AB76" s="24"/>
      <c r="AC76" s="276"/>
      <c r="AE76" s="24" t="s">
        <v>206</v>
      </c>
      <c r="AF76" s="1147">
        <v>45359</v>
      </c>
      <c r="AG76" s="251">
        <v>45299</v>
      </c>
      <c r="AH76" s="251">
        <v>45299</v>
      </c>
      <c r="AI76" s="251">
        <v>45330</v>
      </c>
      <c r="AJ76" s="24" t="s">
        <v>206</v>
      </c>
      <c r="AK76" s="251">
        <v>45359</v>
      </c>
      <c r="AM76" s="251">
        <v>45359</v>
      </c>
      <c r="AN76" s="251"/>
    </row>
    <row r="77" spans="1:40" ht="26.4" x14ac:dyDescent="0.25">
      <c r="A77" s="12">
        <v>76</v>
      </c>
      <c r="B77" s="104">
        <v>30648</v>
      </c>
      <c r="C77" s="27" t="s">
        <v>54</v>
      </c>
      <c r="D77" s="3" t="s">
        <v>339</v>
      </c>
      <c r="E77" s="20" t="s">
        <v>203</v>
      </c>
      <c r="F77" s="3" t="s">
        <v>204</v>
      </c>
      <c r="G77" s="3" t="s">
        <v>12</v>
      </c>
      <c r="H77" s="3" t="s">
        <v>338</v>
      </c>
      <c r="I77" s="3"/>
      <c r="J77" s="37" t="s">
        <v>58</v>
      </c>
      <c r="K77" s="443" t="s">
        <v>205</v>
      </c>
      <c r="L77" s="432"/>
      <c r="M77" s="443"/>
      <c r="N77" s="443"/>
      <c r="O77" s="33"/>
      <c r="P77" s="16"/>
      <c r="Q77" s="16" t="s">
        <v>75</v>
      </c>
      <c r="R77" s="16" t="s">
        <v>75</v>
      </c>
      <c r="S77" s="16"/>
      <c r="T77" s="16" t="s">
        <v>62</v>
      </c>
      <c r="U77" s="16" t="s">
        <v>62</v>
      </c>
      <c r="V77" s="16"/>
      <c r="W77" s="16"/>
      <c r="X77" s="16" t="s">
        <v>75</v>
      </c>
      <c r="Y77" s="16"/>
      <c r="Z77" s="432"/>
      <c r="AA77" s="435"/>
      <c r="AB77" s="24"/>
      <c r="AC77" s="276"/>
      <c r="AE77" s="36" t="s">
        <v>206</v>
      </c>
      <c r="AF77" s="1147">
        <v>45359</v>
      </c>
      <c r="AG77" s="251">
        <v>45299</v>
      </c>
      <c r="AH77" s="251">
        <v>45299</v>
      </c>
      <c r="AI77" s="251">
        <v>45330</v>
      </c>
      <c r="AJ77" s="24" t="s">
        <v>206</v>
      </c>
      <c r="AK77" s="251">
        <v>45359</v>
      </c>
      <c r="AM77" s="251">
        <v>45359</v>
      </c>
      <c r="AN77" s="251"/>
    </row>
    <row r="78" spans="1:40" ht="26.4" x14ac:dyDescent="0.25">
      <c r="A78" s="12">
        <v>77</v>
      </c>
      <c r="B78" s="104">
        <v>30659</v>
      </c>
      <c r="C78" s="27" t="s">
        <v>64</v>
      </c>
      <c r="D78" s="3" t="s">
        <v>340</v>
      </c>
      <c r="E78" s="20" t="s">
        <v>203</v>
      </c>
      <c r="F78" s="3" t="s">
        <v>204</v>
      </c>
      <c r="G78" s="3" t="s">
        <v>12</v>
      </c>
      <c r="H78" s="84">
        <v>44450</v>
      </c>
      <c r="I78" s="3"/>
      <c r="J78" s="37" t="s">
        <v>58</v>
      </c>
      <c r="K78" s="443" t="s">
        <v>205</v>
      </c>
      <c r="L78" s="432"/>
      <c r="M78" s="443"/>
      <c r="N78" s="443"/>
      <c r="O78" s="33"/>
      <c r="P78" s="16"/>
      <c r="Q78" s="16" t="s">
        <v>75</v>
      </c>
      <c r="R78" s="16" t="s">
        <v>75</v>
      </c>
      <c r="S78" s="16"/>
      <c r="T78" s="16" t="s">
        <v>68</v>
      </c>
      <c r="U78" s="16" t="s">
        <v>68</v>
      </c>
      <c r="V78" s="16"/>
      <c r="W78" s="16"/>
      <c r="X78" s="16" t="s">
        <v>75</v>
      </c>
      <c r="Y78" s="16"/>
      <c r="Z78" s="432"/>
      <c r="AA78" s="435"/>
      <c r="AB78" s="24"/>
      <c r="AC78" s="276"/>
      <c r="AD78" s="16" t="s">
        <v>63</v>
      </c>
      <c r="AE78" s="36" t="s">
        <v>206</v>
      </c>
      <c r="AF78" s="23" t="s">
        <v>341</v>
      </c>
      <c r="AG78" s="251" t="s">
        <v>269</v>
      </c>
      <c r="AH78" s="251" t="s">
        <v>269</v>
      </c>
      <c r="AI78" s="251" t="s">
        <v>342</v>
      </c>
      <c r="AJ78" s="24" t="s">
        <v>206</v>
      </c>
      <c r="AK78" s="24" t="s">
        <v>342</v>
      </c>
      <c r="AM78" s="24" t="s">
        <v>343</v>
      </c>
    </row>
    <row r="79" spans="1:40" ht="26.4" x14ac:dyDescent="0.25">
      <c r="A79" s="12">
        <v>78</v>
      </c>
      <c r="B79" s="104">
        <v>30659</v>
      </c>
      <c r="C79" s="27" t="s">
        <v>54</v>
      </c>
      <c r="D79" s="24" t="s">
        <v>344</v>
      </c>
      <c r="E79" s="20" t="s">
        <v>203</v>
      </c>
      <c r="F79" s="3" t="s">
        <v>204</v>
      </c>
      <c r="G79" s="3" t="s">
        <v>12</v>
      </c>
      <c r="H79" s="84">
        <v>44450</v>
      </c>
      <c r="I79" s="3"/>
      <c r="J79" s="37" t="s">
        <v>58</v>
      </c>
      <c r="K79" s="432" t="s">
        <v>205</v>
      </c>
      <c r="L79" s="432"/>
      <c r="M79" s="443"/>
      <c r="N79" s="443"/>
      <c r="O79" s="33"/>
      <c r="P79" s="16"/>
      <c r="Q79" s="16" t="s">
        <v>75</v>
      </c>
      <c r="R79" s="16" t="s">
        <v>75</v>
      </c>
      <c r="S79" s="16"/>
      <c r="T79" s="16" t="s">
        <v>62</v>
      </c>
      <c r="U79" s="16" t="s">
        <v>62</v>
      </c>
      <c r="V79" s="37"/>
      <c r="W79" s="16"/>
      <c r="X79" s="16" t="s">
        <v>75</v>
      </c>
      <c r="Y79" s="37"/>
      <c r="Z79" s="429"/>
      <c r="AA79" s="435"/>
      <c r="AB79" s="24"/>
      <c r="AC79" s="285"/>
      <c r="AD79" s="16" t="s">
        <v>63</v>
      </c>
      <c r="AE79" s="36" t="s">
        <v>206</v>
      </c>
      <c r="AF79" s="23" t="s">
        <v>341</v>
      </c>
      <c r="AG79" s="251" t="s">
        <v>269</v>
      </c>
      <c r="AH79" s="251" t="s">
        <v>269</v>
      </c>
      <c r="AI79" s="24" t="s">
        <v>342</v>
      </c>
      <c r="AJ79" s="24" t="s">
        <v>206</v>
      </c>
      <c r="AK79" s="24" t="s">
        <v>342</v>
      </c>
      <c r="AM79" s="24" t="s">
        <v>343</v>
      </c>
    </row>
    <row r="80" spans="1:40" ht="26.4" x14ac:dyDescent="0.25">
      <c r="A80" s="12">
        <v>79</v>
      </c>
      <c r="B80" s="104">
        <v>30664</v>
      </c>
      <c r="C80" s="27" t="s">
        <v>64</v>
      </c>
      <c r="D80" s="24" t="s">
        <v>345</v>
      </c>
      <c r="E80" s="20" t="s">
        <v>203</v>
      </c>
      <c r="F80" s="3" t="s">
        <v>204</v>
      </c>
      <c r="G80" s="3" t="s">
        <v>12</v>
      </c>
      <c r="H80" s="84">
        <v>44440</v>
      </c>
      <c r="I80" s="3"/>
      <c r="J80" s="37" t="s">
        <v>58</v>
      </c>
      <c r="K80" s="432" t="s">
        <v>205</v>
      </c>
      <c r="L80" s="432"/>
      <c r="M80" s="443"/>
      <c r="N80" s="443"/>
      <c r="O80" s="33"/>
      <c r="P80" s="16"/>
      <c r="Q80" s="16" t="s">
        <v>75</v>
      </c>
      <c r="R80" s="16" t="s">
        <v>75</v>
      </c>
      <c r="S80" s="16"/>
      <c r="T80" s="16" t="s">
        <v>68</v>
      </c>
      <c r="U80" s="16" t="s">
        <v>68</v>
      </c>
      <c r="V80" s="37"/>
      <c r="W80" s="16"/>
      <c r="X80" s="16" t="s">
        <v>75</v>
      </c>
      <c r="Y80" s="37"/>
      <c r="Z80" s="429"/>
      <c r="AA80" s="435"/>
      <c r="AB80" s="24"/>
      <c r="AC80" s="285"/>
      <c r="AD80" s="16" t="s">
        <v>63</v>
      </c>
      <c r="AE80" s="36" t="s">
        <v>206</v>
      </c>
      <c r="AF80" s="23" t="s">
        <v>346</v>
      </c>
      <c r="AG80" s="24" t="s">
        <v>347</v>
      </c>
      <c r="AH80" s="24" t="s">
        <v>347</v>
      </c>
      <c r="AI80" s="24" t="s">
        <v>347</v>
      </c>
      <c r="AJ80" s="24" t="s">
        <v>206</v>
      </c>
      <c r="AK80" s="24" t="s">
        <v>346</v>
      </c>
      <c r="AM80" s="24" t="s">
        <v>321</v>
      </c>
    </row>
    <row r="81" spans="1:43" ht="26.4" x14ac:dyDescent="0.25">
      <c r="A81" s="12">
        <v>80</v>
      </c>
      <c r="B81" s="104">
        <v>30664</v>
      </c>
      <c r="C81" s="27" t="s">
        <v>54</v>
      </c>
      <c r="D81" s="24" t="s">
        <v>348</v>
      </c>
      <c r="E81" s="20" t="s">
        <v>203</v>
      </c>
      <c r="F81" s="3" t="s">
        <v>204</v>
      </c>
      <c r="G81" s="3" t="s">
        <v>12</v>
      </c>
      <c r="H81" s="84">
        <v>44440</v>
      </c>
      <c r="I81" s="3"/>
      <c r="J81" s="37" t="s">
        <v>58</v>
      </c>
      <c r="K81" s="432" t="s">
        <v>205</v>
      </c>
      <c r="L81" s="432"/>
      <c r="M81" s="443"/>
      <c r="N81" s="443"/>
      <c r="O81" s="33"/>
      <c r="P81" s="16"/>
      <c r="Q81" s="16" t="s">
        <v>75</v>
      </c>
      <c r="R81" s="16" t="s">
        <v>75</v>
      </c>
      <c r="S81" s="16"/>
      <c r="T81" s="16" t="s">
        <v>62</v>
      </c>
      <c r="U81" s="16" t="s">
        <v>62</v>
      </c>
      <c r="V81" s="37"/>
      <c r="W81" s="16"/>
      <c r="X81" s="16" t="s">
        <v>75</v>
      </c>
      <c r="Y81" s="37"/>
      <c r="Z81" s="429"/>
      <c r="AA81" s="435"/>
      <c r="AB81" s="24"/>
      <c r="AC81" s="285"/>
      <c r="AD81" s="16" t="s">
        <v>63</v>
      </c>
      <c r="AE81" s="16" t="s">
        <v>206</v>
      </c>
      <c r="AF81" s="23" t="s">
        <v>346</v>
      </c>
      <c r="AG81" s="24" t="s">
        <v>347</v>
      </c>
      <c r="AH81" s="24" t="s">
        <v>347</v>
      </c>
      <c r="AI81" s="24" t="s">
        <v>347</v>
      </c>
      <c r="AJ81" s="24" t="s">
        <v>206</v>
      </c>
      <c r="AK81" s="24" t="s">
        <v>346</v>
      </c>
      <c r="AM81" s="24" t="s">
        <v>321</v>
      </c>
    </row>
    <row r="82" spans="1:43" ht="26.4" x14ac:dyDescent="0.25">
      <c r="A82" s="12">
        <v>81</v>
      </c>
      <c r="B82" s="104">
        <v>30685</v>
      </c>
      <c r="C82" s="27" t="s">
        <v>64</v>
      </c>
      <c r="D82" s="24" t="s">
        <v>349</v>
      </c>
      <c r="E82" s="20" t="s">
        <v>203</v>
      </c>
      <c r="F82" s="3" t="s">
        <v>204</v>
      </c>
      <c r="G82" s="3" t="s">
        <v>12</v>
      </c>
      <c r="H82" s="84">
        <v>44480</v>
      </c>
      <c r="I82" s="3"/>
      <c r="J82" s="37" t="s">
        <v>58</v>
      </c>
      <c r="K82" s="432" t="s">
        <v>205</v>
      </c>
      <c r="L82" s="432"/>
      <c r="M82" s="443"/>
      <c r="N82" s="443"/>
      <c r="O82" s="33"/>
      <c r="P82" s="16"/>
      <c r="Q82" s="16" t="s">
        <v>75</v>
      </c>
      <c r="R82" s="16" t="s">
        <v>75</v>
      </c>
      <c r="S82" s="16"/>
      <c r="T82" s="16" t="s">
        <v>68</v>
      </c>
      <c r="U82" s="16" t="s">
        <v>68</v>
      </c>
      <c r="V82" s="37"/>
      <c r="W82" s="16"/>
      <c r="X82" s="16" t="s">
        <v>75</v>
      </c>
      <c r="Y82" s="37"/>
      <c r="Z82" s="429"/>
      <c r="AA82" s="435"/>
      <c r="AB82" s="24"/>
      <c r="AC82" s="285"/>
      <c r="AD82" s="16" t="s">
        <v>63</v>
      </c>
      <c r="AE82" s="32" t="s">
        <v>206</v>
      </c>
      <c r="AG82" s="251">
        <v>45389</v>
      </c>
      <c r="AH82" s="251">
        <v>45389</v>
      </c>
      <c r="AI82" s="251">
        <v>45389</v>
      </c>
      <c r="AJ82" s="24" t="s">
        <v>206</v>
      </c>
      <c r="AK82" s="251">
        <v>45389</v>
      </c>
      <c r="AM82" s="24" t="s">
        <v>350</v>
      </c>
    </row>
    <row r="83" spans="1:43" ht="26.4" x14ac:dyDescent="0.25">
      <c r="A83" s="427">
        <v>82</v>
      </c>
      <c r="B83" s="104">
        <v>30685</v>
      </c>
      <c r="C83" s="112" t="s">
        <v>54</v>
      </c>
      <c r="D83" s="115" t="s">
        <v>351</v>
      </c>
      <c r="E83" s="111" t="s">
        <v>203</v>
      </c>
      <c r="F83" s="115" t="s">
        <v>204</v>
      </c>
      <c r="G83" s="115" t="s">
        <v>12</v>
      </c>
      <c r="H83" s="876">
        <v>44480</v>
      </c>
      <c r="I83" s="115"/>
      <c r="J83" s="116" t="s">
        <v>58</v>
      </c>
      <c r="K83" s="446" t="s">
        <v>205</v>
      </c>
      <c r="L83" s="446"/>
      <c r="M83" s="446"/>
      <c r="N83" s="447"/>
      <c r="O83" s="406"/>
      <c r="P83" s="117"/>
      <c r="Q83" s="117" t="s">
        <v>75</v>
      </c>
      <c r="R83" s="117" t="s">
        <v>75</v>
      </c>
      <c r="S83" s="117"/>
      <c r="T83" s="117" t="s">
        <v>62</v>
      </c>
      <c r="U83" s="117" t="s">
        <v>62</v>
      </c>
      <c r="V83" s="117"/>
      <c r="W83" s="117"/>
      <c r="X83" s="117" t="s">
        <v>75</v>
      </c>
      <c r="Y83" s="115"/>
      <c r="Z83" s="1395"/>
      <c r="AA83" s="1396"/>
      <c r="AB83" s="186"/>
      <c r="AC83" s="1397"/>
      <c r="AD83" s="117" t="s">
        <v>63</v>
      </c>
      <c r="AE83" s="408" t="s">
        <v>206</v>
      </c>
      <c r="AG83" s="940">
        <v>45389</v>
      </c>
      <c r="AH83" s="940">
        <v>45389</v>
      </c>
      <c r="AI83" s="940">
        <v>45389</v>
      </c>
      <c r="AJ83" s="186" t="s">
        <v>206</v>
      </c>
      <c r="AK83" s="940">
        <v>45389</v>
      </c>
      <c r="AL83" s="186"/>
      <c r="AM83" s="186" t="s">
        <v>350</v>
      </c>
      <c r="AN83" s="186"/>
    </row>
    <row r="84" spans="1:43" ht="13.2" x14ac:dyDescent="0.25">
      <c r="A84" s="103">
        <v>83</v>
      </c>
      <c r="B84" s="104">
        <v>30691</v>
      </c>
      <c r="C84" s="104" t="s">
        <v>64</v>
      </c>
      <c r="D84" s="103"/>
      <c r="E84" s="104" t="s">
        <v>203</v>
      </c>
      <c r="F84" s="103" t="s">
        <v>204</v>
      </c>
      <c r="G84" s="103" t="s">
        <v>12</v>
      </c>
      <c r="H84" s="103" t="s">
        <v>352</v>
      </c>
      <c r="I84" s="103"/>
      <c r="J84" s="105" t="s">
        <v>58</v>
      </c>
      <c r="K84" s="471" t="s">
        <v>205</v>
      </c>
      <c r="L84" s="438"/>
      <c r="M84" s="438"/>
      <c r="N84" s="471"/>
      <c r="O84" s="106"/>
      <c r="P84" s="105"/>
      <c r="Q84" s="105" t="s">
        <v>75</v>
      </c>
      <c r="R84" s="105" t="s">
        <v>75</v>
      </c>
      <c r="S84" s="105"/>
      <c r="T84" s="105" t="s">
        <v>68</v>
      </c>
      <c r="U84" s="105" t="s">
        <v>68</v>
      </c>
      <c r="V84" s="105"/>
      <c r="W84" s="105"/>
      <c r="X84" s="105" t="s">
        <v>75</v>
      </c>
      <c r="Y84" s="105"/>
      <c r="Z84" s="438"/>
      <c r="AA84" s="438"/>
      <c r="AB84" s="105"/>
      <c r="AC84" s="105"/>
      <c r="AD84" s="105" t="s">
        <v>63</v>
      </c>
      <c r="AE84" s="105" t="s">
        <v>206</v>
      </c>
      <c r="AF84" s="845">
        <v>45391</v>
      </c>
      <c r="AG84" s="845">
        <v>45331</v>
      </c>
      <c r="AH84" s="845">
        <v>45331</v>
      </c>
      <c r="AI84" s="845">
        <v>45391</v>
      </c>
      <c r="AJ84" s="187" t="s">
        <v>206</v>
      </c>
      <c r="AK84" s="845">
        <v>45391</v>
      </c>
      <c r="AL84" s="187"/>
      <c r="AM84" s="845">
        <v>45331</v>
      </c>
      <c r="AN84" s="845"/>
      <c r="AO84" s="507"/>
      <c r="AP84" s="507"/>
      <c r="AQ84" s="507"/>
    </row>
    <row r="85" spans="1:43" ht="12.75" customHeight="1" x14ac:dyDescent="0.25">
      <c r="A85" s="103">
        <v>84</v>
      </c>
      <c r="B85" s="104">
        <v>30691</v>
      </c>
      <c r="C85" s="104" t="s">
        <v>54</v>
      </c>
      <c r="D85" s="103" t="s">
        <v>353</v>
      </c>
      <c r="E85" s="104" t="s">
        <v>203</v>
      </c>
      <c r="F85" s="103" t="s">
        <v>204</v>
      </c>
      <c r="G85" s="103" t="s">
        <v>12</v>
      </c>
      <c r="H85" s="103" t="s">
        <v>352</v>
      </c>
      <c r="I85" s="103"/>
      <c r="J85" s="105" t="s">
        <v>58</v>
      </c>
      <c r="K85" s="471" t="s">
        <v>205</v>
      </c>
      <c r="L85" s="438"/>
      <c r="M85" s="438"/>
      <c r="N85" s="471"/>
      <c r="O85" s="106"/>
      <c r="P85" s="105"/>
      <c r="Q85" s="105" t="s">
        <v>75</v>
      </c>
      <c r="R85" s="105" t="s">
        <v>75</v>
      </c>
      <c r="S85" s="105"/>
      <c r="T85" s="105" t="s">
        <v>62</v>
      </c>
      <c r="U85" s="105" t="s">
        <v>62</v>
      </c>
      <c r="V85" s="105"/>
      <c r="W85" s="105"/>
      <c r="X85" s="105" t="s">
        <v>75</v>
      </c>
      <c r="Y85" s="105"/>
      <c r="Z85" s="438"/>
      <c r="AA85" s="438"/>
      <c r="AB85" s="105"/>
      <c r="AC85" s="105"/>
      <c r="AD85" s="105" t="s">
        <v>63</v>
      </c>
      <c r="AE85" s="105" t="s">
        <v>206</v>
      </c>
      <c r="AF85" s="845">
        <v>45391</v>
      </c>
      <c r="AG85" s="845">
        <v>45331</v>
      </c>
      <c r="AH85" s="845">
        <v>45331</v>
      </c>
      <c r="AI85" s="845">
        <v>45391</v>
      </c>
      <c r="AJ85" s="187" t="s">
        <v>206</v>
      </c>
      <c r="AK85" s="845">
        <v>45391</v>
      </c>
      <c r="AL85" s="187"/>
      <c r="AM85" s="845">
        <v>45331</v>
      </c>
      <c r="AN85" s="845"/>
      <c r="AO85" s="507"/>
      <c r="AP85" s="507"/>
      <c r="AQ85" s="507"/>
    </row>
    <row r="86" spans="1:43" ht="12.75" customHeight="1" x14ac:dyDescent="0.25">
      <c r="A86" s="103">
        <v>85</v>
      </c>
      <c r="B86" s="104">
        <v>30724</v>
      </c>
      <c r="C86" s="104" t="s">
        <v>64</v>
      </c>
      <c r="D86" s="103" t="s">
        <v>354</v>
      </c>
      <c r="E86" s="104" t="s">
        <v>203</v>
      </c>
      <c r="F86" s="103" t="s">
        <v>204</v>
      </c>
      <c r="G86" s="103" t="s">
        <v>12</v>
      </c>
      <c r="H86" s="103" t="s">
        <v>355</v>
      </c>
      <c r="I86" s="103"/>
      <c r="J86" s="105" t="s">
        <v>58</v>
      </c>
      <c r="K86" s="471" t="s">
        <v>205</v>
      </c>
      <c r="L86" s="438"/>
      <c r="M86" s="438"/>
      <c r="N86" s="471"/>
      <c r="O86" s="106"/>
      <c r="P86" s="105"/>
      <c r="Q86" s="105" t="s">
        <v>75</v>
      </c>
      <c r="R86" s="105" t="s">
        <v>75</v>
      </c>
      <c r="S86" s="105"/>
      <c r="T86" s="105" t="s">
        <v>68</v>
      </c>
      <c r="U86" s="105" t="s">
        <v>68</v>
      </c>
      <c r="V86" s="105"/>
      <c r="W86" s="105"/>
      <c r="X86" s="105" t="s">
        <v>75</v>
      </c>
      <c r="Y86" s="105"/>
      <c r="Z86" s="438"/>
      <c r="AA86" s="438"/>
      <c r="AB86" s="105"/>
      <c r="AC86" s="105"/>
      <c r="AD86" s="105" t="s">
        <v>63</v>
      </c>
      <c r="AE86" s="105" t="s">
        <v>206</v>
      </c>
      <c r="AF86" s="845">
        <v>45608</v>
      </c>
      <c r="AG86" s="187" t="s">
        <v>222</v>
      </c>
      <c r="AH86" s="187" t="s">
        <v>222</v>
      </c>
      <c r="AI86" s="187" t="s">
        <v>265</v>
      </c>
      <c r="AJ86" s="187" t="s">
        <v>206</v>
      </c>
      <c r="AK86" s="845">
        <v>45608</v>
      </c>
      <c r="AL86" s="187"/>
      <c r="AM86" s="845">
        <v>45638</v>
      </c>
      <c r="AN86" s="845"/>
      <c r="AO86" s="507"/>
      <c r="AP86" s="507"/>
      <c r="AQ86" s="507"/>
    </row>
    <row r="87" spans="1:43" ht="12.75" customHeight="1" x14ac:dyDescent="0.25">
      <c r="A87" s="103">
        <v>86</v>
      </c>
      <c r="B87" s="104">
        <v>30724</v>
      </c>
      <c r="C87" s="104" t="s">
        <v>54</v>
      </c>
      <c r="D87" s="103" t="s">
        <v>356</v>
      </c>
      <c r="E87" s="104" t="s">
        <v>203</v>
      </c>
      <c r="F87" s="103" t="s">
        <v>204</v>
      </c>
      <c r="G87" s="103" t="s">
        <v>12</v>
      </c>
      <c r="H87" s="103" t="s">
        <v>355</v>
      </c>
      <c r="I87" s="103"/>
      <c r="J87" s="105" t="s">
        <v>58</v>
      </c>
      <c r="K87" s="471" t="s">
        <v>205</v>
      </c>
      <c r="L87" s="438"/>
      <c r="M87" s="438"/>
      <c r="N87" s="471"/>
      <c r="O87" s="106"/>
      <c r="P87" s="105"/>
      <c r="Q87" s="105" t="s">
        <v>75</v>
      </c>
      <c r="R87" s="105" t="s">
        <v>75</v>
      </c>
      <c r="S87" s="105"/>
      <c r="T87" s="105" t="s">
        <v>62</v>
      </c>
      <c r="U87" s="105" t="s">
        <v>62</v>
      </c>
      <c r="V87" s="105"/>
      <c r="W87" s="105"/>
      <c r="X87" s="105" t="s">
        <v>75</v>
      </c>
      <c r="Y87" s="105"/>
      <c r="Z87" s="438"/>
      <c r="AA87" s="438"/>
      <c r="AB87" s="105"/>
      <c r="AC87" s="105"/>
      <c r="AD87" s="105" t="s">
        <v>63</v>
      </c>
      <c r="AE87" s="105" t="s">
        <v>206</v>
      </c>
      <c r="AF87" s="845">
        <v>45608</v>
      </c>
      <c r="AG87" s="187" t="s">
        <v>222</v>
      </c>
      <c r="AH87" s="187" t="s">
        <v>222</v>
      </c>
      <c r="AI87" s="187" t="s">
        <v>265</v>
      </c>
      <c r="AJ87" s="187" t="s">
        <v>206</v>
      </c>
      <c r="AK87" s="845">
        <v>45608</v>
      </c>
      <c r="AL87" s="187"/>
      <c r="AM87" s="845">
        <v>45638</v>
      </c>
      <c r="AN87" s="845"/>
      <c r="AO87" s="507"/>
      <c r="AP87" s="507"/>
      <c r="AQ87" s="507"/>
    </row>
    <row r="88" spans="1:43" ht="12.75" customHeight="1" x14ac:dyDescent="0.25">
      <c r="A88" s="103">
        <v>87</v>
      </c>
      <c r="B88" s="104">
        <v>30774</v>
      </c>
      <c r="C88" s="104" t="s">
        <v>64</v>
      </c>
      <c r="D88" s="103" t="s">
        <v>357</v>
      </c>
      <c r="E88" s="104" t="s">
        <v>203</v>
      </c>
      <c r="F88" s="103" t="s">
        <v>204</v>
      </c>
      <c r="G88" s="103" t="s">
        <v>12</v>
      </c>
      <c r="H88" s="851">
        <v>44721</v>
      </c>
      <c r="I88" s="103"/>
      <c r="J88" s="105" t="s">
        <v>58</v>
      </c>
      <c r="K88" s="471" t="s">
        <v>205</v>
      </c>
      <c r="L88" s="438"/>
      <c r="M88" s="438"/>
      <c r="N88" s="471"/>
      <c r="O88" s="106"/>
      <c r="P88" s="105"/>
      <c r="Q88" s="105" t="s">
        <v>75</v>
      </c>
      <c r="R88" s="105" t="s">
        <v>75</v>
      </c>
      <c r="S88" s="105"/>
      <c r="T88" s="105" t="s">
        <v>68</v>
      </c>
      <c r="U88" s="105" t="s">
        <v>68</v>
      </c>
      <c r="V88" s="105"/>
      <c r="W88" s="105"/>
      <c r="X88" s="105" t="s">
        <v>75</v>
      </c>
      <c r="Y88" s="105"/>
      <c r="Z88" s="438"/>
      <c r="AA88" s="438"/>
      <c r="AB88" s="105"/>
      <c r="AC88" s="105"/>
      <c r="AD88" s="105" t="s">
        <v>63</v>
      </c>
      <c r="AE88" s="105" t="s">
        <v>206</v>
      </c>
      <c r="AF88" s="187" t="s">
        <v>206</v>
      </c>
      <c r="AG88" s="187" t="s">
        <v>343</v>
      </c>
      <c r="AH88" s="187" t="s">
        <v>343</v>
      </c>
      <c r="AI88" s="187" t="s">
        <v>273</v>
      </c>
      <c r="AJ88" s="187" t="s">
        <v>206</v>
      </c>
      <c r="AK88" s="845">
        <v>45690</v>
      </c>
      <c r="AL88" s="187"/>
      <c r="AM88" s="187" t="s">
        <v>358</v>
      </c>
      <c r="AN88" s="187"/>
      <c r="AO88" s="507"/>
      <c r="AP88" s="507"/>
      <c r="AQ88" s="507"/>
    </row>
    <row r="89" spans="1:43" ht="12.75" customHeight="1" x14ac:dyDescent="0.25">
      <c r="A89" s="103">
        <v>88</v>
      </c>
      <c r="B89" s="104">
        <v>30774</v>
      </c>
      <c r="C89" s="104" t="s">
        <v>54</v>
      </c>
      <c r="D89" s="103" t="s">
        <v>359</v>
      </c>
      <c r="E89" s="104" t="s">
        <v>203</v>
      </c>
      <c r="F89" s="103" t="s">
        <v>204</v>
      </c>
      <c r="G89" s="103" t="s">
        <v>12</v>
      </c>
      <c r="H89" s="851">
        <v>44721</v>
      </c>
      <c r="I89" s="103"/>
      <c r="J89" s="105" t="s">
        <v>58</v>
      </c>
      <c r="K89" s="471" t="s">
        <v>205</v>
      </c>
      <c r="L89" s="438"/>
      <c r="M89" s="438"/>
      <c r="N89" s="471"/>
      <c r="O89" s="106"/>
      <c r="P89" s="105"/>
      <c r="Q89" s="105" t="s">
        <v>75</v>
      </c>
      <c r="R89" s="105" t="s">
        <v>75</v>
      </c>
      <c r="S89" s="105"/>
      <c r="T89" s="105" t="s">
        <v>62</v>
      </c>
      <c r="U89" s="105" t="s">
        <v>62</v>
      </c>
      <c r="V89" s="105"/>
      <c r="W89" s="105"/>
      <c r="X89" s="105" t="s">
        <v>75</v>
      </c>
      <c r="Y89" s="105"/>
      <c r="Z89" s="438"/>
      <c r="AA89" s="438"/>
      <c r="AB89" s="105"/>
      <c r="AC89" s="105"/>
      <c r="AD89" s="105" t="s">
        <v>63</v>
      </c>
      <c r="AE89" s="105" t="s">
        <v>206</v>
      </c>
      <c r="AF89" s="187" t="s">
        <v>206</v>
      </c>
      <c r="AG89" s="187" t="s">
        <v>343</v>
      </c>
      <c r="AH89" s="187" t="s">
        <v>343</v>
      </c>
      <c r="AI89" s="187" t="s">
        <v>273</v>
      </c>
      <c r="AJ89" s="187" t="s">
        <v>206</v>
      </c>
      <c r="AK89" s="845">
        <v>45690</v>
      </c>
      <c r="AL89" s="187"/>
      <c r="AM89" s="187" t="s">
        <v>358</v>
      </c>
      <c r="AN89" s="187"/>
      <c r="AO89" s="507"/>
      <c r="AP89" s="507"/>
      <c r="AQ89" s="507"/>
    </row>
    <row r="90" spans="1:43" ht="12.75" customHeight="1" x14ac:dyDescent="0.25">
      <c r="A90" s="103">
        <v>89</v>
      </c>
      <c r="B90" s="104">
        <v>30778</v>
      </c>
      <c r="C90" s="104" t="s">
        <v>64</v>
      </c>
      <c r="D90" s="103" t="s">
        <v>360</v>
      </c>
      <c r="E90" s="104" t="s">
        <v>203</v>
      </c>
      <c r="F90" s="103" t="s">
        <v>204</v>
      </c>
      <c r="G90" s="103" t="s">
        <v>12</v>
      </c>
      <c r="H90" s="103" t="s">
        <v>361</v>
      </c>
      <c r="I90" s="103"/>
      <c r="J90" s="105" t="s">
        <v>58</v>
      </c>
      <c r="K90" s="471" t="s">
        <v>205</v>
      </c>
      <c r="L90" s="438"/>
      <c r="M90" s="438"/>
      <c r="N90" s="471"/>
      <c r="O90" s="106"/>
      <c r="P90" s="105"/>
      <c r="Q90" s="105" t="s">
        <v>75</v>
      </c>
      <c r="R90" s="105" t="s">
        <v>75</v>
      </c>
      <c r="S90" s="105"/>
      <c r="T90" s="105" t="s">
        <v>68</v>
      </c>
      <c r="U90" s="105" t="s">
        <v>68</v>
      </c>
      <c r="V90" s="105"/>
      <c r="W90" s="105"/>
      <c r="X90" s="105" t="s">
        <v>75</v>
      </c>
      <c r="Y90" s="105"/>
      <c r="Z90" s="438"/>
      <c r="AA90" s="438"/>
      <c r="AB90" s="105"/>
      <c r="AC90" s="105"/>
      <c r="AD90" s="105" t="s">
        <v>63</v>
      </c>
      <c r="AE90" s="105" t="s">
        <v>206</v>
      </c>
      <c r="AF90" s="187"/>
      <c r="AG90" s="845">
        <v>45542</v>
      </c>
      <c r="AH90" s="845">
        <v>45542</v>
      </c>
      <c r="AI90" s="845">
        <v>45511</v>
      </c>
      <c r="AJ90" s="187" t="s">
        <v>206</v>
      </c>
      <c r="AK90" s="845">
        <v>45511</v>
      </c>
      <c r="AL90" s="187"/>
      <c r="AM90" s="187" t="s">
        <v>362</v>
      </c>
      <c r="AN90" s="187"/>
      <c r="AO90" s="507"/>
      <c r="AP90" s="507"/>
      <c r="AQ90" s="507"/>
    </row>
    <row r="91" spans="1:43" ht="12.75" customHeight="1" x14ac:dyDescent="0.25">
      <c r="A91" s="103">
        <v>90</v>
      </c>
      <c r="B91" s="104">
        <v>30778</v>
      </c>
      <c r="C91" s="104" t="s">
        <v>54</v>
      </c>
      <c r="D91" s="103" t="s">
        <v>363</v>
      </c>
      <c r="E91" s="104" t="s">
        <v>203</v>
      </c>
      <c r="F91" s="103" t="s">
        <v>204</v>
      </c>
      <c r="G91" s="103" t="s">
        <v>12</v>
      </c>
      <c r="H91" s="103" t="s">
        <v>361</v>
      </c>
      <c r="I91" s="103"/>
      <c r="J91" s="105" t="s">
        <v>58</v>
      </c>
      <c r="K91" s="471" t="s">
        <v>205</v>
      </c>
      <c r="L91" s="438"/>
      <c r="M91" s="438"/>
      <c r="N91" s="471"/>
      <c r="O91" s="106"/>
      <c r="P91" s="105"/>
      <c r="Q91" s="105" t="s">
        <v>75</v>
      </c>
      <c r="R91" s="105" t="s">
        <v>75</v>
      </c>
      <c r="S91" s="105"/>
      <c r="T91" s="105" t="s">
        <v>62</v>
      </c>
      <c r="U91" s="105" t="s">
        <v>62</v>
      </c>
      <c r="V91" s="105"/>
      <c r="W91" s="105"/>
      <c r="X91" s="105" t="s">
        <v>75</v>
      </c>
      <c r="Y91" s="105"/>
      <c r="Z91" s="438"/>
      <c r="AA91" s="438"/>
      <c r="AB91" s="105"/>
      <c r="AC91" s="105"/>
      <c r="AD91" s="105" t="s">
        <v>63</v>
      </c>
      <c r="AE91" s="105" t="s">
        <v>206</v>
      </c>
      <c r="AF91" s="187"/>
      <c r="AG91" s="845">
        <v>45542</v>
      </c>
      <c r="AH91" s="845">
        <v>45542</v>
      </c>
      <c r="AI91" s="845">
        <v>45511</v>
      </c>
      <c r="AJ91" s="187" t="s">
        <v>206</v>
      </c>
      <c r="AK91" s="845">
        <v>45511</v>
      </c>
      <c r="AL91" s="187"/>
      <c r="AM91" s="187" t="s">
        <v>362</v>
      </c>
      <c r="AN91" s="187"/>
      <c r="AO91" s="507"/>
      <c r="AP91" s="507"/>
      <c r="AQ91" s="507"/>
    </row>
    <row r="92" spans="1:43" ht="12.75" customHeight="1" x14ac:dyDescent="0.25">
      <c r="A92" s="103">
        <v>91</v>
      </c>
      <c r="B92" s="104">
        <v>39516</v>
      </c>
      <c r="C92" s="104" t="s">
        <v>64</v>
      </c>
      <c r="D92" s="103" t="s">
        <v>364</v>
      </c>
      <c r="E92" s="104" t="s">
        <v>221</v>
      </c>
      <c r="F92" s="103" t="s">
        <v>204</v>
      </c>
      <c r="G92" s="103" t="s">
        <v>12</v>
      </c>
      <c r="H92" s="103" t="s">
        <v>364</v>
      </c>
      <c r="I92" s="103"/>
      <c r="J92" s="105" t="s">
        <v>58</v>
      </c>
      <c r="K92" s="471" t="s">
        <v>205</v>
      </c>
      <c r="L92" s="438"/>
      <c r="M92" s="438"/>
      <c r="N92" s="471"/>
      <c r="O92" s="106"/>
      <c r="P92" s="105"/>
      <c r="Q92" s="105" t="s">
        <v>75</v>
      </c>
      <c r="R92" s="105" t="s">
        <v>75</v>
      </c>
      <c r="S92" s="105"/>
      <c r="T92" s="105" t="s">
        <v>68</v>
      </c>
      <c r="U92" s="105" t="s">
        <v>68</v>
      </c>
      <c r="V92" s="105"/>
      <c r="W92" s="105"/>
      <c r="X92" s="105" t="s">
        <v>75</v>
      </c>
      <c r="Y92" s="105"/>
      <c r="Z92" s="438"/>
      <c r="AA92" s="438"/>
      <c r="AB92" s="105"/>
      <c r="AC92" s="105"/>
      <c r="AD92" s="105" t="s">
        <v>365</v>
      </c>
      <c r="AE92" s="105" t="s">
        <v>365</v>
      </c>
      <c r="AF92" s="187" t="s">
        <v>365</v>
      </c>
      <c r="AG92" s="187" t="s">
        <v>365</v>
      </c>
      <c r="AH92" s="187" t="s">
        <v>365</v>
      </c>
      <c r="AI92" s="187" t="s">
        <v>365</v>
      </c>
      <c r="AJ92" s="187" t="s">
        <v>365</v>
      </c>
      <c r="AK92" s="187" t="s">
        <v>365</v>
      </c>
      <c r="AL92" s="187" t="s">
        <v>365</v>
      </c>
      <c r="AM92" s="187" t="s">
        <v>365</v>
      </c>
      <c r="AN92" s="187"/>
      <c r="AO92" s="507"/>
      <c r="AP92" s="507"/>
      <c r="AQ92" s="507"/>
    </row>
    <row r="93" spans="1:43" ht="12.75" customHeight="1" x14ac:dyDescent="0.25">
      <c r="A93" s="103">
        <v>92</v>
      </c>
      <c r="B93" s="104">
        <v>39516</v>
      </c>
      <c r="C93" s="104" t="s">
        <v>54</v>
      </c>
      <c r="D93" s="103" t="s">
        <v>364</v>
      </c>
      <c r="E93" s="104" t="s">
        <v>221</v>
      </c>
      <c r="F93" s="103" t="s">
        <v>204</v>
      </c>
      <c r="G93" s="103" t="s">
        <v>12</v>
      </c>
      <c r="H93" s="103" t="s">
        <v>364</v>
      </c>
      <c r="I93" s="103"/>
      <c r="J93" s="105" t="s">
        <v>58</v>
      </c>
      <c r="K93" s="471" t="s">
        <v>205</v>
      </c>
      <c r="L93" s="438"/>
      <c r="M93" s="438"/>
      <c r="N93" s="471"/>
      <c r="O93" s="106"/>
      <c r="P93" s="105"/>
      <c r="Q93" s="105" t="s">
        <v>75</v>
      </c>
      <c r="R93" s="105" t="s">
        <v>75</v>
      </c>
      <c r="S93" s="105"/>
      <c r="T93" s="105" t="s">
        <v>62</v>
      </c>
      <c r="U93" s="105" t="s">
        <v>62</v>
      </c>
      <c r="V93" s="105"/>
      <c r="W93" s="105"/>
      <c r="X93" s="105" t="s">
        <v>75</v>
      </c>
      <c r="Y93" s="105"/>
      <c r="Z93" s="438"/>
      <c r="AA93" s="438"/>
      <c r="AB93" s="105"/>
      <c r="AC93" s="105"/>
      <c r="AD93" s="105" t="s">
        <v>365</v>
      </c>
      <c r="AE93" s="105" t="s">
        <v>365</v>
      </c>
      <c r="AF93" s="187" t="s">
        <v>365</v>
      </c>
      <c r="AG93" s="187" t="s">
        <v>365</v>
      </c>
      <c r="AH93" s="187" t="s">
        <v>365</v>
      </c>
      <c r="AI93" s="187" t="s">
        <v>365</v>
      </c>
      <c r="AJ93" s="187" t="s">
        <v>365</v>
      </c>
      <c r="AK93" s="187" t="s">
        <v>365</v>
      </c>
      <c r="AL93" s="187" t="s">
        <v>365</v>
      </c>
      <c r="AM93" s="187" t="s">
        <v>365</v>
      </c>
      <c r="AN93" s="187"/>
      <c r="AO93" s="507"/>
      <c r="AP93" s="507"/>
      <c r="AQ93" s="507"/>
    </row>
    <row r="94" spans="1:43" ht="12.75" customHeight="1" x14ac:dyDescent="0.25">
      <c r="A94" s="103">
        <v>93</v>
      </c>
      <c r="B94" s="104">
        <v>30337</v>
      </c>
      <c r="C94" s="104" t="s">
        <v>64</v>
      </c>
      <c r="D94" s="103" t="s">
        <v>366</v>
      </c>
      <c r="E94" s="104" t="s">
        <v>203</v>
      </c>
      <c r="F94" s="103" t="s">
        <v>204</v>
      </c>
      <c r="G94" s="103" t="s">
        <v>12</v>
      </c>
      <c r="H94" s="103" t="s">
        <v>367</v>
      </c>
      <c r="I94" s="103"/>
      <c r="J94" s="105" t="s">
        <v>58</v>
      </c>
      <c r="K94" s="471" t="s">
        <v>205</v>
      </c>
      <c r="L94" s="438"/>
      <c r="M94" s="438"/>
      <c r="N94" s="471"/>
      <c r="O94" s="106"/>
      <c r="P94" s="105"/>
      <c r="Q94" s="105" t="s">
        <v>75</v>
      </c>
      <c r="R94" s="105" t="s">
        <v>75</v>
      </c>
      <c r="S94" s="105"/>
      <c r="T94" s="105" t="s">
        <v>68</v>
      </c>
      <c r="U94" s="105" t="s">
        <v>68</v>
      </c>
      <c r="V94" s="105"/>
      <c r="W94" s="105"/>
      <c r="X94" s="105" t="s">
        <v>75</v>
      </c>
      <c r="Y94" s="105"/>
      <c r="Z94" s="438"/>
      <c r="AA94" s="438"/>
      <c r="AB94" s="105"/>
      <c r="AC94" s="105"/>
      <c r="AD94" s="105" t="s">
        <v>63</v>
      </c>
      <c r="AE94" s="105" t="s">
        <v>206</v>
      </c>
      <c r="AF94" s="187" t="s">
        <v>291</v>
      </c>
      <c r="AG94" s="845">
        <v>45330</v>
      </c>
      <c r="AH94" s="845">
        <v>45330</v>
      </c>
      <c r="AI94" s="845">
        <v>45330</v>
      </c>
      <c r="AJ94" s="187" t="s">
        <v>206</v>
      </c>
      <c r="AK94" s="187" t="s">
        <v>368</v>
      </c>
      <c r="AL94" s="187"/>
      <c r="AM94" s="187" t="s">
        <v>369</v>
      </c>
      <c r="AN94" s="187"/>
      <c r="AO94" s="507"/>
      <c r="AP94" s="507"/>
      <c r="AQ94" s="507"/>
    </row>
    <row r="95" spans="1:43" ht="12.75" customHeight="1" x14ac:dyDescent="0.25">
      <c r="A95" s="103">
        <v>94</v>
      </c>
      <c r="B95" s="104">
        <v>30337</v>
      </c>
      <c r="C95" s="104" t="s">
        <v>54</v>
      </c>
      <c r="D95" s="103" t="s">
        <v>370</v>
      </c>
      <c r="E95" s="104" t="s">
        <v>203</v>
      </c>
      <c r="F95" s="103" t="s">
        <v>204</v>
      </c>
      <c r="G95" s="103" t="s">
        <v>12</v>
      </c>
      <c r="H95" s="103" t="s">
        <v>367</v>
      </c>
      <c r="I95" s="103"/>
      <c r="J95" s="105" t="s">
        <v>58</v>
      </c>
      <c r="K95" s="471" t="s">
        <v>205</v>
      </c>
      <c r="L95" s="438"/>
      <c r="M95" s="438"/>
      <c r="N95" s="471"/>
      <c r="O95" s="106"/>
      <c r="P95" s="105"/>
      <c r="Q95" s="105" t="s">
        <v>75</v>
      </c>
      <c r="R95" s="105" t="s">
        <v>75</v>
      </c>
      <c r="S95" s="105"/>
      <c r="T95" s="105" t="s">
        <v>62</v>
      </c>
      <c r="U95" s="105" t="s">
        <v>62</v>
      </c>
      <c r="V95" s="105"/>
      <c r="W95" s="105"/>
      <c r="X95" s="105" t="s">
        <v>75</v>
      </c>
      <c r="Y95" s="105"/>
      <c r="Z95" s="438"/>
      <c r="AA95" s="438"/>
      <c r="AB95" s="105"/>
      <c r="AC95" s="105"/>
      <c r="AD95" s="105" t="s">
        <v>63</v>
      </c>
      <c r="AE95" s="105" t="s">
        <v>206</v>
      </c>
      <c r="AF95" s="187" t="s">
        <v>291</v>
      </c>
      <c r="AG95" s="845">
        <v>45330</v>
      </c>
      <c r="AH95" s="845">
        <v>45330</v>
      </c>
      <c r="AI95" s="845">
        <v>45330</v>
      </c>
      <c r="AJ95" s="187" t="s">
        <v>206</v>
      </c>
      <c r="AK95" s="187" t="s">
        <v>368</v>
      </c>
      <c r="AL95" s="187"/>
      <c r="AM95" s="187" t="s">
        <v>369</v>
      </c>
      <c r="AN95" s="187"/>
      <c r="AO95" s="507"/>
      <c r="AP95" s="507"/>
      <c r="AQ95" s="507"/>
    </row>
    <row r="96" spans="1:43" ht="12.75" customHeight="1" x14ac:dyDescent="0.25">
      <c r="A96" s="103">
        <v>95</v>
      </c>
      <c r="B96" s="104">
        <v>30338</v>
      </c>
      <c r="C96" s="104" t="s">
        <v>64</v>
      </c>
      <c r="D96" s="103" t="s">
        <v>371</v>
      </c>
      <c r="E96" s="104" t="s">
        <v>203</v>
      </c>
      <c r="F96" s="103" t="s">
        <v>204</v>
      </c>
      <c r="G96" s="103" t="s">
        <v>12</v>
      </c>
      <c r="H96" s="103" t="s">
        <v>372</v>
      </c>
      <c r="I96" s="103"/>
      <c r="J96" s="105" t="s">
        <v>58</v>
      </c>
      <c r="K96" s="471" t="s">
        <v>205</v>
      </c>
      <c r="L96" s="438"/>
      <c r="M96" s="438"/>
      <c r="N96" s="471"/>
      <c r="O96" s="106"/>
      <c r="P96" s="105"/>
      <c r="Q96" s="105" t="s">
        <v>75</v>
      </c>
      <c r="R96" s="105" t="s">
        <v>75</v>
      </c>
      <c r="S96" s="105"/>
      <c r="T96" s="105" t="s">
        <v>62</v>
      </c>
      <c r="U96" s="105" t="s">
        <v>62</v>
      </c>
      <c r="V96" s="105"/>
      <c r="W96" s="105"/>
      <c r="X96" s="105" t="s">
        <v>75</v>
      </c>
      <c r="Y96" s="105"/>
      <c r="Z96" s="438"/>
      <c r="AA96" s="438"/>
      <c r="AB96" s="105"/>
      <c r="AC96" s="105"/>
      <c r="AD96" s="105" t="s">
        <v>63</v>
      </c>
      <c r="AE96" s="105" t="s">
        <v>206</v>
      </c>
      <c r="AF96" s="845">
        <v>45423</v>
      </c>
      <c r="AG96" s="845">
        <v>45298</v>
      </c>
      <c r="AH96" s="845">
        <v>45298</v>
      </c>
      <c r="AI96" s="187" t="s">
        <v>242</v>
      </c>
      <c r="AJ96" s="187" t="s">
        <v>206</v>
      </c>
      <c r="AK96" s="187" t="s">
        <v>242</v>
      </c>
      <c r="AL96" s="187"/>
      <c r="AM96" s="187" t="s">
        <v>222</v>
      </c>
      <c r="AN96" s="187"/>
      <c r="AO96" s="507"/>
      <c r="AP96" s="507"/>
      <c r="AQ96" s="507"/>
    </row>
    <row r="97" spans="1:43" ht="12.75" customHeight="1" x14ac:dyDescent="0.25">
      <c r="A97" s="103">
        <v>96</v>
      </c>
      <c r="B97" s="104">
        <v>30338</v>
      </c>
      <c r="C97" s="104" t="s">
        <v>54</v>
      </c>
      <c r="D97" s="103" t="s">
        <v>373</v>
      </c>
      <c r="E97" s="104" t="s">
        <v>203</v>
      </c>
      <c r="F97" s="103" t="s">
        <v>204</v>
      </c>
      <c r="G97" s="103" t="s">
        <v>12</v>
      </c>
      <c r="H97" s="103" t="s">
        <v>372</v>
      </c>
      <c r="I97" s="103"/>
      <c r="J97" s="105" t="s">
        <v>58</v>
      </c>
      <c r="K97" s="471" t="s">
        <v>205</v>
      </c>
      <c r="L97" s="438"/>
      <c r="M97" s="438"/>
      <c r="N97" s="471"/>
      <c r="O97" s="106"/>
      <c r="P97" s="105"/>
      <c r="Q97" s="105" t="s">
        <v>75</v>
      </c>
      <c r="R97" s="105" t="s">
        <v>75</v>
      </c>
      <c r="S97" s="105"/>
      <c r="T97" s="105" t="s">
        <v>62</v>
      </c>
      <c r="U97" s="105" t="s">
        <v>62</v>
      </c>
      <c r="V97" s="105"/>
      <c r="W97" s="105"/>
      <c r="X97" s="105" t="s">
        <v>75</v>
      </c>
      <c r="Y97" s="105"/>
      <c r="Z97" s="438"/>
      <c r="AA97" s="438"/>
      <c r="AB97" s="105"/>
      <c r="AC97" s="105"/>
      <c r="AD97" s="105" t="s">
        <v>63</v>
      </c>
      <c r="AE97" s="105" t="s">
        <v>206</v>
      </c>
      <c r="AF97" s="845">
        <v>45423</v>
      </c>
      <c r="AG97" s="845">
        <v>45298</v>
      </c>
      <c r="AH97" s="845">
        <v>45298</v>
      </c>
      <c r="AI97" s="187" t="s">
        <v>242</v>
      </c>
      <c r="AJ97" s="187" t="s">
        <v>206</v>
      </c>
      <c r="AK97" s="187" t="s">
        <v>242</v>
      </c>
      <c r="AL97" s="187"/>
      <c r="AM97" s="187" t="s">
        <v>222</v>
      </c>
      <c r="AN97" s="187"/>
      <c r="AO97" s="507"/>
      <c r="AP97" s="507"/>
      <c r="AQ97" s="507"/>
    </row>
    <row r="98" spans="1:43" ht="12.75" customHeight="1" x14ac:dyDescent="0.25">
      <c r="A98" s="103">
        <v>97</v>
      </c>
      <c r="B98" s="104">
        <v>30259</v>
      </c>
      <c r="C98" s="104" t="s">
        <v>64</v>
      </c>
      <c r="D98" s="103" t="s">
        <v>374</v>
      </c>
      <c r="E98" s="104" t="s">
        <v>203</v>
      </c>
      <c r="F98" s="103" t="s">
        <v>204</v>
      </c>
      <c r="G98" s="103" t="s">
        <v>12</v>
      </c>
      <c r="H98" s="103" t="s">
        <v>375</v>
      </c>
      <c r="I98" s="103"/>
      <c r="J98" s="105"/>
      <c r="K98" s="471"/>
      <c r="L98" s="438"/>
      <c r="M98" s="438"/>
      <c r="N98" s="471"/>
      <c r="O98" s="106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438"/>
      <c r="AA98" s="438"/>
      <c r="AB98" s="105"/>
      <c r="AC98" s="105"/>
      <c r="AD98" s="105" t="s">
        <v>63</v>
      </c>
      <c r="AE98" s="105" t="s">
        <v>206</v>
      </c>
      <c r="AF98" s="187"/>
      <c r="AG98" s="845">
        <v>45389</v>
      </c>
      <c r="AH98" s="845">
        <v>45389</v>
      </c>
      <c r="AI98" s="845">
        <v>45389</v>
      </c>
      <c r="AJ98" s="187" t="s">
        <v>206</v>
      </c>
      <c r="AK98" s="187" t="s">
        <v>376</v>
      </c>
      <c r="AL98" s="187"/>
      <c r="AM98" s="187" t="s">
        <v>377</v>
      </c>
      <c r="AN98" s="187"/>
      <c r="AO98" s="507"/>
      <c r="AP98" s="507"/>
      <c r="AQ98" s="507"/>
    </row>
    <row r="99" spans="1:43" ht="12.75" customHeight="1" x14ac:dyDescent="0.25">
      <c r="A99" s="103">
        <v>98</v>
      </c>
      <c r="B99" s="104">
        <v>30259</v>
      </c>
      <c r="C99" s="104" t="s">
        <v>54</v>
      </c>
      <c r="D99" s="103" t="s">
        <v>378</v>
      </c>
      <c r="E99" s="104" t="s">
        <v>203</v>
      </c>
      <c r="F99" s="103" t="s">
        <v>204</v>
      </c>
      <c r="G99" s="103" t="s">
        <v>12</v>
      </c>
      <c r="H99" s="103" t="s">
        <v>375</v>
      </c>
      <c r="I99" s="103"/>
      <c r="J99" s="105"/>
      <c r="K99" s="471"/>
      <c r="L99" s="438"/>
      <c r="M99" s="438"/>
      <c r="N99" s="471"/>
      <c r="O99" s="106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438"/>
      <c r="AA99" s="438"/>
      <c r="AB99" s="105"/>
      <c r="AC99" s="105"/>
      <c r="AD99" s="105" t="s">
        <v>63</v>
      </c>
      <c r="AE99" s="105" t="s">
        <v>206</v>
      </c>
      <c r="AF99" s="187"/>
      <c r="AG99" s="845">
        <v>45389</v>
      </c>
      <c r="AH99" s="845">
        <v>45389</v>
      </c>
      <c r="AI99" s="845">
        <v>45389</v>
      </c>
      <c r="AJ99" s="187" t="s">
        <v>206</v>
      </c>
      <c r="AK99" s="187" t="s">
        <v>376</v>
      </c>
      <c r="AL99" s="187"/>
      <c r="AM99" s="187" t="s">
        <v>377</v>
      </c>
      <c r="AN99" s="187"/>
      <c r="AO99" s="507"/>
      <c r="AP99" s="507"/>
      <c r="AQ99" s="507"/>
    </row>
    <row r="100" spans="1:43" ht="12.75" customHeight="1" x14ac:dyDescent="0.25">
      <c r="A100" s="103">
        <v>99</v>
      </c>
      <c r="B100" s="104">
        <v>30262</v>
      </c>
      <c r="C100" s="104" t="s">
        <v>64</v>
      </c>
      <c r="D100" s="103" t="s">
        <v>379</v>
      </c>
      <c r="E100" s="104" t="s">
        <v>203</v>
      </c>
      <c r="F100" s="103" t="s">
        <v>204</v>
      </c>
      <c r="G100" s="103" t="s">
        <v>12</v>
      </c>
      <c r="H100" s="103" t="s">
        <v>380</v>
      </c>
      <c r="I100" s="103"/>
      <c r="J100" s="105"/>
      <c r="K100" s="471"/>
      <c r="L100" s="438"/>
      <c r="M100" s="438"/>
      <c r="N100" s="471"/>
      <c r="O100" s="106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438"/>
      <c r="AA100" s="438"/>
      <c r="AB100" s="105"/>
      <c r="AC100" s="105"/>
      <c r="AD100" s="105" t="s">
        <v>63</v>
      </c>
      <c r="AE100" s="105" t="s">
        <v>206</v>
      </c>
      <c r="AF100" s="845">
        <v>45544</v>
      </c>
      <c r="AG100" s="845">
        <v>45574</v>
      </c>
      <c r="AH100" s="845">
        <v>45574</v>
      </c>
      <c r="AI100" s="845">
        <v>45544</v>
      </c>
      <c r="AJ100" s="187" t="s">
        <v>206</v>
      </c>
      <c r="AK100" s="845">
        <v>45544</v>
      </c>
      <c r="AL100" s="187"/>
      <c r="AM100" s="845">
        <v>45605</v>
      </c>
      <c r="AN100" s="845"/>
      <c r="AO100" s="507"/>
      <c r="AP100" s="507"/>
      <c r="AQ100" s="507"/>
    </row>
    <row r="101" spans="1:43" ht="12.75" customHeight="1" x14ac:dyDescent="0.25">
      <c r="A101" s="103">
        <v>100</v>
      </c>
      <c r="B101" s="104">
        <v>30262</v>
      </c>
      <c r="C101" s="104" t="s">
        <v>54</v>
      </c>
      <c r="D101" s="103" t="s">
        <v>381</v>
      </c>
      <c r="E101" s="104" t="s">
        <v>203</v>
      </c>
      <c r="F101" s="103" t="s">
        <v>204</v>
      </c>
      <c r="G101" s="103" t="s">
        <v>12</v>
      </c>
      <c r="H101" s="103" t="s">
        <v>380</v>
      </c>
      <c r="I101" s="103"/>
      <c r="J101" s="105"/>
      <c r="K101" s="471"/>
      <c r="L101" s="438"/>
      <c r="M101" s="438"/>
      <c r="N101" s="471"/>
      <c r="O101" s="106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438"/>
      <c r="AA101" s="438"/>
      <c r="AB101" s="105"/>
      <c r="AC101" s="105"/>
      <c r="AD101" s="105" t="s">
        <v>63</v>
      </c>
      <c r="AE101" s="105" t="s">
        <v>206</v>
      </c>
      <c r="AF101" s="845">
        <v>45544</v>
      </c>
      <c r="AG101" s="845">
        <v>45574</v>
      </c>
      <c r="AH101" s="845">
        <v>45574</v>
      </c>
      <c r="AI101" s="845">
        <v>45544</v>
      </c>
      <c r="AJ101" s="187" t="s">
        <v>206</v>
      </c>
      <c r="AK101" s="845">
        <v>45544</v>
      </c>
      <c r="AL101" s="187"/>
      <c r="AM101" s="845">
        <v>45605</v>
      </c>
      <c r="AN101" s="845"/>
      <c r="AO101" s="507"/>
      <c r="AP101" s="507"/>
      <c r="AQ101" s="507"/>
    </row>
    <row r="102" spans="1:43" ht="12.75" customHeight="1" x14ac:dyDescent="0.25">
      <c r="A102" s="103">
        <v>101</v>
      </c>
      <c r="B102" s="104">
        <v>30314</v>
      </c>
      <c r="C102" s="104" t="s">
        <v>64</v>
      </c>
      <c r="D102" s="103" t="s">
        <v>382</v>
      </c>
      <c r="E102" s="104" t="s">
        <v>203</v>
      </c>
      <c r="F102" s="103" t="s">
        <v>204</v>
      </c>
      <c r="G102" s="103" t="s">
        <v>12</v>
      </c>
      <c r="H102" s="103" t="s">
        <v>383</v>
      </c>
      <c r="I102" s="103"/>
      <c r="J102" s="105"/>
      <c r="K102" s="471"/>
      <c r="L102" s="438"/>
      <c r="M102" s="438"/>
      <c r="N102" s="471"/>
      <c r="O102" s="106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438"/>
      <c r="AA102" s="438"/>
      <c r="AB102" s="105"/>
      <c r="AC102" s="105"/>
      <c r="AD102" s="105"/>
      <c r="AE102" s="105" t="s">
        <v>206</v>
      </c>
      <c r="AF102" s="187" t="s">
        <v>206</v>
      </c>
      <c r="AG102" s="845">
        <v>45634</v>
      </c>
      <c r="AH102" s="845">
        <v>45634</v>
      </c>
      <c r="AI102" s="845">
        <v>45634</v>
      </c>
      <c r="AJ102" s="187" t="s">
        <v>206</v>
      </c>
      <c r="AK102" s="187"/>
      <c r="AL102" s="187"/>
      <c r="AM102" s="187"/>
      <c r="AN102" s="187"/>
      <c r="AO102" s="507"/>
      <c r="AP102" s="507"/>
      <c r="AQ102" s="507"/>
    </row>
    <row r="103" spans="1:43" ht="12.75" customHeight="1" x14ac:dyDescent="0.25">
      <c r="A103" s="103">
        <v>102</v>
      </c>
      <c r="B103" s="104">
        <v>30314</v>
      </c>
      <c r="C103" s="104" t="s">
        <v>54</v>
      </c>
      <c r="D103" s="103" t="s">
        <v>384</v>
      </c>
      <c r="E103" s="104" t="s">
        <v>203</v>
      </c>
      <c r="F103" s="103" t="s">
        <v>204</v>
      </c>
      <c r="G103" s="103" t="s">
        <v>12</v>
      </c>
      <c r="H103" s="103" t="s">
        <v>383</v>
      </c>
      <c r="I103" s="103"/>
      <c r="J103" s="105"/>
      <c r="K103" s="471"/>
      <c r="L103" s="438"/>
      <c r="M103" s="438"/>
      <c r="N103" s="471"/>
      <c r="O103" s="106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438"/>
      <c r="AA103" s="438"/>
      <c r="AB103" s="105"/>
      <c r="AC103" s="105"/>
      <c r="AD103" s="105"/>
      <c r="AE103" s="105" t="s">
        <v>206</v>
      </c>
      <c r="AF103" s="187" t="s">
        <v>206</v>
      </c>
      <c r="AG103" s="845">
        <v>45634</v>
      </c>
      <c r="AH103" s="845">
        <v>45634</v>
      </c>
      <c r="AI103" s="845">
        <v>45634</v>
      </c>
      <c r="AJ103" s="187" t="s">
        <v>206</v>
      </c>
      <c r="AK103" s="187"/>
      <c r="AL103" s="187"/>
      <c r="AM103" s="187"/>
      <c r="AN103" s="187"/>
      <c r="AO103" s="507"/>
      <c r="AP103" s="507"/>
      <c r="AQ103" s="507"/>
    </row>
    <row r="104" spans="1:43" ht="12.75" customHeight="1" x14ac:dyDescent="0.25">
      <c r="A104" s="103">
        <v>103</v>
      </c>
      <c r="B104" s="104">
        <v>37598</v>
      </c>
      <c r="C104" s="104" t="s">
        <v>64</v>
      </c>
      <c r="D104" s="103" t="s">
        <v>385</v>
      </c>
      <c r="E104" s="104" t="s">
        <v>203</v>
      </c>
      <c r="F104" s="103" t="s">
        <v>204</v>
      </c>
      <c r="G104" s="103" t="s">
        <v>12</v>
      </c>
      <c r="H104" s="103" t="s">
        <v>386</v>
      </c>
      <c r="I104" s="103"/>
      <c r="J104" s="105"/>
      <c r="K104" s="471"/>
      <c r="L104" s="438"/>
      <c r="M104" s="438"/>
      <c r="N104" s="471"/>
      <c r="O104" s="106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438"/>
      <c r="AA104" s="438"/>
      <c r="AB104" s="105"/>
      <c r="AC104" s="105"/>
      <c r="AD104" s="105"/>
      <c r="AE104" s="105" t="s">
        <v>206</v>
      </c>
      <c r="AF104" s="187" t="s">
        <v>206</v>
      </c>
      <c r="AG104" s="187" t="s">
        <v>272</v>
      </c>
      <c r="AH104" s="187" t="s">
        <v>272</v>
      </c>
      <c r="AI104" s="187" t="s">
        <v>272</v>
      </c>
      <c r="AJ104" s="187" t="s">
        <v>206</v>
      </c>
      <c r="AK104" s="845">
        <v>45658</v>
      </c>
      <c r="AL104" s="187"/>
      <c r="AM104" s="845">
        <v>45689</v>
      </c>
      <c r="AN104" s="845"/>
      <c r="AO104" s="507"/>
      <c r="AP104" s="507"/>
      <c r="AQ104" s="507"/>
    </row>
    <row r="105" spans="1:43" ht="12.75" customHeight="1" x14ac:dyDescent="0.25">
      <c r="A105" s="103">
        <v>104</v>
      </c>
      <c r="B105" s="104">
        <v>37598</v>
      </c>
      <c r="C105" s="104" t="s">
        <v>54</v>
      </c>
      <c r="D105" s="103" t="s">
        <v>387</v>
      </c>
      <c r="E105" s="104" t="s">
        <v>203</v>
      </c>
      <c r="F105" s="103" t="s">
        <v>204</v>
      </c>
      <c r="G105" s="103" t="s">
        <v>12</v>
      </c>
      <c r="H105" s="103" t="s">
        <v>386</v>
      </c>
      <c r="I105" s="103"/>
      <c r="J105" s="105"/>
      <c r="K105" s="471"/>
      <c r="L105" s="438"/>
      <c r="M105" s="438"/>
      <c r="N105" s="471"/>
      <c r="O105" s="106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438"/>
      <c r="AA105" s="438"/>
      <c r="AB105" s="105"/>
      <c r="AC105" s="105"/>
      <c r="AD105" s="105"/>
      <c r="AE105" s="105" t="s">
        <v>206</v>
      </c>
      <c r="AF105" s="187" t="s">
        <v>206</v>
      </c>
      <c r="AG105" s="187" t="s">
        <v>272</v>
      </c>
      <c r="AH105" s="187" t="s">
        <v>388</v>
      </c>
      <c r="AI105" s="187" t="s">
        <v>272</v>
      </c>
      <c r="AJ105" s="187" t="s">
        <v>206</v>
      </c>
      <c r="AK105" s="845">
        <v>45658</v>
      </c>
      <c r="AL105" s="187"/>
      <c r="AM105" s="845">
        <v>45689</v>
      </c>
      <c r="AN105" s="845"/>
      <c r="AO105" s="507"/>
      <c r="AP105" s="507"/>
      <c r="AQ105" s="507"/>
    </row>
    <row r="106" spans="1:43" ht="12.75" customHeight="1" x14ac:dyDescent="0.25">
      <c r="A106" s="103">
        <v>105</v>
      </c>
      <c r="B106" s="104">
        <v>37627</v>
      </c>
      <c r="C106" s="104" t="s">
        <v>64</v>
      </c>
      <c r="D106" s="103" t="s">
        <v>389</v>
      </c>
      <c r="E106" s="104" t="s">
        <v>203</v>
      </c>
      <c r="F106" s="103" t="s">
        <v>204</v>
      </c>
      <c r="G106" s="103" t="s">
        <v>12</v>
      </c>
      <c r="H106" s="103" t="s">
        <v>390</v>
      </c>
      <c r="I106" s="103"/>
      <c r="J106" s="105"/>
      <c r="K106" s="471"/>
      <c r="L106" s="438"/>
      <c r="M106" s="438"/>
      <c r="N106" s="471"/>
      <c r="O106" s="106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438"/>
      <c r="AA106" s="438"/>
      <c r="AB106" s="105"/>
      <c r="AC106" s="105"/>
      <c r="AD106" s="105"/>
      <c r="AE106" s="105" t="s">
        <v>206</v>
      </c>
      <c r="AF106" s="187" t="s">
        <v>206</v>
      </c>
      <c r="AG106" s="187" t="s">
        <v>377</v>
      </c>
      <c r="AH106" s="187" t="s">
        <v>377</v>
      </c>
      <c r="AI106" s="187" t="s">
        <v>377</v>
      </c>
      <c r="AJ106" s="187" t="s">
        <v>206</v>
      </c>
      <c r="AK106" s="187"/>
      <c r="AL106" s="187"/>
      <c r="AM106" s="187" t="s">
        <v>391</v>
      </c>
      <c r="AN106" s="187"/>
      <c r="AO106" s="507"/>
      <c r="AP106" s="507"/>
      <c r="AQ106" s="507"/>
    </row>
    <row r="107" spans="1:43" ht="12.75" customHeight="1" x14ac:dyDescent="0.25">
      <c r="A107" s="103">
        <v>106</v>
      </c>
      <c r="B107" s="104">
        <v>37627</v>
      </c>
      <c r="C107" s="104" t="s">
        <v>54</v>
      </c>
      <c r="D107" s="103" t="s">
        <v>392</v>
      </c>
      <c r="E107" s="104" t="s">
        <v>203</v>
      </c>
      <c r="F107" s="103" t="s">
        <v>204</v>
      </c>
      <c r="G107" s="103" t="s">
        <v>12</v>
      </c>
      <c r="H107" s="103" t="s">
        <v>390</v>
      </c>
      <c r="I107" s="103"/>
      <c r="J107" s="105"/>
      <c r="K107" s="471"/>
      <c r="L107" s="438"/>
      <c r="M107" s="438"/>
      <c r="N107" s="471"/>
      <c r="O107" s="106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438"/>
      <c r="AA107" s="438"/>
      <c r="AB107" s="105"/>
      <c r="AC107" s="105"/>
      <c r="AD107" s="105"/>
      <c r="AE107" s="105" t="s">
        <v>206</v>
      </c>
      <c r="AF107" s="187" t="s">
        <v>206</v>
      </c>
      <c r="AG107" s="187" t="s">
        <v>377</v>
      </c>
      <c r="AH107" s="187" t="s">
        <v>377</v>
      </c>
      <c r="AI107" s="187" t="s">
        <v>377</v>
      </c>
      <c r="AJ107" s="187" t="s">
        <v>206</v>
      </c>
      <c r="AK107" s="187"/>
      <c r="AL107" s="187"/>
      <c r="AM107" s="187" t="s">
        <v>391</v>
      </c>
      <c r="AN107" s="187"/>
      <c r="AO107" s="507"/>
      <c r="AP107" s="507"/>
      <c r="AQ107" s="507"/>
    </row>
    <row r="108" spans="1:43" ht="12.75" customHeight="1" x14ac:dyDescent="0.25">
      <c r="A108" s="103">
        <v>107</v>
      </c>
      <c r="B108" s="104">
        <v>37675</v>
      </c>
      <c r="C108" s="104" t="s">
        <v>64</v>
      </c>
      <c r="D108" s="103" t="s">
        <v>393</v>
      </c>
      <c r="E108" s="104" t="s">
        <v>221</v>
      </c>
      <c r="F108" s="103" t="s">
        <v>204</v>
      </c>
      <c r="G108" s="103" t="s">
        <v>12</v>
      </c>
      <c r="H108" s="103" t="s">
        <v>394</v>
      </c>
      <c r="I108" s="103"/>
      <c r="J108" s="105"/>
      <c r="K108" s="471"/>
      <c r="L108" s="438"/>
      <c r="M108" s="438"/>
      <c r="N108" s="471"/>
      <c r="O108" s="106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438"/>
      <c r="AA108" s="438"/>
      <c r="AB108" s="105"/>
      <c r="AC108" s="105"/>
      <c r="AD108" s="105"/>
      <c r="AE108" s="105"/>
      <c r="AF108" s="187" t="s">
        <v>206</v>
      </c>
      <c r="AG108" s="187" t="s">
        <v>241</v>
      </c>
      <c r="AH108" s="187" t="s">
        <v>241</v>
      </c>
      <c r="AI108" s="187" t="s">
        <v>241</v>
      </c>
      <c r="AJ108" s="187" t="s">
        <v>206</v>
      </c>
      <c r="AK108" s="187"/>
      <c r="AL108" s="187"/>
      <c r="AM108" s="187" t="s">
        <v>395</v>
      </c>
      <c r="AN108" s="187"/>
      <c r="AO108" s="507"/>
      <c r="AP108" s="507"/>
      <c r="AQ108" s="507"/>
    </row>
    <row r="109" spans="1:43" ht="12.75" customHeight="1" x14ac:dyDescent="0.25">
      <c r="A109" s="103">
        <v>108</v>
      </c>
      <c r="B109" s="104">
        <v>37675</v>
      </c>
      <c r="C109" s="104" t="s">
        <v>54</v>
      </c>
      <c r="D109" s="103" t="s">
        <v>396</v>
      </c>
      <c r="E109" s="104" t="s">
        <v>221</v>
      </c>
      <c r="F109" s="103" t="s">
        <v>204</v>
      </c>
      <c r="G109" s="103" t="s">
        <v>12</v>
      </c>
      <c r="H109" s="103" t="s">
        <v>394</v>
      </c>
      <c r="I109" s="103"/>
      <c r="J109" s="105"/>
      <c r="K109" s="471"/>
      <c r="L109" s="438"/>
      <c r="M109" s="438"/>
      <c r="N109" s="471"/>
      <c r="O109" s="106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438"/>
      <c r="AA109" s="438"/>
      <c r="AB109" s="105"/>
      <c r="AC109" s="105"/>
      <c r="AD109" s="105"/>
      <c r="AE109" s="105"/>
      <c r="AF109" s="187" t="s">
        <v>206</v>
      </c>
      <c r="AG109" s="187" t="s">
        <v>241</v>
      </c>
      <c r="AH109" s="187" t="s">
        <v>241</v>
      </c>
      <c r="AI109" s="187" t="s">
        <v>241</v>
      </c>
      <c r="AJ109" s="187" t="s">
        <v>206</v>
      </c>
      <c r="AK109" s="187"/>
      <c r="AL109" s="187"/>
      <c r="AM109" s="187" t="s">
        <v>395</v>
      </c>
      <c r="AN109" s="187"/>
      <c r="AO109" s="507"/>
      <c r="AP109" s="507"/>
      <c r="AQ109" s="507"/>
    </row>
    <row r="110" spans="1:43" ht="12.75" customHeight="1" x14ac:dyDescent="0.25">
      <c r="A110" s="103">
        <v>109</v>
      </c>
      <c r="B110" s="104">
        <v>37677</v>
      </c>
      <c r="C110" s="104" t="s">
        <v>64</v>
      </c>
      <c r="D110" s="103" t="s">
        <v>397</v>
      </c>
      <c r="E110" s="104" t="s">
        <v>221</v>
      </c>
      <c r="F110" s="103" t="s">
        <v>204</v>
      </c>
      <c r="G110" s="103" t="s">
        <v>12</v>
      </c>
      <c r="H110" s="103" t="s">
        <v>398</v>
      </c>
      <c r="I110" s="103"/>
      <c r="J110" s="105"/>
      <c r="K110" s="471"/>
      <c r="L110" s="438"/>
      <c r="M110" s="438"/>
      <c r="N110" s="471"/>
      <c r="O110" s="106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438"/>
      <c r="AA110" s="438"/>
      <c r="AB110" s="105"/>
      <c r="AC110" s="105"/>
      <c r="AD110" s="105"/>
      <c r="AE110" s="105"/>
      <c r="AF110" s="187" t="s">
        <v>206</v>
      </c>
      <c r="AG110" s="845">
        <v>45419</v>
      </c>
      <c r="AH110" s="845">
        <v>45419</v>
      </c>
      <c r="AI110" s="845">
        <v>45419</v>
      </c>
      <c r="AJ110" s="187" t="s">
        <v>206</v>
      </c>
      <c r="AK110" s="187"/>
      <c r="AL110" s="187"/>
      <c r="AM110" s="845">
        <v>45419</v>
      </c>
      <c r="AN110" s="845"/>
      <c r="AO110" s="507"/>
      <c r="AP110" s="507"/>
      <c r="AQ110" s="507"/>
    </row>
    <row r="111" spans="1:43" ht="12.75" customHeight="1" x14ac:dyDescent="0.25">
      <c r="A111" s="103">
        <v>110</v>
      </c>
      <c r="B111" s="104">
        <v>37677</v>
      </c>
      <c r="C111" s="104" t="s">
        <v>54</v>
      </c>
      <c r="D111" s="103" t="s">
        <v>399</v>
      </c>
      <c r="E111" s="104" t="s">
        <v>221</v>
      </c>
      <c r="F111" s="103" t="s">
        <v>204</v>
      </c>
      <c r="G111" s="103" t="s">
        <v>12</v>
      </c>
      <c r="H111" s="103" t="s">
        <v>398</v>
      </c>
      <c r="I111" s="103"/>
      <c r="J111" s="105"/>
      <c r="K111" s="471"/>
      <c r="L111" s="438"/>
      <c r="M111" s="438"/>
      <c r="N111" s="471"/>
      <c r="O111" s="106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438"/>
      <c r="AA111" s="438"/>
      <c r="AB111" s="105"/>
      <c r="AC111" s="105"/>
      <c r="AD111" s="105"/>
      <c r="AE111" s="105"/>
      <c r="AF111" s="187" t="s">
        <v>206</v>
      </c>
      <c r="AG111" s="845">
        <v>45419</v>
      </c>
      <c r="AH111" s="845">
        <v>45419</v>
      </c>
      <c r="AI111" s="845">
        <v>45419</v>
      </c>
      <c r="AJ111" s="187" t="s">
        <v>206</v>
      </c>
      <c r="AK111" s="187"/>
      <c r="AL111" s="187"/>
      <c r="AM111" s="845">
        <v>45419</v>
      </c>
      <c r="AN111" s="845"/>
      <c r="AO111" s="507"/>
      <c r="AP111" s="507"/>
      <c r="AQ111" s="507"/>
    </row>
    <row r="112" spans="1:43" ht="12.75" customHeight="1" x14ac:dyDescent="0.25">
      <c r="A112" s="103">
        <v>111</v>
      </c>
      <c r="B112" s="104">
        <v>37678</v>
      </c>
      <c r="C112" s="104" t="s">
        <v>64</v>
      </c>
      <c r="D112" s="103" t="s">
        <v>400</v>
      </c>
      <c r="E112" s="104" t="s">
        <v>221</v>
      </c>
      <c r="F112" s="103" t="s">
        <v>204</v>
      </c>
      <c r="G112" s="103" t="s">
        <v>12</v>
      </c>
      <c r="H112" s="103" t="s">
        <v>394</v>
      </c>
      <c r="I112" s="103"/>
      <c r="J112" s="105"/>
      <c r="K112" s="471"/>
      <c r="L112" s="438"/>
      <c r="M112" s="438"/>
      <c r="N112" s="471"/>
      <c r="O112" s="106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438"/>
      <c r="AA112" s="438"/>
      <c r="AB112" s="105"/>
      <c r="AC112" s="105"/>
      <c r="AD112" s="105"/>
      <c r="AE112" s="105"/>
      <c r="AF112" s="187" t="s">
        <v>206</v>
      </c>
      <c r="AG112" s="845">
        <v>45542</v>
      </c>
      <c r="AH112" s="845">
        <v>45542</v>
      </c>
      <c r="AI112" s="845">
        <v>45542</v>
      </c>
      <c r="AJ112" s="187" t="s">
        <v>206</v>
      </c>
      <c r="AK112" s="187"/>
      <c r="AL112" s="187"/>
      <c r="AM112" s="845">
        <v>45542</v>
      </c>
      <c r="AN112" s="845"/>
      <c r="AO112" s="507"/>
      <c r="AP112" s="507"/>
      <c r="AQ112" s="507"/>
    </row>
    <row r="113" spans="1:43" ht="12.75" customHeight="1" x14ac:dyDescent="0.25">
      <c r="A113" s="103">
        <v>112</v>
      </c>
      <c r="B113" s="104">
        <v>37678</v>
      </c>
      <c r="C113" s="104" t="s">
        <v>54</v>
      </c>
      <c r="D113" s="103" t="s">
        <v>401</v>
      </c>
      <c r="E113" s="104" t="s">
        <v>221</v>
      </c>
      <c r="F113" s="103" t="s">
        <v>204</v>
      </c>
      <c r="G113" s="103" t="s">
        <v>12</v>
      </c>
      <c r="H113" s="103" t="s">
        <v>394</v>
      </c>
      <c r="I113" s="103"/>
      <c r="J113" s="105"/>
      <c r="K113" s="471"/>
      <c r="L113" s="438"/>
      <c r="M113" s="438"/>
      <c r="N113" s="471"/>
      <c r="O113" s="106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438"/>
      <c r="AA113" s="438"/>
      <c r="AB113" s="105"/>
      <c r="AC113" s="105"/>
      <c r="AD113" s="105"/>
      <c r="AE113" s="105"/>
      <c r="AF113" s="187" t="s">
        <v>206</v>
      </c>
      <c r="AG113" s="845">
        <v>45542</v>
      </c>
      <c r="AH113" s="845">
        <v>45542</v>
      </c>
      <c r="AI113" s="845">
        <v>45542</v>
      </c>
      <c r="AJ113" s="187" t="s">
        <v>206</v>
      </c>
      <c r="AK113" s="187"/>
      <c r="AL113" s="187"/>
      <c r="AM113" s="845">
        <v>45542</v>
      </c>
      <c r="AN113" s="845"/>
      <c r="AO113" s="507"/>
      <c r="AP113" s="507"/>
      <c r="AQ113" s="507"/>
    </row>
    <row r="114" spans="1:43" ht="12.75" customHeight="1" x14ac:dyDescent="0.25">
      <c r="A114" s="103">
        <v>113</v>
      </c>
      <c r="B114" s="104">
        <v>37713</v>
      </c>
      <c r="C114" s="104" t="s">
        <v>64</v>
      </c>
      <c r="D114" s="103" t="s">
        <v>402</v>
      </c>
      <c r="E114" s="104" t="s">
        <v>221</v>
      </c>
      <c r="F114" s="103" t="s">
        <v>204</v>
      </c>
      <c r="G114" s="103" t="s">
        <v>12</v>
      </c>
      <c r="H114" s="851">
        <v>45541</v>
      </c>
      <c r="I114" s="103"/>
      <c r="J114" s="105"/>
      <c r="K114" s="471"/>
      <c r="L114" s="438"/>
      <c r="M114" s="438"/>
      <c r="N114" s="471"/>
      <c r="O114" s="106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438"/>
      <c r="AA114" s="438"/>
      <c r="AB114" s="105"/>
      <c r="AC114" s="105"/>
      <c r="AD114" s="105"/>
      <c r="AE114" s="105"/>
      <c r="AF114" s="187" t="s">
        <v>206</v>
      </c>
      <c r="AG114" s="187" t="s">
        <v>403</v>
      </c>
      <c r="AH114" s="187" t="s">
        <v>403</v>
      </c>
      <c r="AI114" s="187" t="s">
        <v>403</v>
      </c>
      <c r="AJ114" s="187"/>
      <c r="AK114" s="187"/>
      <c r="AL114" s="187"/>
      <c r="AM114" s="187" t="s">
        <v>377</v>
      </c>
      <c r="AN114" s="187"/>
      <c r="AO114" s="507"/>
      <c r="AP114" s="507"/>
      <c r="AQ114" s="507"/>
    </row>
    <row r="115" spans="1:43" ht="12.75" customHeight="1" x14ac:dyDescent="0.25">
      <c r="A115" s="103">
        <v>114</v>
      </c>
      <c r="B115" s="104">
        <v>37713</v>
      </c>
      <c r="C115" s="104" t="s">
        <v>54</v>
      </c>
      <c r="D115" s="103" t="s">
        <v>404</v>
      </c>
      <c r="E115" s="104" t="s">
        <v>221</v>
      </c>
      <c r="F115" s="103" t="s">
        <v>204</v>
      </c>
      <c r="G115" s="103" t="s">
        <v>12</v>
      </c>
      <c r="H115" s="851">
        <v>45541</v>
      </c>
      <c r="I115" s="103"/>
      <c r="J115" s="105"/>
      <c r="K115" s="471"/>
      <c r="L115" s="438"/>
      <c r="M115" s="438"/>
      <c r="N115" s="471"/>
      <c r="O115" s="106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438"/>
      <c r="AA115" s="438"/>
      <c r="AB115" s="105"/>
      <c r="AC115" s="105"/>
      <c r="AD115" s="105"/>
      <c r="AE115" s="105"/>
      <c r="AF115" s="187" t="s">
        <v>206</v>
      </c>
      <c r="AG115" s="187" t="s">
        <v>403</v>
      </c>
      <c r="AH115" s="187" t="s">
        <v>403</v>
      </c>
      <c r="AI115" s="187" t="s">
        <v>403</v>
      </c>
      <c r="AJ115" s="187"/>
      <c r="AK115" s="187"/>
      <c r="AL115" s="187"/>
      <c r="AM115" s="187" t="s">
        <v>377</v>
      </c>
      <c r="AN115" s="187"/>
      <c r="AO115" s="507"/>
      <c r="AP115" s="507"/>
      <c r="AQ115" s="507"/>
    </row>
    <row r="116" spans="1:43" ht="12.75" customHeight="1" x14ac:dyDescent="0.25">
      <c r="A116" s="103">
        <v>115</v>
      </c>
      <c r="B116" s="104">
        <v>37674</v>
      </c>
      <c r="C116" s="104" t="s">
        <v>64</v>
      </c>
      <c r="D116" s="103" t="s">
        <v>405</v>
      </c>
      <c r="E116" s="104" t="s">
        <v>221</v>
      </c>
      <c r="F116" s="103" t="s">
        <v>204</v>
      </c>
      <c r="G116" s="103" t="s">
        <v>12</v>
      </c>
      <c r="H116" s="103" t="s">
        <v>398</v>
      </c>
      <c r="I116" s="103"/>
      <c r="J116" s="105"/>
      <c r="K116" s="471"/>
      <c r="L116" s="438"/>
      <c r="M116" s="438"/>
      <c r="N116" s="471"/>
      <c r="O116" s="106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438"/>
      <c r="AA116" s="438"/>
      <c r="AB116" s="105"/>
      <c r="AC116" s="105"/>
      <c r="AD116" s="105"/>
      <c r="AE116" s="105" t="s">
        <v>206</v>
      </c>
      <c r="AF116" s="187" t="s">
        <v>206</v>
      </c>
      <c r="AG116" s="187" t="s">
        <v>217</v>
      </c>
      <c r="AH116" s="187" t="s">
        <v>217</v>
      </c>
      <c r="AI116" s="187" t="s">
        <v>217</v>
      </c>
      <c r="AJ116" s="187" t="s">
        <v>206</v>
      </c>
      <c r="AK116" s="187"/>
      <c r="AL116" s="187"/>
      <c r="AM116" s="187" t="s">
        <v>395</v>
      </c>
      <c r="AN116" s="187"/>
      <c r="AO116" s="507"/>
      <c r="AP116" s="507"/>
      <c r="AQ116" s="507"/>
    </row>
    <row r="117" spans="1:43" ht="12.75" customHeight="1" x14ac:dyDescent="0.25">
      <c r="A117" s="103">
        <v>116</v>
      </c>
      <c r="B117" s="104">
        <v>37674</v>
      </c>
      <c r="C117" s="104" t="s">
        <v>54</v>
      </c>
      <c r="D117" s="103" t="s">
        <v>406</v>
      </c>
      <c r="E117" s="104" t="s">
        <v>221</v>
      </c>
      <c r="F117" s="103" t="s">
        <v>204</v>
      </c>
      <c r="G117" s="103" t="s">
        <v>12</v>
      </c>
      <c r="H117" s="103" t="s">
        <v>398</v>
      </c>
      <c r="I117" s="103"/>
      <c r="J117" s="105"/>
      <c r="K117" s="471"/>
      <c r="L117" s="438"/>
      <c r="M117" s="438"/>
      <c r="N117" s="471"/>
      <c r="O117" s="106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438"/>
      <c r="AA117" s="438"/>
      <c r="AB117" s="105"/>
      <c r="AC117" s="105"/>
      <c r="AD117" s="105"/>
      <c r="AE117" s="105" t="s">
        <v>206</v>
      </c>
      <c r="AF117" s="187" t="s">
        <v>206</v>
      </c>
      <c r="AG117" s="187" t="s">
        <v>217</v>
      </c>
      <c r="AH117" s="187" t="s">
        <v>217</v>
      </c>
      <c r="AI117" s="187" t="s">
        <v>217</v>
      </c>
      <c r="AJ117" s="187" t="s">
        <v>206</v>
      </c>
      <c r="AK117" s="187"/>
      <c r="AL117" s="187"/>
      <c r="AM117" s="187" t="s">
        <v>395</v>
      </c>
      <c r="AN117" s="187"/>
      <c r="AO117" s="507"/>
      <c r="AP117" s="507"/>
      <c r="AQ117" s="507"/>
    </row>
    <row r="118" spans="1:43" ht="12.75" customHeight="1" x14ac:dyDescent="0.25">
      <c r="A118" s="103">
        <v>117</v>
      </c>
      <c r="B118" s="104">
        <v>37721</v>
      </c>
      <c r="C118" s="104" t="s">
        <v>64</v>
      </c>
      <c r="D118" s="103" t="s">
        <v>407</v>
      </c>
      <c r="E118" s="104" t="s">
        <v>221</v>
      </c>
      <c r="F118" s="103" t="s">
        <v>204</v>
      </c>
      <c r="G118" s="103" t="s">
        <v>12</v>
      </c>
      <c r="H118" s="851">
        <v>44937</v>
      </c>
      <c r="I118" s="103"/>
      <c r="J118" s="105"/>
      <c r="K118" s="471"/>
      <c r="L118" s="438"/>
      <c r="M118" s="438"/>
      <c r="N118" s="471"/>
      <c r="O118" s="106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438"/>
      <c r="AA118" s="438"/>
      <c r="AB118" s="105"/>
      <c r="AC118" s="105"/>
      <c r="AD118" s="105"/>
      <c r="AE118" s="105" t="s">
        <v>206</v>
      </c>
      <c r="AF118" s="187" t="s">
        <v>206</v>
      </c>
      <c r="AG118" s="845">
        <v>45603</v>
      </c>
      <c r="AH118" s="845">
        <v>45603</v>
      </c>
      <c r="AI118" s="845">
        <v>45603</v>
      </c>
      <c r="AJ118" s="187" t="s">
        <v>206</v>
      </c>
      <c r="AK118" s="187"/>
      <c r="AL118" s="187"/>
      <c r="AM118" s="187"/>
      <c r="AN118" s="187"/>
      <c r="AO118" s="507"/>
      <c r="AP118" s="507"/>
      <c r="AQ118" s="507"/>
    </row>
    <row r="119" spans="1:43" ht="12.75" customHeight="1" x14ac:dyDescent="0.25">
      <c r="A119" s="103">
        <v>118</v>
      </c>
      <c r="B119" s="104">
        <v>37721</v>
      </c>
      <c r="C119" s="104" t="s">
        <v>54</v>
      </c>
      <c r="D119" s="103" t="s">
        <v>408</v>
      </c>
      <c r="E119" s="104" t="s">
        <v>221</v>
      </c>
      <c r="F119" s="103" t="s">
        <v>204</v>
      </c>
      <c r="G119" s="103" t="s">
        <v>12</v>
      </c>
      <c r="H119" s="851">
        <v>44937</v>
      </c>
      <c r="I119" s="103"/>
      <c r="J119" s="105"/>
      <c r="K119" s="471"/>
      <c r="L119" s="438"/>
      <c r="M119" s="438"/>
      <c r="N119" s="471"/>
      <c r="O119" s="106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438"/>
      <c r="AA119" s="438"/>
      <c r="AB119" s="105"/>
      <c r="AC119" s="105"/>
      <c r="AD119" s="105"/>
      <c r="AE119" s="105" t="s">
        <v>206</v>
      </c>
      <c r="AF119" s="187" t="s">
        <v>206</v>
      </c>
      <c r="AG119" s="845">
        <v>45603</v>
      </c>
      <c r="AH119" s="845">
        <v>45603</v>
      </c>
      <c r="AI119" s="845">
        <v>45603</v>
      </c>
      <c r="AJ119" s="187" t="s">
        <v>206</v>
      </c>
      <c r="AK119" s="187"/>
      <c r="AL119" s="187"/>
      <c r="AM119" s="187"/>
      <c r="AN119" s="187"/>
      <c r="AO119" s="507"/>
      <c r="AP119" s="507"/>
      <c r="AQ119" s="507"/>
    </row>
    <row r="120" spans="1:43" ht="12.75" customHeight="1" x14ac:dyDescent="0.25">
      <c r="A120" s="103">
        <v>119</v>
      </c>
      <c r="B120" s="104">
        <v>39247</v>
      </c>
      <c r="C120" s="104" t="s">
        <v>64</v>
      </c>
      <c r="D120" s="103" t="s">
        <v>409</v>
      </c>
      <c r="E120" s="104" t="s">
        <v>203</v>
      </c>
      <c r="F120" s="103" t="s">
        <v>204</v>
      </c>
      <c r="G120" s="103" t="s">
        <v>12</v>
      </c>
      <c r="H120" s="118">
        <v>44806</v>
      </c>
      <c r="I120" s="103"/>
      <c r="J120" s="105"/>
      <c r="K120" s="471"/>
      <c r="L120" s="438"/>
      <c r="M120" s="438"/>
      <c r="N120" s="471"/>
      <c r="O120" s="106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438"/>
      <c r="AA120" s="438"/>
      <c r="AB120" s="105"/>
      <c r="AC120" s="105"/>
      <c r="AD120" s="105"/>
      <c r="AE120" s="105" t="s">
        <v>206</v>
      </c>
      <c r="AF120" s="187" t="s">
        <v>206</v>
      </c>
      <c r="AG120" s="845">
        <v>45330</v>
      </c>
      <c r="AH120" s="845">
        <v>45330</v>
      </c>
      <c r="AI120" s="845">
        <v>45330</v>
      </c>
      <c r="AJ120" s="187" t="s">
        <v>206</v>
      </c>
      <c r="AK120" s="187" t="s">
        <v>410</v>
      </c>
      <c r="AL120" s="187"/>
      <c r="AM120" s="187"/>
      <c r="AN120" s="187"/>
      <c r="AO120" s="507"/>
      <c r="AP120" s="507"/>
      <c r="AQ120" s="507"/>
    </row>
    <row r="121" spans="1:43" ht="12.75" customHeight="1" x14ac:dyDescent="0.25">
      <c r="A121" s="103">
        <v>120</v>
      </c>
      <c r="B121" s="104">
        <v>39247</v>
      </c>
      <c r="C121" s="104" t="s">
        <v>54</v>
      </c>
      <c r="D121" s="103" t="s">
        <v>411</v>
      </c>
      <c r="E121" s="104" t="s">
        <v>203</v>
      </c>
      <c r="F121" s="103" t="s">
        <v>204</v>
      </c>
      <c r="G121" s="103" t="s">
        <v>12</v>
      </c>
      <c r="H121" s="118">
        <v>44806</v>
      </c>
      <c r="I121" s="103"/>
      <c r="J121" s="105"/>
      <c r="K121" s="471"/>
      <c r="L121" s="438"/>
      <c r="M121" s="438"/>
      <c r="N121" s="471"/>
      <c r="O121" s="106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438"/>
      <c r="AA121" s="438"/>
      <c r="AB121" s="105"/>
      <c r="AC121" s="105"/>
      <c r="AD121" s="105"/>
      <c r="AE121" s="105" t="s">
        <v>206</v>
      </c>
      <c r="AF121" s="187" t="s">
        <v>206</v>
      </c>
      <c r="AG121" s="845">
        <v>45330</v>
      </c>
      <c r="AH121" s="845">
        <v>45330</v>
      </c>
      <c r="AI121" s="845">
        <v>45330</v>
      </c>
      <c r="AJ121" s="187" t="s">
        <v>206</v>
      </c>
      <c r="AK121" s="187" t="s">
        <v>410</v>
      </c>
      <c r="AL121" s="187"/>
      <c r="AM121" s="187"/>
      <c r="AN121" s="187"/>
      <c r="AO121" s="507"/>
      <c r="AP121" s="507"/>
      <c r="AQ121" s="507"/>
    </row>
    <row r="122" spans="1:43" ht="12.75" customHeight="1" x14ac:dyDescent="0.25">
      <c r="A122" s="103">
        <v>121</v>
      </c>
      <c r="B122" s="104">
        <v>39248</v>
      </c>
      <c r="C122" s="104" t="s">
        <v>64</v>
      </c>
      <c r="D122" s="103" t="s">
        <v>412</v>
      </c>
      <c r="E122" s="104" t="s">
        <v>203</v>
      </c>
      <c r="F122" s="103" t="s">
        <v>204</v>
      </c>
      <c r="G122" s="103" t="s">
        <v>12</v>
      </c>
      <c r="H122" s="851">
        <v>45140</v>
      </c>
      <c r="I122" s="103"/>
      <c r="J122" s="105"/>
      <c r="K122" s="471"/>
      <c r="L122" s="438"/>
      <c r="M122" s="438"/>
      <c r="N122" s="471"/>
      <c r="O122" s="106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438"/>
      <c r="AA122" s="438"/>
      <c r="AB122" s="105"/>
      <c r="AC122" s="105"/>
      <c r="AD122" s="105"/>
      <c r="AE122" s="105" t="s">
        <v>206</v>
      </c>
      <c r="AF122" s="187" t="s">
        <v>206</v>
      </c>
      <c r="AG122" s="845">
        <v>45418</v>
      </c>
      <c r="AH122" s="845">
        <v>45418</v>
      </c>
      <c r="AI122" s="845">
        <v>45418</v>
      </c>
      <c r="AJ122" s="187" t="s">
        <v>206</v>
      </c>
      <c r="AK122" s="187"/>
      <c r="AL122" s="187"/>
      <c r="AM122" s="187"/>
      <c r="AN122" s="187"/>
      <c r="AO122" s="507"/>
      <c r="AP122" s="507"/>
      <c r="AQ122" s="507"/>
    </row>
    <row r="123" spans="1:43" ht="12.75" customHeight="1" x14ac:dyDescent="0.25">
      <c r="A123" s="103">
        <v>122</v>
      </c>
      <c r="B123" s="104">
        <v>39248</v>
      </c>
      <c r="C123" s="104" t="s">
        <v>54</v>
      </c>
      <c r="D123" s="103" t="s">
        <v>413</v>
      </c>
      <c r="E123" s="104" t="s">
        <v>203</v>
      </c>
      <c r="F123" s="103" t="s">
        <v>204</v>
      </c>
      <c r="G123" s="103" t="s">
        <v>12</v>
      </c>
      <c r="H123" s="851">
        <v>45140</v>
      </c>
      <c r="I123" s="103"/>
      <c r="J123" s="105"/>
      <c r="K123" s="471"/>
      <c r="L123" s="438"/>
      <c r="M123" s="438"/>
      <c r="N123" s="471"/>
      <c r="O123" s="106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438"/>
      <c r="AA123" s="438"/>
      <c r="AB123" s="105"/>
      <c r="AC123" s="105"/>
      <c r="AD123" s="105"/>
      <c r="AE123" s="105" t="s">
        <v>206</v>
      </c>
      <c r="AF123" s="187" t="s">
        <v>206</v>
      </c>
      <c r="AG123" s="845">
        <v>45418</v>
      </c>
      <c r="AH123" s="845">
        <v>45418</v>
      </c>
      <c r="AI123" s="845">
        <v>45418</v>
      </c>
      <c r="AJ123" s="187" t="s">
        <v>206</v>
      </c>
      <c r="AK123" s="187"/>
      <c r="AL123" s="187"/>
      <c r="AM123" s="187"/>
      <c r="AN123" s="187"/>
      <c r="AO123" s="507"/>
      <c r="AP123" s="507"/>
      <c r="AQ123" s="507"/>
    </row>
    <row r="124" spans="1:43" ht="12.75" customHeight="1" x14ac:dyDescent="0.25">
      <c r="A124" s="103">
        <v>123</v>
      </c>
      <c r="B124" s="104">
        <v>39245</v>
      </c>
      <c r="C124" s="104" t="s">
        <v>64</v>
      </c>
      <c r="D124" s="103" t="s">
        <v>414</v>
      </c>
      <c r="E124" s="104" t="s">
        <v>203</v>
      </c>
      <c r="F124" s="103" t="s">
        <v>204</v>
      </c>
      <c r="G124" s="103" t="s">
        <v>12</v>
      </c>
      <c r="H124" s="103" t="s">
        <v>415</v>
      </c>
      <c r="I124" s="103"/>
      <c r="J124" s="105"/>
      <c r="K124" s="471"/>
      <c r="L124" s="438"/>
      <c r="M124" s="438"/>
      <c r="N124" s="471"/>
      <c r="O124" s="106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438"/>
      <c r="AA124" s="438"/>
      <c r="AB124" s="105"/>
      <c r="AC124" s="105"/>
      <c r="AD124" s="105"/>
      <c r="AE124" s="105" t="s">
        <v>206</v>
      </c>
      <c r="AF124" s="187" t="s">
        <v>206</v>
      </c>
      <c r="AG124" s="187" t="s">
        <v>326</v>
      </c>
      <c r="AH124" s="187" t="s">
        <v>326</v>
      </c>
      <c r="AI124" s="187" t="s">
        <v>326</v>
      </c>
      <c r="AJ124" s="187" t="s">
        <v>206</v>
      </c>
      <c r="AK124" s="187" t="s">
        <v>416</v>
      </c>
      <c r="AL124" s="187"/>
      <c r="AM124" s="187" t="s">
        <v>417</v>
      </c>
      <c r="AN124" s="187"/>
      <c r="AO124" s="507"/>
      <c r="AP124" s="507"/>
      <c r="AQ124" s="507"/>
    </row>
    <row r="125" spans="1:43" ht="12.75" customHeight="1" x14ac:dyDescent="0.25">
      <c r="A125" s="103">
        <v>124</v>
      </c>
      <c r="B125" s="104">
        <v>39245</v>
      </c>
      <c r="C125" s="104" t="s">
        <v>54</v>
      </c>
      <c r="D125" s="103" t="s">
        <v>418</v>
      </c>
      <c r="E125" s="104" t="s">
        <v>203</v>
      </c>
      <c r="F125" s="103" t="s">
        <v>204</v>
      </c>
      <c r="G125" s="103" t="s">
        <v>12</v>
      </c>
      <c r="H125" s="103" t="s">
        <v>415</v>
      </c>
      <c r="I125" s="103"/>
      <c r="J125" s="105"/>
      <c r="K125" s="471"/>
      <c r="L125" s="438"/>
      <c r="M125" s="438"/>
      <c r="N125" s="471"/>
      <c r="O125" s="106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438"/>
      <c r="AA125" s="438"/>
      <c r="AB125" s="105"/>
      <c r="AC125" s="105"/>
      <c r="AD125" s="105"/>
      <c r="AE125" s="105" t="s">
        <v>206</v>
      </c>
      <c r="AF125" s="187" t="s">
        <v>206</v>
      </c>
      <c r="AG125" s="187" t="s">
        <v>326</v>
      </c>
      <c r="AH125" s="187" t="s">
        <v>326</v>
      </c>
      <c r="AI125" s="187" t="s">
        <v>326</v>
      </c>
      <c r="AJ125" s="187" t="s">
        <v>206</v>
      </c>
      <c r="AK125" s="187" t="s">
        <v>416</v>
      </c>
      <c r="AL125" s="187"/>
      <c r="AM125" s="187" t="s">
        <v>417</v>
      </c>
      <c r="AN125" s="187"/>
      <c r="AO125" s="507"/>
      <c r="AP125" s="507"/>
      <c r="AQ125" s="507"/>
    </row>
    <row r="126" spans="1:43" ht="12.75" customHeight="1" x14ac:dyDescent="0.25">
      <c r="A126" s="103">
        <v>125</v>
      </c>
      <c r="B126" s="104">
        <v>39246</v>
      </c>
      <c r="C126" s="104" t="s">
        <v>64</v>
      </c>
      <c r="D126" s="103" t="s">
        <v>419</v>
      </c>
      <c r="E126" s="104" t="s">
        <v>203</v>
      </c>
      <c r="F126" s="103" t="s">
        <v>204</v>
      </c>
      <c r="G126" s="103" t="s">
        <v>12</v>
      </c>
      <c r="H126" s="103" t="s">
        <v>415</v>
      </c>
      <c r="I126" s="103"/>
      <c r="J126" s="105"/>
      <c r="K126" s="471"/>
      <c r="L126" s="438"/>
      <c r="M126" s="438"/>
      <c r="N126" s="471"/>
      <c r="O126" s="106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438"/>
      <c r="AA126" s="438"/>
      <c r="AB126" s="105"/>
      <c r="AC126" s="105"/>
      <c r="AD126" s="105"/>
      <c r="AE126" s="105" t="s">
        <v>206</v>
      </c>
      <c r="AF126" s="187" t="s">
        <v>206</v>
      </c>
      <c r="AG126" s="187" t="s">
        <v>273</v>
      </c>
      <c r="AH126" s="187" t="s">
        <v>273</v>
      </c>
      <c r="AI126" s="187" t="s">
        <v>273</v>
      </c>
      <c r="AJ126" s="187" t="s">
        <v>206</v>
      </c>
      <c r="AK126" s="187"/>
      <c r="AL126" s="187"/>
      <c r="AM126" s="187"/>
      <c r="AN126" s="187"/>
      <c r="AO126" s="507"/>
      <c r="AP126" s="507"/>
      <c r="AQ126" s="507"/>
    </row>
    <row r="127" spans="1:43" ht="12.75" customHeight="1" x14ac:dyDescent="0.25">
      <c r="A127" s="103">
        <v>126</v>
      </c>
      <c r="B127" s="104">
        <v>39246</v>
      </c>
      <c r="C127" s="104" t="s">
        <v>54</v>
      </c>
      <c r="D127" s="103" t="s">
        <v>420</v>
      </c>
      <c r="E127" s="104" t="s">
        <v>203</v>
      </c>
      <c r="F127" s="103" t="s">
        <v>204</v>
      </c>
      <c r="G127" s="103" t="s">
        <v>12</v>
      </c>
      <c r="H127" s="103" t="s">
        <v>415</v>
      </c>
      <c r="I127" s="103"/>
      <c r="J127" s="105"/>
      <c r="K127" s="471"/>
      <c r="L127" s="438"/>
      <c r="M127" s="438"/>
      <c r="N127" s="471"/>
      <c r="O127" s="106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438"/>
      <c r="AA127" s="438"/>
      <c r="AB127" s="105"/>
      <c r="AC127" s="105"/>
      <c r="AD127" s="105"/>
      <c r="AE127" s="105" t="s">
        <v>206</v>
      </c>
      <c r="AF127" s="187" t="s">
        <v>206</v>
      </c>
      <c r="AG127" s="187" t="s">
        <v>273</v>
      </c>
      <c r="AH127" s="187" t="s">
        <v>273</v>
      </c>
      <c r="AI127" s="187" t="s">
        <v>273</v>
      </c>
      <c r="AJ127" s="187" t="s">
        <v>206</v>
      </c>
      <c r="AK127" s="187"/>
      <c r="AL127" s="187"/>
      <c r="AM127" s="187"/>
      <c r="AN127" s="187"/>
      <c r="AO127" s="507"/>
      <c r="AP127" s="507"/>
      <c r="AQ127" s="507"/>
    </row>
    <row r="128" spans="1:43" ht="12.75" customHeight="1" x14ac:dyDescent="0.25">
      <c r="A128" s="103">
        <v>127</v>
      </c>
      <c r="B128" s="104">
        <v>39264</v>
      </c>
      <c r="C128" s="104" t="s">
        <v>64</v>
      </c>
      <c r="D128" s="103" t="s">
        <v>421</v>
      </c>
      <c r="E128" s="104" t="s">
        <v>203</v>
      </c>
      <c r="F128" s="103" t="s">
        <v>204</v>
      </c>
      <c r="G128" s="103" t="s">
        <v>12</v>
      </c>
      <c r="H128" s="103" t="s">
        <v>422</v>
      </c>
      <c r="I128" s="103"/>
      <c r="J128" s="105"/>
      <c r="K128" s="471"/>
      <c r="L128" s="438"/>
      <c r="M128" s="438"/>
      <c r="N128" s="471"/>
      <c r="O128" s="106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438"/>
      <c r="AA128" s="438"/>
      <c r="AB128" s="105"/>
      <c r="AC128" s="105"/>
      <c r="AD128" s="105"/>
      <c r="AE128" s="105" t="s">
        <v>206</v>
      </c>
      <c r="AF128" s="187" t="s">
        <v>206</v>
      </c>
      <c r="AG128" s="187" t="s">
        <v>423</v>
      </c>
      <c r="AH128" s="187" t="s">
        <v>423</v>
      </c>
      <c r="AI128" s="187" t="s">
        <v>273</v>
      </c>
      <c r="AJ128" s="187" t="s">
        <v>206</v>
      </c>
      <c r="AK128" s="187"/>
      <c r="AL128" s="187"/>
      <c r="AM128" s="187"/>
      <c r="AN128" s="187"/>
      <c r="AO128" s="507"/>
      <c r="AP128" s="507"/>
      <c r="AQ128" s="507"/>
    </row>
    <row r="129" spans="1:43" ht="12.75" customHeight="1" x14ac:dyDescent="0.25">
      <c r="A129" s="103">
        <v>128</v>
      </c>
      <c r="B129" s="104">
        <v>39264</v>
      </c>
      <c r="C129" s="104" t="s">
        <v>54</v>
      </c>
      <c r="D129" s="103" t="s">
        <v>424</v>
      </c>
      <c r="E129" s="104" t="s">
        <v>203</v>
      </c>
      <c r="F129" s="103" t="s">
        <v>204</v>
      </c>
      <c r="G129" s="103" t="s">
        <v>12</v>
      </c>
      <c r="H129" s="103" t="s">
        <v>422</v>
      </c>
      <c r="I129" s="103"/>
      <c r="J129" s="105"/>
      <c r="K129" s="471"/>
      <c r="L129" s="438"/>
      <c r="M129" s="438"/>
      <c r="N129" s="471"/>
      <c r="O129" s="106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438"/>
      <c r="AA129" s="438"/>
      <c r="AB129" s="105"/>
      <c r="AC129" s="105"/>
      <c r="AD129" s="105"/>
      <c r="AE129" s="105" t="s">
        <v>206</v>
      </c>
      <c r="AF129" s="187" t="s">
        <v>206</v>
      </c>
      <c r="AG129" s="187" t="s">
        <v>423</v>
      </c>
      <c r="AH129" s="187" t="s">
        <v>423</v>
      </c>
      <c r="AI129" s="187" t="s">
        <v>273</v>
      </c>
      <c r="AJ129" s="187" t="s">
        <v>206</v>
      </c>
      <c r="AK129" s="187"/>
      <c r="AL129" s="187"/>
      <c r="AM129" s="187"/>
      <c r="AN129" s="187"/>
      <c r="AO129" s="507"/>
      <c r="AP129" s="507"/>
      <c r="AQ129" s="507"/>
    </row>
    <row r="130" spans="1:43" ht="12.75" customHeight="1" x14ac:dyDescent="0.25">
      <c r="A130" s="103">
        <v>129</v>
      </c>
      <c r="B130" s="104">
        <v>39261</v>
      </c>
      <c r="C130" s="104" t="s">
        <v>64</v>
      </c>
      <c r="D130" s="103" t="s">
        <v>425</v>
      </c>
      <c r="E130" s="104" t="s">
        <v>203</v>
      </c>
      <c r="F130" s="103" t="s">
        <v>204</v>
      </c>
      <c r="G130" s="103" t="s">
        <v>12</v>
      </c>
      <c r="H130" s="103" t="s">
        <v>422</v>
      </c>
      <c r="I130" s="103"/>
      <c r="J130" s="105"/>
      <c r="K130" s="471"/>
      <c r="L130" s="438"/>
      <c r="M130" s="438"/>
      <c r="N130" s="471"/>
      <c r="O130" s="106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438"/>
      <c r="AA130" s="438"/>
      <c r="AB130" s="105"/>
      <c r="AC130" s="105"/>
      <c r="AD130" s="105"/>
      <c r="AE130" s="105" t="s">
        <v>206</v>
      </c>
      <c r="AF130" s="187" t="s">
        <v>206</v>
      </c>
      <c r="AG130" s="845">
        <v>45633</v>
      </c>
      <c r="AH130" s="845">
        <v>45633</v>
      </c>
      <c r="AI130" s="845">
        <v>45633</v>
      </c>
      <c r="AJ130" s="187" t="s">
        <v>206</v>
      </c>
      <c r="AK130" s="187"/>
      <c r="AL130" s="187"/>
      <c r="AM130" s="187" t="s">
        <v>426</v>
      </c>
      <c r="AN130" s="187"/>
      <c r="AO130" s="507"/>
      <c r="AP130" s="507"/>
      <c r="AQ130" s="507"/>
    </row>
    <row r="131" spans="1:43" ht="12.75" customHeight="1" x14ac:dyDescent="0.25">
      <c r="A131" s="103">
        <v>130</v>
      </c>
      <c r="B131" s="104">
        <v>39261</v>
      </c>
      <c r="C131" s="104" t="s">
        <v>54</v>
      </c>
      <c r="D131" s="103" t="s">
        <v>427</v>
      </c>
      <c r="E131" s="104" t="s">
        <v>203</v>
      </c>
      <c r="F131" s="103" t="s">
        <v>204</v>
      </c>
      <c r="G131" s="103" t="s">
        <v>12</v>
      </c>
      <c r="H131" s="103" t="s">
        <v>422</v>
      </c>
      <c r="I131" s="103"/>
      <c r="J131" s="105"/>
      <c r="K131" s="471"/>
      <c r="L131" s="438"/>
      <c r="M131" s="438"/>
      <c r="N131" s="471"/>
      <c r="O131" s="106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438"/>
      <c r="AA131" s="438"/>
      <c r="AB131" s="105"/>
      <c r="AC131" s="105"/>
      <c r="AD131" s="105"/>
      <c r="AE131" s="105" t="s">
        <v>206</v>
      </c>
      <c r="AF131" s="187" t="s">
        <v>206</v>
      </c>
      <c r="AG131" s="845">
        <v>45633</v>
      </c>
      <c r="AH131" s="845">
        <v>45633</v>
      </c>
      <c r="AI131" s="845">
        <v>45633</v>
      </c>
      <c r="AJ131" s="187" t="s">
        <v>206</v>
      </c>
      <c r="AK131" s="187"/>
      <c r="AL131" s="187"/>
      <c r="AM131" s="187" t="s">
        <v>426</v>
      </c>
      <c r="AN131" s="187"/>
      <c r="AO131" s="507"/>
      <c r="AP131" s="507"/>
      <c r="AQ131" s="507"/>
    </row>
    <row r="132" spans="1:43" ht="12.75" customHeight="1" x14ac:dyDescent="0.25">
      <c r="A132" s="103">
        <v>131</v>
      </c>
      <c r="B132" s="104">
        <v>39266</v>
      </c>
      <c r="C132" s="104" t="s">
        <v>64</v>
      </c>
      <c r="D132" s="103" t="s">
        <v>428</v>
      </c>
      <c r="E132" s="104" t="s">
        <v>203</v>
      </c>
      <c r="F132" s="103" t="s">
        <v>204</v>
      </c>
      <c r="G132" s="103" t="s">
        <v>12</v>
      </c>
      <c r="H132" s="103" t="s">
        <v>422</v>
      </c>
      <c r="I132" s="103"/>
      <c r="J132" s="105"/>
      <c r="K132" s="471"/>
      <c r="L132" s="438"/>
      <c r="M132" s="438"/>
      <c r="N132" s="471"/>
      <c r="O132" s="106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438"/>
      <c r="AA132" s="438"/>
      <c r="AB132" s="105"/>
      <c r="AC132" s="105"/>
      <c r="AD132" s="105"/>
      <c r="AE132" s="105" t="s">
        <v>206</v>
      </c>
      <c r="AF132" s="187" t="s">
        <v>206</v>
      </c>
      <c r="AG132" s="187" t="s">
        <v>423</v>
      </c>
      <c r="AH132" s="187" t="s">
        <v>423</v>
      </c>
      <c r="AI132" s="187" t="s">
        <v>423</v>
      </c>
      <c r="AJ132" s="187" t="s">
        <v>206</v>
      </c>
      <c r="AK132" s="187"/>
      <c r="AL132" s="187"/>
      <c r="AM132" s="187"/>
      <c r="AN132" s="187"/>
      <c r="AO132" s="507"/>
      <c r="AP132" s="507"/>
      <c r="AQ132" s="507"/>
    </row>
    <row r="133" spans="1:43" ht="12.75" customHeight="1" x14ac:dyDescent="0.25">
      <c r="A133" s="103">
        <v>132</v>
      </c>
      <c r="B133" s="104">
        <v>39266</v>
      </c>
      <c r="C133" s="104" t="s">
        <v>54</v>
      </c>
      <c r="D133" s="103" t="s">
        <v>429</v>
      </c>
      <c r="E133" s="104" t="s">
        <v>203</v>
      </c>
      <c r="F133" s="103" t="s">
        <v>204</v>
      </c>
      <c r="G133" s="103" t="s">
        <v>12</v>
      </c>
      <c r="H133" s="103" t="s">
        <v>422</v>
      </c>
      <c r="I133" s="103"/>
      <c r="J133" s="105"/>
      <c r="K133" s="471"/>
      <c r="L133" s="438"/>
      <c r="M133" s="438"/>
      <c r="N133" s="471"/>
      <c r="O133" s="106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438"/>
      <c r="AA133" s="438"/>
      <c r="AB133" s="105"/>
      <c r="AC133" s="105"/>
      <c r="AD133" s="105"/>
      <c r="AE133" s="105" t="s">
        <v>206</v>
      </c>
      <c r="AF133" s="187" t="s">
        <v>206</v>
      </c>
      <c r="AG133" s="187" t="s">
        <v>423</v>
      </c>
      <c r="AH133" s="187" t="s">
        <v>423</v>
      </c>
      <c r="AI133" s="187" t="s">
        <v>423</v>
      </c>
      <c r="AJ133" s="187" t="s">
        <v>206</v>
      </c>
      <c r="AK133" s="187"/>
      <c r="AL133" s="187"/>
      <c r="AM133" s="187"/>
      <c r="AN133" s="187"/>
      <c r="AO133" s="507"/>
      <c r="AP133" s="507"/>
      <c r="AQ133" s="507"/>
    </row>
    <row r="134" spans="1:43" ht="12.75" customHeight="1" x14ac:dyDescent="0.25">
      <c r="A134" s="103">
        <v>133</v>
      </c>
      <c r="B134" s="104">
        <v>39267</v>
      </c>
      <c r="C134" s="104" t="s">
        <v>64</v>
      </c>
      <c r="D134" s="103" t="s">
        <v>430</v>
      </c>
      <c r="E134" s="104" t="s">
        <v>203</v>
      </c>
      <c r="F134" s="103" t="s">
        <v>204</v>
      </c>
      <c r="G134" s="103" t="s">
        <v>12</v>
      </c>
      <c r="H134" s="103" t="s">
        <v>422</v>
      </c>
      <c r="I134" s="103"/>
      <c r="J134" s="105"/>
      <c r="K134" s="471"/>
      <c r="L134" s="438"/>
      <c r="M134" s="438"/>
      <c r="N134" s="471"/>
      <c r="O134" s="106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438"/>
      <c r="AA134" s="438"/>
      <c r="AB134" s="105"/>
      <c r="AC134" s="105"/>
      <c r="AD134" s="105"/>
      <c r="AE134" s="105" t="s">
        <v>206</v>
      </c>
      <c r="AF134" s="187" t="s">
        <v>206</v>
      </c>
      <c r="AG134" s="845">
        <v>45511</v>
      </c>
      <c r="AH134" s="845">
        <v>45511</v>
      </c>
      <c r="AI134" s="187" t="s">
        <v>377</v>
      </c>
      <c r="AJ134" s="187" t="s">
        <v>206</v>
      </c>
      <c r="AK134" s="187"/>
      <c r="AL134" s="187"/>
      <c r="AM134" s="187"/>
      <c r="AN134" s="187"/>
      <c r="AO134" s="507"/>
      <c r="AP134" s="507"/>
      <c r="AQ134" s="507"/>
    </row>
    <row r="135" spans="1:43" ht="12.75" customHeight="1" x14ac:dyDescent="0.25">
      <c r="A135" s="103">
        <v>134</v>
      </c>
      <c r="B135" s="104">
        <v>39267</v>
      </c>
      <c r="C135" s="104" t="s">
        <v>54</v>
      </c>
      <c r="D135" s="103" t="s">
        <v>431</v>
      </c>
      <c r="E135" s="104" t="s">
        <v>203</v>
      </c>
      <c r="F135" s="103" t="s">
        <v>204</v>
      </c>
      <c r="G135" s="103" t="s">
        <v>12</v>
      </c>
      <c r="H135" s="103" t="s">
        <v>422</v>
      </c>
      <c r="I135" s="103"/>
      <c r="J135" s="105"/>
      <c r="K135" s="471"/>
      <c r="L135" s="438"/>
      <c r="M135" s="438"/>
      <c r="N135" s="471"/>
      <c r="O135" s="106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438"/>
      <c r="AA135" s="438"/>
      <c r="AB135" s="105"/>
      <c r="AC135" s="105"/>
      <c r="AD135" s="105"/>
      <c r="AE135" s="105" t="s">
        <v>206</v>
      </c>
      <c r="AF135" s="187" t="s">
        <v>206</v>
      </c>
      <c r="AG135" s="845">
        <v>45511</v>
      </c>
      <c r="AH135" s="845">
        <v>45511</v>
      </c>
      <c r="AI135" s="187" t="s">
        <v>377</v>
      </c>
      <c r="AJ135" s="187" t="s">
        <v>206</v>
      </c>
      <c r="AK135" s="187"/>
      <c r="AL135" s="187"/>
      <c r="AM135" s="187"/>
      <c r="AN135" s="187"/>
      <c r="AO135" s="507"/>
      <c r="AP135" s="507"/>
      <c r="AQ135" s="507"/>
    </row>
    <row r="136" spans="1:43" ht="12.75" customHeight="1" x14ac:dyDescent="0.25">
      <c r="A136" s="103">
        <v>135</v>
      </c>
      <c r="B136" s="104">
        <v>39269</v>
      </c>
      <c r="C136" s="104" t="s">
        <v>64</v>
      </c>
      <c r="D136" s="103" t="s">
        <v>432</v>
      </c>
      <c r="E136" s="104" t="s">
        <v>203</v>
      </c>
      <c r="F136" s="103" t="s">
        <v>204</v>
      </c>
      <c r="G136" s="103" t="s">
        <v>12</v>
      </c>
      <c r="H136" s="103" t="s">
        <v>422</v>
      </c>
      <c r="I136" s="103"/>
      <c r="J136" s="105"/>
      <c r="K136" s="471"/>
      <c r="L136" s="438"/>
      <c r="M136" s="438"/>
      <c r="N136" s="471"/>
      <c r="O136" s="106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438"/>
      <c r="AA136" s="438"/>
      <c r="AB136" s="105"/>
      <c r="AC136" s="105"/>
      <c r="AD136" s="105"/>
      <c r="AE136" s="105" t="s">
        <v>206</v>
      </c>
      <c r="AF136" s="187" t="s">
        <v>206</v>
      </c>
      <c r="AG136" s="845">
        <v>45359</v>
      </c>
      <c r="AH136" s="845">
        <v>45359</v>
      </c>
      <c r="AI136" s="845">
        <v>45359</v>
      </c>
      <c r="AJ136" s="187" t="s">
        <v>206</v>
      </c>
      <c r="AK136" s="187"/>
      <c r="AL136" s="187"/>
      <c r="AM136" s="187"/>
      <c r="AN136" s="187"/>
      <c r="AO136" s="507"/>
      <c r="AP136" s="507"/>
      <c r="AQ136" s="507"/>
    </row>
    <row r="137" spans="1:43" ht="12.75" customHeight="1" x14ac:dyDescent="0.25">
      <c r="A137" s="103">
        <v>136</v>
      </c>
      <c r="B137" s="104">
        <v>39269</v>
      </c>
      <c r="C137" s="104" t="s">
        <v>54</v>
      </c>
      <c r="D137" s="103" t="s">
        <v>433</v>
      </c>
      <c r="E137" s="104" t="s">
        <v>203</v>
      </c>
      <c r="F137" s="103" t="s">
        <v>204</v>
      </c>
      <c r="G137" s="103" t="s">
        <v>12</v>
      </c>
      <c r="H137" s="103" t="s">
        <v>422</v>
      </c>
      <c r="I137" s="103"/>
      <c r="J137" s="105"/>
      <c r="K137" s="471"/>
      <c r="L137" s="438"/>
      <c r="M137" s="438"/>
      <c r="N137" s="471"/>
      <c r="O137" s="106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438"/>
      <c r="AA137" s="438"/>
      <c r="AB137" s="105"/>
      <c r="AC137" s="105"/>
      <c r="AD137" s="105"/>
      <c r="AE137" s="105" t="s">
        <v>206</v>
      </c>
      <c r="AF137" s="187" t="s">
        <v>206</v>
      </c>
      <c r="AG137" s="845">
        <v>45359</v>
      </c>
      <c r="AH137" s="845">
        <v>45359</v>
      </c>
      <c r="AI137" s="845">
        <v>45359</v>
      </c>
      <c r="AJ137" s="187" t="s">
        <v>206</v>
      </c>
      <c r="AK137" s="187"/>
      <c r="AL137" s="187"/>
      <c r="AM137" s="187"/>
      <c r="AN137" s="187"/>
      <c r="AO137" s="507"/>
      <c r="AP137" s="507"/>
      <c r="AQ137" s="507"/>
    </row>
    <row r="138" spans="1:43" ht="12.75" customHeight="1" x14ac:dyDescent="0.25">
      <c r="A138" s="103">
        <v>137</v>
      </c>
      <c r="B138" s="104">
        <v>39273</v>
      </c>
      <c r="C138" s="104" t="s">
        <v>64</v>
      </c>
      <c r="D138" s="103" t="s">
        <v>434</v>
      </c>
      <c r="E138" s="104" t="s">
        <v>203</v>
      </c>
      <c r="F138" s="103" t="s">
        <v>204</v>
      </c>
      <c r="G138" s="103" t="s">
        <v>12</v>
      </c>
      <c r="H138" s="103" t="s">
        <v>435</v>
      </c>
      <c r="I138" s="103"/>
      <c r="J138" s="105"/>
      <c r="K138" s="471"/>
      <c r="L138" s="438"/>
      <c r="M138" s="438"/>
      <c r="N138" s="471"/>
      <c r="O138" s="106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438"/>
      <c r="AA138" s="438"/>
      <c r="AB138" s="105"/>
      <c r="AC138" s="105"/>
      <c r="AD138" s="105"/>
      <c r="AE138" s="105" t="s">
        <v>206</v>
      </c>
      <c r="AF138" s="187" t="s">
        <v>206</v>
      </c>
      <c r="AG138" s="187" t="s">
        <v>436</v>
      </c>
      <c r="AH138" s="187" t="s">
        <v>436</v>
      </c>
      <c r="AI138" s="187" t="s">
        <v>436</v>
      </c>
      <c r="AJ138" s="187" t="s">
        <v>206</v>
      </c>
      <c r="AK138" s="187"/>
      <c r="AL138" s="187"/>
      <c r="AM138" s="187"/>
      <c r="AN138" s="187"/>
      <c r="AO138" s="507"/>
      <c r="AP138" s="507"/>
      <c r="AQ138" s="507"/>
    </row>
    <row r="139" spans="1:43" ht="12.75" customHeight="1" x14ac:dyDescent="0.25">
      <c r="A139" s="103">
        <v>138</v>
      </c>
      <c r="B139" s="104">
        <v>39273</v>
      </c>
      <c r="C139" s="104" t="s">
        <v>54</v>
      </c>
      <c r="D139" s="103" t="s">
        <v>437</v>
      </c>
      <c r="E139" s="104" t="s">
        <v>203</v>
      </c>
      <c r="F139" s="103" t="s">
        <v>204</v>
      </c>
      <c r="G139" s="103" t="s">
        <v>12</v>
      </c>
      <c r="H139" s="103" t="s">
        <v>435</v>
      </c>
      <c r="I139" s="103"/>
      <c r="J139" s="105"/>
      <c r="K139" s="471"/>
      <c r="L139" s="438"/>
      <c r="M139" s="438"/>
      <c r="N139" s="471"/>
      <c r="O139" s="106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438"/>
      <c r="AA139" s="438"/>
      <c r="AB139" s="105"/>
      <c r="AC139" s="105"/>
      <c r="AD139" s="105"/>
      <c r="AE139" s="105" t="s">
        <v>206</v>
      </c>
      <c r="AF139" s="187" t="s">
        <v>206</v>
      </c>
      <c r="AG139" s="187" t="s">
        <v>436</v>
      </c>
      <c r="AH139" s="187" t="s">
        <v>436</v>
      </c>
      <c r="AI139" s="187" t="s">
        <v>436</v>
      </c>
      <c r="AJ139" s="187" t="s">
        <v>206</v>
      </c>
      <c r="AK139" s="187"/>
      <c r="AL139" s="187"/>
      <c r="AM139" s="187"/>
      <c r="AN139" s="187"/>
      <c r="AO139" s="507"/>
      <c r="AP139" s="507"/>
      <c r="AQ139" s="507"/>
    </row>
    <row r="140" spans="1:43" ht="12.75" customHeight="1" x14ac:dyDescent="0.25">
      <c r="A140" s="103">
        <v>139</v>
      </c>
      <c r="B140" s="104">
        <v>39275</v>
      </c>
      <c r="C140" s="104" t="s">
        <v>64</v>
      </c>
      <c r="D140" s="103" t="s">
        <v>438</v>
      </c>
      <c r="E140" s="104" t="s">
        <v>203</v>
      </c>
      <c r="F140" s="103" t="s">
        <v>204</v>
      </c>
      <c r="G140" s="103" t="s">
        <v>12</v>
      </c>
      <c r="H140" s="103" t="s">
        <v>435</v>
      </c>
      <c r="I140" s="103"/>
      <c r="J140" s="105"/>
      <c r="K140" s="471"/>
      <c r="L140" s="438"/>
      <c r="M140" s="438"/>
      <c r="N140" s="471"/>
      <c r="O140" s="106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438"/>
      <c r="AA140" s="438"/>
      <c r="AB140" s="105"/>
      <c r="AC140" s="105"/>
      <c r="AD140" s="105"/>
      <c r="AE140" s="105" t="s">
        <v>206</v>
      </c>
      <c r="AF140" s="187" t="s">
        <v>206</v>
      </c>
      <c r="AG140" s="845">
        <v>45420</v>
      </c>
      <c r="AH140" s="845">
        <v>45420</v>
      </c>
      <c r="AI140" s="845">
        <v>45420</v>
      </c>
      <c r="AJ140" s="187" t="s">
        <v>206</v>
      </c>
      <c r="AK140" s="187"/>
      <c r="AL140" s="187"/>
      <c r="AM140" s="187" t="s">
        <v>439</v>
      </c>
      <c r="AN140" s="187"/>
      <c r="AO140" s="507"/>
      <c r="AP140" s="507"/>
      <c r="AQ140" s="507"/>
    </row>
    <row r="141" spans="1:43" ht="12.75" customHeight="1" x14ac:dyDescent="0.25">
      <c r="A141" s="103">
        <v>140</v>
      </c>
      <c r="B141" s="104">
        <v>39275</v>
      </c>
      <c r="C141" s="104" t="s">
        <v>54</v>
      </c>
      <c r="D141" s="103" t="s">
        <v>440</v>
      </c>
      <c r="E141" s="104" t="s">
        <v>203</v>
      </c>
      <c r="F141" s="103" t="s">
        <v>204</v>
      </c>
      <c r="G141" s="103" t="s">
        <v>12</v>
      </c>
      <c r="H141" s="103" t="s">
        <v>435</v>
      </c>
      <c r="I141" s="103"/>
      <c r="J141" s="105"/>
      <c r="K141" s="471"/>
      <c r="L141" s="438"/>
      <c r="M141" s="438"/>
      <c r="N141" s="471"/>
      <c r="O141" s="106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438"/>
      <c r="AA141" s="438"/>
      <c r="AB141" s="105"/>
      <c r="AC141" s="105"/>
      <c r="AD141" s="105"/>
      <c r="AE141" s="105" t="s">
        <v>206</v>
      </c>
      <c r="AF141" s="187" t="s">
        <v>206</v>
      </c>
      <c r="AG141" s="845">
        <v>45420</v>
      </c>
      <c r="AH141" s="845">
        <v>45420</v>
      </c>
      <c r="AI141" s="845">
        <v>45420</v>
      </c>
      <c r="AJ141" s="187" t="s">
        <v>206</v>
      </c>
      <c r="AK141" s="187"/>
      <c r="AL141" s="187"/>
      <c r="AM141" s="187" t="s">
        <v>439</v>
      </c>
      <c r="AN141" s="187"/>
      <c r="AO141" s="507"/>
      <c r="AP141" s="507"/>
      <c r="AQ141" s="507"/>
    </row>
    <row r="142" spans="1:43" ht="12.75" customHeight="1" x14ac:dyDescent="0.25">
      <c r="A142" s="103">
        <v>141</v>
      </c>
      <c r="B142" s="104">
        <v>39280</v>
      </c>
      <c r="C142" s="104" t="s">
        <v>64</v>
      </c>
      <c r="D142" s="103" t="s">
        <v>441</v>
      </c>
      <c r="E142" s="104" t="s">
        <v>203</v>
      </c>
      <c r="F142" s="103" t="s">
        <v>204</v>
      </c>
      <c r="G142" s="103" t="s">
        <v>12</v>
      </c>
      <c r="H142" s="103" t="s">
        <v>390</v>
      </c>
      <c r="I142" s="103"/>
      <c r="J142" s="105"/>
      <c r="K142" s="471"/>
      <c r="L142" s="438"/>
      <c r="M142" s="438"/>
      <c r="N142" s="471"/>
      <c r="O142" s="106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438"/>
      <c r="AA142" s="438"/>
      <c r="AB142" s="105"/>
      <c r="AC142" s="105"/>
      <c r="AD142" s="105"/>
      <c r="AE142" s="105" t="s">
        <v>206</v>
      </c>
      <c r="AF142" s="187" t="s">
        <v>206</v>
      </c>
      <c r="AG142" s="845">
        <v>45357</v>
      </c>
      <c r="AH142" s="845">
        <v>45357</v>
      </c>
      <c r="AI142" s="187" t="s">
        <v>265</v>
      </c>
      <c r="AJ142" s="187" t="s">
        <v>206</v>
      </c>
      <c r="AK142" s="187"/>
      <c r="AL142" s="187"/>
      <c r="AM142" s="187"/>
      <c r="AN142" s="187"/>
      <c r="AO142" s="507"/>
      <c r="AP142" s="507"/>
      <c r="AQ142" s="507"/>
    </row>
    <row r="143" spans="1:43" ht="12.75" customHeight="1" x14ac:dyDescent="0.25">
      <c r="A143" s="103">
        <v>142</v>
      </c>
      <c r="B143" s="104">
        <v>39280</v>
      </c>
      <c r="C143" s="104" t="s">
        <v>54</v>
      </c>
      <c r="D143" s="103" t="s">
        <v>442</v>
      </c>
      <c r="E143" s="104" t="s">
        <v>203</v>
      </c>
      <c r="F143" s="103" t="s">
        <v>204</v>
      </c>
      <c r="G143" s="103" t="s">
        <v>12</v>
      </c>
      <c r="H143" s="103" t="s">
        <v>390</v>
      </c>
      <c r="I143" s="103"/>
      <c r="J143" s="105"/>
      <c r="K143" s="471"/>
      <c r="L143" s="438"/>
      <c r="M143" s="438"/>
      <c r="N143" s="471"/>
      <c r="O143" s="106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438"/>
      <c r="AA143" s="438"/>
      <c r="AB143" s="105"/>
      <c r="AC143" s="105"/>
      <c r="AD143" s="105"/>
      <c r="AE143" s="105" t="s">
        <v>206</v>
      </c>
      <c r="AF143" s="187" t="s">
        <v>206</v>
      </c>
      <c r="AG143" s="845">
        <v>45357</v>
      </c>
      <c r="AH143" s="845">
        <v>45357</v>
      </c>
      <c r="AI143" s="187" t="s">
        <v>265</v>
      </c>
      <c r="AJ143" s="187" t="s">
        <v>206</v>
      </c>
      <c r="AK143" s="187"/>
      <c r="AL143" s="187"/>
      <c r="AM143" s="187"/>
      <c r="AN143" s="187"/>
      <c r="AO143" s="507"/>
      <c r="AP143" s="507"/>
      <c r="AQ143" s="507"/>
    </row>
    <row r="144" spans="1:43" ht="13.2" x14ac:dyDescent="0.25">
      <c r="A144" s="103">
        <v>143</v>
      </c>
      <c r="B144" s="104">
        <v>39295</v>
      </c>
      <c r="C144" s="104" t="s">
        <v>64</v>
      </c>
      <c r="D144" s="103" t="s">
        <v>443</v>
      </c>
      <c r="E144" s="104" t="s">
        <v>203</v>
      </c>
      <c r="F144" s="103" t="s">
        <v>204</v>
      </c>
      <c r="G144" s="103" t="s">
        <v>12</v>
      </c>
      <c r="H144" s="103" t="s">
        <v>444</v>
      </c>
      <c r="I144" s="103"/>
      <c r="J144" s="105"/>
      <c r="K144" s="471"/>
      <c r="L144" s="438"/>
      <c r="M144" s="438"/>
      <c r="N144" s="471"/>
      <c r="O144" s="106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438"/>
      <c r="AA144" s="438"/>
      <c r="AB144" s="105"/>
      <c r="AC144" s="105"/>
      <c r="AD144" s="105"/>
      <c r="AE144" s="105" t="s">
        <v>206</v>
      </c>
      <c r="AF144" s="187" t="s">
        <v>206</v>
      </c>
      <c r="AG144" s="187" t="s">
        <v>237</v>
      </c>
      <c r="AH144" s="187" t="s">
        <v>237</v>
      </c>
      <c r="AI144" s="187" t="s">
        <v>237</v>
      </c>
      <c r="AJ144" s="187" t="s">
        <v>206</v>
      </c>
      <c r="AK144" s="187"/>
      <c r="AL144" s="187"/>
      <c r="AM144" s="187"/>
      <c r="AN144" s="187"/>
      <c r="AO144" s="507"/>
      <c r="AP144" s="507"/>
      <c r="AQ144" s="507"/>
    </row>
    <row r="145" spans="1:43" ht="12.75" customHeight="1" x14ac:dyDescent="0.25">
      <c r="A145" s="103">
        <v>144</v>
      </c>
      <c r="B145" s="104">
        <v>39295</v>
      </c>
      <c r="C145" s="104" t="s">
        <v>54</v>
      </c>
      <c r="D145" s="103" t="s">
        <v>445</v>
      </c>
      <c r="E145" s="104" t="s">
        <v>203</v>
      </c>
      <c r="F145" s="103" t="s">
        <v>204</v>
      </c>
      <c r="G145" s="103" t="s">
        <v>12</v>
      </c>
      <c r="H145" s="103" t="s">
        <v>444</v>
      </c>
      <c r="I145" s="103"/>
      <c r="J145" s="105"/>
      <c r="K145" s="471"/>
      <c r="L145" s="438"/>
      <c r="M145" s="438"/>
      <c r="N145" s="471"/>
      <c r="O145" s="106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438"/>
      <c r="AA145" s="438"/>
      <c r="AB145" s="105"/>
      <c r="AC145" s="105"/>
      <c r="AD145" s="105"/>
      <c r="AE145" s="105" t="s">
        <v>206</v>
      </c>
      <c r="AF145" s="187" t="s">
        <v>206</v>
      </c>
      <c r="AG145" s="187" t="s">
        <v>237</v>
      </c>
      <c r="AH145" s="187" t="s">
        <v>237</v>
      </c>
      <c r="AI145" s="187" t="s">
        <v>237</v>
      </c>
      <c r="AJ145" s="187" t="s">
        <v>206</v>
      </c>
      <c r="AK145" s="187"/>
      <c r="AL145" s="187"/>
      <c r="AM145" s="187"/>
      <c r="AN145" s="187"/>
      <c r="AO145" s="507"/>
      <c r="AP145" s="507"/>
      <c r="AQ145" s="507"/>
    </row>
    <row r="146" spans="1:43" ht="12.75" customHeight="1" x14ac:dyDescent="0.25">
      <c r="A146" s="103">
        <v>145</v>
      </c>
      <c r="B146" s="104">
        <v>39292</v>
      </c>
      <c r="C146" s="104" t="s">
        <v>64</v>
      </c>
      <c r="D146" s="103" t="s">
        <v>446</v>
      </c>
      <c r="E146" s="104" t="s">
        <v>203</v>
      </c>
      <c r="F146" s="103" t="s">
        <v>204</v>
      </c>
      <c r="G146" s="103" t="s">
        <v>12</v>
      </c>
      <c r="H146" s="103" t="s">
        <v>444</v>
      </c>
      <c r="I146" s="103"/>
      <c r="J146" s="105"/>
      <c r="K146" s="471"/>
      <c r="L146" s="438"/>
      <c r="M146" s="438"/>
      <c r="N146" s="471"/>
      <c r="O146" s="106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438"/>
      <c r="AA146" s="438"/>
      <c r="AB146" s="105"/>
      <c r="AC146" s="105"/>
      <c r="AD146" s="105"/>
      <c r="AE146" s="105" t="s">
        <v>206</v>
      </c>
      <c r="AF146" s="187" t="s">
        <v>206</v>
      </c>
      <c r="AG146" s="187" t="s">
        <v>218</v>
      </c>
      <c r="AH146" s="187" t="s">
        <v>218</v>
      </c>
      <c r="AI146" s="187" t="s">
        <v>218</v>
      </c>
      <c r="AJ146" s="187" t="s">
        <v>206</v>
      </c>
      <c r="AK146" s="187"/>
      <c r="AL146" s="187"/>
      <c r="AM146" s="187"/>
      <c r="AN146" s="187"/>
      <c r="AO146" s="507"/>
      <c r="AP146" s="507"/>
      <c r="AQ146" s="507"/>
    </row>
    <row r="147" spans="1:43" ht="12.75" customHeight="1" x14ac:dyDescent="0.25">
      <c r="A147" s="103">
        <v>146</v>
      </c>
      <c r="B147" s="104">
        <v>39292</v>
      </c>
      <c r="C147" s="104" t="s">
        <v>54</v>
      </c>
      <c r="D147" s="103" t="s">
        <v>447</v>
      </c>
      <c r="E147" s="104" t="s">
        <v>203</v>
      </c>
      <c r="F147" s="103" t="s">
        <v>204</v>
      </c>
      <c r="G147" s="103" t="s">
        <v>12</v>
      </c>
      <c r="H147" s="103" t="s">
        <v>444</v>
      </c>
      <c r="I147" s="103"/>
      <c r="J147" s="105"/>
      <c r="K147" s="471"/>
      <c r="L147" s="438"/>
      <c r="M147" s="438"/>
      <c r="N147" s="471"/>
      <c r="O147" s="106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438"/>
      <c r="AA147" s="438"/>
      <c r="AB147" s="105"/>
      <c r="AC147" s="105"/>
      <c r="AD147" s="105"/>
      <c r="AE147" s="105" t="s">
        <v>206</v>
      </c>
      <c r="AF147" s="187" t="s">
        <v>206</v>
      </c>
      <c r="AG147" s="187" t="s">
        <v>218</v>
      </c>
      <c r="AH147" s="187" t="s">
        <v>218</v>
      </c>
      <c r="AI147" s="187" t="s">
        <v>218</v>
      </c>
      <c r="AJ147" s="187" t="s">
        <v>206</v>
      </c>
      <c r="AK147" s="187"/>
      <c r="AL147" s="187"/>
      <c r="AM147" s="187"/>
      <c r="AN147" s="187"/>
      <c r="AO147" s="507"/>
      <c r="AP147" s="507"/>
      <c r="AQ147" s="507"/>
    </row>
    <row r="148" spans="1:43" ht="12.75" customHeight="1" x14ac:dyDescent="0.25">
      <c r="A148" s="103">
        <v>147</v>
      </c>
      <c r="B148" s="104">
        <v>37626</v>
      </c>
      <c r="C148" s="104" t="s">
        <v>64</v>
      </c>
      <c r="D148" s="103" t="s">
        <v>448</v>
      </c>
      <c r="E148" s="104" t="s">
        <v>203</v>
      </c>
      <c r="F148" s="103" t="s">
        <v>204</v>
      </c>
      <c r="G148" s="103" t="s">
        <v>12</v>
      </c>
      <c r="H148" s="103" t="s">
        <v>444</v>
      </c>
      <c r="I148" s="103"/>
      <c r="J148" s="105"/>
      <c r="K148" s="471"/>
      <c r="L148" s="438"/>
      <c r="M148" s="438"/>
      <c r="N148" s="471"/>
      <c r="O148" s="106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438"/>
      <c r="AA148" s="438"/>
      <c r="AB148" s="105"/>
      <c r="AC148" s="105"/>
      <c r="AD148" s="105"/>
      <c r="AE148" s="105" t="s">
        <v>206</v>
      </c>
      <c r="AF148" s="187" t="s">
        <v>206</v>
      </c>
      <c r="AG148" s="187" t="s">
        <v>254</v>
      </c>
      <c r="AH148" s="187" t="s">
        <v>254</v>
      </c>
      <c r="AI148" s="187" t="s">
        <v>302</v>
      </c>
      <c r="AJ148" s="187" t="s">
        <v>206</v>
      </c>
      <c r="AK148" s="187"/>
      <c r="AL148" s="187"/>
      <c r="AM148" s="187"/>
      <c r="AN148" s="187"/>
      <c r="AO148" s="507"/>
      <c r="AP148" s="507"/>
      <c r="AQ148" s="507"/>
    </row>
    <row r="149" spans="1:43" ht="12.75" customHeight="1" x14ac:dyDescent="0.25">
      <c r="A149" s="103">
        <v>148</v>
      </c>
      <c r="B149" s="104">
        <v>37626</v>
      </c>
      <c r="C149" s="104" t="s">
        <v>54</v>
      </c>
      <c r="D149" s="103" t="s">
        <v>449</v>
      </c>
      <c r="E149" s="104" t="s">
        <v>203</v>
      </c>
      <c r="F149" s="103" t="s">
        <v>204</v>
      </c>
      <c r="G149" s="103" t="s">
        <v>12</v>
      </c>
      <c r="H149" s="103" t="s">
        <v>444</v>
      </c>
      <c r="I149" s="103"/>
      <c r="J149" s="105"/>
      <c r="K149" s="471"/>
      <c r="L149" s="438"/>
      <c r="M149" s="438"/>
      <c r="N149" s="471"/>
      <c r="O149" s="106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438"/>
      <c r="AA149" s="438"/>
      <c r="AB149" s="105"/>
      <c r="AC149" s="105"/>
      <c r="AD149" s="105"/>
      <c r="AE149" s="105" t="s">
        <v>206</v>
      </c>
      <c r="AF149" s="187" t="s">
        <v>206</v>
      </c>
      <c r="AG149" s="187" t="s">
        <v>254</v>
      </c>
      <c r="AH149" s="187" t="s">
        <v>254</v>
      </c>
      <c r="AI149" s="187" t="s">
        <v>302</v>
      </c>
      <c r="AJ149" s="187" t="s">
        <v>206</v>
      </c>
      <c r="AK149" s="187"/>
      <c r="AL149" s="187"/>
      <c r="AM149" s="187"/>
      <c r="AN149" s="187"/>
      <c r="AO149" s="507"/>
      <c r="AP149" s="507"/>
      <c r="AQ149" s="507"/>
    </row>
    <row r="150" spans="1:43" ht="12.75" customHeight="1" x14ac:dyDescent="0.25">
      <c r="A150" s="103">
        <v>149</v>
      </c>
      <c r="B150" s="104">
        <v>39302</v>
      </c>
      <c r="C150" s="104" t="s">
        <v>64</v>
      </c>
      <c r="D150" s="103" t="s">
        <v>450</v>
      </c>
      <c r="E150" s="104" t="s">
        <v>203</v>
      </c>
      <c r="F150" s="103" t="s">
        <v>204</v>
      </c>
      <c r="G150" s="103" t="s">
        <v>12</v>
      </c>
      <c r="H150" s="103" t="s">
        <v>444</v>
      </c>
      <c r="I150" s="103"/>
      <c r="J150" s="105"/>
      <c r="K150" s="471"/>
      <c r="L150" s="438"/>
      <c r="M150" s="438"/>
      <c r="N150" s="471"/>
      <c r="O150" s="106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438"/>
      <c r="AA150" s="438"/>
      <c r="AB150" s="105"/>
      <c r="AC150" s="105"/>
      <c r="AD150" s="105"/>
      <c r="AE150" s="105" t="s">
        <v>206</v>
      </c>
      <c r="AF150" s="187" t="s">
        <v>206</v>
      </c>
      <c r="AG150" s="845">
        <v>45634</v>
      </c>
      <c r="AH150" s="845">
        <v>45634</v>
      </c>
      <c r="AI150" s="845">
        <v>45634</v>
      </c>
      <c r="AJ150" s="187" t="s">
        <v>206</v>
      </c>
      <c r="AK150" s="187"/>
      <c r="AL150" s="187"/>
      <c r="AM150" s="187"/>
      <c r="AN150" s="187"/>
      <c r="AO150" s="507"/>
      <c r="AP150" s="507"/>
      <c r="AQ150" s="507"/>
    </row>
    <row r="151" spans="1:43" ht="12.75" customHeight="1" x14ac:dyDescent="0.25">
      <c r="A151" s="103">
        <v>150</v>
      </c>
      <c r="B151" s="104">
        <v>39302</v>
      </c>
      <c r="C151" s="104" t="s">
        <v>54</v>
      </c>
      <c r="D151" s="103" t="s">
        <v>451</v>
      </c>
      <c r="E151" s="104" t="s">
        <v>203</v>
      </c>
      <c r="F151" s="103" t="s">
        <v>204</v>
      </c>
      <c r="G151" s="103" t="s">
        <v>12</v>
      </c>
      <c r="H151" s="103" t="s">
        <v>444</v>
      </c>
      <c r="I151" s="103"/>
      <c r="J151" s="105"/>
      <c r="K151" s="471"/>
      <c r="L151" s="438"/>
      <c r="M151" s="438"/>
      <c r="N151" s="471"/>
      <c r="O151" s="106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438"/>
      <c r="AA151" s="438"/>
      <c r="AB151" s="105"/>
      <c r="AC151" s="105"/>
      <c r="AD151" s="105"/>
      <c r="AE151" s="105" t="s">
        <v>206</v>
      </c>
      <c r="AF151" s="187" t="s">
        <v>206</v>
      </c>
      <c r="AG151" s="845">
        <v>45634</v>
      </c>
      <c r="AH151" s="845">
        <v>45634</v>
      </c>
      <c r="AI151" s="845">
        <v>45634</v>
      </c>
      <c r="AJ151" s="187" t="s">
        <v>206</v>
      </c>
      <c r="AK151" s="187"/>
      <c r="AL151" s="187"/>
      <c r="AM151" s="187"/>
      <c r="AN151" s="187"/>
      <c r="AO151" s="507"/>
      <c r="AP151" s="507"/>
      <c r="AQ151" s="507"/>
    </row>
    <row r="152" spans="1:43" ht="12.75" customHeight="1" x14ac:dyDescent="0.25">
      <c r="A152" s="103">
        <v>151</v>
      </c>
      <c r="B152" s="104">
        <v>39299</v>
      </c>
      <c r="C152" s="104" t="s">
        <v>64</v>
      </c>
      <c r="D152" s="103" t="s">
        <v>452</v>
      </c>
      <c r="E152" s="104" t="s">
        <v>203</v>
      </c>
      <c r="F152" s="103" t="s">
        <v>204</v>
      </c>
      <c r="G152" s="103" t="s">
        <v>12</v>
      </c>
      <c r="H152" s="103" t="s">
        <v>444</v>
      </c>
      <c r="I152" s="103"/>
      <c r="J152" s="105"/>
      <c r="K152" s="471"/>
      <c r="L152" s="438"/>
      <c r="M152" s="438"/>
      <c r="N152" s="471"/>
      <c r="O152" s="106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438"/>
      <c r="AA152" s="438"/>
      <c r="AB152" s="105"/>
      <c r="AC152" s="105"/>
      <c r="AD152" s="105"/>
      <c r="AE152" s="105" t="s">
        <v>206</v>
      </c>
      <c r="AF152" s="187" t="s">
        <v>206</v>
      </c>
      <c r="AG152" s="187" t="s">
        <v>255</v>
      </c>
      <c r="AH152" s="845">
        <v>45388</v>
      </c>
      <c r="AI152" s="187" t="s">
        <v>255</v>
      </c>
      <c r="AJ152" s="187" t="s">
        <v>206</v>
      </c>
      <c r="AK152" s="187"/>
      <c r="AL152" s="187"/>
      <c r="AM152" s="187"/>
      <c r="AN152" s="187"/>
      <c r="AO152" s="507"/>
      <c r="AP152" s="507"/>
      <c r="AQ152" s="507"/>
    </row>
    <row r="153" spans="1:43" ht="12.75" customHeight="1" x14ac:dyDescent="0.25">
      <c r="A153" s="103">
        <v>152</v>
      </c>
      <c r="B153" s="104">
        <v>39299</v>
      </c>
      <c r="C153" s="104" t="s">
        <v>54</v>
      </c>
      <c r="D153" s="103" t="s">
        <v>453</v>
      </c>
      <c r="E153" s="104" t="s">
        <v>203</v>
      </c>
      <c r="F153" s="103" t="s">
        <v>204</v>
      </c>
      <c r="G153" s="103" t="s">
        <v>12</v>
      </c>
      <c r="H153" s="103" t="s">
        <v>444</v>
      </c>
      <c r="I153" s="103"/>
      <c r="J153" s="105"/>
      <c r="K153" s="471"/>
      <c r="L153" s="438"/>
      <c r="M153" s="438"/>
      <c r="N153" s="471"/>
      <c r="O153" s="106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438"/>
      <c r="AA153" s="438"/>
      <c r="AB153" s="105"/>
      <c r="AC153" s="105"/>
      <c r="AD153" s="105"/>
      <c r="AE153" s="105" t="s">
        <v>206</v>
      </c>
      <c r="AF153" s="187" t="s">
        <v>206</v>
      </c>
      <c r="AG153" s="187" t="s">
        <v>255</v>
      </c>
      <c r="AH153" s="845">
        <v>45388</v>
      </c>
      <c r="AI153" s="187" t="s">
        <v>255</v>
      </c>
      <c r="AJ153" s="187" t="s">
        <v>206</v>
      </c>
      <c r="AK153" s="187"/>
      <c r="AL153" s="187"/>
      <c r="AM153" s="187"/>
      <c r="AN153" s="187"/>
      <c r="AO153" s="507"/>
      <c r="AP153" s="507"/>
      <c r="AQ153" s="507"/>
    </row>
    <row r="154" spans="1:43" ht="12.75" customHeight="1" x14ac:dyDescent="0.25">
      <c r="A154" s="103">
        <v>153</v>
      </c>
      <c r="B154" s="104">
        <v>39271</v>
      </c>
      <c r="C154" s="104" t="s">
        <v>64</v>
      </c>
      <c r="D154" s="103" t="s">
        <v>454</v>
      </c>
      <c r="E154" s="104" t="s">
        <v>203</v>
      </c>
      <c r="F154" s="103" t="s">
        <v>204</v>
      </c>
      <c r="G154" s="103" t="s">
        <v>12</v>
      </c>
      <c r="H154" s="103" t="s">
        <v>455</v>
      </c>
      <c r="I154" s="103"/>
      <c r="J154" s="105"/>
      <c r="K154" s="471"/>
      <c r="L154" s="438"/>
      <c r="M154" s="438"/>
      <c r="N154" s="471"/>
      <c r="O154" s="106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438"/>
      <c r="AA154" s="438"/>
      <c r="AB154" s="105"/>
      <c r="AC154" s="105"/>
      <c r="AD154" s="105"/>
      <c r="AE154" s="105" t="s">
        <v>206</v>
      </c>
      <c r="AF154" s="187" t="s">
        <v>206</v>
      </c>
      <c r="AG154" s="845">
        <v>45389</v>
      </c>
      <c r="AH154" s="845">
        <v>45389</v>
      </c>
      <c r="AI154" s="845">
        <v>45389</v>
      </c>
      <c r="AJ154" s="187" t="s">
        <v>206</v>
      </c>
      <c r="AK154" s="187"/>
      <c r="AL154" s="187"/>
      <c r="AM154" s="187" t="s">
        <v>426</v>
      </c>
      <c r="AN154" s="187"/>
      <c r="AO154" s="507"/>
      <c r="AP154" s="507"/>
      <c r="AQ154" s="507"/>
    </row>
    <row r="155" spans="1:43" ht="12.75" customHeight="1" x14ac:dyDescent="0.25">
      <c r="A155" s="103">
        <v>154</v>
      </c>
      <c r="B155" s="104">
        <v>39271</v>
      </c>
      <c r="C155" s="104" t="s">
        <v>54</v>
      </c>
      <c r="D155" s="103" t="s">
        <v>456</v>
      </c>
      <c r="E155" s="104" t="s">
        <v>203</v>
      </c>
      <c r="F155" s="103" t="s">
        <v>204</v>
      </c>
      <c r="G155" s="103" t="s">
        <v>12</v>
      </c>
      <c r="H155" s="103" t="s">
        <v>455</v>
      </c>
      <c r="I155" s="103"/>
      <c r="J155" s="105"/>
      <c r="K155" s="471"/>
      <c r="L155" s="438"/>
      <c r="M155" s="438"/>
      <c r="N155" s="471"/>
      <c r="O155" s="106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438"/>
      <c r="AA155" s="438"/>
      <c r="AB155" s="105"/>
      <c r="AC155" s="105"/>
      <c r="AD155" s="105"/>
      <c r="AE155" s="105" t="s">
        <v>206</v>
      </c>
      <c r="AF155" s="187" t="s">
        <v>206</v>
      </c>
      <c r="AG155" s="845">
        <v>45389</v>
      </c>
      <c r="AH155" s="845">
        <v>45389</v>
      </c>
      <c r="AI155" s="845">
        <v>45389</v>
      </c>
      <c r="AJ155" s="187" t="s">
        <v>206</v>
      </c>
      <c r="AK155" s="187"/>
      <c r="AL155" s="187"/>
      <c r="AM155" s="187" t="s">
        <v>426</v>
      </c>
      <c r="AN155" s="187"/>
      <c r="AO155" s="507"/>
      <c r="AP155" s="507"/>
      <c r="AQ155" s="507"/>
    </row>
    <row r="156" spans="1:43" ht="12.75" customHeight="1" x14ac:dyDescent="0.25">
      <c r="A156" s="103">
        <v>155</v>
      </c>
      <c r="B156" s="104">
        <v>39317</v>
      </c>
      <c r="C156" s="104" t="s">
        <v>64</v>
      </c>
      <c r="D156" s="103" t="s">
        <v>457</v>
      </c>
      <c r="E156" s="104" t="s">
        <v>203</v>
      </c>
      <c r="F156" s="103" t="s">
        <v>204</v>
      </c>
      <c r="G156" s="103" t="s">
        <v>12</v>
      </c>
      <c r="H156" s="103" t="s">
        <v>455</v>
      </c>
      <c r="I156" s="103"/>
      <c r="J156" s="105"/>
      <c r="K156" s="471"/>
      <c r="L156" s="438"/>
      <c r="M156" s="438"/>
      <c r="N156" s="471"/>
      <c r="O156" s="106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438"/>
      <c r="AA156" s="438"/>
      <c r="AB156" s="105"/>
      <c r="AC156" s="105"/>
      <c r="AD156" s="105"/>
      <c r="AE156" s="105" t="s">
        <v>206</v>
      </c>
      <c r="AF156" s="187" t="s">
        <v>206</v>
      </c>
      <c r="AG156" s="845">
        <v>45388</v>
      </c>
      <c r="AH156" s="845">
        <v>45388</v>
      </c>
      <c r="AI156" s="187" t="s">
        <v>268</v>
      </c>
      <c r="AJ156" s="187" t="s">
        <v>206</v>
      </c>
      <c r="AK156" s="187"/>
      <c r="AL156" s="187"/>
      <c r="AM156" s="187" t="s">
        <v>458</v>
      </c>
      <c r="AN156" s="187"/>
      <c r="AO156" s="507"/>
      <c r="AP156" s="507"/>
      <c r="AQ156" s="507"/>
    </row>
    <row r="157" spans="1:43" ht="12.75" customHeight="1" x14ac:dyDescent="0.25">
      <c r="A157" s="103">
        <v>156</v>
      </c>
      <c r="B157" s="104">
        <v>39317</v>
      </c>
      <c r="C157" s="104" t="s">
        <v>54</v>
      </c>
      <c r="D157" s="103" t="s">
        <v>459</v>
      </c>
      <c r="E157" s="104" t="s">
        <v>203</v>
      </c>
      <c r="F157" s="103" t="s">
        <v>204</v>
      </c>
      <c r="G157" s="103" t="s">
        <v>12</v>
      </c>
      <c r="H157" s="103" t="s">
        <v>455</v>
      </c>
      <c r="I157" s="103"/>
      <c r="J157" s="105"/>
      <c r="K157" s="471"/>
      <c r="L157" s="438"/>
      <c r="M157" s="438"/>
      <c r="N157" s="471"/>
      <c r="O157" s="106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438"/>
      <c r="AA157" s="438"/>
      <c r="AB157" s="105"/>
      <c r="AC157" s="105"/>
      <c r="AD157" s="105"/>
      <c r="AE157" s="105" t="s">
        <v>206</v>
      </c>
      <c r="AF157" s="187" t="s">
        <v>206</v>
      </c>
      <c r="AG157" s="845">
        <v>45388</v>
      </c>
      <c r="AH157" s="845">
        <v>45388</v>
      </c>
      <c r="AI157" s="187" t="s">
        <v>268</v>
      </c>
      <c r="AJ157" s="187" t="s">
        <v>206</v>
      </c>
      <c r="AK157" s="187"/>
      <c r="AL157" s="187"/>
      <c r="AM157" s="187" t="s">
        <v>458</v>
      </c>
      <c r="AN157" s="187"/>
      <c r="AO157" s="507"/>
      <c r="AP157" s="507"/>
      <c r="AQ157" s="507"/>
    </row>
    <row r="158" spans="1:43" ht="12.75" customHeight="1" x14ac:dyDescent="0.25">
      <c r="A158" s="103">
        <v>157</v>
      </c>
      <c r="B158" s="104">
        <v>39322</v>
      </c>
      <c r="C158" s="104" t="s">
        <v>64</v>
      </c>
      <c r="D158" s="103" t="s">
        <v>460</v>
      </c>
      <c r="E158" s="104" t="s">
        <v>203</v>
      </c>
      <c r="F158" s="103" t="s">
        <v>204</v>
      </c>
      <c r="G158" s="103" t="s">
        <v>12</v>
      </c>
      <c r="H158" s="103" t="s">
        <v>455</v>
      </c>
      <c r="I158" s="103"/>
      <c r="J158" s="105"/>
      <c r="K158" s="471"/>
      <c r="L158" s="438"/>
      <c r="M158" s="438"/>
      <c r="N158" s="471"/>
      <c r="O158" s="106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438"/>
      <c r="AA158" s="438"/>
      <c r="AB158" s="105"/>
      <c r="AC158" s="105"/>
      <c r="AD158" s="105"/>
      <c r="AE158" s="105" t="s">
        <v>206</v>
      </c>
      <c r="AF158" s="187" t="s">
        <v>206</v>
      </c>
      <c r="AG158" s="187" t="s">
        <v>277</v>
      </c>
      <c r="AH158" s="187" t="s">
        <v>277</v>
      </c>
      <c r="AI158" s="187" t="s">
        <v>277</v>
      </c>
      <c r="AJ158" s="187" t="s">
        <v>206</v>
      </c>
      <c r="AK158" s="187"/>
      <c r="AL158" s="187"/>
      <c r="AM158" s="187" t="s">
        <v>439</v>
      </c>
      <c r="AN158" s="187"/>
      <c r="AO158" s="507"/>
      <c r="AP158" s="507"/>
      <c r="AQ158" s="507"/>
    </row>
    <row r="159" spans="1:43" ht="12.75" customHeight="1" x14ac:dyDescent="0.25">
      <c r="A159" s="103">
        <v>158</v>
      </c>
      <c r="B159" s="104">
        <v>39322</v>
      </c>
      <c r="C159" s="104" t="s">
        <v>54</v>
      </c>
      <c r="D159" s="103" t="s">
        <v>461</v>
      </c>
      <c r="E159" s="104" t="s">
        <v>203</v>
      </c>
      <c r="F159" s="103" t="s">
        <v>204</v>
      </c>
      <c r="G159" s="103" t="s">
        <v>12</v>
      </c>
      <c r="H159" s="103" t="s">
        <v>455</v>
      </c>
      <c r="I159" s="103"/>
      <c r="J159" s="105"/>
      <c r="K159" s="471"/>
      <c r="L159" s="438"/>
      <c r="M159" s="438"/>
      <c r="N159" s="471"/>
      <c r="O159" s="106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438"/>
      <c r="AA159" s="438"/>
      <c r="AB159" s="105"/>
      <c r="AC159" s="105"/>
      <c r="AD159" s="105"/>
      <c r="AE159" s="105" t="s">
        <v>206</v>
      </c>
      <c r="AF159" s="187" t="s">
        <v>206</v>
      </c>
      <c r="AG159" s="187" t="s">
        <v>277</v>
      </c>
      <c r="AH159" s="187" t="s">
        <v>277</v>
      </c>
      <c r="AI159" s="187" t="s">
        <v>277</v>
      </c>
      <c r="AJ159" s="187" t="s">
        <v>206</v>
      </c>
      <c r="AK159" s="187"/>
      <c r="AL159" s="187"/>
      <c r="AM159" s="187" t="s">
        <v>439</v>
      </c>
      <c r="AN159" s="187"/>
      <c r="AO159" s="507"/>
      <c r="AP159" s="507"/>
      <c r="AQ159" s="507"/>
    </row>
    <row r="160" spans="1:43" ht="12.75" customHeight="1" x14ac:dyDescent="0.25">
      <c r="A160" s="103">
        <v>159</v>
      </c>
      <c r="B160" s="104">
        <v>39325</v>
      </c>
      <c r="C160" s="104" t="s">
        <v>64</v>
      </c>
      <c r="D160" s="103" t="s">
        <v>462</v>
      </c>
      <c r="E160" s="104" t="s">
        <v>203</v>
      </c>
      <c r="F160" s="103" t="s">
        <v>204</v>
      </c>
      <c r="G160" s="103" t="s">
        <v>12</v>
      </c>
      <c r="H160" s="103" t="s">
        <v>394</v>
      </c>
      <c r="I160" s="103"/>
      <c r="J160" s="105"/>
      <c r="K160" s="471"/>
      <c r="L160" s="438"/>
      <c r="M160" s="438"/>
      <c r="N160" s="471"/>
      <c r="O160" s="106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438"/>
      <c r="AA160" s="438"/>
      <c r="AB160" s="105"/>
      <c r="AC160" s="105"/>
      <c r="AD160" s="105"/>
      <c r="AE160" s="105" t="s">
        <v>206</v>
      </c>
      <c r="AF160" s="187" t="s">
        <v>206</v>
      </c>
      <c r="AG160" s="187" t="s">
        <v>463</v>
      </c>
      <c r="AH160" s="187" t="s">
        <v>463</v>
      </c>
      <c r="AI160" s="187" t="s">
        <v>463</v>
      </c>
      <c r="AJ160" s="187" t="s">
        <v>206</v>
      </c>
      <c r="AK160" s="187"/>
      <c r="AL160" s="187"/>
      <c r="AM160" s="187"/>
      <c r="AN160" s="187"/>
      <c r="AO160" s="507"/>
      <c r="AP160" s="507"/>
      <c r="AQ160" s="507"/>
    </row>
    <row r="161" spans="1:43" ht="12.75" customHeight="1" x14ac:dyDescent="0.25">
      <c r="A161" s="103">
        <v>160</v>
      </c>
      <c r="B161" s="104">
        <v>39325</v>
      </c>
      <c r="C161" s="104" t="s">
        <v>54</v>
      </c>
      <c r="D161" s="103" t="s">
        <v>464</v>
      </c>
      <c r="E161" s="104" t="s">
        <v>203</v>
      </c>
      <c r="F161" s="103" t="s">
        <v>204</v>
      </c>
      <c r="G161" s="103" t="s">
        <v>12</v>
      </c>
      <c r="H161" s="103" t="s">
        <v>394</v>
      </c>
      <c r="I161" s="103"/>
      <c r="J161" s="105"/>
      <c r="K161" s="471"/>
      <c r="L161" s="438"/>
      <c r="M161" s="438"/>
      <c r="N161" s="471"/>
      <c r="O161" s="106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438"/>
      <c r="AA161" s="438"/>
      <c r="AB161" s="105"/>
      <c r="AC161" s="105"/>
      <c r="AD161" s="105"/>
      <c r="AE161" s="105" t="s">
        <v>206</v>
      </c>
      <c r="AF161" s="187" t="s">
        <v>206</v>
      </c>
      <c r="AG161" s="187" t="s">
        <v>463</v>
      </c>
      <c r="AH161" s="187" t="s">
        <v>463</v>
      </c>
      <c r="AI161" s="187" t="s">
        <v>463</v>
      </c>
      <c r="AJ161" s="187" t="s">
        <v>206</v>
      </c>
      <c r="AK161" s="187"/>
      <c r="AL161" s="187"/>
      <c r="AM161" s="187"/>
      <c r="AN161" s="187"/>
      <c r="AO161" s="507"/>
      <c r="AP161" s="507"/>
      <c r="AQ161" s="507"/>
    </row>
    <row r="162" spans="1:43" ht="12.75" customHeight="1" x14ac:dyDescent="0.25">
      <c r="A162" s="103">
        <v>161</v>
      </c>
      <c r="B162" s="104">
        <v>39337</v>
      </c>
      <c r="C162" s="104" t="s">
        <v>64</v>
      </c>
      <c r="D162" s="103" t="s">
        <v>465</v>
      </c>
      <c r="E162" s="104" t="s">
        <v>203</v>
      </c>
      <c r="F162" s="103" t="s">
        <v>204</v>
      </c>
      <c r="G162" s="103" t="s">
        <v>12</v>
      </c>
      <c r="H162" s="851">
        <v>45569</v>
      </c>
      <c r="I162" s="103"/>
      <c r="J162" s="105"/>
      <c r="K162" s="471"/>
      <c r="L162" s="438"/>
      <c r="M162" s="438"/>
      <c r="N162" s="471"/>
      <c r="O162" s="106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438"/>
      <c r="AA162" s="438"/>
      <c r="AB162" s="105"/>
      <c r="AC162" s="105"/>
      <c r="AD162" s="105"/>
      <c r="AE162" s="105" t="s">
        <v>206</v>
      </c>
      <c r="AF162" s="187" t="s">
        <v>206</v>
      </c>
      <c r="AG162" s="187" t="s">
        <v>214</v>
      </c>
      <c r="AH162" s="187" t="s">
        <v>214</v>
      </c>
      <c r="AI162" s="187" t="s">
        <v>463</v>
      </c>
      <c r="AJ162" s="187" t="s">
        <v>206</v>
      </c>
      <c r="AK162" s="187"/>
      <c r="AL162" s="187"/>
      <c r="AM162" s="187"/>
      <c r="AN162" s="187"/>
      <c r="AO162" s="507"/>
      <c r="AP162" s="507"/>
      <c r="AQ162" s="507"/>
    </row>
    <row r="163" spans="1:43" ht="12.75" customHeight="1" x14ac:dyDescent="0.25">
      <c r="A163" s="103">
        <v>162</v>
      </c>
      <c r="B163" s="104">
        <v>39337</v>
      </c>
      <c r="C163" s="104" t="s">
        <v>54</v>
      </c>
      <c r="D163" s="103" t="s">
        <v>466</v>
      </c>
      <c r="E163" s="104" t="s">
        <v>203</v>
      </c>
      <c r="F163" s="103" t="s">
        <v>204</v>
      </c>
      <c r="G163" s="103" t="s">
        <v>12</v>
      </c>
      <c r="H163" s="851">
        <v>45569</v>
      </c>
      <c r="I163" s="103"/>
      <c r="J163" s="105"/>
      <c r="K163" s="471"/>
      <c r="L163" s="438"/>
      <c r="M163" s="438"/>
      <c r="N163" s="471"/>
      <c r="O163" s="106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438"/>
      <c r="AA163" s="438"/>
      <c r="AB163" s="105"/>
      <c r="AC163" s="105"/>
      <c r="AD163" s="105"/>
      <c r="AE163" s="105" t="s">
        <v>206</v>
      </c>
      <c r="AF163" s="187" t="s">
        <v>206</v>
      </c>
      <c r="AG163" s="187" t="s">
        <v>214</v>
      </c>
      <c r="AH163" s="187" t="s">
        <v>214</v>
      </c>
      <c r="AI163" s="187" t="s">
        <v>463</v>
      </c>
      <c r="AJ163" s="187" t="s">
        <v>206</v>
      </c>
      <c r="AK163" s="187"/>
      <c r="AL163" s="187"/>
      <c r="AM163" s="187"/>
      <c r="AN163" s="187"/>
      <c r="AO163" s="507"/>
      <c r="AP163" s="507"/>
      <c r="AQ163" s="507"/>
    </row>
    <row r="164" spans="1:43" ht="12.75" customHeight="1" x14ac:dyDescent="0.25">
      <c r="A164" s="103">
        <v>163</v>
      </c>
      <c r="B164" s="104">
        <v>30559</v>
      </c>
      <c r="C164" s="104" t="s">
        <v>64</v>
      </c>
      <c r="D164" s="103" t="s">
        <v>467</v>
      </c>
      <c r="E164" s="104" t="s">
        <v>203</v>
      </c>
      <c r="F164" s="103" t="s">
        <v>204</v>
      </c>
      <c r="G164" s="103" t="s">
        <v>12</v>
      </c>
      <c r="H164" s="851">
        <v>44752</v>
      </c>
      <c r="I164" s="103"/>
      <c r="J164" s="105"/>
      <c r="K164" s="471"/>
      <c r="L164" s="438"/>
      <c r="M164" s="438"/>
      <c r="N164" s="471"/>
      <c r="O164" s="106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438"/>
      <c r="AA164" s="438"/>
      <c r="AB164" s="105"/>
      <c r="AC164" s="105"/>
      <c r="AD164" s="105"/>
      <c r="AE164" s="105" t="s">
        <v>206</v>
      </c>
      <c r="AF164" s="187" t="s">
        <v>206</v>
      </c>
      <c r="AG164" s="187" t="s">
        <v>317</v>
      </c>
      <c r="AH164" s="187" t="s">
        <v>317</v>
      </c>
      <c r="AI164" s="187" t="s">
        <v>317</v>
      </c>
      <c r="AJ164" s="187" t="s">
        <v>206</v>
      </c>
      <c r="AK164" s="187" t="s">
        <v>324</v>
      </c>
      <c r="AL164" s="187"/>
      <c r="AM164" s="187" t="s">
        <v>324</v>
      </c>
      <c r="AN164" s="187"/>
      <c r="AO164" s="507"/>
      <c r="AP164" s="507"/>
      <c r="AQ164" s="507"/>
    </row>
    <row r="165" spans="1:43" ht="12.75" customHeight="1" x14ac:dyDescent="0.25">
      <c r="A165" s="103">
        <v>164</v>
      </c>
      <c r="B165" s="104">
        <v>30559</v>
      </c>
      <c r="C165" s="104" t="s">
        <v>54</v>
      </c>
      <c r="D165" s="103" t="s">
        <v>468</v>
      </c>
      <c r="E165" s="104" t="s">
        <v>203</v>
      </c>
      <c r="F165" s="103" t="s">
        <v>204</v>
      </c>
      <c r="G165" s="103" t="s">
        <v>12</v>
      </c>
      <c r="H165" s="851">
        <v>44752</v>
      </c>
      <c r="I165" s="103"/>
      <c r="J165" s="105"/>
      <c r="K165" s="471"/>
      <c r="L165" s="438"/>
      <c r="M165" s="438"/>
      <c r="N165" s="471"/>
      <c r="O165" s="106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438"/>
      <c r="AA165" s="438"/>
      <c r="AB165" s="105"/>
      <c r="AC165" s="105"/>
      <c r="AD165" s="105"/>
      <c r="AE165" s="105" t="s">
        <v>206</v>
      </c>
      <c r="AF165" s="187" t="s">
        <v>206</v>
      </c>
      <c r="AG165" s="187" t="s">
        <v>317</v>
      </c>
      <c r="AH165" s="187" t="s">
        <v>317</v>
      </c>
      <c r="AI165" s="187" t="s">
        <v>317</v>
      </c>
      <c r="AJ165" s="187" t="s">
        <v>206</v>
      </c>
      <c r="AK165" s="187" t="s">
        <v>324</v>
      </c>
      <c r="AL165" s="187"/>
      <c r="AM165" s="187" t="s">
        <v>324</v>
      </c>
      <c r="AN165" s="187"/>
      <c r="AO165" s="507"/>
      <c r="AP165" s="507"/>
      <c r="AQ165" s="507"/>
    </row>
    <row r="166" spans="1:43" ht="12.75" customHeight="1" x14ac:dyDescent="0.25">
      <c r="A166" s="103">
        <v>165</v>
      </c>
      <c r="B166" s="104">
        <v>37747</v>
      </c>
      <c r="C166" s="104" t="s">
        <v>64</v>
      </c>
      <c r="D166" s="103" t="s">
        <v>469</v>
      </c>
      <c r="E166" s="104" t="s">
        <v>203</v>
      </c>
      <c r="F166" s="103" t="s">
        <v>204</v>
      </c>
      <c r="G166" s="103" t="s">
        <v>12</v>
      </c>
      <c r="H166" s="851">
        <v>45575</v>
      </c>
      <c r="I166" s="103"/>
      <c r="J166" s="105"/>
      <c r="K166" s="471"/>
      <c r="L166" s="438"/>
      <c r="M166" s="438"/>
      <c r="N166" s="471"/>
      <c r="O166" s="106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438"/>
      <c r="AA166" s="438"/>
      <c r="AB166" s="105"/>
      <c r="AC166" s="105"/>
      <c r="AD166" s="105"/>
      <c r="AE166" s="105" t="s">
        <v>206</v>
      </c>
      <c r="AF166" s="187" t="s">
        <v>206</v>
      </c>
      <c r="AG166" s="845">
        <v>45514</v>
      </c>
      <c r="AH166" s="845">
        <v>45512</v>
      </c>
      <c r="AI166" s="845">
        <v>45514</v>
      </c>
      <c r="AJ166" s="187" t="s">
        <v>206</v>
      </c>
      <c r="AK166" s="187"/>
      <c r="AL166" s="187"/>
      <c r="AM166" s="187"/>
      <c r="AN166" s="187"/>
      <c r="AO166" s="507"/>
      <c r="AP166" s="507"/>
      <c r="AQ166" s="507"/>
    </row>
    <row r="167" spans="1:43" ht="12.75" customHeight="1" x14ac:dyDescent="0.25">
      <c r="A167" s="103">
        <v>166</v>
      </c>
      <c r="B167" s="104">
        <v>37747</v>
      </c>
      <c r="C167" s="104" t="s">
        <v>54</v>
      </c>
      <c r="D167" s="103" t="s">
        <v>470</v>
      </c>
      <c r="E167" s="104" t="s">
        <v>203</v>
      </c>
      <c r="F167" s="103" t="s">
        <v>204</v>
      </c>
      <c r="G167" s="103" t="s">
        <v>12</v>
      </c>
      <c r="H167" s="851">
        <v>45575</v>
      </c>
      <c r="I167" s="103"/>
      <c r="J167" s="105"/>
      <c r="K167" s="471"/>
      <c r="L167" s="438"/>
      <c r="M167" s="438"/>
      <c r="N167" s="471"/>
      <c r="O167" s="106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438"/>
      <c r="AA167" s="438"/>
      <c r="AB167" s="105"/>
      <c r="AC167" s="105"/>
      <c r="AD167" s="105"/>
      <c r="AE167" s="105" t="s">
        <v>206</v>
      </c>
      <c r="AF167" s="187" t="s">
        <v>206</v>
      </c>
      <c r="AG167" s="845">
        <v>45514</v>
      </c>
      <c r="AH167" s="845">
        <v>45514</v>
      </c>
      <c r="AI167" s="845">
        <v>45512</v>
      </c>
      <c r="AJ167" s="187" t="s">
        <v>206</v>
      </c>
      <c r="AK167" s="187"/>
      <c r="AL167" s="187"/>
      <c r="AM167" s="187"/>
      <c r="AN167" s="187"/>
      <c r="AO167" s="507"/>
      <c r="AP167" s="507"/>
      <c r="AQ167" s="507"/>
    </row>
    <row r="168" spans="1:43" ht="12.75" customHeight="1" x14ac:dyDescent="0.25">
      <c r="A168" s="103">
        <v>167</v>
      </c>
      <c r="B168" s="104">
        <v>30565</v>
      </c>
      <c r="C168" s="104" t="s">
        <v>64</v>
      </c>
      <c r="D168" s="103"/>
      <c r="E168" s="104" t="s">
        <v>203</v>
      </c>
      <c r="F168" s="103" t="s">
        <v>204</v>
      </c>
      <c r="G168" s="103" t="s">
        <v>12</v>
      </c>
      <c r="H168" s="103"/>
      <c r="I168" s="103"/>
      <c r="J168" s="105"/>
      <c r="K168" s="471"/>
      <c r="L168" s="438"/>
      <c r="M168" s="438"/>
      <c r="N168" s="471"/>
      <c r="O168" s="106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438"/>
      <c r="AA168" s="438"/>
      <c r="AB168" s="105"/>
      <c r="AC168" s="105"/>
      <c r="AD168" s="105"/>
      <c r="AE168" s="105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507"/>
      <c r="AP168" s="507"/>
      <c r="AQ168" s="507"/>
    </row>
    <row r="169" spans="1:43" ht="12.75" customHeight="1" x14ac:dyDescent="0.25">
      <c r="A169" s="103">
        <v>168</v>
      </c>
      <c r="B169" s="104">
        <v>30565</v>
      </c>
      <c r="C169" s="104" t="s">
        <v>54</v>
      </c>
      <c r="D169" s="103"/>
      <c r="E169" s="104" t="s">
        <v>203</v>
      </c>
      <c r="F169" s="103" t="s">
        <v>204</v>
      </c>
      <c r="G169" s="103" t="s">
        <v>12</v>
      </c>
      <c r="H169" s="103"/>
      <c r="I169" s="103"/>
      <c r="J169" s="105"/>
      <c r="K169" s="471"/>
      <c r="L169" s="438"/>
      <c r="M169" s="438"/>
      <c r="N169" s="471"/>
      <c r="O169" s="106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438"/>
      <c r="AA169" s="438"/>
      <c r="AB169" s="105"/>
      <c r="AC169" s="105"/>
      <c r="AD169" s="105"/>
      <c r="AE169" s="105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507"/>
      <c r="AP169" s="507"/>
      <c r="AQ169" s="507"/>
    </row>
    <row r="170" spans="1:43" ht="12.75" customHeight="1" x14ac:dyDescent="0.25">
      <c r="A170" s="103">
        <v>169</v>
      </c>
      <c r="B170" s="104">
        <v>30273</v>
      </c>
      <c r="C170" s="104" t="s">
        <v>64</v>
      </c>
      <c r="D170" s="103"/>
      <c r="E170" s="104" t="s">
        <v>203</v>
      </c>
      <c r="F170" s="103" t="s">
        <v>204</v>
      </c>
      <c r="G170" s="103" t="s">
        <v>12</v>
      </c>
      <c r="H170" s="103"/>
      <c r="I170" s="103"/>
      <c r="J170" s="105"/>
      <c r="K170" s="471"/>
      <c r="L170" s="438"/>
      <c r="M170" s="438"/>
      <c r="N170" s="471"/>
      <c r="O170" s="106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438"/>
      <c r="AA170" s="438"/>
      <c r="AB170" s="105"/>
      <c r="AC170" s="105"/>
      <c r="AD170" s="105"/>
      <c r="AE170" s="105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507"/>
      <c r="AP170" s="507"/>
      <c r="AQ170" s="507"/>
    </row>
    <row r="171" spans="1:43" ht="12.75" customHeight="1" x14ac:dyDescent="0.25">
      <c r="A171" s="103">
        <v>170</v>
      </c>
      <c r="B171" s="104">
        <v>30273</v>
      </c>
      <c r="C171" s="104" t="s">
        <v>54</v>
      </c>
      <c r="D171" s="103"/>
      <c r="E171" s="104" t="s">
        <v>203</v>
      </c>
      <c r="F171" s="103" t="s">
        <v>204</v>
      </c>
      <c r="G171" s="103" t="s">
        <v>12</v>
      </c>
      <c r="H171" s="103"/>
      <c r="I171" s="103"/>
      <c r="J171" s="105"/>
      <c r="K171" s="471"/>
      <c r="L171" s="438"/>
      <c r="M171" s="438"/>
      <c r="N171" s="471"/>
      <c r="O171" s="106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438"/>
      <c r="AA171" s="438"/>
      <c r="AB171" s="105"/>
      <c r="AC171" s="105"/>
      <c r="AD171" s="105"/>
      <c r="AE171" s="105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507"/>
      <c r="AP171" s="507"/>
      <c r="AQ171" s="507"/>
    </row>
    <row r="172" spans="1:43" ht="12.75" customHeight="1" x14ac:dyDescent="0.25">
      <c r="A172" s="103">
        <v>171</v>
      </c>
      <c r="B172" s="104">
        <v>30261</v>
      </c>
      <c r="C172" s="104" t="s">
        <v>64</v>
      </c>
      <c r="D172" s="103"/>
      <c r="E172" s="104" t="s">
        <v>203</v>
      </c>
      <c r="F172" s="103" t="s">
        <v>204</v>
      </c>
      <c r="G172" s="103" t="s">
        <v>12</v>
      </c>
      <c r="H172" s="103"/>
      <c r="I172" s="103"/>
      <c r="J172" s="105"/>
      <c r="K172" s="471"/>
      <c r="L172" s="438"/>
      <c r="M172" s="438"/>
      <c r="N172" s="471"/>
      <c r="O172" s="106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438"/>
      <c r="AA172" s="438"/>
      <c r="AB172" s="105"/>
      <c r="AC172" s="105"/>
      <c r="AD172" s="105"/>
      <c r="AE172" s="105"/>
      <c r="AF172" s="187"/>
      <c r="AG172" s="187"/>
      <c r="AH172" s="187"/>
      <c r="AI172" s="187"/>
      <c r="AJ172" s="187"/>
      <c r="AK172" s="187"/>
      <c r="AL172" s="187"/>
      <c r="AM172" s="187"/>
      <c r="AN172" s="187"/>
      <c r="AO172" s="507"/>
      <c r="AP172" s="507"/>
      <c r="AQ172" s="507"/>
    </row>
    <row r="173" spans="1:43" ht="12.75" customHeight="1" x14ac:dyDescent="0.25">
      <c r="A173" s="103">
        <v>172</v>
      </c>
      <c r="B173" s="104">
        <v>30261</v>
      </c>
      <c r="C173" s="104" t="s">
        <v>54</v>
      </c>
      <c r="D173" s="103"/>
      <c r="E173" s="104" t="s">
        <v>203</v>
      </c>
      <c r="F173" s="103" t="s">
        <v>204</v>
      </c>
      <c r="G173" s="103" t="s">
        <v>12</v>
      </c>
      <c r="H173" s="103"/>
      <c r="I173" s="103"/>
      <c r="J173" s="105"/>
      <c r="K173" s="471"/>
      <c r="L173" s="438"/>
      <c r="M173" s="438"/>
      <c r="N173" s="471"/>
      <c r="O173" s="106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438"/>
      <c r="AA173" s="438"/>
      <c r="AB173" s="105"/>
      <c r="AC173" s="105"/>
      <c r="AD173" s="105"/>
      <c r="AE173" s="105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507"/>
      <c r="AP173" s="507"/>
      <c r="AQ173" s="507"/>
    </row>
    <row r="174" spans="1:43" ht="12.75" customHeight="1" x14ac:dyDescent="0.25">
      <c r="AD174" s="241"/>
      <c r="AE174" s="241"/>
      <c r="AG174" s="242"/>
      <c r="AH174" s="242"/>
      <c r="AI174" s="242"/>
      <c r="AJ174" s="242"/>
      <c r="AK174" s="242"/>
      <c r="AL174" s="242"/>
      <c r="AM174" s="242"/>
      <c r="AN174" s="242"/>
    </row>
    <row r="190" spans="2:2" ht="13.2" x14ac:dyDescent="0.25"/>
    <row r="230" spans="2:2" ht="13.2" x14ac:dyDescent="0.25"/>
    <row r="232" spans="2:2" ht="13.2" x14ac:dyDescent="0.25"/>
    <row r="394" spans="13:13" ht="13.2" x14ac:dyDescent="0.25"/>
    <row r="855" spans="2:2" ht="13.2" x14ac:dyDescent="0.25"/>
    <row r="859" spans="2:2" ht="13.2" x14ac:dyDescent="0.25"/>
    <row r="861" spans="2:2" ht="13.2" x14ac:dyDescent="0.25"/>
    <row r="968" spans="2:2" ht="13.2" x14ac:dyDescent="0.25"/>
    <row r="1050" spans="2:2" ht="13.2" x14ac:dyDescent="0.25"/>
    <row r="1052" spans="2:2" ht="13.2" x14ac:dyDescent="0.25"/>
    <row r="1054" spans="2:2" ht="13.2" x14ac:dyDescent="0.25"/>
  </sheetData>
  <autoFilter ref="A1:AN52" xr:uid="{814D0A64-CB33-472E-9379-EDD8968132E5}"/>
  <conditionalFormatting sqref="B176">
    <cfRule type="duplicateValues" dxfId="2066" priority="197"/>
  </conditionalFormatting>
  <conditionalFormatting sqref="B177:B195 B198:B247 B2:B175">
    <cfRule type="duplicateValues" dxfId="2065" priority="208"/>
  </conditionalFormatting>
  <conditionalFormatting sqref="B196">
    <cfRule type="duplicateValues" dxfId="2064" priority="181"/>
  </conditionalFormatting>
  <conditionalFormatting sqref="B198:B328 B2:B195">
    <cfRule type="duplicateValues" dxfId="2063" priority="209"/>
  </conditionalFormatting>
  <conditionalFormatting sqref="B248:B307">
    <cfRule type="duplicateValues" dxfId="2062" priority="207"/>
  </conditionalFormatting>
  <conditionalFormatting sqref="B646:B672 B674:B683 B686:B703 B711:B753">
    <cfRule type="duplicateValues" dxfId="2061" priority="194"/>
  </conditionalFormatting>
  <conditionalFormatting sqref="B646:B683 B686:B703 B711:B774 B777:B792 B795:B842 B847:B880 B882:B883 B890 B892:B895 B898:B901 B907 B911 B913:B916">
    <cfRule type="duplicateValues" dxfId="2060" priority="196"/>
  </conditionalFormatting>
  <conditionalFormatting sqref="B673">
    <cfRule type="duplicateValues" dxfId="2059" priority="193"/>
  </conditionalFormatting>
  <conditionalFormatting sqref="B684:B685">
    <cfRule type="duplicateValues" dxfId="2058" priority="191"/>
    <cfRule type="duplicateValues" dxfId="2057" priority="192"/>
  </conditionalFormatting>
  <conditionalFormatting sqref="B704:B710">
    <cfRule type="duplicateValues" dxfId="2056" priority="139"/>
    <cfRule type="duplicateValues" dxfId="2055" priority="140"/>
  </conditionalFormatting>
  <conditionalFormatting sqref="B754:B774 B777:B792 B795:B831">
    <cfRule type="duplicateValues" dxfId="2054" priority="195"/>
  </conditionalFormatting>
  <conditionalFormatting sqref="B775:B776">
    <cfRule type="duplicateValues" dxfId="2053" priority="189"/>
    <cfRule type="duplicateValues" dxfId="2052" priority="190"/>
  </conditionalFormatting>
  <conditionalFormatting sqref="B793:B794">
    <cfRule type="duplicateValues" dxfId="2051" priority="188"/>
    <cfRule type="duplicateValues" dxfId="2050" priority="187"/>
  </conditionalFormatting>
  <conditionalFormatting sqref="B843:B844">
    <cfRule type="duplicateValues" dxfId="2049" priority="185"/>
  </conditionalFormatting>
  <conditionalFormatting sqref="B845:B846">
    <cfRule type="duplicateValues" dxfId="2048" priority="186"/>
  </conditionalFormatting>
  <conditionalFormatting sqref="B881">
    <cfRule type="duplicateValues" dxfId="2047" priority="148"/>
  </conditionalFormatting>
  <conditionalFormatting sqref="B884">
    <cfRule type="duplicateValues" dxfId="2046" priority="149"/>
  </conditionalFormatting>
  <conditionalFormatting sqref="B885">
    <cfRule type="duplicateValues" dxfId="2045" priority="161"/>
    <cfRule type="duplicateValues" dxfId="2044" priority="162"/>
    <cfRule type="duplicateValues" dxfId="2043" priority="163"/>
    <cfRule type="duplicateValues" dxfId="2042" priority="160"/>
    <cfRule type="duplicateValues" dxfId="2041" priority="164"/>
  </conditionalFormatting>
  <conditionalFormatting sqref="B886">
    <cfRule type="duplicateValues" dxfId="2040" priority="154"/>
  </conditionalFormatting>
  <conditionalFormatting sqref="B887">
    <cfRule type="duplicateValues" dxfId="2039" priority="159"/>
    <cfRule type="duplicateValues" dxfId="2038" priority="155"/>
    <cfRule type="duplicateValues" dxfId="2037" priority="158"/>
    <cfRule type="duplicateValues" dxfId="2036" priority="156"/>
    <cfRule type="duplicateValues" dxfId="2035" priority="157"/>
  </conditionalFormatting>
  <conditionalFormatting sqref="B888">
    <cfRule type="duplicateValues" dxfId="2034" priority="153"/>
  </conditionalFormatting>
  <conditionalFormatting sqref="B889">
    <cfRule type="duplicateValues" dxfId="2033" priority="152"/>
  </conditionalFormatting>
  <conditionalFormatting sqref="B891">
    <cfRule type="duplicateValues" dxfId="2032" priority="151"/>
  </conditionalFormatting>
  <conditionalFormatting sqref="B896">
    <cfRule type="duplicateValues" dxfId="2031" priority="184"/>
  </conditionalFormatting>
  <conditionalFormatting sqref="B897">
    <cfRule type="duplicateValues" dxfId="2030" priority="174"/>
  </conditionalFormatting>
  <conditionalFormatting sqref="B902">
    <cfRule type="duplicateValues" dxfId="2029" priority="182"/>
  </conditionalFormatting>
  <conditionalFormatting sqref="B903:B904">
    <cfRule type="duplicateValues" dxfId="2028" priority="183"/>
  </conditionalFormatting>
  <conditionalFormatting sqref="B905">
    <cfRule type="duplicateValues" dxfId="2027" priority="116"/>
  </conditionalFormatting>
  <conditionalFormatting sqref="B906">
    <cfRule type="duplicateValues" dxfId="2026" priority="113"/>
    <cfRule type="duplicateValues" dxfId="2025" priority="115"/>
    <cfRule type="duplicateValues" dxfId="2024" priority="112"/>
    <cfRule type="duplicateValues" dxfId="2023" priority="111"/>
    <cfRule type="duplicateValues" dxfId="2022" priority="110"/>
    <cfRule type="duplicateValues" dxfId="2021" priority="114"/>
    <cfRule type="duplicateValues" dxfId="2020" priority="108"/>
    <cfRule type="duplicateValues" dxfId="2019" priority="107"/>
    <cfRule type="duplicateValues" dxfId="2018" priority="109"/>
  </conditionalFormatting>
  <conditionalFormatting sqref="B908">
    <cfRule type="duplicateValues" dxfId="2017" priority="98"/>
    <cfRule type="duplicateValues" dxfId="2016" priority="99"/>
    <cfRule type="duplicateValues" dxfId="2015" priority="100"/>
    <cfRule type="duplicateValues" dxfId="2014" priority="101"/>
    <cfRule type="duplicateValues" dxfId="2013" priority="102"/>
    <cfRule type="duplicateValues" dxfId="2012" priority="104"/>
    <cfRule type="duplicateValues" dxfId="2011" priority="105"/>
    <cfRule type="duplicateValues" dxfId="2010" priority="106"/>
    <cfRule type="duplicateValues" dxfId="2009" priority="103"/>
  </conditionalFormatting>
  <conditionalFormatting sqref="B909">
    <cfRule type="duplicateValues" dxfId="2008" priority="97"/>
  </conditionalFormatting>
  <conditionalFormatting sqref="B910">
    <cfRule type="duplicateValues" dxfId="2007" priority="96"/>
  </conditionalFormatting>
  <conditionalFormatting sqref="B912">
    <cfRule type="duplicateValues" dxfId="2006" priority="89"/>
    <cfRule type="duplicateValues" dxfId="2005" priority="94"/>
    <cfRule type="duplicateValues" dxfId="2004" priority="93"/>
    <cfRule type="duplicateValues" dxfId="2003" priority="92"/>
    <cfRule type="duplicateValues" dxfId="2002" priority="90"/>
    <cfRule type="duplicateValues" dxfId="2001" priority="88"/>
    <cfRule type="duplicateValues" dxfId="2000" priority="91"/>
  </conditionalFormatting>
  <conditionalFormatting sqref="B917">
    <cfRule type="duplicateValues" dxfId="1999" priority="87"/>
  </conditionalFormatting>
  <conditionalFormatting sqref="B918">
    <cfRule type="duplicateValues" dxfId="1998" priority="86"/>
  </conditionalFormatting>
  <conditionalFormatting sqref="B919">
    <cfRule type="duplicateValues" dxfId="1997" priority="95"/>
  </conditionalFormatting>
  <conditionalFormatting sqref="B920">
    <cfRule type="duplicateValues" dxfId="1996" priority="85"/>
  </conditionalFormatting>
  <conditionalFormatting sqref="B921">
    <cfRule type="duplicateValues" dxfId="1995" priority="80"/>
    <cfRule type="duplicateValues" dxfId="1994" priority="83"/>
    <cfRule type="duplicateValues" dxfId="1993" priority="81"/>
    <cfRule type="duplicateValues" dxfId="1992" priority="82"/>
    <cfRule type="duplicateValues" dxfId="1991" priority="84"/>
  </conditionalFormatting>
  <conditionalFormatting sqref="B922">
    <cfRule type="duplicateValues" dxfId="1990" priority="76"/>
    <cfRule type="duplicateValues" dxfId="1989" priority="79"/>
    <cfRule type="duplicateValues" dxfId="1988" priority="78"/>
    <cfRule type="duplicateValues" dxfId="1987" priority="77"/>
    <cfRule type="duplicateValues" dxfId="1986" priority="75"/>
  </conditionalFormatting>
  <conditionalFormatting sqref="B923">
    <cfRule type="duplicateValues" dxfId="1985" priority="74"/>
  </conditionalFormatting>
  <conditionalFormatting sqref="B924">
    <cfRule type="duplicateValues" dxfId="1984" priority="73"/>
  </conditionalFormatting>
  <conditionalFormatting sqref="B930">
    <cfRule type="duplicateValues" dxfId="1983" priority="150"/>
  </conditionalFormatting>
  <conditionalFormatting sqref="B931">
    <cfRule type="duplicateValues" dxfId="1982" priority="72"/>
  </conditionalFormatting>
  <conditionalFormatting sqref="B932">
    <cfRule type="duplicateValues" dxfId="1981" priority="70"/>
  </conditionalFormatting>
  <conditionalFormatting sqref="B933">
    <cfRule type="duplicateValues" dxfId="1980" priority="69"/>
  </conditionalFormatting>
  <conditionalFormatting sqref="B934">
    <cfRule type="duplicateValues" dxfId="1979" priority="67"/>
  </conditionalFormatting>
  <conditionalFormatting sqref="B937">
    <cfRule type="duplicateValues" dxfId="1978" priority="65"/>
  </conditionalFormatting>
  <conditionalFormatting sqref="B938">
    <cfRule type="duplicateValues" dxfId="1977" priority="63"/>
  </conditionalFormatting>
  <conditionalFormatting sqref="B939:B940">
    <cfRule type="duplicateValues" dxfId="1976" priority="62"/>
  </conditionalFormatting>
  <conditionalFormatting sqref="B941">
    <cfRule type="duplicateValues" dxfId="1975" priority="60"/>
  </conditionalFormatting>
  <conditionalFormatting sqref="B942">
    <cfRule type="duplicateValues" dxfId="1974" priority="58"/>
  </conditionalFormatting>
  <conditionalFormatting sqref="B943">
    <cfRule type="duplicateValues" dxfId="1973" priority="56"/>
  </conditionalFormatting>
  <conditionalFormatting sqref="B944">
    <cfRule type="duplicateValues" dxfId="1972" priority="54"/>
  </conditionalFormatting>
  <conditionalFormatting sqref="B945">
    <cfRule type="duplicateValues" dxfId="1971" priority="52"/>
  </conditionalFormatting>
  <conditionalFormatting sqref="B946">
    <cfRule type="duplicateValues" dxfId="1970" priority="141"/>
  </conditionalFormatting>
  <conditionalFormatting sqref="B947">
    <cfRule type="duplicateValues" dxfId="1969" priority="50"/>
  </conditionalFormatting>
  <conditionalFormatting sqref="B948">
    <cfRule type="duplicateValues" dxfId="1968" priority="48"/>
  </conditionalFormatting>
  <conditionalFormatting sqref="B950 B952 B1056:B1057 B994:C1009 B1038:C1039 B1058:C1058 B1061:C1048576 C946 C950:C953 C957:C963 C977 C988:C993">
    <cfRule type="duplicateValues" dxfId="1967" priority="362"/>
  </conditionalFormatting>
  <conditionalFormatting sqref="B957">
    <cfRule type="duplicateValues" dxfId="1966" priority="46"/>
  </conditionalFormatting>
  <conditionalFormatting sqref="B958">
    <cfRule type="duplicateValues" dxfId="1965" priority="45"/>
  </conditionalFormatting>
  <conditionalFormatting sqref="B959">
    <cfRule type="duplicateValues" dxfId="1964" priority="172"/>
    <cfRule type="duplicateValues" dxfId="1963" priority="170"/>
    <cfRule type="duplicateValues" dxfId="1962" priority="169"/>
    <cfRule type="duplicateValues" dxfId="1961" priority="168"/>
    <cfRule type="duplicateValues" dxfId="1960" priority="167"/>
    <cfRule type="duplicateValues" dxfId="1959" priority="166"/>
    <cfRule type="duplicateValues" dxfId="1958" priority="165"/>
    <cfRule type="duplicateValues" dxfId="1957" priority="173"/>
    <cfRule type="duplicateValues" dxfId="1956" priority="171"/>
  </conditionalFormatting>
  <conditionalFormatting sqref="B960">
    <cfRule type="duplicateValues" dxfId="1955" priority="147"/>
  </conditionalFormatting>
  <conditionalFormatting sqref="B961">
    <cfRule type="duplicateValues" dxfId="1954" priority="44"/>
  </conditionalFormatting>
  <conditionalFormatting sqref="B962">
    <cfRule type="duplicateValues" dxfId="1953" priority="43"/>
  </conditionalFormatting>
  <conditionalFormatting sqref="B963">
    <cfRule type="duplicateValues" dxfId="1952" priority="42"/>
  </conditionalFormatting>
  <conditionalFormatting sqref="B964">
    <cfRule type="duplicateValues" dxfId="1951" priority="176"/>
  </conditionalFormatting>
  <conditionalFormatting sqref="B965">
    <cfRule type="duplicateValues" dxfId="1950" priority="41"/>
    <cfRule type="duplicateValues" dxfId="1949" priority="40"/>
  </conditionalFormatting>
  <conditionalFormatting sqref="B966">
    <cfRule type="duplicateValues" dxfId="1948" priority="37"/>
    <cfRule type="duplicateValues" dxfId="1947" priority="36"/>
  </conditionalFormatting>
  <conditionalFormatting sqref="B967">
    <cfRule type="duplicateValues" dxfId="1946" priority="29"/>
    <cfRule type="duplicateValues" dxfId="1945" priority="30"/>
    <cfRule type="duplicateValues" dxfId="1944" priority="31"/>
    <cfRule type="duplicateValues" dxfId="1943" priority="32"/>
    <cfRule type="duplicateValues" dxfId="1942" priority="33"/>
    <cfRule type="duplicateValues" dxfId="1941" priority="34"/>
    <cfRule type="duplicateValues" dxfId="1940" priority="35"/>
  </conditionalFormatting>
  <conditionalFormatting sqref="B968">
    <cfRule type="duplicateValues" dxfId="1939" priority="127"/>
  </conditionalFormatting>
  <conditionalFormatting sqref="B969">
    <cfRule type="duplicateValues" dxfId="1938" priority="128"/>
  </conditionalFormatting>
  <conditionalFormatting sqref="B970">
    <cfRule type="duplicateValues" dxfId="1937" priority="27"/>
  </conditionalFormatting>
  <conditionalFormatting sqref="B971">
    <cfRule type="duplicateValues" dxfId="1936" priority="25"/>
  </conditionalFormatting>
  <conditionalFormatting sqref="B972">
    <cfRule type="duplicateValues" dxfId="1935" priority="129"/>
  </conditionalFormatting>
  <conditionalFormatting sqref="B973">
    <cfRule type="duplicateValues" dxfId="1934" priority="130"/>
  </conditionalFormatting>
  <conditionalFormatting sqref="B974">
    <cfRule type="duplicateValues" dxfId="1933" priority="23"/>
  </conditionalFormatting>
  <conditionalFormatting sqref="B975">
    <cfRule type="duplicateValues" dxfId="1932" priority="21"/>
  </conditionalFormatting>
  <conditionalFormatting sqref="B976">
    <cfRule type="duplicateValues" dxfId="1931" priority="19"/>
  </conditionalFormatting>
  <conditionalFormatting sqref="B977 B988">
    <cfRule type="duplicateValues" dxfId="1930" priority="144"/>
  </conditionalFormatting>
  <conditionalFormatting sqref="B978">
    <cfRule type="duplicateValues" dxfId="1929" priority="121"/>
  </conditionalFormatting>
  <conditionalFormatting sqref="B979">
    <cfRule type="duplicateValues" dxfId="1928" priority="122"/>
  </conditionalFormatting>
  <conditionalFormatting sqref="B980">
    <cfRule type="duplicateValues" dxfId="1927" priority="117"/>
  </conditionalFormatting>
  <conditionalFormatting sqref="B981">
    <cfRule type="duplicateValues" dxfId="1926" priority="123"/>
  </conditionalFormatting>
  <conditionalFormatting sqref="B982">
    <cfRule type="duplicateValues" dxfId="1925" priority="124"/>
  </conditionalFormatting>
  <conditionalFormatting sqref="B983">
    <cfRule type="duplicateValues" dxfId="1924" priority="17"/>
  </conditionalFormatting>
  <conditionalFormatting sqref="B984">
    <cfRule type="duplicateValues" dxfId="1923" priority="125"/>
  </conditionalFormatting>
  <conditionalFormatting sqref="B985:B986">
    <cfRule type="duplicateValues" dxfId="1922" priority="120"/>
  </conditionalFormatting>
  <conditionalFormatting sqref="B987">
    <cfRule type="duplicateValues" dxfId="1921" priority="126"/>
  </conditionalFormatting>
  <conditionalFormatting sqref="B989:B990">
    <cfRule type="duplicateValues" dxfId="1920" priority="143"/>
  </conditionalFormatting>
  <conditionalFormatting sqref="B991">
    <cfRule type="duplicateValues" dxfId="1919" priority="146"/>
  </conditionalFormatting>
  <conditionalFormatting sqref="B992">
    <cfRule type="duplicateValues" dxfId="1918" priority="145"/>
  </conditionalFormatting>
  <conditionalFormatting sqref="B1059:B1060 F1060">
    <cfRule type="duplicateValues" dxfId="1917" priority="5"/>
    <cfRule type="duplicateValues" dxfId="1916" priority="4"/>
  </conditionalFormatting>
  <conditionalFormatting sqref="B925:C929 C930:C931 C937">
    <cfRule type="duplicateValues" dxfId="1915" priority="372"/>
  </conditionalFormatting>
  <conditionalFormatting sqref="B935:C935">
    <cfRule type="duplicateValues" dxfId="1914" priority="137"/>
  </conditionalFormatting>
  <conditionalFormatting sqref="B936:C936">
    <cfRule type="duplicateValues" dxfId="1913" priority="138"/>
  </conditionalFormatting>
  <conditionalFormatting sqref="B949:C949">
    <cfRule type="duplicateValues" dxfId="1912" priority="119"/>
  </conditionalFormatting>
  <conditionalFormatting sqref="B1040:C1041">
    <cfRule type="duplicateValues" dxfId="1911" priority="16"/>
  </conditionalFormatting>
  <conditionalFormatting sqref="B1042:C1043">
    <cfRule type="duplicateValues" dxfId="1910" priority="15"/>
  </conditionalFormatting>
  <conditionalFormatting sqref="B1044:C1045">
    <cfRule type="duplicateValues" dxfId="1909" priority="14"/>
  </conditionalFormatting>
  <conditionalFormatting sqref="B1046:C1047">
    <cfRule type="duplicateValues" dxfId="1908" priority="13"/>
  </conditionalFormatting>
  <conditionalFormatting sqref="B1048:C1049">
    <cfRule type="duplicateValues" dxfId="1907" priority="12"/>
  </conditionalFormatting>
  <conditionalFormatting sqref="B1050:C1051">
    <cfRule type="duplicateValues" dxfId="1906" priority="11"/>
  </conditionalFormatting>
  <conditionalFormatting sqref="B1052:C1053">
    <cfRule type="duplicateValues" dxfId="1905" priority="10"/>
  </conditionalFormatting>
  <conditionalFormatting sqref="B1054:C1055">
    <cfRule type="duplicateValues" dxfId="1904" priority="9"/>
  </conditionalFormatting>
  <conditionalFormatting sqref="C196">
    <cfRule type="duplicateValues" dxfId="1903" priority="180"/>
  </conditionalFormatting>
  <conditionalFormatting sqref="C197">
    <cfRule type="duplicateValues" dxfId="1902" priority="179"/>
  </conditionalFormatting>
  <conditionalFormatting sqref="C932">
    <cfRule type="duplicateValues" dxfId="1901" priority="71"/>
  </conditionalFormatting>
  <conditionalFormatting sqref="C933">
    <cfRule type="duplicateValues" dxfId="1900" priority="68"/>
  </conditionalFormatting>
  <conditionalFormatting sqref="C934">
    <cfRule type="duplicateValues" dxfId="1899" priority="66"/>
  </conditionalFormatting>
  <conditionalFormatting sqref="C938">
    <cfRule type="duplicateValues" dxfId="1898" priority="64"/>
  </conditionalFormatting>
  <conditionalFormatting sqref="C939:C940">
    <cfRule type="duplicateValues" dxfId="1897" priority="61"/>
  </conditionalFormatting>
  <conditionalFormatting sqref="C941">
    <cfRule type="duplicateValues" dxfId="1896" priority="59"/>
  </conditionalFormatting>
  <conditionalFormatting sqref="C942">
    <cfRule type="duplicateValues" dxfId="1895" priority="57"/>
  </conditionalFormatting>
  <conditionalFormatting sqref="C943">
    <cfRule type="duplicateValues" dxfId="1894" priority="55"/>
  </conditionalFormatting>
  <conditionalFormatting sqref="C944">
    <cfRule type="duplicateValues" dxfId="1893" priority="53"/>
  </conditionalFormatting>
  <conditionalFormatting sqref="C945">
    <cfRule type="duplicateValues" dxfId="1892" priority="51"/>
  </conditionalFormatting>
  <conditionalFormatting sqref="C947">
    <cfRule type="duplicateValues" dxfId="1891" priority="49"/>
  </conditionalFormatting>
  <conditionalFormatting sqref="C948">
    <cfRule type="duplicateValues" dxfId="1890" priority="47"/>
  </conditionalFormatting>
  <conditionalFormatting sqref="C954">
    <cfRule type="duplicateValues" dxfId="1889" priority="131"/>
  </conditionalFormatting>
  <conditionalFormatting sqref="C955">
    <cfRule type="duplicateValues" dxfId="1888" priority="132"/>
  </conditionalFormatting>
  <conditionalFormatting sqref="C956">
    <cfRule type="duplicateValues" dxfId="1887" priority="133"/>
  </conditionalFormatting>
  <conditionalFormatting sqref="C965">
    <cfRule type="duplicateValues" dxfId="1886" priority="39"/>
  </conditionalFormatting>
  <conditionalFormatting sqref="C966">
    <cfRule type="duplicateValues" dxfId="1885" priority="38"/>
  </conditionalFormatting>
  <conditionalFormatting sqref="C967">
    <cfRule type="duplicateValues" dxfId="1884" priority="28"/>
  </conditionalFormatting>
  <conditionalFormatting sqref="C970">
    <cfRule type="duplicateValues" dxfId="1883" priority="26"/>
  </conditionalFormatting>
  <conditionalFormatting sqref="C971">
    <cfRule type="duplicateValues" dxfId="1882" priority="24"/>
  </conditionalFormatting>
  <conditionalFormatting sqref="C974">
    <cfRule type="duplicateValues" dxfId="1881" priority="22"/>
  </conditionalFormatting>
  <conditionalFormatting sqref="C975">
    <cfRule type="duplicateValues" dxfId="1880" priority="20"/>
  </conditionalFormatting>
  <conditionalFormatting sqref="C976">
    <cfRule type="duplicateValues" dxfId="1879" priority="18"/>
  </conditionalFormatting>
  <conditionalFormatting sqref="C1056:C1057">
    <cfRule type="duplicateValues" dxfId="1878" priority="8"/>
  </conditionalFormatting>
  <conditionalFormatting sqref="D55">
    <cfRule type="duplicateValues" dxfId="1877" priority="273"/>
  </conditionalFormatting>
  <conditionalFormatting sqref="D58">
    <cfRule type="duplicateValues" dxfId="1876" priority="9811"/>
  </conditionalFormatting>
  <conditionalFormatting sqref="D59">
    <cfRule type="duplicateValues" dxfId="1875" priority="272"/>
  </conditionalFormatting>
  <conditionalFormatting sqref="D67">
    <cfRule type="duplicateValues" dxfId="1874" priority="10363"/>
  </conditionalFormatting>
  <conditionalFormatting sqref="D71">
    <cfRule type="duplicateValues" dxfId="1873" priority="364"/>
  </conditionalFormatting>
  <conditionalFormatting sqref="D73">
    <cfRule type="duplicateValues" dxfId="1872" priority="270"/>
  </conditionalFormatting>
  <conditionalFormatting sqref="D79">
    <cfRule type="duplicateValues" dxfId="1871" priority="269"/>
  </conditionalFormatting>
  <conditionalFormatting sqref="D80">
    <cfRule type="duplicateValues" dxfId="1870" priority="268"/>
  </conditionalFormatting>
  <conditionalFormatting sqref="D85">
    <cfRule type="duplicateValues" dxfId="1869" priority="11980"/>
  </conditionalFormatting>
  <conditionalFormatting sqref="D107:D109">
    <cfRule type="duplicateValues" dxfId="1868" priority="368"/>
  </conditionalFormatting>
  <conditionalFormatting sqref="D110:D113">
    <cfRule type="duplicateValues" dxfId="1867" priority="367"/>
  </conditionalFormatting>
  <conditionalFormatting sqref="D134">
    <cfRule type="duplicateValues" dxfId="1866" priority="266"/>
  </conditionalFormatting>
  <conditionalFormatting sqref="D151:D152">
    <cfRule type="duplicateValues" dxfId="1865" priority="302"/>
  </conditionalFormatting>
  <conditionalFormatting sqref="D153:D154">
    <cfRule type="duplicateValues" dxfId="1864" priority="301"/>
  </conditionalFormatting>
  <conditionalFormatting sqref="D175:D176">
    <cfRule type="duplicateValues" dxfId="1863" priority="330"/>
  </conditionalFormatting>
  <conditionalFormatting sqref="D177:D178">
    <cfRule type="duplicateValues" dxfId="1862" priority="329"/>
  </conditionalFormatting>
  <conditionalFormatting sqref="D179:D180">
    <cfRule type="duplicateValues" dxfId="1861" priority="328"/>
  </conditionalFormatting>
  <conditionalFormatting sqref="D181:D182">
    <cfRule type="duplicateValues" dxfId="1860" priority="327"/>
  </conditionalFormatting>
  <conditionalFormatting sqref="D183:D184">
    <cfRule type="duplicateValues" dxfId="1859" priority="335"/>
  </conditionalFormatting>
  <conditionalFormatting sqref="D185:D186">
    <cfRule type="duplicateValues" dxfId="1858" priority="334"/>
  </conditionalFormatting>
  <conditionalFormatting sqref="D187:D188">
    <cfRule type="duplicateValues" dxfId="1857" priority="333"/>
  </conditionalFormatting>
  <conditionalFormatting sqref="D189:D190">
    <cfRule type="duplicateValues" dxfId="1856" priority="332"/>
  </conditionalFormatting>
  <conditionalFormatting sqref="D191">
    <cfRule type="duplicateValues" dxfId="1855" priority="264"/>
  </conditionalFormatting>
  <conditionalFormatting sqref="D192">
    <cfRule type="duplicateValues" dxfId="1854" priority="331"/>
  </conditionalFormatting>
  <conditionalFormatting sqref="D193:D194 D196:D224">
    <cfRule type="duplicateValues" dxfId="1853" priority="369"/>
  </conditionalFormatting>
  <conditionalFormatting sqref="D195">
    <cfRule type="duplicateValues" dxfId="1852" priority="263"/>
  </conditionalFormatting>
  <conditionalFormatting sqref="D225:D226">
    <cfRule type="duplicateValues" dxfId="1851" priority="321"/>
  </conditionalFormatting>
  <conditionalFormatting sqref="D227:D228">
    <cfRule type="duplicateValues" dxfId="1850" priority="320"/>
  </conditionalFormatting>
  <conditionalFormatting sqref="D229:D230">
    <cfRule type="duplicateValues" dxfId="1849" priority="326"/>
  </conditionalFormatting>
  <conditionalFormatting sqref="D231:D232">
    <cfRule type="duplicateValues" dxfId="1848" priority="319"/>
  </conditionalFormatting>
  <conditionalFormatting sqref="D233:D234 D237:D238">
    <cfRule type="duplicateValues" dxfId="1847" priority="325"/>
  </conditionalFormatting>
  <conditionalFormatting sqref="D235:D236">
    <cfRule type="duplicateValues" dxfId="1846" priority="318"/>
  </conditionalFormatting>
  <conditionalFormatting sqref="D239:D240">
    <cfRule type="duplicateValues" dxfId="1845" priority="317"/>
  </conditionalFormatting>
  <conditionalFormatting sqref="D241:D244">
    <cfRule type="duplicateValues" dxfId="1844" priority="366"/>
  </conditionalFormatting>
  <conditionalFormatting sqref="D245 D247 D249:D250">
    <cfRule type="duplicateValues" dxfId="1843" priority="316"/>
  </conditionalFormatting>
  <conditionalFormatting sqref="D246">
    <cfRule type="duplicateValues" dxfId="1842" priority="262"/>
  </conditionalFormatting>
  <conditionalFormatting sqref="D248">
    <cfRule type="duplicateValues" dxfId="1841" priority="265"/>
  </conditionalFormatting>
  <conditionalFormatting sqref="D251:D261 D264:D269 D272:D279 D281:D284 D298:D299">
    <cfRule type="duplicateValues" dxfId="1840" priority="336"/>
  </conditionalFormatting>
  <conditionalFormatting sqref="D262:D263">
    <cfRule type="duplicateValues" dxfId="1839" priority="298"/>
  </conditionalFormatting>
  <conditionalFormatting sqref="D270:D271">
    <cfRule type="duplicateValues" dxfId="1838" priority="297"/>
  </conditionalFormatting>
  <conditionalFormatting sqref="D280">
    <cfRule type="duplicateValues" dxfId="1837" priority="261"/>
  </conditionalFormatting>
  <conditionalFormatting sqref="D286">
    <cfRule type="duplicateValues" dxfId="1836" priority="260"/>
  </conditionalFormatting>
  <conditionalFormatting sqref="D290:D293">
    <cfRule type="duplicateValues" dxfId="1835" priority="315"/>
  </conditionalFormatting>
  <conditionalFormatting sqref="D292:D293">
    <cfRule type="duplicateValues" dxfId="1834" priority="313"/>
  </conditionalFormatting>
  <conditionalFormatting sqref="D294:D295">
    <cfRule type="duplicateValues" dxfId="1833" priority="314"/>
  </conditionalFormatting>
  <conditionalFormatting sqref="D296">
    <cfRule type="duplicateValues" dxfId="1832" priority="312"/>
  </conditionalFormatting>
  <conditionalFormatting sqref="D297">
    <cfRule type="duplicateValues" dxfId="1831" priority="259"/>
  </conditionalFormatting>
  <conditionalFormatting sqref="D300:D301">
    <cfRule type="duplicateValues" dxfId="1830" priority="311"/>
  </conditionalFormatting>
  <conditionalFormatting sqref="D302:D303">
    <cfRule type="duplicateValues" dxfId="1829" priority="306"/>
  </conditionalFormatting>
  <conditionalFormatting sqref="D304:D305">
    <cfRule type="duplicateValues" dxfId="1828" priority="307"/>
  </conditionalFormatting>
  <conditionalFormatting sqref="D306:D307">
    <cfRule type="duplicateValues" dxfId="1827" priority="310"/>
  </conditionalFormatting>
  <conditionalFormatting sqref="D308:D309">
    <cfRule type="duplicateValues" dxfId="1826" priority="309"/>
  </conditionalFormatting>
  <conditionalFormatting sqref="D310">
    <cfRule type="duplicateValues" dxfId="1825" priority="308"/>
  </conditionalFormatting>
  <conditionalFormatting sqref="D311">
    <cfRule type="duplicateValues" dxfId="1824" priority="304"/>
  </conditionalFormatting>
  <conditionalFormatting sqref="D312">
    <cfRule type="duplicateValues" dxfId="1823" priority="370"/>
  </conditionalFormatting>
  <conditionalFormatting sqref="D313:D314">
    <cfRule type="duplicateValues" dxfId="1822" priority="305"/>
  </conditionalFormatting>
  <conditionalFormatting sqref="D315:D328">
    <cfRule type="duplicateValues" dxfId="1821" priority="303"/>
  </conditionalFormatting>
  <conditionalFormatting sqref="D648">
    <cfRule type="duplicateValues" dxfId="1820" priority="274"/>
  </conditionalFormatting>
  <conditionalFormatting sqref="D650">
    <cfRule type="duplicateValues" dxfId="1819" priority="258"/>
  </conditionalFormatting>
  <conditionalFormatting sqref="D657:D658">
    <cfRule type="duplicateValues" dxfId="1818" priority="257"/>
  </conditionalFormatting>
  <conditionalFormatting sqref="D660:D663">
    <cfRule type="duplicateValues" dxfId="1817" priority="256"/>
  </conditionalFormatting>
  <conditionalFormatting sqref="D665:D667">
    <cfRule type="duplicateValues" dxfId="1816" priority="255"/>
  </conditionalFormatting>
  <conditionalFormatting sqref="D671">
    <cfRule type="duplicateValues" dxfId="1815" priority="254"/>
  </conditionalFormatting>
  <conditionalFormatting sqref="D677">
    <cfRule type="duplicateValues" dxfId="1814" priority="275"/>
  </conditionalFormatting>
  <conditionalFormatting sqref="D679">
    <cfRule type="duplicateValues" dxfId="1813" priority="253"/>
  </conditionalFormatting>
  <conditionalFormatting sqref="D684:D687">
    <cfRule type="duplicateValues" dxfId="1812" priority="252"/>
  </conditionalFormatting>
  <conditionalFormatting sqref="D692:D693">
    <cfRule type="duplicateValues" dxfId="1811" priority="251"/>
  </conditionalFormatting>
  <conditionalFormatting sqref="D695">
    <cfRule type="duplicateValues" dxfId="1810" priority="250"/>
  </conditionalFormatting>
  <conditionalFormatting sqref="D704">
    <cfRule type="duplicateValues" dxfId="1809" priority="249"/>
  </conditionalFormatting>
  <conditionalFormatting sqref="D705">
    <cfRule type="duplicateValues" dxfId="1808" priority="248"/>
  </conditionalFormatting>
  <conditionalFormatting sqref="D706">
    <cfRule type="duplicateValues" dxfId="1807" priority="247"/>
  </conditionalFormatting>
  <conditionalFormatting sqref="D707">
    <cfRule type="duplicateValues" dxfId="1806" priority="246"/>
  </conditionalFormatting>
  <conditionalFormatting sqref="D708:D709">
    <cfRule type="duplicateValues" dxfId="1805" priority="245"/>
  </conditionalFormatting>
  <conditionalFormatting sqref="D723 D732 D744:D752">
    <cfRule type="duplicateValues" dxfId="1804" priority="371"/>
  </conditionalFormatting>
  <conditionalFormatting sqref="D724:D730">
    <cfRule type="duplicateValues" dxfId="1803" priority="244"/>
  </conditionalFormatting>
  <conditionalFormatting sqref="D731">
    <cfRule type="duplicateValues" dxfId="1802" priority="243"/>
  </conditionalFormatting>
  <conditionalFormatting sqref="D733:D734">
    <cfRule type="duplicateValues" dxfId="1801" priority="242"/>
  </conditionalFormatting>
  <conditionalFormatting sqref="D735:D736">
    <cfRule type="duplicateValues" dxfId="1800" priority="324"/>
  </conditionalFormatting>
  <conditionalFormatting sqref="D753:D754">
    <cfRule type="duplicateValues" dxfId="1799" priority="323"/>
  </conditionalFormatting>
  <conditionalFormatting sqref="D755:D756 D759:D762 D765:D766">
    <cfRule type="duplicateValues" dxfId="1798" priority="322"/>
  </conditionalFormatting>
  <conditionalFormatting sqref="D757:D758">
    <cfRule type="duplicateValues" dxfId="1797" priority="241"/>
  </conditionalFormatting>
  <conditionalFormatting sqref="D763:D764">
    <cfRule type="duplicateValues" dxfId="1796" priority="240"/>
  </conditionalFormatting>
  <conditionalFormatting sqref="D767:D768">
    <cfRule type="duplicateValues" dxfId="1795" priority="239"/>
  </conditionalFormatting>
  <conditionalFormatting sqref="D771:D772">
    <cfRule type="duplicateValues" dxfId="1794" priority="238"/>
  </conditionalFormatting>
  <conditionalFormatting sqref="D775:D778">
    <cfRule type="duplicateValues" dxfId="1793" priority="237"/>
  </conditionalFormatting>
  <conditionalFormatting sqref="D783:D784">
    <cfRule type="duplicateValues" dxfId="1792" priority="236"/>
  </conditionalFormatting>
  <conditionalFormatting sqref="D786:D788">
    <cfRule type="duplicateValues" dxfId="1791" priority="235"/>
  </conditionalFormatting>
  <conditionalFormatting sqref="D792">
    <cfRule type="duplicateValues" dxfId="1790" priority="234"/>
  </conditionalFormatting>
  <conditionalFormatting sqref="D793:D796">
    <cfRule type="duplicateValues" dxfId="1789" priority="233"/>
  </conditionalFormatting>
  <conditionalFormatting sqref="D801:D802">
    <cfRule type="duplicateValues" dxfId="1788" priority="232"/>
  </conditionalFormatting>
  <conditionalFormatting sqref="D805">
    <cfRule type="duplicateValues" dxfId="1787" priority="231"/>
  </conditionalFormatting>
  <conditionalFormatting sqref="D815">
    <cfRule type="duplicateValues" dxfId="1786" priority="230"/>
  </conditionalFormatting>
  <conditionalFormatting sqref="D821:D826">
    <cfRule type="duplicateValues" dxfId="1785" priority="229"/>
  </conditionalFormatting>
  <conditionalFormatting sqref="D831:D833">
    <cfRule type="duplicateValues" dxfId="1784" priority="228"/>
  </conditionalFormatting>
  <conditionalFormatting sqref="D835:D836">
    <cfRule type="duplicateValues" dxfId="1783" priority="227"/>
  </conditionalFormatting>
  <conditionalFormatting sqref="D839:D841">
    <cfRule type="duplicateValues" dxfId="1782" priority="226"/>
  </conditionalFormatting>
  <conditionalFormatting sqref="D843:D848">
    <cfRule type="duplicateValues" dxfId="1781" priority="225"/>
  </conditionalFormatting>
  <conditionalFormatting sqref="D851">
    <cfRule type="duplicateValues" dxfId="1780" priority="224"/>
  </conditionalFormatting>
  <conditionalFormatting sqref="D858">
    <cfRule type="duplicateValues" dxfId="1779" priority="223"/>
  </conditionalFormatting>
  <conditionalFormatting sqref="D861:D862">
    <cfRule type="duplicateValues" dxfId="1778" priority="222"/>
  </conditionalFormatting>
  <conditionalFormatting sqref="D873">
    <cfRule type="duplicateValues" dxfId="1777" priority="221"/>
  </conditionalFormatting>
  <conditionalFormatting sqref="D875:D876">
    <cfRule type="duplicateValues" dxfId="1776" priority="220"/>
  </conditionalFormatting>
  <conditionalFormatting sqref="D881:D882">
    <cfRule type="duplicateValues" dxfId="1775" priority="219"/>
  </conditionalFormatting>
  <conditionalFormatting sqref="D886:D887 D889">
    <cfRule type="duplicateValues" dxfId="1774" priority="218"/>
  </conditionalFormatting>
  <conditionalFormatting sqref="D892:D893">
    <cfRule type="duplicateValues" dxfId="1773" priority="217"/>
  </conditionalFormatting>
  <conditionalFormatting sqref="D896:D899">
    <cfRule type="duplicateValues" dxfId="1772" priority="215"/>
  </conditionalFormatting>
  <conditionalFormatting sqref="D900">
    <cfRule type="duplicateValues" dxfId="1771" priority="216"/>
  </conditionalFormatting>
  <conditionalFormatting sqref="D902:D904">
    <cfRule type="duplicateValues" dxfId="1770" priority="214"/>
  </conditionalFormatting>
  <conditionalFormatting sqref="D905">
    <cfRule type="duplicateValues" dxfId="1769" priority="213"/>
  </conditionalFormatting>
  <conditionalFormatting sqref="D910">
    <cfRule type="duplicateValues" dxfId="1768" priority="212"/>
  </conditionalFormatting>
  <conditionalFormatting sqref="D914">
    <cfRule type="duplicateValues" dxfId="1767" priority="211"/>
  </conditionalFormatting>
  <conditionalFormatting sqref="D917:D920">
    <cfRule type="duplicateValues" dxfId="1766" priority="210"/>
  </conditionalFormatting>
  <conditionalFormatting sqref="D922:D932 D938">
    <cfRule type="duplicateValues" dxfId="1765" priority="175"/>
  </conditionalFormatting>
  <conditionalFormatting sqref="D933:D937">
    <cfRule type="duplicateValues" dxfId="1764" priority="136"/>
  </conditionalFormatting>
  <conditionalFormatting sqref="D939">
    <cfRule type="duplicateValues" dxfId="1763" priority="135"/>
  </conditionalFormatting>
  <conditionalFormatting sqref="D940">
    <cfRule type="duplicateValues" dxfId="1762" priority="142"/>
  </conditionalFormatting>
  <conditionalFormatting sqref="D941:D943">
    <cfRule type="duplicateValues" dxfId="1761" priority="134"/>
  </conditionalFormatting>
  <conditionalFormatting sqref="D948:D949">
    <cfRule type="duplicateValues" dxfId="1760" priority="118"/>
  </conditionalFormatting>
  <conditionalFormatting sqref="D1059:D1060">
    <cfRule type="duplicateValues" dxfId="1759" priority="6"/>
    <cfRule type="duplicateValues" dxfId="1758" priority="7"/>
  </conditionalFormatting>
  <dataValidations count="2">
    <dataValidation type="list" allowBlank="1" showInputMessage="1" showErrorMessage="1" sqref="R148:Z172 AC107:AE113 P1059:P1060 U283:U289 U298:U301 V651:V652 S121:T143 R1059:T1060 X652:Z652 V741:V743 T697:T698 W106:W113 R674 AC1059:AC1060 X121:Z146 X107:Z113 R676 P121:P142 S817:S818 Q121:Q143 R121:R142 U121:W142 P107:V113 Q145:Q172 AC652:AE652 Q207 Q288 Q292 T814:T818 P148:P172 V817:V818 Q194:Q195 U191:U195 W1059:W1060 U319:U328 Y1059:Y1060 U198:U224 U304:U316 AC121:AE146 AC148:AC159 AC162:AC172 AD148:AE172 AI52:AL52 AF52 AD52 Q52:AA52" xr:uid="{D777E52D-E448-4F61-ABB0-2A9DDD69DD3E}">
      <formula1>"Conv-A DONE,Conv-B DONE"</formula1>
    </dataValidation>
    <dataValidation type="list" allowBlank="1" showInputMessage="1" showErrorMessage="1" sqref="H1038:I1048576 H646:I1009 H174:H328 J52 I53:I328 I51" xr:uid="{05DEBB79-148F-4D65-A05B-E2442236C4D1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A48C-130E-4E82-B0CC-216B48666778}">
  <dimension ref="A1:U7"/>
  <sheetViews>
    <sheetView workbookViewId="0">
      <selection activeCell="A4" sqref="A4"/>
    </sheetView>
  </sheetViews>
  <sheetFormatPr defaultColWidth="22.5546875" defaultRowHeight="13.2" x14ac:dyDescent="0.25"/>
  <cols>
    <col min="1" max="1" width="15.5546875" bestFit="1" customWidth="1"/>
    <col min="2" max="2" width="8.6640625" bestFit="1" customWidth="1"/>
    <col min="3" max="3" width="16.44140625" bestFit="1" customWidth="1"/>
    <col min="4" max="4" width="18.21875" bestFit="1" customWidth="1"/>
    <col min="5" max="5" width="36.44140625" bestFit="1" customWidth="1"/>
    <col min="6" max="6" width="37.109375" bestFit="1" customWidth="1"/>
    <col min="7" max="7" width="22" bestFit="1" customWidth="1"/>
    <col min="8" max="8" width="13.44140625" bestFit="1" customWidth="1"/>
    <col min="9" max="9" width="38.33203125" bestFit="1" customWidth="1"/>
    <col min="10" max="10" width="22.33203125" bestFit="1" customWidth="1"/>
    <col min="11" max="11" width="39.5546875" bestFit="1" customWidth="1"/>
    <col min="12" max="12" width="18.33203125" bestFit="1" customWidth="1"/>
    <col min="13" max="13" width="9.5546875" bestFit="1" customWidth="1"/>
    <col min="14" max="14" width="14.33203125" bestFit="1" customWidth="1"/>
    <col min="15" max="15" width="14.5546875" bestFit="1" customWidth="1"/>
    <col min="16" max="16" width="28.6640625" bestFit="1" customWidth="1"/>
    <col min="17" max="17" width="41.109375" bestFit="1" customWidth="1"/>
    <col min="18" max="18" width="92.77734375" bestFit="1" customWidth="1"/>
    <col min="19" max="19" width="33.77734375" bestFit="1" customWidth="1"/>
    <col min="20" max="20" width="35.77734375" bestFit="1" customWidth="1"/>
    <col min="21" max="21" width="45.33203125" bestFit="1" customWidth="1"/>
  </cols>
  <sheetData>
    <row r="1" spans="1:21" x14ac:dyDescent="0.25">
      <c r="A1" s="69" t="s">
        <v>19</v>
      </c>
      <c r="B1" s="3" t="s">
        <v>471</v>
      </c>
    </row>
    <row r="3" spans="1:21" s="18" customFormat="1" ht="12.75" customHeight="1" x14ac:dyDescent="0.25">
      <c r="A3" s="643" t="s">
        <v>472</v>
      </c>
      <c r="B3" s="18" t="s">
        <v>473</v>
      </c>
      <c r="C3" s="18" t="s">
        <v>474</v>
      </c>
      <c r="D3" s="18" t="s">
        <v>475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487</v>
      </c>
      <c r="Q3" s="18" t="s">
        <v>488</v>
      </c>
      <c r="R3" s="3" t="s">
        <v>489</v>
      </c>
      <c r="S3" s="3" t="s">
        <v>490</v>
      </c>
      <c r="T3" s="3" t="s">
        <v>491</v>
      </c>
      <c r="U3" s="3" t="s">
        <v>492</v>
      </c>
    </row>
    <row r="4" spans="1:21" s="3" customFormat="1" x14ac:dyDescent="0.25">
      <c r="A4" s="3" t="s">
        <v>221</v>
      </c>
      <c r="B4" s="1448">
        <v>44</v>
      </c>
      <c r="C4" s="1448">
        <v>17</v>
      </c>
      <c r="D4" s="1448">
        <v>17</v>
      </c>
      <c r="E4" s="1448">
        <v>32</v>
      </c>
      <c r="F4" s="1448">
        <v>32</v>
      </c>
      <c r="G4" s="1448"/>
      <c r="H4" s="1448">
        <v>32</v>
      </c>
      <c r="I4" s="1448">
        <v>32</v>
      </c>
      <c r="J4" s="1448"/>
      <c r="K4" s="1448">
        <v>1</v>
      </c>
      <c r="L4" s="1448">
        <v>4</v>
      </c>
      <c r="M4" s="1448">
        <v>12</v>
      </c>
      <c r="N4" s="1448">
        <v>22</v>
      </c>
      <c r="O4" s="1448">
        <v>18</v>
      </c>
      <c r="P4" s="1448">
        <v>44</v>
      </c>
      <c r="Q4" s="1448">
        <v>44</v>
      </c>
      <c r="R4" s="1448">
        <v>44</v>
      </c>
      <c r="S4" s="1448">
        <v>32</v>
      </c>
      <c r="T4" s="1448">
        <v>2</v>
      </c>
      <c r="U4" s="1448">
        <v>32</v>
      </c>
    </row>
    <row r="5" spans="1:21" s="3" customFormat="1" x14ac:dyDescent="0.25">
      <c r="A5" s="3" t="s">
        <v>203</v>
      </c>
      <c r="B5" s="1448">
        <v>128</v>
      </c>
      <c r="C5" s="1448">
        <v>33</v>
      </c>
      <c r="D5" s="1448">
        <v>33</v>
      </c>
      <c r="E5" s="1448">
        <v>64</v>
      </c>
      <c r="F5" s="1448">
        <v>64</v>
      </c>
      <c r="G5" s="1448">
        <v>3</v>
      </c>
      <c r="H5" s="1448">
        <v>64</v>
      </c>
      <c r="I5" s="1448">
        <v>64</v>
      </c>
      <c r="J5" s="1448"/>
      <c r="K5" s="1448"/>
      <c r="L5" s="1448">
        <v>6</v>
      </c>
      <c r="M5" s="1448">
        <v>50</v>
      </c>
      <c r="N5" s="1448">
        <v>122</v>
      </c>
      <c r="O5" s="1448">
        <v>108</v>
      </c>
      <c r="P5" s="1448">
        <v>122</v>
      </c>
      <c r="Q5" s="1448">
        <v>122</v>
      </c>
      <c r="R5" s="1448">
        <v>122</v>
      </c>
      <c r="S5" s="1448">
        <v>76</v>
      </c>
      <c r="T5" s="1448"/>
      <c r="U5" s="1448">
        <v>84</v>
      </c>
    </row>
    <row r="6" spans="1:21" s="3" customFormat="1" x14ac:dyDescent="0.25">
      <c r="A6" s="3" t="s">
        <v>493</v>
      </c>
      <c r="B6" s="1448"/>
      <c r="C6" s="1448"/>
      <c r="D6" s="1448"/>
      <c r="E6" s="1448"/>
      <c r="F6" s="1448"/>
      <c r="G6" s="1448"/>
      <c r="H6" s="1448"/>
      <c r="I6" s="1448"/>
      <c r="J6" s="1448"/>
      <c r="K6" s="1448"/>
      <c r="L6" s="1448"/>
      <c r="M6" s="1448"/>
      <c r="N6" s="1448"/>
      <c r="O6" s="1448"/>
      <c r="P6" s="1448"/>
      <c r="Q6" s="1448"/>
      <c r="R6" s="1448"/>
      <c r="S6" s="1448"/>
      <c r="T6" s="1448"/>
      <c r="U6" s="1448"/>
    </row>
    <row r="7" spans="1:21" s="3" customFormat="1" x14ac:dyDescent="0.25">
      <c r="A7" s="3" t="s">
        <v>494</v>
      </c>
      <c r="B7" s="1448">
        <v>172</v>
      </c>
      <c r="C7" s="1448">
        <v>50</v>
      </c>
      <c r="D7" s="1448">
        <v>50</v>
      </c>
      <c r="E7" s="1448">
        <v>96</v>
      </c>
      <c r="F7" s="1448">
        <v>96</v>
      </c>
      <c r="G7" s="1448">
        <v>3</v>
      </c>
      <c r="H7" s="1448">
        <v>96</v>
      </c>
      <c r="I7" s="1448">
        <v>96</v>
      </c>
      <c r="J7" s="1448"/>
      <c r="K7" s="1448">
        <v>1</v>
      </c>
      <c r="L7" s="1448">
        <v>10</v>
      </c>
      <c r="M7" s="1448">
        <v>62</v>
      </c>
      <c r="N7" s="1448">
        <v>144</v>
      </c>
      <c r="O7" s="1448">
        <v>126</v>
      </c>
      <c r="P7" s="1448">
        <v>166</v>
      </c>
      <c r="Q7" s="1448">
        <v>166</v>
      </c>
      <c r="R7" s="1448">
        <v>166</v>
      </c>
      <c r="S7" s="1448">
        <v>108</v>
      </c>
      <c r="T7" s="1448">
        <v>2</v>
      </c>
      <c r="U7" s="1448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126A-207E-40E4-A2FD-AF97528D2972}">
  <dimension ref="A1:AM123"/>
  <sheetViews>
    <sheetView topLeftCell="A6" workbookViewId="0"/>
  </sheetViews>
  <sheetFormatPr defaultRowHeight="13.2" x14ac:dyDescent="0.25"/>
  <cols>
    <col min="2" max="2" width="11.44140625" bestFit="1" customWidth="1"/>
    <col min="4" max="4" width="18.5546875" bestFit="1" customWidth="1"/>
    <col min="5" max="5" width="12.5546875" bestFit="1" customWidth="1"/>
    <col min="6" max="6" width="10.44140625" bestFit="1" customWidth="1"/>
    <col min="7" max="7" width="9.5546875" bestFit="1" customWidth="1"/>
    <col min="8" max="8" width="10.44140625" bestFit="1" customWidth="1"/>
    <col min="9" max="9" width="11.5546875" bestFit="1" customWidth="1"/>
    <col min="10" max="10" width="21.5546875" bestFit="1" customWidth="1"/>
    <col min="11" max="11" width="26.44140625" bestFit="1" customWidth="1"/>
    <col min="12" max="12" width="75.44140625" bestFit="1" customWidth="1"/>
    <col min="13" max="13" width="28.44140625" bestFit="1" customWidth="1"/>
    <col min="14" max="14" width="59.44140625" bestFit="1" customWidth="1"/>
    <col min="15" max="15" width="19.5546875" bestFit="1" customWidth="1"/>
    <col min="16" max="16" width="22" bestFit="1" customWidth="1"/>
    <col min="17" max="17" width="48.44140625" bestFit="1" customWidth="1"/>
    <col min="18" max="18" width="40" bestFit="1" customWidth="1"/>
    <col min="19" max="19" width="34" bestFit="1" customWidth="1"/>
    <col min="20" max="20" width="36.5546875" bestFit="1" customWidth="1"/>
    <col min="21" max="21" width="47.5546875" bestFit="1" customWidth="1"/>
    <col min="22" max="22" width="30.5546875" bestFit="1" customWidth="1"/>
    <col min="23" max="23" width="60.5546875" bestFit="1" customWidth="1"/>
    <col min="24" max="24" width="36.44140625" bestFit="1" customWidth="1"/>
    <col min="25" max="25" width="52" bestFit="1" customWidth="1"/>
    <col min="26" max="26" width="44.5546875" bestFit="1" customWidth="1"/>
    <col min="27" max="27" width="23.44140625" bestFit="1" customWidth="1"/>
    <col min="28" max="28" width="48.5546875" bestFit="1" customWidth="1"/>
    <col min="29" max="29" width="47.44140625" bestFit="1" customWidth="1"/>
    <col min="30" max="30" width="41.5546875" bestFit="1" customWidth="1"/>
    <col min="31" max="31" width="16.44140625" bestFit="1" customWidth="1"/>
    <col min="32" max="32" width="26.5546875" bestFit="1" customWidth="1"/>
    <col min="33" max="33" width="83.5546875" bestFit="1" customWidth="1"/>
    <col min="34" max="34" width="63.5546875" bestFit="1" customWidth="1"/>
    <col min="35" max="35" width="68.5546875" bestFit="1" customWidth="1"/>
    <col min="36" max="36" width="35.44140625" bestFit="1" customWidth="1"/>
    <col min="37" max="37" width="26.5546875" bestFit="1" customWidth="1"/>
    <col min="38" max="38" width="30.44140625" bestFit="1" customWidth="1"/>
    <col min="39" max="39" width="40.5546875" bestFit="1" customWidth="1"/>
  </cols>
  <sheetData>
    <row r="1" spans="1:39" ht="237.6" x14ac:dyDescent="0.25">
      <c r="A1" s="979" t="s">
        <v>495</v>
      </c>
    </row>
    <row r="3" spans="1:3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0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496</v>
      </c>
      <c r="AH3" t="s">
        <v>50</v>
      </c>
      <c r="AI3" t="s">
        <v>51</v>
      </c>
      <c r="AJ3" t="s">
        <v>52</v>
      </c>
      <c r="AK3" t="s">
        <v>53</v>
      </c>
      <c r="AL3" t="s">
        <v>197</v>
      </c>
      <c r="AM3" t="s">
        <v>198</v>
      </c>
    </row>
    <row r="4" spans="1:39" ht="26.4" x14ac:dyDescent="0.25">
      <c r="A4">
        <v>83</v>
      </c>
      <c r="B4">
        <v>30597</v>
      </c>
      <c r="C4" t="s">
        <v>64</v>
      </c>
      <c r="D4" t="s">
        <v>166</v>
      </c>
      <c r="E4" t="s">
        <v>56</v>
      </c>
      <c r="F4" t="s">
        <v>57</v>
      </c>
      <c r="G4" t="s">
        <v>11</v>
      </c>
      <c r="H4" s="646">
        <v>43053</v>
      </c>
      <c r="I4">
        <v>110</v>
      </c>
      <c r="J4" t="s">
        <v>58</v>
      </c>
      <c r="K4" s="653" t="s">
        <v>59</v>
      </c>
      <c r="L4" s="646">
        <v>44335</v>
      </c>
      <c r="M4" t="s">
        <v>60</v>
      </c>
      <c r="N4" s="646">
        <v>44464</v>
      </c>
      <c r="O4" s="646">
        <v>45310</v>
      </c>
      <c r="R4" t="s">
        <v>68</v>
      </c>
      <c r="T4" t="s">
        <v>68</v>
      </c>
      <c r="Z4" t="s">
        <v>68</v>
      </c>
      <c r="AD4" t="s">
        <v>68</v>
      </c>
      <c r="AF4" t="s">
        <v>68</v>
      </c>
      <c r="AG4" s="646">
        <v>45464</v>
      </c>
      <c r="AH4" t="s">
        <v>121</v>
      </c>
      <c r="AI4" s="646">
        <v>45209</v>
      </c>
      <c r="AJ4" t="s">
        <v>121</v>
      </c>
    </row>
    <row r="5" spans="1:39" ht="26.4" x14ac:dyDescent="0.25">
      <c r="A5">
        <v>84</v>
      </c>
      <c r="B5">
        <v>30597</v>
      </c>
      <c r="C5" t="s">
        <v>54</v>
      </c>
      <c r="D5" t="s">
        <v>167</v>
      </c>
      <c r="E5" t="s">
        <v>56</v>
      </c>
      <c r="F5" t="s">
        <v>57</v>
      </c>
      <c r="G5" t="s">
        <v>11</v>
      </c>
      <c r="H5" s="646">
        <v>43053</v>
      </c>
      <c r="I5">
        <v>113</v>
      </c>
      <c r="J5" t="s">
        <v>58</v>
      </c>
      <c r="K5" s="653" t="s">
        <v>59</v>
      </c>
      <c r="L5" s="646">
        <v>44335</v>
      </c>
      <c r="M5" t="s">
        <v>60</v>
      </c>
      <c r="N5" s="646">
        <v>44464</v>
      </c>
      <c r="O5" s="646">
        <v>45310</v>
      </c>
      <c r="R5" t="s">
        <v>62</v>
      </c>
      <c r="T5" t="s">
        <v>62</v>
      </c>
      <c r="Z5" t="s">
        <v>62</v>
      </c>
      <c r="AD5" t="s">
        <v>62</v>
      </c>
      <c r="AF5" t="s">
        <v>62</v>
      </c>
      <c r="AG5" s="646">
        <v>45464</v>
      </c>
      <c r="AH5" t="s">
        <v>121</v>
      </c>
      <c r="AI5" s="646">
        <v>45209</v>
      </c>
      <c r="AJ5" t="s">
        <v>121</v>
      </c>
    </row>
    <row r="6" spans="1:39" ht="26.4" x14ac:dyDescent="0.25">
      <c r="A6">
        <v>91</v>
      </c>
      <c r="B6">
        <v>37069</v>
      </c>
      <c r="C6" t="s">
        <v>64</v>
      </c>
      <c r="D6" t="s">
        <v>172</v>
      </c>
      <c r="E6" t="s">
        <v>56</v>
      </c>
      <c r="F6" t="s">
        <v>57</v>
      </c>
      <c r="G6" t="s">
        <v>11</v>
      </c>
      <c r="H6" s="646">
        <v>43461</v>
      </c>
      <c r="I6">
        <v>254</v>
      </c>
      <c r="J6" t="s">
        <v>58</v>
      </c>
      <c r="K6" s="653" t="s">
        <v>59</v>
      </c>
      <c r="L6" s="646">
        <v>44270</v>
      </c>
      <c r="M6" t="s">
        <v>60</v>
      </c>
      <c r="N6" s="646">
        <v>44270</v>
      </c>
      <c r="O6" s="646">
        <v>45286</v>
      </c>
      <c r="P6" s="646">
        <v>45049</v>
      </c>
      <c r="R6" t="s">
        <v>68</v>
      </c>
      <c r="T6" t="s">
        <v>68</v>
      </c>
      <c r="U6" t="s">
        <v>68</v>
      </c>
      <c r="Y6" t="s">
        <v>68</v>
      </c>
      <c r="Z6" t="s">
        <v>68</v>
      </c>
      <c r="AD6" t="s">
        <v>68</v>
      </c>
      <c r="AF6" t="s">
        <v>68</v>
      </c>
      <c r="AG6" s="646">
        <v>45465</v>
      </c>
      <c r="AH6" t="s">
        <v>121</v>
      </c>
      <c r="AI6" s="646">
        <v>45194</v>
      </c>
      <c r="AJ6" t="s">
        <v>121</v>
      </c>
    </row>
    <row r="7" spans="1:39" ht="26.4" x14ac:dyDescent="0.25">
      <c r="A7">
        <v>92</v>
      </c>
      <c r="B7">
        <v>37069</v>
      </c>
      <c r="C7" t="s">
        <v>54</v>
      </c>
      <c r="D7" t="s">
        <v>173</v>
      </c>
      <c r="E7" t="s">
        <v>56</v>
      </c>
      <c r="F7" t="s">
        <v>57</v>
      </c>
      <c r="G7" t="s">
        <v>11</v>
      </c>
      <c r="H7" s="646">
        <v>43461</v>
      </c>
      <c r="I7">
        <v>264</v>
      </c>
      <c r="J7" t="s">
        <v>58</v>
      </c>
      <c r="K7" s="653" t="s">
        <v>59</v>
      </c>
      <c r="L7" s="646">
        <v>44270</v>
      </c>
      <c r="M7" t="s">
        <v>60</v>
      </c>
      <c r="N7" s="646">
        <v>44270</v>
      </c>
      <c r="O7" s="646">
        <v>45286</v>
      </c>
      <c r="P7" s="646">
        <v>45049</v>
      </c>
      <c r="R7" t="s">
        <v>62</v>
      </c>
      <c r="T7" t="s">
        <v>62</v>
      </c>
      <c r="U7" t="s">
        <v>62</v>
      </c>
      <c r="Y7" t="s">
        <v>62</v>
      </c>
      <c r="Z7" t="s">
        <v>62</v>
      </c>
      <c r="AD7" t="s">
        <v>62</v>
      </c>
      <c r="AF7" t="s">
        <v>62</v>
      </c>
      <c r="AG7" s="646">
        <v>45465</v>
      </c>
      <c r="AH7" t="s">
        <v>121</v>
      </c>
      <c r="AI7" s="646">
        <v>45194</v>
      </c>
      <c r="AJ7" t="s">
        <v>121</v>
      </c>
    </row>
    <row r="8" spans="1:39" ht="26.4" x14ac:dyDescent="0.25">
      <c r="A8">
        <v>99</v>
      </c>
      <c r="B8">
        <v>37203</v>
      </c>
      <c r="C8" t="s">
        <v>64</v>
      </c>
      <c r="D8" t="s">
        <v>180</v>
      </c>
      <c r="E8" t="s">
        <v>56</v>
      </c>
      <c r="F8" t="s">
        <v>57</v>
      </c>
      <c r="G8" t="s">
        <v>11</v>
      </c>
      <c r="H8" s="646">
        <v>43638</v>
      </c>
      <c r="I8">
        <v>496</v>
      </c>
      <c r="J8" t="s">
        <v>58</v>
      </c>
      <c r="K8" s="653" t="s">
        <v>59</v>
      </c>
      <c r="L8" s="646">
        <v>44291</v>
      </c>
      <c r="M8" t="s">
        <v>60</v>
      </c>
      <c r="N8" s="646">
        <v>44196</v>
      </c>
      <c r="O8" s="646">
        <v>45309</v>
      </c>
      <c r="R8" t="s">
        <v>68</v>
      </c>
      <c r="T8" t="s">
        <v>68</v>
      </c>
      <c r="U8" t="s">
        <v>68</v>
      </c>
      <c r="Y8" t="s">
        <v>68</v>
      </c>
      <c r="Z8" t="s">
        <v>68</v>
      </c>
      <c r="AD8" t="s">
        <v>68</v>
      </c>
      <c r="AF8" t="s">
        <v>68</v>
      </c>
      <c r="AG8" s="646">
        <v>45465</v>
      </c>
      <c r="AH8" t="s">
        <v>121</v>
      </c>
      <c r="AI8" s="646">
        <v>45211</v>
      </c>
      <c r="AJ8" t="s">
        <v>121</v>
      </c>
    </row>
    <row r="9" spans="1:39" ht="26.4" x14ac:dyDescent="0.25">
      <c r="A9">
        <v>100</v>
      </c>
      <c r="B9">
        <v>37203</v>
      </c>
      <c r="C9" t="s">
        <v>54</v>
      </c>
      <c r="D9" t="s">
        <v>181</v>
      </c>
      <c r="E9" t="s">
        <v>56</v>
      </c>
      <c r="F9" t="s">
        <v>57</v>
      </c>
      <c r="G9" t="s">
        <v>11</v>
      </c>
      <c r="H9" s="646">
        <v>43638</v>
      </c>
      <c r="I9">
        <v>471</v>
      </c>
      <c r="J9" t="s">
        <v>58</v>
      </c>
      <c r="K9" s="653" t="s">
        <v>59</v>
      </c>
      <c r="L9" s="646">
        <v>44291</v>
      </c>
      <c r="M9" t="s">
        <v>60</v>
      </c>
      <c r="N9" s="646">
        <v>44196</v>
      </c>
      <c r="O9" s="646">
        <v>45309</v>
      </c>
      <c r="R9" t="s">
        <v>62</v>
      </c>
      <c r="T9" t="s">
        <v>62</v>
      </c>
      <c r="U9" t="s">
        <v>62</v>
      </c>
      <c r="Y9" t="s">
        <v>62</v>
      </c>
      <c r="Z9" t="s">
        <v>62</v>
      </c>
      <c r="AD9" t="s">
        <v>62</v>
      </c>
      <c r="AG9" s="646">
        <v>45465</v>
      </c>
      <c r="AH9" t="s">
        <v>121</v>
      </c>
      <c r="AI9" s="646">
        <v>45211</v>
      </c>
      <c r="AJ9" t="s">
        <v>121</v>
      </c>
    </row>
    <row r="10" spans="1:39" ht="26.4" x14ac:dyDescent="0.25">
      <c r="A10">
        <v>105</v>
      </c>
      <c r="B10">
        <v>37208</v>
      </c>
      <c r="C10" t="s">
        <v>64</v>
      </c>
      <c r="D10" t="s">
        <v>185</v>
      </c>
      <c r="E10" t="s">
        <v>56</v>
      </c>
      <c r="F10" t="s">
        <v>57</v>
      </c>
      <c r="G10" t="s">
        <v>11</v>
      </c>
      <c r="H10" s="646">
        <v>43641</v>
      </c>
      <c r="I10">
        <v>499</v>
      </c>
      <c r="J10" t="s">
        <v>58</v>
      </c>
      <c r="K10" s="653" t="s">
        <v>59</v>
      </c>
      <c r="L10" s="646">
        <v>44250</v>
      </c>
      <c r="M10" t="s">
        <v>60</v>
      </c>
      <c r="N10" s="646">
        <v>44188</v>
      </c>
      <c r="O10" s="646">
        <v>45114</v>
      </c>
      <c r="R10" t="s">
        <v>68</v>
      </c>
      <c r="T10" t="s">
        <v>68</v>
      </c>
      <c r="U10" t="s">
        <v>68</v>
      </c>
      <c r="Y10" t="s">
        <v>68</v>
      </c>
      <c r="Z10" t="s">
        <v>68</v>
      </c>
      <c r="AD10" t="s">
        <v>68</v>
      </c>
      <c r="AF10" t="s">
        <v>68</v>
      </c>
      <c r="AG10" s="646">
        <v>45465</v>
      </c>
      <c r="AI10" s="646">
        <v>45206</v>
      </c>
      <c r="AJ10" t="s">
        <v>63</v>
      </c>
      <c r="AM10" s="646">
        <v>45467</v>
      </c>
    </row>
    <row r="11" spans="1:39" ht="26.4" x14ac:dyDescent="0.25">
      <c r="A11">
        <v>106</v>
      </c>
      <c r="B11">
        <v>37208</v>
      </c>
      <c r="C11" t="s">
        <v>54</v>
      </c>
      <c r="D11" t="s">
        <v>143</v>
      </c>
      <c r="E11" t="s">
        <v>56</v>
      </c>
      <c r="F11" t="s">
        <v>57</v>
      </c>
      <c r="G11" t="s">
        <v>11</v>
      </c>
      <c r="H11" s="646">
        <v>43641</v>
      </c>
      <c r="I11">
        <v>519</v>
      </c>
      <c r="J11" t="s">
        <v>58</v>
      </c>
      <c r="K11" s="653" t="s">
        <v>59</v>
      </c>
      <c r="L11" t="s">
        <v>63</v>
      </c>
      <c r="M11" t="s">
        <v>60</v>
      </c>
      <c r="N11" s="646">
        <v>44375</v>
      </c>
      <c r="O11" s="646">
        <v>45114</v>
      </c>
      <c r="Q11" t="s">
        <v>75</v>
      </c>
      <c r="R11" t="s">
        <v>62</v>
      </c>
      <c r="T11" t="s">
        <v>62</v>
      </c>
      <c r="Y11" t="s">
        <v>62</v>
      </c>
      <c r="Z11" t="s">
        <v>62</v>
      </c>
      <c r="AD11" t="s">
        <v>62</v>
      </c>
      <c r="AF11" t="s">
        <v>62</v>
      </c>
      <c r="AG11" s="646">
        <v>45465</v>
      </c>
      <c r="AI11" s="646">
        <v>45206</v>
      </c>
      <c r="AJ11" t="s">
        <v>63</v>
      </c>
      <c r="AM11" s="646">
        <v>45467</v>
      </c>
    </row>
    <row r="12" spans="1:39" ht="26.4" x14ac:dyDescent="0.25">
      <c r="A12">
        <v>124</v>
      </c>
      <c r="B12">
        <v>39082</v>
      </c>
      <c r="C12" t="s">
        <v>54</v>
      </c>
      <c r="D12" t="s">
        <v>149</v>
      </c>
      <c r="E12" t="s">
        <v>56</v>
      </c>
      <c r="F12" t="s">
        <v>57</v>
      </c>
      <c r="G12" t="s">
        <v>11</v>
      </c>
      <c r="H12" s="646">
        <v>43686</v>
      </c>
      <c r="I12">
        <v>486</v>
      </c>
      <c r="J12" t="s">
        <v>58</v>
      </c>
      <c r="K12" s="653" t="s">
        <v>59</v>
      </c>
      <c r="L12" s="646">
        <v>44246</v>
      </c>
      <c r="M12" t="s">
        <v>60</v>
      </c>
      <c r="N12" s="646">
        <v>44199</v>
      </c>
      <c r="R12" t="s">
        <v>62</v>
      </c>
      <c r="T12" t="s">
        <v>62</v>
      </c>
      <c r="U12" t="s">
        <v>62</v>
      </c>
      <c r="Z12" t="s">
        <v>62</v>
      </c>
      <c r="AD12" t="s">
        <v>62</v>
      </c>
      <c r="AF12" t="s">
        <v>62</v>
      </c>
      <c r="AG12" s="646">
        <v>45468</v>
      </c>
      <c r="AI12" s="646">
        <v>45168</v>
      </c>
      <c r="AJ12" t="s">
        <v>63</v>
      </c>
    </row>
    <row r="13" spans="1:39" ht="26.4" x14ac:dyDescent="0.25">
      <c r="A13">
        <v>123</v>
      </c>
      <c r="B13">
        <v>39082</v>
      </c>
      <c r="C13" t="s">
        <v>64</v>
      </c>
      <c r="D13" t="s">
        <v>150</v>
      </c>
      <c r="E13" t="s">
        <v>56</v>
      </c>
      <c r="F13" t="s">
        <v>57</v>
      </c>
      <c r="G13" t="s">
        <v>11</v>
      </c>
      <c r="H13" s="646">
        <v>43686</v>
      </c>
      <c r="I13">
        <v>488</v>
      </c>
      <c r="J13" t="s">
        <v>58</v>
      </c>
      <c r="K13" s="653" t="s">
        <v>59</v>
      </c>
      <c r="L13" s="646">
        <v>44246</v>
      </c>
      <c r="M13" t="s">
        <v>60</v>
      </c>
      <c r="N13" s="646">
        <v>44199</v>
      </c>
      <c r="R13" t="s">
        <v>68</v>
      </c>
      <c r="T13" t="s">
        <v>68</v>
      </c>
      <c r="U13" t="s">
        <v>68</v>
      </c>
      <c r="Z13" t="s">
        <v>68</v>
      </c>
      <c r="AB13" t="s">
        <v>151</v>
      </c>
      <c r="AD13" t="s">
        <v>68</v>
      </c>
      <c r="AF13" t="s">
        <v>68</v>
      </c>
      <c r="AG13" s="646">
        <v>45468</v>
      </c>
      <c r="AI13" s="646">
        <v>45168</v>
      </c>
      <c r="AJ13" t="s">
        <v>63</v>
      </c>
    </row>
    <row r="14" spans="1:39" x14ac:dyDescent="0.25">
      <c r="B14">
        <v>30410</v>
      </c>
      <c r="C14" t="s">
        <v>54</v>
      </c>
      <c r="D14" t="s">
        <v>497</v>
      </c>
      <c r="E14" t="s">
        <v>56</v>
      </c>
      <c r="F14" t="s">
        <v>57</v>
      </c>
      <c r="G14" t="s">
        <v>11</v>
      </c>
      <c r="H14" s="646">
        <v>45300</v>
      </c>
      <c r="I14">
        <v>1345</v>
      </c>
      <c r="J14" t="s">
        <v>58</v>
      </c>
      <c r="K14" t="s">
        <v>82</v>
      </c>
      <c r="L14" t="s">
        <v>82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82</v>
      </c>
      <c r="S14" t="s">
        <v>82</v>
      </c>
      <c r="T14" t="s">
        <v>75</v>
      </c>
      <c r="U14" t="s">
        <v>82</v>
      </c>
      <c r="V14" t="s">
        <v>75</v>
      </c>
      <c r="W14" t="s">
        <v>82</v>
      </c>
      <c r="X14" t="s">
        <v>82</v>
      </c>
      <c r="Y14" t="s">
        <v>82</v>
      </c>
      <c r="Z14" t="s">
        <v>75</v>
      </c>
      <c r="AA14" t="s">
        <v>82</v>
      </c>
      <c r="AB14" t="s">
        <v>75</v>
      </c>
      <c r="AC14" t="s">
        <v>82</v>
      </c>
      <c r="AD14" t="s">
        <v>82</v>
      </c>
      <c r="AE14" s="646">
        <v>45300</v>
      </c>
      <c r="AF14" t="s">
        <v>498</v>
      </c>
      <c r="AG14" s="646">
        <v>45469</v>
      </c>
      <c r="AJ14" t="s">
        <v>121</v>
      </c>
    </row>
    <row r="15" spans="1:39" x14ac:dyDescent="0.25">
      <c r="A15">
        <v>196</v>
      </c>
      <c r="B15">
        <v>30410</v>
      </c>
      <c r="C15" t="s">
        <v>64</v>
      </c>
      <c r="D15" t="s">
        <v>499</v>
      </c>
      <c r="E15" t="s">
        <v>56</v>
      </c>
      <c r="F15" t="s">
        <v>57</v>
      </c>
      <c r="G15" t="s">
        <v>11</v>
      </c>
      <c r="H15" s="646">
        <v>45300</v>
      </c>
      <c r="I15">
        <v>1356</v>
      </c>
      <c r="J15" t="s">
        <v>58</v>
      </c>
      <c r="K15" t="s">
        <v>82</v>
      </c>
      <c r="L15" t="s">
        <v>82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82</v>
      </c>
      <c r="S15" t="s">
        <v>82</v>
      </c>
      <c r="T15" t="s">
        <v>75</v>
      </c>
      <c r="U15" t="s">
        <v>82</v>
      </c>
      <c r="V15" t="s">
        <v>75</v>
      </c>
      <c r="W15" t="s">
        <v>82</v>
      </c>
      <c r="X15" t="s">
        <v>82</v>
      </c>
      <c r="Y15" t="s">
        <v>82</v>
      </c>
      <c r="Z15" t="s">
        <v>75</v>
      </c>
      <c r="AA15" t="s">
        <v>82</v>
      </c>
      <c r="AB15" t="s">
        <v>75</v>
      </c>
      <c r="AC15" t="s">
        <v>82</v>
      </c>
      <c r="AD15" t="s">
        <v>82</v>
      </c>
      <c r="AE15" s="646">
        <v>45300</v>
      </c>
      <c r="AF15" t="s">
        <v>498</v>
      </c>
      <c r="AG15" s="646">
        <v>45469</v>
      </c>
      <c r="AJ15" t="s">
        <v>121</v>
      </c>
    </row>
    <row r="16" spans="1:39" x14ac:dyDescent="0.25">
      <c r="B16">
        <v>30367</v>
      </c>
      <c r="C16" t="s">
        <v>54</v>
      </c>
      <c r="D16" t="s">
        <v>101</v>
      </c>
      <c r="E16" t="s">
        <v>56</v>
      </c>
      <c r="F16" t="s">
        <v>57</v>
      </c>
      <c r="G16" t="s">
        <v>11</v>
      </c>
      <c r="H16" s="646">
        <v>45005</v>
      </c>
      <c r="I16">
        <v>1386</v>
      </c>
      <c r="J16" t="s">
        <v>58</v>
      </c>
      <c r="O16" s="646">
        <v>45289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X16" t="s">
        <v>75</v>
      </c>
      <c r="Y16" t="s">
        <v>82</v>
      </c>
      <c r="Z16" t="s">
        <v>75</v>
      </c>
      <c r="AD16" t="s">
        <v>75</v>
      </c>
      <c r="AE16" t="s">
        <v>82</v>
      </c>
      <c r="AF16" t="s">
        <v>75</v>
      </c>
      <c r="AG16" s="646">
        <v>45469</v>
      </c>
      <c r="AI16" s="646">
        <v>45196</v>
      </c>
      <c r="AJ16" t="s">
        <v>121</v>
      </c>
    </row>
    <row r="17" spans="1:39" x14ac:dyDescent="0.25">
      <c r="A17">
        <v>181</v>
      </c>
      <c r="B17">
        <v>30367</v>
      </c>
      <c r="C17" t="s">
        <v>64</v>
      </c>
      <c r="D17" t="s">
        <v>102</v>
      </c>
      <c r="E17" t="s">
        <v>56</v>
      </c>
      <c r="F17" t="s">
        <v>57</v>
      </c>
      <c r="G17" t="s">
        <v>11</v>
      </c>
      <c r="H17" s="646">
        <v>45005</v>
      </c>
      <c r="I17">
        <v>1388</v>
      </c>
      <c r="J17" t="s">
        <v>58</v>
      </c>
      <c r="O17" s="646">
        <v>45289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X17" t="s">
        <v>75</v>
      </c>
      <c r="Y17" t="s">
        <v>82</v>
      </c>
      <c r="Z17" t="s">
        <v>75</v>
      </c>
      <c r="AD17" t="s">
        <v>75</v>
      </c>
      <c r="AE17" t="s">
        <v>82</v>
      </c>
      <c r="AF17" t="s">
        <v>75</v>
      </c>
      <c r="AG17" s="646">
        <v>45469</v>
      </c>
      <c r="AI17" s="646">
        <v>45196</v>
      </c>
      <c r="AJ17" t="s">
        <v>121</v>
      </c>
    </row>
    <row r="18" spans="1:39" ht="26.4" x14ac:dyDescent="0.25">
      <c r="A18">
        <v>146</v>
      </c>
      <c r="B18">
        <v>30350</v>
      </c>
      <c r="C18" t="s">
        <v>54</v>
      </c>
      <c r="D18" t="s">
        <v>113</v>
      </c>
      <c r="E18" t="s">
        <v>56</v>
      </c>
      <c r="F18" t="s">
        <v>57</v>
      </c>
      <c r="G18" t="s">
        <v>11</v>
      </c>
      <c r="I18">
        <v>1118</v>
      </c>
      <c r="J18" t="s">
        <v>58</v>
      </c>
      <c r="K18" s="653" t="s">
        <v>59</v>
      </c>
      <c r="L18" t="s">
        <v>75</v>
      </c>
      <c r="M18" t="s">
        <v>60</v>
      </c>
      <c r="N18" t="s">
        <v>75</v>
      </c>
      <c r="O18" s="646">
        <v>45289</v>
      </c>
      <c r="Q18" t="s">
        <v>75</v>
      </c>
      <c r="R18" t="s">
        <v>75</v>
      </c>
      <c r="S18" t="s">
        <v>75</v>
      </c>
      <c r="T18" t="s">
        <v>62</v>
      </c>
      <c r="U18" t="s">
        <v>62</v>
      </c>
      <c r="X18" t="s">
        <v>75</v>
      </c>
      <c r="Y18" t="s">
        <v>62</v>
      </c>
      <c r="Z18" t="s">
        <v>62</v>
      </c>
      <c r="AD18" t="s">
        <v>62</v>
      </c>
      <c r="AF18" t="s">
        <v>62</v>
      </c>
      <c r="AG18" s="646">
        <v>45469</v>
      </c>
      <c r="AH18" t="s">
        <v>121</v>
      </c>
      <c r="AI18" s="646">
        <v>45198</v>
      </c>
      <c r="AJ18" t="s">
        <v>121</v>
      </c>
      <c r="AM18" s="646">
        <v>45463</v>
      </c>
    </row>
    <row r="19" spans="1:39" ht="26.4" x14ac:dyDescent="0.25">
      <c r="A19">
        <v>145</v>
      </c>
      <c r="B19">
        <v>30350</v>
      </c>
      <c r="C19" t="s">
        <v>64</v>
      </c>
      <c r="D19" t="s">
        <v>114</v>
      </c>
      <c r="E19" t="s">
        <v>56</v>
      </c>
      <c r="F19" t="s">
        <v>57</v>
      </c>
      <c r="G19" t="s">
        <v>11</v>
      </c>
      <c r="I19">
        <v>1120</v>
      </c>
      <c r="J19" t="s">
        <v>58</v>
      </c>
      <c r="K19" s="653" t="s">
        <v>59</v>
      </c>
      <c r="L19" t="s">
        <v>75</v>
      </c>
      <c r="M19" t="s">
        <v>60</v>
      </c>
      <c r="N19" t="s">
        <v>75</v>
      </c>
      <c r="O19" s="646">
        <v>45289</v>
      </c>
      <c r="Q19" t="s">
        <v>75</v>
      </c>
      <c r="R19" t="s">
        <v>75</v>
      </c>
      <c r="S19" t="s">
        <v>75</v>
      </c>
      <c r="T19" t="s">
        <v>68</v>
      </c>
      <c r="U19" t="s">
        <v>68</v>
      </c>
      <c r="X19" t="s">
        <v>75</v>
      </c>
      <c r="Y19" t="s">
        <v>68</v>
      </c>
      <c r="Z19" t="s">
        <v>68</v>
      </c>
      <c r="AD19" t="s">
        <v>68</v>
      </c>
      <c r="AF19" t="s">
        <v>68</v>
      </c>
      <c r="AG19" s="646">
        <v>45469</v>
      </c>
      <c r="AH19" t="s">
        <v>121</v>
      </c>
      <c r="AI19" s="646">
        <v>45198</v>
      </c>
      <c r="AJ19" t="s">
        <v>121</v>
      </c>
      <c r="AM19" s="646">
        <v>45463</v>
      </c>
    </row>
    <row r="20" spans="1:39" ht="26.4" x14ac:dyDescent="0.25">
      <c r="A20">
        <v>128</v>
      </c>
      <c r="B20">
        <v>39121</v>
      </c>
      <c r="C20" t="s">
        <v>54</v>
      </c>
      <c r="D20" t="s">
        <v>124</v>
      </c>
      <c r="E20" t="s">
        <v>56</v>
      </c>
      <c r="F20" t="s">
        <v>57</v>
      </c>
      <c r="G20" t="s">
        <v>11</v>
      </c>
      <c r="H20" s="646">
        <v>43840</v>
      </c>
      <c r="I20">
        <v>675</v>
      </c>
      <c r="J20" t="s">
        <v>58</v>
      </c>
      <c r="K20" s="653" t="s">
        <v>59</v>
      </c>
      <c r="L20" s="646">
        <v>44551</v>
      </c>
      <c r="M20" t="s">
        <v>60</v>
      </c>
      <c r="N20" s="646">
        <v>44643</v>
      </c>
      <c r="O20" s="646">
        <v>45072</v>
      </c>
      <c r="Q20" t="s">
        <v>75</v>
      </c>
      <c r="R20" t="s">
        <v>75</v>
      </c>
      <c r="T20" t="s">
        <v>62</v>
      </c>
      <c r="U20" t="s">
        <v>62</v>
      </c>
      <c r="W20" t="s">
        <v>62</v>
      </c>
      <c r="Z20" t="s">
        <v>62</v>
      </c>
      <c r="AD20" t="s">
        <v>62</v>
      </c>
      <c r="AF20" t="s">
        <v>62</v>
      </c>
      <c r="AG20" s="646">
        <v>45469</v>
      </c>
    </row>
    <row r="21" spans="1:39" ht="26.4" x14ac:dyDescent="0.25">
      <c r="A21">
        <v>127</v>
      </c>
      <c r="B21">
        <v>39121</v>
      </c>
      <c r="C21" t="s">
        <v>64</v>
      </c>
      <c r="D21" t="s">
        <v>125</v>
      </c>
      <c r="E21" t="s">
        <v>56</v>
      </c>
      <c r="F21" t="s">
        <v>57</v>
      </c>
      <c r="G21" t="s">
        <v>11</v>
      </c>
      <c r="H21" s="646">
        <v>43840</v>
      </c>
      <c r="I21">
        <v>670</v>
      </c>
      <c r="J21" t="s">
        <v>58</v>
      </c>
      <c r="K21" s="653" t="s">
        <v>59</v>
      </c>
      <c r="L21" s="646">
        <v>44551</v>
      </c>
      <c r="M21" t="s">
        <v>60</v>
      </c>
      <c r="N21" s="646">
        <v>44549</v>
      </c>
      <c r="O21" s="646">
        <v>45072</v>
      </c>
      <c r="Q21" t="s">
        <v>75</v>
      </c>
      <c r="R21" t="s">
        <v>75</v>
      </c>
      <c r="T21" t="s">
        <v>68</v>
      </c>
      <c r="U21" t="s">
        <v>68</v>
      </c>
      <c r="W21" t="s">
        <v>68</v>
      </c>
      <c r="Z21" t="s">
        <v>68</v>
      </c>
      <c r="AD21" t="s">
        <v>68</v>
      </c>
      <c r="AF21" t="s">
        <v>68</v>
      </c>
      <c r="AG21" s="646">
        <v>45469</v>
      </c>
    </row>
    <row r="22" spans="1:39" ht="26.4" x14ac:dyDescent="0.25">
      <c r="A22">
        <v>136</v>
      </c>
      <c r="B22">
        <v>37581</v>
      </c>
      <c r="C22" t="s">
        <v>64</v>
      </c>
      <c r="D22" t="s">
        <v>122</v>
      </c>
      <c r="E22" t="s">
        <v>56</v>
      </c>
      <c r="F22" t="s">
        <v>57</v>
      </c>
      <c r="G22" t="s">
        <v>11</v>
      </c>
      <c r="H22" s="646">
        <v>44334</v>
      </c>
      <c r="I22">
        <v>757</v>
      </c>
      <c r="J22" t="s">
        <v>58</v>
      </c>
      <c r="K22" s="653" t="s">
        <v>59</v>
      </c>
      <c r="L22" t="s">
        <v>63</v>
      </c>
      <c r="M22" t="s">
        <v>60</v>
      </c>
      <c r="N22" t="s">
        <v>75</v>
      </c>
      <c r="O22" s="646">
        <v>45145</v>
      </c>
      <c r="Q22" t="s">
        <v>75</v>
      </c>
      <c r="R22" t="s">
        <v>75</v>
      </c>
      <c r="T22" t="s">
        <v>62</v>
      </c>
      <c r="U22" t="s">
        <v>62</v>
      </c>
      <c r="Z22" t="s">
        <v>62</v>
      </c>
      <c r="AD22" t="s">
        <v>62</v>
      </c>
      <c r="AG22" s="646">
        <v>45470</v>
      </c>
      <c r="AH22" t="s">
        <v>121</v>
      </c>
      <c r="AI22" s="646">
        <v>45232</v>
      </c>
      <c r="AJ22" t="s">
        <v>121</v>
      </c>
    </row>
    <row r="23" spans="1:39" ht="26.4" x14ac:dyDescent="0.25">
      <c r="A23">
        <v>135</v>
      </c>
      <c r="B23">
        <v>37581</v>
      </c>
      <c r="C23" t="s">
        <v>54</v>
      </c>
      <c r="D23" t="s">
        <v>123</v>
      </c>
      <c r="E23" t="s">
        <v>56</v>
      </c>
      <c r="F23" t="s">
        <v>57</v>
      </c>
      <c r="G23" t="s">
        <v>11</v>
      </c>
      <c r="H23" s="646">
        <v>44334</v>
      </c>
      <c r="I23">
        <v>755</v>
      </c>
      <c r="J23" t="s">
        <v>58</v>
      </c>
      <c r="K23" s="653" t="s">
        <v>59</v>
      </c>
      <c r="L23" t="s">
        <v>63</v>
      </c>
      <c r="M23" t="s">
        <v>60</v>
      </c>
      <c r="N23" t="s">
        <v>75</v>
      </c>
      <c r="O23" s="646">
        <v>45145</v>
      </c>
      <c r="Q23" t="s">
        <v>75</v>
      </c>
      <c r="R23" t="s">
        <v>75</v>
      </c>
      <c r="T23" t="s">
        <v>68</v>
      </c>
      <c r="U23" t="s">
        <v>68</v>
      </c>
      <c r="Z23" t="s">
        <v>68</v>
      </c>
      <c r="AD23" t="s">
        <v>68</v>
      </c>
      <c r="AG23" s="646">
        <v>45470</v>
      </c>
      <c r="AH23" t="s">
        <v>121</v>
      </c>
      <c r="AI23" s="646">
        <v>45232</v>
      </c>
      <c r="AJ23" t="s">
        <v>121</v>
      </c>
    </row>
    <row r="24" spans="1:39" ht="26.4" x14ac:dyDescent="0.25">
      <c r="A24">
        <v>71</v>
      </c>
      <c r="B24">
        <v>30475</v>
      </c>
      <c r="C24" t="s">
        <v>64</v>
      </c>
      <c r="D24" t="s">
        <v>158</v>
      </c>
      <c r="E24" t="s">
        <v>56</v>
      </c>
      <c r="F24" t="s">
        <v>57</v>
      </c>
      <c r="G24" t="s">
        <v>11</v>
      </c>
      <c r="H24" s="646">
        <v>42511</v>
      </c>
      <c r="I24">
        <v>47</v>
      </c>
      <c r="J24" t="s">
        <v>66</v>
      </c>
      <c r="K24" s="653" t="s">
        <v>59</v>
      </c>
      <c r="L24" s="646">
        <v>44168</v>
      </c>
      <c r="M24" t="s">
        <v>67</v>
      </c>
      <c r="N24" t="s">
        <v>63</v>
      </c>
      <c r="O24" s="646">
        <v>45281</v>
      </c>
      <c r="R24" t="s">
        <v>68</v>
      </c>
      <c r="T24" t="s">
        <v>68</v>
      </c>
      <c r="Y24" t="s">
        <v>68</v>
      </c>
      <c r="Z24" t="s">
        <v>68</v>
      </c>
      <c r="AD24" t="s">
        <v>68</v>
      </c>
      <c r="AG24" s="646">
        <v>45470</v>
      </c>
      <c r="AH24" t="s">
        <v>121</v>
      </c>
      <c r="AI24" s="646">
        <v>45192</v>
      </c>
      <c r="AJ24" t="s">
        <v>121</v>
      </c>
    </row>
    <row r="25" spans="1:39" ht="26.4" x14ac:dyDescent="0.25">
      <c r="A25">
        <v>72</v>
      </c>
      <c r="B25">
        <v>30475</v>
      </c>
      <c r="C25" t="s">
        <v>54</v>
      </c>
      <c r="D25" t="s">
        <v>159</v>
      </c>
      <c r="E25" t="s">
        <v>56</v>
      </c>
      <c r="F25" t="s">
        <v>57</v>
      </c>
      <c r="G25" t="s">
        <v>11</v>
      </c>
      <c r="H25" s="646">
        <v>42511</v>
      </c>
      <c r="I25">
        <v>48</v>
      </c>
      <c r="J25" t="s">
        <v>66</v>
      </c>
      <c r="K25" s="653" t="s">
        <v>59</v>
      </c>
      <c r="L25" s="646">
        <v>44168</v>
      </c>
      <c r="M25" t="s">
        <v>67</v>
      </c>
      <c r="N25" t="s">
        <v>63</v>
      </c>
      <c r="O25" s="646">
        <v>45281</v>
      </c>
      <c r="R25" t="s">
        <v>62</v>
      </c>
      <c r="T25" t="s">
        <v>62</v>
      </c>
      <c r="Y25" t="s">
        <v>62</v>
      </c>
      <c r="Z25" t="s">
        <v>62</v>
      </c>
      <c r="AD25" t="s">
        <v>62</v>
      </c>
      <c r="AG25" s="646">
        <v>45470</v>
      </c>
      <c r="AH25" t="s">
        <v>121</v>
      </c>
      <c r="AI25" s="646">
        <v>45192</v>
      </c>
      <c r="AJ25" t="s">
        <v>121</v>
      </c>
    </row>
    <row r="26" spans="1:39" ht="26.4" x14ac:dyDescent="0.25">
      <c r="A26">
        <v>81</v>
      </c>
      <c r="B26">
        <v>30545</v>
      </c>
      <c r="C26" t="s">
        <v>64</v>
      </c>
      <c r="D26" t="s">
        <v>164</v>
      </c>
      <c r="E26" t="s">
        <v>56</v>
      </c>
      <c r="F26" t="s">
        <v>57</v>
      </c>
      <c r="G26" t="s">
        <v>11</v>
      </c>
      <c r="H26" s="646">
        <v>42886</v>
      </c>
      <c r="I26">
        <v>83</v>
      </c>
      <c r="J26" t="s">
        <v>66</v>
      </c>
      <c r="K26" s="653" t="s">
        <v>59</v>
      </c>
      <c r="L26" s="646">
        <v>44176</v>
      </c>
      <c r="M26" t="s">
        <v>60</v>
      </c>
      <c r="N26" s="646">
        <v>44196</v>
      </c>
      <c r="O26" s="646">
        <v>45286</v>
      </c>
      <c r="P26" s="646">
        <v>44663</v>
      </c>
      <c r="R26" t="s">
        <v>68</v>
      </c>
      <c r="T26" t="s">
        <v>68</v>
      </c>
      <c r="Y26" t="s">
        <v>68</v>
      </c>
      <c r="Z26" t="s">
        <v>68</v>
      </c>
      <c r="AD26" t="s">
        <v>68</v>
      </c>
      <c r="AG26" s="646">
        <v>45470</v>
      </c>
      <c r="AH26" t="s">
        <v>121</v>
      </c>
      <c r="AI26" s="646">
        <v>45192</v>
      </c>
      <c r="AJ26" t="s">
        <v>121</v>
      </c>
    </row>
    <row r="27" spans="1:39" ht="26.4" x14ac:dyDescent="0.25">
      <c r="A27">
        <v>82</v>
      </c>
      <c r="B27">
        <v>30545</v>
      </c>
      <c r="C27" t="s">
        <v>54</v>
      </c>
      <c r="D27" t="s">
        <v>165</v>
      </c>
      <c r="E27" t="s">
        <v>56</v>
      </c>
      <c r="F27" t="s">
        <v>57</v>
      </c>
      <c r="G27" t="s">
        <v>11</v>
      </c>
      <c r="H27" s="646">
        <v>42886</v>
      </c>
      <c r="I27">
        <v>82</v>
      </c>
      <c r="J27" t="s">
        <v>66</v>
      </c>
      <c r="K27" s="653" t="s">
        <v>59</v>
      </c>
      <c r="L27" s="646">
        <v>44176</v>
      </c>
      <c r="M27" t="s">
        <v>60</v>
      </c>
      <c r="N27" s="646">
        <v>44196</v>
      </c>
      <c r="O27" s="646">
        <v>45286</v>
      </c>
      <c r="P27" s="646">
        <v>44663</v>
      </c>
      <c r="R27" t="s">
        <v>62</v>
      </c>
      <c r="T27" t="s">
        <v>62</v>
      </c>
      <c r="Y27" t="s">
        <v>62</v>
      </c>
      <c r="Z27" t="s">
        <v>62</v>
      </c>
      <c r="AD27" t="s">
        <v>62</v>
      </c>
      <c r="AG27" s="646">
        <v>45470</v>
      </c>
      <c r="AH27" t="s">
        <v>121</v>
      </c>
      <c r="AI27" s="646">
        <v>45192</v>
      </c>
      <c r="AJ27" t="s">
        <v>121</v>
      </c>
    </row>
    <row r="28" spans="1:39" ht="26.4" x14ac:dyDescent="0.25">
      <c r="A28">
        <v>95</v>
      </c>
      <c r="B28">
        <v>37143</v>
      </c>
      <c r="C28" t="s">
        <v>64</v>
      </c>
      <c r="D28" t="s">
        <v>176</v>
      </c>
      <c r="E28" t="s">
        <v>56</v>
      </c>
      <c r="F28" t="s">
        <v>57</v>
      </c>
      <c r="G28" t="s">
        <v>11</v>
      </c>
      <c r="H28" s="646">
        <v>43571</v>
      </c>
      <c r="I28">
        <v>413</v>
      </c>
      <c r="J28" t="s">
        <v>58</v>
      </c>
      <c r="K28" s="653" t="s">
        <v>59</v>
      </c>
      <c r="L28" s="646">
        <v>44180</v>
      </c>
      <c r="M28" t="s">
        <v>60</v>
      </c>
      <c r="N28" s="646">
        <v>44180</v>
      </c>
      <c r="O28" s="646">
        <v>45148</v>
      </c>
      <c r="R28" t="s">
        <v>68</v>
      </c>
      <c r="T28" t="s">
        <v>68</v>
      </c>
      <c r="U28" t="s">
        <v>68</v>
      </c>
      <c r="Y28" t="s">
        <v>68</v>
      </c>
      <c r="Z28" t="s">
        <v>68</v>
      </c>
      <c r="AB28" t="s">
        <v>500</v>
      </c>
      <c r="AD28" t="s">
        <v>68</v>
      </c>
      <c r="AF28" t="s">
        <v>68</v>
      </c>
      <c r="AG28" s="646">
        <v>45470</v>
      </c>
      <c r="AH28" t="s">
        <v>121</v>
      </c>
      <c r="AI28" s="646">
        <v>45215</v>
      </c>
      <c r="AJ28" t="s">
        <v>121</v>
      </c>
    </row>
    <row r="29" spans="1:39" ht="26.4" x14ac:dyDescent="0.25">
      <c r="A29">
        <v>96</v>
      </c>
      <c r="B29">
        <v>37143</v>
      </c>
      <c r="C29" t="s">
        <v>54</v>
      </c>
      <c r="D29" t="s">
        <v>55</v>
      </c>
      <c r="E29" t="s">
        <v>56</v>
      </c>
      <c r="F29" t="s">
        <v>57</v>
      </c>
      <c r="G29" t="s">
        <v>11</v>
      </c>
      <c r="H29" s="646">
        <v>43571</v>
      </c>
      <c r="I29">
        <v>412</v>
      </c>
      <c r="J29" t="s">
        <v>58</v>
      </c>
      <c r="K29" s="653" t="s">
        <v>59</v>
      </c>
      <c r="L29" s="646">
        <v>44180</v>
      </c>
      <c r="M29" t="s">
        <v>60</v>
      </c>
      <c r="N29" s="646">
        <v>44180</v>
      </c>
      <c r="O29" s="646">
        <v>45148</v>
      </c>
      <c r="Q29" t="s">
        <v>61</v>
      </c>
      <c r="R29" t="s">
        <v>62</v>
      </c>
      <c r="T29" t="s">
        <v>62</v>
      </c>
      <c r="U29" t="s">
        <v>62</v>
      </c>
      <c r="Y29" t="s">
        <v>62</v>
      </c>
      <c r="Z29" t="s">
        <v>62</v>
      </c>
      <c r="AD29" t="s">
        <v>62</v>
      </c>
      <c r="AF29" t="s">
        <v>62</v>
      </c>
      <c r="AG29" s="646">
        <v>45470</v>
      </c>
      <c r="AH29" t="s">
        <v>121</v>
      </c>
      <c r="AI29" s="646">
        <v>45215</v>
      </c>
      <c r="AJ29" t="s">
        <v>121</v>
      </c>
    </row>
    <row r="30" spans="1:39" x14ac:dyDescent="0.25">
      <c r="B30">
        <v>30390</v>
      </c>
      <c r="C30" t="s">
        <v>54</v>
      </c>
      <c r="D30" t="s">
        <v>74</v>
      </c>
      <c r="E30" t="s">
        <v>56</v>
      </c>
      <c r="F30" t="s">
        <v>57</v>
      </c>
      <c r="G30" t="s">
        <v>11</v>
      </c>
      <c r="H30" s="646">
        <v>45216</v>
      </c>
      <c r="I30">
        <v>1384</v>
      </c>
      <c r="J30" t="s">
        <v>58</v>
      </c>
      <c r="Q30" t="s">
        <v>75</v>
      </c>
      <c r="R30" t="s">
        <v>75</v>
      </c>
      <c r="S30" t="s">
        <v>75</v>
      </c>
      <c r="T30" t="s">
        <v>75</v>
      </c>
      <c r="U30" t="s">
        <v>75</v>
      </c>
      <c r="X30" t="s">
        <v>75</v>
      </c>
      <c r="AD30" t="s">
        <v>75</v>
      </c>
      <c r="AF30" t="s">
        <v>75</v>
      </c>
      <c r="AG30" s="646">
        <v>45471</v>
      </c>
      <c r="AJ30" t="s">
        <v>121</v>
      </c>
    </row>
    <row r="31" spans="1:39" x14ac:dyDescent="0.25">
      <c r="A31">
        <v>194</v>
      </c>
      <c r="B31">
        <v>30390</v>
      </c>
      <c r="C31" t="s">
        <v>64</v>
      </c>
      <c r="D31" t="s">
        <v>76</v>
      </c>
      <c r="E31" t="s">
        <v>56</v>
      </c>
      <c r="F31" t="s">
        <v>57</v>
      </c>
      <c r="G31" t="s">
        <v>11</v>
      </c>
      <c r="H31" s="646">
        <v>45216</v>
      </c>
      <c r="I31">
        <v>1387</v>
      </c>
      <c r="J31" t="s">
        <v>58</v>
      </c>
      <c r="Q31" t="s">
        <v>75</v>
      </c>
      <c r="R31" t="s">
        <v>75</v>
      </c>
      <c r="S31" t="s">
        <v>75</v>
      </c>
      <c r="T31" t="s">
        <v>75</v>
      </c>
      <c r="U31" t="s">
        <v>75</v>
      </c>
      <c r="X31" t="s">
        <v>75</v>
      </c>
      <c r="AD31" t="s">
        <v>75</v>
      </c>
      <c r="AF31" t="s">
        <v>75</v>
      </c>
      <c r="AG31" s="646">
        <v>45471</v>
      </c>
      <c r="AJ31" t="s">
        <v>121</v>
      </c>
    </row>
    <row r="32" spans="1:39" ht="26.4" x14ac:dyDescent="0.25">
      <c r="A32">
        <v>122</v>
      </c>
      <c r="B32">
        <v>39081</v>
      </c>
      <c r="C32" t="s">
        <v>54</v>
      </c>
      <c r="D32" t="s">
        <v>152</v>
      </c>
      <c r="E32" t="s">
        <v>56</v>
      </c>
      <c r="F32" t="s">
        <v>57</v>
      </c>
      <c r="G32" t="s">
        <v>11</v>
      </c>
      <c r="H32" s="646">
        <v>43691</v>
      </c>
      <c r="I32">
        <v>480</v>
      </c>
      <c r="J32" t="s">
        <v>58</v>
      </c>
      <c r="K32" s="653" t="s">
        <v>59</v>
      </c>
      <c r="L32" s="646">
        <v>44161</v>
      </c>
      <c r="M32" t="s">
        <v>60</v>
      </c>
      <c r="N32" s="646">
        <v>44182</v>
      </c>
      <c r="O32" s="646">
        <v>45080</v>
      </c>
      <c r="R32" t="s">
        <v>62</v>
      </c>
      <c r="T32" t="s">
        <v>62</v>
      </c>
      <c r="U32" t="s">
        <v>62</v>
      </c>
      <c r="Y32" t="s">
        <v>62</v>
      </c>
      <c r="Z32" t="s">
        <v>62</v>
      </c>
      <c r="AD32" t="s">
        <v>62</v>
      </c>
      <c r="AF32" t="s">
        <v>62</v>
      </c>
      <c r="AG32" s="646">
        <v>45471</v>
      </c>
      <c r="AI32" s="646">
        <v>45268</v>
      </c>
      <c r="AJ32" t="s">
        <v>498</v>
      </c>
    </row>
    <row r="33" spans="1:39" ht="26.4" x14ac:dyDescent="0.25">
      <c r="A33">
        <v>121</v>
      </c>
      <c r="B33">
        <v>39081</v>
      </c>
      <c r="C33" t="s">
        <v>64</v>
      </c>
      <c r="D33" t="s">
        <v>153</v>
      </c>
      <c r="E33" t="s">
        <v>56</v>
      </c>
      <c r="F33" t="s">
        <v>57</v>
      </c>
      <c r="G33" t="s">
        <v>11</v>
      </c>
      <c r="H33" s="646">
        <v>43691</v>
      </c>
      <c r="I33">
        <v>485</v>
      </c>
      <c r="J33" t="s">
        <v>58</v>
      </c>
      <c r="K33" s="653" t="s">
        <v>59</v>
      </c>
      <c r="L33" s="646">
        <v>44161</v>
      </c>
      <c r="M33" t="s">
        <v>60</v>
      </c>
      <c r="N33" s="646">
        <v>44182</v>
      </c>
      <c r="O33" s="646">
        <v>45080</v>
      </c>
      <c r="R33" t="s">
        <v>68</v>
      </c>
      <c r="T33" t="s">
        <v>68</v>
      </c>
      <c r="U33" t="s">
        <v>68</v>
      </c>
      <c r="Y33" t="s">
        <v>68</v>
      </c>
      <c r="Z33" t="s">
        <v>68</v>
      </c>
      <c r="AD33" t="s">
        <v>68</v>
      </c>
      <c r="AF33" t="s">
        <v>68</v>
      </c>
      <c r="AG33" s="646">
        <v>45471</v>
      </c>
      <c r="AI33" s="646">
        <v>45268</v>
      </c>
      <c r="AJ33" t="s">
        <v>498</v>
      </c>
    </row>
    <row r="34" spans="1:39" ht="26.4" x14ac:dyDescent="0.25">
      <c r="A34">
        <v>111</v>
      </c>
      <c r="B34">
        <v>37213</v>
      </c>
      <c r="C34" t="s">
        <v>64</v>
      </c>
      <c r="D34" t="s">
        <v>138</v>
      </c>
      <c r="E34" t="s">
        <v>56</v>
      </c>
      <c r="F34" t="s">
        <v>57</v>
      </c>
      <c r="G34" t="s">
        <v>11</v>
      </c>
      <c r="H34" s="646">
        <v>43670</v>
      </c>
      <c r="I34">
        <v>509</v>
      </c>
      <c r="J34" t="s">
        <v>58</v>
      </c>
      <c r="K34" s="653" t="s">
        <v>59</v>
      </c>
      <c r="L34" s="646">
        <v>44255</v>
      </c>
      <c r="M34" t="s">
        <v>60</v>
      </c>
      <c r="N34" s="646">
        <v>44199</v>
      </c>
      <c r="O34" s="646">
        <v>45310</v>
      </c>
      <c r="Q34" t="s">
        <v>75</v>
      </c>
      <c r="R34" t="s">
        <v>68</v>
      </c>
      <c r="T34" t="s">
        <v>68</v>
      </c>
      <c r="U34" t="s">
        <v>68</v>
      </c>
      <c r="Z34" t="s">
        <v>68</v>
      </c>
      <c r="AD34" t="s">
        <v>68</v>
      </c>
      <c r="AF34" t="s">
        <v>68</v>
      </c>
      <c r="AG34" s="646">
        <v>45471</v>
      </c>
      <c r="AI34" s="646">
        <v>45134</v>
      </c>
      <c r="AJ34" t="s">
        <v>63</v>
      </c>
    </row>
    <row r="35" spans="1:39" ht="26.4" x14ac:dyDescent="0.25">
      <c r="A35">
        <v>112</v>
      </c>
      <c r="B35">
        <v>37213</v>
      </c>
      <c r="C35" t="s">
        <v>54</v>
      </c>
      <c r="D35" t="s">
        <v>157</v>
      </c>
      <c r="E35" t="s">
        <v>56</v>
      </c>
      <c r="F35" t="s">
        <v>57</v>
      </c>
      <c r="G35" t="s">
        <v>11</v>
      </c>
      <c r="H35" s="646">
        <v>43670</v>
      </c>
      <c r="I35">
        <v>492</v>
      </c>
      <c r="J35" t="s">
        <v>58</v>
      </c>
      <c r="K35" s="653" t="s">
        <v>59</v>
      </c>
      <c r="L35" s="646">
        <v>44255</v>
      </c>
      <c r="M35" t="s">
        <v>60</v>
      </c>
      <c r="N35" s="646">
        <v>44199</v>
      </c>
      <c r="O35" s="646">
        <v>45310</v>
      </c>
      <c r="R35" t="s">
        <v>62</v>
      </c>
      <c r="T35" t="s">
        <v>62</v>
      </c>
      <c r="U35" t="s">
        <v>62</v>
      </c>
      <c r="Z35" t="s">
        <v>62</v>
      </c>
      <c r="AD35" t="s">
        <v>62</v>
      </c>
      <c r="AF35" t="s">
        <v>62</v>
      </c>
      <c r="AG35" s="646">
        <v>45471</v>
      </c>
      <c r="AI35" s="646">
        <v>45134</v>
      </c>
      <c r="AJ35" t="s">
        <v>63</v>
      </c>
    </row>
    <row r="36" spans="1:39" ht="26.4" x14ac:dyDescent="0.25">
      <c r="A36">
        <v>115</v>
      </c>
      <c r="B36">
        <v>37514</v>
      </c>
      <c r="C36" t="s">
        <v>64</v>
      </c>
      <c r="D36" t="s">
        <v>131</v>
      </c>
      <c r="E36" t="s">
        <v>56</v>
      </c>
      <c r="F36" t="s">
        <v>57</v>
      </c>
      <c r="G36" t="s">
        <v>11</v>
      </c>
      <c r="H36" s="646">
        <v>44195</v>
      </c>
      <c r="I36">
        <v>925</v>
      </c>
      <c r="J36" t="s">
        <v>58</v>
      </c>
      <c r="K36" s="653" t="s">
        <v>59</v>
      </c>
      <c r="L36" t="s">
        <v>75</v>
      </c>
      <c r="M36" t="s">
        <v>60</v>
      </c>
      <c r="N36" s="646">
        <v>44346</v>
      </c>
      <c r="Q36" t="s">
        <v>75</v>
      </c>
      <c r="R36" t="s">
        <v>75</v>
      </c>
      <c r="T36" t="s">
        <v>68</v>
      </c>
      <c r="U36" t="s">
        <v>68</v>
      </c>
      <c r="X36" t="s">
        <v>75</v>
      </c>
      <c r="Z36" t="s">
        <v>68</v>
      </c>
      <c r="AD36" t="s">
        <v>68</v>
      </c>
      <c r="AF36" t="s">
        <v>68</v>
      </c>
      <c r="AG36" s="646">
        <v>45472</v>
      </c>
      <c r="AI36" s="646">
        <v>45227</v>
      </c>
      <c r="AJ36" t="s">
        <v>63</v>
      </c>
    </row>
    <row r="37" spans="1:39" ht="26.4" x14ac:dyDescent="0.25">
      <c r="A37">
        <v>116</v>
      </c>
      <c r="B37">
        <v>37514</v>
      </c>
      <c r="C37" t="s">
        <v>54</v>
      </c>
      <c r="D37" t="s">
        <v>130</v>
      </c>
      <c r="E37" t="s">
        <v>56</v>
      </c>
      <c r="F37" t="s">
        <v>57</v>
      </c>
      <c r="G37" t="s">
        <v>11</v>
      </c>
      <c r="H37" s="646">
        <v>44195</v>
      </c>
      <c r="I37">
        <v>759</v>
      </c>
      <c r="J37" t="s">
        <v>58</v>
      </c>
      <c r="K37" s="653" t="s">
        <v>59</v>
      </c>
      <c r="L37" s="646">
        <v>44327</v>
      </c>
      <c r="M37" t="s">
        <v>60</v>
      </c>
      <c r="N37" s="646">
        <v>44346</v>
      </c>
      <c r="Q37" t="s">
        <v>75</v>
      </c>
      <c r="R37" t="s">
        <v>75</v>
      </c>
      <c r="T37" t="s">
        <v>62</v>
      </c>
      <c r="U37" t="s">
        <v>62</v>
      </c>
      <c r="X37" t="s">
        <v>75</v>
      </c>
      <c r="Z37" t="s">
        <v>62</v>
      </c>
      <c r="AD37" t="s">
        <v>62</v>
      </c>
      <c r="AF37" t="s">
        <v>62</v>
      </c>
      <c r="AG37" s="646">
        <v>45472</v>
      </c>
      <c r="AI37" s="646">
        <v>45227</v>
      </c>
      <c r="AJ37" t="s">
        <v>63</v>
      </c>
    </row>
    <row r="38" spans="1:39" x14ac:dyDescent="0.25">
      <c r="B38">
        <v>30392</v>
      </c>
      <c r="C38" t="s">
        <v>54</v>
      </c>
      <c r="D38" t="s">
        <v>88</v>
      </c>
      <c r="E38" t="s">
        <v>56</v>
      </c>
      <c r="F38" t="s">
        <v>57</v>
      </c>
      <c r="G38" t="s">
        <v>11</v>
      </c>
      <c r="H38" s="646">
        <v>45110</v>
      </c>
      <c r="I38">
        <v>1180</v>
      </c>
      <c r="J38" t="s">
        <v>58</v>
      </c>
      <c r="K38" t="s">
        <v>82</v>
      </c>
      <c r="L38" t="s">
        <v>82</v>
      </c>
      <c r="M38" t="s">
        <v>75</v>
      </c>
      <c r="N38" t="s">
        <v>75</v>
      </c>
      <c r="Q38" t="s">
        <v>75</v>
      </c>
      <c r="R38" t="s">
        <v>75</v>
      </c>
      <c r="S38" t="s">
        <v>75</v>
      </c>
      <c r="T38" t="s">
        <v>75</v>
      </c>
      <c r="U38" t="s">
        <v>75</v>
      </c>
      <c r="W38" t="s">
        <v>82</v>
      </c>
      <c r="X38" t="s">
        <v>75</v>
      </c>
      <c r="Y38" t="s">
        <v>82</v>
      </c>
      <c r="Z38" t="s">
        <v>75</v>
      </c>
      <c r="AA38" t="s">
        <v>82</v>
      </c>
      <c r="AC38" t="s">
        <v>82</v>
      </c>
      <c r="AD38" t="s">
        <v>75</v>
      </c>
      <c r="AE38" t="s">
        <v>82</v>
      </c>
      <c r="AF38" t="s">
        <v>75</v>
      </c>
      <c r="AG38" s="646">
        <v>45474</v>
      </c>
      <c r="AI38" s="646">
        <v>45204</v>
      </c>
      <c r="AJ38" t="s">
        <v>121</v>
      </c>
    </row>
    <row r="39" spans="1:39" x14ac:dyDescent="0.25">
      <c r="A39">
        <v>187</v>
      </c>
      <c r="B39">
        <v>30392</v>
      </c>
      <c r="C39" t="s">
        <v>64</v>
      </c>
      <c r="D39" t="s">
        <v>89</v>
      </c>
      <c r="E39" t="s">
        <v>56</v>
      </c>
      <c r="F39" t="s">
        <v>57</v>
      </c>
      <c r="G39" t="s">
        <v>11</v>
      </c>
      <c r="H39" s="646">
        <v>45110</v>
      </c>
      <c r="I39">
        <v>1361</v>
      </c>
      <c r="J39" t="s">
        <v>58</v>
      </c>
      <c r="K39" t="s">
        <v>82</v>
      </c>
      <c r="L39" t="s">
        <v>82</v>
      </c>
      <c r="M39" t="s">
        <v>75</v>
      </c>
      <c r="N39" t="s">
        <v>75</v>
      </c>
      <c r="Q39" t="s">
        <v>75</v>
      </c>
      <c r="R39" t="s">
        <v>75</v>
      </c>
      <c r="S39" t="s">
        <v>75</v>
      </c>
      <c r="T39" t="s">
        <v>75</v>
      </c>
      <c r="U39" t="s">
        <v>75</v>
      </c>
      <c r="W39" t="s">
        <v>82</v>
      </c>
      <c r="X39" t="s">
        <v>75</v>
      </c>
      <c r="Y39" t="s">
        <v>82</v>
      </c>
      <c r="Z39" t="s">
        <v>75</v>
      </c>
      <c r="AA39" t="s">
        <v>82</v>
      </c>
      <c r="AC39" t="s">
        <v>82</v>
      </c>
      <c r="AD39" t="s">
        <v>75</v>
      </c>
      <c r="AE39" t="s">
        <v>82</v>
      </c>
      <c r="AF39" t="s">
        <v>75</v>
      </c>
      <c r="AG39" s="646">
        <v>45474</v>
      </c>
      <c r="AI39" s="646">
        <v>45204</v>
      </c>
      <c r="AJ39" t="s">
        <v>121</v>
      </c>
    </row>
    <row r="40" spans="1:39" x14ac:dyDescent="0.25">
      <c r="B40">
        <v>37600</v>
      </c>
      <c r="C40" t="s">
        <v>54</v>
      </c>
      <c r="D40" t="s">
        <v>97</v>
      </c>
      <c r="E40" t="s">
        <v>56</v>
      </c>
      <c r="F40" t="s">
        <v>57</v>
      </c>
      <c r="G40" t="s">
        <v>11</v>
      </c>
      <c r="H40" s="646">
        <v>45016</v>
      </c>
      <c r="I40">
        <v>1301</v>
      </c>
      <c r="J40" t="s">
        <v>58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X40" t="s">
        <v>75</v>
      </c>
      <c r="Y40" t="s">
        <v>82</v>
      </c>
      <c r="Z40" t="s">
        <v>75</v>
      </c>
      <c r="AD40" t="s">
        <v>75</v>
      </c>
      <c r="AE40" t="s">
        <v>82</v>
      </c>
      <c r="AF40" t="s">
        <v>75</v>
      </c>
      <c r="AG40" s="646">
        <v>45474</v>
      </c>
      <c r="AI40" s="646">
        <v>45237</v>
      </c>
      <c r="AJ40" t="s">
        <v>121</v>
      </c>
    </row>
    <row r="41" spans="1:39" x14ac:dyDescent="0.25">
      <c r="A41">
        <v>183</v>
      </c>
      <c r="B41">
        <v>37600</v>
      </c>
      <c r="C41" t="s">
        <v>64</v>
      </c>
      <c r="D41" t="s">
        <v>98</v>
      </c>
      <c r="E41" t="s">
        <v>56</v>
      </c>
      <c r="F41" t="s">
        <v>57</v>
      </c>
      <c r="G41" t="s">
        <v>11</v>
      </c>
      <c r="H41" s="646">
        <v>45016</v>
      </c>
      <c r="I41">
        <v>1295</v>
      </c>
      <c r="J41" t="s">
        <v>58</v>
      </c>
      <c r="Q41" t="s">
        <v>75</v>
      </c>
      <c r="R41" t="s">
        <v>75</v>
      </c>
      <c r="S41" t="s">
        <v>75</v>
      </c>
      <c r="T41" t="s">
        <v>75</v>
      </c>
      <c r="U41" t="s">
        <v>75</v>
      </c>
      <c r="X41" t="s">
        <v>75</v>
      </c>
      <c r="Y41" t="s">
        <v>82</v>
      </c>
      <c r="Z41" t="s">
        <v>75</v>
      </c>
      <c r="AD41" t="s">
        <v>75</v>
      </c>
      <c r="AE41" t="s">
        <v>82</v>
      </c>
      <c r="AF41" t="s">
        <v>75</v>
      </c>
      <c r="AG41" s="646">
        <v>45474</v>
      </c>
      <c r="AI41" s="646">
        <v>45237</v>
      </c>
      <c r="AJ41" t="s">
        <v>121</v>
      </c>
    </row>
    <row r="42" spans="1:39" ht="26.4" x14ac:dyDescent="0.25">
      <c r="A42">
        <v>117</v>
      </c>
      <c r="B42">
        <v>37547</v>
      </c>
      <c r="C42" t="s">
        <v>64</v>
      </c>
      <c r="D42" t="s">
        <v>129</v>
      </c>
      <c r="E42" t="s">
        <v>56</v>
      </c>
      <c r="F42" t="s">
        <v>57</v>
      </c>
      <c r="G42" t="s">
        <v>11</v>
      </c>
      <c r="H42" s="646">
        <v>44285</v>
      </c>
      <c r="I42">
        <v>1012</v>
      </c>
      <c r="J42" t="s">
        <v>58</v>
      </c>
      <c r="K42" s="653" t="s">
        <v>59</v>
      </c>
      <c r="L42" t="s">
        <v>75</v>
      </c>
      <c r="M42" t="s">
        <v>60</v>
      </c>
      <c r="N42" s="646">
        <v>44615</v>
      </c>
      <c r="O42" s="646">
        <v>45089</v>
      </c>
      <c r="Q42" t="s">
        <v>75</v>
      </c>
      <c r="R42" t="s">
        <v>75</v>
      </c>
      <c r="T42" t="s">
        <v>68</v>
      </c>
      <c r="U42" t="s">
        <v>68</v>
      </c>
      <c r="X42" t="s">
        <v>75</v>
      </c>
      <c r="Z42" t="s">
        <v>68</v>
      </c>
      <c r="AD42" t="s">
        <v>68</v>
      </c>
      <c r="AF42" t="s">
        <v>68</v>
      </c>
      <c r="AG42" s="646">
        <v>45474</v>
      </c>
      <c r="AI42" s="646">
        <v>45092</v>
      </c>
      <c r="AJ42" t="s">
        <v>63</v>
      </c>
    </row>
    <row r="43" spans="1:39" ht="26.4" x14ac:dyDescent="0.25">
      <c r="A43">
        <v>118</v>
      </c>
      <c r="B43">
        <v>37547</v>
      </c>
      <c r="C43" t="s">
        <v>54</v>
      </c>
      <c r="D43" t="s">
        <v>128</v>
      </c>
      <c r="E43" t="s">
        <v>56</v>
      </c>
      <c r="F43" t="s">
        <v>57</v>
      </c>
      <c r="G43" t="s">
        <v>11</v>
      </c>
      <c r="H43" s="646">
        <v>44285</v>
      </c>
      <c r="I43">
        <v>915</v>
      </c>
      <c r="J43" t="s">
        <v>58</v>
      </c>
      <c r="K43" s="653" t="s">
        <v>59</v>
      </c>
      <c r="L43" t="s">
        <v>75</v>
      </c>
      <c r="M43" t="s">
        <v>60</v>
      </c>
      <c r="N43" s="646">
        <v>44674</v>
      </c>
      <c r="O43" s="646">
        <v>45089</v>
      </c>
      <c r="Q43" t="s">
        <v>75</v>
      </c>
      <c r="R43" t="s">
        <v>75</v>
      </c>
      <c r="T43" t="s">
        <v>62</v>
      </c>
      <c r="U43" t="s">
        <v>62</v>
      </c>
      <c r="X43" t="s">
        <v>75</v>
      </c>
      <c r="Z43" t="s">
        <v>62</v>
      </c>
      <c r="AD43" t="s">
        <v>62</v>
      </c>
      <c r="AF43" t="s">
        <v>62</v>
      </c>
      <c r="AG43" s="646">
        <v>45474</v>
      </c>
    </row>
    <row r="44" spans="1:39" ht="26.4" x14ac:dyDescent="0.25">
      <c r="A44">
        <v>75</v>
      </c>
      <c r="B44">
        <v>30479</v>
      </c>
      <c r="C44" t="s">
        <v>64</v>
      </c>
      <c r="D44" t="s">
        <v>162</v>
      </c>
      <c r="E44" t="s">
        <v>56</v>
      </c>
      <c r="F44" t="s">
        <v>57</v>
      </c>
      <c r="G44" t="s">
        <v>11</v>
      </c>
      <c r="H44" s="646">
        <v>42516</v>
      </c>
      <c r="I44">
        <v>30</v>
      </c>
      <c r="J44" t="s">
        <v>66</v>
      </c>
      <c r="K44" s="653" t="s">
        <v>59</v>
      </c>
      <c r="L44" s="646">
        <v>44170</v>
      </c>
      <c r="M44" t="s">
        <v>67</v>
      </c>
      <c r="N44" t="s">
        <v>63</v>
      </c>
      <c r="O44" s="646">
        <v>45084</v>
      </c>
      <c r="P44" s="646">
        <v>44683</v>
      </c>
      <c r="R44" t="s">
        <v>68</v>
      </c>
      <c r="T44" t="s">
        <v>68</v>
      </c>
      <c r="Y44" t="s">
        <v>68</v>
      </c>
      <c r="Z44" t="s">
        <v>68</v>
      </c>
      <c r="AD44" t="s">
        <v>68</v>
      </c>
      <c r="AG44" s="646">
        <v>45475</v>
      </c>
      <c r="AH44" t="s">
        <v>121</v>
      </c>
      <c r="AI44" s="646">
        <v>45205</v>
      </c>
      <c r="AJ44" t="s">
        <v>121</v>
      </c>
    </row>
    <row r="45" spans="1:39" ht="26.4" x14ac:dyDescent="0.25">
      <c r="A45">
        <v>76</v>
      </c>
      <c r="B45">
        <v>30479</v>
      </c>
      <c r="C45" t="s">
        <v>54</v>
      </c>
      <c r="D45" t="s">
        <v>163</v>
      </c>
      <c r="E45" t="s">
        <v>56</v>
      </c>
      <c r="F45" t="s">
        <v>57</v>
      </c>
      <c r="G45" t="s">
        <v>11</v>
      </c>
      <c r="H45" s="646">
        <v>42516</v>
      </c>
      <c r="I45">
        <v>29</v>
      </c>
      <c r="J45" t="s">
        <v>66</v>
      </c>
      <c r="K45" s="653" t="s">
        <v>59</v>
      </c>
      <c r="L45" s="646">
        <v>44170</v>
      </c>
      <c r="M45" t="s">
        <v>67</v>
      </c>
      <c r="N45" t="s">
        <v>63</v>
      </c>
      <c r="O45" s="646">
        <v>45084</v>
      </c>
      <c r="P45" s="646">
        <v>44683</v>
      </c>
      <c r="R45" t="s">
        <v>62</v>
      </c>
      <c r="T45" t="s">
        <v>62</v>
      </c>
      <c r="Y45" t="s">
        <v>62</v>
      </c>
      <c r="Z45" t="s">
        <v>62</v>
      </c>
      <c r="AD45" t="s">
        <v>62</v>
      </c>
      <c r="AG45" s="646">
        <v>45475</v>
      </c>
      <c r="AH45" t="s">
        <v>121</v>
      </c>
      <c r="AI45" s="646">
        <v>45205</v>
      </c>
      <c r="AJ45" t="s">
        <v>121</v>
      </c>
    </row>
    <row r="46" spans="1:39" x14ac:dyDescent="0.25">
      <c r="B46">
        <v>30419</v>
      </c>
      <c r="C46" t="s">
        <v>54</v>
      </c>
      <c r="D46" t="s">
        <v>77</v>
      </c>
      <c r="E46" t="s">
        <v>56</v>
      </c>
      <c r="F46" t="s">
        <v>57</v>
      </c>
      <c r="G46" t="s">
        <v>11</v>
      </c>
      <c r="H46" s="646">
        <v>45192</v>
      </c>
      <c r="I46">
        <v>1346</v>
      </c>
      <c r="J46" t="s">
        <v>58</v>
      </c>
      <c r="Q46" t="s">
        <v>75</v>
      </c>
      <c r="R46" t="s">
        <v>75</v>
      </c>
      <c r="S46" t="s">
        <v>75</v>
      </c>
      <c r="T46" t="s">
        <v>75</v>
      </c>
      <c r="U46" t="s">
        <v>75</v>
      </c>
      <c r="X46" t="s">
        <v>75</v>
      </c>
      <c r="AD46" t="s">
        <v>75</v>
      </c>
      <c r="AF46" t="s">
        <v>75</v>
      </c>
      <c r="AG46" s="646">
        <v>45476</v>
      </c>
      <c r="AI46" s="646">
        <v>45192</v>
      </c>
      <c r="AJ46" t="s">
        <v>121</v>
      </c>
    </row>
    <row r="47" spans="1:39" x14ac:dyDescent="0.25">
      <c r="A47">
        <v>193</v>
      </c>
      <c r="B47">
        <v>30419</v>
      </c>
      <c r="C47" t="s">
        <v>64</v>
      </c>
      <c r="D47" t="s">
        <v>78</v>
      </c>
      <c r="E47" t="s">
        <v>56</v>
      </c>
      <c r="F47" t="s">
        <v>57</v>
      </c>
      <c r="G47" t="s">
        <v>11</v>
      </c>
      <c r="H47" s="646">
        <v>45192</v>
      </c>
      <c r="I47">
        <v>1357</v>
      </c>
      <c r="J47" t="s">
        <v>58</v>
      </c>
      <c r="Q47" t="s">
        <v>75</v>
      </c>
      <c r="R47" t="s">
        <v>75</v>
      </c>
      <c r="S47" t="s">
        <v>75</v>
      </c>
      <c r="T47" t="s">
        <v>75</v>
      </c>
      <c r="U47" t="s">
        <v>75</v>
      </c>
      <c r="X47" t="s">
        <v>75</v>
      </c>
      <c r="AD47" t="s">
        <v>75</v>
      </c>
      <c r="AF47" t="s">
        <v>75</v>
      </c>
      <c r="AG47" s="646">
        <v>45476</v>
      </c>
      <c r="AI47" s="646">
        <v>45192</v>
      </c>
      <c r="AJ47" t="s">
        <v>121</v>
      </c>
    </row>
    <row r="48" spans="1:39" ht="26.4" x14ac:dyDescent="0.25">
      <c r="A48">
        <v>144</v>
      </c>
      <c r="B48">
        <v>30562</v>
      </c>
      <c r="C48" t="s">
        <v>54</v>
      </c>
      <c r="D48" t="s">
        <v>115</v>
      </c>
      <c r="E48" t="s">
        <v>56</v>
      </c>
      <c r="F48" t="s">
        <v>57</v>
      </c>
      <c r="G48" t="s">
        <v>11</v>
      </c>
      <c r="H48" s="646">
        <v>44715</v>
      </c>
      <c r="I48">
        <v>1117</v>
      </c>
      <c r="J48" t="s">
        <v>58</v>
      </c>
      <c r="K48" s="653" t="s">
        <v>59</v>
      </c>
      <c r="L48" t="s">
        <v>75</v>
      </c>
      <c r="M48" t="s">
        <v>60</v>
      </c>
      <c r="N48" t="s">
        <v>75</v>
      </c>
      <c r="O48" s="646">
        <v>45086</v>
      </c>
      <c r="Q48" t="s">
        <v>75</v>
      </c>
      <c r="R48" t="s">
        <v>75</v>
      </c>
      <c r="S48" t="s">
        <v>75</v>
      </c>
      <c r="T48" t="s">
        <v>62</v>
      </c>
      <c r="U48" t="s">
        <v>62</v>
      </c>
      <c r="X48" t="s">
        <v>75</v>
      </c>
      <c r="Y48" t="s">
        <v>62</v>
      </c>
      <c r="Z48" t="s">
        <v>62</v>
      </c>
      <c r="AD48" t="s">
        <v>62</v>
      </c>
      <c r="AF48" t="s">
        <v>62</v>
      </c>
      <c r="AG48" s="646">
        <v>45476</v>
      </c>
      <c r="AH48" t="s">
        <v>121</v>
      </c>
      <c r="AI48" s="646">
        <v>45260</v>
      </c>
      <c r="AJ48" t="s">
        <v>121</v>
      </c>
      <c r="AK48" s="646">
        <v>45469</v>
      </c>
      <c r="AM48" s="646">
        <v>45470</v>
      </c>
    </row>
    <row r="49" spans="1:39" ht="26.4" x14ac:dyDescent="0.25">
      <c r="A49">
        <v>143</v>
      </c>
      <c r="B49">
        <v>30562</v>
      </c>
      <c r="C49" t="s">
        <v>64</v>
      </c>
      <c r="D49" t="s">
        <v>116</v>
      </c>
      <c r="E49" t="s">
        <v>56</v>
      </c>
      <c r="F49" t="s">
        <v>57</v>
      </c>
      <c r="G49" t="s">
        <v>11</v>
      </c>
      <c r="H49" s="646">
        <v>44715</v>
      </c>
      <c r="I49">
        <v>1116</v>
      </c>
      <c r="J49" t="s">
        <v>58</v>
      </c>
      <c r="K49" s="653" t="s">
        <v>59</v>
      </c>
      <c r="L49" t="s">
        <v>75</v>
      </c>
      <c r="M49" t="s">
        <v>60</v>
      </c>
      <c r="N49" t="s">
        <v>75</v>
      </c>
      <c r="O49" s="646">
        <v>45086</v>
      </c>
      <c r="Q49" t="s">
        <v>75</v>
      </c>
      <c r="R49" t="s">
        <v>75</v>
      </c>
      <c r="S49" t="s">
        <v>75</v>
      </c>
      <c r="T49" t="s">
        <v>68</v>
      </c>
      <c r="U49" t="s">
        <v>68</v>
      </c>
      <c r="X49" t="s">
        <v>75</v>
      </c>
      <c r="Y49" t="s">
        <v>68</v>
      </c>
      <c r="Z49" t="s">
        <v>68</v>
      </c>
      <c r="AD49" t="s">
        <v>68</v>
      </c>
      <c r="AF49" t="s">
        <v>68</v>
      </c>
      <c r="AG49" s="646">
        <v>45476</v>
      </c>
      <c r="AH49" t="s">
        <v>121</v>
      </c>
      <c r="AI49" s="646">
        <v>45260</v>
      </c>
      <c r="AJ49" t="s">
        <v>121</v>
      </c>
      <c r="AK49" s="646">
        <v>45469</v>
      </c>
      <c r="AM49" s="646">
        <v>45470</v>
      </c>
    </row>
    <row r="50" spans="1:39" x14ac:dyDescent="0.25">
      <c r="B50">
        <v>30332</v>
      </c>
      <c r="D50" t="s">
        <v>501</v>
      </c>
      <c r="E50" t="s">
        <v>56</v>
      </c>
      <c r="F50" t="s">
        <v>57</v>
      </c>
      <c r="G50" t="s">
        <v>11</v>
      </c>
      <c r="H50" s="646">
        <v>45437</v>
      </c>
      <c r="I50">
        <v>1487</v>
      </c>
      <c r="J50" t="s">
        <v>58</v>
      </c>
      <c r="Q50" t="s">
        <v>75</v>
      </c>
      <c r="R50" t="s">
        <v>75</v>
      </c>
      <c r="S50" t="s">
        <v>75</v>
      </c>
      <c r="T50" t="s">
        <v>75</v>
      </c>
      <c r="U50" t="s">
        <v>75</v>
      </c>
      <c r="X50" t="s">
        <v>75</v>
      </c>
      <c r="AD50" t="s">
        <v>75</v>
      </c>
      <c r="AF50" t="s">
        <v>75</v>
      </c>
      <c r="AG50" s="646">
        <v>45477</v>
      </c>
      <c r="AH50" t="s">
        <v>121</v>
      </c>
      <c r="AI50" t="s">
        <v>75</v>
      </c>
      <c r="AJ50" t="s">
        <v>121</v>
      </c>
    </row>
    <row r="51" spans="1:39" x14ac:dyDescent="0.25">
      <c r="A51">
        <v>200</v>
      </c>
      <c r="B51">
        <v>30332</v>
      </c>
      <c r="D51" t="s">
        <v>502</v>
      </c>
      <c r="E51" t="s">
        <v>56</v>
      </c>
      <c r="F51" t="s">
        <v>57</v>
      </c>
      <c r="G51" t="s">
        <v>11</v>
      </c>
      <c r="H51" s="646">
        <v>45437</v>
      </c>
      <c r="I51">
        <v>1490</v>
      </c>
      <c r="J51" t="s">
        <v>58</v>
      </c>
      <c r="Q51" t="s">
        <v>75</v>
      </c>
      <c r="R51" t="s">
        <v>75</v>
      </c>
      <c r="S51" t="s">
        <v>75</v>
      </c>
      <c r="T51" t="s">
        <v>75</v>
      </c>
      <c r="U51" t="s">
        <v>75</v>
      </c>
      <c r="X51" t="s">
        <v>75</v>
      </c>
      <c r="AD51" t="s">
        <v>75</v>
      </c>
      <c r="AF51" t="s">
        <v>75</v>
      </c>
      <c r="AG51" s="646">
        <v>45477</v>
      </c>
      <c r="AH51" t="s">
        <v>121</v>
      </c>
      <c r="AI51" t="s">
        <v>75</v>
      </c>
      <c r="AJ51" t="s">
        <v>121</v>
      </c>
    </row>
    <row r="52" spans="1:39" x14ac:dyDescent="0.25">
      <c r="B52">
        <v>30420</v>
      </c>
      <c r="D52" t="s">
        <v>503</v>
      </c>
      <c r="E52" t="s">
        <v>56</v>
      </c>
      <c r="F52" t="s">
        <v>57</v>
      </c>
      <c r="G52" t="s">
        <v>11</v>
      </c>
      <c r="H52" s="646">
        <v>45332</v>
      </c>
      <c r="I52">
        <v>1492</v>
      </c>
      <c r="J52" t="s">
        <v>58</v>
      </c>
      <c r="Q52" t="s">
        <v>75</v>
      </c>
      <c r="R52" t="s">
        <v>75</v>
      </c>
      <c r="S52" t="s">
        <v>75</v>
      </c>
      <c r="T52" t="s">
        <v>75</v>
      </c>
      <c r="U52" t="s">
        <v>75</v>
      </c>
      <c r="W52" t="s">
        <v>82</v>
      </c>
      <c r="X52" t="s">
        <v>75</v>
      </c>
      <c r="Y52" t="s">
        <v>82</v>
      </c>
      <c r="AA52" t="s">
        <v>82</v>
      </c>
      <c r="AD52" t="s">
        <v>75</v>
      </c>
      <c r="AF52" t="s">
        <v>75</v>
      </c>
      <c r="AG52" s="646">
        <v>45477</v>
      </c>
      <c r="AH52" t="s">
        <v>121</v>
      </c>
      <c r="AI52" t="s">
        <v>75</v>
      </c>
      <c r="AJ52" t="s">
        <v>121</v>
      </c>
    </row>
    <row r="53" spans="1:39" x14ac:dyDescent="0.25">
      <c r="A53">
        <v>199</v>
      </c>
      <c r="B53">
        <v>30420</v>
      </c>
      <c r="D53" t="s">
        <v>504</v>
      </c>
      <c r="E53" t="s">
        <v>56</v>
      </c>
      <c r="F53" t="s">
        <v>57</v>
      </c>
      <c r="G53" t="s">
        <v>11</v>
      </c>
      <c r="H53" s="646">
        <v>45332</v>
      </c>
      <c r="I53">
        <v>1493</v>
      </c>
      <c r="J53" t="s">
        <v>58</v>
      </c>
      <c r="Q53" t="s">
        <v>75</v>
      </c>
      <c r="R53" t="s">
        <v>75</v>
      </c>
      <c r="S53" t="s">
        <v>75</v>
      </c>
      <c r="T53" t="s">
        <v>75</v>
      </c>
      <c r="U53" t="s">
        <v>75</v>
      </c>
      <c r="W53" t="s">
        <v>82</v>
      </c>
      <c r="X53" t="s">
        <v>75</v>
      </c>
      <c r="Y53" t="s">
        <v>82</v>
      </c>
      <c r="AA53" t="s">
        <v>82</v>
      </c>
      <c r="AD53" t="s">
        <v>75</v>
      </c>
      <c r="AF53" t="s">
        <v>75</v>
      </c>
      <c r="AG53" s="646">
        <v>45477</v>
      </c>
      <c r="AH53" t="s">
        <v>121</v>
      </c>
      <c r="AI53" t="s">
        <v>75</v>
      </c>
      <c r="AJ53" t="s">
        <v>121</v>
      </c>
    </row>
    <row r="54" spans="1:39" ht="26.4" x14ac:dyDescent="0.25">
      <c r="A54">
        <v>65</v>
      </c>
      <c r="B54">
        <v>37563</v>
      </c>
      <c r="C54" t="s">
        <v>64</v>
      </c>
      <c r="D54" t="s">
        <v>132</v>
      </c>
      <c r="E54" t="s">
        <v>56</v>
      </c>
      <c r="F54" t="s">
        <v>57</v>
      </c>
      <c r="G54" t="s">
        <v>11</v>
      </c>
      <c r="H54" s="646">
        <v>44291</v>
      </c>
      <c r="I54">
        <v>865</v>
      </c>
      <c r="J54" t="s">
        <v>58</v>
      </c>
      <c r="K54" s="653" t="s">
        <v>59</v>
      </c>
      <c r="L54" t="s">
        <v>75</v>
      </c>
      <c r="M54" t="s">
        <v>60</v>
      </c>
      <c r="N54" t="s">
        <v>63</v>
      </c>
      <c r="O54" t="s">
        <v>82</v>
      </c>
      <c r="P54" s="646">
        <v>45458</v>
      </c>
      <c r="Q54" t="s">
        <v>75</v>
      </c>
      <c r="R54" t="s">
        <v>75</v>
      </c>
      <c r="T54" t="s">
        <v>68</v>
      </c>
      <c r="X54" t="s">
        <v>75</v>
      </c>
      <c r="Z54" t="s">
        <v>68</v>
      </c>
      <c r="AD54" t="s">
        <v>68</v>
      </c>
      <c r="AF54" t="s">
        <v>68</v>
      </c>
      <c r="AG54" s="646">
        <v>45477</v>
      </c>
      <c r="AH54" t="s">
        <v>121</v>
      </c>
      <c r="AI54" s="646">
        <v>45119</v>
      </c>
      <c r="AJ54" t="s">
        <v>121</v>
      </c>
    </row>
    <row r="55" spans="1:39" ht="26.4" x14ac:dyDescent="0.25">
      <c r="A55">
        <v>66</v>
      </c>
      <c r="B55">
        <v>37563</v>
      </c>
      <c r="C55" t="s">
        <v>54</v>
      </c>
      <c r="D55" t="s">
        <v>133</v>
      </c>
      <c r="E55" t="s">
        <v>56</v>
      </c>
      <c r="F55" t="s">
        <v>57</v>
      </c>
      <c r="G55" t="s">
        <v>11</v>
      </c>
      <c r="H55" s="646">
        <v>44291</v>
      </c>
      <c r="I55">
        <v>864</v>
      </c>
      <c r="J55" t="s">
        <v>58</v>
      </c>
      <c r="K55" s="653" t="s">
        <v>59</v>
      </c>
      <c r="L55" t="s">
        <v>75</v>
      </c>
      <c r="M55" t="s">
        <v>60</v>
      </c>
      <c r="N55" t="s">
        <v>121</v>
      </c>
      <c r="O55" t="s">
        <v>82</v>
      </c>
      <c r="P55" s="646">
        <v>45458</v>
      </c>
      <c r="Q55" t="s">
        <v>75</v>
      </c>
      <c r="R55" t="s">
        <v>75</v>
      </c>
      <c r="T55" t="s">
        <v>62</v>
      </c>
      <c r="X55" t="s">
        <v>75</v>
      </c>
      <c r="Z55" t="s">
        <v>62</v>
      </c>
      <c r="AD55" t="s">
        <v>62</v>
      </c>
      <c r="AF55" t="s">
        <v>62</v>
      </c>
      <c r="AG55" s="646">
        <v>45477</v>
      </c>
      <c r="AH55" t="s">
        <v>121</v>
      </c>
      <c r="AI55" s="646">
        <v>45119</v>
      </c>
      <c r="AJ55" t="s">
        <v>121</v>
      </c>
    </row>
    <row r="56" spans="1:39" ht="26.4" x14ac:dyDescent="0.25">
      <c r="A56">
        <v>93</v>
      </c>
      <c r="B56">
        <v>37114</v>
      </c>
      <c r="C56" t="s">
        <v>64</v>
      </c>
      <c r="D56" t="s">
        <v>174</v>
      </c>
      <c r="E56" t="s">
        <v>56</v>
      </c>
      <c r="F56" t="s">
        <v>57</v>
      </c>
      <c r="G56" t="s">
        <v>11</v>
      </c>
      <c r="H56" s="646">
        <v>43542</v>
      </c>
      <c r="I56">
        <v>317</v>
      </c>
      <c r="J56" t="s">
        <v>58</v>
      </c>
      <c r="K56" s="653" t="s">
        <v>59</v>
      </c>
      <c r="L56" s="646">
        <v>44191</v>
      </c>
      <c r="M56" t="s">
        <v>60</v>
      </c>
      <c r="N56" s="646">
        <v>44191</v>
      </c>
      <c r="P56" s="646">
        <v>44735</v>
      </c>
      <c r="R56" t="s">
        <v>68</v>
      </c>
      <c r="T56" t="s">
        <v>68</v>
      </c>
      <c r="U56" t="s">
        <v>68</v>
      </c>
      <c r="Y56" t="s">
        <v>68</v>
      </c>
      <c r="Z56" t="s">
        <v>68</v>
      </c>
      <c r="AD56" t="s">
        <v>68</v>
      </c>
      <c r="AF56" t="s">
        <v>68</v>
      </c>
      <c r="AG56" s="646">
        <v>45478</v>
      </c>
      <c r="AH56" t="s">
        <v>121</v>
      </c>
      <c r="AI56" s="646">
        <v>45176</v>
      </c>
      <c r="AJ56" t="s">
        <v>121</v>
      </c>
    </row>
    <row r="57" spans="1:39" ht="26.4" x14ac:dyDescent="0.25">
      <c r="A57">
        <v>94</v>
      </c>
      <c r="B57">
        <v>37114</v>
      </c>
      <c r="C57" t="s">
        <v>54</v>
      </c>
      <c r="D57" t="s">
        <v>175</v>
      </c>
      <c r="E57" t="s">
        <v>56</v>
      </c>
      <c r="F57" t="s">
        <v>57</v>
      </c>
      <c r="G57" t="s">
        <v>11</v>
      </c>
      <c r="H57" s="646">
        <v>43542</v>
      </c>
      <c r="I57">
        <v>316</v>
      </c>
      <c r="J57" t="s">
        <v>58</v>
      </c>
      <c r="K57" s="653" t="s">
        <v>59</v>
      </c>
      <c r="L57" s="646">
        <v>44191</v>
      </c>
      <c r="M57" t="s">
        <v>60</v>
      </c>
      <c r="N57" s="646">
        <v>44191</v>
      </c>
      <c r="P57" s="646">
        <v>44735</v>
      </c>
      <c r="R57" t="s">
        <v>62</v>
      </c>
      <c r="T57" t="s">
        <v>62</v>
      </c>
      <c r="U57" t="s">
        <v>62</v>
      </c>
      <c r="Y57" t="s">
        <v>62</v>
      </c>
      <c r="Z57" t="s">
        <v>62</v>
      </c>
      <c r="AB57" t="s">
        <v>505</v>
      </c>
      <c r="AC57" t="s">
        <v>506</v>
      </c>
      <c r="AD57" t="s">
        <v>62</v>
      </c>
      <c r="AF57" t="s">
        <v>62</v>
      </c>
      <c r="AG57" s="646">
        <v>45478</v>
      </c>
      <c r="AH57" t="s">
        <v>121</v>
      </c>
      <c r="AI57" s="646">
        <v>45176</v>
      </c>
      <c r="AJ57" t="s">
        <v>121</v>
      </c>
    </row>
    <row r="58" spans="1:39" ht="26.4" x14ac:dyDescent="0.25">
      <c r="A58">
        <v>113</v>
      </c>
      <c r="B58">
        <v>37301</v>
      </c>
      <c r="C58" t="s">
        <v>64</v>
      </c>
      <c r="D58" t="s">
        <v>137</v>
      </c>
      <c r="E58" t="s">
        <v>56</v>
      </c>
      <c r="F58" t="s">
        <v>57</v>
      </c>
      <c r="G58" t="s">
        <v>11</v>
      </c>
      <c r="H58" s="646">
        <v>43815</v>
      </c>
      <c r="I58">
        <v>574</v>
      </c>
      <c r="J58" t="s">
        <v>58</v>
      </c>
      <c r="K58" s="653" t="s">
        <v>59</v>
      </c>
      <c r="L58" s="646">
        <v>44180</v>
      </c>
      <c r="M58" t="s">
        <v>60</v>
      </c>
      <c r="N58" s="646">
        <v>44180</v>
      </c>
      <c r="O58" s="646">
        <v>45119</v>
      </c>
      <c r="Q58" t="s">
        <v>75</v>
      </c>
      <c r="R58" t="s">
        <v>75</v>
      </c>
      <c r="T58" t="s">
        <v>68</v>
      </c>
      <c r="U58" t="s">
        <v>68</v>
      </c>
      <c r="Y58" t="s">
        <v>68</v>
      </c>
      <c r="Z58" t="s">
        <v>68</v>
      </c>
      <c r="AD58" t="s">
        <v>68</v>
      </c>
      <c r="AF58" t="s">
        <v>68</v>
      </c>
      <c r="AG58" s="646">
        <v>45478</v>
      </c>
      <c r="AI58" s="646">
        <v>45255</v>
      </c>
      <c r="AJ58" t="s">
        <v>498</v>
      </c>
    </row>
    <row r="59" spans="1:39" ht="26.4" x14ac:dyDescent="0.25">
      <c r="A59">
        <v>114</v>
      </c>
      <c r="B59">
        <v>37301</v>
      </c>
      <c r="C59" t="s">
        <v>54</v>
      </c>
      <c r="D59" t="s">
        <v>134</v>
      </c>
      <c r="E59" t="s">
        <v>56</v>
      </c>
      <c r="F59" t="s">
        <v>57</v>
      </c>
      <c r="G59" t="s">
        <v>11</v>
      </c>
      <c r="H59" s="646">
        <v>43815</v>
      </c>
      <c r="I59">
        <v>557</v>
      </c>
      <c r="J59" t="s">
        <v>58</v>
      </c>
      <c r="K59" s="653" t="s">
        <v>59</v>
      </c>
      <c r="L59" s="646">
        <v>44180</v>
      </c>
      <c r="M59" t="s">
        <v>60</v>
      </c>
      <c r="N59" s="646">
        <v>44180</v>
      </c>
      <c r="O59" s="646">
        <v>45119</v>
      </c>
      <c r="Q59" t="s">
        <v>75</v>
      </c>
      <c r="R59" t="s">
        <v>75</v>
      </c>
      <c r="T59" t="s">
        <v>62</v>
      </c>
      <c r="U59" t="s">
        <v>62</v>
      </c>
      <c r="Y59" t="s">
        <v>62</v>
      </c>
      <c r="Z59" t="s">
        <v>62</v>
      </c>
      <c r="AB59" t="s">
        <v>135</v>
      </c>
      <c r="AC59" t="s">
        <v>507</v>
      </c>
      <c r="AD59" t="s">
        <v>62</v>
      </c>
      <c r="AF59" t="s">
        <v>62</v>
      </c>
      <c r="AG59" s="646">
        <v>45478</v>
      </c>
      <c r="AI59" s="646">
        <v>45255</v>
      </c>
      <c r="AJ59" t="s">
        <v>498</v>
      </c>
    </row>
    <row r="60" spans="1:39" ht="26.4" x14ac:dyDescent="0.25">
      <c r="A60">
        <v>101</v>
      </c>
      <c r="B60">
        <v>37205</v>
      </c>
      <c r="C60" t="s">
        <v>64</v>
      </c>
      <c r="D60" t="s">
        <v>182</v>
      </c>
      <c r="E60" t="s">
        <v>56</v>
      </c>
      <c r="F60" t="s">
        <v>57</v>
      </c>
      <c r="G60" t="s">
        <v>11</v>
      </c>
      <c r="H60" s="646">
        <v>43639</v>
      </c>
      <c r="I60">
        <v>502</v>
      </c>
      <c r="J60" t="s">
        <v>58</v>
      </c>
      <c r="K60" s="653" t="s">
        <v>59</v>
      </c>
      <c r="L60" s="646">
        <v>44558</v>
      </c>
      <c r="M60" t="s">
        <v>60</v>
      </c>
      <c r="N60" s="646">
        <v>44800</v>
      </c>
      <c r="O60" s="646">
        <v>45050</v>
      </c>
      <c r="R60" t="s">
        <v>68</v>
      </c>
      <c r="T60" t="s">
        <v>68</v>
      </c>
      <c r="U60" t="s">
        <v>68</v>
      </c>
      <c r="Y60" t="s">
        <v>68</v>
      </c>
      <c r="Z60" t="s">
        <v>68</v>
      </c>
      <c r="AD60" t="s">
        <v>68</v>
      </c>
      <c r="AF60" t="s">
        <v>68</v>
      </c>
      <c r="AG60" s="646">
        <v>45480</v>
      </c>
      <c r="AH60" t="s">
        <v>121</v>
      </c>
      <c r="AI60" t="s">
        <v>91</v>
      </c>
      <c r="AJ60" t="s">
        <v>121</v>
      </c>
    </row>
    <row r="61" spans="1:39" ht="26.4" x14ac:dyDescent="0.25">
      <c r="A61">
        <v>102</v>
      </c>
      <c r="B61">
        <v>37205</v>
      </c>
      <c r="C61" t="s">
        <v>54</v>
      </c>
      <c r="D61" t="s">
        <v>141</v>
      </c>
      <c r="E61" t="s">
        <v>56</v>
      </c>
      <c r="F61" t="s">
        <v>57</v>
      </c>
      <c r="G61" t="s">
        <v>11</v>
      </c>
      <c r="H61" s="646">
        <v>43639</v>
      </c>
      <c r="I61">
        <v>511</v>
      </c>
      <c r="J61" t="s">
        <v>58</v>
      </c>
      <c r="K61" s="653" t="s">
        <v>59</v>
      </c>
      <c r="L61" s="646">
        <v>44558</v>
      </c>
      <c r="M61" t="s">
        <v>60</v>
      </c>
      <c r="N61" s="646">
        <v>44800</v>
      </c>
      <c r="O61" s="646">
        <v>45050</v>
      </c>
      <c r="Q61" t="s">
        <v>75</v>
      </c>
      <c r="R61" t="s">
        <v>62</v>
      </c>
      <c r="T61" t="s">
        <v>62</v>
      </c>
      <c r="U61" t="s">
        <v>62</v>
      </c>
      <c r="Y61" t="s">
        <v>62</v>
      </c>
      <c r="Z61" t="s">
        <v>62</v>
      </c>
      <c r="AD61" t="s">
        <v>62</v>
      </c>
      <c r="AF61" t="s">
        <v>62</v>
      </c>
      <c r="AG61" s="646">
        <v>45480</v>
      </c>
      <c r="AH61" t="s">
        <v>121</v>
      </c>
      <c r="AI61" t="s">
        <v>91</v>
      </c>
      <c r="AJ61" t="s">
        <v>121</v>
      </c>
    </row>
    <row r="62" spans="1:39" ht="26.4" x14ac:dyDescent="0.25">
      <c r="A62">
        <v>126</v>
      </c>
      <c r="B62">
        <v>39119</v>
      </c>
      <c r="C62" t="s">
        <v>54</v>
      </c>
      <c r="D62" t="s">
        <v>126</v>
      </c>
      <c r="E62" t="s">
        <v>56</v>
      </c>
      <c r="F62" t="s">
        <v>57</v>
      </c>
      <c r="G62" t="s">
        <v>11</v>
      </c>
      <c r="H62" s="646">
        <v>43830</v>
      </c>
      <c r="I62">
        <v>657</v>
      </c>
      <c r="J62" t="s">
        <v>58</v>
      </c>
      <c r="K62" s="653" t="s">
        <v>59</v>
      </c>
      <c r="L62" s="646">
        <v>44256</v>
      </c>
      <c r="M62" t="s">
        <v>60</v>
      </c>
      <c r="N62" s="646">
        <v>44362</v>
      </c>
      <c r="O62" s="646">
        <v>45043</v>
      </c>
      <c r="P62" s="646">
        <v>44722</v>
      </c>
      <c r="Q62" t="s">
        <v>75</v>
      </c>
      <c r="R62" t="s">
        <v>75</v>
      </c>
      <c r="T62" t="s">
        <v>62</v>
      </c>
      <c r="U62" t="s">
        <v>62</v>
      </c>
      <c r="Z62" t="s">
        <v>62</v>
      </c>
      <c r="AD62" t="s">
        <v>62</v>
      </c>
      <c r="AF62" t="s">
        <v>62</v>
      </c>
      <c r="AG62" s="646">
        <v>45481</v>
      </c>
      <c r="AI62" s="646">
        <v>45229</v>
      </c>
      <c r="AJ62" t="s">
        <v>63</v>
      </c>
    </row>
    <row r="63" spans="1:39" ht="26.4" x14ac:dyDescent="0.25">
      <c r="A63">
        <v>125</v>
      </c>
      <c r="B63">
        <v>39119</v>
      </c>
      <c r="C63" t="s">
        <v>64</v>
      </c>
      <c r="D63" t="s">
        <v>127</v>
      </c>
      <c r="E63" t="s">
        <v>56</v>
      </c>
      <c r="F63" t="s">
        <v>57</v>
      </c>
      <c r="G63" t="s">
        <v>11</v>
      </c>
      <c r="H63" s="646">
        <v>43830</v>
      </c>
      <c r="I63">
        <v>660</v>
      </c>
      <c r="J63" t="s">
        <v>58</v>
      </c>
      <c r="K63" s="653" t="s">
        <v>59</v>
      </c>
      <c r="L63" s="646">
        <v>44256</v>
      </c>
      <c r="M63" t="s">
        <v>60</v>
      </c>
      <c r="N63" s="646">
        <v>44362</v>
      </c>
      <c r="O63" s="646">
        <v>45043</v>
      </c>
      <c r="P63" s="646">
        <v>44722</v>
      </c>
      <c r="Q63" t="s">
        <v>75</v>
      </c>
      <c r="R63" t="s">
        <v>75</v>
      </c>
      <c r="T63" t="s">
        <v>68</v>
      </c>
      <c r="U63" t="s">
        <v>68</v>
      </c>
      <c r="Z63" t="s">
        <v>68</v>
      </c>
      <c r="AD63" t="s">
        <v>68</v>
      </c>
      <c r="AF63" t="s">
        <v>68</v>
      </c>
      <c r="AG63" s="646">
        <v>45481</v>
      </c>
      <c r="AI63" s="646">
        <v>45229</v>
      </c>
      <c r="AJ63" t="s">
        <v>63</v>
      </c>
    </row>
    <row r="64" spans="1:39" x14ac:dyDescent="0.25">
      <c r="B64">
        <v>30393</v>
      </c>
      <c r="C64" t="s">
        <v>54</v>
      </c>
      <c r="D64" t="s">
        <v>86</v>
      </c>
      <c r="E64" t="s">
        <v>56</v>
      </c>
      <c r="F64" t="s">
        <v>57</v>
      </c>
      <c r="G64" t="s">
        <v>11</v>
      </c>
      <c r="H64" s="646">
        <v>45110</v>
      </c>
      <c r="I64">
        <v>1354</v>
      </c>
      <c r="J64" t="s">
        <v>58</v>
      </c>
      <c r="K64" t="s">
        <v>82</v>
      </c>
      <c r="L64" t="s">
        <v>82</v>
      </c>
      <c r="M64" t="s">
        <v>75</v>
      </c>
      <c r="N64" t="s">
        <v>75</v>
      </c>
      <c r="Q64" t="s">
        <v>75</v>
      </c>
      <c r="R64" t="s">
        <v>75</v>
      </c>
      <c r="S64" t="s">
        <v>75</v>
      </c>
      <c r="T64" t="s">
        <v>75</v>
      </c>
      <c r="U64" t="s">
        <v>75</v>
      </c>
      <c r="W64" t="s">
        <v>82</v>
      </c>
      <c r="X64" t="s">
        <v>75</v>
      </c>
      <c r="Y64" t="s">
        <v>82</v>
      </c>
      <c r="Z64" t="s">
        <v>75</v>
      </c>
      <c r="AA64" t="s">
        <v>82</v>
      </c>
      <c r="AC64" t="s">
        <v>82</v>
      </c>
      <c r="AD64" t="s">
        <v>75</v>
      </c>
      <c r="AE64" t="s">
        <v>82</v>
      </c>
      <c r="AF64" t="s">
        <v>75</v>
      </c>
      <c r="AG64" s="646">
        <v>45484</v>
      </c>
      <c r="AI64" s="646">
        <v>45312</v>
      </c>
      <c r="AJ64" t="s">
        <v>121</v>
      </c>
    </row>
    <row r="65" spans="1:36" x14ac:dyDescent="0.25">
      <c r="A65">
        <v>188</v>
      </c>
      <c r="B65">
        <v>30393</v>
      </c>
      <c r="C65" t="s">
        <v>64</v>
      </c>
      <c r="D65" t="s">
        <v>87</v>
      </c>
      <c r="E65" t="s">
        <v>56</v>
      </c>
      <c r="F65" t="s">
        <v>57</v>
      </c>
      <c r="G65" t="s">
        <v>11</v>
      </c>
      <c r="H65" s="646">
        <v>45110</v>
      </c>
      <c r="I65">
        <v>1359</v>
      </c>
      <c r="J65" t="s">
        <v>58</v>
      </c>
      <c r="K65" t="s">
        <v>82</v>
      </c>
      <c r="L65" t="s">
        <v>82</v>
      </c>
      <c r="M65" t="s">
        <v>75</v>
      </c>
      <c r="N65" t="s">
        <v>75</v>
      </c>
      <c r="Q65" t="s">
        <v>75</v>
      </c>
      <c r="R65" t="s">
        <v>75</v>
      </c>
      <c r="S65" t="s">
        <v>75</v>
      </c>
      <c r="T65" t="s">
        <v>75</v>
      </c>
      <c r="U65" t="s">
        <v>75</v>
      </c>
      <c r="W65" t="s">
        <v>82</v>
      </c>
      <c r="X65" t="s">
        <v>75</v>
      </c>
      <c r="Y65" t="s">
        <v>82</v>
      </c>
      <c r="Z65" t="s">
        <v>75</v>
      </c>
      <c r="AA65" t="s">
        <v>82</v>
      </c>
      <c r="AC65" t="s">
        <v>82</v>
      </c>
      <c r="AD65" t="s">
        <v>75</v>
      </c>
      <c r="AE65" t="s">
        <v>82</v>
      </c>
      <c r="AF65" t="s">
        <v>75</v>
      </c>
      <c r="AG65" s="646">
        <v>45484</v>
      </c>
      <c r="AI65" s="646">
        <v>45312</v>
      </c>
      <c r="AJ65" t="s">
        <v>121</v>
      </c>
    </row>
    <row r="66" spans="1:36" ht="26.4" x14ac:dyDescent="0.25">
      <c r="A66">
        <v>140</v>
      </c>
      <c r="B66">
        <v>37580</v>
      </c>
      <c r="C66" t="s">
        <v>54</v>
      </c>
      <c r="D66" t="s">
        <v>117</v>
      </c>
      <c r="E66" t="s">
        <v>56</v>
      </c>
      <c r="F66" t="s">
        <v>57</v>
      </c>
      <c r="G66" t="s">
        <v>11</v>
      </c>
      <c r="H66" s="646">
        <v>44336</v>
      </c>
      <c r="I66">
        <v>1039</v>
      </c>
      <c r="J66" t="s">
        <v>58</v>
      </c>
      <c r="K66" s="653" t="s">
        <v>59</v>
      </c>
      <c r="L66" t="s">
        <v>75</v>
      </c>
      <c r="M66" t="s">
        <v>60</v>
      </c>
      <c r="N66" t="s">
        <v>75</v>
      </c>
      <c r="O66" s="646">
        <v>45131</v>
      </c>
      <c r="Q66" t="s">
        <v>75</v>
      </c>
      <c r="R66" t="s">
        <v>75</v>
      </c>
      <c r="T66" t="s">
        <v>62</v>
      </c>
      <c r="U66" t="s">
        <v>62</v>
      </c>
      <c r="X66" t="s">
        <v>75</v>
      </c>
      <c r="Z66" t="s">
        <v>62</v>
      </c>
      <c r="AD66" t="s">
        <v>62</v>
      </c>
      <c r="AG66" s="646">
        <v>45484</v>
      </c>
      <c r="AH66" t="s">
        <v>121</v>
      </c>
      <c r="AI66" s="646">
        <v>45162</v>
      </c>
      <c r="AJ66" t="s">
        <v>121</v>
      </c>
    </row>
    <row r="67" spans="1:36" ht="26.4" x14ac:dyDescent="0.25">
      <c r="A67">
        <v>137</v>
      </c>
      <c r="B67">
        <v>37580</v>
      </c>
      <c r="C67" t="s">
        <v>64</v>
      </c>
      <c r="D67" t="s">
        <v>120</v>
      </c>
      <c r="E67" t="s">
        <v>56</v>
      </c>
      <c r="F67" t="s">
        <v>57</v>
      </c>
      <c r="G67" t="s">
        <v>11</v>
      </c>
      <c r="H67" s="646">
        <v>44336</v>
      </c>
      <c r="I67">
        <v>780</v>
      </c>
      <c r="J67" t="s">
        <v>58</v>
      </c>
      <c r="K67" s="653" t="s">
        <v>59</v>
      </c>
      <c r="L67" t="s">
        <v>121</v>
      </c>
      <c r="M67" t="s">
        <v>60</v>
      </c>
      <c r="N67" t="s">
        <v>75</v>
      </c>
      <c r="O67" s="646">
        <v>45131</v>
      </c>
      <c r="Q67" t="s">
        <v>75</v>
      </c>
      <c r="R67" t="s">
        <v>75</v>
      </c>
      <c r="T67" t="s">
        <v>68</v>
      </c>
      <c r="U67" t="s">
        <v>68</v>
      </c>
      <c r="X67" t="s">
        <v>75</v>
      </c>
      <c r="Z67" t="s">
        <v>68</v>
      </c>
      <c r="AD67" t="s">
        <v>68</v>
      </c>
      <c r="AF67" t="s">
        <v>68</v>
      </c>
      <c r="AG67" s="646">
        <v>45484</v>
      </c>
      <c r="AH67" t="s">
        <v>121</v>
      </c>
      <c r="AI67" s="646">
        <v>45175</v>
      </c>
      <c r="AJ67" t="s">
        <v>121</v>
      </c>
    </row>
    <row r="68" spans="1:36" ht="26.4" x14ac:dyDescent="0.25">
      <c r="A68">
        <v>97</v>
      </c>
      <c r="B68">
        <v>37201</v>
      </c>
      <c r="C68" t="s">
        <v>64</v>
      </c>
      <c r="D68" t="s">
        <v>177</v>
      </c>
      <c r="E68" t="s">
        <v>56</v>
      </c>
      <c r="F68" t="s">
        <v>57</v>
      </c>
      <c r="G68" t="s">
        <v>11</v>
      </c>
      <c r="H68" s="646">
        <v>43637</v>
      </c>
      <c r="I68">
        <v>470</v>
      </c>
      <c r="J68" t="s">
        <v>58</v>
      </c>
      <c r="K68" s="653" t="s">
        <v>59</v>
      </c>
      <c r="L68" s="646">
        <v>44111</v>
      </c>
      <c r="M68" t="s">
        <v>60</v>
      </c>
      <c r="N68" s="646">
        <v>44188</v>
      </c>
      <c r="O68" s="646">
        <v>45083</v>
      </c>
      <c r="R68" t="s">
        <v>68</v>
      </c>
      <c r="T68" t="s">
        <v>68</v>
      </c>
      <c r="U68" t="s">
        <v>68</v>
      </c>
      <c r="X68" t="s">
        <v>68</v>
      </c>
      <c r="Z68" t="s">
        <v>68</v>
      </c>
      <c r="AD68" t="s">
        <v>68</v>
      </c>
      <c r="AF68" t="s">
        <v>68</v>
      </c>
      <c r="AG68" s="646">
        <v>45484</v>
      </c>
      <c r="AH68" t="s">
        <v>121</v>
      </c>
      <c r="AI68" s="646">
        <v>45188</v>
      </c>
      <c r="AJ68" t="s">
        <v>121</v>
      </c>
    </row>
    <row r="69" spans="1:36" ht="26.4" x14ac:dyDescent="0.25">
      <c r="A69">
        <v>98</v>
      </c>
      <c r="B69">
        <v>37201</v>
      </c>
      <c r="C69" t="s">
        <v>54</v>
      </c>
      <c r="D69" t="s">
        <v>178</v>
      </c>
      <c r="E69" t="s">
        <v>56</v>
      </c>
      <c r="F69" t="s">
        <v>57</v>
      </c>
      <c r="G69" t="s">
        <v>11</v>
      </c>
      <c r="H69" s="646">
        <v>43637</v>
      </c>
      <c r="I69">
        <v>497</v>
      </c>
      <c r="J69" t="s">
        <v>58</v>
      </c>
      <c r="K69" s="653" t="s">
        <v>59</v>
      </c>
      <c r="L69" s="646">
        <v>44111</v>
      </c>
      <c r="M69" t="s">
        <v>60</v>
      </c>
      <c r="N69" s="646">
        <v>44188</v>
      </c>
      <c r="O69" s="646">
        <v>45083</v>
      </c>
      <c r="R69" t="s">
        <v>62</v>
      </c>
      <c r="T69" t="s">
        <v>62</v>
      </c>
      <c r="U69" t="s">
        <v>62</v>
      </c>
      <c r="X69" t="s">
        <v>62</v>
      </c>
      <c r="Z69" t="s">
        <v>62</v>
      </c>
      <c r="AB69" t="s">
        <v>179</v>
      </c>
      <c r="AD69" t="s">
        <v>62</v>
      </c>
      <c r="AF69" t="s">
        <v>62</v>
      </c>
      <c r="AG69" s="646">
        <v>45484</v>
      </c>
      <c r="AH69" t="s">
        <v>121</v>
      </c>
      <c r="AI69" s="646">
        <v>45188</v>
      </c>
      <c r="AJ69" t="s">
        <v>121</v>
      </c>
    </row>
    <row r="70" spans="1:36" ht="26.4" x14ac:dyDescent="0.25">
      <c r="A70">
        <v>148</v>
      </c>
      <c r="B70">
        <v>30679</v>
      </c>
      <c r="C70" t="s">
        <v>54</v>
      </c>
      <c r="D70" t="s">
        <v>111</v>
      </c>
      <c r="E70" t="s">
        <v>56</v>
      </c>
      <c r="F70" t="s">
        <v>57</v>
      </c>
      <c r="G70" t="s">
        <v>11</v>
      </c>
      <c r="H70" s="646">
        <v>44648</v>
      </c>
      <c r="I70">
        <v>1121</v>
      </c>
      <c r="J70" t="s">
        <v>58</v>
      </c>
      <c r="K70" s="653" t="s">
        <v>59</v>
      </c>
      <c r="L70" t="s">
        <v>75</v>
      </c>
      <c r="M70" t="s">
        <v>60</v>
      </c>
      <c r="N70" t="s">
        <v>75</v>
      </c>
      <c r="O70" s="646">
        <v>45157</v>
      </c>
      <c r="Q70" t="s">
        <v>75</v>
      </c>
      <c r="R70" t="s">
        <v>75</v>
      </c>
      <c r="S70" t="s">
        <v>75</v>
      </c>
      <c r="T70" t="s">
        <v>62</v>
      </c>
      <c r="U70" t="s">
        <v>62</v>
      </c>
      <c r="X70" t="s">
        <v>75</v>
      </c>
      <c r="Y70" t="s">
        <v>62</v>
      </c>
      <c r="Z70" t="s">
        <v>62</v>
      </c>
      <c r="AD70" t="s">
        <v>62</v>
      </c>
      <c r="AF70" t="s">
        <v>62</v>
      </c>
      <c r="AG70" s="646">
        <v>45485</v>
      </c>
      <c r="AH70" t="s">
        <v>121</v>
      </c>
      <c r="AI70" s="646">
        <v>45157</v>
      </c>
      <c r="AJ70" t="s">
        <v>121</v>
      </c>
    </row>
    <row r="71" spans="1:36" ht="26.4" x14ac:dyDescent="0.25">
      <c r="A71">
        <v>147</v>
      </c>
      <c r="B71">
        <v>30679</v>
      </c>
      <c r="C71" t="s">
        <v>64</v>
      </c>
      <c r="D71" t="s">
        <v>112</v>
      </c>
      <c r="E71" t="s">
        <v>56</v>
      </c>
      <c r="F71" t="s">
        <v>57</v>
      </c>
      <c r="G71" t="s">
        <v>11</v>
      </c>
      <c r="H71" s="646">
        <v>44648</v>
      </c>
      <c r="I71">
        <v>1119</v>
      </c>
      <c r="J71" t="s">
        <v>58</v>
      </c>
      <c r="K71" s="653" t="s">
        <v>59</v>
      </c>
      <c r="L71" t="s">
        <v>75</v>
      </c>
      <c r="M71" t="s">
        <v>60</v>
      </c>
      <c r="N71" t="s">
        <v>75</v>
      </c>
      <c r="O71" s="646">
        <v>45157</v>
      </c>
      <c r="Q71" t="s">
        <v>75</v>
      </c>
      <c r="R71" t="s">
        <v>75</v>
      </c>
      <c r="S71" t="s">
        <v>75</v>
      </c>
      <c r="T71" t="s">
        <v>68</v>
      </c>
      <c r="U71" t="s">
        <v>68</v>
      </c>
      <c r="X71" t="s">
        <v>75</v>
      </c>
      <c r="Y71" t="s">
        <v>68</v>
      </c>
      <c r="Z71" t="s">
        <v>68</v>
      </c>
      <c r="AD71" t="s">
        <v>68</v>
      </c>
      <c r="AF71" t="s">
        <v>68</v>
      </c>
      <c r="AG71" s="646">
        <v>45485</v>
      </c>
      <c r="AH71" t="s">
        <v>121</v>
      </c>
      <c r="AI71" s="646">
        <v>45157</v>
      </c>
      <c r="AJ71" t="s">
        <v>121</v>
      </c>
    </row>
    <row r="72" spans="1:36" ht="26.4" x14ac:dyDescent="0.25">
      <c r="A72">
        <v>1</v>
      </c>
      <c r="B72">
        <v>30782</v>
      </c>
      <c r="C72" t="s">
        <v>64</v>
      </c>
      <c r="D72" t="s">
        <v>145</v>
      </c>
      <c r="E72" t="s">
        <v>56</v>
      </c>
      <c r="F72" t="s">
        <v>57</v>
      </c>
      <c r="G72" t="s">
        <v>11</v>
      </c>
      <c r="H72" s="646">
        <v>43818</v>
      </c>
      <c r="I72">
        <v>346</v>
      </c>
      <c r="J72" t="s">
        <v>58</v>
      </c>
      <c r="K72" s="653" t="s">
        <v>59</v>
      </c>
      <c r="L72" s="646">
        <v>44266</v>
      </c>
      <c r="M72" t="s">
        <v>60</v>
      </c>
      <c r="N72" s="646">
        <v>44179</v>
      </c>
      <c r="O72" s="646">
        <v>45281</v>
      </c>
      <c r="P72" s="646">
        <v>44722</v>
      </c>
      <c r="R72" t="s">
        <v>68</v>
      </c>
      <c r="S72" t="s">
        <v>68</v>
      </c>
      <c r="T72" t="s">
        <v>68</v>
      </c>
      <c r="U72" t="s">
        <v>68</v>
      </c>
      <c r="W72" t="s">
        <v>68</v>
      </c>
      <c r="X72" t="s">
        <v>68</v>
      </c>
      <c r="Y72" t="s">
        <v>68</v>
      </c>
      <c r="Z72" t="s">
        <v>68</v>
      </c>
      <c r="AD72" t="s">
        <v>68</v>
      </c>
      <c r="AF72" t="s">
        <v>68</v>
      </c>
      <c r="AI72" s="646">
        <v>45281</v>
      </c>
      <c r="AJ72" t="s">
        <v>498</v>
      </c>
    </row>
    <row r="73" spans="1:36" ht="26.4" x14ac:dyDescent="0.25">
      <c r="A73">
        <v>2</v>
      </c>
      <c r="B73">
        <v>30782</v>
      </c>
      <c r="C73" t="s">
        <v>54</v>
      </c>
      <c r="D73" t="s">
        <v>146</v>
      </c>
      <c r="E73" t="s">
        <v>56</v>
      </c>
      <c r="F73" t="s">
        <v>57</v>
      </c>
      <c r="G73" t="s">
        <v>11</v>
      </c>
      <c r="H73" s="646">
        <v>43818</v>
      </c>
      <c r="I73">
        <v>347</v>
      </c>
      <c r="J73" t="s">
        <v>58</v>
      </c>
      <c r="K73" s="653" t="s">
        <v>59</v>
      </c>
      <c r="L73" s="646">
        <v>44266</v>
      </c>
      <c r="M73" t="s">
        <v>60</v>
      </c>
      <c r="N73" s="646">
        <v>44179</v>
      </c>
      <c r="O73" s="646">
        <v>45281</v>
      </c>
      <c r="P73" s="646">
        <v>44722</v>
      </c>
      <c r="R73" t="s">
        <v>62</v>
      </c>
      <c r="S73" t="s">
        <v>62</v>
      </c>
      <c r="T73" t="s">
        <v>62</v>
      </c>
      <c r="U73" t="s">
        <v>62</v>
      </c>
      <c r="W73" t="s">
        <v>62</v>
      </c>
      <c r="X73" t="s">
        <v>62</v>
      </c>
      <c r="Y73" t="s">
        <v>62</v>
      </c>
      <c r="Z73" t="s">
        <v>62</v>
      </c>
      <c r="AD73" t="s">
        <v>62</v>
      </c>
      <c r="AF73" t="s">
        <v>62</v>
      </c>
      <c r="AI73" s="646">
        <v>45281</v>
      </c>
      <c r="AJ73" t="s">
        <v>498</v>
      </c>
    </row>
    <row r="74" spans="1:36" ht="26.4" x14ac:dyDescent="0.25">
      <c r="A74">
        <v>3</v>
      </c>
      <c r="B74">
        <v>30783</v>
      </c>
      <c r="C74" t="s">
        <v>64</v>
      </c>
      <c r="D74" t="s">
        <v>147</v>
      </c>
      <c r="E74" t="s">
        <v>56</v>
      </c>
      <c r="F74" t="s">
        <v>57</v>
      </c>
      <c r="G74" t="s">
        <v>11</v>
      </c>
      <c r="H74" s="646">
        <v>43834</v>
      </c>
      <c r="I74">
        <v>361</v>
      </c>
      <c r="J74" t="s">
        <v>58</v>
      </c>
      <c r="K74" s="653" t="s">
        <v>59</v>
      </c>
      <c r="L74" s="646">
        <v>44217</v>
      </c>
      <c r="M74" t="s">
        <v>60</v>
      </c>
      <c r="N74" s="646">
        <v>44198</v>
      </c>
      <c r="P74" s="646">
        <v>44722</v>
      </c>
      <c r="R74" t="s">
        <v>68</v>
      </c>
      <c r="T74" t="s">
        <v>68</v>
      </c>
      <c r="U74" t="s">
        <v>68</v>
      </c>
      <c r="Z74" t="s">
        <v>68</v>
      </c>
      <c r="AD74" t="s">
        <v>68</v>
      </c>
      <c r="AF74" t="s">
        <v>68</v>
      </c>
      <c r="AI74" s="646">
        <v>45268</v>
      </c>
      <c r="AJ74" t="s">
        <v>498</v>
      </c>
    </row>
    <row r="75" spans="1:36" ht="26.4" x14ac:dyDescent="0.25">
      <c r="A75">
        <v>4</v>
      </c>
      <c r="B75">
        <v>30783</v>
      </c>
      <c r="C75" t="s">
        <v>54</v>
      </c>
      <c r="D75" t="s">
        <v>148</v>
      </c>
      <c r="E75" t="s">
        <v>56</v>
      </c>
      <c r="F75" t="s">
        <v>57</v>
      </c>
      <c r="G75" t="s">
        <v>11</v>
      </c>
      <c r="H75" s="646">
        <v>43834</v>
      </c>
      <c r="I75">
        <v>352</v>
      </c>
      <c r="J75" t="s">
        <v>58</v>
      </c>
      <c r="K75" s="653" t="s">
        <v>59</v>
      </c>
      <c r="L75" s="646">
        <v>44217</v>
      </c>
      <c r="M75" t="s">
        <v>60</v>
      </c>
      <c r="N75" s="646">
        <v>44198</v>
      </c>
      <c r="P75" s="646">
        <v>44722</v>
      </c>
      <c r="R75" t="s">
        <v>62</v>
      </c>
      <c r="T75" t="s">
        <v>62</v>
      </c>
      <c r="U75" t="s">
        <v>62</v>
      </c>
      <c r="Z75" t="s">
        <v>62</v>
      </c>
      <c r="AD75" t="s">
        <v>62</v>
      </c>
      <c r="AF75" t="s">
        <v>62</v>
      </c>
      <c r="AI75" s="646">
        <v>45268</v>
      </c>
      <c r="AJ75" t="s">
        <v>498</v>
      </c>
    </row>
    <row r="76" spans="1:36" x14ac:dyDescent="0.25">
      <c r="B76">
        <v>37646</v>
      </c>
      <c r="D76" t="s">
        <v>508</v>
      </c>
      <c r="E76" t="s">
        <v>56</v>
      </c>
      <c r="F76" t="s">
        <v>57</v>
      </c>
      <c r="G76" t="s">
        <v>11</v>
      </c>
      <c r="H76" s="646">
        <v>45331</v>
      </c>
      <c r="I76">
        <v>1508</v>
      </c>
      <c r="J76" t="s">
        <v>58</v>
      </c>
      <c r="Q76" t="s">
        <v>75</v>
      </c>
      <c r="R76" t="s">
        <v>75</v>
      </c>
      <c r="S76" t="s">
        <v>75</v>
      </c>
      <c r="T76" t="s">
        <v>75</v>
      </c>
      <c r="U76" t="s">
        <v>75</v>
      </c>
      <c r="W76" t="s">
        <v>82</v>
      </c>
      <c r="X76" t="s">
        <v>75</v>
      </c>
      <c r="Y76" t="s">
        <v>82</v>
      </c>
      <c r="AA76" t="s">
        <v>82</v>
      </c>
      <c r="AD76" t="s">
        <v>75</v>
      </c>
      <c r="AF76" t="s">
        <v>75</v>
      </c>
      <c r="AH76" t="s">
        <v>121</v>
      </c>
      <c r="AI76" t="s">
        <v>75</v>
      </c>
      <c r="AJ76" t="s">
        <v>121</v>
      </c>
    </row>
    <row r="77" spans="1:36" x14ac:dyDescent="0.25">
      <c r="A77">
        <v>198</v>
      </c>
      <c r="B77">
        <v>37646</v>
      </c>
      <c r="D77" t="s">
        <v>509</v>
      </c>
      <c r="E77" t="s">
        <v>56</v>
      </c>
      <c r="F77" t="s">
        <v>57</v>
      </c>
      <c r="G77" t="s">
        <v>11</v>
      </c>
      <c r="H77" s="646">
        <v>45331</v>
      </c>
      <c r="I77">
        <v>1509</v>
      </c>
      <c r="J77" t="s">
        <v>58</v>
      </c>
      <c r="Q77" t="s">
        <v>75</v>
      </c>
      <c r="R77" t="s">
        <v>75</v>
      </c>
      <c r="S77" t="s">
        <v>75</v>
      </c>
      <c r="T77" t="s">
        <v>75</v>
      </c>
      <c r="U77" t="s">
        <v>75</v>
      </c>
      <c r="W77" t="s">
        <v>82</v>
      </c>
      <c r="X77" t="s">
        <v>75</v>
      </c>
      <c r="Y77" t="s">
        <v>82</v>
      </c>
      <c r="AA77" t="s">
        <v>82</v>
      </c>
      <c r="AD77" t="s">
        <v>75</v>
      </c>
      <c r="AF77" t="s">
        <v>75</v>
      </c>
      <c r="AH77" t="s">
        <v>121</v>
      </c>
      <c r="AI77" t="s">
        <v>75</v>
      </c>
      <c r="AJ77" t="s">
        <v>121</v>
      </c>
    </row>
    <row r="78" spans="1:36" x14ac:dyDescent="0.25">
      <c r="B78">
        <v>37619</v>
      </c>
      <c r="D78" t="s">
        <v>510</v>
      </c>
      <c r="E78" t="s">
        <v>56</v>
      </c>
      <c r="F78" t="s">
        <v>57</v>
      </c>
      <c r="G78" t="s">
        <v>11</v>
      </c>
      <c r="H78" s="646">
        <v>45247</v>
      </c>
      <c r="I78">
        <v>1453</v>
      </c>
      <c r="J78" t="s">
        <v>58</v>
      </c>
      <c r="Q78" t="s">
        <v>75</v>
      </c>
      <c r="R78" t="s">
        <v>75</v>
      </c>
      <c r="S78" t="s">
        <v>75</v>
      </c>
      <c r="T78" t="s">
        <v>75</v>
      </c>
      <c r="U78" t="s">
        <v>75</v>
      </c>
      <c r="X78" t="s">
        <v>75</v>
      </c>
      <c r="AD78" t="s">
        <v>75</v>
      </c>
      <c r="AF78" t="s">
        <v>75</v>
      </c>
      <c r="AH78" t="s">
        <v>121</v>
      </c>
      <c r="AI78" t="s">
        <v>75</v>
      </c>
      <c r="AJ78" t="s">
        <v>121</v>
      </c>
    </row>
    <row r="79" spans="1:36" x14ac:dyDescent="0.25">
      <c r="A79">
        <v>197</v>
      </c>
      <c r="B79">
        <v>37619</v>
      </c>
      <c r="D79" t="s">
        <v>511</v>
      </c>
      <c r="E79" t="s">
        <v>56</v>
      </c>
      <c r="F79" t="s">
        <v>57</v>
      </c>
      <c r="G79" t="s">
        <v>11</v>
      </c>
      <c r="H79" s="646">
        <v>45247</v>
      </c>
      <c r="I79">
        <v>1452</v>
      </c>
      <c r="J79" t="s">
        <v>58</v>
      </c>
      <c r="Q79" t="s">
        <v>75</v>
      </c>
      <c r="R79" t="s">
        <v>75</v>
      </c>
      <c r="S79" t="s">
        <v>75</v>
      </c>
      <c r="T79" t="s">
        <v>75</v>
      </c>
      <c r="U79" t="s">
        <v>75</v>
      </c>
      <c r="X79" t="s">
        <v>75</v>
      </c>
      <c r="AD79" t="s">
        <v>75</v>
      </c>
      <c r="AF79" t="s">
        <v>75</v>
      </c>
      <c r="AH79" t="s">
        <v>121</v>
      </c>
      <c r="AI79" t="s">
        <v>75</v>
      </c>
      <c r="AJ79" t="s">
        <v>121</v>
      </c>
    </row>
    <row r="80" spans="1:36" x14ac:dyDescent="0.25">
      <c r="B80">
        <v>30389</v>
      </c>
      <c r="C80" t="s">
        <v>54</v>
      </c>
      <c r="D80" t="s">
        <v>512</v>
      </c>
      <c r="E80" t="s">
        <v>56</v>
      </c>
      <c r="F80" t="s">
        <v>57</v>
      </c>
      <c r="G80" t="s">
        <v>11</v>
      </c>
      <c r="H80" s="646">
        <v>45255</v>
      </c>
      <c r="I80">
        <v>1344</v>
      </c>
      <c r="J80" t="s">
        <v>58</v>
      </c>
      <c r="K80" t="s">
        <v>82</v>
      </c>
      <c r="L80" t="s">
        <v>82</v>
      </c>
      <c r="M80" t="s">
        <v>75</v>
      </c>
      <c r="N80" t="s">
        <v>75</v>
      </c>
      <c r="O80" t="s">
        <v>75</v>
      </c>
      <c r="P80" t="s">
        <v>75</v>
      </c>
      <c r="Q80" t="s">
        <v>75</v>
      </c>
      <c r="R80" t="s">
        <v>82</v>
      </c>
      <c r="S80" t="s">
        <v>82</v>
      </c>
      <c r="T80" t="s">
        <v>75</v>
      </c>
      <c r="U80" t="s">
        <v>82</v>
      </c>
      <c r="V80" t="s">
        <v>75</v>
      </c>
      <c r="W80" t="s">
        <v>82</v>
      </c>
      <c r="X80" t="s">
        <v>82</v>
      </c>
      <c r="Y80" t="s">
        <v>82</v>
      </c>
      <c r="Z80" t="s">
        <v>75</v>
      </c>
      <c r="AA80" t="s">
        <v>82</v>
      </c>
      <c r="AB80" t="s">
        <v>75</v>
      </c>
      <c r="AC80" t="s">
        <v>82</v>
      </c>
      <c r="AD80" t="s">
        <v>82</v>
      </c>
      <c r="AE80" t="s">
        <v>82</v>
      </c>
      <c r="AF80" t="s">
        <v>498</v>
      </c>
      <c r="AJ80" t="s">
        <v>121</v>
      </c>
    </row>
    <row r="81" spans="1:36" x14ac:dyDescent="0.25">
      <c r="A81">
        <v>195</v>
      </c>
      <c r="B81">
        <v>30389</v>
      </c>
      <c r="C81" t="s">
        <v>64</v>
      </c>
      <c r="D81" t="s">
        <v>513</v>
      </c>
      <c r="E81" t="s">
        <v>56</v>
      </c>
      <c r="F81" t="s">
        <v>57</v>
      </c>
      <c r="G81" t="s">
        <v>11</v>
      </c>
      <c r="H81" s="646">
        <v>45255</v>
      </c>
      <c r="I81">
        <v>1350</v>
      </c>
      <c r="J81" t="s">
        <v>58</v>
      </c>
      <c r="K81" t="s">
        <v>82</v>
      </c>
      <c r="L81" t="s">
        <v>82</v>
      </c>
      <c r="M81" t="s">
        <v>75</v>
      </c>
      <c r="N81" t="s">
        <v>75</v>
      </c>
      <c r="O81" t="s">
        <v>75</v>
      </c>
      <c r="P81" t="s">
        <v>75</v>
      </c>
      <c r="Q81" t="s">
        <v>75</v>
      </c>
      <c r="R81" t="s">
        <v>82</v>
      </c>
      <c r="S81" t="s">
        <v>82</v>
      </c>
      <c r="T81" t="s">
        <v>75</v>
      </c>
      <c r="U81" t="s">
        <v>82</v>
      </c>
      <c r="V81" t="s">
        <v>75</v>
      </c>
      <c r="W81" t="s">
        <v>82</v>
      </c>
      <c r="X81" t="s">
        <v>82</v>
      </c>
      <c r="Y81" t="s">
        <v>82</v>
      </c>
      <c r="Z81" t="s">
        <v>75</v>
      </c>
      <c r="AA81" t="s">
        <v>82</v>
      </c>
      <c r="AB81" t="s">
        <v>75</v>
      </c>
      <c r="AC81" t="s">
        <v>82</v>
      </c>
      <c r="AD81" t="s">
        <v>82</v>
      </c>
      <c r="AE81" t="s">
        <v>82</v>
      </c>
      <c r="AF81" t="s">
        <v>498</v>
      </c>
      <c r="AJ81" t="s">
        <v>121</v>
      </c>
    </row>
    <row r="82" spans="1:36" x14ac:dyDescent="0.25">
      <c r="B82">
        <v>30409</v>
      </c>
      <c r="C82" t="s">
        <v>54</v>
      </c>
      <c r="D82" t="s">
        <v>79</v>
      </c>
      <c r="E82" t="s">
        <v>56</v>
      </c>
      <c r="F82" t="s">
        <v>57</v>
      </c>
      <c r="G82" t="s">
        <v>11</v>
      </c>
      <c r="H82" s="646">
        <v>45177</v>
      </c>
      <c r="I82">
        <v>1183</v>
      </c>
      <c r="J82" t="s">
        <v>58</v>
      </c>
      <c r="Q82" t="s">
        <v>75</v>
      </c>
      <c r="R82" t="s">
        <v>75</v>
      </c>
      <c r="S82" t="s">
        <v>75</v>
      </c>
      <c r="T82" t="s">
        <v>75</v>
      </c>
      <c r="U82" t="s">
        <v>75</v>
      </c>
      <c r="X82" t="s">
        <v>75</v>
      </c>
      <c r="AD82" t="s">
        <v>75</v>
      </c>
      <c r="AF82" t="s">
        <v>75</v>
      </c>
      <c r="AI82" s="646">
        <v>45177</v>
      </c>
      <c r="AJ82" t="s">
        <v>121</v>
      </c>
    </row>
    <row r="83" spans="1:36" x14ac:dyDescent="0.25">
      <c r="A83">
        <v>192</v>
      </c>
      <c r="B83">
        <v>30409</v>
      </c>
      <c r="C83" t="s">
        <v>64</v>
      </c>
      <c r="D83" t="s">
        <v>80</v>
      </c>
      <c r="E83" t="s">
        <v>56</v>
      </c>
      <c r="F83" t="s">
        <v>57</v>
      </c>
      <c r="G83" t="s">
        <v>11</v>
      </c>
      <c r="H83" s="646">
        <v>45177</v>
      </c>
      <c r="I83">
        <v>1348</v>
      </c>
      <c r="J83" t="s">
        <v>58</v>
      </c>
      <c r="Q83" t="s">
        <v>75</v>
      </c>
      <c r="R83" t="s">
        <v>75</v>
      </c>
      <c r="S83" t="s">
        <v>75</v>
      </c>
      <c r="T83" t="s">
        <v>75</v>
      </c>
      <c r="U83" t="s">
        <v>75</v>
      </c>
      <c r="X83" t="s">
        <v>75</v>
      </c>
      <c r="AD83" t="s">
        <v>75</v>
      </c>
      <c r="AF83" t="s">
        <v>75</v>
      </c>
      <c r="AI83" s="646">
        <v>45177</v>
      </c>
      <c r="AJ83" t="s">
        <v>121</v>
      </c>
    </row>
    <row r="84" spans="1:36" x14ac:dyDescent="0.25">
      <c r="B84">
        <v>30424</v>
      </c>
      <c r="C84" t="s">
        <v>54</v>
      </c>
      <c r="D84" t="s">
        <v>81</v>
      </c>
      <c r="E84" t="s">
        <v>56</v>
      </c>
      <c r="F84" t="s">
        <v>57</v>
      </c>
      <c r="G84" t="s">
        <v>11</v>
      </c>
      <c r="H84" s="646">
        <v>45163</v>
      </c>
      <c r="I84">
        <v>1339</v>
      </c>
      <c r="J84" t="s">
        <v>58</v>
      </c>
      <c r="K84" t="s">
        <v>82</v>
      </c>
      <c r="L84" t="s">
        <v>82</v>
      </c>
      <c r="M84" t="s">
        <v>75</v>
      </c>
      <c r="N84" t="s">
        <v>75</v>
      </c>
      <c r="O84" s="646">
        <v>45310</v>
      </c>
      <c r="Q84" t="s">
        <v>75</v>
      </c>
      <c r="R84" t="s">
        <v>75</v>
      </c>
      <c r="S84" t="s">
        <v>75</v>
      </c>
      <c r="T84" t="s">
        <v>75</v>
      </c>
      <c r="U84" t="s">
        <v>75</v>
      </c>
      <c r="W84" t="s">
        <v>82</v>
      </c>
      <c r="X84" t="s">
        <v>75</v>
      </c>
      <c r="Y84" t="s">
        <v>82</v>
      </c>
      <c r="Z84" t="s">
        <v>75</v>
      </c>
      <c r="AA84" t="s">
        <v>82</v>
      </c>
      <c r="AC84" t="s">
        <v>82</v>
      </c>
      <c r="AD84" t="s">
        <v>75</v>
      </c>
      <c r="AE84" t="s">
        <v>82</v>
      </c>
      <c r="AF84" t="s">
        <v>75</v>
      </c>
      <c r="AI84" s="646">
        <v>45162</v>
      </c>
      <c r="AJ84" t="s">
        <v>121</v>
      </c>
    </row>
    <row r="85" spans="1:36" x14ac:dyDescent="0.25">
      <c r="A85">
        <v>190</v>
      </c>
      <c r="B85">
        <v>30424</v>
      </c>
      <c r="C85" t="s">
        <v>64</v>
      </c>
      <c r="D85" t="s">
        <v>83</v>
      </c>
      <c r="E85" t="s">
        <v>56</v>
      </c>
      <c r="F85" t="s">
        <v>57</v>
      </c>
      <c r="G85" t="s">
        <v>11</v>
      </c>
      <c r="H85" s="646">
        <v>45163</v>
      </c>
      <c r="I85">
        <v>1338</v>
      </c>
      <c r="J85" t="s">
        <v>58</v>
      </c>
      <c r="K85" t="s">
        <v>82</v>
      </c>
      <c r="L85" t="s">
        <v>82</v>
      </c>
      <c r="M85" t="s">
        <v>75</v>
      </c>
      <c r="N85" t="s">
        <v>75</v>
      </c>
      <c r="O85" s="646">
        <v>45310</v>
      </c>
      <c r="Q85" t="s">
        <v>75</v>
      </c>
      <c r="R85" t="s">
        <v>75</v>
      </c>
      <c r="S85" t="s">
        <v>75</v>
      </c>
      <c r="T85" t="s">
        <v>75</v>
      </c>
      <c r="U85" t="s">
        <v>75</v>
      </c>
      <c r="W85" t="s">
        <v>82</v>
      </c>
      <c r="X85" t="s">
        <v>75</v>
      </c>
      <c r="Y85" t="s">
        <v>82</v>
      </c>
      <c r="Z85" t="s">
        <v>75</v>
      </c>
      <c r="AA85" t="s">
        <v>82</v>
      </c>
      <c r="AC85" t="s">
        <v>82</v>
      </c>
      <c r="AD85" t="s">
        <v>75</v>
      </c>
      <c r="AE85" t="s">
        <v>82</v>
      </c>
      <c r="AF85" t="s">
        <v>75</v>
      </c>
      <c r="AI85" s="646">
        <v>45162</v>
      </c>
      <c r="AJ85" t="s">
        <v>121</v>
      </c>
    </row>
    <row r="86" spans="1:36" x14ac:dyDescent="0.25">
      <c r="B86">
        <v>30342</v>
      </c>
      <c r="C86" t="s">
        <v>54</v>
      </c>
      <c r="D86" t="s">
        <v>84</v>
      </c>
      <c r="E86" t="s">
        <v>56</v>
      </c>
      <c r="F86" t="s">
        <v>57</v>
      </c>
      <c r="G86" t="s">
        <v>11</v>
      </c>
      <c r="H86" s="646">
        <v>45125</v>
      </c>
      <c r="I86">
        <v>1389</v>
      </c>
      <c r="J86" t="s">
        <v>58</v>
      </c>
      <c r="K86" t="s">
        <v>82</v>
      </c>
      <c r="L86" t="s">
        <v>82</v>
      </c>
      <c r="M86" t="s">
        <v>75</v>
      </c>
      <c r="N86" t="s">
        <v>75</v>
      </c>
      <c r="Q86" t="s">
        <v>75</v>
      </c>
      <c r="R86" t="s">
        <v>75</v>
      </c>
      <c r="S86" t="s">
        <v>75</v>
      </c>
      <c r="T86" t="s">
        <v>75</v>
      </c>
      <c r="U86" t="s">
        <v>75</v>
      </c>
      <c r="W86" t="s">
        <v>82</v>
      </c>
      <c r="X86" t="s">
        <v>75</v>
      </c>
      <c r="Y86" t="s">
        <v>82</v>
      </c>
      <c r="Z86" t="s">
        <v>75</v>
      </c>
      <c r="AA86" t="s">
        <v>82</v>
      </c>
      <c r="AC86" t="s">
        <v>82</v>
      </c>
      <c r="AD86" t="s">
        <v>75</v>
      </c>
      <c r="AE86" t="s">
        <v>82</v>
      </c>
      <c r="AF86" t="s">
        <v>75</v>
      </c>
      <c r="AI86" s="646">
        <v>45197</v>
      </c>
      <c r="AJ86" t="s">
        <v>121</v>
      </c>
    </row>
    <row r="87" spans="1:36" x14ac:dyDescent="0.25">
      <c r="A87">
        <v>189</v>
      </c>
      <c r="B87">
        <v>30342</v>
      </c>
      <c r="C87" t="s">
        <v>64</v>
      </c>
      <c r="D87" t="s">
        <v>85</v>
      </c>
      <c r="E87" t="s">
        <v>56</v>
      </c>
      <c r="F87" t="s">
        <v>57</v>
      </c>
      <c r="G87" t="s">
        <v>11</v>
      </c>
      <c r="H87" s="646">
        <v>45125</v>
      </c>
      <c r="I87">
        <v>1385</v>
      </c>
      <c r="J87" t="s">
        <v>58</v>
      </c>
      <c r="K87" t="s">
        <v>82</v>
      </c>
      <c r="L87" t="s">
        <v>82</v>
      </c>
      <c r="M87" t="s">
        <v>75</v>
      </c>
      <c r="N87" t="s">
        <v>75</v>
      </c>
      <c r="Q87" t="s">
        <v>75</v>
      </c>
      <c r="R87" t="s">
        <v>75</v>
      </c>
      <c r="S87" t="s">
        <v>75</v>
      </c>
      <c r="T87" t="s">
        <v>75</v>
      </c>
      <c r="U87" t="s">
        <v>75</v>
      </c>
      <c r="W87" t="s">
        <v>82</v>
      </c>
      <c r="X87" t="s">
        <v>75</v>
      </c>
      <c r="Y87" t="s">
        <v>82</v>
      </c>
      <c r="Z87" t="s">
        <v>75</v>
      </c>
      <c r="AA87" t="s">
        <v>82</v>
      </c>
      <c r="AC87" t="s">
        <v>82</v>
      </c>
      <c r="AD87" t="s">
        <v>75</v>
      </c>
      <c r="AE87" t="s">
        <v>82</v>
      </c>
      <c r="AF87" t="s">
        <v>75</v>
      </c>
      <c r="AI87" s="646">
        <v>45197</v>
      </c>
      <c r="AJ87" t="s">
        <v>121</v>
      </c>
    </row>
    <row r="88" spans="1:36" x14ac:dyDescent="0.25">
      <c r="B88">
        <v>30411</v>
      </c>
      <c r="C88" t="s">
        <v>54</v>
      </c>
      <c r="D88" t="s">
        <v>90</v>
      </c>
      <c r="E88" t="s">
        <v>56</v>
      </c>
      <c r="F88" t="s">
        <v>57</v>
      </c>
      <c r="G88" t="s">
        <v>11</v>
      </c>
      <c r="H88" s="646">
        <v>45085</v>
      </c>
      <c r="I88">
        <v>1181</v>
      </c>
      <c r="J88" t="s">
        <v>58</v>
      </c>
      <c r="K88" t="s">
        <v>82</v>
      </c>
      <c r="L88" t="s">
        <v>82</v>
      </c>
      <c r="M88" t="s">
        <v>75</v>
      </c>
      <c r="N88" t="s">
        <v>75</v>
      </c>
      <c r="O88" s="646">
        <v>45315</v>
      </c>
      <c r="Q88" t="s">
        <v>75</v>
      </c>
      <c r="R88" t="s">
        <v>75</v>
      </c>
      <c r="S88" t="s">
        <v>75</v>
      </c>
      <c r="T88" t="s">
        <v>75</v>
      </c>
      <c r="U88" t="s">
        <v>75</v>
      </c>
      <c r="W88" t="s">
        <v>82</v>
      </c>
      <c r="X88" t="s">
        <v>75</v>
      </c>
      <c r="Y88" t="s">
        <v>82</v>
      </c>
      <c r="Z88" t="s">
        <v>75</v>
      </c>
      <c r="AA88" t="s">
        <v>82</v>
      </c>
      <c r="AC88" t="s">
        <v>82</v>
      </c>
      <c r="AD88" t="s">
        <v>75</v>
      </c>
      <c r="AE88" t="s">
        <v>82</v>
      </c>
      <c r="AF88" t="s">
        <v>75</v>
      </c>
      <c r="AI88" t="s">
        <v>91</v>
      </c>
      <c r="AJ88" t="s">
        <v>121</v>
      </c>
    </row>
    <row r="89" spans="1:36" x14ac:dyDescent="0.25">
      <c r="A89">
        <v>186</v>
      </c>
      <c r="B89">
        <v>30411</v>
      </c>
      <c r="C89" t="s">
        <v>64</v>
      </c>
      <c r="D89" t="s">
        <v>92</v>
      </c>
      <c r="E89" t="s">
        <v>56</v>
      </c>
      <c r="F89" t="s">
        <v>57</v>
      </c>
      <c r="G89" t="s">
        <v>11</v>
      </c>
      <c r="H89" s="646">
        <v>45085</v>
      </c>
      <c r="I89">
        <v>1351</v>
      </c>
      <c r="J89" t="s">
        <v>58</v>
      </c>
      <c r="K89" t="s">
        <v>82</v>
      </c>
      <c r="L89" t="s">
        <v>82</v>
      </c>
      <c r="M89" t="s">
        <v>75</v>
      </c>
      <c r="N89" t="s">
        <v>75</v>
      </c>
      <c r="O89" s="646">
        <v>45315</v>
      </c>
      <c r="Q89" t="s">
        <v>75</v>
      </c>
      <c r="R89" t="s">
        <v>75</v>
      </c>
      <c r="S89" t="s">
        <v>75</v>
      </c>
      <c r="T89" t="s">
        <v>75</v>
      </c>
      <c r="U89" t="s">
        <v>75</v>
      </c>
      <c r="W89" t="s">
        <v>82</v>
      </c>
      <c r="X89" t="s">
        <v>75</v>
      </c>
      <c r="Y89" t="s">
        <v>82</v>
      </c>
      <c r="Z89" t="s">
        <v>75</v>
      </c>
      <c r="AA89" t="s">
        <v>82</v>
      </c>
      <c r="AC89" t="s">
        <v>82</v>
      </c>
      <c r="AD89" t="s">
        <v>75</v>
      </c>
      <c r="AE89" t="s">
        <v>82</v>
      </c>
      <c r="AF89" t="s">
        <v>75</v>
      </c>
      <c r="AI89" t="s">
        <v>91</v>
      </c>
      <c r="AJ89" t="s">
        <v>121</v>
      </c>
    </row>
    <row r="90" spans="1:36" x14ac:dyDescent="0.25">
      <c r="B90">
        <v>30378</v>
      </c>
      <c r="C90" t="s">
        <v>54</v>
      </c>
      <c r="D90" t="s">
        <v>93</v>
      </c>
      <c r="E90" t="s">
        <v>56</v>
      </c>
      <c r="F90" t="s">
        <v>57</v>
      </c>
      <c r="G90" t="s">
        <v>11</v>
      </c>
      <c r="H90" s="646">
        <v>45058</v>
      </c>
      <c r="I90">
        <v>1382</v>
      </c>
      <c r="J90" t="s">
        <v>58</v>
      </c>
      <c r="K90" t="s">
        <v>82</v>
      </c>
      <c r="L90" t="s">
        <v>82</v>
      </c>
      <c r="M90" t="s">
        <v>75</v>
      </c>
      <c r="N90" t="s">
        <v>75</v>
      </c>
      <c r="Q90" t="s">
        <v>75</v>
      </c>
      <c r="R90" t="s">
        <v>75</v>
      </c>
      <c r="S90" t="s">
        <v>75</v>
      </c>
      <c r="T90" t="s">
        <v>75</v>
      </c>
      <c r="U90" t="s">
        <v>75</v>
      </c>
      <c r="W90" t="s">
        <v>82</v>
      </c>
      <c r="X90" t="s">
        <v>75</v>
      </c>
      <c r="Y90" t="s">
        <v>82</v>
      </c>
      <c r="Z90" t="s">
        <v>75</v>
      </c>
      <c r="AA90" t="s">
        <v>82</v>
      </c>
      <c r="AC90" t="s">
        <v>82</v>
      </c>
      <c r="AD90" t="s">
        <v>75</v>
      </c>
      <c r="AE90" t="s">
        <v>82</v>
      </c>
      <c r="AF90" t="s">
        <v>75</v>
      </c>
      <c r="AI90" s="646">
        <v>45234</v>
      </c>
      <c r="AJ90" t="s">
        <v>121</v>
      </c>
    </row>
    <row r="91" spans="1:36" x14ac:dyDescent="0.25">
      <c r="A91">
        <v>185</v>
      </c>
      <c r="B91">
        <v>30378</v>
      </c>
      <c r="C91" t="s">
        <v>64</v>
      </c>
      <c r="D91" t="s">
        <v>94</v>
      </c>
      <c r="E91" t="s">
        <v>56</v>
      </c>
      <c r="F91" t="s">
        <v>57</v>
      </c>
      <c r="G91" t="s">
        <v>11</v>
      </c>
      <c r="H91" s="646">
        <v>45058</v>
      </c>
      <c r="I91">
        <v>1380</v>
      </c>
      <c r="J91" t="s">
        <v>58</v>
      </c>
      <c r="K91" t="s">
        <v>82</v>
      </c>
      <c r="L91" t="s">
        <v>82</v>
      </c>
      <c r="M91" t="s">
        <v>75</v>
      </c>
      <c r="N91" t="s">
        <v>75</v>
      </c>
      <c r="Q91" t="s">
        <v>75</v>
      </c>
      <c r="R91" t="s">
        <v>75</v>
      </c>
      <c r="S91" t="s">
        <v>75</v>
      </c>
      <c r="T91" t="s">
        <v>75</v>
      </c>
      <c r="U91" t="s">
        <v>75</v>
      </c>
      <c r="W91" t="s">
        <v>82</v>
      </c>
      <c r="X91" t="s">
        <v>75</v>
      </c>
      <c r="Y91" t="s">
        <v>82</v>
      </c>
      <c r="Z91" t="s">
        <v>75</v>
      </c>
      <c r="AA91" t="s">
        <v>82</v>
      </c>
      <c r="AC91" t="s">
        <v>82</v>
      </c>
      <c r="AD91" t="s">
        <v>75</v>
      </c>
      <c r="AE91" t="s">
        <v>82</v>
      </c>
      <c r="AF91" t="s">
        <v>75</v>
      </c>
      <c r="AI91" s="646">
        <v>45234</v>
      </c>
      <c r="AJ91" t="s">
        <v>121</v>
      </c>
    </row>
    <row r="92" spans="1:36" x14ac:dyDescent="0.25">
      <c r="B92">
        <v>39240</v>
      </c>
      <c r="C92" t="s">
        <v>54</v>
      </c>
      <c r="D92" t="s">
        <v>95</v>
      </c>
      <c r="E92" t="s">
        <v>56</v>
      </c>
      <c r="F92" t="s">
        <v>57</v>
      </c>
      <c r="G92" t="s">
        <v>11</v>
      </c>
      <c r="H92" s="646">
        <v>45040</v>
      </c>
      <c r="I92">
        <v>1259</v>
      </c>
      <c r="J92" t="s">
        <v>58</v>
      </c>
      <c r="K92" t="s">
        <v>82</v>
      </c>
      <c r="L92" t="s">
        <v>82</v>
      </c>
      <c r="M92" t="s">
        <v>75</v>
      </c>
      <c r="N92" t="s">
        <v>75</v>
      </c>
      <c r="O92" s="646">
        <v>45315</v>
      </c>
      <c r="Q92" t="s">
        <v>75</v>
      </c>
      <c r="R92" t="s">
        <v>75</v>
      </c>
      <c r="S92" t="s">
        <v>75</v>
      </c>
      <c r="T92" t="s">
        <v>75</v>
      </c>
      <c r="U92" t="s">
        <v>75</v>
      </c>
      <c r="W92" t="s">
        <v>82</v>
      </c>
      <c r="X92" t="s">
        <v>75</v>
      </c>
      <c r="Y92" t="s">
        <v>82</v>
      </c>
      <c r="Z92" t="s">
        <v>75</v>
      </c>
      <c r="AA92" t="s">
        <v>82</v>
      </c>
      <c r="AC92" t="s">
        <v>82</v>
      </c>
      <c r="AD92" t="s">
        <v>75</v>
      </c>
      <c r="AE92" t="s">
        <v>82</v>
      </c>
      <c r="AF92" t="s">
        <v>75</v>
      </c>
      <c r="AI92" s="646">
        <v>45195</v>
      </c>
      <c r="AJ92" t="s">
        <v>121</v>
      </c>
    </row>
    <row r="93" spans="1:36" x14ac:dyDescent="0.25">
      <c r="A93">
        <v>184</v>
      </c>
      <c r="B93">
        <v>39240</v>
      </c>
      <c r="C93" t="s">
        <v>64</v>
      </c>
      <c r="D93" t="s">
        <v>96</v>
      </c>
      <c r="E93" t="s">
        <v>56</v>
      </c>
      <c r="F93" t="s">
        <v>57</v>
      </c>
      <c r="G93" t="s">
        <v>11</v>
      </c>
      <c r="H93" s="646">
        <v>45040</v>
      </c>
      <c r="I93">
        <v>1265</v>
      </c>
      <c r="J93" t="s">
        <v>58</v>
      </c>
      <c r="K93" t="s">
        <v>82</v>
      </c>
      <c r="L93" t="s">
        <v>82</v>
      </c>
      <c r="M93" t="s">
        <v>75</v>
      </c>
      <c r="N93" t="s">
        <v>75</v>
      </c>
      <c r="O93" s="646">
        <v>45315</v>
      </c>
      <c r="Q93" t="s">
        <v>75</v>
      </c>
      <c r="R93" t="s">
        <v>75</v>
      </c>
      <c r="S93" t="s">
        <v>75</v>
      </c>
      <c r="T93" t="s">
        <v>75</v>
      </c>
      <c r="U93" t="s">
        <v>75</v>
      </c>
      <c r="W93" t="s">
        <v>82</v>
      </c>
      <c r="X93" t="s">
        <v>75</v>
      </c>
      <c r="Y93" t="s">
        <v>82</v>
      </c>
      <c r="Z93" t="s">
        <v>75</v>
      </c>
      <c r="AA93" t="s">
        <v>82</v>
      </c>
      <c r="AC93" t="s">
        <v>82</v>
      </c>
      <c r="AD93" t="s">
        <v>75</v>
      </c>
      <c r="AE93" t="s">
        <v>82</v>
      </c>
      <c r="AF93" t="s">
        <v>75</v>
      </c>
      <c r="AI93" s="646">
        <v>45195</v>
      </c>
      <c r="AJ93" t="s">
        <v>121</v>
      </c>
    </row>
    <row r="94" spans="1:36" x14ac:dyDescent="0.25">
      <c r="B94">
        <v>39237</v>
      </c>
      <c r="C94" t="s">
        <v>54</v>
      </c>
      <c r="D94" t="s">
        <v>99</v>
      </c>
      <c r="E94" t="s">
        <v>56</v>
      </c>
      <c r="F94" t="s">
        <v>57</v>
      </c>
      <c r="G94" t="s">
        <v>11</v>
      </c>
      <c r="H94" s="646">
        <v>45008</v>
      </c>
      <c r="I94">
        <v>1255</v>
      </c>
      <c r="J94" t="s">
        <v>58</v>
      </c>
      <c r="Q94" t="s">
        <v>75</v>
      </c>
      <c r="R94" t="s">
        <v>75</v>
      </c>
      <c r="S94" t="s">
        <v>75</v>
      </c>
      <c r="T94" t="s">
        <v>75</v>
      </c>
      <c r="U94" t="s">
        <v>75</v>
      </c>
      <c r="X94" t="s">
        <v>75</v>
      </c>
      <c r="Y94" t="s">
        <v>82</v>
      </c>
      <c r="Z94" t="s">
        <v>75</v>
      </c>
      <c r="AD94" t="s">
        <v>75</v>
      </c>
      <c r="AE94" t="s">
        <v>82</v>
      </c>
      <c r="AF94" t="s">
        <v>75</v>
      </c>
      <c r="AJ94" t="s">
        <v>121</v>
      </c>
    </row>
    <row r="95" spans="1:36" x14ac:dyDescent="0.25">
      <c r="A95">
        <v>182</v>
      </c>
      <c r="B95">
        <v>39237</v>
      </c>
      <c r="C95" t="s">
        <v>64</v>
      </c>
      <c r="D95" t="s">
        <v>100</v>
      </c>
      <c r="E95" t="s">
        <v>56</v>
      </c>
      <c r="F95" t="s">
        <v>57</v>
      </c>
      <c r="G95" t="s">
        <v>11</v>
      </c>
      <c r="H95" s="646">
        <v>45008</v>
      </c>
      <c r="I95">
        <v>1258</v>
      </c>
      <c r="J95" t="s">
        <v>58</v>
      </c>
      <c r="Q95" t="s">
        <v>75</v>
      </c>
      <c r="R95" t="s">
        <v>75</v>
      </c>
      <c r="S95" t="s">
        <v>75</v>
      </c>
      <c r="T95" t="s">
        <v>75</v>
      </c>
      <c r="U95" t="s">
        <v>75</v>
      </c>
      <c r="X95" t="s">
        <v>75</v>
      </c>
      <c r="Y95" t="s">
        <v>82</v>
      </c>
      <c r="Z95" t="s">
        <v>75</v>
      </c>
      <c r="AD95" t="s">
        <v>75</v>
      </c>
      <c r="AE95" t="s">
        <v>82</v>
      </c>
      <c r="AF95" t="s">
        <v>75</v>
      </c>
      <c r="AJ95" t="s">
        <v>121</v>
      </c>
    </row>
    <row r="96" spans="1:36" ht="26.4" x14ac:dyDescent="0.25">
      <c r="A96">
        <v>180</v>
      </c>
      <c r="B96">
        <v>30421</v>
      </c>
      <c r="C96" t="s">
        <v>54</v>
      </c>
      <c r="D96" t="s">
        <v>103</v>
      </c>
      <c r="E96" t="s">
        <v>56</v>
      </c>
      <c r="F96" t="s">
        <v>57</v>
      </c>
      <c r="G96" t="s">
        <v>11</v>
      </c>
      <c r="H96" s="646">
        <v>44993</v>
      </c>
      <c r="I96">
        <v>1390</v>
      </c>
      <c r="J96" t="s">
        <v>58</v>
      </c>
      <c r="K96" s="653" t="s">
        <v>59</v>
      </c>
      <c r="L96" t="s">
        <v>75</v>
      </c>
      <c r="M96" t="s">
        <v>60</v>
      </c>
      <c r="N96" t="s">
        <v>75</v>
      </c>
      <c r="O96" s="646">
        <v>45311</v>
      </c>
      <c r="P96" t="s">
        <v>82</v>
      </c>
      <c r="Q96" t="s">
        <v>75</v>
      </c>
      <c r="R96" t="s">
        <v>75</v>
      </c>
      <c r="S96" t="s">
        <v>75</v>
      </c>
      <c r="T96" t="s">
        <v>75</v>
      </c>
      <c r="U96" t="s">
        <v>75</v>
      </c>
      <c r="V96" t="s">
        <v>82</v>
      </c>
      <c r="W96" t="s">
        <v>82</v>
      </c>
      <c r="X96" t="s">
        <v>75</v>
      </c>
      <c r="Y96" t="s">
        <v>82</v>
      </c>
      <c r="Z96" t="s">
        <v>75</v>
      </c>
      <c r="AA96" t="s">
        <v>82</v>
      </c>
      <c r="AB96" t="s">
        <v>82</v>
      </c>
      <c r="AC96" t="s">
        <v>82</v>
      </c>
      <c r="AD96" t="s">
        <v>75</v>
      </c>
      <c r="AE96" t="s">
        <v>82</v>
      </c>
      <c r="AF96" t="s">
        <v>75</v>
      </c>
      <c r="AI96" s="646">
        <v>45311</v>
      </c>
      <c r="AJ96" t="s">
        <v>121</v>
      </c>
    </row>
    <row r="97" spans="1:36" ht="26.4" x14ac:dyDescent="0.25">
      <c r="A97">
        <v>179</v>
      </c>
      <c r="B97">
        <v>30421</v>
      </c>
      <c r="C97" t="s">
        <v>64</v>
      </c>
      <c r="D97" t="s">
        <v>104</v>
      </c>
      <c r="E97" t="s">
        <v>56</v>
      </c>
      <c r="F97" t="s">
        <v>57</v>
      </c>
      <c r="G97" t="s">
        <v>11</v>
      </c>
      <c r="H97" s="646">
        <v>44993</v>
      </c>
      <c r="I97">
        <v>1391</v>
      </c>
      <c r="J97" t="s">
        <v>58</v>
      </c>
      <c r="K97" s="653" t="s">
        <v>59</v>
      </c>
      <c r="L97" t="s">
        <v>75</v>
      </c>
      <c r="M97" t="s">
        <v>60</v>
      </c>
      <c r="N97" t="s">
        <v>75</v>
      </c>
      <c r="O97" s="646">
        <v>45311</v>
      </c>
      <c r="P97" t="s">
        <v>82</v>
      </c>
      <c r="Q97" t="s">
        <v>75</v>
      </c>
      <c r="R97" t="s">
        <v>75</v>
      </c>
      <c r="S97" t="s">
        <v>75</v>
      </c>
      <c r="T97" t="s">
        <v>75</v>
      </c>
      <c r="U97" t="s">
        <v>75</v>
      </c>
      <c r="V97" t="s">
        <v>82</v>
      </c>
      <c r="W97" t="s">
        <v>82</v>
      </c>
      <c r="X97" t="s">
        <v>75</v>
      </c>
      <c r="Y97" t="s">
        <v>82</v>
      </c>
      <c r="Z97" t="s">
        <v>75</v>
      </c>
      <c r="AA97" t="s">
        <v>82</v>
      </c>
      <c r="AB97" t="s">
        <v>82</v>
      </c>
      <c r="AC97" t="s">
        <v>82</v>
      </c>
      <c r="AD97" t="s">
        <v>75</v>
      </c>
      <c r="AE97" t="s">
        <v>82</v>
      </c>
      <c r="AF97" t="s">
        <v>75</v>
      </c>
      <c r="AI97" s="646">
        <v>45311</v>
      </c>
      <c r="AJ97" t="s">
        <v>121</v>
      </c>
    </row>
    <row r="98" spans="1:36" ht="26.4" x14ac:dyDescent="0.25">
      <c r="A98">
        <v>178</v>
      </c>
      <c r="B98">
        <v>39229</v>
      </c>
      <c r="C98" t="s">
        <v>54</v>
      </c>
      <c r="D98" t="s">
        <v>105</v>
      </c>
      <c r="E98" t="s">
        <v>56</v>
      </c>
      <c r="F98" t="s">
        <v>57</v>
      </c>
      <c r="G98" t="s">
        <v>11</v>
      </c>
      <c r="H98" s="646">
        <v>44977</v>
      </c>
      <c r="I98">
        <v>1232</v>
      </c>
      <c r="J98" t="s">
        <v>58</v>
      </c>
      <c r="K98" s="653" t="s">
        <v>59</v>
      </c>
      <c r="L98" t="s">
        <v>75</v>
      </c>
      <c r="M98" t="s">
        <v>60</v>
      </c>
      <c r="N98" t="s">
        <v>75</v>
      </c>
      <c r="O98" t="s">
        <v>82</v>
      </c>
      <c r="P98" t="s">
        <v>82</v>
      </c>
      <c r="Q98" t="s">
        <v>75</v>
      </c>
      <c r="R98" t="s">
        <v>75</v>
      </c>
      <c r="S98" t="s">
        <v>75</v>
      </c>
      <c r="T98" t="s">
        <v>75</v>
      </c>
      <c r="U98" t="s">
        <v>75</v>
      </c>
      <c r="V98" t="s">
        <v>82</v>
      </c>
      <c r="W98" t="s">
        <v>82</v>
      </c>
      <c r="X98" t="s">
        <v>75</v>
      </c>
      <c r="Y98" t="s">
        <v>82</v>
      </c>
      <c r="Z98" t="s">
        <v>75</v>
      </c>
      <c r="AA98" t="s">
        <v>82</v>
      </c>
      <c r="AB98" t="s">
        <v>82</v>
      </c>
      <c r="AC98" t="s">
        <v>82</v>
      </c>
      <c r="AD98" t="s">
        <v>75</v>
      </c>
      <c r="AE98" t="s">
        <v>82</v>
      </c>
      <c r="AF98" t="s">
        <v>75</v>
      </c>
      <c r="AI98" s="646">
        <v>45167</v>
      </c>
      <c r="AJ98" t="s">
        <v>121</v>
      </c>
    </row>
    <row r="99" spans="1:36" ht="26.4" x14ac:dyDescent="0.25">
      <c r="A99">
        <v>177</v>
      </c>
      <c r="B99">
        <v>39229</v>
      </c>
      <c r="C99" t="s">
        <v>64</v>
      </c>
      <c r="D99" t="s">
        <v>106</v>
      </c>
      <c r="E99" t="s">
        <v>56</v>
      </c>
      <c r="F99" t="s">
        <v>57</v>
      </c>
      <c r="G99" t="s">
        <v>11</v>
      </c>
      <c r="H99" s="646">
        <v>44977</v>
      </c>
      <c r="I99">
        <v>1235</v>
      </c>
      <c r="J99" t="s">
        <v>58</v>
      </c>
      <c r="K99" s="653" t="s">
        <v>59</v>
      </c>
      <c r="L99" t="s">
        <v>75</v>
      </c>
      <c r="M99" t="s">
        <v>60</v>
      </c>
      <c r="N99" t="s">
        <v>75</v>
      </c>
      <c r="O99" t="s">
        <v>82</v>
      </c>
      <c r="P99" t="s">
        <v>82</v>
      </c>
      <c r="Q99" t="s">
        <v>75</v>
      </c>
      <c r="R99" t="s">
        <v>75</v>
      </c>
      <c r="S99" t="s">
        <v>75</v>
      </c>
      <c r="T99" t="s">
        <v>75</v>
      </c>
      <c r="U99" t="s">
        <v>75</v>
      </c>
      <c r="V99" t="s">
        <v>82</v>
      </c>
      <c r="W99" t="s">
        <v>82</v>
      </c>
      <c r="X99" t="s">
        <v>75</v>
      </c>
      <c r="Y99" t="s">
        <v>82</v>
      </c>
      <c r="Z99" t="s">
        <v>75</v>
      </c>
      <c r="AA99" t="s">
        <v>82</v>
      </c>
      <c r="AB99" t="s">
        <v>82</v>
      </c>
      <c r="AC99" t="s">
        <v>82</v>
      </c>
      <c r="AD99" t="s">
        <v>75</v>
      </c>
      <c r="AE99" t="s">
        <v>82</v>
      </c>
      <c r="AF99" t="s">
        <v>75</v>
      </c>
      <c r="AI99" s="646">
        <v>45167</v>
      </c>
      <c r="AJ99" t="s">
        <v>121</v>
      </c>
    </row>
    <row r="100" spans="1:36" ht="26.4" x14ac:dyDescent="0.25">
      <c r="A100">
        <v>176</v>
      </c>
      <c r="B100">
        <v>39228</v>
      </c>
      <c r="C100" t="s">
        <v>54</v>
      </c>
      <c r="D100" t="s">
        <v>107</v>
      </c>
      <c r="E100" t="s">
        <v>56</v>
      </c>
      <c r="F100" t="s">
        <v>57</v>
      </c>
      <c r="G100" t="s">
        <v>11</v>
      </c>
      <c r="H100" s="646">
        <v>44972</v>
      </c>
      <c r="I100">
        <v>1239</v>
      </c>
      <c r="J100" t="s">
        <v>58</v>
      </c>
      <c r="K100" s="653" t="s">
        <v>59</v>
      </c>
      <c r="L100" t="s">
        <v>75</v>
      </c>
      <c r="M100" t="s">
        <v>60</v>
      </c>
      <c r="N100" t="s">
        <v>75</v>
      </c>
      <c r="O100" t="s">
        <v>82</v>
      </c>
      <c r="P100" t="s">
        <v>82</v>
      </c>
      <c r="Q100" t="s">
        <v>75</v>
      </c>
      <c r="R100" t="s">
        <v>75</v>
      </c>
      <c r="S100" t="s">
        <v>75</v>
      </c>
      <c r="T100" t="s">
        <v>75</v>
      </c>
      <c r="U100" t="s">
        <v>75</v>
      </c>
      <c r="V100" t="s">
        <v>82</v>
      </c>
      <c r="W100" t="s">
        <v>82</v>
      </c>
      <c r="X100" t="s">
        <v>75</v>
      </c>
      <c r="Y100" t="s">
        <v>82</v>
      </c>
      <c r="Z100" t="s">
        <v>75</v>
      </c>
      <c r="AA100" t="s">
        <v>82</v>
      </c>
      <c r="AB100" t="s">
        <v>82</v>
      </c>
      <c r="AC100" t="s">
        <v>82</v>
      </c>
      <c r="AD100" t="s">
        <v>75</v>
      </c>
      <c r="AE100" t="s">
        <v>82</v>
      </c>
      <c r="AF100" t="s">
        <v>75</v>
      </c>
      <c r="AI100" s="646">
        <v>45167</v>
      </c>
      <c r="AJ100" t="s">
        <v>121</v>
      </c>
    </row>
    <row r="101" spans="1:36" ht="26.4" x14ac:dyDescent="0.25">
      <c r="A101">
        <v>175</v>
      </c>
      <c r="B101">
        <v>39228</v>
      </c>
      <c r="C101" t="s">
        <v>64</v>
      </c>
      <c r="D101" t="s">
        <v>108</v>
      </c>
      <c r="E101" t="s">
        <v>56</v>
      </c>
      <c r="F101" t="s">
        <v>57</v>
      </c>
      <c r="G101" t="s">
        <v>11</v>
      </c>
      <c r="H101" s="646">
        <v>44972</v>
      </c>
      <c r="I101">
        <v>1238</v>
      </c>
      <c r="J101" t="s">
        <v>58</v>
      </c>
      <c r="K101" s="653" t="s">
        <v>59</v>
      </c>
      <c r="L101" t="s">
        <v>75</v>
      </c>
      <c r="M101" t="s">
        <v>60</v>
      </c>
      <c r="N101" t="s">
        <v>75</v>
      </c>
      <c r="O101" t="s">
        <v>82</v>
      </c>
      <c r="P101" t="s">
        <v>82</v>
      </c>
      <c r="Q101" t="s">
        <v>75</v>
      </c>
      <c r="R101" t="s">
        <v>75</v>
      </c>
      <c r="S101" t="s">
        <v>75</v>
      </c>
      <c r="T101" t="s">
        <v>75</v>
      </c>
      <c r="U101" t="s">
        <v>75</v>
      </c>
      <c r="V101" t="s">
        <v>82</v>
      </c>
      <c r="W101" t="s">
        <v>82</v>
      </c>
      <c r="X101" t="s">
        <v>75</v>
      </c>
      <c r="Y101" t="s">
        <v>82</v>
      </c>
      <c r="Z101" t="s">
        <v>75</v>
      </c>
      <c r="AA101" t="s">
        <v>82</v>
      </c>
      <c r="AB101" t="s">
        <v>82</v>
      </c>
      <c r="AC101" t="s">
        <v>82</v>
      </c>
      <c r="AD101" t="s">
        <v>75</v>
      </c>
      <c r="AE101" t="s">
        <v>82</v>
      </c>
      <c r="AF101" t="s">
        <v>75</v>
      </c>
      <c r="AI101" s="646">
        <v>45167</v>
      </c>
      <c r="AJ101" t="s">
        <v>121</v>
      </c>
    </row>
    <row r="102" spans="1:36" ht="26.4" x14ac:dyDescent="0.25">
      <c r="A102">
        <v>162</v>
      </c>
      <c r="B102">
        <v>30436</v>
      </c>
      <c r="C102" t="s">
        <v>54</v>
      </c>
      <c r="D102" t="s">
        <v>109</v>
      </c>
      <c r="E102" t="s">
        <v>56</v>
      </c>
      <c r="F102" t="s">
        <v>57</v>
      </c>
      <c r="G102" t="s">
        <v>11</v>
      </c>
      <c r="I102">
        <v>1332</v>
      </c>
      <c r="J102" t="s">
        <v>58</v>
      </c>
      <c r="K102" s="653" t="s">
        <v>59</v>
      </c>
      <c r="L102" t="s">
        <v>75</v>
      </c>
      <c r="M102" t="s">
        <v>60</v>
      </c>
      <c r="N102" t="s">
        <v>75</v>
      </c>
      <c r="O102" s="646">
        <v>45312</v>
      </c>
      <c r="Q102" t="s">
        <v>75</v>
      </c>
      <c r="R102" t="s">
        <v>75</v>
      </c>
      <c r="S102" t="s">
        <v>75</v>
      </c>
      <c r="T102" t="s">
        <v>75</v>
      </c>
      <c r="U102" t="s">
        <v>75</v>
      </c>
      <c r="X102" t="s">
        <v>75</v>
      </c>
      <c r="AD102" t="s">
        <v>75</v>
      </c>
      <c r="AF102" t="s">
        <v>75</v>
      </c>
      <c r="AH102" t="s">
        <v>121</v>
      </c>
      <c r="AI102" s="646">
        <v>45224</v>
      </c>
      <c r="AJ102" t="s">
        <v>121</v>
      </c>
    </row>
    <row r="103" spans="1:36" ht="26.4" x14ac:dyDescent="0.25">
      <c r="A103">
        <v>161</v>
      </c>
      <c r="B103">
        <v>30436</v>
      </c>
      <c r="C103" t="s">
        <v>64</v>
      </c>
      <c r="D103" t="s">
        <v>110</v>
      </c>
      <c r="E103" t="s">
        <v>56</v>
      </c>
      <c r="F103" t="s">
        <v>57</v>
      </c>
      <c r="G103" t="s">
        <v>11</v>
      </c>
      <c r="I103">
        <v>1333</v>
      </c>
      <c r="J103" t="s">
        <v>58</v>
      </c>
      <c r="K103" s="653" t="s">
        <v>59</v>
      </c>
      <c r="L103" t="s">
        <v>75</v>
      </c>
      <c r="M103" t="s">
        <v>60</v>
      </c>
      <c r="N103" t="s">
        <v>75</v>
      </c>
      <c r="O103" s="646">
        <v>45312</v>
      </c>
      <c r="Q103" t="s">
        <v>75</v>
      </c>
      <c r="R103" t="s">
        <v>75</v>
      </c>
      <c r="S103" t="s">
        <v>75</v>
      </c>
      <c r="T103" t="s">
        <v>75</v>
      </c>
      <c r="U103" t="s">
        <v>75</v>
      </c>
      <c r="X103" t="s">
        <v>75</v>
      </c>
      <c r="AD103" t="s">
        <v>75</v>
      </c>
      <c r="AF103" t="s">
        <v>75</v>
      </c>
      <c r="AH103" t="s">
        <v>121</v>
      </c>
      <c r="AI103" s="646">
        <v>45224</v>
      </c>
      <c r="AJ103" t="s">
        <v>121</v>
      </c>
    </row>
    <row r="104" spans="1:36" ht="26.4" x14ac:dyDescent="0.25">
      <c r="A104">
        <v>139</v>
      </c>
      <c r="B104">
        <v>37594</v>
      </c>
      <c r="C104" t="s">
        <v>54</v>
      </c>
      <c r="D104" t="s">
        <v>118</v>
      </c>
      <c r="E104" t="s">
        <v>56</v>
      </c>
      <c r="F104" t="s">
        <v>57</v>
      </c>
      <c r="G104" t="s">
        <v>11</v>
      </c>
      <c r="H104" s="646">
        <v>44367</v>
      </c>
      <c r="I104">
        <v>937</v>
      </c>
      <c r="J104" t="s">
        <v>58</v>
      </c>
      <c r="K104" s="653" t="s">
        <v>59</v>
      </c>
      <c r="L104" t="s">
        <v>75</v>
      </c>
      <c r="O104" s="646">
        <v>45103</v>
      </c>
      <c r="Q104" t="s">
        <v>75</v>
      </c>
      <c r="R104" t="s">
        <v>75</v>
      </c>
      <c r="T104" t="s">
        <v>62</v>
      </c>
      <c r="U104" t="s">
        <v>62</v>
      </c>
      <c r="X104" t="s">
        <v>75</v>
      </c>
      <c r="Z104" t="s">
        <v>62</v>
      </c>
      <c r="AD104" t="s">
        <v>62</v>
      </c>
      <c r="AH104" t="s">
        <v>121</v>
      </c>
      <c r="AI104" s="646">
        <v>45162</v>
      </c>
      <c r="AJ104" t="s">
        <v>121</v>
      </c>
    </row>
    <row r="105" spans="1:36" ht="26.4" x14ac:dyDescent="0.25">
      <c r="A105">
        <v>138</v>
      </c>
      <c r="B105">
        <v>37594</v>
      </c>
      <c r="C105" t="s">
        <v>64</v>
      </c>
      <c r="D105" t="s">
        <v>119</v>
      </c>
      <c r="E105" t="s">
        <v>56</v>
      </c>
      <c r="F105" t="s">
        <v>57</v>
      </c>
      <c r="G105" t="s">
        <v>11</v>
      </c>
      <c r="H105" s="646">
        <v>44367</v>
      </c>
      <c r="I105">
        <v>936</v>
      </c>
      <c r="J105" t="s">
        <v>58</v>
      </c>
      <c r="K105" s="653" t="s">
        <v>59</v>
      </c>
      <c r="L105" t="s">
        <v>75</v>
      </c>
      <c r="O105" s="646">
        <v>45103</v>
      </c>
      <c r="Q105" t="s">
        <v>75</v>
      </c>
      <c r="R105" t="s">
        <v>75</v>
      </c>
      <c r="T105" t="s">
        <v>68</v>
      </c>
      <c r="U105" t="s">
        <v>68</v>
      </c>
      <c r="X105" t="s">
        <v>75</v>
      </c>
      <c r="Z105" t="s">
        <v>68</v>
      </c>
      <c r="AD105" t="s">
        <v>68</v>
      </c>
      <c r="AH105" t="s">
        <v>121</v>
      </c>
      <c r="AI105" s="646">
        <v>45175</v>
      </c>
      <c r="AJ105" t="s">
        <v>121</v>
      </c>
    </row>
    <row r="106" spans="1:36" ht="26.4" x14ac:dyDescent="0.25">
      <c r="A106">
        <v>73</v>
      </c>
      <c r="B106">
        <v>30477</v>
      </c>
      <c r="C106" t="s">
        <v>64</v>
      </c>
      <c r="D106" t="s">
        <v>160</v>
      </c>
      <c r="E106" t="s">
        <v>56</v>
      </c>
      <c r="F106" t="s">
        <v>57</v>
      </c>
      <c r="G106" t="s">
        <v>11</v>
      </c>
      <c r="H106" s="646">
        <v>42520</v>
      </c>
      <c r="I106">
        <v>42</v>
      </c>
      <c r="J106" t="s">
        <v>66</v>
      </c>
      <c r="K106" s="653" t="s">
        <v>59</v>
      </c>
      <c r="L106" s="646">
        <v>44124</v>
      </c>
      <c r="M106" t="s">
        <v>67</v>
      </c>
      <c r="N106" t="s">
        <v>63</v>
      </c>
      <c r="O106" s="646">
        <v>45061</v>
      </c>
      <c r="R106" t="s">
        <v>68</v>
      </c>
      <c r="T106" t="s">
        <v>68</v>
      </c>
      <c r="Y106" t="s">
        <v>68</v>
      </c>
      <c r="Z106" t="s">
        <v>68</v>
      </c>
      <c r="AD106" t="s">
        <v>68</v>
      </c>
      <c r="AH106" t="s">
        <v>121</v>
      </c>
      <c r="AJ106" t="s">
        <v>121</v>
      </c>
    </row>
    <row r="107" spans="1:36" ht="26.4" x14ac:dyDescent="0.25">
      <c r="A107">
        <v>74</v>
      </c>
      <c r="B107">
        <v>30477</v>
      </c>
      <c r="C107" t="s">
        <v>54</v>
      </c>
      <c r="D107" t="s">
        <v>161</v>
      </c>
      <c r="E107" t="s">
        <v>56</v>
      </c>
      <c r="F107" t="s">
        <v>57</v>
      </c>
      <c r="G107" t="s">
        <v>11</v>
      </c>
      <c r="H107" s="646">
        <v>42520</v>
      </c>
      <c r="I107">
        <v>37</v>
      </c>
      <c r="J107" t="s">
        <v>66</v>
      </c>
      <c r="K107" s="653" t="s">
        <v>59</v>
      </c>
      <c r="L107" s="646">
        <v>44124</v>
      </c>
      <c r="M107" t="s">
        <v>67</v>
      </c>
      <c r="N107" t="s">
        <v>63</v>
      </c>
      <c r="O107" s="646">
        <v>45061</v>
      </c>
      <c r="R107" t="s">
        <v>62</v>
      </c>
      <c r="T107" t="s">
        <v>62</v>
      </c>
      <c r="Y107" t="s">
        <v>62</v>
      </c>
      <c r="Z107" t="s">
        <v>62</v>
      </c>
      <c r="AD107" t="s">
        <v>62</v>
      </c>
      <c r="AH107" t="s">
        <v>121</v>
      </c>
      <c r="AJ107" t="s">
        <v>121</v>
      </c>
    </row>
    <row r="108" spans="1:36" ht="26.4" x14ac:dyDescent="0.25">
      <c r="A108">
        <v>77</v>
      </c>
      <c r="B108">
        <v>30482</v>
      </c>
      <c r="C108" t="s">
        <v>64</v>
      </c>
      <c r="D108" t="s">
        <v>65</v>
      </c>
      <c r="E108" t="s">
        <v>56</v>
      </c>
      <c r="F108" t="s">
        <v>57</v>
      </c>
      <c r="G108" t="s">
        <v>11</v>
      </c>
      <c r="H108" s="646">
        <v>42570</v>
      </c>
      <c r="I108">
        <v>22</v>
      </c>
      <c r="J108" t="s">
        <v>66</v>
      </c>
      <c r="K108" s="653" t="s">
        <v>59</v>
      </c>
      <c r="L108" t="s">
        <v>63</v>
      </c>
      <c r="M108" t="s">
        <v>67</v>
      </c>
      <c r="N108" t="s">
        <v>63</v>
      </c>
      <c r="O108" s="646">
        <v>45056</v>
      </c>
      <c r="P108" s="646">
        <v>44699</v>
      </c>
      <c r="Q108" t="s">
        <v>68</v>
      </c>
      <c r="R108" t="s">
        <v>68</v>
      </c>
      <c r="T108" t="s">
        <v>68</v>
      </c>
      <c r="Y108" t="s">
        <v>68</v>
      </c>
      <c r="Z108" t="s">
        <v>68</v>
      </c>
      <c r="AD108" t="s">
        <v>68</v>
      </c>
      <c r="AH108" t="s">
        <v>121</v>
      </c>
      <c r="AJ108" t="s">
        <v>121</v>
      </c>
    </row>
    <row r="109" spans="1:36" ht="26.4" x14ac:dyDescent="0.25">
      <c r="A109">
        <v>78</v>
      </c>
      <c r="B109">
        <v>30482</v>
      </c>
      <c r="C109" t="s">
        <v>54</v>
      </c>
      <c r="D109" t="s">
        <v>71</v>
      </c>
      <c r="E109" t="s">
        <v>56</v>
      </c>
      <c r="F109" t="s">
        <v>57</v>
      </c>
      <c r="G109" t="s">
        <v>11</v>
      </c>
      <c r="H109" s="646">
        <v>42570</v>
      </c>
      <c r="I109">
        <v>46</v>
      </c>
      <c r="J109" t="s">
        <v>66</v>
      </c>
      <c r="K109" s="653" t="s">
        <v>59</v>
      </c>
      <c r="L109" t="s">
        <v>63</v>
      </c>
      <c r="M109" t="s">
        <v>67</v>
      </c>
      <c r="N109" t="s">
        <v>63</v>
      </c>
      <c r="O109" s="646">
        <v>45056</v>
      </c>
      <c r="P109" s="646">
        <v>44699</v>
      </c>
      <c r="Q109" t="s">
        <v>62</v>
      </c>
      <c r="R109" t="s">
        <v>62</v>
      </c>
      <c r="T109" t="s">
        <v>62</v>
      </c>
      <c r="Y109" t="s">
        <v>62</v>
      </c>
      <c r="Z109" t="s">
        <v>62</v>
      </c>
      <c r="AD109" t="s">
        <v>62</v>
      </c>
      <c r="AH109" t="s">
        <v>121</v>
      </c>
      <c r="AJ109" t="s">
        <v>121</v>
      </c>
    </row>
    <row r="110" spans="1:36" ht="26.4" x14ac:dyDescent="0.25">
      <c r="A110">
        <v>79</v>
      </c>
      <c r="B110">
        <v>30528</v>
      </c>
      <c r="C110" t="s">
        <v>64</v>
      </c>
      <c r="D110" t="s">
        <v>69</v>
      </c>
      <c r="E110" t="s">
        <v>56</v>
      </c>
      <c r="F110" t="s">
        <v>57</v>
      </c>
      <c r="G110" t="s">
        <v>11</v>
      </c>
      <c r="H110" s="646">
        <v>42849</v>
      </c>
      <c r="I110">
        <v>68</v>
      </c>
      <c r="J110" t="s">
        <v>66</v>
      </c>
      <c r="K110" s="653" t="s">
        <v>59</v>
      </c>
      <c r="L110" s="646">
        <v>44265</v>
      </c>
      <c r="M110" t="s">
        <v>60</v>
      </c>
      <c r="N110" s="646">
        <v>44265</v>
      </c>
      <c r="O110" s="646">
        <v>45071</v>
      </c>
      <c r="P110" s="646">
        <v>44700</v>
      </c>
      <c r="Q110" t="s">
        <v>68</v>
      </c>
      <c r="R110" t="s">
        <v>68</v>
      </c>
      <c r="T110" t="s">
        <v>68</v>
      </c>
      <c r="Y110" t="s">
        <v>68</v>
      </c>
      <c r="Z110" t="s">
        <v>68</v>
      </c>
      <c r="AD110" t="s">
        <v>68</v>
      </c>
      <c r="AH110" t="s">
        <v>121</v>
      </c>
      <c r="AI110" s="646">
        <v>45166</v>
      </c>
      <c r="AJ110" t="s">
        <v>121</v>
      </c>
    </row>
    <row r="111" spans="1:36" ht="26.4" x14ac:dyDescent="0.25">
      <c r="A111">
        <v>80</v>
      </c>
      <c r="B111">
        <v>30528</v>
      </c>
      <c r="C111" t="s">
        <v>54</v>
      </c>
      <c r="D111" t="s">
        <v>72</v>
      </c>
      <c r="E111" t="s">
        <v>56</v>
      </c>
      <c r="F111" t="s">
        <v>57</v>
      </c>
      <c r="G111" t="s">
        <v>11</v>
      </c>
      <c r="H111" s="646">
        <v>42849</v>
      </c>
      <c r="I111">
        <v>71</v>
      </c>
      <c r="J111" t="s">
        <v>66</v>
      </c>
      <c r="K111" s="653" t="s">
        <v>59</v>
      </c>
      <c r="L111" s="646">
        <v>44265</v>
      </c>
      <c r="M111" t="s">
        <v>60</v>
      </c>
      <c r="N111" s="646">
        <v>44265</v>
      </c>
      <c r="O111" s="646">
        <v>45071</v>
      </c>
      <c r="P111" s="646">
        <v>44700</v>
      </c>
      <c r="Q111" t="s">
        <v>62</v>
      </c>
      <c r="R111" t="s">
        <v>62</v>
      </c>
      <c r="T111" t="s">
        <v>62</v>
      </c>
      <c r="Y111" t="s">
        <v>62</v>
      </c>
      <c r="Z111" t="s">
        <v>62</v>
      </c>
      <c r="AB111" t="s">
        <v>514</v>
      </c>
      <c r="AD111" t="s">
        <v>62</v>
      </c>
      <c r="AH111" t="s">
        <v>121</v>
      </c>
      <c r="AI111" s="646">
        <v>45166</v>
      </c>
      <c r="AJ111" t="s">
        <v>121</v>
      </c>
    </row>
    <row r="112" spans="1:36" ht="26.4" x14ac:dyDescent="0.25">
      <c r="A112">
        <v>85</v>
      </c>
      <c r="B112">
        <v>30615</v>
      </c>
      <c r="C112" t="s">
        <v>64</v>
      </c>
      <c r="D112" t="s">
        <v>70</v>
      </c>
      <c r="E112" t="s">
        <v>56</v>
      </c>
      <c r="F112" t="s">
        <v>57</v>
      </c>
      <c r="G112" t="s">
        <v>11</v>
      </c>
      <c r="H112" s="646">
        <v>43071</v>
      </c>
      <c r="I112">
        <v>137</v>
      </c>
      <c r="J112" t="s">
        <v>58</v>
      </c>
      <c r="K112" s="653" t="s">
        <v>59</v>
      </c>
      <c r="L112" s="646">
        <v>44185</v>
      </c>
      <c r="M112" t="s">
        <v>60</v>
      </c>
      <c r="N112" s="646">
        <v>44185</v>
      </c>
      <c r="Q112" t="s">
        <v>68</v>
      </c>
      <c r="R112" t="s">
        <v>68</v>
      </c>
      <c r="S112" t="s">
        <v>68</v>
      </c>
      <c r="T112" t="s">
        <v>68</v>
      </c>
      <c r="U112" t="s">
        <v>68</v>
      </c>
      <c r="Z112" t="s">
        <v>68</v>
      </c>
      <c r="AD112" t="s">
        <v>68</v>
      </c>
      <c r="AF112" t="s">
        <v>68</v>
      </c>
      <c r="AH112" t="s">
        <v>121</v>
      </c>
      <c r="AJ112" t="s">
        <v>121</v>
      </c>
    </row>
    <row r="113" spans="1:39" ht="26.4" x14ac:dyDescent="0.25">
      <c r="A113">
        <v>86</v>
      </c>
      <c r="B113">
        <v>30615</v>
      </c>
      <c r="C113" t="s">
        <v>54</v>
      </c>
      <c r="D113" t="s">
        <v>73</v>
      </c>
      <c r="E113" t="s">
        <v>56</v>
      </c>
      <c r="F113" t="s">
        <v>57</v>
      </c>
      <c r="G113" t="s">
        <v>11</v>
      </c>
      <c r="H113" s="646">
        <v>43071</v>
      </c>
      <c r="I113">
        <v>157</v>
      </c>
      <c r="J113" t="s">
        <v>58</v>
      </c>
      <c r="K113" s="653" t="s">
        <v>59</v>
      </c>
      <c r="L113" s="646">
        <v>44185</v>
      </c>
      <c r="M113" t="s">
        <v>60</v>
      </c>
      <c r="N113" s="646">
        <v>44185</v>
      </c>
      <c r="Q113" t="s">
        <v>62</v>
      </c>
      <c r="R113" t="s">
        <v>62</v>
      </c>
      <c r="S113" t="s">
        <v>62</v>
      </c>
      <c r="T113" t="s">
        <v>62</v>
      </c>
      <c r="U113" t="s">
        <v>62</v>
      </c>
      <c r="Z113" t="s">
        <v>62</v>
      </c>
      <c r="AB113" t="s">
        <v>515</v>
      </c>
      <c r="AD113" t="s">
        <v>62</v>
      </c>
      <c r="AF113" t="s">
        <v>62</v>
      </c>
      <c r="AH113" t="s">
        <v>121</v>
      </c>
      <c r="AJ113" t="s">
        <v>121</v>
      </c>
    </row>
    <row r="114" spans="1:39" ht="26.4" x14ac:dyDescent="0.25">
      <c r="A114">
        <v>89</v>
      </c>
      <c r="B114">
        <v>37068</v>
      </c>
      <c r="C114" t="s">
        <v>64</v>
      </c>
      <c r="D114" t="s">
        <v>169</v>
      </c>
      <c r="E114" t="s">
        <v>56</v>
      </c>
      <c r="F114" t="s">
        <v>57</v>
      </c>
      <c r="G114" t="s">
        <v>11</v>
      </c>
      <c r="H114" s="646">
        <v>43459</v>
      </c>
      <c r="I114">
        <v>255</v>
      </c>
      <c r="J114" t="s">
        <v>58</v>
      </c>
      <c r="K114" s="653" t="s">
        <v>59</v>
      </c>
      <c r="L114" s="646">
        <v>44342</v>
      </c>
      <c r="M114" t="s">
        <v>60</v>
      </c>
      <c r="N114" s="646">
        <v>44203</v>
      </c>
      <c r="O114" s="646">
        <v>45078</v>
      </c>
      <c r="P114" s="646">
        <v>45458</v>
      </c>
      <c r="R114" t="s">
        <v>68</v>
      </c>
      <c r="T114" t="s">
        <v>68</v>
      </c>
      <c r="U114" t="s">
        <v>68</v>
      </c>
      <c r="Y114" t="s">
        <v>68</v>
      </c>
      <c r="Z114" t="s">
        <v>68</v>
      </c>
      <c r="AB114" t="s">
        <v>170</v>
      </c>
      <c r="AD114" t="s">
        <v>68</v>
      </c>
      <c r="AF114" t="s">
        <v>68</v>
      </c>
      <c r="AH114" t="s">
        <v>121</v>
      </c>
      <c r="AJ114" t="s">
        <v>121</v>
      </c>
    </row>
    <row r="115" spans="1:39" ht="26.4" x14ac:dyDescent="0.25">
      <c r="A115">
        <v>90</v>
      </c>
      <c r="B115">
        <v>37068</v>
      </c>
      <c r="C115" t="s">
        <v>54</v>
      </c>
      <c r="D115" t="s">
        <v>171</v>
      </c>
      <c r="E115" t="s">
        <v>56</v>
      </c>
      <c r="F115" t="s">
        <v>57</v>
      </c>
      <c r="G115" t="s">
        <v>11</v>
      </c>
      <c r="H115" s="646">
        <v>43459</v>
      </c>
      <c r="I115">
        <v>265</v>
      </c>
      <c r="J115" t="s">
        <v>58</v>
      </c>
      <c r="K115" s="653" t="s">
        <v>59</v>
      </c>
      <c r="L115" s="646">
        <v>44342</v>
      </c>
      <c r="M115" t="s">
        <v>60</v>
      </c>
      <c r="N115" s="646">
        <v>44203</v>
      </c>
      <c r="O115" s="646">
        <v>45078</v>
      </c>
      <c r="P115" s="646">
        <v>45458</v>
      </c>
      <c r="R115" t="s">
        <v>62</v>
      </c>
      <c r="T115" t="s">
        <v>62</v>
      </c>
      <c r="U115" t="s">
        <v>62</v>
      </c>
      <c r="Y115" t="s">
        <v>62</v>
      </c>
      <c r="Z115" t="s">
        <v>62</v>
      </c>
      <c r="AD115" t="s">
        <v>62</v>
      </c>
      <c r="AF115" t="s">
        <v>62</v>
      </c>
      <c r="AH115" t="s">
        <v>121</v>
      </c>
      <c r="AJ115" t="s">
        <v>121</v>
      </c>
    </row>
    <row r="116" spans="1:39" ht="26.4" x14ac:dyDescent="0.25">
      <c r="A116">
        <v>103</v>
      </c>
      <c r="B116">
        <v>37207</v>
      </c>
      <c r="C116" t="s">
        <v>64</v>
      </c>
      <c r="D116" t="s">
        <v>183</v>
      </c>
      <c r="E116" t="s">
        <v>56</v>
      </c>
      <c r="F116" t="s">
        <v>57</v>
      </c>
      <c r="G116" t="s">
        <v>11</v>
      </c>
      <c r="H116" s="646">
        <v>43640</v>
      </c>
      <c r="I116">
        <v>503</v>
      </c>
      <c r="J116" t="s">
        <v>58</v>
      </c>
      <c r="K116" s="653" t="s">
        <v>59</v>
      </c>
      <c r="L116" s="646">
        <v>44217</v>
      </c>
      <c r="M116" t="s">
        <v>60</v>
      </c>
      <c r="N116" s="646">
        <v>44217</v>
      </c>
      <c r="R116" t="s">
        <v>68</v>
      </c>
      <c r="T116" t="s">
        <v>68</v>
      </c>
      <c r="U116" t="s">
        <v>68</v>
      </c>
      <c r="Y116" t="s">
        <v>68</v>
      </c>
      <c r="Z116" t="s">
        <v>68</v>
      </c>
      <c r="AB116" t="s">
        <v>184</v>
      </c>
      <c r="AD116" t="s">
        <v>68</v>
      </c>
      <c r="AF116" t="s">
        <v>68</v>
      </c>
      <c r="AI116" s="646">
        <v>45174</v>
      </c>
      <c r="AJ116" t="s">
        <v>63</v>
      </c>
      <c r="AM116" s="646">
        <v>45463</v>
      </c>
    </row>
    <row r="117" spans="1:39" ht="26.4" x14ac:dyDescent="0.25">
      <c r="A117">
        <v>104</v>
      </c>
      <c r="B117">
        <v>37207</v>
      </c>
      <c r="C117" t="s">
        <v>54</v>
      </c>
      <c r="D117" t="s">
        <v>142</v>
      </c>
      <c r="E117" t="s">
        <v>56</v>
      </c>
      <c r="F117" t="s">
        <v>57</v>
      </c>
      <c r="G117" t="s">
        <v>11</v>
      </c>
      <c r="H117" s="646">
        <v>43640</v>
      </c>
      <c r="I117">
        <v>510</v>
      </c>
      <c r="J117" t="s">
        <v>58</v>
      </c>
      <c r="K117" s="653" t="s">
        <v>59</v>
      </c>
      <c r="L117" s="646">
        <v>44217</v>
      </c>
      <c r="M117" t="s">
        <v>60</v>
      </c>
      <c r="N117" s="646">
        <v>44217</v>
      </c>
      <c r="Q117" t="s">
        <v>75</v>
      </c>
      <c r="R117" t="s">
        <v>62</v>
      </c>
      <c r="T117" t="s">
        <v>62</v>
      </c>
      <c r="U117" t="s">
        <v>62</v>
      </c>
      <c r="Y117" t="s">
        <v>62</v>
      </c>
      <c r="Z117" t="s">
        <v>62</v>
      </c>
      <c r="AD117" t="s">
        <v>62</v>
      </c>
      <c r="AF117" t="s">
        <v>62</v>
      </c>
      <c r="AI117" s="646">
        <v>45174</v>
      </c>
      <c r="AJ117" t="s">
        <v>63</v>
      </c>
      <c r="AM117" s="646">
        <v>45463</v>
      </c>
    </row>
    <row r="118" spans="1:39" ht="26.4" x14ac:dyDescent="0.25">
      <c r="A118">
        <v>107</v>
      </c>
      <c r="B118">
        <v>37210</v>
      </c>
      <c r="C118" t="s">
        <v>64</v>
      </c>
      <c r="D118" t="s">
        <v>186</v>
      </c>
      <c r="E118" t="s">
        <v>56</v>
      </c>
      <c r="F118" t="s">
        <v>57</v>
      </c>
      <c r="G118" t="s">
        <v>11</v>
      </c>
      <c r="H118" s="646">
        <v>43669</v>
      </c>
      <c r="I118">
        <v>381</v>
      </c>
      <c r="J118" t="s">
        <v>58</v>
      </c>
      <c r="K118" s="653" t="s">
        <v>59</v>
      </c>
      <c r="L118" s="646">
        <v>44521</v>
      </c>
      <c r="M118" t="s">
        <v>60</v>
      </c>
      <c r="N118" s="646">
        <v>44204</v>
      </c>
      <c r="P118" s="646">
        <v>45048</v>
      </c>
      <c r="R118" t="s">
        <v>68</v>
      </c>
      <c r="T118" t="s">
        <v>68</v>
      </c>
      <c r="U118" t="s">
        <v>68</v>
      </c>
      <c r="Z118" t="s">
        <v>68</v>
      </c>
      <c r="AD118" t="s">
        <v>68</v>
      </c>
      <c r="AF118" t="s">
        <v>68</v>
      </c>
      <c r="AI118" s="646">
        <v>45135</v>
      </c>
      <c r="AJ118" t="s">
        <v>63</v>
      </c>
    </row>
    <row r="119" spans="1:39" ht="26.4" x14ac:dyDescent="0.25">
      <c r="A119">
        <v>108</v>
      </c>
      <c r="B119">
        <v>37210</v>
      </c>
      <c r="C119" t="s">
        <v>54</v>
      </c>
      <c r="D119" t="s">
        <v>144</v>
      </c>
      <c r="E119" t="s">
        <v>56</v>
      </c>
      <c r="F119" t="s">
        <v>57</v>
      </c>
      <c r="G119" t="s">
        <v>11</v>
      </c>
      <c r="H119" s="646">
        <v>43669</v>
      </c>
      <c r="I119">
        <v>514</v>
      </c>
      <c r="J119" t="s">
        <v>58</v>
      </c>
      <c r="K119" s="653" t="s">
        <v>59</v>
      </c>
      <c r="L119" s="646">
        <v>44521</v>
      </c>
      <c r="M119" t="s">
        <v>60</v>
      </c>
      <c r="N119" s="646">
        <v>44204</v>
      </c>
      <c r="P119" s="646">
        <v>45048</v>
      </c>
      <c r="Q119" t="s">
        <v>75</v>
      </c>
      <c r="R119" t="s">
        <v>62</v>
      </c>
      <c r="T119" t="s">
        <v>62</v>
      </c>
      <c r="U119" t="s">
        <v>62</v>
      </c>
      <c r="Z119" t="s">
        <v>62</v>
      </c>
      <c r="AD119" t="s">
        <v>62</v>
      </c>
      <c r="AF119" t="s">
        <v>62</v>
      </c>
      <c r="AI119" s="646">
        <v>45135</v>
      </c>
      <c r="AJ119" t="s">
        <v>63</v>
      </c>
    </row>
    <row r="120" spans="1:39" ht="26.4" x14ac:dyDescent="0.25">
      <c r="A120">
        <v>109</v>
      </c>
      <c r="B120">
        <v>37211</v>
      </c>
      <c r="C120" t="s">
        <v>64</v>
      </c>
      <c r="D120" t="s">
        <v>139</v>
      </c>
      <c r="E120" t="s">
        <v>56</v>
      </c>
      <c r="F120" t="s">
        <v>57</v>
      </c>
      <c r="G120" t="s">
        <v>11</v>
      </c>
      <c r="H120" s="646">
        <v>43669</v>
      </c>
      <c r="I120">
        <v>515</v>
      </c>
      <c r="J120" t="s">
        <v>58</v>
      </c>
      <c r="K120" s="653" t="s">
        <v>59</v>
      </c>
      <c r="L120" s="646">
        <v>44189</v>
      </c>
      <c r="M120" t="s">
        <v>60</v>
      </c>
      <c r="N120" s="646">
        <v>44189</v>
      </c>
      <c r="O120" s="646">
        <v>45066</v>
      </c>
      <c r="Q120" t="s">
        <v>75</v>
      </c>
      <c r="R120" t="s">
        <v>68</v>
      </c>
      <c r="S120" t="s">
        <v>68</v>
      </c>
      <c r="T120" t="s">
        <v>140</v>
      </c>
      <c r="U120" t="s">
        <v>68</v>
      </c>
      <c r="Y120" t="s">
        <v>68</v>
      </c>
      <c r="Z120" t="s">
        <v>68</v>
      </c>
      <c r="AD120" t="s">
        <v>68</v>
      </c>
      <c r="AF120" t="s">
        <v>68</v>
      </c>
      <c r="AI120" s="646">
        <v>45164</v>
      </c>
      <c r="AJ120" t="s">
        <v>63</v>
      </c>
    </row>
    <row r="121" spans="1:39" ht="26.4" x14ac:dyDescent="0.25">
      <c r="A121">
        <v>110</v>
      </c>
      <c r="B121">
        <v>37211</v>
      </c>
      <c r="C121" t="s">
        <v>54</v>
      </c>
      <c r="D121" t="s">
        <v>168</v>
      </c>
      <c r="E121" t="s">
        <v>56</v>
      </c>
      <c r="F121" t="s">
        <v>57</v>
      </c>
      <c r="G121" t="s">
        <v>11</v>
      </c>
      <c r="H121" s="646">
        <v>43669</v>
      </c>
      <c r="I121">
        <v>380</v>
      </c>
      <c r="J121" t="s">
        <v>58</v>
      </c>
      <c r="K121" s="653" t="s">
        <v>59</v>
      </c>
      <c r="L121" s="646">
        <v>44189</v>
      </c>
      <c r="M121" t="s">
        <v>60</v>
      </c>
      <c r="N121" s="646">
        <v>44189</v>
      </c>
      <c r="O121" s="646">
        <v>45066</v>
      </c>
      <c r="R121" t="s">
        <v>62</v>
      </c>
      <c r="S121" t="s">
        <v>62</v>
      </c>
      <c r="T121" t="s">
        <v>62</v>
      </c>
      <c r="U121" t="s">
        <v>62</v>
      </c>
      <c r="Y121" t="s">
        <v>62</v>
      </c>
      <c r="Z121" t="s">
        <v>62</v>
      </c>
      <c r="AD121" t="s">
        <v>62</v>
      </c>
      <c r="AF121" t="s">
        <v>62</v>
      </c>
      <c r="AI121" s="646">
        <v>45164</v>
      </c>
      <c r="AJ121" t="s">
        <v>63</v>
      </c>
    </row>
    <row r="122" spans="1:39" ht="26.4" x14ac:dyDescent="0.25">
      <c r="A122">
        <v>119</v>
      </c>
      <c r="B122">
        <v>39002</v>
      </c>
      <c r="C122" t="s">
        <v>64</v>
      </c>
      <c r="D122" t="s">
        <v>155</v>
      </c>
      <c r="E122" t="s">
        <v>56</v>
      </c>
      <c r="F122" t="s">
        <v>57</v>
      </c>
      <c r="G122" t="s">
        <v>11</v>
      </c>
      <c r="H122" s="646">
        <v>43434</v>
      </c>
      <c r="I122">
        <v>206</v>
      </c>
      <c r="J122" t="s">
        <v>58</v>
      </c>
      <c r="K122" s="653" t="s">
        <v>59</v>
      </c>
      <c r="L122" s="646">
        <v>44407</v>
      </c>
      <c r="M122" t="s">
        <v>60</v>
      </c>
      <c r="N122" s="646">
        <v>44195</v>
      </c>
      <c r="O122" s="646">
        <v>45057</v>
      </c>
      <c r="R122" t="s">
        <v>68</v>
      </c>
      <c r="T122" t="s">
        <v>68</v>
      </c>
      <c r="U122" t="s">
        <v>68</v>
      </c>
      <c r="Z122" t="s">
        <v>68</v>
      </c>
      <c r="AB122" t="s">
        <v>156</v>
      </c>
      <c r="AD122" t="s">
        <v>68</v>
      </c>
      <c r="AF122" t="s">
        <v>68</v>
      </c>
      <c r="AI122" s="646">
        <v>45259</v>
      </c>
      <c r="AJ122" t="s">
        <v>498</v>
      </c>
    </row>
    <row r="123" spans="1:39" ht="26.4" x14ac:dyDescent="0.25">
      <c r="A123">
        <v>120</v>
      </c>
      <c r="B123">
        <v>39002</v>
      </c>
      <c r="C123" t="s">
        <v>54</v>
      </c>
      <c r="D123" t="s">
        <v>154</v>
      </c>
      <c r="E123" t="s">
        <v>56</v>
      </c>
      <c r="F123" t="s">
        <v>57</v>
      </c>
      <c r="G123" t="s">
        <v>11</v>
      </c>
      <c r="H123" s="646">
        <v>43434</v>
      </c>
      <c r="I123">
        <v>207</v>
      </c>
      <c r="J123" t="s">
        <v>58</v>
      </c>
      <c r="K123" s="653" t="s">
        <v>59</v>
      </c>
      <c r="L123" s="646">
        <v>44407</v>
      </c>
      <c r="M123" t="s">
        <v>60</v>
      </c>
      <c r="N123" s="646">
        <v>44185</v>
      </c>
      <c r="O123" s="646">
        <v>45057</v>
      </c>
      <c r="R123" t="s">
        <v>62</v>
      </c>
      <c r="T123" t="s">
        <v>62</v>
      </c>
      <c r="U123" t="s">
        <v>62</v>
      </c>
      <c r="Z123" t="s">
        <v>62</v>
      </c>
      <c r="AD123" t="s">
        <v>62</v>
      </c>
      <c r="AF123" t="s">
        <v>62</v>
      </c>
      <c r="AI123" s="646">
        <v>45259</v>
      </c>
      <c r="AJ123" t="s">
        <v>498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32DF-0BBD-46F0-B122-FF4DDC808DF5}">
  <dimension ref="A1:AQ1150"/>
  <sheetViews>
    <sheetView zoomScale="80" zoomScaleNormal="100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N1" sqref="AN1"/>
    </sheetView>
  </sheetViews>
  <sheetFormatPr defaultColWidth="8.5546875" defaultRowHeight="13.2" x14ac:dyDescent="0.25"/>
  <cols>
    <col min="1" max="1" width="5.5546875" style="2" customWidth="1"/>
    <col min="2" max="2" width="9.44140625" style="72" customWidth="1"/>
    <col min="3" max="3" width="8.44140625" style="72" customWidth="1"/>
    <col min="4" max="4" width="16.5546875" style="2" bestFit="1" customWidth="1"/>
    <col min="5" max="5" width="17.5546875" style="72" customWidth="1"/>
    <col min="6" max="9" width="11" style="2" customWidth="1"/>
    <col min="10" max="10" width="15.44140625" style="2" customWidth="1"/>
    <col min="11" max="11" width="20.44140625" style="441" customWidth="1"/>
    <col min="12" max="12" width="27.5546875" style="470" customWidth="1"/>
    <col min="13" max="13" width="13.44140625" style="441" customWidth="1"/>
    <col min="14" max="14" width="16.44140625" style="441" customWidth="1"/>
    <col min="15" max="16" width="14.44140625" style="68" customWidth="1"/>
    <col min="17" max="17" width="16" style="61" customWidth="1"/>
    <col min="18" max="18" width="19.5546875" style="61" customWidth="1"/>
    <col min="19" max="19" width="17.5546875" style="61" customWidth="1"/>
    <col min="20" max="20" width="16.44140625" style="61" customWidth="1"/>
    <col min="21" max="21" width="15.5546875" style="61" customWidth="1"/>
    <col min="22" max="22" width="13.5546875" style="61" customWidth="1"/>
    <col min="23" max="23" width="16.44140625" style="61" customWidth="1"/>
    <col min="24" max="24" width="16" style="61" customWidth="1"/>
    <col min="25" max="25" width="15.5546875" style="61" customWidth="1"/>
    <col min="26" max="27" width="15.5546875" style="441" hidden="1" customWidth="1"/>
    <col min="28" max="30" width="15.5546875" style="61" customWidth="1"/>
    <col min="31" max="31" width="15.5546875" style="16" customWidth="1"/>
    <col min="32" max="32" width="15.5546875" style="276" customWidth="1"/>
    <col min="33" max="33" width="21.44140625" style="249" customWidth="1"/>
    <col min="34" max="34" width="21.44140625" style="58" customWidth="1"/>
    <col min="35" max="35" width="21.44140625" style="413" customWidth="1"/>
    <col min="36" max="36" width="21.44140625" style="58" customWidth="1"/>
    <col min="37" max="37" width="21.44140625" style="613" customWidth="1"/>
    <col min="38" max="38" width="20" style="613" customWidth="1"/>
    <col min="39" max="39" width="23.6640625" style="613" customWidth="1"/>
    <col min="40" max="40" width="20" style="58" customWidth="1"/>
    <col min="42" max="42" width="20.44140625" customWidth="1"/>
    <col min="43" max="43" width="13.5546875" bestFit="1" customWidth="1"/>
  </cols>
  <sheetData>
    <row r="1" spans="1:43" s="80" customFormat="1" ht="114.6" x14ac:dyDescent="0.3">
      <c r="A1" s="25" t="s">
        <v>18</v>
      </c>
      <c r="B1" s="422" t="s">
        <v>19</v>
      </c>
      <c r="C1" s="26" t="s">
        <v>20</v>
      </c>
      <c r="D1" s="25" t="s">
        <v>21</v>
      </c>
      <c r="E1" s="25" t="s">
        <v>22</v>
      </c>
      <c r="F1" s="25" t="s">
        <v>23</v>
      </c>
      <c r="G1" s="25" t="s">
        <v>0</v>
      </c>
      <c r="H1" s="25" t="s">
        <v>24</v>
      </c>
      <c r="I1" s="27" t="s">
        <v>25</v>
      </c>
      <c r="J1" s="13" t="s">
        <v>26</v>
      </c>
      <c r="K1" s="428" t="s">
        <v>27</v>
      </c>
      <c r="L1" s="464" t="s">
        <v>516</v>
      </c>
      <c r="M1" s="428" t="s">
        <v>29</v>
      </c>
      <c r="N1" s="428" t="s">
        <v>517</v>
      </c>
      <c r="O1" s="14" t="s">
        <v>518</v>
      </c>
      <c r="P1" s="14" t="s">
        <v>519</v>
      </c>
      <c r="Q1" s="13" t="s">
        <v>33</v>
      </c>
      <c r="R1" s="13" t="s">
        <v>34</v>
      </c>
      <c r="S1" s="13" t="s">
        <v>35</v>
      </c>
      <c r="T1" s="13" t="s">
        <v>36</v>
      </c>
      <c r="U1" s="13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428" t="s">
        <v>42</v>
      </c>
      <c r="AA1" s="428" t="s">
        <v>43</v>
      </c>
      <c r="AB1" s="13" t="s">
        <v>44</v>
      </c>
      <c r="AC1" s="13" t="s">
        <v>45</v>
      </c>
      <c r="AD1" s="280" t="s">
        <v>46</v>
      </c>
      <c r="AE1" s="13" t="s">
        <v>47</v>
      </c>
      <c r="AF1" s="280" t="s">
        <v>48</v>
      </c>
      <c r="AG1" s="972" t="s">
        <v>193</v>
      </c>
      <c r="AH1" s="13" t="s">
        <v>194</v>
      </c>
      <c r="AI1" s="1154" t="s">
        <v>195</v>
      </c>
      <c r="AJ1" s="1008" t="s">
        <v>196</v>
      </c>
      <c r="AK1" s="904" t="s">
        <v>53</v>
      </c>
      <c r="AL1" s="1390" t="s">
        <v>197</v>
      </c>
      <c r="AM1" s="904" t="s">
        <v>198</v>
      </c>
      <c r="AN1" s="621" t="s">
        <v>199</v>
      </c>
      <c r="AP1" s="81" t="s">
        <v>200</v>
      </c>
      <c r="AQ1" s="82" t="s">
        <v>201</v>
      </c>
    </row>
    <row r="2" spans="1:43" ht="22.8" x14ac:dyDescent="0.25">
      <c r="A2" s="28">
        <v>1</v>
      </c>
      <c r="B2" s="20">
        <v>30782</v>
      </c>
      <c r="C2" s="27" t="s">
        <v>64</v>
      </c>
      <c r="D2" s="3" t="s">
        <v>145</v>
      </c>
      <c r="E2" s="20" t="s">
        <v>56</v>
      </c>
      <c r="F2" s="3" t="s">
        <v>57</v>
      </c>
      <c r="G2" s="3" t="s">
        <v>11</v>
      </c>
      <c r="H2" s="19">
        <v>43818</v>
      </c>
      <c r="I2" s="3">
        <v>346</v>
      </c>
      <c r="J2" s="3" t="s">
        <v>58</v>
      </c>
      <c r="K2" s="429" t="s">
        <v>59</v>
      </c>
      <c r="L2" s="443">
        <v>44266</v>
      </c>
      <c r="M2" s="432" t="s">
        <v>60</v>
      </c>
      <c r="N2" s="443">
        <v>44179</v>
      </c>
      <c r="O2" s="33">
        <v>45464</v>
      </c>
      <c r="P2" s="33">
        <v>44722</v>
      </c>
      <c r="Q2" s="16"/>
      <c r="R2" s="16" t="s">
        <v>68</v>
      </c>
      <c r="S2" s="16" t="s">
        <v>68</v>
      </c>
      <c r="T2" s="16" t="s">
        <v>68</v>
      </c>
      <c r="U2" s="16" t="s">
        <v>68</v>
      </c>
      <c r="V2" s="16"/>
      <c r="W2" s="16" t="s">
        <v>68</v>
      </c>
      <c r="X2" s="16" t="s">
        <v>68</v>
      </c>
      <c r="Y2" s="16" t="s">
        <v>68</v>
      </c>
      <c r="Z2" s="432" t="s">
        <v>68</v>
      </c>
      <c r="AA2" s="432"/>
      <c r="AB2" s="24"/>
      <c r="AC2" s="24"/>
      <c r="AD2" s="276" t="s">
        <v>68</v>
      </c>
      <c r="AE2" s="58"/>
      <c r="AF2" s="276" t="s">
        <v>68</v>
      </c>
      <c r="AG2" s="1091">
        <v>45497</v>
      </c>
      <c r="AH2" s="365"/>
      <c r="AI2" s="508">
        <v>45281</v>
      </c>
      <c r="AJ2" s="507" t="s">
        <v>498</v>
      </c>
      <c r="AK2" s="1152"/>
      <c r="AL2" s="249"/>
      <c r="AM2" s="249" t="s">
        <v>520</v>
      </c>
      <c r="AN2" s="24"/>
      <c r="AP2" s="83"/>
      <c r="AQ2" s="83"/>
    </row>
    <row r="3" spans="1:43" ht="22.8" x14ac:dyDescent="0.25">
      <c r="A3" s="28">
        <v>2</v>
      </c>
      <c r="B3" s="20">
        <v>30782</v>
      </c>
      <c r="C3" s="27" t="s">
        <v>54</v>
      </c>
      <c r="D3" s="3" t="s">
        <v>146</v>
      </c>
      <c r="E3" s="20" t="s">
        <v>56</v>
      </c>
      <c r="F3" s="3" t="s">
        <v>57</v>
      </c>
      <c r="G3" s="3" t="s">
        <v>11</v>
      </c>
      <c r="H3" s="19">
        <v>43818</v>
      </c>
      <c r="I3" s="3">
        <v>347</v>
      </c>
      <c r="J3" s="3" t="s">
        <v>58</v>
      </c>
      <c r="K3" s="429" t="s">
        <v>59</v>
      </c>
      <c r="L3" s="443">
        <v>44266</v>
      </c>
      <c r="M3" s="432" t="s">
        <v>60</v>
      </c>
      <c r="N3" s="443">
        <v>44179</v>
      </c>
      <c r="O3" s="33">
        <v>45464</v>
      </c>
      <c r="P3" s="33">
        <v>44722</v>
      </c>
      <c r="Q3" s="16"/>
      <c r="R3" s="16" t="s">
        <v>62</v>
      </c>
      <c r="S3" s="16" t="s">
        <v>62</v>
      </c>
      <c r="T3" s="16" t="s">
        <v>62</v>
      </c>
      <c r="U3" s="16" t="s">
        <v>62</v>
      </c>
      <c r="V3" s="16"/>
      <c r="W3" s="16" t="s">
        <v>62</v>
      </c>
      <c r="X3" s="16" t="s">
        <v>62</v>
      </c>
      <c r="Y3" s="16" t="s">
        <v>62</v>
      </c>
      <c r="Z3" s="432" t="s">
        <v>62</v>
      </c>
      <c r="AA3" s="432"/>
      <c r="AB3" s="24"/>
      <c r="AC3" s="24"/>
      <c r="AD3" s="276" t="s">
        <v>62</v>
      </c>
      <c r="AE3" s="42"/>
      <c r="AF3" s="283" t="s">
        <v>62</v>
      </c>
      <c r="AG3" s="1091">
        <v>45497</v>
      </c>
      <c r="AH3" s="365"/>
      <c r="AI3" s="508">
        <v>45281</v>
      </c>
      <c r="AJ3" s="507" t="s">
        <v>498</v>
      </c>
      <c r="AK3" s="1152"/>
      <c r="AL3" s="249"/>
      <c r="AM3" s="249" t="s">
        <v>520</v>
      </c>
      <c r="AN3" s="24"/>
      <c r="AP3" s="83"/>
      <c r="AQ3" s="83"/>
    </row>
    <row r="4" spans="1:43" ht="22.8" x14ac:dyDescent="0.25">
      <c r="A4" s="28">
        <v>3</v>
      </c>
      <c r="B4" s="20">
        <v>30783</v>
      </c>
      <c r="C4" s="27" t="s">
        <v>64</v>
      </c>
      <c r="D4" s="3" t="s">
        <v>147</v>
      </c>
      <c r="E4" s="20" t="s">
        <v>56</v>
      </c>
      <c r="F4" s="3" t="s">
        <v>57</v>
      </c>
      <c r="G4" s="3" t="s">
        <v>11</v>
      </c>
      <c r="H4" s="19">
        <v>43834</v>
      </c>
      <c r="I4" s="3">
        <v>361</v>
      </c>
      <c r="J4" s="3" t="s">
        <v>58</v>
      </c>
      <c r="K4" s="429" t="s">
        <v>59</v>
      </c>
      <c r="L4" s="443">
        <v>44217</v>
      </c>
      <c r="M4" s="432" t="s">
        <v>60</v>
      </c>
      <c r="N4" s="443">
        <v>44198</v>
      </c>
      <c r="O4" s="33"/>
      <c r="P4" s="33">
        <v>44722</v>
      </c>
      <c r="Q4" s="16"/>
      <c r="R4" s="16" t="s">
        <v>68</v>
      </c>
      <c r="S4" s="16"/>
      <c r="T4" s="16" t="s">
        <v>68</v>
      </c>
      <c r="U4" s="16" t="s">
        <v>68</v>
      </c>
      <c r="V4" s="16"/>
      <c r="W4" s="16"/>
      <c r="X4" s="16"/>
      <c r="Y4" s="16"/>
      <c r="Z4" s="432" t="s">
        <v>68</v>
      </c>
      <c r="AA4" s="432"/>
      <c r="AB4" s="24"/>
      <c r="AC4" s="24"/>
      <c r="AD4" s="276" t="s">
        <v>68</v>
      </c>
      <c r="AF4" s="276" t="s">
        <v>68</v>
      </c>
      <c r="AG4" s="1091">
        <v>45499</v>
      </c>
      <c r="AH4" s="365"/>
      <c r="AI4" s="508">
        <v>45268</v>
      </c>
      <c r="AJ4" s="507" t="s">
        <v>498</v>
      </c>
      <c r="AK4" s="1153">
        <v>45607</v>
      </c>
      <c r="AL4" s="249"/>
      <c r="AM4" s="249" t="s">
        <v>520</v>
      </c>
      <c r="AN4" s="24"/>
    </row>
    <row r="5" spans="1:43" ht="22.8" x14ac:dyDescent="0.25">
      <c r="A5" s="28">
        <v>4</v>
      </c>
      <c r="B5" s="20">
        <v>30783</v>
      </c>
      <c r="C5" s="27" t="s">
        <v>54</v>
      </c>
      <c r="D5" s="3" t="s">
        <v>148</v>
      </c>
      <c r="E5" s="20" t="s">
        <v>56</v>
      </c>
      <c r="F5" s="3" t="s">
        <v>57</v>
      </c>
      <c r="G5" s="3" t="s">
        <v>11</v>
      </c>
      <c r="H5" s="19">
        <v>43834</v>
      </c>
      <c r="I5" s="3">
        <v>352</v>
      </c>
      <c r="J5" s="3" t="s">
        <v>58</v>
      </c>
      <c r="K5" s="429" t="s">
        <v>59</v>
      </c>
      <c r="L5" s="443">
        <v>44217</v>
      </c>
      <c r="M5" s="432" t="s">
        <v>60</v>
      </c>
      <c r="N5" s="443">
        <v>44198</v>
      </c>
      <c r="O5" s="33"/>
      <c r="P5" s="33">
        <v>44722</v>
      </c>
      <c r="Q5" s="16"/>
      <c r="R5" s="16" t="s">
        <v>62</v>
      </c>
      <c r="S5" s="16"/>
      <c r="T5" s="16" t="s">
        <v>62</v>
      </c>
      <c r="U5" s="16" t="s">
        <v>62</v>
      </c>
      <c r="V5" s="16"/>
      <c r="W5" s="16"/>
      <c r="X5" s="16"/>
      <c r="Y5" s="16"/>
      <c r="Z5" s="432" t="s">
        <v>62</v>
      </c>
      <c r="AA5" s="432"/>
      <c r="AB5" s="24"/>
      <c r="AC5" s="24"/>
      <c r="AD5" s="276" t="s">
        <v>62</v>
      </c>
      <c r="AE5" s="42"/>
      <c r="AF5" s="283" t="s">
        <v>62</v>
      </c>
      <c r="AG5" s="1091">
        <v>45499</v>
      </c>
      <c r="AH5" s="775"/>
      <c r="AI5" s="508">
        <v>45268</v>
      </c>
      <c r="AJ5" s="507" t="s">
        <v>498</v>
      </c>
      <c r="AK5" s="1153">
        <v>45607</v>
      </c>
      <c r="AL5" s="249"/>
      <c r="AM5" s="249" t="s">
        <v>520</v>
      </c>
      <c r="AN5" s="24"/>
    </row>
    <row r="6" spans="1:43" ht="22.8" x14ac:dyDescent="0.25">
      <c r="A6" s="28">
        <v>5</v>
      </c>
      <c r="B6" s="20">
        <v>30784</v>
      </c>
      <c r="C6" s="27" t="s">
        <v>64</v>
      </c>
      <c r="D6" s="3" t="s">
        <v>521</v>
      </c>
      <c r="E6" s="20" t="s">
        <v>522</v>
      </c>
      <c r="F6" s="3" t="s">
        <v>57</v>
      </c>
      <c r="G6" s="3" t="s">
        <v>11</v>
      </c>
      <c r="H6" s="19">
        <v>43836</v>
      </c>
      <c r="I6" s="3">
        <v>360</v>
      </c>
      <c r="J6" s="3" t="s">
        <v>58</v>
      </c>
      <c r="K6" s="429" t="s">
        <v>59</v>
      </c>
      <c r="L6" s="443">
        <v>44203</v>
      </c>
      <c r="M6" s="432" t="s">
        <v>60</v>
      </c>
      <c r="N6" s="443">
        <v>44203</v>
      </c>
      <c r="O6" s="547">
        <v>45404</v>
      </c>
      <c r="P6" s="547"/>
      <c r="Q6" s="16"/>
      <c r="R6" s="16" t="s">
        <v>68</v>
      </c>
      <c r="S6" s="16"/>
      <c r="T6" s="16" t="s">
        <v>68</v>
      </c>
      <c r="U6" s="16" t="s">
        <v>68</v>
      </c>
      <c r="V6" s="16"/>
      <c r="W6" s="16"/>
      <c r="X6" s="16"/>
      <c r="Y6" s="16" t="s">
        <v>68</v>
      </c>
      <c r="Z6" s="432" t="s">
        <v>68</v>
      </c>
      <c r="AA6" s="432"/>
      <c r="AB6" s="24"/>
      <c r="AC6" s="24"/>
      <c r="AD6" s="16" t="s">
        <v>68</v>
      </c>
      <c r="AE6" s="24"/>
      <c r="AF6" s="276" t="s">
        <v>68</v>
      </c>
      <c r="AG6" s="286">
        <v>45493</v>
      </c>
      <c r="AH6" s="507" t="s">
        <v>121</v>
      </c>
      <c r="AI6" s="1155">
        <v>45160</v>
      </c>
      <c r="AJ6" s="649" t="s">
        <v>121</v>
      </c>
      <c r="AK6" s="58"/>
      <c r="AM6" s="613">
        <v>45527</v>
      </c>
    </row>
    <row r="7" spans="1:43" ht="22.8" x14ac:dyDescent="0.25">
      <c r="A7" s="28">
        <v>6</v>
      </c>
      <c r="B7" s="20">
        <v>30784</v>
      </c>
      <c r="C7" s="27" t="s">
        <v>54</v>
      </c>
      <c r="D7" s="3" t="s">
        <v>523</v>
      </c>
      <c r="E7" s="20" t="s">
        <v>522</v>
      </c>
      <c r="F7" s="3" t="s">
        <v>57</v>
      </c>
      <c r="G7" s="3" t="s">
        <v>11</v>
      </c>
      <c r="H7" s="19">
        <v>43836</v>
      </c>
      <c r="I7" s="3">
        <v>353</v>
      </c>
      <c r="J7" s="3" t="s">
        <v>58</v>
      </c>
      <c r="K7" s="429" t="s">
        <v>59</v>
      </c>
      <c r="L7" s="443">
        <v>44203</v>
      </c>
      <c r="M7" s="432" t="s">
        <v>60</v>
      </c>
      <c r="N7" s="443">
        <v>44203</v>
      </c>
      <c r="O7" s="547">
        <v>45404</v>
      </c>
      <c r="P7" s="548"/>
      <c r="Q7" s="16"/>
      <c r="R7" s="16" t="s">
        <v>62</v>
      </c>
      <c r="S7" s="16"/>
      <c r="T7" s="16" t="s">
        <v>62</v>
      </c>
      <c r="U7" s="16" t="s">
        <v>62</v>
      </c>
      <c r="V7" s="16"/>
      <c r="W7" s="16"/>
      <c r="X7" s="16"/>
      <c r="Y7" s="16" t="s">
        <v>62</v>
      </c>
      <c r="Z7" s="432" t="s">
        <v>62</v>
      </c>
      <c r="AA7" s="432"/>
      <c r="AB7" s="24"/>
      <c r="AC7" s="24"/>
      <c r="AD7" s="16" t="s">
        <v>62</v>
      </c>
      <c r="AE7" s="24"/>
      <c r="AF7" s="276" t="s">
        <v>62</v>
      </c>
      <c r="AG7" s="286">
        <v>45493</v>
      </c>
      <c r="AH7" s="507" t="s">
        <v>121</v>
      </c>
      <c r="AI7" s="677">
        <v>45160</v>
      </c>
      <c r="AJ7" s="58" t="s">
        <v>121</v>
      </c>
      <c r="AK7" s="58"/>
      <c r="AM7" s="613">
        <v>45527</v>
      </c>
    </row>
    <row r="8" spans="1:43" ht="22.8" x14ac:dyDescent="0.25">
      <c r="A8" s="28">
        <v>7</v>
      </c>
      <c r="B8" s="17">
        <v>30802</v>
      </c>
      <c r="C8" s="17" t="s">
        <v>64</v>
      </c>
      <c r="D8" s="3" t="s">
        <v>524</v>
      </c>
      <c r="E8" s="20" t="s">
        <v>522</v>
      </c>
      <c r="F8" s="3" t="s">
        <v>57</v>
      </c>
      <c r="G8" s="3" t="s">
        <v>11</v>
      </c>
      <c r="H8" s="3"/>
      <c r="I8" s="3" t="s">
        <v>525</v>
      </c>
      <c r="J8" s="3" t="s">
        <v>58</v>
      </c>
      <c r="K8" s="429" t="s">
        <v>59</v>
      </c>
      <c r="L8" s="432" t="s">
        <v>75</v>
      </c>
      <c r="M8" s="432" t="s">
        <v>60</v>
      </c>
      <c r="N8" s="432" t="s">
        <v>75</v>
      </c>
      <c r="O8" s="548">
        <v>45434</v>
      </c>
      <c r="P8" s="548"/>
      <c r="Q8" s="16" t="s">
        <v>75</v>
      </c>
      <c r="R8" s="16" t="s">
        <v>75</v>
      </c>
      <c r="S8" s="16" t="s">
        <v>68</v>
      </c>
      <c r="T8" s="16" t="s">
        <v>68</v>
      </c>
      <c r="U8" s="16" t="s">
        <v>68</v>
      </c>
      <c r="V8" s="16"/>
      <c r="W8" s="16" t="s">
        <v>68</v>
      </c>
      <c r="X8" s="16" t="s">
        <v>75</v>
      </c>
      <c r="Y8" s="16" t="s">
        <v>68</v>
      </c>
      <c r="Z8" s="432" t="s">
        <v>68</v>
      </c>
      <c r="AA8" s="444"/>
      <c r="AB8" s="24"/>
      <c r="AC8" s="24"/>
      <c r="AD8" s="276" t="s">
        <v>68</v>
      </c>
      <c r="AF8" s="276" t="s">
        <v>68</v>
      </c>
      <c r="AG8" s="286">
        <v>45472</v>
      </c>
      <c r="AH8" s="507" t="s">
        <v>121</v>
      </c>
      <c r="AI8" s="677">
        <v>45163</v>
      </c>
      <c r="AJ8" s="58" t="s">
        <v>121</v>
      </c>
      <c r="AM8" s="613">
        <v>45472</v>
      </c>
    </row>
    <row r="9" spans="1:43" ht="22.8" x14ac:dyDescent="0.25">
      <c r="A9" s="28">
        <v>8</v>
      </c>
      <c r="B9" s="17">
        <v>30802</v>
      </c>
      <c r="C9" s="17" t="s">
        <v>54</v>
      </c>
      <c r="D9" s="3" t="s">
        <v>526</v>
      </c>
      <c r="E9" s="20" t="s">
        <v>522</v>
      </c>
      <c r="F9" s="3" t="s">
        <v>57</v>
      </c>
      <c r="G9" s="3" t="s">
        <v>11</v>
      </c>
      <c r="H9" s="3"/>
      <c r="I9" s="3" t="s">
        <v>527</v>
      </c>
      <c r="J9" s="3" t="s">
        <v>58</v>
      </c>
      <c r="K9" s="429" t="s">
        <v>59</v>
      </c>
      <c r="L9" s="432" t="s">
        <v>75</v>
      </c>
      <c r="M9" s="432" t="s">
        <v>60</v>
      </c>
      <c r="N9" s="432" t="s">
        <v>75</v>
      </c>
      <c r="O9" s="548">
        <v>45434</v>
      </c>
      <c r="P9" s="548"/>
      <c r="Q9" s="16" t="s">
        <v>75</v>
      </c>
      <c r="R9" s="16" t="s">
        <v>75</v>
      </c>
      <c r="S9" s="16" t="s">
        <v>62</v>
      </c>
      <c r="T9" s="16" t="s">
        <v>62</v>
      </c>
      <c r="U9" s="16" t="s">
        <v>62</v>
      </c>
      <c r="V9" s="16"/>
      <c r="W9" s="16" t="s">
        <v>62</v>
      </c>
      <c r="X9" s="16" t="s">
        <v>75</v>
      </c>
      <c r="Y9" s="16" t="s">
        <v>62</v>
      </c>
      <c r="Z9" s="432" t="s">
        <v>62</v>
      </c>
      <c r="AA9" s="444"/>
      <c r="AB9" s="24"/>
      <c r="AC9" s="24"/>
      <c r="AD9" s="276" t="s">
        <v>62</v>
      </c>
      <c r="AE9" s="30"/>
      <c r="AF9" s="284" t="s">
        <v>62</v>
      </c>
      <c r="AG9" s="286">
        <v>45472</v>
      </c>
      <c r="AH9" s="507" t="s">
        <v>121</v>
      </c>
      <c r="AI9" s="677">
        <v>45163</v>
      </c>
      <c r="AJ9" s="58" t="s">
        <v>121</v>
      </c>
      <c r="AM9" s="613">
        <v>45472</v>
      </c>
    </row>
    <row r="10" spans="1:43" ht="22.8" x14ac:dyDescent="0.25">
      <c r="A10" s="28">
        <v>9</v>
      </c>
      <c r="B10" s="20">
        <v>37142</v>
      </c>
      <c r="C10" s="27" t="s">
        <v>64</v>
      </c>
      <c r="D10" s="3" t="s">
        <v>528</v>
      </c>
      <c r="E10" s="20" t="s">
        <v>522</v>
      </c>
      <c r="F10" s="3" t="s">
        <v>57</v>
      </c>
      <c r="G10" s="3" t="s">
        <v>11</v>
      </c>
      <c r="H10" s="49">
        <v>43571</v>
      </c>
      <c r="I10" s="3">
        <v>367</v>
      </c>
      <c r="J10" s="3" t="s">
        <v>58</v>
      </c>
      <c r="K10" s="429" t="s">
        <v>59</v>
      </c>
      <c r="L10" s="443">
        <v>44200</v>
      </c>
      <c r="M10" s="432" t="s">
        <v>60</v>
      </c>
      <c r="N10" s="443">
        <v>44180</v>
      </c>
      <c r="O10" s="548">
        <v>45507</v>
      </c>
      <c r="P10" s="548"/>
      <c r="Q10" s="16"/>
      <c r="R10" s="16" t="s">
        <v>68</v>
      </c>
      <c r="S10" s="16" t="s">
        <v>68</v>
      </c>
      <c r="T10" s="16" t="s">
        <v>68</v>
      </c>
      <c r="U10" s="16" t="s">
        <v>68</v>
      </c>
      <c r="V10" s="16"/>
      <c r="W10" s="16" t="s">
        <v>68</v>
      </c>
      <c r="X10" s="16" t="s">
        <v>68</v>
      </c>
      <c r="Y10" s="16" t="s">
        <v>68</v>
      </c>
      <c r="Z10" s="432" t="s">
        <v>68</v>
      </c>
      <c r="AA10" s="432"/>
      <c r="AB10" s="24"/>
      <c r="AC10" s="24"/>
      <c r="AD10" s="276" t="s">
        <v>68</v>
      </c>
      <c r="AF10" s="276" t="s">
        <v>68</v>
      </c>
      <c r="AG10" s="286">
        <v>45470</v>
      </c>
      <c r="AH10" s="507" t="s">
        <v>121</v>
      </c>
      <c r="AI10" s="678">
        <v>45223</v>
      </c>
      <c r="AJ10" s="58" t="s">
        <v>121</v>
      </c>
      <c r="AM10" s="613" t="s">
        <v>520</v>
      </c>
      <c r="AN10" s="381"/>
    </row>
    <row r="11" spans="1:43" ht="22.8" x14ac:dyDescent="0.25">
      <c r="A11" s="28">
        <v>10</v>
      </c>
      <c r="B11" s="20">
        <v>37142</v>
      </c>
      <c r="C11" s="27" t="s">
        <v>54</v>
      </c>
      <c r="D11" s="3" t="s">
        <v>529</v>
      </c>
      <c r="E11" s="20" t="s">
        <v>522</v>
      </c>
      <c r="F11" s="3" t="s">
        <v>57</v>
      </c>
      <c r="G11" s="3" t="s">
        <v>11</v>
      </c>
      <c r="H11" s="49">
        <v>43571</v>
      </c>
      <c r="I11" s="3">
        <v>334</v>
      </c>
      <c r="J11" s="3" t="s">
        <v>58</v>
      </c>
      <c r="K11" s="429" t="s">
        <v>59</v>
      </c>
      <c r="L11" s="443">
        <v>44200</v>
      </c>
      <c r="M11" s="432" t="s">
        <v>60</v>
      </c>
      <c r="N11" s="443">
        <v>44180</v>
      </c>
      <c r="O11" s="548">
        <v>45507</v>
      </c>
      <c r="P11" s="548"/>
      <c r="Q11" s="16"/>
      <c r="R11" s="16" t="s">
        <v>62</v>
      </c>
      <c r="S11" s="16" t="s">
        <v>62</v>
      </c>
      <c r="T11" s="16" t="s">
        <v>62</v>
      </c>
      <c r="U11" s="16" t="s">
        <v>62</v>
      </c>
      <c r="V11" s="16"/>
      <c r="W11" s="16" t="s">
        <v>62</v>
      </c>
      <c r="X11" s="16" t="s">
        <v>62</v>
      </c>
      <c r="Y11" s="16" t="s">
        <v>62</v>
      </c>
      <c r="Z11" s="432" t="s">
        <v>62</v>
      </c>
      <c r="AA11" s="432"/>
      <c r="AB11" s="24"/>
      <c r="AC11" s="24"/>
      <c r="AD11" s="276" t="s">
        <v>62</v>
      </c>
      <c r="AF11" s="276" t="s">
        <v>62</v>
      </c>
      <c r="AG11" s="286">
        <v>45470</v>
      </c>
      <c r="AH11" s="507" t="s">
        <v>121</v>
      </c>
      <c r="AI11" s="678">
        <v>45223</v>
      </c>
      <c r="AJ11" s="58" t="s">
        <v>121</v>
      </c>
      <c r="AM11" s="613" t="s">
        <v>520</v>
      </c>
    </row>
    <row r="12" spans="1:43" ht="22.8" x14ac:dyDescent="0.25">
      <c r="A12" s="28">
        <v>11</v>
      </c>
      <c r="B12" s="20">
        <v>37149</v>
      </c>
      <c r="C12" s="27" t="s">
        <v>64</v>
      </c>
      <c r="D12" s="3" t="s">
        <v>530</v>
      </c>
      <c r="E12" s="20" t="s">
        <v>522</v>
      </c>
      <c r="F12" s="29" t="s">
        <v>57</v>
      </c>
      <c r="G12" s="3" t="s">
        <v>11</v>
      </c>
      <c r="H12" s="49">
        <v>43580</v>
      </c>
      <c r="I12" s="3">
        <v>438</v>
      </c>
      <c r="J12" s="3" t="s">
        <v>58</v>
      </c>
      <c r="K12" s="429" t="s">
        <v>59</v>
      </c>
      <c r="L12" s="443">
        <v>44205</v>
      </c>
      <c r="M12" s="432" t="s">
        <v>60</v>
      </c>
      <c r="N12" s="443">
        <v>44205</v>
      </c>
      <c r="O12" s="547">
        <v>45512</v>
      </c>
      <c r="P12" s="547"/>
      <c r="Q12" s="16"/>
      <c r="R12" s="16" t="s">
        <v>68</v>
      </c>
      <c r="S12" s="16"/>
      <c r="T12" s="16" t="s">
        <v>68</v>
      </c>
      <c r="U12" s="16" t="s">
        <v>68</v>
      </c>
      <c r="V12" s="16"/>
      <c r="W12" s="16" t="s">
        <v>68</v>
      </c>
      <c r="X12" s="16" t="s">
        <v>68</v>
      </c>
      <c r="Y12" s="16" t="s">
        <v>68</v>
      </c>
      <c r="Z12" s="432" t="s">
        <v>68</v>
      </c>
      <c r="AA12" s="432"/>
      <c r="AB12" s="24"/>
      <c r="AC12" s="24"/>
      <c r="AD12" s="16" t="s">
        <v>68</v>
      </c>
      <c r="AE12" s="24"/>
      <c r="AF12" s="276" t="s">
        <v>68</v>
      </c>
      <c r="AG12" s="286">
        <v>45513</v>
      </c>
      <c r="AH12" s="507" t="s">
        <v>121</v>
      </c>
      <c r="AI12" s="677">
        <v>45170</v>
      </c>
      <c r="AJ12" s="58" t="s">
        <v>121</v>
      </c>
      <c r="AK12" s="58"/>
      <c r="AM12" s="613" t="s">
        <v>520</v>
      </c>
      <c r="AN12" s="381"/>
    </row>
    <row r="13" spans="1:43" ht="22.8" x14ac:dyDescent="0.25">
      <c r="A13" s="28">
        <v>12</v>
      </c>
      <c r="B13" s="20">
        <v>37149</v>
      </c>
      <c r="C13" s="27" t="s">
        <v>54</v>
      </c>
      <c r="D13" s="3" t="s">
        <v>531</v>
      </c>
      <c r="E13" s="20" t="s">
        <v>522</v>
      </c>
      <c r="F13" s="29" t="s">
        <v>57</v>
      </c>
      <c r="G13" s="3" t="s">
        <v>11</v>
      </c>
      <c r="H13" s="49">
        <v>43580</v>
      </c>
      <c r="I13" s="3">
        <v>315</v>
      </c>
      <c r="J13" s="3" t="s">
        <v>58</v>
      </c>
      <c r="K13" s="429" t="s">
        <v>59</v>
      </c>
      <c r="L13" s="443">
        <v>44205</v>
      </c>
      <c r="M13" s="432" t="s">
        <v>60</v>
      </c>
      <c r="N13" s="443">
        <v>44205</v>
      </c>
      <c r="O13" s="547">
        <v>45512</v>
      </c>
      <c r="P13" s="548"/>
      <c r="Q13" s="16"/>
      <c r="R13" s="16" t="s">
        <v>62</v>
      </c>
      <c r="S13" s="16"/>
      <c r="T13" s="16" t="s">
        <v>62</v>
      </c>
      <c r="U13" s="16" t="s">
        <v>62</v>
      </c>
      <c r="V13" s="16"/>
      <c r="W13" s="16" t="s">
        <v>62</v>
      </c>
      <c r="X13" s="16" t="s">
        <v>62</v>
      </c>
      <c r="Y13" s="16" t="s">
        <v>62</v>
      </c>
      <c r="Z13" s="432" t="s">
        <v>62</v>
      </c>
      <c r="AA13" s="432"/>
      <c r="AB13" s="24"/>
      <c r="AC13" s="24"/>
      <c r="AD13" s="16" t="s">
        <v>62</v>
      </c>
      <c r="AE13" s="24"/>
      <c r="AF13" s="276" t="s">
        <v>62</v>
      </c>
      <c r="AG13" s="286">
        <v>45513</v>
      </c>
      <c r="AH13" s="507" t="s">
        <v>121</v>
      </c>
      <c r="AI13" s="677">
        <v>45170</v>
      </c>
      <c r="AJ13" s="58" t="s">
        <v>121</v>
      </c>
      <c r="AK13" s="58"/>
      <c r="AM13" s="613" t="s">
        <v>520</v>
      </c>
    </row>
    <row r="14" spans="1:43" ht="22.8" x14ac:dyDescent="0.25">
      <c r="A14" s="28">
        <v>13</v>
      </c>
      <c r="B14" s="20">
        <v>37151</v>
      </c>
      <c r="C14" s="27" t="s">
        <v>64</v>
      </c>
      <c r="D14" s="3" t="s">
        <v>532</v>
      </c>
      <c r="E14" s="20" t="s">
        <v>522</v>
      </c>
      <c r="F14" s="29" t="s">
        <v>57</v>
      </c>
      <c r="G14" s="3" t="s">
        <v>11</v>
      </c>
      <c r="H14" s="49">
        <v>43580</v>
      </c>
      <c r="I14" s="3">
        <v>426</v>
      </c>
      <c r="J14" s="3" t="s">
        <v>58</v>
      </c>
      <c r="K14" s="429" t="s">
        <v>59</v>
      </c>
      <c r="L14" s="443">
        <v>44209</v>
      </c>
      <c r="M14" s="432" t="s">
        <v>60</v>
      </c>
      <c r="N14" s="443">
        <v>44209</v>
      </c>
      <c r="O14" s="548">
        <v>45460</v>
      </c>
      <c r="P14" s="548"/>
      <c r="Q14" s="16"/>
      <c r="R14" s="16" t="s">
        <v>68</v>
      </c>
      <c r="S14" s="16"/>
      <c r="T14" s="16" t="s">
        <v>68</v>
      </c>
      <c r="U14" s="16" t="s">
        <v>68</v>
      </c>
      <c r="V14" s="16"/>
      <c r="W14" s="16" t="s">
        <v>68</v>
      </c>
      <c r="X14" s="16" t="s">
        <v>68</v>
      </c>
      <c r="Y14" s="16" t="s">
        <v>68</v>
      </c>
      <c r="Z14" s="432" t="s">
        <v>68</v>
      </c>
      <c r="AA14" s="432"/>
      <c r="AB14" s="24"/>
      <c r="AC14" s="24"/>
      <c r="AD14" s="16" t="s">
        <v>68</v>
      </c>
      <c r="AE14" s="24"/>
      <c r="AF14" s="276" t="s">
        <v>68</v>
      </c>
      <c r="AG14" s="286">
        <v>45513</v>
      </c>
      <c r="AH14" s="507" t="s">
        <v>121</v>
      </c>
      <c r="AI14" s="677">
        <v>45240</v>
      </c>
      <c r="AJ14" s="58" t="s">
        <v>121</v>
      </c>
      <c r="AK14" s="58"/>
      <c r="AM14" s="613" t="s">
        <v>520</v>
      </c>
    </row>
    <row r="15" spans="1:43" ht="22.8" x14ac:dyDescent="0.25">
      <c r="A15" s="28">
        <v>14</v>
      </c>
      <c r="B15" s="20">
        <v>37151</v>
      </c>
      <c r="C15" s="27" t="s">
        <v>54</v>
      </c>
      <c r="D15" s="3" t="s">
        <v>533</v>
      </c>
      <c r="E15" s="20" t="s">
        <v>522</v>
      </c>
      <c r="F15" s="29" t="s">
        <v>57</v>
      </c>
      <c r="G15" s="3" t="s">
        <v>11</v>
      </c>
      <c r="H15" s="49">
        <v>43580</v>
      </c>
      <c r="I15" s="3">
        <v>419</v>
      </c>
      <c r="J15" s="3" t="s">
        <v>58</v>
      </c>
      <c r="K15" s="429" t="s">
        <v>59</v>
      </c>
      <c r="L15" s="443">
        <v>44209</v>
      </c>
      <c r="M15" s="432" t="s">
        <v>60</v>
      </c>
      <c r="N15" s="443">
        <v>44209</v>
      </c>
      <c r="O15" s="548">
        <v>45460</v>
      </c>
      <c r="P15" s="548"/>
      <c r="Q15" s="16"/>
      <c r="R15" s="16" t="s">
        <v>62</v>
      </c>
      <c r="S15" s="16"/>
      <c r="T15" s="16" t="s">
        <v>62</v>
      </c>
      <c r="U15" s="16" t="s">
        <v>62</v>
      </c>
      <c r="V15" s="16"/>
      <c r="W15" s="16" t="s">
        <v>62</v>
      </c>
      <c r="X15" s="16" t="s">
        <v>62</v>
      </c>
      <c r="Y15" s="16" t="s">
        <v>62</v>
      </c>
      <c r="Z15" s="432" t="s">
        <v>62</v>
      </c>
      <c r="AA15" s="432"/>
      <c r="AB15" s="24"/>
      <c r="AC15" s="24"/>
      <c r="AD15" s="16" t="s">
        <v>62</v>
      </c>
      <c r="AE15" s="24"/>
      <c r="AF15" s="276" t="s">
        <v>62</v>
      </c>
      <c r="AG15" s="286">
        <v>45513</v>
      </c>
      <c r="AH15" s="507" t="s">
        <v>121</v>
      </c>
      <c r="AI15" s="677">
        <v>45240</v>
      </c>
      <c r="AJ15" s="58" t="s">
        <v>121</v>
      </c>
      <c r="AK15" s="58"/>
      <c r="AM15" s="613" t="s">
        <v>520</v>
      </c>
    </row>
    <row r="16" spans="1:43" ht="22.8" x14ac:dyDescent="0.25">
      <c r="A16" s="28">
        <v>15</v>
      </c>
      <c r="B16" s="20">
        <v>37153</v>
      </c>
      <c r="C16" s="27" t="s">
        <v>64</v>
      </c>
      <c r="D16" s="3" t="s">
        <v>534</v>
      </c>
      <c r="E16" s="20" t="s">
        <v>522</v>
      </c>
      <c r="F16" s="3" t="s">
        <v>57</v>
      </c>
      <c r="G16" s="3" t="s">
        <v>11</v>
      </c>
      <c r="H16" s="49">
        <v>43581</v>
      </c>
      <c r="I16" s="3">
        <v>423</v>
      </c>
      <c r="J16" s="3" t="s">
        <v>58</v>
      </c>
      <c r="K16" s="429" t="s">
        <v>59</v>
      </c>
      <c r="L16" s="443">
        <v>44212</v>
      </c>
      <c r="M16" s="432" t="s">
        <v>60</v>
      </c>
      <c r="N16" s="443">
        <v>44212</v>
      </c>
      <c r="O16" s="548">
        <v>45514</v>
      </c>
      <c r="P16" s="548"/>
      <c r="Q16" s="16"/>
      <c r="R16" s="16" t="s">
        <v>68</v>
      </c>
      <c r="S16" s="16"/>
      <c r="T16" s="16" t="s">
        <v>68</v>
      </c>
      <c r="U16" s="16" t="s">
        <v>68</v>
      </c>
      <c r="V16" s="16"/>
      <c r="W16" s="16" t="s">
        <v>68</v>
      </c>
      <c r="X16" s="16"/>
      <c r="Y16" s="16" t="s">
        <v>68</v>
      </c>
      <c r="Z16" s="432" t="s">
        <v>68</v>
      </c>
      <c r="AA16" s="432"/>
      <c r="AB16" s="388" t="s">
        <v>535</v>
      </c>
      <c r="AC16" s="24"/>
      <c r="AD16" s="16" t="s">
        <v>68</v>
      </c>
      <c r="AE16" s="24"/>
      <c r="AF16" s="79" t="s">
        <v>68</v>
      </c>
      <c r="AG16" s="286">
        <v>45493</v>
      </c>
      <c r="AH16" s="507" t="s">
        <v>121</v>
      </c>
      <c r="AI16" s="677">
        <v>45232</v>
      </c>
      <c r="AJ16" s="58" t="s">
        <v>121</v>
      </c>
      <c r="AK16" s="58"/>
      <c r="AM16" s="613" t="s">
        <v>520</v>
      </c>
    </row>
    <row r="17" spans="1:40" ht="22.8" x14ac:dyDescent="0.25">
      <c r="A17" s="28">
        <v>16</v>
      </c>
      <c r="B17" s="20">
        <v>37153</v>
      </c>
      <c r="C17" s="27" t="s">
        <v>54</v>
      </c>
      <c r="D17" s="3" t="s">
        <v>536</v>
      </c>
      <c r="E17" s="20" t="s">
        <v>522</v>
      </c>
      <c r="F17" s="3" t="s">
        <v>57</v>
      </c>
      <c r="G17" s="3" t="s">
        <v>11</v>
      </c>
      <c r="H17" s="49">
        <v>43581</v>
      </c>
      <c r="I17" s="3">
        <v>442</v>
      </c>
      <c r="J17" s="3" t="s">
        <v>58</v>
      </c>
      <c r="K17" s="429" t="s">
        <v>59</v>
      </c>
      <c r="L17" s="443">
        <v>44212</v>
      </c>
      <c r="M17" s="432" t="s">
        <v>60</v>
      </c>
      <c r="N17" s="443">
        <v>44212</v>
      </c>
      <c r="O17" s="548">
        <v>45514</v>
      </c>
      <c r="P17" s="548"/>
      <c r="Q17" s="16"/>
      <c r="R17" s="16" t="s">
        <v>62</v>
      </c>
      <c r="S17" s="16"/>
      <c r="T17" s="16" t="s">
        <v>62</v>
      </c>
      <c r="U17" s="16" t="s">
        <v>62</v>
      </c>
      <c r="V17" s="16"/>
      <c r="W17" s="16" t="s">
        <v>62</v>
      </c>
      <c r="X17" s="16"/>
      <c r="Y17" s="16" t="s">
        <v>62</v>
      </c>
      <c r="Z17" s="432" t="s">
        <v>62</v>
      </c>
      <c r="AA17" s="432"/>
      <c r="AB17" s="24"/>
      <c r="AC17" s="24"/>
      <c r="AD17" s="16" t="s">
        <v>62</v>
      </c>
      <c r="AE17" s="24"/>
      <c r="AF17" s="79" t="s">
        <v>62</v>
      </c>
      <c r="AG17" s="286">
        <v>45493</v>
      </c>
      <c r="AH17" s="507" t="s">
        <v>121</v>
      </c>
      <c r="AI17" s="677">
        <v>45232</v>
      </c>
      <c r="AJ17" s="58" t="s">
        <v>121</v>
      </c>
      <c r="AK17" s="58"/>
      <c r="AM17" s="613" t="s">
        <v>520</v>
      </c>
    </row>
    <row r="18" spans="1:40" ht="22.8" x14ac:dyDescent="0.25">
      <c r="A18" s="28">
        <v>17</v>
      </c>
      <c r="B18" s="20">
        <v>37179</v>
      </c>
      <c r="C18" s="27" t="s">
        <v>64</v>
      </c>
      <c r="D18" s="3" t="s">
        <v>537</v>
      </c>
      <c r="E18" s="20" t="s">
        <v>522</v>
      </c>
      <c r="F18" s="29" t="s">
        <v>57</v>
      </c>
      <c r="G18" s="3" t="s">
        <v>11</v>
      </c>
      <c r="H18" s="19">
        <v>43607</v>
      </c>
      <c r="I18" s="3">
        <v>454</v>
      </c>
      <c r="J18" s="3" t="s">
        <v>58</v>
      </c>
      <c r="K18" s="429" t="s">
        <v>59</v>
      </c>
      <c r="L18" s="443">
        <v>44208</v>
      </c>
      <c r="M18" s="432" t="s">
        <v>60</v>
      </c>
      <c r="N18" s="443">
        <v>44208</v>
      </c>
      <c r="O18" s="548">
        <v>45541</v>
      </c>
      <c r="P18" s="548"/>
      <c r="Q18" s="16"/>
      <c r="R18" s="16" t="s">
        <v>68</v>
      </c>
      <c r="S18" s="16"/>
      <c r="T18" s="16" t="s">
        <v>68</v>
      </c>
      <c r="U18" s="16" t="s">
        <v>68</v>
      </c>
      <c r="V18" s="16"/>
      <c r="W18" s="16" t="s">
        <v>68</v>
      </c>
      <c r="X18" s="16"/>
      <c r="Y18" s="16" t="s">
        <v>68</v>
      </c>
      <c r="Z18" s="432" t="s">
        <v>68</v>
      </c>
      <c r="AA18" s="432"/>
      <c r="AB18" s="24"/>
      <c r="AC18" s="24"/>
      <c r="AD18" s="24"/>
      <c r="AE18" s="24"/>
      <c r="AF18" s="79" t="s">
        <v>68</v>
      </c>
      <c r="AG18" s="286">
        <v>45544</v>
      </c>
      <c r="AH18" s="507" t="s">
        <v>121</v>
      </c>
      <c r="AI18" s="677">
        <v>45168</v>
      </c>
      <c r="AJ18" s="58" t="s">
        <v>121</v>
      </c>
      <c r="AK18" s="58"/>
      <c r="AN18" s="381"/>
    </row>
    <row r="19" spans="1:40" ht="22.8" x14ac:dyDescent="0.25">
      <c r="A19" s="28">
        <v>18</v>
      </c>
      <c r="B19" s="20">
        <v>37179</v>
      </c>
      <c r="C19" s="27" t="s">
        <v>54</v>
      </c>
      <c r="D19" s="3" t="s">
        <v>538</v>
      </c>
      <c r="E19" s="20" t="s">
        <v>522</v>
      </c>
      <c r="F19" s="29" t="s">
        <v>57</v>
      </c>
      <c r="G19" s="3" t="s">
        <v>11</v>
      </c>
      <c r="H19" s="19">
        <v>43607</v>
      </c>
      <c r="I19" s="3">
        <v>455</v>
      </c>
      <c r="J19" s="3" t="s">
        <v>58</v>
      </c>
      <c r="K19" s="429" t="s">
        <v>59</v>
      </c>
      <c r="L19" s="443">
        <v>44208</v>
      </c>
      <c r="M19" s="432" t="s">
        <v>60</v>
      </c>
      <c r="N19" s="443">
        <v>44208</v>
      </c>
      <c r="O19" s="548">
        <v>45541</v>
      </c>
      <c r="P19" s="548"/>
      <c r="Q19" s="16"/>
      <c r="R19" s="16" t="s">
        <v>62</v>
      </c>
      <c r="S19" s="16"/>
      <c r="T19" s="16" t="s">
        <v>62</v>
      </c>
      <c r="U19" s="16" t="s">
        <v>62</v>
      </c>
      <c r="V19" s="16"/>
      <c r="W19" s="16" t="s">
        <v>62</v>
      </c>
      <c r="X19" s="16"/>
      <c r="Y19" s="16" t="s">
        <v>62</v>
      </c>
      <c r="Z19" s="432" t="s">
        <v>62</v>
      </c>
      <c r="AA19" s="432"/>
      <c r="AB19" s="24"/>
      <c r="AC19" s="24"/>
      <c r="AD19" s="24"/>
      <c r="AE19" s="24"/>
      <c r="AF19" s="79" t="s">
        <v>62</v>
      </c>
      <c r="AG19" s="286">
        <v>45544</v>
      </c>
      <c r="AH19" s="507" t="s">
        <v>121</v>
      </c>
      <c r="AI19" s="677">
        <v>45168</v>
      </c>
      <c r="AJ19" s="58" t="s">
        <v>121</v>
      </c>
      <c r="AK19" s="58"/>
    </row>
    <row r="20" spans="1:40" ht="22.8" x14ac:dyDescent="0.25">
      <c r="A20" s="28">
        <v>19</v>
      </c>
      <c r="B20" s="20">
        <v>37180</v>
      </c>
      <c r="C20" s="27" t="s">
        <v>64</v>
      </c>
      <c r="D20" s="3" t="s">
        <v>539</v>
      </c>
      <c r="E20" s="20" t="s">
        <v>522</v>
      </c>
      <c r="F20" s="29" t="s">
        <v>57</v>
      </c>
      <c r="G20" s="3" t="s">
        <v>11</v>
      </c>
      <c r="H20" s="19">
        <v>43608</v>
      </c>
      <c r="I20" s="3">
        <v>386</v>
      </c>
      <c r="J20" s="3" t="s">
        <v>58</v>
      </c>
      <c r="K20" s="429" t="s">
        <v>59</v>
      </c>
      <c r="L20" s="443">
        <v>44229</v>
      </c>
      <c r="M20" s="432" t="s">
        <v>60</v>
      </c>
      <c r="N20" s="443">
        <v>44174</v>
      </c>
      <c r="O20" s="548">
        <v>45435</v>
      </c>
      <c r="P20" s="548"/>
      <c r="Q20" s="16"/>
      <c r="R20" s="16" t="s">
        <v>62</v>
      </c>
      <c r="S20" s="16"/>
      <c r="T20" s="16" t="s">
        <v>62</v>
      </c>
      <c r="U20" s="16" t="s">
        <v>62</v>
      </c>
      <c r="V20" s="16"/>
      <c r="W20" s="16" t="s">
        <v>62</v>
      </c>
      <c r="X20" s="16"/>
      <c r="Y20" s="16" t="s">
        <v>68</v>
      </c>
      <c r="Z20" s="432" t="s">
        <v>62</v>
      </c>
      <c r="AA20" s="432"/>
      <c r="AB20" s="24"/>
      <c r="AC20" s="24"/>
      <c r="AD20" s="16" t="s">
        <v>68</v>
      </c>
      <c r="AE20" s="24"/>
      <c r="AF20" s="276" t="s">
        <v>68</v>
      </c>
      <c r="AG20" s="286">
        <v>45482</v>
      </c>
      <c r="AH20" s="507" t="s">
        <v>121</v>
      </c>
      <c r="AI20" s="677">
        <v>45204</v>
      </c>
      <c r="AJ20" s="58" t="s">
        <v>121</v>
      </c>
      <c r="AM20" s="613" t="s">
        <v>520</v>
      </c>
      <c r="AN20" s="381"/>
    </row>
    <row r="21" spans="1:40" ht="22.8" x14ac:dyDescent="0.25">
      <c r="A21" s="28">
        <v>20</v>
      </c>
      <c r="B21" s="20">
        <v>37180</v>
      </c>
      <c r="C21" s="27" t="s">
        <v>54</v>
      </c>
      <c r="D21" s="3" t="s">
        <v>540</v>
      </c>
      <c r="E21" s="20" t="s">
        <v>522</v>
      </c>
      <c r="F21" s="29" t="s">
        <v>57</v>
      </c>
      <c r="G21" s="3" t="s">
        <v>11</v>
      </c>
      <c r="H21" s="19">
        <v>43608</v>
      </c>
      <c r="I21" s="3">
        <v>387</v>
      </c>
      <c r="J21" s="3" t="s">
        <v>58</v>
      </c>
      <c r="K21" s="429" t="s">
        <v>59</v>
      </c>
      <c r="L21" s="443">
        <v>44229</v>
      </c>
      <c r="M21" s="432" t="s">
        <v>60</v>
      </c>
      <c r="N21" s="443">
        <v>44174</v>
      </c>
      <c r="O21" s="548">
        <v>45435</v>
      </c>
      <c r="P21" s="548"/>
      <c r="Q21" s="16"/>
      <c r="R21" s="16" t="s">
        <v>68</v>
      </c>
      <c r="S21" s="16"/>
      <c r="T21" s="16" t="s">
        <v>68</v>
      </c>
      <c r="U21" s="16" t="s">
        <v>68</v>
      </c>
      <c r="V21" s="16"/>
      <c r="W21" s="16" t="s">
        <v>68</v>
      </c>
      <c r="X21" s="16"/>
      <c r="Y21" s="16" t="s">
        <v>62</v>
      </c>
      <c r="Z21" s="432" t="s">
        <v>68</v>
      </c>
      <c r="AA21" s="432"/>
      <c r="AB21" s="24"/>
      <c r="AC21" s="24"/>
      <c r="AD21" s="16" t="s">
        <v>62</v>
      </c>
      <c r="AE21" s="24"/>
      <c r="AF21" s="276" t="s">
        <v>62</v>
      </c>
      <c r="AG21" s="286">
        <v>45482</v>
      </c>
      <c r="AH21" s="507" t="s">
        <v>121</v>
      </c>
      <c r="AI21" s="677">
        <v>45204</v>
      </c>
      <c r="AJ21" s="58" t="s">
        <v>121</v>
      </c>
      <c r="AM21" s="613" t="s">
        <v>520</v>
      </c>
    </row>
    <row r="22" spans="1:40" ht="22.8" x14ac:dyDescent="0.25">
      <c r="A22" s="28">
        <v>21</v>
      </c>
      <c r="B22" s="20">
        <v>37183</v>
      </c>
      <c r="C22" s="27" t="s">
        <v>64</v>
      </c>
      <c r="D22" s="3" t="s">
        <v>541</v>
      </c>
      <c r="E22" s="20" t="s">
        <v>522</v>
      </c>
      <c r="F22" s="29" t="s">
        <v>57</v>
      </c>
      <c r="G22" s="3" t="s">
        <v>11</v>
      </c>
      <c r="H22" s="19">
        <v>43609</v>
      </c>
      <c r="I22" s="3">
        <v>469</v>
      </c>
      <c r="J22" s="3" t="s">
        <v>58</v>
      </c>
      <c r="K22" s="429" t="s">
        <v>59</v>
      </c>
      <c r="L22" s="443">
        <v>44215</v>
      </c>
      <c r="M22" s="432" t="s">
        <v>60</v>
      </c>
      <c r="N22" s="443">
        <v>44214</v>
      </c>
      <c r="O22" s="548">
        <v>45425</v>
      </c>
      <c r="P22" s="548"/>
      <c r="Q22" s="16"/>
      <c r="R22" s="16" t="s">
        <v>68</v>
      </c>
      <c r="S22" s="16"/>
      <c r="T22" s="16" t="s">
        <v>68</v>
      </c>
      <c r="U22" s="16" t="s">
        <v>68</v>
      </c>
      <c r="V22" s="16"/>
      <c r="W22" s="16" t="s">
        <v>68</v>
      </c>
      <c r="X22" s="16"/>
      <c r="Y22" s="16" t="s">
        <v>68</v>
      </c>
      <c r="Z22" s="432" t="s">
        <v>68</v>
      </c>
      <c r="AA22" s="432"/>
      <c r="AB22" s="24"/>
      <c r="AC22" s="24"/>
      <c r="AD22" s="16" t="s">
        <v>68</v>
      </c>
      <c r="AE22" s="24"/>
      <c r="AF22" s="276" t="s">
        <v>68</v>
      </c>
      <c r="AG22" s="286">
        <v>45555</v>
      </c>
      <c r="AH22" s="507" t="s">
        <v>121</v>
      </c>
      <c r="AI22" s="677">
        <v>45154</v>
      </c>
      <c r="AJ22" s="58" t="s">
        <v>121</v>
      </c>
      <c r="AK22" s="58"/>
      <c r="AM22" s="613">
        <v>45554</v>
      </c>
      <c r="AN22" s="381"/>
    </row>
    <row r="23" spans="1:40" ht="22.8" x14ac:dyDescent="0.25">
      <c r="A23" s="28">
        <v>22</v>
      </c>
      <c r="B23" s="20">
        <v>37183</v>
      </c>
      <c r="C23" s="27" t="s">
        <v>54</v>
      </c>
      <c r="D23" s="20" t="s">
        <v>542</v>
      </c>
      <c r="E23" s="20" t="s">
        <v>522</v>
      </c>
      <c r="F23" s="29" t="s">
        <v>57</v>
      </c>
      <c r="G23" s="3" t="s">
        <v>11</v>
      </c>
      <c r="H23" s="19">
        <v>43609</v>
      </c>
      <c r="I23" s="3">
        <v>468</v>
      </c>
      <c r="J23" s="3" t="s">
        <v>58</v>
      </c>
      <c r="K23" s="431" t="s">
        <v>59</v>
      </c>
      <c r="L23" s="449">
        <v>44215</v>
      </c>
      <c r="M23" s="448" t="s">
        <v>60</v>
      </c>
      <c r="N23" s="449">
        <v>44214</v>
      </c>
      <c r="O23" s="548">
        <v>45425</v>
      </c>
      <c r="P23" s="548"/>
      <c r="Q23" s="16"/>
      <c r="R23" s="16" t="s">
        <v>62</v>
      </c>
      <c r="S23" s="16"/>
      <c r="T23" s="16" t="s">
        <v>62</v>
      </c>
      <c r="U23" s="16" t="s">
        <v>62</v>
      </c>
      <c r="V23" s="37"/>
      <c r="W23" s="16"/>
      <c r="X23" s="16"/>
      <c r="Y23" s="16" t="s">
        <v>62</v>
      </c>
      <c r="Z23" s="432" t="s">
        <v>62</v>
      </c>
      <c r="AA23" s="432"/>
      <c r="AB23" s="24" t="s">
        <v>543</v>
      </c>
      <c r="AC23" s="24"/>
      <c r="AD23" s="16" t="s">
        <v>62</v>
      </c>
      <c r="AE23" s="24"/>
      <c r="AF23" s="276" t="s">
        <v>62</v>
      </c>
      <c r="AG23" s="286">
        <v>45555</v>
      </c>
      <c r="AH23" s="507" t="s">
        <v>121</v>
      </c>
      <c r="AI23" s="677">
        <v>45154</v>
      </c>
      <c r="AJ23" s="58" t="s">
        <v>121</v>
      </c>
      <c r="AK23" s="58"/>
      <c r="AM23" s="613">
        <v>45554</v>
      </c>
      <c r="AN23" s="381"/>
    </row>
    <row r="24" spans="1:40" ht="22.8" x14ac:dyDescent="0.25">
      <c r="A24" s="28">
        <v>23</v>
      </c>
      <c r="B24" s="20">
        <v>37202</v>
      </c>
      <c r="C24" s="27" t="s">
        <v>64</v>
      </c>
      <c r="D24" s="3" t="s">
        <v>544</v>
      </c>
      <c r="E24" s="20" t="s">
        <v>522</v>
      </c>
      <c r="F24" s="29" t="s">
        <v>57</v>
      </c>
      <c r="G24" s="3" t="s">
        <v>11</v>
      </c>
      <c r="H24" s="19">
        <v>43638</v>
      </c>
      <c r="I24" s="3">
        <v>211</v>
      </c>
      <c r="J24" s="3" t="s">
        <v>58</v>
      </c>
      <c r="K24" s="429" t="s">
        <v>59</v>
      </c>
      <c r="L24" s="465">
        <v>44372</v>
      </c>
      <c r="M24" s="432" t="s">
        <v>60</v>
      </c>
      <c r="N24" s="443">
        <v>44180</v>
      </c>
      <c r="O24" s="547">
        <v>45516</v>
      </c>
      <c r="P24" s="547"/>
      <c r="Q24" s="16"/>
      <c r="R24" s="16" t="s">
        <v>68</v>
      </c>
      <c r="S24" s="16" t="s">
        <v>68</v>
      </c>
      <c r="T24" s="16" t="s">
        <v>68</v>
      </c>
      <c r="U24" s="16" t="s">
        <v>68</v>
      </c>
      <c r="V24" s="16"/>
      <c r="W24" s="16" t="s">
        <v>68</v>
      </c>
      <c r="X24" s="16"/>
      <c r="Y24" s="16" t="s">
        <v>68</v>
      </c>
      <c r="Z24" s="432" t="s">
        <v>68</v>
      </c>
      <c r="AA24" s="432"/>
      <c r="AB24" s="24" t="s">
        <v>545</v>
      </c>
      <c r="AC24" s="24"/>
      <c r="AD24" s="276" t="s">
        <v>68</v>
      </c>
      <c r="AF24" s="276" t="s">
        <v>68</v>
      </c>
      <c r="AG24" s="286">
        <v>45502</v>
      </c>
      <c r="AH24" s="507" t="s">
        <v>121</v>
      </c>
      <c r="AI24" s="677">
        <v>45184</v>
      </c>
      <c r="AJ24" s="58" t="s">
        <v>121</v>
      </c>
      <c r="AK24" s="58"/>
    </row>
    <row r="25" spans="1:40" ht="22.8" x14ac:dyDescent="0.25">
      <c r="A25" s="28">
        <v>24</v>
      </c>
      <c r="B25" s="20">
        <v>37202</v>
      </c>
      <c r="C25" s="27" t="s">
        <v>54</v>
      </c>
      <c r="D25" s="3" t="s">
        <v>546</v>
      </c>
      <c r="E25" s="20" t="s">
        <v>522</v>
      </c>
      <c r="F25" s="29" t="s">
        <v>57</v>
      </c>
      <c r="G25" s="3" t="s">
        <v>11</v>
      </c>
      <c r="H25" s="19">
        <v>43638</v>
      </c>
      <c r="I25" s="3">
        <v>213</v>
      </c>
      <c r="J25" s="3" t="s">
        <v>58</v>
      </c>
      <c r="K25" s="429" t="s">
        <v>59</v>
      </c>
      <c r="L25" s="465">
        <v>44372</v>
      </c>
      <c r="M25" s="432" t="s">
        <v>60</v>
      </c>
      <c r="N25" s="443">
        <v>44180</v>
      </c>
      <c r="O25" s="547">
        <v>45516</v>
      </c>
      <c r="P25" s="548"/>
      <c r="Q25" s="16"/>
      <c r="R25" s="16" t="s">
        <v>62</v>
      </c>
      <c r="S25" s="16" t="s">
        <v>62</v>
      </c>
      <c r="T25" s="16" t="s">
        <v>62</v>
      </c>
      <c r="U25" s="16" t="s">
        <v>62</v>
      </c>
      <c r="V25" s="16"/>
      <c r="W25" s="16" t="s">
        <v>62</v>
      </c>
      <c r="X25" s="16"/>
      <c r="Y25" s="16" t="s">
        <v>62</v>
      </c>
      <c r="Z25" s="432" t="s">
        <v>62</v>
      </c>
      <c r="AA25" s="432"/>
      <c r="AB25" s="386">
        <v>44468</v>
      </c>
      <c r="AC25" s="24"/>
      <c r="AD25" s="276" t="s">
        <v>62</v>
      </c>
      <c r="AF25" s="276" t="s">
        <v>62</v>
      </c>
      <c r="AG25" s="286">
        <v>45502</v>
      </c>
      <c r="AH25" s="507" t="s">
        <v>121</v>
      </c>
      <c r="AI25" s="677">
        <v>45184</v>
      </c>
      <c r="AJ25" s="58" t="s">
        <v>121</v>
      </c>
      <c r="AK25" s="58"/>
    </row>
    <row r="26" spans="1:40" ht="22.8" x14ac:dyDescent="0.25">
      <c r="A26" s="28">
        <v>25</v>
      </c>
      <c r="B26" s="20">
        <v>37204</v>
      </c>
      <c r="C26" s="27" t="s">
        <v>64</v>
      </c>
      <c r="D26" s="3" t="s">
        <v>547</v>
      </c>
      <c r="E26" s="20" t="s">
        <v>522</v>
      </c>
      <c r="F26" s="29" t="s">
        <v>57</v>
      </c>
      <c r="G26" s="3" t="s">
        <v>11</v>
      </c>
      <c r="H26" s="19">
        <v>43639</v>
      </c>
      <c r="I26" s="3">
        <v>500</v>
      </c>
      <c r="J26" s="3" t="s">
        <v>58</v>
      </c>
      <c r="K26" s="429" t="s">
        <v>59</v>
      </c>
      <c r="L26" s="465">
        <v>44372</v>
      </c>
      <c r="M26" s="432" t="s">
        <v>60</v>
      </c>
      <c r="N26" s="443">
        <v>44198</v>
      </c>
      <c r="O26" s="548">
        <v>45462</v>
      </c>
      <c r="P26" s="548">
        <v>44842</v>
      </c>
      <c r="Q26" s="16"/>
      <c r="R26" s="16" t="s">
        <v>68</v>
      </c>
      <c r="S26" s="16" t="s">
        <v>68</v>
      </c>
      <c r="T26" s="16" t="s">
        <v>68</v>
      </c>
      <c r="U26" s="16" t="s">
        <v>68</v>
      </c>
      <c r="V26" s="16"/>
      <c r="W26" s="16" t="s">
        <v>68</v>
      </c>
      <c r="X26" s="16"/>
      <c r="Y26" s="16" t="s">
        <v>68</v>
      </c>
      <c r="Z26" s="432" t="s">
        <v>68</v>
      </c>
      <c r="AA26" s="432"/>
      <c r="AB26" s="24"/>
      <c r="AC26" s="24"/>
      <c r="AD26" s="276" t="s">
        <v>68</v>
      </c>
      <c r="AF26" s="276" t="s">
        <v>68</v>
      </c>
      <c r="AG26" s="286">
        <v>45504</v>
      </c>
      <c r="AH26" s="507" t="s">
        <v>121</v>
      </c>
      <c r="AI26" s="677">
        <v>45187</v>
      </c>
      <c r="AJ26" s="58" t="s">
        <v>121</v>
      </c>
      <c r="AK26" s="58"/>
      <c r="AM26" s="613">
        <v>45559</v>
      </c>
    </row>
    <row r="27" spans="1:40" ht="22.8" x14ac:dyDescent="0.25">
      <c r="A27" s="28">
        <v>26</v>
      </c>
      <c r="B27" s="20">
        <v>37204</v>
      </c>
      <c r="C27" s="27" t="s">
        <v>54</v>
      </c>
      <c r="D27" s="3" t="s">
        <v>548</v>
      </c>
      <c r="E27" s="20" t="s">
        <v>522</v>
      </c>
      <c r="F27" s="29" t="s">
        <v>57</v>
      </c>
      <c r="G27" s="3" t="s">
        <v>11</v>
      </c>
      <c r="H27" s="19">
        <v>43639</v>
      </c>
      <c r="I27" s="3">
        <v>501</v>
      </c>
      <c r="J27" s="3" t="s">
        <v>58</v>
      </c>
      <c r="K27" s="429" t="s">
        <v>59</v>
      </c>
      <c r="L27" s="443">
        <v>44198</v>
      </c>
      <c r="M27" s="432" t="s">
        <v>60</v>
      </c>
      <c r="N27" s="443">
        <v>44198</v>
      </c>
      <c r="O27" s="548">
        <v>45462</v>
      </c>
      <c r="P27" s="548">
        <v>44842</v>
      </c>
      <c r="Q27" s="16"/>
      <c r="R27" s="16" t="s">
        <v>62</v>
      </c>
      <c r="S27" s="16" t="s">
        <v>62</v>
      </c>
      <c r="T27" s="16" t="s">
        <v>62</v>
      </c>
      <c r="U27" s="16" t="s">
        <v>62</v>
      </c>
      <c r="V27" s="16"/>
      <c r="W27" s="16" t="s">
        <v>62</v>
      </c>
      <c r="X27" s="16"/>
      <c r="Y27" s="16" t="s">
        <v>62</v>
      </c>
      <c r="Z27" s="432" t="s">
        <v>62</v>
      </c>
      <c r="AA27" s="432"/>
      <c r="AB27" s="1116" t="s">
        <v>549</v>
      </c>
      <c r="AC27" s="24"/>
      <c r="AD27" s="276" t="s">
        <v>62</v>
      </c>
      <c r="AF27" s="276" t="s">
        <v>62</v>
      </c>
      <c r="AG27" s="286">
        <v>45504</v>
      </c>
      <c r="AH27" s="507" t="s">
        <v>121</v>
      </c>
      <c r="AI27" s="677">
        <v>45187</v>
      </c>
      <c r="AJ27" s="58" t="s">
        <v>121</v>
      </c>
      <c r="AK27" s="58"/>
      <c r="AM27" s="613">
        <v>45559</v>
      </c>
    </row>
    <row r="28" spans="1:40" ht="22.8" x14ac:dyDescent="0.25">
      <c r="A28" s="28">
        <v>27</v>
      </c>
      <c r="B28" s="20">
        <v>37222</v>
      </c>
      <c r="C28" s="27" t="s">
        <v>64</v>
      </c>
      <c r="D28" s="3" t="s">
        <v>550</v>
      </c>
      <c r="E28" s="20" t="s">
        <v>522</v>
      </c>
      <c r="F28" s="29" t="s">
        <v>57</v>
      </c>
      <c r="G28" s="3" t="s">
        <v>11</v>
      </c>
      <c r="H28" s="19">
        <v>43674</v>
      </c>
      <c r="I28" s="3">
        <v>507</v>
      </c>
      <c r="J28" s="3" t="s">
        <v>58</v>
      </c>
      <c r="K28" s="429" t="s">
        <v>59</v>
      </c>
      <c r="L28" s="443">
        <v>44208</v>
      </c>
      <c r="M28" s="432" t="s">
        <v>60</v>
      </c>
      <c r="N28" s="443">
        <v>44180</v>
      </c>
      <c r="O28" s="33">
        <v>45394</v>
      </c>
      <c r="P28" s="33"/>
      <c r="Q28" s="16" t="s">
        <v>75</v>
      </c>
      <c r="R28" s="16" t="s">
        <v>68</v>
      </c>
      <c r="S28" s="16" t="s">
        <v>68</v>
      </c>
      <c r="T28" s="16" t="s">
        <v>68</v>
      </c>
      <c r="U28" s="16" t="s">
        <v>68</v>
      </c>
      <c r="V28" s="16"/>
      <c r="W28" s="16" t="s">
        <v>68</v>
      </c>
      <c r="X28" s="16"/>
      <c r="Y28" s="16" t="s">
        <v>68</v>
      </c>
      <c r="Z28" s="432" t="s">
        <v>68</v>
      </c>
      <c r="AA28" s="432"/>
      <c r="AB28" s="52">
        <v>44869</v>
      </c>
      <c r="AC28" s="24"/>
      <c r="AD28" s="276" t="s">
        <v>68</v>
      </c>
      <c r="AF28" s="276" t="s">
        <v>68</v>
      </c>
      <c r="AG28" s="286">
        <v>45489</v>
      </c>
      <c r="AH28" s="507" t="s">
        <v>121</v>
      </c>
      <c r="AI28" s="677">
        <v>45187</v>
      </c>
      <c r="AJ28" s="58" t="s">
        <v>121</v>
      </c>
      <c r="AK28" s="58"/>
      <c r="AM28" s="613">
        <v>45589</v>
      </c>
    </row>
    <row r="29" spans="1:40" ht="22.8" x14ac:dyDescent="0.25">
      <c r="A29" s="28">
        <v>28</v>
      </c>
      <c r="B29" s="20">
        <v>37222</v>
      </c>
      <c r="C29" s="27" t="s">
        <v>54</v>
      </c>
      <c r="D29" s="3" t="s">
        <v>551</v>
      </c>
      <c r="E29" s="20" t="s">
        <v>522</v>
      </c>
      <c r="F29" s="29" t="s">
        <v>57</v>
      </c>
      <c r="G29" s="3" t="s">
        <v>11</v>
      </c>
      <c r="H29" s="19">
        <v>43674</v>
      </c>
      <c r="I29" s="3">
        <v>506</v>
      </c>
      <c r="J29" s="3" t="s">
        <v>58</v>
      </c>
      <c r="K29" s="429" t="s">
        <v>59</v>
      </c>
      <c r="L29" s="443">
        <v>44208</v>
      </c>
      <c r="M29" s="432" t="s">
        <v>60</v>
      </c>
      <c r="N29" s="443">
        <v>44180</v>
      </c>
      <c r="O29" s="33">
        <v>45394</v>
      </c>
      <c r="P29" s="33"/>
      <c r="Q29" s="16" t="s">
        <v>75</v>
      </c>
      <c r="R29" s="16" t="s">
        <v>62</v>
      </c>
      <c r="S29" s="16" t="s">
        <v>62</v>
      </c>
      <c r="T29" s="16" t="s">
        <v>62</v>
      </c>
      <c r="U29" s="16" t="s">
        <v>62</v>
      </c>
      <c r="V29" s="16"/>
      <c r="W29" s="16" t="s">
        <v>62</v>
      </c>
      <c r="X29" s="16"/>
      <c r="Y29" s="16" t="s">
        <v>62</v>
      </c>
      <c r="Z29" s="432" t="s">
        <v>62</v>
      </c>
      <c r="AA29" s="432"/>
      <c r="AB29" s="126" t="s">
        <v>552</v>
      </c>
      <c r="AC29" s="24"/>
      <c r="AD29" s="276" t="s">
        <v>62</v>
      </c>
      <c r="AE29" s="58"/>
      <c r="AF29" s="79" t="s">
        <v>62</v>
      </c>
      <c r="AG29" s="286">
        <v>45489</v>
      </c>
      <c r="AH29" s="507" t="s">
        <v>121</v>
      </c>
      <c r="AI29" s="677">
        <v>45187</v>
      </c>
      <c r="AJ29" s="58" t="s">
        <v>121</v>
      </c>
      <c r="AK29" s="58"/>
      <c r="AM29" s="613">
        <v>45589</v>
      </c>
    </row>
    <row r="30" spans="1:40" ht="22.8" x14ac:dyDescent="0.25">
      <c r="A30" s="28">
        <v>29</v>
      </c>
      <c r="B30" s="20">
        <v>37297</v>
      </c>
      <c r="C30" s="27" t="s">
        <v>64</v>
      </c>
      <c r="D30" s="3" t="s">
        <v>553</v>
      </c>
      <c r="E30" s="20" t="s">
        <v>522</v>
      </c>
      <c r="F30" s="3" t="s">
        <v>57</v>
      </c>
      <c r="G30" s="3" t="s">
        <v>11</v>
      </c>
      <c r="H30" s="19">
        <v>43806</v>
      </c>
      <c r="I30" s="3">
        <v>542</v>
      </c>
      <c r="J30" s="3" t="s">
        <v>58</v>
      </c>
      <c r="K30" s="429" t="s">
        <v>59</v>
      </c>
      <c r="L30" s="443">
        <v>44223</v>
      </c>
      <c r="M30" s="432" t="s">
        <v>60</v>
      </c>
      <c r="N30" s="443">
        <v>44181</v>
      </c>
      <c r="O30" s="33">
        <v>45441</v>
      </c>
      <c r="P30" s="33"/>
      <c r="Q30" s="16" t="s">
        <v>75</v>
      </c>
      <c r="R30" s="16" t="s">
        <v>68</v>
      </c>
      <c r="S30" s="16" t="s">
        <v>68</v>
      </c>
      <c r="T30" s="16" t="s">
        <v>68</v>
      </c>
      <c r="U30" s="16" t="s">
        <v>68</v>
      </c>
      <c r="V30" s="16"/>
      <c r="W30" s="16" t="s">
        <v>68</v>
      </c>
      <c r="X30" s="16"/>
      <c r="Y30" s="16" t="s">
        <v>68</v>
      </c>
      <c r="Z30" s="432" t="s">
        <v>68</v>
      </c>
      <c r="AA30" s="432"/>
      <c r="AB30" s="123" t="s">
        <v>554</v>
      </c>
      <c r="AC30" s="24"/>
      <c r="AD30" s="276" t="s">
        <v>68</v>
      </c>
      <c r="AE30" s="58"/>
      <c r="AF30" s="79" t="s">
        <v>68</v>
      </c>
      <c r="AG30" s="286">
        <v>45491</v>
      </c>
      <c r="AH30" s="507" t="s">
        <v>121</v>
      </c>
      <c r="AI30" s="677">
        <v>45248</v>
      </c>
      <c r="AJ30" s="58" t="s">
        <v>121</v>
      </c>
      <c r="AK30" s="58"/>
    </row>
    <row r="31" spans="1:40" ht="22.8" x14ac:dyDescent="0.25">
      <c r="A31" s="28">
        <v>30</v>
      </c>
      <c r="B31" s="20">
        <v>37297</v>
      </c>
      <c r="C31" s="27" t="s">
        <v>54</v>
      </c>
      <c r="D31" s="3" t="s">
        <v>555</v>
      </c>
      <c r="E31" s="20" t="s">
        <v>522</v>
      </c>
      <c r="F31" s="3" t="s">
        <v>57</v>
      </c>
      <c r="G31" s="3" t="s">
        <v>11</v>
      </c>
      <c r="H31" s="19">
        <v>43806</v>
      </c>
      <c r="I31" s="3">
        <v>543</v>
      </c>
      <c r="J31" s="3" t="s">
        <v>58</v>
      </c>
      <c r="K31" s="429" t="s">
        <v>59</v>
      </c>
      <c r="L31" s="443">
        <v>44223</v>
      </c>
      <c r="M31" s="432" t="s">
        <v>60</v>
      </c>
      <c r="N31" s="443">
        <v>44181</v>
      </c>
      <c r="O31" s="33">
        <v>45441</v>
      </c>
      <c r="P31" s="33"/>
      <c r="Q31" s="16" t="s">
        <v>75</v>
      </c>
      <c r="R31" s="16" t="s">
        <v>62</v>
      </c>
      <c r="S31" s="16" t="s">
        <v>62</v>
      </c>
      <c r="T31" s="16" t="s">
        <v>62</v>
      </c>
      <c r="U31" s="16" t="s">
        <v>62</v>
      </c>
      <c r="V31" s="16"/>
      <c r="W31" s="16" t="s">
        <v>62</v>
      </c>
      <c r="X31" s="16"/>
      <c r="Y31" s="16" t="s">
        <v>62</v>
      </c>
      <c r="Z31" s="432" t="s">
        <v>62</v>
      </c>
      <c r="AA31" s="432"/>
      <c r="AB31" s="24"/>
      <c r="AC31" s="24"/>
      <c r="AD31" s="276" t="s">
        <v>62</v>
      </c>
      <c r="AE31" s="58"/>
      <c r="AF31" s="79" t="s">
        <v>62</v>
      </c>
      <c r="AG31" s="286">
        <v>45491</v>
      </c>
      <c r="AH31" s="507" t="s">
        <v>121</v>
      </c>
      <c r="AI31" s="677">
        <v>45248</v>
      </c>
      <c r="AJ31" s="58" t="s">
        <v>121</v>
      </c>
      <c r="AK31" s="58"/>
    </row>
    <row r="32" spans="1:40" ht="22.8" x14ac:dyDescent="0.25">
      <c r="A32" s="28">
        <v>31</v>
      </c>
      <c r="B32" s="20">
        <v>37306</v>
      </c>
      <c r="C32" s="27" t="s">
        <v>64</v>
      </c>
      <c r="D32" s="3" t="s">
        <v>556</v>
      </c>
      <c r="E32" s="20" t="s">
        <v>522</v>
      </c>
      <c r="F32" s="3" t="s">
        <v>57</v>
      </c>
      <c r="G32" s="3" t="s">
        <v>11</v>
      </c>
      <c r="H32" s="19">
        <v>43830</v>
      </c>
      <c r="I32" s="3">
        <v>709</v>
      </c>
      <c r="J32" s="3" t="s">
        <v>58</v>
      </c>
      <c r="K32" s="429" t="s">
        <v>59</v>
      </c>
      <c r="L32" s="443">
        <v>44216</v>
      </c>
      <c r="M32" s="432" t="s">
        <v>60</v>
      </c>
      <c r="N32" s="443">
        <v>44193</v>
      </c>
      <c r="O32" s="33">
        <v>45392</v>
      </c>
      <c r="P32" s="33"/>
      <c r="Q32" s="16" t="s">
        <v>75</v>
      </c>
      <c r="R32" s="16" t="s">
        <v>75</v>
      </c>
      <c r="S32" s="16"/>
      <c r="T32" s="16" t="s">
        <v>68</v>
      </c>
      <c r="U32" s="16" t="s">
        <v>68</v>
      </c>
      <c r="V32" s="16"/>
      <c r="W32" s="16" t="s">
        <v>68</v>
      </c>
      <c r="X32" s="16"/>
      <c r="Y32" s="16" t="s">
        <v>68</v>
      </c>
      <c r="Z32" s="432" t="s">
        <v>68</v>
      </c>
      <c r="AA32" s="432"/>
      <c r="AB32" s="24"/>
      <c r="AC32" s="24"/>
      <c r="AD32" s="16" t="s">
        <v>68</v>
      </c>
      <c r="AE32" s="24"/>
      <c r="AF32" s="276" t="s">
        <v>68</v>
      </c>
      <c r="AG32" s="286">
        <v>45492</v>
      </c>
      <c r="AH32" s="507" t="s">
        <v>121</v>
      </c>
      <c r="AI32" s="677">
        <v>45199</v>
      </c>
      <c r="AJ32" s="58" t="s">
        <v>121</v>
      </c>
      <c r="AK32" s="613">
        <v>45517</v>
      </c>
      <c r="AM32" s="613">
        <v>45533</v>
      </c>
      <c r="AN32" s="381"/>
    </row>
    <row r="33" spans="1:40" ht="22.8" x14ac:dyDescent="0.25">
      <c r="A33" s="28">
        <v>32</v>
      </c>
      <c r="B33" s="20">
        <v>37306</v>
      </c>
      <c r="C33" s="27" t="s">
        <v>54</v>
      </c>
      <c r="D33" s="3" t="s">
        <v>557</v>
      </c>
      <c r="E33" s="20" t="s">
        <v>522</v>
      </c>
      <c r="F33" s="3" t="s">
        <v>57</v>
      </c>
      <c r="G33" s="3" t="s">
        <v>11</v>
      </c>
      <c r="H33" s="19">
        <v>43830</v>
      </c>
      <c r="I33" s="3">
        <v>690</v>
      </c>
      <c r="J33" s="3" t="s">
        <v>58</v>
      </c>
      <c r="K33" s="429" t="s">
        <v>59</v>
      </c>
      <c r="L33" s="443">
        <v>44216</v>
      </c>
      <c r="M33" s="432" t="s">
        <v>60</v>
      </c>
      <c r="N33" s="443">
        <v>44193</v>
      </c>
      <c r="O33" s="33">
        <v>45392</v>
      </c>
      <c r="P33" s="33"/>
      <c r="Q33" s="16" t="s">
        <v>75</v>
      </c>
      <c r="R33" s="16" t="s">
        <v>75</v>
      </c>
      <c r="S33" s="16"/>
      <c r="T33" s="16" t="s">
        <v>62</v>
      </c>
      <c r="U33" s="16" t="s">
        <v>62</v>
      </c>
      <c r="V33" s="16"/>
      <c r="W33" s="16" t="s">
        <v>62</v>
      </c>
      <c r="X33" s="16"/>
      <c r="Y33" s="16" t="s">
        <v>62</v>
      </c>
      <c r="Z33" s="432" t="s">
        <v>62</v>
      </c>
      <c r="AA33" s="432"/>
      <c r="AB33" s="24"/>
      <c r="AC33" s="24"/>
      <c r="AD33" s="16" t="s">
        <v>62</v>
      </c>
      <c r="AE33" s="24"/>
      <c r="AF33" s="276" t="s">
        <v>62</v>
      </c>
      <c r="AG33" s="286">
        <v>45492</v>
      </c>
      <c r="AH33" s="507" t="s">
        <v>121</v>
      </c>
      <c r="AI33" s="677">
        <v>45199</v>
      </c>
      <c r="AJ33" s="58" t="s">
        <v>121</v>
      </c>
      <c r="AK33" s="613">
        <v>45517</v>
      </c>
      <c r="AM33" s="613">
        <v>45533</v>
      </c>
      <c r="AN33" s="381"/>
    </row>
    <row r="34" spans="1:40" ht="22.8" x14ac:dyDescent="0.25">
      <c r="A34" s="28">
        <v>33</v>
      </c>
      <c r="B34" s="20">
        <v>37308</v>
      </c>
      <c r="C34" s="27" t="s">
        <v>64</v>
      </c>
      <c r="D34" s="3" t="s">
        <v>558</v>
      </c>
      <c r="E34" s="20" t="s">
        <v>522</v>
      </c>
      <c r="F34" s="3" t="s">
        <v>57</v>
      </c>
      <c r="G34" s="3" t="s">
        <v>11</v>
      </c>
      <c r="H34" s="19">
        <v>43838</v>
      </c>
      <c r="I34" s="3">
        <v>679</v>
      </c>
      <c r="J34" s="3" t="s">
        <v>58</v>
      </c>
      <c r="K34" s="429" t="s">
        <v>59</v>
      </c>
      <c r="L34" s="443">
        <v>44232</v>
      </c>
      <c r="M34" s="432" t="s">
        <v>60</v>
      </c>
      <c r="N34" s="443">
        <v>44184</v>
      </c>
      <c r="P34" s="33"/>
      <c r="Q34" s="16" t="s">
        <v>75</v>
      </c>
      <c r="R34" s="16" t="s">
        <v>75</v>
      </c>
      <c r="S34" s="16" t="s">
        <v>68</v>
      </c>
      <c r="T34" s="16" t="s">
        <v>68</v>
      </c>
      <c r="U34" s="16" t="s">
        <v>68</v>
      </c>
      <c r="V34" s="16"/>
      <c r="W34" s="16" t="s">
        <v>68</v>
      </c>
      <c r="X34" s="16"/>
      <c r="Y34" s="16" t="s">
        <v>68</v>
      </c>
      <c r="Z34" s="432" t="s">
        <v>68</v>
      </c>
      <c r="AA34" s="432"/>
      <c r="AB34" s="24"/>
      <c r="AC34" s="24"/>
      <c r="AD34" s="276" t="s">
        <v>68</v>
      </c>
      <c r="AF34" s="276" t="s">
        <v>68</v>
      </c>
      <c r="AG34" s="286">
        <v>45510</v>
      </c>
      <c r="AH34" s="507" t="s">
        <v>121</v>
      </c>
      <c r="AI34" s="677">
        <v>45164</v>
      </c>
      <c r="AJ34" s="58" t="s">
        <v>121</v>
      </c>
      <c r="AK34" s="613">
        <v>45521</v>
      </c>
      <c r="AM34" s="613">
        <v>45527</v>
      </c>
    </row>
    <row r="35" spans="1:40" ht="22.8" x14ac:dyDescent="0.25">
      <c r="A35" s="28">
        <v>34</v>
      </c>
      <c r="B35" s="20">
        <v>37308</v>
      </c>
      <c r="C35" s="27" t="s">
        <v>54</v>
      </c>
      <c r="D35" s="3" t="s">
        <v>559</v>
      </c>
      <c r="E35" s="20" t="s">
        <v>522</v>
      </c>
      <c r="F35" s="3" t="s">
        <v>57</v>
      </c>
      <c r="G35" s="3" t="s">
        <v>11</v>
      </c>
      <c r="H35" s="19">
        <v>43838</v>
      </c>
      <c r="I35" s="3">
        <v>678</v>
      </c>
      <c r="J35" s="3" t="s">
        <v>58</v>
      </c>
      <c r="K35" s="429" t="s">
        <v>59</v>
      </c>
      <c r="L35" s="443">
        <v>44232</v>
      </c>
      <c r="M35" s="432" t="s">
        <v>60</v>
      </c>
      <c r="N35" s="443">
        <v>44184</v>
      </c>
      <c r="P35" s="33"/>
      <c r="Q35" s="16" t="s">
        <v>75</v>
      </c>
      <c r="R35" s="16" t="s">
        <v>75</v>
      </c>
      <c r="S35" s="16" t="s">
        <v>62</v>
      </c>
      <c r="T35" s="16" t="s">
        <v>62</v>
      </c>
      <c r="U35" s="16" t="s">
        <v>62</v>
      </c>
      <c r="V35" s="16"/>
      <c r="W35" s="16" t="s">
        <v>62</v>
      </c>
      <c r="X35" s="16"/>
      <c r="Y35" s="16" t="s">
        <v>62</v>
      </c>
      <c r="Z35" s="432" t="s">
        <v>62</v>
      </c>
      <c r="AA35" s="432"/>
      <c r="AB35" s="24"/>
      <c r="AC35" s="24"/>
      <c r="AD35" s="276" t="s">
        <v>62</v>
      </c>
      <c r="AF35" s="276" t="s">
        <v>62</v>
      </c>
      <c r="AG35" s="286">
        <v>45510</v>
      </c>
      <c r="AH35" s="507" t="s">
        <v>121</v>
      </c>
      <c r="AI35" s="677">
        <v>45164</v>
      </c>
      <c r="AJ35" s="58" t="s">
        <v>121</v>
      </c>
      <c r="AK35" s="613">
        <v>45521</v>
      </c>
      <c r="AM35" s="613">
        <v>45527</v>
      </c>
    </row>
    <row r="36" spans="1:40" ht="22.8" x14ac:dyDescent="0.25">
      <c r="A36" s="28">
        <v>35</v>
      </c>
      <c r="B36" s="20">
        <v>37310</v>
      </c>
      <c r="C36" s="27" t="s">
        <v>64</v>
      </c>
      <c r="D36" s="3" t="s">
        <v>560</v>
      </c>
      <c r="E36" s="20" t="s">
        <v>522</v>
      </c>
      <c r="F36" s="3" t="s">
        <v>57</v>
      </c>
      <c r="G36" s="3" t="s">
        <v>11</v>
      </c>
      <c r="H36" s="19">
        <v>43839</v>
      </c>
      <c r="I36" s="3">
        <v>683</v>
      </c>
      <c r="J36" s="3" t="s">
        <v>58</v>
      </c>
      <c r="K36" s="429" t="s">
        <v>59</v>
      </c>
      <c r="L36" s="443">
        <v>44229</v>
      </c>
      <c r="M36" s="432" t="s">
        <v>60</v>
      </c>
      <c r="N36" s="443">
        <v>44175</v>
      </c>
      <c r="O36" s="33">
        <v>45433</v>
      </c>
      <c r="P36" s="33"/>
      <c r="Q36" s="16" t="s">
        <v>75</v>
      </c>
      <c r="R36" s="16" t="s">
        <v>75</v>
      </c>
      <c r="S36" s="16" t="s">
        <v>68</v>
      </c>
      <c r="T36" s="16" t="s">
        <v>68</v>
      </c>
      <c r="U36" s="16" t="s">
        <v>68</v>
      </c>
      <c r="V36" s="16"/>
      <c r="W36" s="16"/>
      <c r="X36" s="16"/>
      <c r="Y36" s="16" t="s">
        <v>68</v>
      </c>
      <c r="Z36" s="432" t="s">
        <v>68</v>
      </c>
      <c r="AA36" s="432"/>
      <c r="AB36" s="24"/>
      <c r="AC36" s="24"/>
      <c r="AD36" s="276" t="s">
        <v>68</v>
      </c>
      <c r="AF36" s="276" t="s">
        <v>68</v>
      </c>
      <c r="AG36" s="286">
        <v>45491</v>
      </c>
      <c r="AH36" s="507" t="s">
        <v>121</v>
      </c>
      <c r="AI36" s="677">
        <v>45239</v>
      </c>
      <c r="AJ36" s="58" t="s">
        <v>121</v>
      </c>
      <c r="AK36" s="58"/>
    </row>
    <row r="37" spans="1:40" ht="22.8" x14ac:dyDescent="0.25">
      <c r="A37" s="28">
        <v>36</v>
      </c>
      <c r="B37" s="20">
        <v>37310</v>
      </c>
      <c r="C37" s="27" t="s">
        <v>54</v>
      </c>
      <c r="D37" s="3" t="s">
        <v>561</v>
      </c>
      <c r="E37" s="20" t="s">
        <v>522</v>
      </c>
      <c r="F37" s="3" t="s">
        <v>57</v>
      </c>
      <c r="G37" s="3" t="s">
        <v>11</v>
      </c>
      <c r="H37" s="19">
        <v>43839</v>
      </c>
      <c r="I37" s="3">
        <v>682</v>
      </c>
      <c r="J37" s="3" t="s">
        <v>58</v>
      </c>
      <c r="K37" s="429" t="s">
        <v>59</v>
      </c>
      <c r="L37" s="443">
        <v>44229</v>
      </c>
      <c r="M37" s="432" t="s">
        <v>60</v>
      </c>
      <c r="N37" s="443">
        <v>44175</v>
      </c>
      <c r="O37" s="33">
        <v>45433</v>
      </c>
      <c r="P37" s="33"/>
      <c r="Q37" s="16" t="s">
        <v>75</v>
      </c>
      <c r="R37" s="16" t="s">
        <v>75</v>
      </c>
      <c r="S37" s="16" t="s">
        <v>62</v>
      </c>
      <c r="T37" s="16" t="s">
        <v>62</v>
      </c>
      <c r="U37" s="16" t="s">
        <v>62</v>
      </c>
      <c r="V37" s="16"/>
      <c r="W37" s="16"/>
      <c r="X37" s="16"/>
      <c r="Y37" s="16" t="s">
        <v>62</v>
      </c>
      <c r="Z37" s="432" t="s">
        <v>62</v>
      </c>
      <c r="AA37" s="432"/>
      <c r="AB37" s="24"/>
      <c r="AC37" s="24"/>
      <c r="AD37" s="276" t="s">
        <v>62</v>
      </c>
      <c r="AF37" s="276" t="s">
        <v>62</v>
      </c>
      <c r="AG37" s="286">
        <v>45491</v>
      </c>
      <c r="AH37" s="507" t="s">
        <v>121</v>
      </c>
      <c r="AI37" s="677">
        <v>45239</v>
      </c>
      <c r="AJ37" s="58" t="s">
        <v>121</v>
      </c>
      <c r="AK37" s="58"/>
    </row>
    <row r="38" spans="1:40" ht="22.8" x14ac:dyDescent="0.25">
      <c r="A38" s="28">
        <v>37</v>
      </c>
      <c r="B38" s="20">
        <v>37312</v>
      </c>
      <c r="C38" s="27" t="s">
        <v>64</v>
      </c>
      <c r="D38" s="3" t="s">
        <v>562</v>
      </c>
      <c r="E38" s="20" t="s">
        <v>522</v>
      </c>
      <c r="F38" s="3" t="s">
        <v>57</v>
      </c>
      <c r="G38" s="3" t="s">
        <v>11</v>
      </c>
      <c r="H38" s="19">
        <v>43844</v>
      </c>
      <c r="I38" s="3">
        <v>680</v>
      </c>
      <c r="J38" s="3" t="s">
        <v>58</v>
      </c>
      <c r="K38" s="429" t="s">
        <v>59</v>
      </c>
      <c r="L38" s="443">
        <v>44231</v>
      </c>
      <c r="M38" s="432" t="s">
        <v>60</v>
      </c>
      <c r="N38" s="443">
        <v>44182</v>
      </c>
      <c r="O38" s="548">
        <v>45427</v>
      </c>
      <c r="P38" s="33"/>
      <c r="Q38" s="16" t="s">
        <v>75</v>
      </c>
      <c r="R38" s="16" t="s">
        <v>75</v>
      </c>
      <c r="S38" s="16"/>
      <c r="T38" s="16" t="s">
        <v>68</v>
      </c>
      <c r="U38" s="16" t="s">
        <v>68</v>
      </c>
      <c r="V38" s="16"/>
      <c r="W38" s="16"/>
      <c r="X38" s="16"/>
      <c r="Y38" s="16" t="s">
        <v>68</v>
      </c>
      <c r="Z38" s="432" t="s">
        <v>68</v>
      </c>
      <c r="AA38" s="432"/>
      <c r="AB38" s="24"/>
      <c r="AC38" s="24"/>
      <c r="AD38" s="24"/>
      <c r="AE38" s="24"/>
      <c r="AF38" s="276" t="s">
        <v>68</v>
      </c>
      <c r="AG38" s="286">
        <v>45531</v>
      </c>
      <c r="AH38" s="507" t="s">
        <v>121</v>
      </c>
      <c r="AI38" s="677">
        <v>45195</v>
      </c>
      <c r="AJ38" s="58" t="s">
        <v>121</v>
      </c>
      <c r="AK38" s="613">
        <v>45546</v>
      </c>
      <c r="AM38" s="613">
        <v>45533</v>
      </c>
    </row>
    <row r="39" spans="1:40" ht="22.8" x14ac:dyDescent="0.25">
      <c r="A39" s="28">
        <v>38</v>
      </c>
      <c r="B39" s="20">
        <v>37312</v>
      </c>
      <c r="C39" s="27" t="s">
        <v>54</v>
      </c>
      <c r="D39" s="3" t="s">
        <v>563</v>
      </c>
      <c r="E39" s="20" t="s">
        <v>522</v>
      </c>
      <c r="F39" s="3" t="s">
        <v>57</v>
      </c>
      <c r="G39" s="3" t="s">
        <v>11</v>
      </c>
      <c r="H39" s="19">
        <v>43844</v>
      </c>
      <c r="I39" s="3">
        <v>681</v>
      </c>
      <c r="J39" s="3" t="s">
        <v>58</v>
      </c>
      <c r="K39" s="429" t="s">
        <v>59</v>
      </c>
      <c r="L39" s="443">
        <v>44231</v>
      </c>
      <c r="M39" s="432" t="s">
        <v>60</v>
      </c>
      <c r="N39" s="443">
        <v>44182</v>
      </c>
      <c r="O39" s="548">
        <v>45427</v>
      </c>
      <c r="P39" s="33"/>
      <c r="Q39" s="16" t="s">
        <v>75</v>
      </c>
      <c r="R39" s="16" t="s">
        <v>75</v>
      </c>
      <c r="S39" s="16"/>
      <c r="T39" s="16" t="s">
        <v>62</v>
      </c>
      <c r="U39" s="16" t="s">
        <v>62</v>
      </c>
      <c r="V39" s="16"/>
      <c r="W39" s="16"/>
      <c r="X39" s="16"/>
      <c r="Y39" s="16" t="s">
        <v>62</v>
      </c>
      <c r="Z39" s="432" t="s">
        <v>62</v>
      </c>
      <c r="AA39" s="432"/>
      <c r="AB39" s="24"/>
      <c r="AC39" s="24"/>
      <c r="AD39" s="24"/>
      <c r="AE39" s="24"/>
      <c r="AF39" s="276" t="s">
        <v>62</v>
      </c>
      <c r="AG39" s="286">
        <v>45531</v>
      </c>
      <c r="AH39" s="507" t="s">
        <v>121</v>
      </c>
      <c r="AI39" s="677">
        <v>45195</v>
      </c>
      <c r="AJ39" s="58" t="s">
        <v>121</v>
      </c>
      <c r="AK39" s="613">
        <v>45546</v>
      </c>
      <c r="AM39" s="613">
        <v>45533</v>
      </c>
    </row>
    <row r="40" spans="1:40" ht="22.8" x14ac:dyDescent="0.25">
      <c r="A40" s="28">
        <v>39</v>
      </c>
      <c r="B40" s="20">
        <v>37315</v>
      </c>
      <c r="C40" s="27" t="s">
        <v>64</v>
      </c>
      <c r="D40" s="3" t="s">
        <v>564</v>
      </c>
      <c r="E40" s="20" t="s">
        <v>522</v>
      </c>
      <c r="F40" s="3" t="s">
        <v>57</v>
      </c>
      <c r="G40" s="3" t="s">
        <v>11</v>
      </c>
      <c r="H40" s="19">
        <v>43846</v>
      </c>
      <c r="I40" s="3">
        <v>724</v>
      </c>
      <c r="J40" s="3" t="s">
        <v>58</v>
      </c>
      <c r="K40" s="429" t="s">
        <v>59</v>
      </c>
      <c r="L40" s="443">
        <v>44191</v>
      </c>
      <c r="M40" s="432" t="s">
        <v>60</v>
      </c>
      <c r="N40" s="443">
        <v>44176</v>
      </c>
      <c r="O40" s="548">
        <v>45399</v>
      </c>
      <c r="P40" s="33"/>
      <c r="Q40" s="16" t="s">
        <v>75</v>
      </c>
      <c r="R40" s="16" t="s">
        <v>75</v>
      </c>
      <c r="S40" s="16" t="s">
        <v>68</v>
      </c>
      <c r="T40" s="16" t="s">
        <v>68</v>
      </c>
      <c r="U40" s="16" t="s">
        <v>68</v>
      </c>
      <c r="V40" s="16"/>
      <c r="W40" s="16" t="s">
        <v>68</v>
      </c>
      <c r="X40" s="16"/>
      <c r="Y40" s="16" t="s">
        <v>68</v>
      </c>
      <c r="Z40" s="432" t="s">
        <v>68</v>
      </c>
      <c r="AA40" s="432"/>
      <c r="AB40" s="24"/>
      <c r="AC40" s="24"/>
      <c r="AD40" s="276" t="s">
        <v>68</v>
      </c>
      <c r="AE40" s="3"/>
      <c r="AF40" s="78" t="s">
        <v>68</v>
      </c>
      <c r="AG40" s="286">
        <v>45499</v>
      </c>
      <c r="AH40" s="507" t="s">
        <v>121</v>
      </c>
      <c r="AI40" s="677">
        <v>45208</v>
      </c>
      <c r="AJ40" s="58" t="s">
        <v>121</v>
      </c>
      <c r="AK40" s="613">
        <v>45554</v>
      </c>
      <c r="AM40" s="613">
        <v>45554</v>
      </c>
      <c r="AN40" s="381"/>
    </row>
    <row r="41" spans="1:40" ht="22.8" x14ac:dyDescent="0.25">
      <c r="A41" s="28">
        <v>40</v>
      </c>
      <c r="B41" s="20">
        <v>37315</v>
      </c>
      <c r="C41" s="27" t="s">
        <v>54</v>
      </c>
      <c r="D41" s="3" t="s">
        <v>565</v>
      </c>
      <c r="E41" s="20" t="s">
        <v>522</v>
      </c>
      <c r="F41" s="3" t="s">
        <v>57</v>
      </c>
      <c r="G41" s="3" t="s">
        <v>11</v>
      </c>
      <c r="H41" s="19">
        <v>43846</v>
      </c>
      <c r="I41" s="3">
        <v>725</v>
      </c>
      <c r="J41" s="3" t="s">
        <v>58</v>
      </c>
      <c r="K41" s="429" t="s">
        <v>59</v>
      </c>
      <c r="L41" s="443">
        <v>44191</v>
      </c>
      <c r="M41" s="432" t="s">
        <v>60</v>
      </c>
      <c r="N41" s="443">
        <v>44176</v>
      </c>
      <c r="O41" s="548">
        <v>45399</v>
      </c>
      <c r="P41" s="33"/>
      <c r="Q41" s="16" t="s">
        <v>75</v>
      </c>
      <c r="R41" s="16" t="s">
        <v>75</v>
      </c>
      <c r="S41" s="16" t="s">
        <v>62</v>
      </c>
      <c r="T41" s="16" t="s">
        <v>62</v>
      </c>
      <c r="U41" s="16" t="s">
        <v>62</v>
      </c>
      <c r="V41" s="16"/>
      <c r="W41" s="16" t="s">
        <v>62</v>
      </c>
      <c r="X41" s="16"/>
      <c r="Y41" s="16" t="s">
        <v>62</v>
      </c>
      <c r="Z41" s="432" t="s">
        <v>62</v>
      </c>
      <c r="AA41" s="432"/>
      <c r="AB41" s="24"/>
      <c r="AC41" s="24"/>
      <c r="AD41" s="276" t="s">
        <v>62</v>
      </c>
      <c r="AE41" s="3"/>
      <c r="AF41" s="78" t="s">
        <v>62</v>
      </c>
      <c r="AG41" s="286">
        <v>45499</v>
      </c>
      <c r="AH41" s="507" t="s">
        <v>121</v>
      </c>
      <c r="AI41" s="677">
        <v>45208</v>
      </c>
      <c r="AJ41" s="58" t="s">
        <v>121</v>
      </c>
      <c r="AK41" s="613">
        <v>45554</v>
      </c>
      <c r="AM41" s="613">
        <v>45554</v>
      </c>
      <c r="AN41" s="381"/>
    </row>
    <row r="42" spans="1:40" ht="22.8" x14ac:dyDescent="0.25">
      <c r="A42" s="28">
        <v>41</v>
      </c>
      <c r="B42" s="20">
        <v>37317</v>
      </c>
      <c r="C42" s="27" t="s">
        <v>64</v>
      </c>
      <c r="D42" s="3" t="s">
        <v>566</v>
      </c>
      <c r="E42" s="20" t="s">
        <v>522</v>
      </c>
      <c r="F42" s="3" t="s">
        <v>57</v>
      </c>
      <c r="G42" s="3" t="s">
        <v>11</v>
      </c>
      <c r="H42" s="19">
        <v>43853</v>
      </c>
      <c r="I42" s="3">
        <v>723</v>
      </c>
      <c r="J42" s="3" t="s">
        <v>58</v>
      </c>
      <c r="K42" s="429" t="s">
        <v>59</v>
      </c>
      <c r="L42" s="443">
        <v>44221</v>
      </c>
      <c r="M42" s="432" t="s">
        <v>60</v>
      </c>
      <c r="N42" s="443">
        <v>44221</v>
      </c>
      <c r="O42" s="548">
        <v>45401</v>
      </c>
      <c r="P42" s="33"/>
      <c r="Q42" s="16" t="s">
        <v>75</v>
      </c>
      <c r="R42" s="16" t="s">
        <v>75</v>
      </c>
      <c r="S42" s="16"/>
      <c r="T42" s="16" t="s">
        <v>68</v>
      </c>
      <c r="U42" s="16" t="s">
        <v>68</v>
      </c>
      <c r="V42" s="16"/>
      <c r="W42" s="16" t="s">
        <v>68</v>
      </c>
      <c r="X42" s="16"/>
      <c r="Y42" s="16" t="s">
        <v>68</v>
      </c>
      <c r="Z42" s="432" t="s">
        <v>68</v>
      </c>
      <c r="AA42" s="432"/>
      <c r="AB42" s="24"/>
      <c r="AC42" s="24"/>
      <c r="AD42" s="276" t="s">
        <v>68</v>
      </c>
      <c r="AF42" s="276" t="s">
        <v>68</v>
      </c>
      <c r="AG42" s="286">
        <v>45497</v>
      </c>
      <c r="AH42" s="507" t="s">
        <v>121</v>
      </c>
      <c r="AI42" s="677">
        <v>45190</v>
      </c>
      <c r="AJ42" s="58" t="s">
        <v>121</v>
      </c>
      <c r="AK42" s="613">
        <v>45558</v>
      </c>
      <c r="AM42" s="613">
        <v>45559</v>
      </c>
      <c r="AN42" s="381"/>
    </row>
    <row r="43" spans="1:40" ht="22.8" x14ac:dyDescent="0.25">
      <c r="A43" s="28">
        <v>42</v>
      </c>
      <c r="B43" s="20">
        <v>37317</v>
      </c>
      <c r="C43" s="27" t="s">
        <v>54</v>
      </c>
      <c r="D43" s="3" t="s">
        <v>567</v>
      </c>
      <c r="E43" s="20" t="s">
        <v>522</v>
      </c>
      <c r="F43" s="3" t="s">
        <v>57</v>
      </c>
      <c r="G43" s="3" t="s">
        <v>11</v>
      </c>
      <c r="H43" s="19">
        <v>43853</v>
      </c>
      <c r="I43" s="3">
        <v>728</v>
      </c>
      <c r="J43" s="3" t="s">
        <v>58</v>
      </c>
      <c r="K43" s="429" t="s">
        <v>59</v>
      </c>
      <c r="L43" s="443">
        <v>44221</v>
      </c>
      <c r="M43" s="432" t="s">
        <v>60</v>
      </c>
      <c r="N43" s="443">
        <v>44221</v>
      </c>
      <c r="O43" s="548">
        <v>45401</v>
      </c>
      <c r="P43" s="33"/>
      <c r="Q43" s="16" t="s">
        <v>75</v>
      </c>
      <c r="R43" s="16" t="s">
        <v>75</v>
      </c>
      <c r="S43" s="16"/>
      <c r="T43" s="16" t="s">
        <v>62</v>
      </c>
      <c r="U43" s="16" t="s">
        <v>62</v>
      </c>
      <c r="V43" s="16"/>
      <c r="W43" s="16" t="s">
        <v>62</v>
      </c>
      <c r="X43" s="16"/>
      <c r="Y43" s="16" t="s">
        <v>62</v>
      </c>
      <c r="Z43" s="432" t="s">
        <v>62</v>
      </c>
      <c r="AA43" s="432"/>
      <c r="AB43" s="24"/>
      <c r="AC43" s="24"/>
      <c r="AD43" s="276" t="s">
        <v>62</v>
      </c>
      <c r="AF43" s="276" t="s">
        <v>62</v>
      </c>
      <c r="AG43" s="286">
        <v>45497</v>
      </c>
      <c r="AH43" s="507" t="s">
        <v>121</v>
      </c>
      <c r="AI43" s="677">
        <v>45190</v>
      </c>
      <c r="AJ43" s="58" t="s">
        <v>121</v>
      </c>
      <c r="AK43" s="613">
        <v>45558</v>
      </c>
      <c r="AM43" s="613">
        <v>45559</v>
      </c>
    </row>
    <row r="44" spans="1:40" ht="22.8" x14ac:dyDescent="0.25">
      <c r="A44" s="28">
        <v>43</v>
      </c>
      <c r="B44" s="20">
        <v>37319</v>
      </c>
      <c r="C44" s="27" t="s">
        <v>64</v>
      </c>
      <c r="D44" s="3" t="s">
        <v>568</v>
      </c>
      <c r="E44" s="20" t="s">
        <v>522</v>
      </c>
      <c r="F44" s="3" t="s">
        <v>57</v>
      </c>
      <c r="G44" s="3" t="s">
        <v>11</v>
      </c>
      <c r="H44" s="19">
        <v>43857</v>
      </c>
      <c r="I44" s="3">
        <v>695</v>
      </c>
      <c r="J44" s="3" t="s">
        <v>58</v>
      </c>
      <c r="K44" s="429" t="s">
        <v>59</v>
      </c>
      <c r="L44" s="443">
        <v>44224</v>
      </c>
      <c r="M44" s="432" t="s">
        <v>60</v>
      </c>
      <c r="N44" s="443">
        <v>44224</v>
      </c>
      <c r="O44" s="548">
        <v>45392</v>
      </c>
      <c r="P44" s="33"/>
      <c r="Q44" s="16" t="s">
        <v>75</v>
      </c>
      <c r="R44" s="16" t="s">
        <v>75</v>
      </c>
      <c r="S44" s="16" t="s">
        <v>68</v>
      </c>
      <c r="T44" s="16" t="s">
        <v>68</v>
      </c>
      <c r="U44" s="16" t="s">
        <v>68</v>
      </c>
      <c r="V44" s="16"/>
      <c r="W44" s="16" t="s">
        <v>68</v>
      </c>
      <c r="X44" s="16"/>
      <c r="Y44" s="16" t="s">
        <v>68</v>
      </c>
      <c r="Z44" s="432" t="s">
        <v>68</v>
      </c>
      <c r="AA44" s="432"/>
      <c r="AB44" s="126" t="s">
        <v>569</v>
      </c>
      <c r="AC44" s="24"/>
      <c r="AD44" s="276" t="s">
        <v>68</v>
      </c>
      <c r="AF44" s="276" t="s">
        <v>68</v>
      </c>
      <c r="AG44" s="286">
        <v>45488</v>
      </c>
      <c r="AH44" s="507" t="s">
        <v>121</v>
      </c>
      <c r="AI44" s="677">
        <v>45203</v>
      </c>
      <c r="AJ44" s="58" t="s">
        <v>121</v>
      </c>
      <c r="AK44" s="613">
        <v>45579</v>
      </c>
      <c r="AM44" s="613">
        <v>45580</v>
      </c>
      <c r="AN44" s="381"/>
    </row>
    <row r="45" spans="1:40" ht="22.8" x14ac:dyDescent="0.25">
      <c r="A45" s="28">
        <v>44</v>
      </c>
      <c r="B45" s="20">
        <v>37319</v>
      </c>
      <c r="C45" s="27" t="s">
        <v>54</v>
      </c>
      <c r="D45" s="3" t="s">
        <v>570</v>
      </c>
      <c r="E45" s="20" t="s">
        <v>522</v>
      </c>
      <c r="F45" s="3" t="s">
        <v>57</v>
      </c>
      <c r="G45" s="3" t="s">
        <v>11</v>
      </c>
      <c r="H45" s="19">
        <v>43857</v>
      </c>
      <c r="I45" s="3">
        <v>691</v>
      </c>
      <c r="J45" s="3" t="s">
        <v>58</v>
      </c>
      <c r="K45" s="429" t="s">
        <v>59</v>
      </c>
      <c r="L45" s="443">
        <v>44224</v>
      </c>
      <c r="M45" s="432" t="s">
        <v>60</v>
      </c>
      <c r="N45" s="443">
        <v>44224</v>
      </c>
      <c r="O45" s="548">
        <v>45392</v>
      </c>
      <c r="P45" s="33"/>
      <c r="Q45" s="16" t="s">
        <v>75</v>
      </c>
      <c r="R45" s="16" t="s">
        <v>75</v>
      </c>
      <c r="S45" s="16" t="s">
        <v>62</v>
      </c>
      <c r="T45" s="16" t="s">
        <v>62</v>
      </c>
      <c r="U45" s="16" t="s">
        <v>62</v>
      </c>
      <c r="V45" s="16"/>
      <c r="W45" s="16" t="s">
        <v>62</v>
      </c>
      <c r="X45" s="16"/>
      <c r="Y45" s="16" t="s">
        <v>62</v>
      </c>
      <c r="Z45" s="432" t="s">
        <v>62</v>
      </c>
      <c r="AA45" s="432"/>
      <c r="AB45" s="24"/>
      <c r="AC45" s="24"/>
      <c r="AD45" s="276" t="s">
        <v>62</v>
      </c>
      <c r="AF45" s="276" t="s">
        <v>62</v>
      </c>
      <c r="AG45" s="286">
        <v>45488</v>
      </c>
      <c r="AH45" s="507" t="s">
        <v>121</v>
      </c>
      <c r="AI45" s="677">
        <v>45203</v>
      </c>
      <c r="AJ45" s="58" t="s">
        <v>121</v>
      </c>
      <c r="AK45" s="613">
        <v>45579</v>
      </c>
      <c r="AM45" s="613">
        <v>45580</v>
      </c>
    </row>
    <row r="46" spans="1:40" ht="22.8" x14ac:dyDescent="0.25">
      <c r="A46" s="28">
        <v>45</v>
      </c>
      <c r="B46" s="20">
        <v>37371</v>
      </c>
      <c r="C46" s="27" t="s">
        <v>64</v>
      </c>
      <c r="D46" s="3" t="s">
        <v>571</v>
      </c>
      <c r="E46" s="20" t="s">
        <v>522</v>
      </c>
      <c r="F46" s="3" t="s">
        <v>57</v>
      </c>
      <c r="G46" s="3" t="s">
        <v>11</v>
      </c>
      <c r="H46" s="19">
        <v>43995</v>
      </c>
      <c r="I46" s="3">
        <v>746</v>
      </c>
      <c r="J46" s="3" t="s">
        <v>58</v>
      </c>
      <c r="K46" s="429" t="s">
        <v>59</v>
      </c>
      <c r="L46" s="443">
        <v>44231</v>
      </c>
      <c r="M46" s="432" t="s">
        <v>60</v>
      </c>
      <c r="N46" s="443">
        <v>44175</v>
      </c>
      <c r="O46" s="547">
        <v>45432</v>
      </c>
      <c r="P46" s="33"/>
      <c r="Q46" s="16" t="s">
        <v>75</v>
      </c>
      <c r="R46" s="16" t="s">
        <v>75</v>
      </c>
      <c r="S46" s="16" t="s">
        <v>68</v>
      </c>
      <c r="T46" s="16" t="s">
        <v>68</v>
      </c>
      <c r="U46" s="16" t="s">
        <v>68</v>
      </c>
      <c r="V46" s="16"/>
      <c r="W46" s="16" t="s">
        <v>68</v>
      </c>
      <c r="X46" s="16" t="s">
        <v>68</v>
      </c>
      <c r="Y46" s="16" t="s">
        <v>68</v>
      </c>
      <c r="Z46" s="432" t="s">
        <v>68</v>
      </c>
      <c r="AA46" s="432"/>
      <c r="AB46" s="24"/>
      <c r="AC46" s="24"/>
      <c r="AD46" s="276" t="s">
        <v>68</v>
      </c>
      <c r="AF46" s="276" t="s">
        <v>68</v>
      </c>
      <c r="AG46" s="286">
        <v>45594</v>
      </c>
      <c r="AH46" s="507" t="s">
        <v>121</v>
      </c>
      <c r="AI46" s="677">
        <v>45245</v>
      </c>
      <c r="AJ46" s="58" t="s">
        <v>121</v>
      </c>
      <c r="AK46" s="307">
        <v>45686</v>
      </c>
      <c r="AM46" s="613">
        <v>45527</v>
      </c>
    </row>
    <row r="47" spans="1:40" ht="22.8" x14ac:dyDescent="0.25">
      <c r="A47" s="28">
        <v>46</v>
      </c>
      <c r="B47" s="20">
        <v>37371</v>
      </c>
      <c r="C47" s="27" t="s">
        <v>54</v>
      </c>
      <c r="D47" s="3" t="s">
        <v>572</v>
      </c>
      <c r="E47" s="20" t="s">
        <v>522</v>
      </c>
      <c r="F47" s="3" t="s">
        <v>57</v>
      </c>
      <c r="G47" s="3" t="s">
        <v>11</v>
      </c>
      <c r="H47" s="19">
        <v>43995</v>
      </c>
      <c r="I47" s="3">
        <v>733</v>
      </c>
      <c r="J47" s="3" t="s">
        <v>58</v>
      </c>
      <c r="K47" s="429" t="s">
        <v>59</v>
      </c>
      <c r="L47" s="443">
        <v>44231</v>
      </c>
      <c r="M47" s="432" t="s">
        <v>60</v>
      </c>
      <c r="N47" s="443">
        <v>44175</v>
      </c>
      <c r="O47" s="547">
        <v>45432</v>
      </c>
      <c r="P47" s="33"/>
      <c r="Q47" s="16" t="s">
        <v>75</v>
      </c>
      <c r="R47" s="16" t="s">
        <v>75</v>
      </c>
      <c r="S47" s="16" t="s">
        <v>62</v>
      </c>
      <c r="T47" s="16" t="s">
        <v>62</v>
      </c>
      <c r="U47" s="16" t="s">
        <v>62</v>
      </c>
      <c r="V47" s="16"/>
      <c r="W47" s="16" t="s">
        <v>62</v>
      </c>
      <c r="X47" s="16" t="s">
        <v>62</v>
      </c>
      <c r="Y47" s="16" t="s">
        <v>62</v>
      </c>
      <c r="Z47" s="432" t="s">
        <v>62</v>
      </c>
      <c r="AA47" s="432"/>
      <c r="AB47" s="24"/>
      <c r="AC47" s="24"/>
      <c r="AD47" s="276" t="s">
        <v>62</v>
      </c>
      <c r="AF47" s="276" t="s">
        <v>62</v>
      </c>
      <c r="AG47" s="286">
        <v>45594</v>
      </c>
      <c r="AH47" s="507" t="s">
        <v>121</v>
      </c>
      <c r="AI47" s="677">
        <v>45245</v>
      </c>
      <c r="AJ47" s="58" t="s">
        <v>121</v>
      </c>
      <c r="AK47" s="307">
        <v>45686</v>
      </c>
      <c r="AM47" s="613">
        <v>45527</v>
      </c>
    </row>
    <row r="48" spans="1:40" ht="22.8" x14ac:dyDescent="0.25">
      <c r="A48" s="28">
        <v>47</v>
      </c>
      <c r="B48" s="20">
        <v>37373</v>
      </c>
      <c r="C48" s="27" t="s">
        <v>64</v>
      </c>
      <c r="D48" s="3" t="s">
        <v>573</v>
      </c>
      <c r="E48" s="20" t="s">
        <v>522</v>
      </c>
      <c r="F48" s="3" t="s">
        <v>57</v>
      </c>
      <c r="G48" s="3" t="s">
        <v>11</v>
      </c>
      <c r="H48" s="19">
        <v>43998</v>
      </c>
      <c r="I48" s="3">
        <v>749</v>
      </c>
      <c r="J48" s="3" t="s">
        <v>58</v>
      </c>
      <c r="K48" s="429" t="s">
        <v>59</v>
      </c>
      <c r="L48" s="443">
        <v>44206</v>
      </c>
      <c r="M48" s="432" t="s">
        <v>60</v>
      </c>
      <c r="N48" s="443">
        <v>44176</v>
      </c>
      <c r="O48" s="33">
        <v>45394</v>
      </c>
      <c r="P48" s="33"/>
      <c r="Q48" s="16" t="s">
        <v>75</v>
      </c>
      <c r="R48" s="16" t="s">
        <v>75</v>
      </c>
      <c r="S48" s="16" t="s">
        <v>68</v>
      </c>
      <c r="T48" s="16" t="s">
        <v>68</v>
      </c>
      <c r="U48" s="16" t="s">
        <v>68</v>
      </c>
      <c r="V48" s="16"/>
      <c r="W48" s="16" t="s">
        <v>68</v>
      </c>
      <c r="X48" s="16"/>
      <c r="Y48" s="16" t="s">
        <v>68</v>
      </c>
      <c r="Z48" s="432" t="s">
        <v>68</v>
      </c>
      <c r="AA48" s="432"/>
      <c r="AB48" s="24"/>
      <c r="AC48" s="24"/>
      <c r="AD48" s="276" t="s">
        <v>68</v>
      </c>
      <c r="AF48" s="276" t="s">
        <v>68</v>
      </c>
      <c r="AG48" s="286">
        <v>45493</v>
      </c>
      <c r="AH48" s="507" t="s">
        <v>121</v>
      </c>
      <c r="AI48" s="679">
        <v>45197</v>
      </c>
      <c r="AJ48" s="58" t="s">
        <v>121</v>
      </c>
      <c r="AK48" s="613">
        <v>45762</v>
      </c>
      <c r="AM48" s="613">
        <v>45566</v>
      </c>
      <c r="AN48" s="381"/>
    </row>
    <row r="49" spans="1:40" ht="22.8" x14ac:dyDescent="0.25">
      <c r="A49" s="28">
        <v>48</v>
      </c>
      <c r="B49" s="20">
        <v>37373</v>
      </c>
      <c r="C49" s="27" t="s">
        <v>54</v>
      </c>
      <c r="D49" s="3" t="s">
        <v>574</v>
      </c>
      <c r="E49" s="20" t="s">
        <v>522</v>
      </c>
      <c r="F49" s="3" t="s">
        <v>57</v>
      </c>
      <c r="G49" s="3" t="s">
        <v>11</v>
      </c>
      <c r="H49" s="19">
        <v>43998</v>
      </c>
      <c r="I49" s="3">
        <v>731</v>
      </c>
      <c r="J49" s="3" t="s">
        <v>58</v>
      </c>
      <c r="K49" s="429" t="s">
        <v>59</v>
      </c>
      <c r="L49" s="443">
        <v>44206</v>
      </c>
      <c r="M49" s="432" t="s">
        <v>60</v>
      </c>
      <c r="N49" s="443">
        <v>44176</v>
      </c>
      <c r="O49" s="33">
        <v>45394</v>
      </c>
      <c r="P49" s="33"/>
      <c r="Q49" s="16" t="s">
        <v>75</v>
      </c>
      <c r="R49" s="16" t="s">
        <v>75</v>
      </c>
      <c r="S49" s="16" t="s">
        <v>62</v>
      </c>
      <c r="T49" s="16" t="s">
        <v>62</v>
      </c>
      <c r="U49" s="16" t="s">
        <v>62</v>
      </c>
      <c r="V49" s="16"/>
      <c r="W49" s="16" t="s">
        <v>62</v>
      </c>
      <c r="X49" s="16"/>
      <c r="Y49" s="16" t="s">
        <v>62</v>
      </c>
      <c r="Z49" s="432" t="s">
        <v>62</v>
      </c>
      <c r="AA49" s="432"/>
      <c r="AB49" s="24"/>
      <c r="AC49" s="24"/>
      <c r="AD49" s="276" t="s">
        <v>62</v>
      </c>
      <c r="AF49" s="276" t="s">
        <v>62</v>
      </c>
      <c r="AG49" s="286">
        <v>45493</v>
      </c>
      <c r="AH49" s="507" t="s">
        <v>121</v>
      </c>
      <c r="AI49" s="162">
        <v>45197</v>
      </c>
      <c r="AJ49" s="58" t="s">
        <v>121</v>
      </c>
      <c r="AK49" s="613">
        <v>45762</v>
      </c>
      <c r="AM49" s="613">
        <v>45566</v>
      </c>
      <c r="AN49" s="381"/>
    </row>
    <row r="50" spans="1:40" ht="22.8" x14ac:dyDescent="0.25">
      <c r="A50" s="28">
        <v>49</v>
      </c>
      <c r="B50" s="20">
        <v>37436</v>
      </c>
      <c r="C50" s="27" t="s">
        <v>64</v>
      </c>
      <c r="D50" s="3" t="s">
        <v>575</v>
      </c>
      <c r="E50" s="20" t="s">
        <v>522</v>
      </c>
      <c r="F50" s="3" t="s">
        <v>57</v>
      </c>
      <c r="G50" s="3" t="s">
        <v>11</v>
      </c>
      <c r="H50" s="19">
        <v>44071</v>
      </c>
      <c r="I50" s="3">
        <v>828</v>
      </c>
      <c r="J50" s="3" t="s">
        <v>58</v>
      </c>
      <c r="K50" s="429" t="s">
        <v>59</v>
      </c>
      <c r="L50" s="443">
        <v>44203</v>
      </c>
      <c r="M50" s="432" t="s">
        <v>60</v>
      </c>
      <c r="N50" s="443">
        <v>44193</v>
      </c>
      <c r="O50" s="547">
        <v>45460</v>
      </c>
      <c r="P50" s="33"/>
      <c r="Q50" s="16" t="s">
        <v>75</v>
      </c>
      <c r="R50" s="16" t="s">
        <v>75</v>
      </c>
      <c r="S50" s="16" t="s">
        <v>68</v>
      </c>
      <c r="T50" s="16" t="s">
        <v>62</v>
      </c>
      <c r="U50" s="16" t="s">
        <v>62</v>
      </c>
      <c r="V50" s="16"/>
      <c r="W50" s="16" t="s">
        <v>62</v>
      </c>
      <c r="X50" s="16" t="s">
        <v>75</v>
      </c>
      <c r="Y50" s="16" t="s">
        <v>68</v>
      </c>
      <c r="Z50" s="432" t="s">
        <v>62</v>
      </c>
      <c r="AA50" s="432"/>
      <c r="AB50" s="24"/>
      <c r="AC50" s="24"/>
      <c r="AD50" s="276" t="s">
        <v>68</v>
      </c>
      <c r="AF50" s="276" t="s">
        <v>68</v>
      </c>
      <c r="AG50" s="286">
        <v>45549</v>
      </c>
      <c r="AH50" s="507" t="s">
        <v>121</v>
      </c>
      <c r="AI50" s="162">
        <v>45161</v>
      </c>
      <c r="AJ50" s="58" t="s">
        <v>121</v>
      </c>
      <c r="AK50" s="613">
        <v>45785</v>
      </c>
      <c r="AM50" s="613">
        <v>45551</v>
      </c>
    </row>
    <row r="51" spans="1:40" ht="22.8" x14ac:dyDescent="0.25">
      <c r="A51" s="28">
        <v>50</v>
      </c>
      <c r="B51" s="20">
        <v>37436</v>
      </c>
      <c r="C51" s="27" t="s">
        <v>54</v>
      </c>
      <c r="D51" s="3" t="s">
        <v>576</v>
      </c>
      <c r="E51" s="20" t="s">
        <v>522</v>
      </c>
      <c r="F51" s="3" t="s">
        <v>57</v>
      </c>
      <c r="G51" s="3" t="s">
        <v>11</v>
      </c>
      <c r="H51" s="19">
        <v>44071</v>
      </c>
      <c r="I51" s="3">
        <v>829</v>
      </c>
      <c r="J51" s="3" t="s">
        <v>58</v>
      </c>
      <c r="K51" s="429" t="s">
        <v>59</v>
      </c>
      <c r="L51" s="443">
        <v>44203</v>
      </c>
      <c r="M51" s="432" t="s">
        <v>60</v>
      </c>
      <c r="N51" s="443">
        <v>44193</v>
      </c>
      <c r="O51" s="547">
        <v>45460</v>
      </c>
      <c r="P51" s="33"/>
      <c r="Q51" s="16" t="s">
        <v>75</v>
      </c>
      <c r="R51" s="16" t="s">
        <v>75</v>
      </c>
      <c r="S51" s="16" t="s">
        <v>62</v>
      </c>
      <c r="T51" s="16" t="s">
        <v>68</v>
      </c>
      <c r="U51" s="16" t="s">
        <v>68</v>
      </c>
      <c r="V51" s="16"/>
      <c r="W51" s="16" t="s">
        <v>68</v>
      </c>
      <c r="X51" s="16" t="s">
        <v>75</v>
      </c>
      <c r="Y51" s="16" t="s">
        <v>62</v>
      </c>
      <c r="Z51" s="432" t="s">
        <v>68</v>
      </c>
      <c r="AA51" s="432"/>
      <c r="AB51" s="1116" t="s">
        <v>577</v>
      </c>
      <c r="AC51" s="24"/>
      <c r="AD51" s="276" t="s">
        <v>62</v>
      </c>
      <c r="AF51" s="276" t="s">
        <v>62</v>
      </c>
      <c r="AG51" s="286">
        <v>45549</v>
      </c>
      <c r="AH51" s="507" t="s">
        <v>121</v>
      </c>
      <c r="AI51" s="162">
        <v>45161</v>
      </c>
      <c r="AJ51" s="58" t="s">
        <v>121</v>
      </c>
      <c r="AK51" s="613">
        <v>45785</v>
      </c>
      <c r="AM51" s="613">
        <v>45551</v>
      </c>
    </row>
    <row r="52" spans="1:40" ht="22.8" x14ac:dyDescent="0.25">
      <c r="A52" s="28">
        <v>51</v>
      </c>
      <c r="B52" s="20">
        <v>37448</v>
      </c>
      <c r="C52" s="27" t="s">
        <v>64</v>
      </c>
      <c r="D52" s="3" t="s">
        <v>578</v>
      </c>
      <c r="E52" s="20" t="s">
        <v>522</v>
      </c>
      <c r="F52" s="3" t="s">
        <v>57</v>
      </c>
      <c r="G52" s="3" t="s">
        <v>11</v>
      </c>
      <c r="H52" s="19">
        <v>44088</v>
      </c>
      <c r="I52" s="3">
        <v>852</v>
      </c>
      <c r="J52" s="3" t="s">
        <v>58</v>
      </c>
      <c r="K52" s="429" t="s">
        <v>59</v>
      </c>
      <c r="L52" s="443">
        <v>44217</v>
      </c>
      <c r="M52" s="432" t="s">
        <v>60</v>
      </c>
      <c r="N52" s="443">
        <v>44184</v>
      </c>
      <c r="O52" s="548">
        <v>45391</v>
      </c>
      <c r="P52" s="33"/>
      <c r="Q52" s="16" t="s">
        <v>75</v>
      </c>
      <c r="R52" s="16" t="s">
        <v>75</v>
      </c>
      <c r="S52" s="16"/>
      <c r="T52" s="16" t="s">
        <v>68</v>
      </c>
      <c r="U52" s="16" t="s">
        <v>68</v>
      </c>
      <c r="V52" s="16"/>
      <c r="W52" s="16" t="s">
        <v>68</v>
      </c>
      <c r="X52" s="16" t="s">
        <v>75</v>
      </c>
      <c r="Y52" s="16" t="s">
        <v>68</v>
      </c>
      <c r="Z52" s="432" t="s">
        <v>68</v>
      </c>
      <c r="AA52" s="432"/>
      <c r="AB52" s="24"/>
      <c r="AC52" s="24"/>
      <c r="AD52" s="276" t="s">
        <v>68</v>
      </c>
      <c r="AF52" s="276" t="s">
        <v>68</v>
      </c>
      <c r="AG52" s="286">
        <v>45485</v>
      </c>
      <c r="AH52" s="507" t="s">
        <v>121</v>
      </c>
      <c r="AI52" s="162">
        <v>45187</v>
      </c>
      <c r="AJ52" s="58" t="s">
        <v>121</v>
      </c>
      <c r="AK52" s="613">
        <v>45792</v>
      </c>
      <c r="AM52" s="613">
        <v>45594</v>
      </c>
    </row>
    <row r="53" spans="1:40" ht="22.8" x14ac:dyDescent="0.25">
      <c r="A53" s="28">
        <v>52</v>
      </c>
      <c r="B53" s="20">
        <v>37448</v>
      </c>
      <c r="C53" s="27" t="s">
        <v>54</v>
      </c>
      <c r="D53" s="3" t="s">
        <v>579</v>
      </c>
      <c r="E53" s="20" t="s">
        <v>522</v>
      </c>
      <c r="F53" s="3" t="s">
        <v>57</v>
      </c>
      <c r="G53" s="3" t="s">
        <v>11</v>
      </c>
      <c r="H53" s="19">
        <v>44088</v>
      </c>
      <c r="I53" s="3">
        <v>853</v>
      </c>
      <c r="J53" s="3" t="s">
        <v>58</v>
      </c>
      <c r="K53" s="429" t="s">
        <v>59</v>
      </c>
      <c r="L53" s="443">
        <v>44217</v>
      </c>
      <c r="M53" s="432" t="s">
        <v>60</v>
      </c>
      <c r="N53" s="443">
        <v>44184</v>
      </c>
      <c r="O53" s="548">
        <v>45391</v>
      </c>
      <c r="P53" s="33"/>
      <c r="Q53" s="16" t="s">
        <v>75</v>
      </c>
      <c r="R53" s="16" t="s">
        <v>75</v>
      </c>
      <c r="S53" s="16"/>
      <c r="T53" s="16" t="s">
        <v>62</v>
      </c>
      <c r="U53" s="16" t="s">
        <v>62</v>
      </c>
      <c r="V53" s="16"/>
      <c r="W53" s="16" t="s">
        <v>62</v>
      </c>
      <c r="X53" s="16" t="s">
        <v>75</v>
      </c>
      <c r="Y53" s="16" t="s">
        <v>62</v>
      </c>
      <c r="Z53" s="432" t="s">
        <v>62</v>
      </c>
      <c r="AA53" s="432"/>
      <c r="AB53" s="24"/>
      <c r="AC53" s="24"/>
      <c r="AD53" s="276" t="s">
        <v>62</v>
      </c>
      <c r="AF53" s="276" t="s">
        <v>62</v>
      </c>
      <c r="AG53" s="286">
        <v>45485</v>
      </c>
      <c r="AH53" s="507" t="s">
        <v>121</v>
      </c>
      <c r="AI53" s="162">
        <v>45187</v>
      </c>
      <c r="AJ53" s="58" t="s">
        <v>121</v>
      </c>
      <c r="AK53" s="613">
        <v>45792</v>
      </c>
      <c r="AM53" s="613">
        <v>45594</v>
      </c>
    </row>
    <row r="54" spans="1:40" ht="22.8" x14ac:dyDescent="0.25">
      <c r="A54" s="28">
        <v>53</v>
      </c>
      <c r="B54" s="20">
        <v>37462</v>
      </c>
      <c r="C54" s="27" t="s">
        <v>64</v>
      </c>
      <c r="D54" s="24" t="s">
        <v>580</v>
      </c>
      <c r="E54" s="20" t="s">
        <v>522</v>
      </c>
      <c r="F54" s="3" t="s">
        <v>57</v>
      </c>
      <c r="G54" s="3" t="s">
        <v>11</v>
      </c>
      <c r="H54" s="19">
        <v>44173</v>
      </c>
      <c r="I54" s="3">
        <v>943</v>
      </c>
      <c r="J54" s="3" t="s">
        <v>58</v>
      </c>
      <c r="K54" s="429" t="s">
        <v>59</v>
      </c>
      <c r="L54" s="432" t="s">
        <v>75</v>
      </c>
      <c r="M54" s="432" t="s">
        <v>60</v>
      </c>
      <c r="N54" s="443">
        <v>44214</v>
      </c>
      <c r="O54" s="548">
        <v>45414</v>
      </c>
      <c r="P54" s="33"/>
      <c r="Q54" s="16" t="s">
        <v>75</v>
      </c>
      <c r="R54" s="16" t="s">
        <v>75</v>
      </c>
      <c r="S54" s="16" t="s">
        <v>68</v>
      </c>
      <c r="T54" s="37" t="s">
        <v>68</v>
      </c>
      <c r="U54" s="37" t="s">
        <v>68</v>
      </c>
      <c r="V54" s="37"/>
      <c r="W54" s="37" t="s">
        <v>68</v>
      </c>
      <c r="X54" s="16" t="s">
        <v>75</v>
      </c>
      <c r="Y54" s="16" t="s">
        <v>68</v>
      </c>
      <c r="Z54" s="432" t="s">
        <v>68</v>
      </c>
      <c r="AA54" s="429"/>
      <c r="AB54" s="24"/>
      <c r="AC54" s="24"/>
      <c r="AD54" s="285" t="s">
        <v>68</v>
      </c>
      <c r="AF54" s="276" t="s">
        <v>68</v>
      </c>
      <c r="AG54" s="286">
        <v>45474</v>
      </c>
      <c r="AH54" s="507" t="s">
        <v>121</v>
      </c>
      <c r="AI54" s="162">
        <v>45199</v>
      </c>
      <c r="AJ54" s="58" t="s">
        <v>121</v>
      </c>
      <c r="AM54" s="613">
        <v>45474</v>
      </c>
    </row>
    <row r="55" spans="1:40" ht="22.8" x14ac:dyDescent="0.25">
      <c r="A55" s="28">
        <v>54</v>
      </c>
      <c r="B55" s="20">
        <v>37462</v>
      </c>
      <c r="C55" s="27" t="s">
        <v>54</v>
      </c>
      <c r="D55" s="24" t="s">
        <v>581</v>
      </c>
      <c r="E55" s="20" t="s">
        <v>522</v>
      </c>
      <c r="F55" s="3" t="s">
        <v>57</v>
      </c>
      <c r="G55" s="3" t="s">
        <v>11</v>
      </c>
      <c r="H55" s="19">
        <v>44173</v>
      </c>
      <c r="I55" s="3">
        <v>942</v>
      </c>
      <c r="J55" s="3" t="s">
        <v>58</v>
      </c>
      <c r="K55" s="429" t="s">
        <v>59</v>
      </c>
      <c r="L55" s="432" t="s">
        <v>75</v>
      </c>
      <c r="M55" s="432" t="s">
        <v>60</v>
      </c>
      <c r="N55" s="443">
        <v>44214</v>
      </c>
      <c r="O55" s="548">
        <v>45414</v>
      </c>
      <c r="P55" s="33"/>
      <c r="Q55" s="16" t="s">
        <v>75</v>
      </c>
      <c r="R55" s="16" t="s">
        <v>75</v>
      </c>
      <c r="S55" s="16" t="s">
        <v>62</v>
      </c>
      <c r="T55" s="37" t="s">
        <v>62</v>
      </c>
      <c r="U55" s="37" t="s">
        <v>62</v>
      </c>
      <c r="V55" s="37"/>
      <c r="W55" s="37" t="s">
        <v>62</v>
      </c>
      <c r="X55" s="16" t="s">
        <v>75</v>
      </c>
      <c r="Y55" s="16" t="s">
        <v>62</v>
      </c>
      <c r="Z55" s="432" t="s">
        <v>62</v>
      </c>
      <c r="AA55" s="429"/>
      <c r="AB55" s="24"/>
      <c r="AC55" s="24"/>
      <c r="AD55" s="285" t="s">
        <v>62</v>
      </c>
      <c r="AF55" s="276" t="s">
        <v>62</v>
      </c>
      <c r="AG55" s="286">
        <v>45474</v>
      </c>
      <c r="AH55" s="507" t="s">
        <v>121</v>
      </c>
      <c r="AI55" s="162">
        <v>45199</v>
      </c>
      <c r="AJ55" s="58" t="s">
        <v>121</v>
      </c>
      <c r="AM55" s="613">
        <v>45474</v>
      </c>
    </row>
    <row r="56" spans="1:40" ht="22.8" x14ac:dyDescent="0.25">
      <c r="A56" s="28">
        <v>55</v>
      </c>
      <c r="B56" s="20">
        <v>37482</v>
      </c>
      <c r="C56" s="27" t="s">
        <v>64</v>
      </c>
      <c r="D56" s="24" t="s">
        <v>582</v>
      </c>
      <c r="E56" s="20" t="s">
        <v>522</v>
      </c>
      <c r="F56" s="3" t="s">
        <v>57</v>
      </c>
      <c r="G56" s="3" t="s">
        <v>11</v>
      </c>
      <c r="H56" s="19">
        <v>44153</v>
      </c>
      <c r="I56" s="3">
        <v>904</v>
      </c>
      <c r="J56" s="3" t="s">
        <v>58</v>
      </c>
      <c r="K56" s="429" t="s">
        <v>59</v>
      </c>
      <c r="L56" s="432" t="s">
        <v>75</v>
      </c>
      <c r="M56" s="432" t="s">
        <v>60</v>
      </c>
      <c r="N56" s="443">
        <v>44193</v>
      </c>
      <c r="O56" s="548">
        <v>45391</v>
      </c>
      <c r="P56" s="33"/>
      <c r="Q56" s="16" t="s">
        <v>75</v>
      </c>
      <c r="R56" s="16" t="s">
        <v>75</v>
      </c>
      <c r="S56" s="16" t="s">
        <v>68</v>
      </c>
      <c r="T56" s="37" t="s">
        <v>68</v>
      </c>
      <c r="U56" s="37" t="s">
        <v>68</v>
      </c>
      <c r="V56" s="37"/>
      <c r="W56" s="37" t="s">
        <v>68</v>
      </c>
      <c r="X56" s="16" t="s">
        <v>75</v>
      </c>
      <c r="Y56" s="16" t="s">
        <v>68</v>
      </c>
      <c r="Z56" s="432" t="s">
        <v>68</v>
      </c>
      <c r="AA56" s="429"/>
      <c r="AB56" s="24"/>
      <c r="AC56" s="24"/>
      <c r="AD56" s="16" t="s">
        <v>68</v>
      </c>
      <c r="AE56" s="24"/>
      <c r="AF56" s="276" t="s">
        <v>68</v>
      </c>
      <c r="AG56" s="286">
        <v>45465</v>
      </c>
      <c r="AH56" s="507" t="s">
        <v>121</v>
      </c>
      <c r="AI56" s="162">
        <v>45184</v>
      </c>
      <c r="AJ56" s="58" t="s">
        <v>121</v>
      </c>
      <c r="AM56" s="613">
        <v>45472</v>
      </c>
    </row>
    <row r="57" spans="1:40" ht="22.8" x14ac:dyDescent="0.25">
      <c r="A57" s="28">
        <v>56</v>
      </c>
      <c r="B57" s="20">
        <v>37482</v>
      </c>
      <c r="C57" s="27" t="s">
        <v>54</v>
      </c>
      <c r="D57" s="24" t="s">
        <v>583</v>
      </c>
      <c r="E57" s="20" t="s">
        <v>522</v>
      </c>
      <c r="F57" s="3" t="s">
        <v>57</v>
      </c>
      <c r="G57" s="3" t="s">
        <v>11</v>
      </c>
      <c r="H57" s="19">
        <v>44153</v>
      </c>
      <c r="I57" s="3">
        <v>905</v>
      </c>
      <c r="J57" s="3" t="s">
        <v>58</v>
      </c>
      <c r="K57" s="429" t="s">
        <v>59</v>
      </c>
      <c r="L57" s="432" t="s">
        <v>75</v>
      </c>
      <c r="M57" s="432" t="s">
        <v>60</v>
      </c>
      <c r="N57" s="443">
        <v>44193</v>
      </c>
      <c r="O57" s="548">
        <v>45391</v>
      </c>
      <c r="P57" s="33"/>
      <c r="Q57" s="16" t="s">
        <v>75</v>
      </c>
      <c r="R57" s="16" t="s">
        <v>75</v>
      </c>
      <c r="S57" s="16" t="s">
        <v>62</v>
      </c>
      <c r="T57" s="37" t="s">
        <v>62</v>
      </c>
      <c r="U57" s="37" t="s">
        <v>62</v>
      </c>
      <c r="V57" s="37"/>
      <c r="W57" s="37" t="s">
        <v>62</v>
      </c>
      <c r="X57" s="16" t="s">
        <v>75</v>
      </c>
      <c r="Y57" s="16" t="s">
        <v>62</v>
      </c>
      <c r="Z57" s="432" t="s">
        <v>62</v>
      </c>
      <c r="AA57" s="429"/>
      <c r="AB57" s="24"/>
      <c r="AC57" s="24"/>
      <c r="AD57" s="16" t="s">
        <v>62</v>
      </c>
      <c r="AE57" s="24"/>
      <c r="AF57" s="276" t="s">
        <v>62</v>
      </c>
      <c r="AG57" s="286">
        <v>45465</v>
      </c>
      <c r="AH57" s="507" t="s">
        <v>121</v>
      </c>
      <c r="AI57" s="162">
        <v>45184</v>
      </c>
      <c r="AJ57" s="58" t="s">
        <v>121</v>
      </c>
      <c r="AM57" s="613">
        <v>45472</v>
      </c>
    </row>
    <row r="58" spans="1:40" ht="22.8" x14ac:dyDescent="0.25">
      <c r="A58" s="28">
        <v>57</v>
      </c>
      <c r="B58" s="20">
        <v>37485</v>
      </c>
      <c r="C58" s="27" t="s">
        <v>64</v>
      </c>
      <c r="D58" s="24" t="s">
        <v>584</v>
      </c>
      <c r="E58" s="20" t="s">
        <v>522</v>
      </c>
      <c r="F58" s="3" t="s">
        <v>57</v>
      </c>
      <c r="G58" s="3" t="s">
        <v>11</v>
      </c>
      <c r="H58" s="19">
        <v>44162</v>
      </c>
      <c r="I58" s="3">
        <v>970</v>
      </c>
      <c r="J58" s="3" t="s">
        <v>58</v>
      </c>
      <c r="K58" s="429" t="s">
        <v>59</v>
      </c>
      <c r="L58" s="432" t="s">
        <v>75</v>
      </c>
      <c r="M58" s="432" t="s">
        <v>60</v>
      </c>
      <c r="N58" s="443">
        <v>44219</v>
      </c>
      <c r="O58" s="548">
        <v>45150</v>
      </c>
      <c r="P58" s="33"/>
      <c r="Q58" s="16" t="s">
        <v>75</v>
      </c>
      <c r="R58" s="16" t="s">
        <v>75</v>
      </c>
      <c r="S58" s="16"/>
      <c r="T58" s="37" t="s">
        <v>68</v>
      </c>
      <c r="U58" s="37" t="s">
        <v>68</v>
      </c>
      <c r="V58" s="37"/>
      <c r="W58" s="37" t="s">
        <v>68</v>
      </c>
      <c r="X58" s="16" t="s">
        <v>75</v>
      </c>
      <c r="Y58" s="16" t="s">
        <v>68</v>
      </c>
      <c r="Z58" s="432" t="s">
        <v>68</v>
      </c>
      <c r="AA58" s="429"/>
      <c r="AB58" s="24"/>
      <c r="AC58" s="24"/>
      <c r="AD58" s="285" t="s">
        <v>68</v>
      </c>
      <c r="AF58" s="276" t="s">
        <v>68</v>
      </c>
      <c r="AG58" s="286">
        <v>45476</v>
      </c>
      <c r="AH58" s="507" t="s">
        <v>121</v>
      </c>
      <c r="AI58" s="162">
        <v>45195</v>
      </c>
      <c r="AJ58" s="58" t="s">
        <v>121</v>
      </c>
      <c r="AM58" s="613">
        <v>45474</v>
      </c>
      <c r="AN58" s="381"/>
    </row>
    <row r="59" spans="1:40" ht="22.8" x14ac:dyDescent="0.25">
      <c r="A59" s="28">
        <v>58</v>
      </c>
      <c r="B59" s="20">
        <v>37485</v>
      </c>
      <c r="C59" s="27" t="s">
        <v>54</v>
      </c>
      <c r="D59" s="24" t="s">
        <v>585</v>
      </c>
      <c r="E59" s="20" t="s">
        <v>522</v>
      </c>
      <c r="F59" s="3" t="s">
        <v>57</v>
      </c>
      <c r="G59" s="3" t="s">
        <v>11</v>
      </c>
      <c r="H59" s="19">
        <v>44162</v>
      </c>
      <c r="I59" s="3">
        <v>971</v>
      </c>
      <c r="J59" s="3" t="s">
        <v>58</v>
      </c>
      <c r="K59" s="429" t="s">
        <v>59</v>
      </c>
      <c r="L59" s="432" t="s">
        <v>75</v>
      </c>
      <c r="M59" s="432" t="s">
        <v>60</v>
      </c>
      <c r="N59" s="443">
        <v>44219</v>
      </c>
      <c r="O59" s="548">
        <v>45150</v>
      </c>
      <c r="P59" s="33"/>
      <c r="Q59" s="16" t="s">
        <v>75</v>
      </c>
      <c r="R59" s="16" t="s">
        <v>75</v>
      </c>
      <c r="S59" s="16"/>
      <c r="T59" s="37" t="s">
        <v>62</v>
      </c>
      <c r="U59" s="37" t="s">
        <v>62</v>
      </c>
      <c r="V59" s="37"/>
      <c r="W59" s="37" t="s">
        <v>62</v>
      </c>
      <c r="X59" s="16" t="s">
        <v>75</v>
      </c>
      <c r="Y59" s="16" t="s">
        <v>62</v>
      </c>
      <c r="Z59" s="432" t="s">
        <v>62</v>
      </c>
      <c r="AA59" s="429"/>
      <c r="AB59" s="24"/>
      <c r="AC59" s="24"/>
      <c r="AD59" s="285" t="s">
        <v>62</v>
      </c>
      <c r="AF59" s="276" t="s">
        <v>62</v>
      </c>
      <c r="AG59" s="286">
        <v>45476</v>
      </c>
      <c r="AH59" s="507" t="s">
        <v>121</v>
      </c>
      <c r="AI59" s="162">
        <v>45195</v>
      </c>
      <c r="AJ59" s="58" t="s">
        <v>121</v>
      </c>
      <c r="AM59" s="613">
        <v>45474</v>
      </c>
      <c r="AN59" s="381"/>
    </row>
    <row r="60" spans="1:40" ht="22.8" x14ac:dyDescent="0.25">
      <c r="A60" s="28">
        <v>59</v>
      </c>
      <c r="B60" s="20">
        <v>37494</v>
      </c>
      <c r="C60" s="27" t="s">
        <v>64</v>
      </c>
      <c r="D60" s="24" t="s">
        <v>586</v>
      </c>
      <c r="E60" s="20" t="s">
        <v>522</v>
      </c>
      <c r="F60" s="3" t="s">
        <v>57</v>
      </c>
      <c r="G60" s="3" t="s">
        <v>11</v>
      </c>
      <c r="H60" s="19">
        <v>44184</v>
      </c>
      <c r="I60" s="3">
        <v>950</v>
      </c>
      <c r="J60" s="3" t="s">
        <v>58</v>
      </c>
      <c r="K60" s="429" t="s">
        <v>59</v>
      </c>
      <c r="L60" s="432" t="s">
        <v>75</v>
      </c>
      <c r="M60" s="432" t="s">
        <v>60</v>
      </c>
      <c r="N60" s="443">
        <v>44229</v>
      </c>
      <c r="O60" s="548">
        <v>45433</v>
      </c>
      <c r="P60" s="33"/>
      <c r="Q60" s="16" t="s">
        <v>75</v>
      </c>
      <c r="R60" s="16" t="s">
        <v>75</v>
      </c>
      <c r="S60" s="16"/>
      <c r="T60" s="37" t="s">
        <v>68</v>
      </c>
      <c r="U60" s="37" t="s">
        <v>68</v>
      </c>
      <c r="V60" s="37"/>
      <c r="W60" s="37" t="s">
        <v>68</v>
      </c>
      <c r="X60" s="16" t="s">
        <v>75</v>
      </c>
      <c r="Y60" s="16" t="s">
        <v>68</v>
      </c>
      <c r="Z60" s="432" t="s">
        <v>68</v>
      </c>
      <c r="AA60" s="429"/>
      <c r="AB60" s="24"/>
      <c r="AC60" s="24"/>
      <c r="AD60" s="24"/>
      <c r="AE60" s="24"/>
      <c r="AF60" s="79" t="s">
        <v>68</v>
      </c>
      <c r="AG60" s="286">
        <v>45533</v>
      </c>
      <c r="AH60" s="507" t="s">
        <v>121</v>
      </c>
      <c r="AI60" s="677">
        <v>45246</v>
      </c>
      <c r="AJ60" s="58" t="s">
        <v>121</v>
      </c>
      <c r="AK60" s="58"/>
      <c r="AM60" s="613">
        <v>45534</v>
      </c>
    </row>
    <row r="61" spans="1:40" ht="22.8" x14ac:dyDescent="0.25">
      <c r="A61" s="28">
        <v>60</v>
      </c>
      <c r="B61" s="20">
        <v>37494</v>
      </c>
      <c r="C61" s="27" t="s">
        <v>54</v>
      </c>
      <c r="D61" s="24" t="s">
        <v>587</v>
      </c>
      <c r="E61" s="20" t="s">
        <v>522</v>
      </c>
      <c r="F61" s="3" t="s">
        <v>57</v>
      </c>
      <c r="G61" s="3" t="s">
        <v>11</v>
      </c>
      <c r="H61" s="19">
        <v>44184</v>
      </c>
      <c r="I61" s="3">
        <v>1001</v>
      </c>
      <c r="J61" s="3" t="s">
        <v>58</v>
      </c>
      <c r="K61" s="429" t="s">
        <v>59</v>
      </c>
      <c r="L61" s="432" t="s">
        <v>75</v>
      </c>
      <c r="M61" s="432" t="s">
        <v>60</v>
      </c>
      <c r="N61" s="443">
        <v>44229</v>
      </c>
      <c r="O61" s="548">
        <v>45433</v>
      </c>
      <c r="P61" s="33"/>
      <c r="Q61" s="16" t="s">
        <v>75</v>
      </c>
      <c r="R61" s="16" t="s">
        <v>75</v>
      </c>
      <c r="S61" s="16"/>
      <c r="T61" s="37" t="s">
        <v>62</v>
      </c>
      <c r="U61" s="37" t="s">
        <v>62</v>
      </c>
      <c r="V61" s="37"/>
      <c r="W61" s="37" t="s">
        <v>62</v>
      </c>
      <c r="X61" s="16" t="s">
        <v>75</v>
      </c>
      <c r="Y61" s="16" t="s">
        <v>62</v>
      </c>
      <c r="Z61" s="432" t="s">
        <v>62</v>
      </c>
      <c r="AA61" s="429"/>
      <c r="AB61" s="24"/>
      <c r="AC61" s="24"/>
      <c r="AD61" s="24"/>
      <c r="AE61" s="24"/>
      <c r="AF61" s="79" t="s">
        <v>62</v>
      </c>
      <c r="AG61" s="286">
        <v>45533</v>
      </c>
      <c r="AH61" s="507" t="s">
        <v>121</v>
      </c>
      <c r="AI61" s="677">
        <v>45246</v>
      </c>
      <c r="AJ61" s="58" t="s">
        <v>121</v>
      </c>
      <c r="AK61" s="58"/>
      <c r="AM61" s="613">
        <v>45534</v>
      </c>
    </row>
    <row r="62" spans="1:40" ht="22.8" x14ac:dyDescent="0.25">
      <c r="A62" s="28">
        <v>61</v>
      </c>
      <c r="B62" s="20">
        <v>37544</v>
      </c>
      <c r="C62" s="27" t="s">
        <v>64</v>
      </c>
      <c r="D62" s="3" t="s">
        <v>588</v>
      </c>
      <c r="E62" s="20" t="s">
        <v>522</v>
      </c>
      <c r="F62" s="3" t="s">
        <v>57</v>
      </c>
      <c r="G62" s="3" t="s">
        <v>11</v>
      </c>
      <c r="H62" s="19">
        <v>44255</v>
      </c>
      <c r="I62" s="3">
        <v>906</v>
      </c>
      <c r="J62" s="3" t="s">
        <v>58</v>
      </c>
      <c r="K62" s="429" t="s">
        <v>59</v>
      </c>
      <c r="L62" s="432" t="s">
        <v>75</v>
      </c>
      <c r="M62" s="432" t="s">
        <v>60</v>
      </c>
      <c r="N62" s="432" t="s">
        <v>589</v>
      </c>
      <c r="O62" s="548">
        <v>45168</v>
      </c>
      <c r="P62" s="33">
        <v>45387</v>
      </c>
      <c r="Q62" s="16" t="s">
        <v>75</v>
      </c>
      <c r="R62" s="16" t="s">
        <v>75</v>
      </c>
      <c r="S62" s="16" t="s">
        <v>68</v>
      </c>
      <c r="T62" s="16" t="s">
        <v>68</v>
      </c>
      <c r="U62" s="16" t="s">
        <v>68</v>
      </c>
      <c r="V62" s="16"/>
      <c r="W62" s="16" t="s">
        <v>68</v>
      </c>
      <c r="X62" s="16" t="s">
        <v>75</v>
      </c>
      <c r="Y62" s="16" t="s">
        <v>68</v>
      </c>
      <c r="Z62" s="432" t="s">
        <v>68</v>
      </c>
      <c r="AA62" s="444"/>
      <c r="AB62" s="24"/>
      <c r="AC62" s="24"/>
      <c r="AD62" s="285" t="s">
        <v>68</v>
      </c>
      <c r="AF62" s="276" t="s">
        <v>68</v>
      </c>
      <c r="AG62" s="286">
        <v>45477</v>
      </c>
      <c r="AH62" s="507" t="s">
        <v>121</v>
      </c>
      <c r="AI62" s="679">
        <v>45168</v>
      </c>
      <c r="AJ62" s="58" t="s">
        <v>121</v>
      </c>
      <c r="AN62" s="381"/>
    </row>
    <row r="63" spans="1:40" ht="22.8" x14ac:dyDescent="0.25">
      <c r="A63" s="28">
        <v>62</v>
      </c>
      <c r="B63" s="20">
        <v>37544</v>
      </c>
      <c r="C63" s="27" t="s">
        <v>54</v>
      </c>
      <c r="D63" s="3" t="s">
        <v>590</v>
      </c>
      <c r="E63" s="20" t="s">
        <v>522</v>
      </c>
      <c r="F63" s="3" t="s">
        <v>57</v>
      </c>
      <c r="G63" s="3" t="s">
        <v>11</v>
      </c>
      <c r="H63" s="19">
        <v>44255</v>
      </c>
      <c r="I63" s="3">
        <v>907</v>
      </c>
      <c r="J63" s="3" t="s">
        <v>58</v>
      </c>
      <c r="K63" s="429" t="s">
        <v>59</v>
      </c>
      <c r="L63" s="432" t="s">
        <v>75</v>
      </c>
      <c r="M63" s="432" t="s">
        <v>60</v>
      </c>
      <c r="N63" s="432" t="s">
        <v>589</v>
      </c>
      <c r="O63" s="548">
        <v>45168</v>
      </c>
      <c r="P63" s="33">
        <v>45387</v>
      </c>
      <c r="Q63" s="16" t="s">
        <v>75</v>
      </c>
      <c r="R63" s="16" t="s">
        <v>75</v>
      </c>
      <c r="S63" s="16" t="s">
        <v>62</v>
      </c>
      <c r="T63" s="16" t="s">
        <v>62</v>
      </c>
      <c r="U63" s="16" t="s">
        <v>62</v>
      </c>
      <c r="V63" s="16"/>
      <c r="W63" s="16" t="s">
        <v>62</v>
      </c>
      <c r="X63" s="16" t="s">
        <v>75</v>
      </c>
      <c r="Y63" s="16" t="s">
        <v>62</v>
      </c>
      <c r="Z63" s="432" t="s">
        <v>62</v>
      </c>
      <c r="AA63" s="444"/>
      <c r="AB63" s="24"/>
      <c r="AC63" s="24"/>
      <c r="AD63" s="285" t="s">
        <v>62</v>
      </c>
      <c r="AF63" s="276" t="s">
        <v>62</v>
      </c>
      <c r="AG63" s="286">
        <v>45477</v>
      </c>
      <c r="AH63" s="507" t="s">
        <v>121</v>
      </c>
      <c r="AI63" s="162">
        <v>45168</v>
      </c>
      <c r="AJ63" s="58" t="s">
        <v>121</v>
      </c>
    </row>
    <row r="64" spans="1:40" ht="22.8" x14ac:dyDescent="0.25">
      <c r="A64" s="28">
        <v>63</v>
      </c>
      <c r="B64" s="20">
        <v>37546</v>
      </c>
      <c r="C64" s="27" t="s">
        <v>64</v>
      </c>
      <c r="D64" s="3" t="s">
        <v>591</v>
      </c>
      <c r="E64" s="20" t="s">
        <v>522</v>
      </c>
      <c r="F64" s="3" t="s">
        <v>57</v>
      </c>
      <c r="G64" s="3" t="s">
        <v>11</v>
      </c>
      <c r="H64" s="19">
        <v>44255</v>
      </c>
      <c r="I64" s="3">
        <v>1007</v>
      </c>
      <c r="J64" s="3" t="s">
        <v>58</v>
      </c>
      <c r="K64" s="429" t="s">
        <v>59</v>
      </c>
      <c r="L64" s="432" t="s">
        <v>75</v>
      </c>
      <c r="M64" s="432" t="s">
        <v>60</v>
      </c>
      <c r="N64" s="432" t="s">
        <v>592</v>
      </c>
      <c r="O64" s="548">
        <v>45395</v>
      </c>
      <c r="P64" s="33">
        <v>45418</v>
      </c>
      <c r="Q64" s="16" t="s">
        <v>75</v>
      </c>
      <c r="R64" s="16" t="s">
        <v>75</v>
      </c>
      <c r="S64" s="16"/>
      <c r="T64" s="16" t="s">
        <v>68</v>
      </c>
      <c r="U64" s="16" t="s">
        <v>68</v>
      </c>
      <c r="V64" s="16"/>
      <c r="W64" s="16" t="s">
        <v>68</v>
      </c>
      <c r="X64" s="16" t="s">
        <v>75</v>
      </c>
      <c r="Y64" s="16" t="s">
        <v>68</v>
      </c>
      <c r="Z64" s="432" t="s">
        <v>68</v>
      </c>
      <c r="AA64" s="444"/>
      <c r="AB64" s="24"/>
      <c r="AC64" s="24"/>
      <c r="AD64" s="285" t="s">
        <v>68</v>
      </c>
      <c r="AF64" s="276" t="s">
        <v>68</v>
      </c>
      <c r="AG64" s="286">
        <v>45528</v>
      </c>
      <c r="AH64" s="507" t="s">
        <v>121</v>
      </c>
      <c r="AI64" s="162">
        <v>45162</v>
      </c>
      <c r="AJ64" s="58" t="s">
        <v>121</v>
      </c>
      <c r="AK64" s="58"/>
      <c r="AM64" s="613">
        <v>45527</v>
      </c>
      <c r="AN64" s="381"/>
    </row>
    <row r="65" spans="1:40" ht="22.8" x14ac:dyDescent="0.25">
      <c r="A65" s="28">
        <v>64</v>
      </c>
      <c r="B65" s="20">
        <v>37546</v>
      </c>
      <c r="C65" s="27" t="s">
        <v>54</v>
      </c>
      <c r="D65" s="3" t="s">
        <v>593</v>
      </c>
      <c r="E65" s="20" t="s">
        <v>522</v>
      </c>
      <c r="F65" s="3" t="s">
        <v>57</v>
      </c>
      <c r="G65" s="3" t="s">
        <v>11</v>
      </c>
      <c r="H65" s="19">
        <v>44255</v>
      </c>
      <c r="I65" s="3">
        <v>1013</v>
      </c>
      <c r="J65" s="3" t="s">
        <v>58</v>
      </c>
      <c r="K65" s="429" t="s">
        <v>59</v>
      </c>
      <c r="L65" s="432" t="s">
        <v>75</v>
      </c>
      <c r="M65" s="432" t="s">
        <v>60</v>
      </c>
      <c r="N65" s="432" t="s">
        <v>592</v>
      </c>
      <c r="O65" s="548">
        <v>45395</v>
      </c>
      <c r="P65" s="33">
        <v>45418</v>
      </c>
      <c r="Q65" s="16" t="s">
        <v>75</v>
      </c>
      <c r="R65" s="16" t="s">
        <v>75</v>
      </c>
      <c r="S65" s="16"/>
      <c r="T65" s="16" t="s">
        <v>62</v>
      </c>
      <c r="U65" s="16" t="s">
        <v>62</v>
      </c>
      <c r="V65" s="16"/>
      <c r="W65" s="16" t="s">
        <v>62</v>
      </c>
      <c r="X65" s="16" t="s">
        <v>75</v>
      </c>
      <c r="Y65" s="16" t="s">
        <v>62</v>
      </c>
      <c r="Z65" s="432" t="s">
        <v>62</v>
      </c>
      <c r="AA65" s="444"/>
      <c r="AB65" s="24"/>
      <c r="AC65" s="24"/>
      <c r="AD65" s="285" t="s">
        <v>62</v>
      </c>
      <c r="AF65" s="276" t="s">
        <v>62</v>
      </c>
      <c r="AG65" s="286">
        <v>45528</v>
      </c>
      <c r="AH65" s="507" t="s">
        <v>121</v>
      </c>
      <c r="AI65" s="162">
        <v>45162</v>
      </c>
      <c r="AJ65" s="58" t="s">
        <v>121</v>
      </c>
      <c r="AK65" s="58"/>
      <c r="AM65" s="613">
        <v>45527</v>
      </c>
    </row>
    <row r="66" spans="1:40" ht="22.8" x14ac:dyDescent="0.25">
      <c r="A66" s="28">
        <v>65</v>
      </c>
      <c r="B66" s="20">
        <v>37563</v>
      </c>
      <c r="C66" s="27" t="s">
        <v>64</v>
      </c>
      <c r="D66" s="20" t="s">
        <v>132</v>
      </c>
      <c r="E66" s="20" t="s">
        <v>56</v>
      </c>
      <c r="F66" s="3" t="s">
        <v>57</v>
      </c>
      <c r="G66" s="3" t="s">
        <v>11</v>
      </c>
      <c r="H66" s="19">
        <v>44291</v>
      </c>
      <c r="I66" s="3">
        <v>865</v>
      </c>
      <c r="J66" s="3" t="s">
        <v>58</v>
      </c>
      <c r="K66" s="429" t="s">
        <v>59</v>
      </c>
      <c r="L66" s="432" t="s">
        <v>75</v>
      </c>
      <c r="M66" s="432" t="s">
        <v>60</v>
      </c>
      <c r="N66" s="443" t="s">
        <v>63</v>
      </c>
      <c r="O66" s="549" t="s">
        <v>82</v>
      </c>
      <c r="P66" s="33">
        <v>45458</v>
      </c>
      <c r="Q66" s="16" t="s">
        <v>75</v>
      </c>
      <c r="R66" s="16" t="s">
        <v>75</v>
      </c>
      <c r="S66" s="16"/>
      <c r="T66" s="16" t="s">
        <v>68</v>
      </c>
      <c r="U66" s="16"/>
      <c r="V66" s="15"/>
      <c r="W66" s="16"/>
      <c r="X66" s="16" t="s">
        <v>75</v>
      </c>
      <c r="Y66" s="16"/>
      <c r="Z66" s="432" t="s">
        <v>68</v>
      </c>
      <c r="AA66" s="432"/>
      <c r="AB66" s="24"/>
      <c r="AC66" s="24"/>
      <c r="AD66" s="285" t="s">
        <v>68</v>
      </c>
      <c r="AF66" s="276" t="s">
        <v>68</v>
      </c>
      <c r="AG66" s="1091">
        <v>45477</v>
      </c>
      <c r="AH66" t="s">
        <v>121</v>
      </c>
      <c r="AI66" s="307">
        <v>45119</v>
      </c>
      <c r="AJ66" s="58" t="s">
        <v>121</v>
      </c>
      <c r="AK66" s="58"/>
      <c r="AM66" s="307">
        <v>45491</v>
      </c>
    </row>
    <row r="67" spans="1:40" ht="22.8" x14ac:dyDescent="0.25">
      <c r="A67" s="28">
        <v>66</v>
      </c>
      <c r="B67" s="20">
        <v>37563</v>
      </c>
      <c r="C67" s="27" t="s">
        <v>54</v>
      </c>
      <c r="D67" s="20" t="s">
        <v>133</v>
      </c>
      <c r="E67" s="20" t="s">
        <v>56</v>
      </c>
      <c r="F67" s="3" t="s">
        <v>57</v>
      </c>
      <c r="G67" s="3" t="s">
        <v>11</v>
      </c>
      <c r="H67" s="19">
        <v>44291</v>
      </c>
      <c r="I67" s="3">
        <v>864</v>
      </c>
      <c r="J67" s="3" t="s">
        <v>58</v>
      </c>
      <c r="K67" s="429" t="s">
        <v>59</v>
      </c>
      <c r="L67" s="432" t="s">
        <v>75</v>
      </c>
      <c r="M67" s="432" t="s">
        <v>60</v>
      </c>
      <c r="N67" s="443" t="s">
        <v>121</v>
      </c>
      <c r="O67" s="549" t="s">
        <v>82</v>
      </c>
      <c r="P67" s="33">
        <v>45458</v>
      </c>
      <c r="Q67" s="16" t="s">
        <v>75</v>
      </c>
      <c r="R67" s="16" t="s">
        <v>75</v>
      </c>
      <c r="S67" s="16"/>
      <c r="T67" s="16" t="s">
        <v>62</v>
      </c>
      <c r="U67" s="16"/>
      <c r="V67" s="15"/>
      <c r="W67" s="16"/>
      <c r="X67" s="16" t="s">
        <v>75</v>
      </c>
      <c r="Y67" s="16"/>
      <c r="Z67" s="432" t="s">
        <v>62</v>
      </c>
      <c r="AA67" s="432"/>
      <c r="AB67" s="24"/>
      <c r="AC67" s="24"/>
      <c r="AD67" s="285" t="s">
        <v>62</v>
      </c>
      <c r="AF67" s="276" t="s">
        <v>62</v>
      </c>
      <c r="AG67" s="1091">
        <v>45477</v>
      </c>
      <c r="AH67" t="s">
        <v>121</v>
      </c>
      <c r="AI67" s="307">
        <v>45119</v>
      </c>
      <c r="AJ67" s="58" t="s">
        <v>121</v>
      </c>
      <c r="AK67" s="58"/>
      <c r="AM67" s="307">
        <v>45491</v>
      </c>
    </row>
    <row r="68" spans="1:40" ht="22.8" x14ac:dyDescent="0.25">
      <c r="A68" s="28">
        <v>67</v>
      </c>
      <c r="B68" s="20">
        <v>39123</v>
      </c>
      <c r="C68" s="27" t="s">
        <v>64</v>
      </c>
      <c r="D68" s="3" t="s">
        <v>594</v>
      </c>
      <c r="E68" s="20" t="s">
        <v>522</v>
      </c>
      <c r="F68" s="3" t="s">
        <v>57</v>
      </c>
      <c r="G68" s="3" t="s">
        <v>11</v>
      </c>
      <c r="H68" s="19">
        <v>43851</v>
      </c>
      <c r="I68" s="3">
        <v>666</v>
      </c>
      <c r="J68" s="3" t="s">
        <v>58</v>
      </c>
      <c r="K68" s="429" t="s">
        <v>59</v>
      </c>
      <c r="L68" s="443">
        <v>44543</v>
      </c>
      <c r="M68" s="432" t="s">
        <v>60</v>
      </c>
      <c r="N68" s="443">
        <v>44175</v>
      </c>
      <c r="O68" s="548">
        <v>45140</v>
      </c>
      <c r="P68" s="33"/>
      <c r="Q68" s="16" t="s">
        <v>75</v>
      </c>
      <c r="R68" s="16" t="s">
        <v>75</v>
      </c>
      <c r="S68" s="16" t="s">
        <v>68</v>
      </c>
      <c r="T68" s="16" t="s">
        <v>68</v>
      </c>
      <c r="U68" s="16" t="s">
        <v>68</v>
      </c>
      <c r="V68" s="16"/>
      <c r="W68" s="16" t="s">
        <v>68</v>
      </c>
      <c r="X68" s="16"/>
      <c r="Y68" s="16" t="s">
        <v>68</v>
      </c>
      <c r="Z68" s="432" t="s">
        <v>68</v>
      </c>
      <c r="AA68" s="432"/>
      <c r="AB68" s="24"/>
      <c r="AC68" s="24"/>
      <c r="AD68" s="24"/>
      <c r="AE68" s="24"/>
      <c r="AF68" s="79" t="s">
        <v>68</v>
      </c>
      <c r="AG68" s="286">
        <v>45488</v>
      </c>
      <c r="AH68" s="507" t="s">
        <v>121</v>
      </c>
      <c r="AI68" s="679">
        <v>45183</v>
      </c>
      <c r="AJ68" s="58" t="s">
        <v>121</v>
      </c>
      <c r="AK68" s="613">
        <v>45509</v>
      </c>
      <c r="AM68" s="613">
        <v>45527</v>
      </c>
    </row>
    <row r="69" spans="1:40" ht="22.8" x14ac:dyDescent="0.25">
      <c r="A69" s="28">
        <v>68</v>
      </c>
      <c r="B69" s="20">
        <v>39123</v>
      </c>
      <c r="C69" s="27" t="s">
        <v>54</v>
      </c>
      <c r="D69" s="3" t="s">
        <v>595</v>
      </c>
      <c r="E69" s="20" t="s">
        <v>522</v>
      </c>
      <c r="F69" s="3" t="s">
        <v>57</v>
      </c>
      <c r="G69" s="3" t="s">
        <v>11</v>
      </c>
      <c r="H69" s="19">
        <v>43851</v>
      </c>
      <c r="I69" s="3">
        <v>652</v>
      </c>
      <c r="J69" s="3" t="s">
        <v>58</v>
      </c>
      <c r="K69" s="429" t="s">
        <v>59</v>
      </c>
      <c r="L69" s="443">
        <v>44543</v>
      </c>
      <c r="M69" s="432" t="s">
        <v>60</v>
      </c>
      <c r="N69" s="443">
        <v>44175</v>
      </c>
      <c r="O69" s="548">
        <v>45140</v>
      </c>
      <c r="P69" s="33"/>
      <c r="Q69" s="16" t="s">
        <v>75</v>
      </c>
      <c r="R69" s="16" t="s">
        <v>75</v>
      </c>
      <c r="S69" s="16" t="s">
        <v>62</v>
      </c>
      <c r="T69" s="16" t="s">
        <v>62</v>
      </c>
      <c r="U69" s="16" t="s">
        <v>62</v>
      </c>
      <c r="V69" s="16"/>
      <c r="W69" s="16" t="s">
        <v>62</v>
      </c>
      <c r="X69" s="16"/>
      <c r="Y69" s="16" t="s">
        <v>62</v>
      </c>
      <c r="Z69" s="432" t="s">
        <v>62</v>
      </c>
      <c r="AA69" s="432"/>
      <c r="AB69" s="24"/>
      <c r="AC69" s="24"/>
      <c r="AD69" s="24"/>
      <c r="AE69" s="24"/>
      <c r="AF69" s="79" t="s">
        <v>62</v>
      </c>
      <c r="AG69" s="286">
        <v>45488</v>
      </c>
      <c r="AH69" s="507" t="s">
        <v>121</v>
      </c>
      <c r="AI69" s="162">
        <v>45183</v>
      </c>
      <c r="AJ69" s="58" t="s">
        <v>121</v>
      </c>
      <c r="AK69" s="613">
        <v>45509</v>
      </c>
      <c r="AM69" s="613">
        <v>45527</v>
      </c>
    </row>
    <row r="70" spans="1:40" ht="22.8" x14ac:dyDescent="0.25">
      <c r="A70" s="28">
        <v>69</v>
      </c>
      <c r="B70" s="20">
        <v>39125</v>
      </c>
      <c r="C70" s="27" t="s">
        <v>64</v>
      </c>
      <c r="D70" s="3" t="s">
        <v>596</v>
      </c>
      <c r="E70" s="20" t="s">
        <v>522</v>
      </c>
      <c r="F70" s="3" t="s">
        <v>57</v>
      </c>
      <c r="G70" s="3" t="s">
        <v>11</v>
      </c>
      <c r="H70" s="19">
        <v>43858</v>
      </c>
      <c r="I70" s="3">
        <v>669</v>
      </c>
      <c r="J70" s="3" t="s">
        <v>58</v>
      </c>
      <c r="K70" s="429" t="s">
        <v>59</v>
      </c>
      <c r="L70" s="443">
        <v>44268</v>
      </c>
      <c r="M70" s="432" t="s">
        <v>60</v>
      </c>
      <c r="N70" s="443">
        <v>44175</v>
      </c>
      <c r="O70" s="548">
        <v>45166</v>
      </c>
      <c r="P70" s="33">
        <v>45418</v>
      </c>
      <c r="Q70" s="16" t="s">
        <v>75</v>
      </c>
      <c r="R70" s="16" t="s">
        <v>75</v>
      </c>
      <c r="S70" s="16" t="s">
        <v>68</v>
      </c>
      <c r="T70" s="16" t="s">
        <v>68</v>
      </c>
      <c r="U70" s="16" t="s">
        <v>68</v>
      </c>
      <c r="V70" s="16"/>
      <c r="W70" s="16"/>
      <c r="X70" s="16"/>
      <c r="Y70" s="16" t="s">
        <v>68</v>
      </c>
      <c r="Z70" s="432" t="s">
        <v>68</v>
      </c>
      <c r="AA70" s="432"/>
      <c r="AB70" s="1116" t="s">
        <v>597</v>
      </c>
      <c r="AC70" s="24"/>
      <c r="AD70" s="276" t="s">
        <v>68</v>
      </c>
      <c r="AF70" s="276" t="s">
        <v>68</v>
      </c>
      <c r="AG70" s="286">
        <v>45484</v>
      </c>
      <c r="AH70" s="507" t="s">
        <v>121</v>
      </c>
      <c r="AI70" s="162">
        <v>45166</v>
      </c>
      <c r="AJ70" s="58" t="s">
        <v>121</v>
      </c>
      <c r="AK70" s="613">
        <v>45475</v>
      </c>
      <c r="AM70" s="613">
        <v>45475</v>
      </c>
    </row>
    <row r="71" spans="1:40" ht="22.8" x14ac:dyDescent="0.25">
      <c r="A71" s="28">
        <v>70</v>
      </c>
      <c r="B71" s="20">
        <v>39125</v>
      </c>
      <c r="C71" s="27" t="s">
        <v>54</v>
      </c>
      <c r="D71" s="3" t="s">
        <v>598</v>
      </c>
      <c r="E71" s="20" t="s">
        <v>522</v>
      </c>
      <c r="F71" s="3" t="s">
        <v>57</v>
      </c>
      <c r="G71" s="3" t="s">
        <v>11</v>
      </c>
      <c r="H71" s="19">
        <v>43858</v>
      </c>
      <c r="I71" s="3">
        <v>529</v>
      </c>
      <c r="J71" s="3" t="s">
        <v>58</v>
      </c>
      <c r="K71" s="429" t="s">
        <v>59</v>
      </c>
      <c r="L71" s="443">
        <v>44268</v>
      </c>
      <c r="M71" s="432" t="s">
        <v>60</v>
      </c>
      <c r="N71" s="443">
        <v>44175</v>
      </c>
      <c r="O71" s="548">
        <v>45166</v>
      </c>
      <c r="P71" s="33">
        <v>45418</v>
      </c>
      <c r="Q71" s="16" t="s">
        <v>75</v>
      </c>
      <c r="R71" s="16" t="s">
        <v>62</v>
      </c>
      <c r="S71" s="16" t="s">
        <v>62</v>
      </c>
      <c r="T71" s="16" t="s">
        <v>62</v>
      </c>
      <c r="U71" s="16" t="s">
        <v>62</v>
      </c>
      <c r="V71" s="16"/>
      <c r="W71" s="16"/>
      <c r="X71" s="16"/>
      <c r="Y71" s="16" t="s">
        <v>62</v>
      </c>
      <c r="Z71" s="432" t="s">
        <v>62</v>
      </c>
      <c r="AA71" s="432"/>
      <c r="AB71" s="24"/>
      <c r="AC71" s="24"/>
      <c r="AD71" s="276" t="s">
        <v>62</v>
      </c>
      <c r="AF71" s="276" t="s">
        <v>62</v>
      </c>
      <c r="AG71" s="286">
        <v>45484</v>
      </c>
      <c r="AH71" s="507" t="s">
        <v>121</v>
      </c>
      <c r="AI71" s="162">
        <v>45166</v>
      </c>
      <c r="AJ71" s="58" t="s">
        <v>121</v>
      </c>
      <c r="AK71" s="613">
        <v>45475</v>
      </c>
      <c r="AM71" s="613">
        <v>45475</v>
      </c>
    </row>
    <row r="72" spans="1:40" ht="22.8" x14ac:dyDescent="0.25">
      <c r="A72" s="28">
        <v>71</v>
      </c>
      <c r="B72" s="20">
        <v>30475</v>
      </c>
      <c r="C72" s="27" t="s">
        <v>64</v>
      </c>
      <c r="D72" s="3" t="s">
        <v>158</v>
      </c>
      <c r="E72" s="19" t="s">
        <v>56</v>
      </c>
      <c r="F72" s="29" t="s">
        <v>57</v>
      </c>
      <c r="G72" s="3" t="s">
        <v>11</v>
      </c>
      <c r="H72" s="19">
        <v>42511</v>
      </c>
      <c r="I72" s="3">
        <v>47</v>
      </c>
      <c r="J72" s="3" t="s">
        <v>66</v>
      </c>
      <c r="K72" s="429" t="s">
        <v>59</v>
      </c>
      <c r="L72" s="443">
        <v>44168</v>
      </c>
      <c r="M72" s="433" t="s">
        <v>67</v>
      </c>
      <c r="N72" s="443" t="s">
        <v>63</v>
      </c>
      <c r="O72" s="33">
        <v>45281</v>
      </c>
      <c r="P72" s="33"/>
      <c r="Q72" s="36"/>
      <c r="R72" s="37" t="s">
        <v>68</v>
      </c>
      <c r="S72" s="36"/>
      <c r="T72" s="37" t="s">
        <v>68</v>
      </c>
      <c r="U72" s="36"/>
      <c r="V72" s="36"/>
      <c r="W72" s="36"/>
      <c r="X72" s="36"/>
      <c r="Y72" s="37" t="s">
        <v>68</v>
      </c>
      <c r="Z72" s="429" t="s">
        <v>68</v>
      </c>
      <c r="AA72" s="429"/>
      <c r="AB72" s="24"/>
      <c r="AC72" s="24"/>
      <c r="AD72" s="285" t="s">
        <v>68</v>
      </c>
      <c r="AF72" s="285" t="s">
        <v>599</v>
      </c>
      <c r="AG72" s="1091">
        <v>45470</v>
      </c>
      <c r="AH72" t="s">
        <v>121</v>
      </c>
      <c r="AI72" s="307">
        <v>45192</v>
      </c>
      <c r="AJ72" s="58" t="s">
        <v>121</v>
      </c>
      <c r="AK72" s="58"/>
      <c r="AL72" s="613">
        <v>45647</v>
      </c>
      <c r="AM72" s="365" t="s">
        <v>600</v>
      </c>
    </row>
    <row r="73" spans="1:40" ht="22.8" x14ac:dyDescent="0.25">
      <c r="A73" s="28">
        <v>72</v>
      </c>
      <c r="B73" s="20">
        <v>30475</v>
      </c>
      <c r="C73" s="27" t="s">
        <v>54</v>
      </c>
      <c r="D73" s="3" t="s">
        <v>159</v>
      </c>
      <c r="E73" s="19" t="s">
        <v>56</v>
      </c>
      <c r="F73" s="29" t="s">
        <v>57</v>
      </c>
      <c r="G73" s="3" t="s">
        <v>11</v>
      </c>
      <c r="H73" s="19">
        <v>42511</v>
      </c>
      <c r="I73" s="3">
        <v>48</v>
      </c>
      <c r="J73" s="3" t="s">
        <v>66</v>
      </c>
      <c r="K73" s="429" t="s">
        <v>59</v>
      </c>
      <c r="L73" s="443">
        <v>44168</v>
      </c>
      <c r="M73" s="433" t="s">
        <v>67</v>
      </c>
      <c r="N73" s="443" t="s">
        <v>63</v>
      </c>
      <c r="O73" s="33">
        <v>45281</v>
      </c>
      <c r="P73" s="33"/>
      <c r="Q73" s="36"/>
      <c r="R73" s="37" t="s">
        <v>62</v>
      </c>
      <c r="S73" s="36"/>
      <c r="T73" s="37" t="s">
        <v>62</v>
      </c>
      <c r="U73" s="36"/>
      <c r="V73" s="36"/>
      <c r="W73" s="36"/>
      <c r="X73" s="36"/>
      <c r="Y73" s="37" t="s">
        <v>62</v>
      </c>
      <c r="Z73" s="429" t="s">
        <v>62</v>
      </c>
      <c r="AA73" s="429"/>
      <c r="AB73" s="24"/>
      <c r="AC73" s="24"/>
      <c r="AD73" s="285" t="s">
        <v>62</v>
      </c>
      <c r="AF73" s="285" t="s">
        <v>599</v>
      </c>
      <c r="AG73" s="1091">
        <v>45470</v>
      </c>
      <c r="AH73" t="s">
        <v>121</v>
      </c>
      <c r="AI73" s="307">
        <v>45192</v>
      </c>
      <c r="AJ73" s="58" t="s">
        <v>121</v>
      </c>
      <c r="AK73" s="58"/>
      <c r="AL73" s="613">
        <v>45647</v>
      </c>
      <c r="AM73" s="365" t="s">
        <v>600</v>
      </c>
    </row>
    <row r="74" spans="1:40" ht="22.8" x14ac:dyDescent="0.25">
      <c r="A74" s="28">
        <v>73</v>
      </c>
      <c r="B74" s="20">
        <v>30477</v>
      </c>
      <c r="C74" s="27" t="s">
        <v>64</v>
      </c>
      <c r="D74" s="3" t="s">
        <v>160</v>
      </c>
      <c r="E74" s="19" t="s">
        <v>56</v>
      </c>
      <c r="F74" s="29" t="s">
        <v>57</v>
      </c>
      <c r="G74" s="3" t="s">
        <v>11</v>
      </c>
      <c r="H74" s="19">
        <v>42520</v>
      </c>
      <c r="I74" s="3">
        <v>42</v>
      </c>
      <c r="J74" s="3" t="s">
        <v>66</v>
      </c>
      <c r="K74" s="429" t="s">
        <v>59</v>
      </c>
      <c r="L74" s="443">
        <v>44124</v>
      </c>
      <c r="M74" s="433" t="s">
        <v>67</v>
      </c>
      <c r="N74" s="443" t="s">
        <v>63</v>
      </c>
      <c r="O74" s="33">
        <v>45061</v>
      </c>
      <c r="P74" s="33"/>
      <c r="Q74" s="36"/>
      <c r="R74" s="37" t="s">
        <v>68</v>
      </c>
      <c r="S74" s="36"/>
      <c r="T74" s="37" t="s">
        <v>68</v>
      </c>
      <c r="U74" s="36"/>
      <c r="V74" s="36"/>
      <c r="W74" s="36"/>
      <c r="X74" s="36"/>
      <c r="Y74" s="37" t="s">
        <v>68</v>
      </c>
      <c r="Z74" s="429" t="s">
        <v>68</v>
      </c>
      <c r="AA74" s="429"/>
      <c r="AB74" s="24"/>
      <c r="AC74" s="24"/>
      <c r="AD74" s="285" t="s">
        <v>68</v>
      </c>
      <c r="AF74" s="285" t="s">
        <v>599</v>
      </c>
      <c r="AG74" s="1091">
        <v>45502</v>
      </c>
      <c r="AH74" t="s">
        <v>121</v>
      </c>
      <c r="AI74" s="307">
        <v>45161</v>
      </c>
      <c r="AJ74" s="58" t="s">
        <v>121</v>
      </c>
      <c r="AK74" s="58"/>
      <c r="AM74" s="365" t="s">
        <v>600</v>
      </c>
      <c r="AN74" s="381"/>
    </row>
    <row r="75" spans="1:40" ht="22.8" x14ac:dyDescent="0.25">
      <c r="A75" s="28">
        <v>74</v>
      </c>
      <c r="B75" s="20">
        <v>30477</v>
      </c>
      <c r="C75" s="27" t="s">
        <v>54</v>
      </c>
      <c r="D75" s="3" t="s">
        <v>161</v>
      </c>
      <c r="E75" s="19" t="s">
        <v>56</v>
      </c>
      <c r="F75" s="29" t="s">
        <v>57</v>
      </c>
      <c r="G75" s="3" t="s">
        <v>11</v>
      </c>
      <c r="H75" s="19">
        <v>42520</v>
      </c>
      <c r="I75" s="3">
        <v>37</v>
      </c>
      <c r="J75" s="3" t="s">
        <v>66</v>
      </c>
      <c r="K75" s="429" t="s">
        <v>59</v>
      </c>
      <c r="L75" s="443">
        <v>44124</v>
      </c>
      <c r="M75" s="433" t="s">
        <v>67</v>
      </c>
      <c r="N75" s="443" t="s">
        <v>63</v>
      </c>
      <c r="O75" s="33">
        <v>45061</v>
      </c>
      <c r="P75" s="33"/>
      <c r="Q75" s="36"/>
      <c r="R75" s="37" t="s">
        <v>62</v>
      </c>
      <c r="S75" s="36"/>
      <c r="T75" s="37" t="s">
        <v>62</v>
      </c>
      <c r="U75" s="36"/>
      <c r="V75" s="36"/>
      <c r="W75" s="36"/>
      <c r="X75" s="36"/>
      <c r="Y75" s="37" t="s">
        <v>62</v>
      </c>
      <c r="Z75" s="429" t="s">
        <v>62</v>
      </c>
      <c r="AA75" s="429"/>
      <c r="AB75" s="24"/>
      <c r="AC75" s="24"/>
      <c r="AD75" s="285" t="s">
        <v>62</v>
      </c>
      <c r="AF75" s="285" t="s">
        <v>599</v>
      </c>
      <c r="AG75" s="1091">
        <v>45502</v>
      </c>
      <c r="AH75" t="s">
        <v>121</v>
      </c>
      <c r="AI75" s="307">
        <v>45161</v>
      </c>
      <c r="AJ75" s="58" t="s">
        <v>121</v>
      </c>
      <c r="AK75" s="58"/>
      <c r="AM75" s="365" t="s">
        <v>600</v>
      </c>
      <c r="AN75" s="381"/>
    </row>
    <row r="76" spans="1:40" ht="22.8" x14ac:dyDescent="0.25">
      <c r="A76" s="28">
        <v>75</v>
      </c>
      <c r="B76" s="20">
        <v>30479</v>
      </c>
      <c r="C76" s="27" t="s">
        <v>64</v>
      </c>
      <c r="D76" s="3" t="s">
        <v>162</v>
      </c>
      <c r="E76" s="19" t="s">
        <v>56</v>
      </c>
      <c r="F76" s="29" t="s">
        <v>57</v>
      </c>
      <c r="G76" s="3" t="s">
        <v>11</v>
      </c>
      <c r="H76" s="19">
        <v>42516</v>
      </c>
      <c r="I76" s="3">
        <v>30</v>
      </c>
      <c r="J76" s="3" t="s">
        <v>66</v>
      </c>
      <c r="K76" s="429" t="s">
        <v>59</v>
      </c>
      <c r="L76" s="443">
        <v>44170</v>
      </c>
      <c r="M76" s="433" t="s">
        <v>67</v>
      </c>
      <c r="N76" s="443" t="s">
        <v>63</v>
      </c>
      <c r="O76" s="33">
        <v>45084</v>
      </c>
      <c r="P76" s="33">
        <v>44683</v>
      </c>
      <c r="Q76" s="36"/>
      <c r="R76" s="37" t="s">
        <v>68</v>
      </c>
      <c r="S76" s="36"/>
      <c r="T76" s="37" t="s">
        <v>68</v>
      </c>
      <c r="U76" s="36"/>
      <c r="V76" s="36"/>
      <c r="W76" s="36"/>
      <c r="X76" s="36"/>
      <c r="Y76" s="37" t="s">
        <v>68</v>
      </c>
      <c r="Z76" s="429" t="s">
        <v>68</v>
      </c>
      <c r="AA76" s="429"/>
      <c r="AB76" s="24"/>
      <c r="AC76" s="24"/>
      <c r="AD76" s="285" t="s">
        <v>68</v>
      </c>
      <c r="AF76" s="285" t="s">
        <v>599</v>
      </c>
      <c r="AG76" s="1091">
        <v>45475</v>
      </c>
      <c r="AH76" t="s">
        <v>121</v>
      </c>
      <c r="AI76" s="307">
        <v>45205</v>
      </c>
      <c r="AJ76" s="58" t="s">
        <v>121</v>
      </c>
      <c r="AK76" s="58"/>
      <c r="AL76" s="613">
        <v>45652</v>
      </c>
      <c r="AM76" s="365" t="s">
        <v>600</v>
      </c>
    </row>
    <row r="77" spans="1:40" ht="22.8" x14ac:dyDescent="0.25">
      <c r="A77" s="28">
        <v>76</v>
      </c>
      <c r="B77" s="20">
        <v>30479</v>
      </c>
      <c r="C77" s="27" t="s">
        <v>54</v>
      </c>
      <c r="D77" s="3" t="s">
        <v>163</v>
      </c>
      <c r="E77" s="19" t="s">
        <v>56</v>
      </c>
      <c r="F77" s="29" t="s">
        <v>57</v>
      </c>
      <c r="G77" s="3" t="s">
        <v>11</v>
      </c>
      <c r="H77" s="19">
        <v>42516</v>
      </c>
      <c r="I77" s="3">
        <v>29</v>
      </c>
      <c r="J77" s="3" t="s">
        <v>66</v>
      </c>
      <c r="K77" s="429" t="s">
        <v>59</v>
      </c>
      <c r="L77" s="443">
        <v>44170</v>
      </c>
      <c r="M77" s="433" t="s">
        <v>67</v>
      </c>
      <c r="N77" s="443" t="s">
        <v>63</v>
      </c>
      <c r="O77" s="33">
        <v>45084</v>
      </c>
      <c r="P77" s="33">
        <v>44683</v>
      </c>
      <c r="Q77" s="36"/>
      <c r="R77" s="37" t="s">
        <v>62</v>
      </c>
      <c r="S77" s="36"/>
      <c r="T77" s="37" t="s">
        <v>62</v>
      </c>
      <c r="U77" s="36"/>
      <c r="V77" s="36"/>
      <c r="W77" s="36"/>
      <c r="X77" s="36"/>
      <c r="Y77" s="37" t="s">
        <v>62</v>
      </c>
      <c r="Z77" s="429" t="s">
        <v>62</v>
      </c>
      <c r="AA77" s="429"/>
      <c r="AB77" s="24"/>
      <c r="AC77" s="24"/>
      <c r="AD77" s="285" t="s">
        <v>62</v>
      </c>
      <c r="AF77" s="285" t="s">
        <v>599</v>
      </c>
      <c r="AG77" s="1091">
        <v>45475</v>
      </c>
      <c r="AH77" t="s">
        <v>121</v>
      </c>
      <c r="AI77" s="307">
        <v>45205</v>
      </c>
      <c r="AJ77" s="58" t="s">
        <v>121</v>
      </c>
      <c r="AK77" s="58"/>
      <c r="AL77" s="613">
        <v>45652</v>
      </c>
      <c r="AM77" s="365" t="s">
        <v>600</v>
      </c>
    </row>
    <row r="78" spans="1:40" ht="22.8" x14ac:dyDescent="0.25">
      <c r="A78" s="28">
        <v>77</v>
      </c>
      <c r="B78" s="20">
        <v>30482</v>
      </c>
      <c r="C78" s="27" t="s">
        <v>64</v>
      </c>
      <c r="D78" s="3" t="s">
        <v>65</v>
      </c>
      <c r="E78" s="19" t="s">
        <v>56</v>
      </c>
      <c r="F78" s="29" t="s">
        <v>57</v>
      </c>
      <c r="G78" s="3" t="s">
        <v>11</v>
      </c>
      <c r="H78" s="19">
        <v>42570</v>
      </c>
      <c r="I78" s="3">
        <v>22</v>
      </c>
      <c r="J78" s="3" t="s">
        <v>66</v>
      </c>
      <c r="K78" s="429" t="s">
        <v>59</v>
      </c>
      <c r="L78" s="443" t="s">
        <v>63</v>
      </c>
      <c r="M78" s="433" t="s">
        <v>67</v>
      </c>
      <c r="N78" s="443" t="s">
        <v>63</v>
      </c>
      <c r="O78" s="33">
        <v>45391</v>
      </c>
      <c r="P78" s="33">
        <v>44699</v>
      </c>
      <c r="Q78" s="36" t="s">
        <v>68</v>
      </c>
      <c r="R78" s="37" t="s">
        <v>68</v>
      </c>
      <c r="S78" s="36"/>
      <c r="T78" s="37" t="s">
        <v>68</v>
      </c>
      <c r="U78" s="36"/>
      <c r="V78" s="36"/>
      <c r="W78" s="36"/>
      <c r="X78" s="36"/>
      <c r="Y78" s="37" t="s">
        <v>68</v>
      </c>
      <c r="Z78" s="429" t="s">
        <v>68</v>
      </c>
      <c r="AA78" s="429"/>
      <c r="AB78" s="24"/>
      <c r="AC78" s="24"/>
      <c r="AD78" s="285" t="s">
        <v>68</v>
      </c>
      <c r="AF78" s="285" t="s">
        <v>599</v>
      </c>
      <c r="AG78" s="1091">
        <v>45495</v>
      </c>
      <c r="AH78" t="s">
        <v>121</v>
      </c>
      <c r="AI78" s="307">
        <v>45152</v>
      </c>
      <c r="AJ78" s="58" t="s">
        <v>121</v>
      </c>
      <c r="AK78" s="58"/>
      <c r="AM78" s="365" t="s">
        <v>600</v>
      </c>
      <c r="AN78" s="381"/>
    </row>
    <row r="79" spans="1:40" ht="22.8" x14ac:dyDescent="0.25">
      <c r="A79" s="28">
        <v>78</v>
      </c>
      <c r="B79" s="20">
        <v>30482</v>
      </c>
      <c r="C79" s="27" t="s">
        <v>54</v>
      </c>
      <c r="D79" s="3" t="s">
        <v>71</v>
      </c>
      <c r="E79" s="19" t="s">
        <v>56</v>
      </c>
      <c r="F79" s="29" t="s">
        <v>57</v>
      </c>
      <c r="G79" s="3" t="s">
        <v>11</v>
      </c>
      <c r="H79" s="19">
        <v>42570</v>
      </c>
      <c r="I79" s="3">
        <v>46</v>
      </c>
      <c r="J79" s="3" t="s">
        <v>66</v>
      </c>
      <c r="K79" s="429" t="s">
        <v>59</v>
      </c>
      <c r="L79" s="443" t="s">
        <v>63</v>
      </c>
      <c r="M79" s="433" t="s">
        <v>67</v>
      </c>
      <c r="N79" s="443" t="s">
        <v>63</v>
      </c>
      <c r="O79" s="33">
        <v>45391</v>
      </c>
      <c r="P79" s="33">
        <v>44699</v>
      </c>
      <c r="Q79" s="36" t="s">
        <v>62</v>
      </c>
      <c r="R79" s="37" t="s">
        <v>62</v>
      </c>
      <c r="S79" s="36"/>
      <c r="T79" s="37" t="s">
        <v>62</v>
      </c>
      <c r="U79" s="36"/>
      <c r="V79" s="36"/>
      <c r="W79" s="36"/>
      <c r="X79" s="36"/>
      <c r="Y79" s="37" t="s">
        <v>62</v>
      </c>
      <c r="Z79" s="429" t="s">
        <v>62</v>
      </c>
      <c r="AA79" s="429"/>
      <c r="AB79" s="24"/>
      <c r="AC79" s="24"/>
      <c r="AD79" s="285" t="s">
        <v>62</v>
      </c>
      <c r="AF79" s="285" t="s">
        <v>599</v>
      </c>
      <c r="AG79" s="1091">
        <v>45495</v>
      </c>
      <c r="AH79" t="s">
        <v>121</v>
      </c>
      <c r="AI79" s="307">
        <v>45152</v>
      </c>
      <c r="AJ79" s="58" t="s">
        <v>121</v>
      </c>
      <c r="AK79" s="58"/>
      <c r="AM79" s="365" t="s">
        <v>600</v>
      </c>
    </row>
    <row r="80" spans="1:40" ht="22.8" x14ac:dyDescent="0.25">
      <c r="A80" s="28">
        <v>79</v>
      </c>
      <c r="B80" s="20">
        <v>30528</v>
      </c>
      <c r="C80" s="27" t="s">
        <v>64</v>
      </c>
      <c r="D80" s="3" t="s">
        <v>69</v>
      </c>
      <c r="E80" s="19" t="s">
        <v>56</v>
      </c>
      <c r="F80" s="29" t="s">
        <v>57</v>
      </c>
      <c r="G80" s="3" t="s">
        <v>11</v>
      </c>
      <c r="H80" s="19">
        <v>42849</v>
      </c>
      <c r="I80" s="3">
        <v>68</v>
      </c>
      <c r="J80" s="3" t="s">
        <v>66</v>
      </c>
      <c r="K80" s="429" t="s">
        <v>59</v>
      </c>
      <c r="L80" s="443">
        <v>44265</v>
      </c>
      <c r="M80" s="432" t="s">
        <v>60</v>
      </c>
      <c r="N80" s="443">
        <v>44265</v>
      </c>
      <c r="O80" s="33">
        <v>45071</v>
      </c>
      <c r="P80" s="33">
        <v>44700</v>
      </c>
      <c r="Q80" s="36" t="s">
        <v>68</v>
      </c>
      <c r="R80" s="37" t="s">
        <v>68</v>
      </c>
      <c r="S80" s="36"/>
      <c r="T80" s="37" t="s">
        <v>68</v>
      </c>
      <c r="U80" s="36"/>
      <c r="V80" s="36"/>
      <c r="W80" s="36"/>
      <c r="X80" s="36"/>
      <c r="Y80" s="37" t="s">
        <v>68</v>
      </c>
      <c r="Z80" s="429" t="s">
        <v>68</v>
      </c>
      <c r="AA80" s="429"/>
      <c r="AB80" s="24"/>
      <c r="AC80" s="24"/>
      <c r="AD80" s="285" t="s">
        <v>68</v>
      </c>
      <c r="AF80" s="285" t="s">
        <v>599</v>
      </c>
      <c r="AG80" s="1091">
        <v>45497</v>
      </c>
      <c r="AH80" t="s">
        <v>121</v>
      </c>
      <c r="AI80" s="307">
        <v>45166</v>
      </c>
      <c r="AJ80" s="58" t="s">
        <v>121</v>
      </c>
      <c r="AK80" s="58"/>
      <c r="AL80" s="613">
        <v>45590</v>
      </c>
      <c r="AM80" s="365" t="s">
        <v>600</v>
      </c>
      <c r="AN80" s="381"/>
    </row>
    <row r="81" spans="1:40" ht="22.8" x14ac:dyDescent="0.3">
      <c r="A81" s="28">
        <v>80</v>
      </c>
      <c r="B81" s="20">
        <v>30528</v>
      </c>
      <c r="C81" s="27" t="s">
        <v>54</v>
      </c>
      <c r="D81" s="3" t="s">
        <v>72</v>
      </c>
      <c r="E81" s="19" t="s">
        <v>56</v>
      </c>
      <c r="F81" s="29" t="s">
        <v>57</v>
      </c>
      <c r="G81" s="3" t="s">
        <v>11</v>
      </c>
      <c r="H81" s="19">
        <v>42849</v>
      </c>
      <c r="I81" s="3">
        <v>71</v>
      </c>
      <c r="J81" s="3" t="s">
        <v>66</v>
      </c>
      <c r="K81" s="429" t="s">
        <v>59</v>
      </c>
      <c r="L81" s="443">
        <v>44265</v>
      </c>
      <c r="M81" s="432" t="s">
        <v>60</v>
      </c>
      <c r="N81" s="443">
        <v>44265</v>
      </c>
      <c r="O81" s="33">
        <v>45071</v>
      </c>
      <c r="P81" s="33">
        <v>44700</v>
      </c>
      <c r="Q81" s="36" t="s">
        <v>62</v>
      </c>
      <c r="R81" s="37" t="s">
        <v>62</v>
      </c>
      <c r="S81" s="36"/>
      <c r="T81" s="37" t="s">
        <v>62</v>
      </c>
      <c r="U81" s="36"/>
      <c r="V81" s="36"/>
      <c r="W81" s="36"/>
      <c r="X81" s="36"/>
      <c r="Y81" s="37" t="s">
        <v>62</v>
      </c>
      <c r="Z81" s="429" t="s">
        <v>62</v>
      </c>
      <c r="AA81" s="429"/>
      <c r="AB81" s="903" t="s">
        <v>514</v>
      </c>
      <c r="AC81" s="24"/>
      <c r="AD81" s="285" t="s">
        <v>62</v>
      </c>
      <c r="AF81" s="285" t="s">
        <v>599</v>
      </c>
      <c r="AG81" s="1091">
        <v>45497</v>
      </c>
      <c r="AH81" t="s">
        <v>121</v>
      </c>
      <c r="AI81" s="307">
        <v>45166</v>
      </c>
      <c r="AJ81" s="58" t="s">
        <v>121</v>
      </c>
      <c r="AK81" s="58"/>
      <c r="AL81" s="613">
        <v>45590</v>
      </c>
      <c r="AM81" s="365" t="s">
        <v>600</v>
      </c>
    </row>
    <row r="82" spans="1:40" ht="22.8" x14ac:dyDescent="0.25">
      <c r="A82" s="28">
        <v>81</v>
      </c>
      <c r="B82" s="20">
        <v>30545</v>
      </c>
      <c r="C82" s="27" t="s">
        <v>64</v>
      </c>
      <c r="D82" s="3" t="s">
        <v>164</v>
      </c>
      <c r="E82" s="19" t="s">
        <v>56</v>
      </c>
      <c r="F82" s="29" t="s">
        <v>57</v>
      </c>
      <c r="G82" s="3" t="s">
        <v>11</v>
      </c>
      <c r="H82" s="19">
        <v>42886</v>
      </c>
      <c r="I82" s="3">
        <v>83</v>
      </c>
      <c r="J82" s="3" t="s">
        <v>66</v>
      </c>
      <c r="K82" s="429" t="s">
        <v>59</v>
      </c>
      <c r="L82" s="443">
        <v>44176</v>
      </c>
      <c r="M82" s="432" t="s">
        <v>60</v>
      </c>
      <c r="N82" s="443">
        <v>44196</v>
      </c>
      <c r="O82" s="33">
        <v>45559</v>
      </c>
      <c r="P82" s="33">
        <v>44663</v>
      </c>
      <c r="Q82" s="36"/>
      <c r="R82" s="37" t="s">
        <v>68</v>
      </c>
      <c r="S82" s="36"/>
      <c r="T82" s="37" t="s">
        <v>68</v>
      </c>
      <c r="U82" s="36"/>
      <c r="V82" s="36"/>
      <c r="W82" s="36"/>
      <c r="X82" s="36"/>
      <c r="Y82" s="37" t="s">
        <v>68</v>
      </c>
      <c r="Z82" s="429" t="s">
        <v>68</v>
      </c>
      <c r="AA82" s="429"/>
      <c r="AB82" s="24"/>
      <c r="AC82" s="24"/>
      <c r="AD82" s="285" t="s">
        <v>68</v>
      </c>
      <c r="AF82" s="285" t="s">
        <v>599</v>
      </c>
      <c r="AG82" s="1091">
        <v>45470</v>
      </c>
      <c r="AH82" t="s">
        <v>121</v>
      </c>
      <c r="AI82" s="307">
        <v>45192</v>
      </c>
      <c r="AJ82" s="58" t="s">
        <v>121</v>
      </c>
      <c r="AK82" s="58"/>
      <c r="AM82" s="365" t="s">
        <v>600</v>
      </c>
    </row>
    <row r="83" spans="1:40" ht="22.8" x14ac:dyDescent="0.25">
      <c r="A83" s="28">
        <v>82</v>
      </c>
      <c r="B83" s="20">
        <v>30545</v>
      </c>
      <c r="C83" s="27" t="s">
        <v>54</v>
      </c>
      <c r="D83" s="3" t="s">
        <v>165</v>
      </c>
      <c r="E83" s="19" t="s">
        <v>56</v>
      </c>
      <c r="F83" s="29" t="s">
        <v>57</v>
      </c>
      <c r="G83" s="3" t="s">
        <v>11</v>
      </c>
      <c r="H83" s="19">
        <v>42886</v>
      </c>
      <c r="I83" s="3">
        <v>82</v>
      </c>
      <c r="J83" s="3" t="s">
        <v>66</v>
      </c>
      <c r="K83" s="429" t="s">
        <v>59</v>
      </c>
      <c r="L83" s="443">
        <v>44176</v>
      </c>
      <c r="M83" s="432" t="s">
        <v>60</v>
      </c>
      <c r="N83" s="443">
        <v>44196</v>
      </c>
      <c r="O83" s="33">
        <v>45559</v>
      </c>
      <c r="P83" s="33">
        <v>44663</v>
      </c>
      <c r="Q83" s="36"/>
      <c r="R83" s="37" t="s">
        <v>62</v>
      </c>
      <c r="S83" s="36"/>
      <c r="T83" s="37" t="s">
        <v>62</v>
      </c>
      <c r="U83" s="36"/>
      <c r="V83" s="36"/>
      <c r="W83" s="36"/>
      <c r="X83" s="36"/>
      <c r="Y83" s="37" t="s">
        <v>62</v>
      </c>
      <c r="Z83" s="429" t="s">
        <v>62</v>
      </c>
      <c r="AA83" s="429"/>
      <c r="AB83" s="24"/>
      <c r="AC83" s="24"/>
      <c r="AD83" s="285" t="s">
        <v>62</v>
      </c>
      <c r="AF83" s="285" t="s">
        <v>599</v>
      </c>
      <c r="AG83" s="1091">
        <v>45470</v>
      </c>
      <c r="AH83" t="s">
        <v>121</v>
      </c>
      <c r="AI83" s="307">
        <v>45192</v>
      </c>
      <c r="AJ83" s="58" t="s">
        <v>121</v>
      </c>
      <c r="AK83" s="58"/>
      <c r="AM83" s="365" t="s">
        <v>600</v>
      </c>
    </row>
    <row r="84" spans="1:40" ht="22.8" x14ac:dyDescent="0.25">
      <c r="A84" s="28">
        <v>83</v>
      </c>
      <c r="B84" s="20">
        <v>30597</v>
      </c>
      <c r="C84" s="27" t="s">
        <v>64</v>
      </c>
      <c r="D84" s="3" t="s">
        <v>166</v>
      </c>
      <c r="E84" s="19" t="s">
        <v>56</v>
      </c>
      <c r="F84" s="29" t="s">
        <v>57</v>
      </c>
      <c r="G84" s="3" t="s">
        <v>11</v>
      </c>
      <c r="H84" s="19">
        <v>43053</v>
      </c>
      <c r="I84" s="3">
        <v>110</v>
      </c>
      <c r="J84" s="3" t="s">
        <v>58</v>
      </c>
      <c r="K84" s="429" t="s">
        <v>59</v>
      </c>
      <c r="L84" s="443">
        <v>44335</v>
      </c>
      <c r="M84" s="432" t="s">
        <v>60</v>
      </c>
      <c r="N84" s="443">
        <v>44464</v>
      </c>
      <c r="O84" s="33">
        <v>45532</v>
      </c>
      <c r="P84" s="33"/>
      <c r="Q84" s="36"/>
      <c r="R84" s="37" t="s">
        <v>68</v>
      </c>
      <c r="S84" s="36"/>
      <c r="T84" s="37" t="s">
        <v>68</v>
      </c>
      <c r="U84" s="36"/>
      <c r="V84" s="36"/>
      <c r="W84" s="36"/>
      <c r="X84" s="36"/>
      <c r="Y84" s="36"/>
      <c r="Z84" s="566" t="s">
        <v>68</v>
      </c>
      <c r="AA84" s="557"/>
      <c r="AB84" s="24"/>
      <c r="AC84" s="24"/>
      <c r="AD84" s="285" t="s">
        <v>68</v>
      </c>
      <c r="AF84" s="285" t="s">
        <v>68</v>
      </c>
      <c r="AG84" s="1092">
        <v>45464</v>
      </c>
      <c r="AH84" t="s">
        <v>121</v>
      </c>
      <c r="AI84" s="307">
        <v>45209</v>
      </c>
      <c r="AJ84" s="58" t="s">
        <v>121</v>
      </c>
      <c r="AK84" s="58"/>
      <c r="AM84" s="613" t="s">
        <v>520</v>
      </c>
      <c r="AN84" s="381"/>
    </row>
    <row r="85" spans="1:40" ht="22.8" x14ac:dyDescent="0.25">
      <c r="A85" s="28">
        <v>84</v>
      </c>
      <c r="B85" s="20">
        <v>30597</v>
      </c>
      <c r="C85" s="27" t="s">
        <v>54</v>
      </c>
      <c r="D85" s="3" t="s">
        <v>167</v>
      </c>
      <c r="E85" s="19" t="s">
        <v>56</v>
      </c>
      <c r="F85" s="29" t="s">
        <v>57</v>
      </c>
      <c r="G85" s="3" t="s">
        <v>11</v>
      </c>
      <c r="H85" s="19">
        <v>43053</v>
      </c>
      <c r="I85" s="3">
        <v>113</v>
      </c>
      <c r="J85" s="3" t="s">
        <v>58</v>
      </c>
      <c r="K85" s="429" t="s">
        <v>59</v>
      </c>
      <c r="L85" s="443">
        <v>44335</v>
      </c>
      <c r="M85" s="432" t="s">
        <v>60</v>
      </c>
      <c r="N85" s="443">
        <v>44464</v>
      </c>
      <c r="O85" s="33">
        <v>45532</v>
      </c>
      <c r="P85" s="33"/>
      <c r="Q85" s="36"/>
      <c r="R85" s="37" t="s">
        <v>62</v>
      </c>
      <c r="S85" s="36"/>
      <c r="T85" s="37" t="s">
        <v>62</v>
      </c>
      <c r="U85" s="36"/>
      <c r="V85" s="36"/>
      <c r="W85" s="36"/>
      <c r="X85" s="36"/>
      <c r="Y85" s="36"/>
      <c r="Z85" s="566" t="s">
        <v>62</v>
      </c>
      <c r="AA85" s="557"/>
      <c r="AB85" s="24"/>
      <c r="AC85" s="24"/>
      <c r="AD85" s="285" t="s">
        <v>62</v>
      </c>
      <c r="AF85" s="285" t="s">
        <v>62</v>
      </c>
      <c r="AG85" s="1092">
        <v>45464</v>
      </c>
      <c r="AH85" t="s">
        <v>121</v>
      </c>
      <c r="AI85" s="307">
        <v>45209</v>
      </c>
      <c r="AJ85" s="58" t="s">
        <v>121</v>
      </c>
      <c r="AK85" s="58"/>
      <c r="AM85" s="613" t="s">
        <v>520</v>
      </c>
      <c r="AN85" s="381"/>
    </row>
    <row r="86" spans="1:40" ht="22.8" x14ac:dyDescent="0.25">
      <c r="A86" s="28">
        <v>85</v>
      </c>
      <c r="B86" s="20">
        <v>30615</v>
      </c>
      <c r="C86" s="27" t="s">
        <v>64</v>
      </c>
      <c r="D86" s="3" t="s">
        <v>70</v>
      </c>
      <c r="E86" s="19" t="s">
        <v>56</v>
      </c>
      <c r="F86" s="29" t="s">
        <v>57</v>
      </c>
      <c r="G86" s="3" t="s">
        <v>11</v>
      </c>
      <c r="H86" s="19">
        <v>43071</v>
      </c>
      <c r="I86" s="3">
        <v>137</v>
      </c>
      <c r="J86" s="3" t="s">
        <v>58</v>
      </c>
      <c r="K86" s="429" t="s">
        <v>59</v>
      </c>
      <c r="L86" s="443">
        <v>44185</v>
      </c>
      <c r="M86" s="432" t="s">
        <v>60</v>
      </c>
      <c r="N86" s="443">
        <v>44185</v>
      </c>
      <c r="O86" s="33"/>
      <c r="P86" s="33"/>
      <c r="Q86" s="16" t="s">
        <v>68</v>
      </c>
      <c r="R86" s="37" t="s">
        <v>68</v>
      </c>
      <c r="S86" s="37" t="s">
        <v>68</v>
      </c>
      <c r="T86" s="16" t="s">
        <v>68</v>
      </c>
      <c r="U86" s="16" t="s">
        <v>68</v>
      </c>
      <c r="V86" s="16"/>
      <c r="W86" s="16"/>
      <c r="X86" s="16"/>
      <c r="Y86" s="16"/>
      <c r="Z86" s="566" t="s">
        <v>68</v>
      </c>
      <c r="AA86" s="432"/>
      <c r="AB86" s="24"/>
      <c r="AC86" s="24"/>
      <c r="AD86" s="285" t="s">
        <v>68</v>
      </c>
      <c r="AE86" s="37"/>
      <c r="AF86" s="285" t="s">
        <v>68</v>
      </c>
      <c r="AG86" s="613">
        <v>45530</v>
      </c>
      <c r="AH86" t="s">
        <v>121</v>
      </c>
      <c r="AI86" s="307">
        <v>45253</v>
      </c>
      <c r="AJ86" s="58" t="s">
        <v>121</v>
      </c>
      <c r="AK86" s="307">
        <v>45610</v>
      </c>
      <c r="AM86" s="613" t="s">
        <v>520</v>
      </c>
    </row>
    <row r="87" spans="1:40" ht="22.8" x14ac:dyDescent="0.25">
      <c r="A87" s="28">
        <v>86</v>
      </c>
      <c r="B87" s="20">
        <v>30615</v>
      </c>
      <c r="C87" s="27" t="s">
        <v>54</v>
      </c>
      <c r="D87" s="3" t="s">
        <v>73</v>
      </c>
      <c r="E87" s="19" t="s">
        <v>56</v>
      </c>
      <c r="F87" s="29" t="s">
        <v>57</v>
      </c>
      <c r="G87" s="3" t="s">
        <v>11</v>
      </c>
      <c r="H87" s="19">
        <v>43071</v>
      </c>
      <c r="I87" s="3">
        <v>157</v>
      </c>
      <c r="J87" s="3" t="s">
        <v>58</v>
      </c>
      <c r="K87" s="429" t="s">
        <v>59</v>
      </c>
      <c r="L87" s="443">
        <v>44185</v>
      </c>
      <c r="M87" s="432" t="s">
        <v>60</v>
      </c>
      <c r="N87" s="443">
        <v>44185</v>
      </c>
      <c r="O87" s="33"/>
      <c r="P87" s="33"/>
      <c r="Q87" s="16" t="s">
        <v>62</v>
      </c>
      <c r="R87" s="37" t="s">
        <v>62</v>
      </c>
      <c r="S87" s="37" t="s">
        <v>62</v>
      </c>
      <c r="T87" s="16" t="s">
        <v>62</v>
      </c>
      <c r="U87" s="16" t="s">
        <v>62</v>
      </c>
      <c r="V87" s="16"/>
      <c r="W87" s="16"/>
      <c r="X87" s="16"/>
      <c r="Y87" s="16"/>
      <c r="Z87" s="566" t="s">
        <v>62</v>
      </c>
      <c r="AA87" s="432"/>
      <c r="AB87" s="24" t="s">
        <v>515</v>
      </c>
      <c r="AC87" s="24"/>
      <c r="AD87" s="285" t="s">
        <v>62</v>
      </c>
      <c r="AE87" s="37"/>
      <c r="AF87" s="285" t="s">
        <v>62</v>
      </c>
      <c r="AG87" s="613">
        <v>45530</v>
      </c>
      <c r="AH87" t="s">
        <v>121</v>
      </c>
      <c r="AI87" s="307">
        <v>45253</v>
      </c>
      <c r="AJ87" s="58" t="s">
        <v>121</v>
      </c>
      <c r="AK87" s="307">
        <v>45610</v>
      </c>
      <c r="AM87" s="613" t="s">
        <v>520</v>
      </c>
    </row>
    <row r="88" spans="1:40" ht="22.8" x14ac:dyDescent="0.25">
      <c r="A88" s="28">
        <v>87</v>
      </c>
      <c r="B88" s="20">
        <v>30749</v>
      </c>
      <c r="C88" s="27" t="s">
        <v>64</v>
      </c>
      <c r="D88" s="3" t="s">
        <v>601</v>
      </c>
      <c r="E88" s="19" t="s">
        <v>522</v>
      </c>
      <c r="F88" s="29" t="s">
        <v>57</v>
      </c>
      <c r="G88" s="3" t="s">
        <v>11</v>
      </c>
      <c r="H88" s="19">
        <v>43649</v>
      </c>
      <c r="I88" s="3">
        <v>227</v>
      </c>
      <c r="J88" s="3" t="s">
        <v>58</v>
      </c>
      <c r="K88" s="429" t="s">
        <v>59</v>
      </c>
      <c r="L88" s="443">
        <v>44215</v>
      </c>
      <c r="M88" s="432" t="s">
        <v>60</v>
      </c>
      <c r="N88" s="443">
        <v>44181</v>
      </c>
      <c r="O88" s="33">
        <v>45033</v>
      </c>
      <c r="P88" s="33"/>
      <c r="Q88" s="16"/>
      <c r="R88" s="16" t="s">
        <v>68</v>
      </c>
      <c r="S88" s="16"/>
      <c r="T88" s="16" t="s">
        <v>68</v>
      </c>
      <c r="U88" s="16" t="s">
        <v>68</v>
      </c>
      <c r="V88" s="16"/>
      <c r="W88" s="16" t="s">
        <v>68</v>
      </c>
      <c r="X88" s="16"/>
      <c r="Y88" s="16"/>
      <c r="Z88" s="432"/>
      <c r="AA88" s="432"/>
      <c r="AB88" s="126" t="s">
        <v>602</v>
      </c>
      <c r="AC88" s="24"/>
      <c r="AD88" s="24"/>
      <c r="AE88" s="24"/>
      <c r="AF88" s="276" t="s">
        <v>68</v>
      </c>
      <c r="AG88" s="286">
        <v>45533</v>
      </c>
      <c r="AH88" s="507" t="s">
        <v>121</v>
      </c>
      <c r="AI88" s="677">
        <v>45183</v>
      </c>
      <c r="AJ88" s="58" t="s">
        <v>121</v>
      </c>
      <c r="AK88" s="58"/>
      <c r="AM88" s="613" t="s">
        <v>520</v>
      </c>
    </row>
    <row r="89" spans="1:40" ht="22.8" x14ac:dyDescent="0.25">
      <c r="A89" s="28">
        <v>88</v>
      </c>
      <c r="B89" s="20">
        <v>30749</v>
      </c>
      <c r="C89" s="27" t="s">
        <v>54</v>
      </c>
      <c r="D89" s="3" t="s">
        <v>603</v>
      </c>
      <c r="E89" s="19" t="s">
        <v>522</v>
      </c>
      <c r="F89" s="29" t="s">
        <v>57</v>
      </c>
      <c r="G89" s="3" t="s">
        <v>11</v>
      </c>
      <c r="H89" s="19">
        <v>43649</v>
      </c>
      <c r="I89" s="3">
        <v>228</v>
      </c>
      <c r="J89" s="3" t="s">
        <v>58</v>
      </c>
      <c r="K89" s="429" t="s">
        <v>59</v>
      </c>
      <c r="L89" s="443">
        <v>44215</v>
      </c>
      <c r="M89" s="432" t="s">
        <v>60</v>
      </c>
      <c r="N89" s="443">
        <v>44181</v>
      </c>
      <c r="O89" s="33">
        <v>45033</v>
      </c>
      <c r="P89" s="33"/>
      <c r="Q89" s="16"/>
      <c r="R89" s="16" t="s">
        <v>62</v>
      </c>
      <c r="S89" s="16"/>
      <c r="T89" s="16" t="s">
        <v>62</v>
      </c>
      <c r="U89" s="16" t="s">
        <v>62</v>
      </c>
      <c r="V89" s="16"/>
      <c r="W89" s="16" t="s">
        <v>62</v>
      </c>
      <c r="X89" s="16"/>
      <c r="Y89" s="16"/>
      <c r="Z89" s="432"/>
      <c r="AA89" s="432"/>
      <c r="AB89" s="24"/>
      <c r="AC89" s="24"/>
      <c r="AD89" s="24"/>
      <c r="AE89" s="24"/>
      <c r="AF89" s="276" t="s">
        <v>62</v>
      </c>
      <c r="AG89" s="286">
        <v>45533</v>
      </c>
      <c r="AH89" s="507" t="s">
        <v>121</v>
      </c>
      <c r="AI89" s="677">
        <v>45183</v>
      </c>
      <c r="AJ89" s="58" t="s">
        <v>121</v>
      </c>
      <c r="AK89" s="58"/>
      <c r="AM89" s="613" t="s">
        <v>520</v>
      </c>
    </row>
    <row r="90" spans="1:40" ht="22.8" x14ac:dyDescent="0.25">
      <c r="A90" s="28">
        <v>89</v>
      </c>
      <c r="B90" s="20">
        <v>37068</v>
      </c>
      <c r="C90" s="27" t="s">
        <v>64</v>
      </c>
      <c r="D90" s="3" t="s">
        <v>169</v>
      </c>
      <c r="E90" s="19" t="s">
        <v>56</v>
      </c>
      <c r="F90" s="29" t="s">
        <v>57</v>
      </c>
      <c r="G90" s="3" t="s">
        <v>11</v>
      </c>
      <c r="H90" s="19">
        <v>43459</v>
      </c>
      <c r="I90" s="3">
        <v>255</v>
      </c>
      <c r="J90" s="3" t="s">
        <v>58</v>
      </c>
      <c r="K90" s="429" t="s">
        <v>59</v>
      </c>
      <c r="L90" s="443">
        <v>44342</v>
      </c>
      <c r="M90" s="432" t="s">
        <v>60</v>
      </c>
      <c r="N90" s="443">
        <v>44203</v>
      </c>
      <c r="O90" s="33">
        <v>45078</v>
      </c>
      <c r="P90" s="33">
        <v>45458</v>
      </c>
      <c r="Q90" s="36"/>
      <c r="R90" s="37" t="s">
        <v>68</v>
      </c>
      <c r="S90" s="36"/>
      <c r="T90" s="16" t="s">
        <v>68</v>
      </c>
      <c r="U90" s="37" t="s">
        <v>68</v>
      </c>
      <c r="V90" s="36"/>
      <c r="W90" s="36"/>
      <c r="X90" s="36"/>
      <c r="Y90" s="37" t="s">
        <v>68</v>
      </c>
      <c r="Z90" s="429" t="s">
        <v>68</v>
      </c>
      <c r="AA90" s="429"/>
      <c r="AB90" s="24" t="s">
        <v>170</v>
      </c>
      <c r="AC90" s="24"/>
      <c r="AD90" s="285" t="s">
        <v>68</v>
      </c>
      <c r="AE90" s="24"/>
      <c r="AF90" s="285" t="s">
        <v>68</v>
      </c>
      <c r="AG90" s="1091">
        <v>45502</v>
      </c>
      <c r="AH90" t="s">
        <v>121</v>
      </c>
      <c r="AI90" s="307">
        <v>45194</v>
      </c>
      <c r="AJ90" s="58" t="s">
        <v>121</v>
      </c>
      <c r="AK90" s="58"/>
      <c r="AM90" s="613" t="s">
        <v>520</v>
      </c>
    </row>
    <row r="91" spans="1:40" ht="22.8" x14ac:dyDescent="0.25">
      <c r="A91" s="28">
        <v>90</v>
      </c>
      <c r="B91" s="20">
        <v>37068</v>
      </c>
      <c r="C91" s="27" t="s">
        <v>54</v>
      </c>
      <c r="D91" s="3" t="s">
        <v>171</v>
      </c>
      <c r="E91" s="19" t="s">
        <v>56</v>
      </c>
      <c r="F91" s="29" t="s">
        <v>57</v>
      </c>
      <c r="G91" s="3" t="s">
        <v>11</v>
      </c>
      <c r="H91" s="19">
        <v>43459</v>
      </c>
      <c r="I91" s="3">
        <v>265</v>
      </c>
      <c r="J91" s="3" t="s">
        <v>58</v>
      </c>
      <c r="K91" s="429" t="s">
        <v>59</v>
      </c>
      <c r="L91" s="443">
        <v>44342</v>
      </c>
      <c r="M91" s="432" t="s">
        <v>60</v>
      </c>
      <c r="N91" s="443">
        <v>44203</v>
      </c>
      <c r="O91" s="33">
        <v>45078</v>
      </c>
      <c r="P91" s="33">
        <v>45458</v>
      </c>
      <c r="Q91" s="36"/>
      <c r="R91" s="37" t="s">
        <v>62</v>
      </c>
      <c r="S91" s="36"/>
      <c r="T91" s="16" t="s">
        <v>62</v>
      </c>
      <c r="U91" s="37" t="s">
        <v>62</v>
      </c>
      <c r="V91" s="36"/>
      <c r="W91" s="36"/>
      <c r="X91" s="36"/>
      <c r="Y91" s="37" t="s">
        <v>62</v>
      </c>
      <c r="Z91" s="429" t="s">
        <v>62</v>
      </c>
      <c r="AA91" s="429"/>
      <c r="AB91" s="24"/>
      <c r="AC91" s="24"/>
      <c r="AD91" s="285" t="s">
        <v>62</v>
      </c>
      <c r="AE91" s="24"/>
      <c r="AF91" s="285" t="s">
        <v>62</v>
      </c>
      <c r="AG91" s="1091">
        <v>45502</v>
      </c>
      <c r="AH91" t="s">
        <v>121</v>
      </c>
      <c r="AI91" s="307">
        <v>45194</v>
      </c>
      <c r="AJ91" s="58" t="s">
        <v>121</v>
      </c>
      <c r="AK91" s="58"/>
      <c r="AM91" s="613" t="s">
        <v>520</v>
      </c>
    </row>
    <row r="92" spans="1:40" ht="22.8" x14ac:dyDescent="0.25">
      <c r="A92" s="28">
        <v>91</v>
      </c>
      <c r="B92" s="20">
        <v>37069</v>
      </c>
      <c r="C92" s="27" t="s">
        <v>64</v>
      </c>
      <c r="D92" s="3" t="s">
        <v>172</v>
      </c>
      <c r="E92" s="19" t="s">
        <v>56</v>
      </c>
      <c r="F92" s="29" t="s">
        <v>57</v>
      </c>
      <c r="G92" s="3" t="s">
        <v>11</v>
      </c>
      <c r="H92" s="19">
        <v>43461</v>
      </c>
      <c r="I92" s="3">
        <v>254</v>
      </c>
      <c r="J92" s="3" t="s">
        <v>58</v>
      </c>
      <c r="K92" s="429" t="s">
        <v>59</v>
      </c>
      <c r="L92" s="443">
        <v>44270</v>
      </c>
      <c r="M92" s="432" t="s">
        <v>60</v>
      </c>
      <c r="N92" s="443">
        <v>44270</v>
      </c>
      <c r="O92" s="33">
        <v>45286</v>
      </c>
      <c r="P92" s="33">
        <v>45049</v>
      </c>
      <c r="Q92" s="36"/>
      <c r="R92" s="37" t="s">
        <v>68</v>
      </c>
      <c r="S92" s="36"/>
      <c r="T92" s="16" t="s">
        <v>68</v>
      </c>
      <c r="U92" s="37" t="s">
        <v>68</v>
      </c>
      <c r="V92" s="36"/>
      <c r="W92" s="36"/>
      <c r="X92" s="36"/>
      <c r="Y92" s="37" t="s">
        <v>68</v>
      </c>
      <c r="Z92" s="429" t="s">
        <v>68</v>
      </c>
      <c r="AA92" s="429"/>
      <c r="AB92" s="24"/>
      <c r="AC92" s="24"/>
      <c r="AD92" s="285" t="s">
        <v>68</v>
      </c>
      <c r="AE92" s="24"/>
      <c r="AF92" s="285" t="s">
        <v>68</v>
      </c>
      <c r="AG92" s="1092">
        <v>45465</v>
      </c>
      <c r="AH92" t="s">
        <v>121</v>
      </c>
      <c r="AI92" s="307">
        <v>45194</v>
      </c>
      <c r="AJ92" s="58" t="s">
        <v>121</v>
      </c>
      <c r="AL92" s="613">
        <v>45568</v>
      </c>
      <c r="AM92" s="613" t="s">
        <v>520</v>
      </c>
    </row>
    <row r="93" spans="1:40" ht="22.8" x14ac:dyDescent="0.25">
      <c r="A93" s="28">
        <v>92</v>
      </c>
      <c r="B93" s="20">
        <v>37069</v>
      </c>
      <c r="C93" s="27" t="s">
        <v>54</v>
      </c>
      <c r="D93" s="3" t="s">
        <v>173</v>
      </c>
      <c r="E93" s="19" t="s">
        <v>56</v>
      </c>
      <c r="F93" s="29" t="s">
        <v>57</v>
      </c>
      <c r="G93" s="3" t="s">
        <v>11</v>
      </c>
      <c r="H93" s="19">
        <v>43461</v>
      </c>
      <c r="I93" s="3">
        <v>264</v>
      </c>
      <c r="J93" s="3" t="s">
        <v>58</v>
      </c>
      <c r="K93" s="429" t="s">
        <v>59</v>
      </c>
      <c r="L93" s="443">
        <v>44270</v>
      </c>
      <c r="M93" s="432" t="s">
        <v>60</v>
      </c>
      <c r="N93" s="443">
        <v>44270</v>
      </c>
      <c r="O93" s="33">
        <v>45286</v>
      </c>
      <c r="P93" s="33">
        <v>45049</v>
      </c>
      <c r="Q93" s="36"/>
      <c r="R93" s="37" t="s">
        <v>62</v>
      </c>
      <c r="S93" s="36"/>
      <c r="T93" s="16" t="s">
        <v>62</v>
      </c>
      <c r="U93" s="37" t="s">
        <v>62</v>
      </c>
      <c r="V93" s="36"/>
      <c r="W93" s="36"/>
      <c r="X93" s="36"/>
      <c r="Y93" s="37" t="s">
        <v>62</v>
      </c>
      <c r="Z93" s="429" t="s">
        <v>62</v>
      </c>
      <c r="AA93" s="429"/>
      <c r="AB93" s="24"/>
      <c r="AC93" s="24"/>
      <c r="AD93" s="285" t="s">
        <v>62</v>
      </c>
      <c r="AE93" s="24"/>
      <c r="AF93" s="285" t="s">
        <v>62</v>
      </c>
      <c r="AG93" s="1092">
        <v>45465</v>
      </c>
      <c r="AH93" t="s">
        <v>121</v>
      </c>
      <c r="AI93" s="307">
        <v>45194</v>
      </c>
      <c r="AJ93" s="58" t="s">
        <v>121</v>
      </c>
      <c r="AK93" s="613">
        <v>45482</v>
      </c>
      <c r="AL93" s="613">
        <v>45568</v>
      </c>
      <c r="AM93" s="613" t="s">
        <v>520</v>
      </c>
    </row>
    <row r="94" spans="1:40" ht="22.8" x14ac:dyDescent="0.25">
      <c r="A94" s="28">
        <v>93</v>
      </c>
      <c r="B94" s="20">
        <v>37114</v>
      </c>
      <c r="C94" s="27" t="s">
        <v>64</v>
      </c>
      <c r="D94" s="3" t="s">
        <v>174</v>
      </c>
      <c r="E94" s="19" t="s">
        <v>56</v>
      </c>
      <c r="F94" s="29" t="s">
        <v>57</v>
      </c>
      <c r="G94" s="3" t="s">
        <v>11</v>
      </c>
      <c r="H94" s="19">
        <v>43542</v>
      </c>
      <c r="I94" s="3">
        <v>317</v>
      </c>
      <c r="J94" s="3" t="s">
        <v>58</v>
      </c>
      <c r="K94" s="429" t="s">
        <v>59</v>
      </c>
      <c r="L94" s="443">
        <v>44191</v>
      </c>
      <c r="M94" s="432" t="s">
        <v>60</v>
      </c>
      <c r="N94" s="443">
        <v>44191</v>
      </c>
      <c r="O94" s="33"/>
      <c r="P94" s="33">
        <v>44735</v>
      </c>
      <c r="Q94" s="36"/>
      <c r="R94" s="37" t="s">
        <v>68</v>
      </c>
      <c r="S94" s="36"/>
      <c r="T94" s="16" t="s">
        <v>68</v>
      </c>
      <c r="U94" s="16" t="s">
        <v>68</v>
      </c>
      <c r="V94" s="36"/>
      <c r="W94" s="36"/>
      <c r="X94" s="36"/>
      <c r="Y94" s="16" t="s">
        <v>68</v>
      </c>
      <c r="Z94" s="429" t="s">
        <v>68</v>
      </c>
      <c r="AA94" s="557"/>
      <c r="AB94" s="24"/>
      <c r="AC94" s="24"/>
      <c r="AD94" s="285" t="s">
        <v>68</v>
      </c>
      <c r="AE94" s="3"/>
      <c r="AF94" s="285" t="s">
        <v>68</v>
      </c>
      <c r="AG94" s="1091">
        <v>45478</v>
      </c>
      <c r="AH94" t="s">
        <v>121</v>
      </c>
      <c r="AI94" s="307">
        <v>45176</v>
      </c>
      <c r="AJ94" s="58" t="s">
        <v>121</v>
      </c>
      <c r="AK94" s="58"/>
      <c r="AN94" s="381"/>
    </row>
    <row r="95" spans="1:40" ht="18" customHeight="1" x14ac:dyDescent="0.25">
      <c r="A95" s="28">
        <v>94</v>
      </c>
      <c r="B95" s="20">
        <v>37114</v>
      </c>
      <c r="C95" s="27" t="s">
        <v>54</v>
      </c>
      <c r="D95" s="3" t="s">
        <v>175</v>
      </c>
      <c r="E95" s="19" t="s">
        <v>56</v>
      </c>
      <c r="F95" s="29" t="s">
        <v>57</v>
      </c>
      <c r="G95" s="3" t="s">
        <v>11</v>
      </c>
      <c r="H95" s="19">
        <v>43542</v>
      </c>
      <c r="I95" s="3">
        <v>316</v>
      </c>
      <c r="J95" s="3" t="s">
        <v>58</v>
      </c>
      <c r="K95" s="429" t="s">
        <v>59</v>
      </c>
      <c r="L95" s="443">
        <v>44191</v>
      </c>
      <c r="M95" s="432" t="s">
        <v>60</v>
      </c>
      <c r="N95" s="443">
        <v>44191</v>
      </c>
      <c r="O95" s="33"/>
      <c r="P95" s="33">
        <v>44735</v>
      </c>
      <c r="Q95" s="36"/>
      <c r="R95" s="37" t="s">
        <v>62</v>
      </c>
      <c r="S95" s="36"/>
      <c r="T95" s="16" t="s">
        <v>62</v>
      </c>
      <c r="U95" s="16" t="s">
        <v>62</v>
      </c>
      <c r="V95" s="36"/>
      <c r="W95" s="36"/>
      <c r="X95" s="36"/>
      <c r="Y95" s="16" t="s">
        <v>62</v>
      </c>
      <c r="Z95" s="429" t="s">
        <v>62</v>
      </c>
      <c r="AA95" s="557"/>
      <c r="AB95" t="s">
        <v>505</v>
      </c>
      <c r="AC95" t="s">
        <v>506</v>
      </c>
      <c r="AD95" s="285" t="s">
        <v>62</v>
      </c>
      <c r="AE95" s="3"/>
      <c r="AF95" s="285" t="s">
        <v>62</v>
      </c>
      <c r="AG95" s="1091">
        <v>45478</v>
      </c>
      <c r="AH95" t="s">
        <v>121</v>
      </c>
      <c r="AI95" s="307">
        <v>45176</v>
      </c>
      <c r="AJ95" s="58" t="s">
        <v>121</v>
      </c>
      <c r="AK95" s="58"/>
    </row>
    <row r="96" spans="1:40" ht="22.8" x14ac:dyDescent="0.25">
      <c r="A96" s="28">
        <v>95</v>
      </c>
      <c r="B96" s="20">
        <v>37143</v>
      </c>
      <c r="C96" s="27" t="s">
        <v>64</v>
      </c>
      <c r="D96" s="3" t="s">
        <v>176</v>
      </c>
      <c r="E96" s="19" t="s">
        <v>56</v>
      </c>
      <c r="F96" s="29" t="s">
        <v>57</v>
      </c>
      <c r="G96" s="3" t="s">
        <v>11</v>
      </c>
      <c r="H96" s="49">
        <v>43571</v>
      </c>
      <c r="I96" s="3">
        <v>413</v>
      </c>
      <c r="J96" s="3" t="s">
        <v>58</v>
      </c>
      <c r="K96" s="429" t="s">
        <v>59</v>
      </c>
      <c r="L96" s="443">
        <v>44180</v>
      </c>
      <c r="M96" s="432" t="s">
        <v>60</v>
      </c>
      <c r="N96" s="443">
        <v>44180</v>
      </c>
      <c r="O96" s="33">
        <v>45148</v>
      </c>
      <c r="P96" s="33">
        <v>7</v>
      </c>
      <c r="Q96" s="36"/>
      <c r="R96" s="37" t="s">
        <v>68</v>
      </c>
      <c r="S96" s="36"/>
      <c r="T96" s="16" t="s">
        <v>68</v>
      </c>
      <c r="U96" s="16" t="s">
        <v>68</v>
      </c>
      <c r="V96" s="36"/>
      <c r="W96" s="36"/>
      <c r="X96" s="36"/>
      <c r="Y96" s="16" t="s">
        <v>68</v>
      </c>
      <c r="Z96" s="429" t="s">
        <v>68</v>
      </c>
      <c r="AA96" s="557"/>
      <c r="AB96" s="24" t="s">
        <v>500</v>
      </c>
      <c r="AC96" s="24"/>
      <c r="AD96" s="285" t="s">
        <v>68</v>
      </c>
      <c r="AE96" s="3"/>
      <c r="AF96" s="285" t="s">
        <v>68</v>
      </c>
      <c r="AG96" s="1091">
        <v>45470</v>
      </c>
      <c r="AH96" t="s">
        <v>121</v>
      </c>
      <c r="AI96" s="307">
        <v>45215</v>
      </c>
      <c r="AJ96" s="58" t="s">
        <v>121</v>
      </c>
      <c r="AK96" s="58"/>
      <c r="AM96" s="613" t="s">
        <v>520</v>
      </c>
      <c r="AN96" s="381"/>
    </row>
    <row r="97" spans="1:40" ht="22.8" x14ac:dyDescent="0.25">
      <c r="A97" s="28">
        <v>96</v>
      </c>
      <c r="B97" s="20">
        <v>37143</v>
      </c>
      <c r="C97" s="27" t="s">
        <v>54</v>
      </c>
      <c r="D97" s="3" t="s">
        <v>55</v>
      </c>
      <c r="E97" s="19" t="s">
        <v>56</v>
      </c>
      <c r="F97" s="29" t="s">
        <v>57</v>
      </c>
      <c r="G97" s="3" t="s">
        <v>11</v>
      </c>
      <c r="H97" s="49">
        <v>43571</v>
      </c>
      <c r="I97" s="3">
        <v>412</v>
      </c>
      <c r="J97" s="3" t="s">
        <v>58</v>
      </c>
      <c r="K97" s="429" t="s">
        <v>59</v>
      </c>
      <c r="L97" s="443">
        <v>44180</v>
      </c>
      <c r="M97" s="432" t="s">
        <v>60</v>
      </c>
      <c r="N97" s="443">
        <v>44180</v>
      </c>
      <c r="O97" s="33">
        <v>45148</v>
      </c>
      <c r="P97" s="33"/>
      <c r="Q97" s="36" t="s">
        <v>61</v>
      </c>
      <c r="R97" s="37" t="s">
        <v>62</v>
      </c>
      <c r="S97" s="36"/>
      <c r="T97" s="16" t="s">
        <v>62</v>
      </c>
      <c r="U97" s="16" t="s">
        <v>62</v>
      </c>
      <c r="V97" s="36"/>
      <c r="W97" s="36"/>
      <c r="X97" s="36"/>
      <c r="Y97" s="16" t="s">
        <v>62</v>
      </c>
      <c r="Z97" s="429" t="s">
        <v>62</v>
      </c>
      <c r="AA97" s="557"/>
      <c r="AB97" s="24"/>
      <c r="AC97" s="24"/>
      <c r="AD97" s="285" t="s">
        <v>62</v>
      </c>
      <c r="AE97" s="3"/>
      <c r="AF97" s="285" t="s">
        <v>62</v>
      </c>
      <c r="AG97" s="1091">
        <v>45470</v>
      </c>
      <c r="AH97" t="s">
        <v>121</v>
      </c>
      <c r="AI97" s="307">
        <v>45215</v>
      </c>
      <c r="AJ97" s="58" t="s">
        <v>121</v>
      </c>
      <c r="AK97" s="58"/>
      <c r="AM97" s="613" t="s">
        <v>520</v>
      </c>
    </row>
    <row r="98" spans="1:40" ht="22.8" x14ac:dyDescent="0.25">
      <c r="A98" s="28">
        <v>97</v>
      </c>
      <c r="B98" s="20">
        <v>37201</v>
      </c>
      <c r="C98" s="27" t="s">
        <v>64</v>
      </c>
      <c r="D98" s="3" t="s">
        <v>177</v>
      </c>
      <c r="E98" s="19" t="s">
        <v>56</v>
      </c>
      <c r="F98" s="29" t="s">
        <v>57</v>
      </c>
      <c r="G98" s="3" t="s">
        <v>11</v>
      </c>
      <c r="H98" s="19">
        <v>43637</v>
      </c>
      <c r="I98" s="3">
        <v>470</v>
      </c>
      <c r="J98" s="3" t="s">
        <v>58</v>
      </c>
      <c r="K98" s="429" t="s">
        <v>59</v>
      </c>
      <c r="L98" s="443">
        <v>44111</v>
      </c>
      <c r="M98" s="432" t="s">
        <v>60</v>
      </c>
      <c r="N98" s="443">
        <v>44188</v>
      </c>
      <c r="O98" s="33">
        <v>45083</v>
      </c>
      <c r="P98" s="33"/>
      <c r="Q98" s="36"/>
      <c r="R98" s="37" t="s">
        <v>68</v>
      </c>
      <c r="S98" s="36"/>
      <c r="T98" s="36" t="s">
        <v>68</v>
      </c>
      <c r="U98" s="36" t="s">
        <v>68</v>
      </c>
      <c r="V98" s="36"/>
      <c r="W98" s="36"/>
      <c r="X98" s="36" t="s">
        <v>68</v>
      </c>
      <c r="Y98" s="36"/>
      <c r="Z98" s="429" t="s">
        <v>68</v>
      </c>
      <c r="AA98" s="557"/>
      <c r="AB98" s="24"/>
      <c r="AC98" s="24"/>
      <c r="AD98" s="285" t="s">
        <v>68</v>
      </c>
      <c r="AE98" s="24"/>
      <c r="AF98" s="285" t="s">
        <v>68</v>
      </c>
      <c r="AG98" s="1091">
        <v>45484</v>
      </c>
      <c r="AH98" t="s">
        <v>121</v>
      </c>
      <c r="AI98" s="307">
        <v>45188</v>
      </c>
      <c r="AJ98" s="58" t="s">
        <v>121</v>
      </c>
      <c r="AK98" s="58"/>
      <c r="AM98" s="613">
        <v>45577</v>
      </c>
    </row>
    <row r="99" spans="1:40" ht="22.8" x14ac:dyDescent="0.25">
      <c r="A99" s="28">
        <v>98</v>
      </c>
      <c r="B99" s="20">
        <v>37201</v>
      </c>
      <c r="C99" s="27" t="s">
        <v>54</v>
      </c>
      <c r="D99" s="3" t="s">
        <v>178</v>
      </c>
      <c r="E99" s="19" t="s">
        <v>56</v>
      </c>
      <c r="F99" s="29" t="s">
        <v>57</v>
      </c>
      <c r="G99" s="3" t="s">
        <v>11</v>
      </c>
      <c r="H99" s="19">
        <v>43637</v>
      </c>
      <c r="I99" s="3">
        <v>497</v>
      </c>
      <c r="J99" s="3" t="s">
        <v>58</v>
      </c>
      <c r="K99" s="429" t="s">
        <v>59</v>
      </c>
      <c r="L99" s="443">
        <v>44111</v>
      </c>
      <c r="M99" s="432" t="s">
        <v>60</v>
      </c>
      <c r="N99" s="443">
        <v>44188</v>
      </c>
      <c r="O99" s="33">
        <v>45083</v>
      </c>
      <c r="P99" s="33"/>
      <c r="Q99" s="36"/>
      <c r="R99" s="37" t="s">
        <v>62</v>
      </c>
      <c r="S99" s="36"/>
      <c r="T99" s="36" t="s">
        <v>62</v>
      </c>
      <c r="U99" s="36" t="s">
        <v>62</v>
      </c>
      <c r="V99" s="36"/>
      <c r="W99" s="36"/>
      <c r="X99" s="36" t="s">
        <v>62</v>
      </c>
      <c r="Y99" s="36"/>
      <c r="Z99" s="429" t="s">
        <v>62</v>
      </c>
      <c r="AA99" s="557"/>
      <c r="AB99" s="24" t="s">
        <v>179</v>
      </c>
      <c r="AC99" s="24"/>
      <c r="AD99" s="285" t="s">
        <v>62</v>
      </c>
      <c r="AE99" s="24"/>
      <c r="AF99" s="285" t="s">
        <v>62</v>
      </c>
      <c r="AG99" s="1091">
        <v>45484</v>
      </c>
      <c r="AH99" t="s">
        <v>121</v>
      </c>
      <c r="AI99" s="307">
        <v>45188</v>
      </c>
      <c r="AJ99" s="58" t="s">
        <v>121</v>
      </c>
      <c r="AK99" s="58"/>
      <c r="AM99" s="613">
        <v>45577</v>
      </c>
    </row>
    <row r="100" spans="1:40" ht="22.8" x14ac:dyDescent="0.25">
      <c r="A100" s="28">
        <v>99</v>
      </c>
      <c r="B100" s="20">
        <v>37203</v>
      </c>
      <c r="C100" s="27" t="s">
        <v>64</v>
      </c>
      <c r="D100" s="3" t="s">
        <v>180</v>
      </c>
      <c r="E100" s="19" t="s">
        <v>56</v>
      </c>
      <c r="F100" s="29" t="s">
        <v>57</v>
      </c>
      <c r="G100" s="3" t="s">
        <v>11</v>
      </c>
      <c r="H100" s="19">
        <v>43638</v>
      </c>
      <c r="I100" s="3">
        <v>496</v>
      </c>
      <c r="J100" s="3" t="s">
        <v>58</v>
      </c>
      <c r="K100" s="429" t="s">
        <v>59</v>
      </c>
      <c r="L100" s="443">
        <v>44291</v>
      </c>
      <c r="M100" s="432" t="s">
        <v>60</v>
      </c>
      <c r="N100" s="443">
        <v>44196</v>
      </c>
      <c r="O100" s="33">
        <v>45309</v>
      </c>
      <c r="P100" s="33"/>
      <c r="Q100" s="36"/>
      <c r="R100" s="37" t="s">
        <v>68</v>
      </c>
      <c r="S100" s="36"/>
      <c r="T100" s="36" t="s">
        <v>68</v>
      </c>
      <c r="U100" s="37" t="s">
        <v>68</v>
      </c>
      <c r="V100" s="36"/>
      <c r="W100" s="36"/>
      <c r="X100" s="36"/>
      <c r="Y100" s="37" t="s">
        <v>68</v>
      </c>
      <c r="Z100" s="429" t="s">
        <v>68</v>
      </c>
      <c r="AA100" s="429"/>
      <c r="AB100" s="24"/>
      <c r="AC100" s="24"/>
      <c r="AD100" s="285" t="s">
        <v>68</v>
      </c>
      <c r="AF100" s="285" t="s">
        <v>68</v>
      </c>
      <c r="AG100" s="1092">
        <v>45465</v>
      </c>
      <c r="AH100" t="s">
        <v>121</v>
      </c>
      <c r="AI100" s="307">
        <v>45211</v>
      </c>
      <c r="AJ100" s="58" t="s">
        <v>121</v>
      </c>
      <c r="AK100" s="58"/>
      <c r="AL100" s="613">
        <v>45589</v>
      </c>
      <c r="AM100" s="613">
        <v>45589</v>
      </c>
      <c r="AN100" s="381"/>
    </row>
    <row r="101" spans="1:40" ht="22.8" x14ac:dyDescent="0.25">
      <c r="A101" s="28">
        <v>100</v>
      </c>
      <c r="B101" s="20">
        <v>37203</v>
      </c>
      <c r="C101" s="27" t="s">
        <v>54</v>
      </c>
      <c r="D101" s="3" t="s">
        <v>181</v>
      </c>
      <c r="E101" s="19" t="s">
        <v>56</v>
      </c>
      <c r="F101" s="29" t="s">
        <v>57</v>
      </c>
      <c r="G101" s="3" t="s">
        <v>11</v>
      </c>
      <c r="H101" s="19">
        <v>43638</v>
      </c>
      <c r="I101" s="3">
        <v>471</v>
      </c>
      <c r="J101" s="3" t="s">
        <v>58</v>
      </c>
      <c r="K101" s="429" t="s">
        <v>59</v>
      </c>
      <c r="L101" s="443">
        <v>44291</v>
      </c>
      <c r="M101" s="432" t="s">
        <v>60</v>
      </c>
      <c r="N101" s="443">
        <v>44196</v>
      </c>
      <c r="O101" s="33">
        <v>45309</v>
      </c>
      <c r="P101" s="33"/>
      <c r="Q101" s="36"/>
      <c r="R101" s="37" t="s">
        <v>62</v>
      </c>
      <c r="S101" s="36"/>
      <c r="T101" s="36" t="s">
        <v>62</v>
      </c>
      <c r="U101" s="37" t="s">
        <v>62</v>
      </c>
      <c r="V101" s="36"/>
      <c r="W101" s="36"/>
      <c r="X101" s="36"/>
      <c r="Y101" s="37" t="s">
        <v>62</v>
      </c>
      <c r="Z101" s="429" t="s">
        <v>62</v>
      </c>
      <c r="AA101" s="429"/>
      <c r="AB101" s="24"/>
      <c r="AC101" s="24"/>
      <c r="AD101" s="285" t="s">
        <v>62</v>
      </c>
      <c r="AF101" s="79" t="s">
        <v>604</v>
      </c>
      <c r="AG101" s="1092">
        <v>45465</v>
      </c>
      <c r="AH101" t="s">
        <v>121</v>
      </c>
      <c r="AI101" s="307">
        <v>45211</v>
      </c>
      <c r="AJ101" s="58" t="s">
        <v>121</v>
      </c>
      <c r="AK101" s="58"/>
      <c r="AL101" s="613">
        <v>45589</v>
      </c>
      <c r="AM101" s="613">
        <v>45589</v>
      </c>
      <c r="AN101" s="381"/>
    </row>
    <row r="102" spans="1:40" ht="22.8" x14ac:dyDescent="0.25">
      <c r="A102" s="28">
        <v>101</v>
      </c>
      <c r="B102" s="20">
        <v>37205</v>
      </c>
      <c r="C102" s="27" t="s">
        <v>64</v>
      </c>
      <c r="D102" s="3" t="s">
        <v>182</v>
      </c>
      <c r="E102" s="19" t="s">
        <v>56</v>
      </c>
      <c r="F102" s="29" t="s">
        <v>57</v>
      </c>
      <c r="G102" s="3" t="s">
        <v>11</v>
      </c>
      <c r="H102" s="19">
        <v>43639</v>
      </c>
      <c r="I102" s="3">
        <v>502</v>
      </c>
      <c r="J102" s="3" t="s">
        <v>58</v>
      </c>
      <c r="K102" s="429" t="s">
        <v>59</v>
      </c>
      <c r="L102" s="443">
        <v>44558</v>
      </c>
      <c r="M102" s="432" t="s">
        <v>60</v>
      </c>
      <c r="N102" s="443">
        <v>44800</v>
      </c>
      <c r="O102" s="33">
        <v>45050</v>
      </c>
      <c r="P102" s="33"/>
      <c r="Q102" s="36"/>
      <c r="R102" s="37" t="s">
        <v>68</v>
      </c>
      <c r="S102" s="36"/>
      <c r="T102" s="37" t="s">
        <v>68</v>
      </c>
      <c r="U102" s="37" t="s">
        <v>68</v>
      </c>
      <c r="V102" s="36"/>
      <c r="W102" s="36"/>
      <c r="X102" s="36"/>
      <c r="Y102" s="37" t="s">
        <v>68</v>
      </c>
      <c r="Z102" s="429" t="s">
        <v>68</v>
      </c>
      <c r="AA102" s="429"/>
      <c r="AB102" s="24"/>
      <c r="AC102" s="24"/>
      <c r="AD102" s="285" t="s">
        <v>68</v>
      </c>
      <c r="AF102" s="285" t="s">
        <v>68</v>
      </c>
      <c r="AG102" s="1091">
        <v>45480</v>
      </c>
      <c r="AH102" t="s">
        <v>121</v>
      </c>
      <c r="AI102" s="307" t="s">
        <v>91</v>
      </c>
      <c r="AJ102" s="58" t="s">
        <v>121</v>
      </c>
      <c r="AK102" s="58"/>
      <c r="AL102" s="613">
        <v>45672</v>
      </c>
      <c r="AM102" s="613">
        <v>45579</v>
      </c>
    </row>
    <row r="103" spans="1:40" ht="22.8" x14ac:dyDescent="0.25">
      <c r="A103" s="28">
        <v>102</v>
      </c>
      <c r="B103" s="20">
        <v>37205</v>
      </c>
      <c r="C103" s="27" t="s">
        <v>54</v>
      </c>
      <c r="D103" s="3" t="s">
        <v>141</v>
      </c>
      <c r="E103" s="19" t="s">
        <v>56</v>
      </c>
      <c r="F103" s="29" t="s">
        <v>57</v>
      </c>
      <c r="G103" s="3" t="s">
        <v>11</v>
      </c>
      <c r="H103" s="19">
        <v>43639</v>
      </c>
      <c r="I103" s="3">
        <v>511</v>
      </c>
      <c r="J103" s="3" t="s">
        <v>58</v>
      </c>
      <c r="K103" s="429" t="s">
        <v>59</v>
      </c>
      <c r="L103" s="443">
        <v>44558</v>
      </c>
      <c r="M103" s="432" t="s">
        <v>60</v>
      </c>
      <c r="N103" s="443">
        <v>44800</v>
      </c>
      <c r="O103" s="33">
        <v>45050</v>
      </c>
      <c r="P103" s="33"/>
      <c r="Q103" s="16" t="s">
        <v>75</v>
      </c>
      <c r="R103" s="37" t="s">
        <v>62</v>
      </c>
      <c r="S103" s="36"/>
      <c r="T103" s="37" t="s">
        <v>62</v>
      </c>
      <c r="U103" s="37" t="s">
        <v>62</v>
      </c>
      <c r="V103" s="36"/>
      <c r="W103" s="36"/>
      <c r="X103" s="36"/>
      <c r="Y103" s="37" t="s">
        <v>62</v>
      </c>
      <c r="Z103" s="429" t="s">
        <v>62</v>
      </c>
      <c r="AA103" s="429"/>
      <c r="AB103" s="24"/>
      <c r="AC103" s="24"/>
      <c r="AD103" s="285" t="s">
        <v>62</v>
      </c>
      <c r="AF103" s="285" t="s">
        <v>62</v>
      </c>
      <c r="AG103" s="1091">
        <v>45480</v>
      </c>
      <c r="AH103" t="s">
        <v>121</v>
      </c>
      <c r="AI103" s="307" t="s">
        <v>91</v>
      </c>
      <c r="AJ103" s="58" t="s">
        <v>121</v>
      </c>
      <c r="AK103" s="58"/>
      <c r="AL103" s="613">
        <v>45672</v>
      </c>
      <c r="AM103" s="613">
        <v>45579</v>
      </c>
    </row>
    <row r="104" spans="1:40" ht="22.8" x14ac:dyDescent="0.25">
      <c r="A104" s="28">
        <v>103</v>
      </c>
      <c r="B104" s="20">
        <v>37207</v>
      </c>
      <c r="C104" s="27" t="s">
        <v>64</v>
      </c>
      <c r="D104" s="3" t="s">
        <v>183</v>
      </c>
      <c r="E104" s="19" t="s">
        <v>56</v>
      </c>
      <c r="F104" s="29" t="s">
        <v>57</v>
      </c>
      <c r="G104" s="3" t="s">
        <v>11</v>
      </c>
      <c r="H104" s="19">
        <v>43640</v>
      </c>
      <c r="I104" s="3">
        <v>503</v>
      </c>
      <c r="J104" s="3" t="s">
        <v>58</v>
      </c>
      <c r="K104" s="429" t="s">
        <v>59</v>
      </c>
      <c r="L104" s="443">
        <v>44217</v>
      </c>
      <c r="M104" s="432" t="s">
        <v>60</v>
      </c>
      <c r="N104" s="443">
        <v>44217</v>
      </c>
      <c r="O104" s="33"/>
      <c r="P104" s="33"/>
      <c r="Q104" s="16"/>
      <c r="R104" s="37" t="s">
        <v>68</v>
      </c>
      <c r="S104" s="16"/>
      <c r="T104" s="37" t="s">
        <v>68</v>
      </c>
      <c r="U104" s="37" t="s">
        <v>68</v>
      </c>
      <c r="V104" s="16"/>
      <c r="W104" s="16"/>
      <c r="X104" s="16"/>
      <c r="Y104" s="37" t="s">
        <v>68</v>
      </c>
      <c r="Z104" s="429" t="s">
        <v>68</v>
      </c>
      <c r="AA104" s="429"/>
      <c r="AB104" s="24" t="s">
        <v>184</v>
      </c>
      <c r="AC104" s="24"/>
      <c r="AD104" s="285" t="s">
        <v>68</v>
      </c>
      <c r="AE104" s="37"/>
      <c r="AF104" s="285" t="s">
        <v>68</v>
      </c>
      <c r="AG104" s="613">
        <v>45551</v>
      </c>
      <c r="AI104" s="307">
        <v>45174</v>
      </c>
      <c r="AJ104" s="58" t="s">
        <v>63</v>
      </c>
      <c r="AK104" s="58"/>
      <c r="AM104" s="613">
        <v>45463</v>
      </c>
    </row>
    <row r="105" spans="1:40" ht="22.8" x14ac:dyDescent="0.25">
      <c r="A105" s="28">
        <v>104</v>
      </c>
      <c r="B105" s="20">
        <v>37207</v>
      </c>
      <c r="C105" s="27" t="s">
        <v>54</v>
      </c>
      <c r="D105" s="3" t="s">
        <v>142</v>
      </c>
      <c r="E105" s="19" t="s">
        <v>56</v>
      </c>
      <c r="F105" s="29" t="s">
        <v>57</v>
      </c>
      <c r="G105" s="3" t="s">
        <v>11</v>
      </c>
      <c r="H105" s="19">
        <v>43640</v>
      </c>
      <c r="I105" s="3">
        <v>510</v>
      </c>
      <c r="J105" s="3" t="s">
        <v>58</v>
      </c>
      <c r="K105" s="429" t="s">
        <v>59</v>
      </c>
      <c r="L105" s="443">
        <v>44217</v>
      </c>
      <c r="M105" s="432" t="s">
        <v>60</v>
      </c>
      <c r="N105" s="443">
        <v>44217</v>
      </c>
      <c r="O105" s="33"/>
      <c r="P105" s="33"/>
      <c r="Q105" s="16" t="s">
        <v>75</v>
      </c>
      <c r="R105" s="16" t="s">
        <v>62</v>
      </c>
      <c r="S105" s="16"/>
      <c r="T105" s="16" t="s">
        <v>62</v>
      </c>
      <c r="U105" s="16" t="s">
        <v>62</v>
      </c>
      <c r="V105" s="16"/>
      <c r="W105" s="16"/>
      <c r="X105" s="16"/>
      <c r="Y105" s="37" t="s">
        <v>62</v>
      </c>
      <c r="Z105" s="429" t="s">
        <v>62</v>
      </c>
      <c r="AA105" s="429"/>
      <c r="AB105" s="24"/>
      <c r="AC105" s="24"/>
      <c r="AD105" s="285" t="s">
        <v>62</v>
      </c>
      <c r="AE105" s="37"/>
      <c r="AF105" s="285" t="s">
        <v>62</v>
      </c>
      <c r="AG105" s="613">
        <v>45551</v>
      </c>
      <c r="AI105" s="307">
        <v>45174</v>
      </c>
      <c r="AJ105" s="58" t="s">
        <v>63</v>
      </c>
      <c r="AK105" s="58"/>
      <c r="AM105" s="613">
        <v>45463</v>
      </c>
    </row>
    <row r="106" spans="1:40" ht="22.8" x14ac:dyDescent="0.25">
      <c r="A106" s="28">
        <v>105</v>
      </c>
      <c r="B106" s="20">
        <v>37208</v>
      </c>
      <c r="C106" s="27" t="s">
        <v>64</v>
      </c>
      <c r="D106" s="3" t="s">
        <v>185</v>
      </c>
      <c r="E106" s="19" t="s">
        <v>56</v>
      </c>
      <c r="F106" s="29" t="s">
        <v>57</v>
      </c>
      <c r="G106" s="3" t="s">
        <v>11</v>
      </c>
      <c r="H106" s="19">
        <v>43641</v>
      </c>
      <c r="I106" s="3">
        <v>499</v>
      </c>
      <c r="J106" s="3" t="s">
        <v>58</v>
      </c>
      <c r="K106" s="429" t="s">
        <v>59</v>
      </c>
      <c r="L106" s="443">
        <v>44250</v>
      </c>
      <c r="M106" s="432" t="s">
        <v>60</v>
      </c>
      <c r="N106" s="443">
        <v>44188</v>
      </c>
      <c r="O106" s="33">
        <v>45114</v>
      </c>
      <c r="P106" s="33"/>
      <c r="Q106" s="36"/>
      <c r="R106" s="37" t="s">
        <v>68</v>
      </c>
      <c r="S106" s="36"/>
      <c r="T106" s="37" t="s">
        <v>68</v>
      </c>
      <c r="U106" s="36" t="s">
        <v>68</v>
      </c>
      <c r="V106" s="36"/>
      <c r="W106" s="36"/>
      <c r="X106" s="36"/>
      <c r="Y106" s="36" t="s">
        <v>68</v>
      </c>
      <c r="Z106" s="557" t="s">
        <v>68</v>
      </c>
      <c r="AA106" s="557"/>
      <c r="AB106" s="24"/>
      <c r="AC106" s="24"/>
      <c r="AD106" s="285" t="s">
        <v>68</v>
      </c>
      <c r="AE106" s="37"/>
      <c r="AF106" s="36" t="s">
        <v>68</v>
      </c>
      <c r="AG106" s="1092">
        <v>45465</v>
      </c>
      <c r="AI106" s="307">
        <v>45206</v>
      </c>
      <c r="AJ106" s="58" t="s">
        <v>63</v>
      </c>
      <c r="AK106" s="58"/>
      <c r="AL106" s="613">
        <v>45647</v>
      </c>
      <c r="AM106" s="613">
        <v>45467</v>
      </c>
    </row>
    <row r="107" spans="1:40" ht="22.8" x14ac:dyDescent="0.25">
      <c r="A107" s="28">
        <v>106</v>
      </c>
      <c r="B107" s="20">
        <v>37208</v>
      </c>
      <c r="C107" s="27" t="s">
        <v>54</v>
      </c>
      <c r="D107" s="20" t="s">
        <v>143</v>
      </c>
      <c r="E107" s="19" t="s">
        <v>56</v>
      </c>
      <c r="F107" s="29" t="s">
        <v>57</v>
      </c>
      <c r="G107" s="3" t="s">
        <v>11</v>
      </c>
      <c r="H107" s="19">
        <v>43641</v>
      </c>
      <c r="I107" s="3">
        <v>519</v>
      </c>
      <c r="J107" s="3" t="s">
        <v>58</v>
      </c>
      <c r="K107" s="429" t="s">
        <v>59</v>
      </c>
      <c r="L107" s="443" t="s">
        <v>63</v>
      </c>
      <c r="M107" s="432" t="s">
        <v>60</v>
      </c>
      <c r="N107" s="443">
        <v>44375</v>
      </c>
      <c r="O107" s="33">
        <v>45114</v>
      </c>
      <c r="P107" s="33"/>
      <c r="Q107" s="16" t="s">
        <v>75</v>
      </c>
      <c r="R107" s="43" t="s">
        <v>62</v>
      </c>
      <c r="S107" s="16"/>
      <c r="T107" s="16" t="s">
        <v>62</v>
      </c>
      <c r="U107" s="16"/>
      <c r="V107" s="16"/>
      <c r="W107" s="16"/>
      <c r="X107" s="16"/>
      <c r="Y107" s="36" t="s">
        <v>62</v>
      </c>
      <c r="Z107" s="557" t="s">
        <v>62</v>
      </c>
      <c r="AA107" s="432"/>
      <c r="AB107" s="24"/>
      <c r="AC107" s="24"/>
      <c r="AD107" s="285" t="s">
        <v>62</v>
      </c>
      <c r="AE107" s="37"/>
      <c r="AF107" s="36" t="s">
        <v>62</v>
      </c>
      <c r="AG107" s="1092">
        <v>45465</v>
      </c>
      <c r="AI107" s="307">
        <v>45206</v>
      </c>
      <c r="AJ107" s="58" t="s">
        <v>63</v>
      </c>
      <c r="AK107" s="58"/>
      <c r="AL107" s="613">
        <v>45647</v>
      </c>
      <c r="AM107" s="613">
        <v>45467</v>
      </c>
    </row>
    <row r="108" spans="1:40" ht="22.8" x14ac:dyDescent="0.25">
      <c r="A108" s="28">
        <v>107</v>
      </c>
      <c r="B108" s="20">
        <v>37210</v>
      </c>
      <c r="C108" s="27" t="s">
        <v>64</v>
      </c>
      <c r="D108" s="3" t="s">
        <v>186</v>
      </c>
      <c r="E108" s="19" t="s">
        <v>56</v>
      </c>
      <c r="F108" s="29" t="s">
        <v>57</v>
      </c>
      <c r="G108" s="3" t="s">
        <v>11</v>
      </c>
      <c r="H108" s="19">
        <v>43669</v>
      </c>
      <c r="I108" s="3">
        <v>381</v>
      </c>
      <c r="J108" s="3" t="s">
        <v>58</v>
      </c>
      <c r="K108" s="429" t="s">
        <v>59</v>
      </c>
      <c r="L108" s="443">
        <v>44521</v>
      </c>
      <c r="M108" s="432" t="s">
        <v>60</v>
      </c>
      <c r="N108" s="443">
        <v>44204</v>
      </c>
      <c r="O108" s="33"/>
      <c r="P108" s="33">
        <v>45048</v>
      </c>
      <c r="Q108" s="36"/>
      <c r="R108" s="37" t="s">
        <v>68</v>
      </c>
      <c r="S108" s="36"/>
      <c r="T108" s="36" t="s">
        <v>68</v>
      </c>
      <c r="U108" s="36" t="s">
        <v>68</v>
      </c>
      <c r="V108" s="36"/>
      <c r="W108" s="36"/>
      <c r="X108" s="36"/>
      <c r="Y108" s="36"/>
      <c r="Z108" s="557" t="s">
        <v>68</v>
      </c>
      <c r="AA108" s="557"/>
      <c r="AB108" s="24"/>
      <c r="AC108" s="24"/>
      <c r="AD108" s="285" t="s">
        <v>68</v>
      </c>
      <c r="AE108" s="37"/>
      <c r="AF108" s="285" t="s">
        <v>68</v>
      </c>
      <c r="AG108" s="613">
        <v>45541</v>
      </c>
      <c r="AI108" s="307">
        <v>45135</v>
      </c>
      <c r="AJ108" s="58" t="s">
        <v>63</v>
      </c>
      <c r="AK108" s="58"/>
      <c r="AM108" s="613">
        <v>45540</v>
      </c>
    </row>
    <row r="109" spans="1:40" ht="22.8" x14ac:dyDescent="0.25">
      <c r="A109" s="28">
        <v>108</v>
      </c>
      <c r="B109" s="20">
        <v>37210</v>
      </c>
      <c r="C109" s="27" t="s">
        <v>54</v>
      </c>
      <c r="D109" s="3" t="s">
        <v>144</v>
      </c>
      <c r="E109" s="19" t="s">
        <v>56</v>
      </c>
      <c r="F109" s="29" t="s">
        <v>57</v>
      </c>
      <c r="G109" s="3" t="s">
        <v>11</v>
      </c>
      <c r="H109" s="19">
        <v>43669</v>
      </c>
      <c r="I109" s="3">
        <v>514</v>
      </c>
      <c r="J109" s="3" t="s">
        <v>58</v>
      </c>
      <c r="K109" s="429" t="s">
        <v>59</v>
      </c>
      <c r="L109" s="443">
        <v>44521</v>
      </c>
      <c r="M109" s="432" t="s">
        <v>60</v>
      </c>
      <c r="N109" s="443">
        <v>44204</v>
      </c>
      <c r="O109" s="33"/>
      <c r="P109" s="33">
        <v>45048</v>
      </c>
      <c r="Q109" s="16" t="s">
        <v>75</v>
      </c>
      <c r="R109" s="37" t="s">
        <v>62</v>
      </c>
      <c r="S109" s="36"/>
      <c r="T109" s="36" t="s">
        <v>62</v>
      </c>
      <c r="U109" s="36" t="s">
        <v>62</v>
      </c>
      <c r="V109" s="36"/>
      <c r="W109" s="36"/>
      <c r="X109" s="36"/>
      <c r="Y109" s="36"/>
      <c r="Z109" s="557" t="s">
        <v>62</v>
      </c>
      <c r="AA109" s="557"/>
      <c r="AB109" s="24"/>
      <c r="AC109" s="24"/>
      <c r="AD109" s="285" t="s">
        <v>62</v>
      </c>
      <c r="AE109" s="37"/>
      <c r="AF109" s="285" t="s">
        <v>62</v>
      </c>
      <c r="AG109" s="613">
        <v>45541</v>
      </c>
      <c r="AI109" s="307">
        <v>45135</v>
      </c>
      <c r="AJ109" s="58" t="s">
        <v>63</v>
      </c>
      <c r="AK109" s="58"/>
      <c r="AM109" s="613">
        <v>45540</v>
      </c>
    </row>
    <row r="110" spans="1:40" ht="22.8" x14ac:dyDescent="0.25">
      <c r="A110" s="28">
        <v>109</v>
      </c>
      <c r="B110" s="20">
        <v>37211</v>
      </c>
      <c r="C110" s="27" t="s">
        <v>64</v>
      </c>
      <c r="D110" s="3" t="s">
        <v>139</v>
      </c>
      <c r="E110" s="19" t="s">
        <v>56</v>
      </c>
      <c r="F110" s="29" t="s">
        <v>57</v>
      </c>
      <c r="G110" s="3" t="s">
        <v>11</v>
      </c>
      <c r="H110" s="19">
        <v>43669</v>
      </c>
      <c r="I110" s="3">
        <v>515</v>
      </c>
      <c r="J110" s="3" t="s">
        <v>58</v>
      </c>
      <c r="K110" s="429" t="s">
        <v>59</v>
      </c>
      <c r="L110" s="443">
        <v>44189</v>
      </c>
      <c r="M110" s="432" t="s">
        <v>60</v>
      </c>
      <c r="N110" s="443">
        <v>44189</v>
      </c>
      <c r="O110" s="33">
        <v>45066</v>
      </c>
      <c r="P110" s="33"/>
      <c r="Q110" s="16" t="s">
        <v>75</v>
      </c>
      <c r="R110" s="37" t="s">
        <v>68</v>
      </c>
      <c r="S110" s="37" t="s">
        <v>68</v>
      </c>
      <c r="T110" s="16" t="s">
        <v>140</v>
      </c>
      <c r="U110" s="16" t="s">
        <v>68</v>
      </c>
      <c r="V110" s="16"/>
      <c r="W110" s="16"/>
      <c r="X110" s="16"/>
      <c r="Y110" s="37" t="s">
        <v>68</v>
      </c>
      <c r="Z110" s="429" t="s">
        <v>68</v>
      </c>
      <c r="AA110" s="429"/>
      <c r="AB110" s="24"/>
      <c r="AC110" s="24"/>
      <c r="AD110" s="285" t="s">
        <v>68</v>
      </c>
      <c r="AE110" s="37"/>
      <c r="AF110" s="285" t="s">
        <v>68</v>
      </c>
      <c r="AG110" s="1091">
        <v>45489</v>
      </c>
      <c r="AI110" s="307">
        <v>45164</v>
      </c>
      <c r="AJ110" s="58" t="s">
        <v>63</v>
      </c>
      <c r="AK110" s="58"/>
      <c r="AN110" s="381"/>
    </row>
    <row r="111" spans="1:40" ht="22.8" x14ac:dyDescent="0.25">
      <c r="A111" s="28">
        <v>110</v>
      </c>
      <c r="B111" s="20">
        <v>37211</v>
      </c>
      <c r="C111" s="27" t="s">
        <v>54</v>
      </c>
      <c r="D111" s="3" t="s">
        <v>168</v>
      </c>
      <c r="E111" s="19" t="s">
        <v>56</v>
      </c>
      <c r="F111" s="29" t="s">
        <v>57</v>
      </c>
      <c r="G111" s="3" t="s">
        <v>11</v>
      </c>
      <c r="H111" s="19">
        <v>43669</v>
      </c>
      <c r="I111" s="3">
        <v>380</v>
      </c>
      <c r="J111" s="3" t="s">
        <v>58</v>
      </c>
      <c r="K111" s="429" t="s">
        <v>59</v>
      </c>
      <c r="L111" s="443">
        <v>44189</v>
      </c>
      <c r="M111" s="432" t="s">
        <v>60</v>
      </c>
      <c r="N111" s="443">
        <v>44189</v>
      </c>
      <c r="O111" s="33">
        <v>45066</v>
      </c>
      <c r="P111" s="33"/>
      <c r="Q111" s="16"/>
      <c r="R111" s="37" t="s">
        <v>62</v>
      </c>
      <c r="S111" s="37" t="s">
        <v>62</v>
      </c>
      <c r="T111" s="16" t="s">
        <v>62</v>
      </c>
      <c r="U111" s="16" t="s">
        <v>62</v>
      </c>
      <c r="V111" s="16"/>
      <c r="W111" s="16"/>
      <c r="X111" s="16"/>
      <c r="Y111" s="37" t="s">
        <v>62</v>
      </c>
      <c r="Z111" s="429" t="s">
        <v>62</v>
      </c>
      <c r="AA111" s="429"/>
      <c r="AB111" s="24"/>
      <c r="AC111" s="24"/>
      <c r="AD111" s="285" t="s">
        <v>62</v>
      </c>
      <c r="AE111" s="37"/>
      <c r="AF111" s="285" t="s">
        <v>62</v>
      </c>
      <c r="AG111" s="1091">
        <v>45489</v>
      </c>
      <c r="AI111" s="307">
        <v>45164</v>
      </c>
      <c r="AJ111" s="58" t="s">
        <v>63</v>
      </c>
      <c r="AK111" s="58"/>
      <c r="AN111" s="381"/>
    </row>
    <row r="112" spans="1:40" ht="22.8" x14ac:dyDescent="0.25">
      <c r="A112" s="28">
        <v>111</v>
      </c>
      <c r="B112" s="20">
        <v>37213</v>
      </c>
      <c r="C112" s="27" t="s">
        <v>64</v>
      </c>
      <c r="D112" s="3" t="s">
        <v>138</v>
      </c>
      <c r="E112" s="19" t="s">
        <v>56</v>
      </c>
      <c r="F112" s="29" t="s">
        <v>57</v>
      </c>
      <c r="G112" s="3" t="s">
        <v>11</v>
      </c>
      <c r="H112" s="19">
        <v>43670</v>
      </c>
      <c r="I112" s="3">
        <v>509</v>
      </c>
      <c r="J112" s="3" t="s">
        <v>58</v>
      </c>
      <c r="K112" s="429" t="s">
        <v>59</v>
      </c>
      <c r="L112" s="443">
        <v>44255</v>
      </c>
      <c r="M112" s="432" t="s">
        <v>60</v>
      </c>
      <c r="N112" s="443">
        <v>44199</v>
      </c>
      <c r="O112" s="33">
        <v>45310</v>
      </c>
      <c r="P112" s="33"/>
      <c r="Q112" s="16" t="s">
        <v>75</v>
      </c>
      <c r="R112" s="16" t="s">
        <v>68</v>
      </c>
      <c r="S112" s="36"/>
      <c r="T112" s="36" t="s">
        <v>68</v>
      </c>
      <c r="U112" s="36" t="s">
        <v>68</v>
      </c>
      <c r="V112" s="36"/>
      <c r="W112" s="36"/>
      <c r="X112" s="36"/>
      <c r="Y112" s="36"/>
      <c r="Z112" s="557" t="s">
        <v>68</v>
      </c>
      <c r="AA112" s="557"/>
      <c r="AB112" s="24"/>
      <c r="AC112" s="24"/>
      <c r="AD112" s="285" t="s">
        <v>68</v>
      </c>
      <c r="AE112" s="37"/>
      <c r="AF112" s="285" t="s">
        <v>68</v>
      </c>
      <c r="AG112" s="1091">
        <v>45471</v>
      </c>
      <c r="AI112" s="307">
        <v>45134</v>
      </c>
      <c r="AJ112" s="58" t="s">
        <v>63</v>
      </c>
      <c r="AK112" s="58"/>
      <c r="AL112" s="613">
        <v>45590</v>
      </c>
      <c r="AM112" s="613">
        <v>45497</v>
      </c>
      <c r="AN112" s="381"/>
    </row>
    <row r="113" spans="1:40" ht="22.8" x14ac:dyDescent="0.25">
      <c r="A113" s="28">
        <v>112</v>
      </c>
      <c r="B113" s="20">
        <v>37213</v>
      </c>
      <c r="C113" s="27" t="s">
        <v>54</v>
      </c>
      <c r="D113" s="3" t="s">
        <v>157</v>
      </c>
      <c r="E113" s="19" t="s">
        <v>56</v>
      </c>
      <c r="F113" s="29" t="s">
        <v>57</v>
      </c>
      <c r="G113" s="3" t="s">
        <v>11</v>
      </c>
      <c r="H113" s="19">
        <v>43670</v>
      </c>
      <c r="I113" s="3">
        <v>492</v>
      </c>
      <c r="J113" s="3" t="s">
        <v>58</v>
      </c>
      <c r="K113" s="429" t="s">
        <v>59</v>
      </c>
      <c r="L113" s="443">
        <v>44255</v>
      </c>
      <c r="M113" s="432" t="s">
        <v>60</v>
      </c>
      <c r="N113" s="443">
        <v>44199</v>
      </c>
      <c r="O113" s="33">
        <v>45310</v>
      </c>
      <c r="P113" s="33"/>
      <c r="Q113" s="36"/>
      <c r="R113" s="16" t="s">
        <v>62</v>
      </c>
      <c r="S113" s="36"/>
      <c r="T113" s="16" t="s">
        <v>62</v>
      </c>
      <c r="U113" s="36" t="s">
        <v>62</v>
      </c>
      <c r="V113" s="36"/>
      <c r="W113" s="36"/>
      <c r="X113" s="36"/>
      <c r="Y113" s="36"/>
      <c r="Z113" s="557" t="s">
        <v>62</v>
      </c>
      <c r="AA113" s="557"/>
      <c r="AB113" s="24"/>
      <c r="AC113" s="24"/>
      <c r="AD113" s="285" t="s">
        <v>62</v>
      </c>
      <c r="AE113" s="37"/>
      <c r="AF113" s="285" t="s">
        <v>62</v>
      </c>
      <c r="AG113" s="1091">
        <v>45471</v>
      </c>
      <c r="AI113" s="307">
        <v>45134</v>
      </c>
      <c r="AJ113" s="58" t="s">
        <v>63</v>
      </c>
      <c r="AK113" s="58"/>
      <c r="AL113" s="613">
        <v>45590</v>
      </c>
      <c r="AM113" s="613">
        <v>45497</v>
      </c>
      <c r="AN113" s="381"/>
    </row>
    <row r="114" spans="1:40" ht="22.8" x14ac:dyDescent="0.25">
      <c r="A114" s="28">
        <v>113</v>
      </c>
      <c r="B114" s="20">
        <v>37301</v>
      </c>
      <c r="C114" s="27" t="s">
        <v>64</v>
      </c>
      <c r="D114" s="3" t="s">
        <v>137</v>
      </c>
      <c r="E114" s="19" t="s">
        <v>56</v>
      </c>
      <c r="F114" s="29" t="s">
        <v>57</v>
      </c>
      <c r="G114" s="3" t="s">
        <v>11</v>
      </c>
      <c r="H114" s="19">
        <v>43815</v>
      </c>
      <c r="I114" s="3">
        <v>574</v>
      </c>
      <c r="J114" s="3" t="s">
        <v>58</v>
      </c>
      <c r="K114" s="429" t="s">
        <v>59</v>
      </c>
      <c r="L114" s="443">
        <v>44180</v>
      </c>
      <c r="M114" s="432" t="s">
        <v>60</v>
      </c>
      <c r="N114" s="443">
        <v>44180</v>
      </c>
      <c r="O114" s="33">
        <v>45119</v>
      </c>
      <c r="P114" s="33"/>
      <c r="Q114" s="16" t="s">
        <v>75</v>
      </c>
      <c r="R114" s="16" t="s">
        <v>75</v>
      </c>
      <c r="S114" s="36"/>
      <c r="T114" s="36" t="s">
        <v>68</v>
      </c>
      <c r="U114" s="36" t="s">
        <v>68</v>
      </c>
      <c r="V114" s="36"/>
      <c r="W114" s="36"/>
      <c r="X114" s="36"/>
      <c r="Y114" s="36" t="s">
        <v>68</v>
      </c>
      <c r="Z114" s="557" t="s">
        <v>68</v>
      </c>
      <c r="AA114" s="557"/>
      <c r="AB114" s="1116" t="s">
        <v>605</v>
      </c>
      <c r="AC114" s="24"/>
      <c r="AD114" s="285" t="s">
        <v>68</v>
      </c>
      <c r="AE114" s="37"/>
      <c r="AF114" s="285" t="s">
        <v>68</v>
      </c>
      <c r="AG114" s="1091">
        <v>45478</v>
      </c>
      <c r="AI114" s="658">
        <v>45255</v>
      </c>
      <c r="AJ114" t="s">
        <v>498</v>
      </c>
      <c r="AK114" s="613">
        <v>45542</v>
      </c>
      <c r="AM114" s="613" t="s">
        <v>520</v>
      </c>
      <c r="AN114" s="381"/>
    </row>
    <row r="115" spans="1:40" ht="22.8" x14ac:dyDescent="0.25">
      <c r="A115" s="28">
        <v>114</v>
      </c>
      <c r="B115" s="20">
        <v>37301</v>
      </c>
      <c r="C115" s="27" t="s">
        <v>54</v>
      </c>
      <c r="D115" s="3" t="s">
        <v>134</v>
      </c>
      <c r="E115" s="19" t="s">
        <v>56</v>
      </c>
      <c r="F115" s="29" t="s">
        <v>57</v>
      </c>
      <c r="G115" s="3" t="s">
        <v>11</v>
      </c>
      <c r="H115" s="19">
        <v>43815</v>
      </c>
      <c r="I115" s="3">
        <v>557</v>
      </c>
      <c r="J115" s="3" t="s">
        <v>58</v>
      </c>
      <c r="K115" s="429" t="s">
        <v>59</v>
      </c>
      <c r="L115" s="443">
        <v>44180</v>
      </c>
      <c r="M115" s="432" t="s">
        <v>60</v>
      </c>
      <c r="N115" s="443">
        <v>44180</v>
      </c>
      <c r="O115" s="33">
        <v>45119</v>
      </c>
      <c r="P115" s="33"/>
      <c r="Q115" s="16" t="s">
        <v>75</v>
      </c>
      <c r="R115" s="16" t="s">
        <v>75</v>
      </c>
      <c r="S115" s="36"/>
      <c r="T115" s="36" t="s">
        <v>62</v>
      </c>
      <c r="U115" s="36" t="s">
        <v>62</v>
      </c>
      <c r="V115" s="36"/>
      <c r="W115" s="36"/>
      <c r="X115" s="36"/>
      <c r="Y115" s="36" t="s">
        <v>62</v>
      </c>
      <c r="Z115" s="557" t="s">
        <v>62</v>
      </c>
      <c r="AA115" s="557"/>
      <c r="AB115" s="24" t="s">
        <v>135</v>
      </c>
      <c r="AC115" s="24" t="s">
        <v>507</v>
      </c>
      <c r="AD115" s="285" t="s">
        <v>62</v>
      </c>
      <c r="AE115" s="37"/>
      <c r="AF115" s="285" t="s">
        <v>62</v>
      </c>
      <c r="AG115" s="1091">
        <v>45478</v>
      </c>
      <c r="AI115" s="658">
        <v>45255</v>
      </c>
      <c r="AJ115" t="s">
        <v>498</v>
      </c>
      <c r="AK115" s="613">
        <v>45542</v>
      </c>
      <c r="AM115" s="613" t="s">
        <v>520</v>
      </c>
    </row>
    <row r="116" spans="1:40" ht="22.8" x14ac:dyDescent="0.25">
      <c r="A116" s="28">
        <v>115</v>
      </c>
      <c r="B116" s="20">
        <v>37514</v>
      </c>
      <c r="C116" s="27" t="s">
        <v>64</v>
      </c>
      <c r="D116" s="20" t="s">
        <v>131</v>
      </c>
      <c r="E116" s="19" t="s">
        <v>56</v>
      </c>
      <c r="F116" s="29" t="s">
        <v>57</v>
      </c>
      <c r="G116" s="3" t="s">
        <v>11</v>
      </c>
      <c r="H116" s="19">
        <v>44195</v>
      </c>
      <c r="I116" s="3">
        <v>925</v>
      </c>
      <c r="J116" s="3" t="s">
        <v>58</v>
      </c>
      <c r="K116" s="429" t="s">
        <v>59</v>
      </c>
      <c r="L116" s="432" t="s">
        <v>75</v>
      </c>
      <c r="M116" s="432" t="s">
        <v>60</v>
      </c>
      <c r="N116" s="443">
        <v>44346</v>
      </c>
      <c r="O116" s="24"/>
      <c r="P116" s="24"/>
      <c r="Q116" s="16" t="s">
        <v>75</v>
      </c>
      <c r="R116" s="16" t="s">
        <v>75</v>
      </c>
      <c r="S116" s="24"/>
      <c r="T116" s="36" t="s">
        <v>68</v>
      </c>
      <c r="U116" s="36" t="s">
        <v>68</v>
      </c>
      <c r="V116" s="24"/>
      <c r="W116" s="24"/>
      <c r="X116" s="16" t="s">
        <v>75</v>
      </c>
      <c r="Y116" s="24"/>
      <c r="Z116" s="557" t="s">
        <v>68</v>
      </c>
      <c r="AA116" s="435"/>
      <c r="AB116" s="24"/>
      <c r="AC116" s="24"/>
      <c r="AD116" s="285" t="s">
        <v>68</v>
      </c>
      <c r="AE116" s="24"/>
      <c r="AF116" s="285" t="s">
        <v>68</v>
      </c>
      <c r="AG116" s="1091">
        <v>45472</v>
      </c>
      <c r="AI116" s="307">
        <v>45227</v>
      </c>
      <c r="AJ116" s="58" t="s">
        <v>63</v>
      </c>
      <c r="AK116" s="58"/>
      <c r="AM116" s="613">
        <v>45566</v>
      </c>
      <c r="AN116" s="381"/>
    </row>
    <row r="117" spans="1:40" ht="22.8" x14ac:dyDescent="0.25">
      <c r="A117" s="28">
        <v>116</v>
      </c>
      <c r="B117" s="20">
        <v>37514</v>
      </c>
      <c r="C117" s="27" t="s">
        <v>54</v>
      </c>
      <c r="D117" s="20" t="s">
        <v>130</v>
      </c>
      <c r="E117" s="19" t="s">
        <v>56</v>
      </c>
      <c r="F117" s="29" t="s">
        <v>57</v>
      </c>
      <c r="G117" s="3" t="s">
        <v>11</v>
      </c>
      <c r="H117" s="19">
        <v>44195</v>
      </c>
      <c r="I117" s="3">
        <v>759</v>
      </c>
      <c r="J117" s="3" t="s">
        <v>58</v>
      </c>
      <c r="K117" s="429" t="s">
        <v>59</v>
      </c>
      <c r="L117" s="443">
        <v>44327</v>
      </c>
      <c r="M117" s="432" t="s">
        <v>60</v>
      </c>
      <c r="N117" s="443">
        <v>44346</v>
      </c>
      <c r="O117" s="33"/>
      <c r="P117" s="33"/>
      <c r="Q117" s="16" t="s">
        <v>75</v>
      </c>
      <c r="R117" s="16" t="s">
        <v>75</v>
      </c>
      <c r="S117" s="16"/>
      <c r="T117" s="36" t="s">
        <v>62</v>
      </c>
      <c r="U117" s="36" t="s">
        <v>62</v>
      </c>
      <c r="V117" s="16"/>
      <c r="W117" s="16"/>
      <c r="X117" s="16" t="s">
        <v>75</v>
      </c>
      <c r="Y117" s="16"/>
      <c r="Z117" s="557" t="s">
        <v>62</v>
      </c>
      <c r="AA117" s="432"/>
      <c r="AB117" s="24"/>
      <c r="AC117" s="24"/>
      <c r="AD117" s="285" t="s">
        <v>62</v>
      </c>
      <c r="AE117" s="24"/>
      <c r="AF117" s="285" t="s">
        <v>62</v>
      </c>
      <c r="AG117" s="1091">
        <v>45472</v>
      </c>
      <c r="AI117" s="307">
        <v>45227</v>
      </c>
      <c r="AJ117" s="58" t="s">
        <v>63</v>
      </c>
      <c r="AK117" s="58"/>
      <c r="AM117" s="613">
        <v>45566</v>
      </c>
    </row>
    <row r="118" spans="1:40" ht="22.8" x14ac:dyDescent="0.25">
      <c r="A118" s="28">
        <v>117</v>
      </c>
      <c r="B118" s="20">
        <v>37547</v>
      </c>
      <c r="C118" s="27" t="s">
        <v>64</v>
      </c>
      <c r="D118" s="20" t="s">
        <v>129</v>
      </c>
      <c r="E118" s="19" t="s">
        <v>56</v>
      </c>
      <c r="F118" s="29" t="s">
        <v>57</v>
      </c>
      <c r="G118" s="3" t="s">
        <v>11</v>
      </c>
      <c r="H118" s="19">
        <v>44285</v>
      </c>
      <c r="I118" s="3">
        <v>1012</v>
      </c>
      <c r="J118" s="3" t="s">
        <v>58</v>
      </c>
      <c r="K118" s="429" t="s">
        <v>59</v>
      </c>
      <c r="L118" s="432" t="s">
        <v>75</v>
      </c>
      <c r="M118" s="432" t="s">
        <v>60</v>
      </c>
      <c r="N118" s="443">
        <v>44615</v>
      </c>
      <c r="O118" s="413">
        <v>45089</v>
      </c>
      <c r="P118" s="24"/>
      <c r="Q118" s="16" t="s">
        <v>75</v>
      </c>
      <c r="R118" s="16" t="s">
        <v>75</v>
      </c>
      <c r="S118" s="24"/>
      <c r="T118" s="36" t="s">
        <v>68</v>
      </c>
      <c r="U118" s="36" t="s">
        <v>68</v>
      </c>
      <c r="V118" s="24"/>
      <c r="W118" s="24"/>
      <c r="X118" s="16" t="s">
        <v>75</v>
      </c>
      <c r="Y118" s="24"/>
      <c r="Z118" s="557" t="s">
        <v>68</v>
      </c>
      <c r="AA118" s="435"/>
      <c r="AB118" s="24"/>
      <c r="AC118" s="24"/>
      <c r="AD118" s="285" t="s">
        <v>68</v>
      </c>
      <c r="AE118" s="24"/>
      <c r="AF118" s="285" t="s">
        <v>68</v>
      </c>
      <c r="AG118" s="1091">
        <v>45474</v>
      </c>
      <c r="AI118" s="307">
        <v>45092</v>
      </c>
      <c r="AJ118" s="58" t="s">
        <v>63</v>
      </c>
      <c r="AK118" s="58"/>
    </row>
    <row r="119" spans="1:40" ht="22.8" x14ac:dyDescent="0.25">
      <c r="A119" s="28">
        <v>118</v>
      </c>
      <c r="B119" s="20">
        <v>37547</v>
      </c>
      <c r="C119" s="27" t="s">
        <v>54</v>
      </c>
      <c r="D119" s="20" t="s">
        <v>128</v>
      </c>
      <c r="E119" s="19" t="s">
        <v>56</v>
      </c>
      <c r="F119" s="29" t="s">
        <v>57</v>
      </c>
      <c r="G119" s="3" t="s">
        <v>11</v>
      </c>
      <c r="H119" s="19">
        <v>44285</v>
      </c>
      <c r="I119" s="3">
        <v>915</v>
      </c>
      <c r="J119" s="3" t="s">
        <v>58</v>
      </c>
      <c r="K119" s="429" t="s">
        <v>59</v>
      </c>
      <c r="L119" s="432" t="s">
        <v>75</v>
      </c>
      <c r="M119" s="432" t="s">
        <v>60</v>
      </c>
      <c r="N119" s="443">
        <v>44674</v>
      </c>
      <c r="O119" s="413">
        <v>45089</v>
      </c>
      <c r="P119" s="24"/>
      <c r="Q119" s="16" t="s">
        <v>75</v>
      </c>
      <c r="R119" s="16" t="s">
        <v>75</v>
      </c>
      <c r="S119" s="24"/>
      <c r="T119" s="36" t="s">
        <v>62</v>
      </c>
      <c r="U119" s="36" t="s">
        <v>62</v>
      </c>
      <c r="V119" s="24"/>
      <c r="W119" s="24"/>
      <c r="X119" s="16" t="s">
        <v>75</v>
      </c>
      <c r="Y119" s="24"/>
      <c r="Z119" s="557" t="s">
        <v>62</v>
      </c>
      <c r="AA119" s="435"/>
      <c r="AB119" s="24"/>
      <c r="AC119" s="24"/>
      <c r="AD119" s="285" t="s">
        <v>62</v>
      </c>
      <c r="AE119" s="24"/>
      <c r="AF119" s="285" t="s">
        <v>62</v>
      </c>
      <c r="AG119" s="1091">
        <v>45474</v>
      </c>
      <c r="AI119" s="307">
        <v>45092</v>
      </c>
      <c r="AK119" s="58"/>
      <c r="AM119" s="613">
        <v>45560</v>
      </c>
    </row>
    <row r="120" spans="1:40" ht="22.8" x14ac:dyDescent="0.25">
      <c r="A120" s="28">
        <v>119</v>
      </c>
      <c r="B120" s="20">
        <v>39002</v>
      </c>
      <c r="C120" s="27" t="s">
        <v>64</v>
      </c>
      <c r="D120" s="3" t="s">
        <v>155</v>
      </c>
      <c r="E120" s="19" t="s">
        <v>56</v>
      </c>
      <c r="F120" s="29" t="s">
        <v>57</v>
      </c>
      <c r="G120" s="3" t="s">
        <v>11</v>
      </c>
      <c r="H120" s="19">
        <v>43434</v>
      </c>
      <c r="I120" s="3">
        <v>206</v>
      </c>
      <c r="J120" s="3" t="s">
        <v>58</v>
      </c>
      <c r="K120" s="429" t="s">
        <v>59</v>
      </c>
      <c r="L120" s="443">
        <v>44407</v>
      </c>
      <c r="M120" s="432" t="s">
        <v>60</v>
      </c>
      <c r="N120" s="443">
        <v>44195</v>
      </c>
      <c r="O120" s="33">
        <v>45057</v>
      </c>
      <c r="P120" s="33"/>
      <c r="Q120" s="36"/>
      <c r="R120" s="37" t="s">
        <v>68</v>
      </c>
      <c r="S120" s="36"/>
      <c r="T120" s="36" t="s">
        <v>68</v>
      </c>
      <c r="U120" s="36" t="s">
        <v>68</v>
      </c>
      <c r="V120" s="36"/>
      <c r="W120" s="36"/>
      <c r="X120" s="36"/>
      <c r="Y120" s="36"/>
      <c r="Z120" s="557" t="s">
        <v>68</v>
      </c>
      <c r="AA120" s="557"/>
      <c r="AB120" s="24" t="s">
        <v>156</v>
      </c>
      <c r="AC120" s="24"/>
      <c r="AD120" s="285" t="s">
        <v>68</v>
      </c>
      <c r="AF120" s="285" t="s">
        <v>68</v>
      </c>
      <c r="AG120" s="1091">
        <v>45488</v>
      </c>
      <c r="AI120" s="658">
        <v>45259</v>
      </c>
      <c r="AJ120" t="s">
        <v>498</v>
      </c>
      <c r="AK120" s="58"/>
      <c r="AM120" s="613" t="s">
        <v>520</v>
      </c>
    </row>
    <row r="121" spans="1:40" ht="22.8" x14ac:dyDescent="0.25">
      <c r="A121" s="28">
        <v>120</v>
      </c>
      <c r="B121" s="20">
        <v>39002</v>
      </c>
      <c r="C121" s="27" t="s">
        <v>54</v>
      </c>
      <c r="D121" s="3" t="s">
        <v>154</v>
      </c>
      <c r="E121" s="19" t="s">
        <v>56</v>
      </c>
      <c r="F121" s="29" t="s">
        <v>57</v>
      </c>
      <c r="G121" s="3" t="s">
        <v>11</v>
      </c>
      <c r="H121" s="19">
        <v>43434</v>
      </c>
      <c r="I121" s="3">
        <v>207</v>
      </c>
      <c r="J121" s="3" t="s">
        <v>58</v>
      </c>
      <c r="K121" s="429" t="s">
        <v>59</v>
      </c>
      <c r="L121" s="443">
        <v>44407</v>
      </c>
      <c r="M121" s="432" t="s">
        <v>60</v>
      </c>
      <c r="N121" s="443">
        <v>44185</v>
      </c>
      <c r="O121" s="33">
        <v>45057</v>
      </c>
      <c r="P121" s="33"/>
      <c r="Q121" s="36"/>
      <c r="R121" s="37" t="s">
        <v>62</v>
      </c>
      <c r="S121" s="36"/>
      <c r="T121" s="36" t="s">
        <v>62</v>
      </c>
      <c r="U121" s="36" t="s">
        <v>62</v>
      </c>
      <c r="V121" s="36"/>
      <c r="W121" s="36"/>
      <c r="X121" s="36"/>
      <c r="Y121" s="36"/>
      <c r="Z121" s="557" t="s">
        <v>62</v>
      </c>
      <c r="AA121" s="557"/>
      <c r="AB121" s="24"/>
      <c r="AC121" s="24"/>
      <c r="AD121" s="285" t="s">
        <v>62</v>
      </c>
      <c r="AF121" s="285" t="s">
        <v>62</v>
      </c>
      <c r="AG121" s="1091">
        <v>45488</v>
      </c>
      <c r="AI121" s="658">
        <v>45259</v>
      </c>
      <c r="AJ121" t="s">
        <v>498</v>
      </c>
      <c r="AK121" s="58"/>
      <c r="AM121" s="613" t="s">
        <v>520</v>
      </c>
    </row>
    <row r="122" spans="1:40" ht="22.8" x14ac:dyDescent="0.25">
      <c r="A122" s="28">
        <v>121</v>
      </c>
      <c r="B122" s="20">
        <v>39081</v>
      </c>
      <c r="C122" s="27" t="s">
        <v>64</v>
      </c>
      <c r="D122" s="3" t="s">
        <v>153</v>
      </c>
      <c r="E122" s="19" t="s">
        <v>56</v>
      </c>
      <c r="F122" s="29" t="s">
        <v>57</v>
      </c>
      <c r="G122" s="3" t="s">
        <v>11</v>
      </c>
      <c r="H122" s="19">
        <v>43691</v>
      </c>
      <c r="I122" s="3">
        <v>485</v>
      </c>
      <c r="J122" s="3" t="s">
        <v>58</v>
      </c>
      <c r="K122" s="429" t="s">
        <v>59</v>
      </c>
      <c r="L122" s="443">
        <v>44161</v>
      </c>
      <c r="M122" s="432" t="s">
        <v>60</v>
      </c>
      <c r="N122" s="443">
        <v>44182</v>
      </c>
      <c r="O122" s="33">
        <v>45080</v>
      </c>
      <c r="P122" s="33"/>
      <c r="Q122" s="36"/>
      <c r="R122" s="36" t="s">
        <v>68</v>
      </c>
      <c r="S122" s="36"/>
      <c r="T122" s="36" t="s">
        <v>68</v>
      </c>
      <c r="U122" s="36" t="s">
        <v>68</v>
      </c>
      <c r="V122" s="36"/>
      <c r="W122" s="36"/>
      <c r="X122" s="36"/>
      <c r="Y122" s="36" t="s">
        <v>68</v>
      </c>
      <c r="Z122" s="557" t="s">
        <v>68</v>
      </c>
      <c r="AA122" s="557"/>
      <c r="AB122" s="24"/>
      <c r="AC122" s="24"/>
      <c r="AD122" s="285" t="s">
        <v>68</v>
      </c>
      <c r="AE122" s="37"/>
      <c r="AF122" s="285" t="s">
        <v>68</v>
      </c>
      <c r="AG122" s="1091">
        <v>45471</v>
      </c>
      <c r="AI122" s="658">
        <v>45268</v>
      </c>
      <c r="AJ122" t="s">
        <v>498</v>
      </c>
      <c r="AK122" s="58"/>
      <c r="AM122" s="613">
        <v>45574</v>
      </c>
    </row>
    <row r="123" spans="1:40" ht="22.8" x14ac:dyDescent="0.25">
      <c r="A123" s="28">
        <v>122</v>
      </c>
      <c r="B123" s="20">
        <v>39081</v>
      </c>
      <c r="C123" s="27" t="s">
        <v>54</v>
      </c>
      <c r="D123" s="3" t="s">
        <v>152</v>
      </c>
      <c r="E123" s="19" t="s">
        <v>56</v>
      </c>
      <c r="F123" s="29" t="s">
        <v>57</v>
      </c>
      <c r="G123" s="3" t="s">
        <v>11</v>
      </c>
      <c r="H123" s="19">
        <v>43691</v>
      </c>
      <c r="I123" s="3">
        <v>480</v>
      </c>
      <c r="J123" s="3" t="s">
        <v>58</v>
      </c>
      <c r="K123" s="429" t="s">
        <v>59</v>
      </c>
      <c r="L123" s="443">
        <v>44161</v>
      </c>
      <c r="M123" s="432" t="s">
        <v>60</v>
      </c>
      <c r="N123" s="443">
        <v>44182</v>
      </c>
      <c r="O123" s="33">
        <v>45080</v>
      </c>
      <c r="P123" s="33"/>
      <c r="Q123" s="36"/>
      <c r="R123" s="36" t="s">
        <v>62</v>
      </c>
      <c r="S123" s="36"/>
      <c r="T123" s="36" t="s">
        <v>62</v>
      </c>
      <c r="U123" s="36" t="s">
        <v>62</v>
      </c>
      <c r="V123" s="36"/>
      <c r="W123" s="36"/>
      <c r="X123" s="36"/>
      <c r="Y123" s="36" t="s">
        <v>62</v>
      </c>
      <c r="Z123" s="557" t="s">
        <v>62</v>
      </c>
      <c r="AA123" s="557"/>
      <c r="AB123" s="24"/>
      <c r="AC123" s="24"/>
      <c r="AD123" s="285" t="s">
        <v>62</v>
      </c>
      <c r="AE123" s="37"/>
      <c r="AF123" s="285" t="s">
        <v>62</v>
      </c>
      <c r="AG123" s="1091">
        <v>45471</v>
      </c>
      <c r="AI123" s="658">
        <v>45268</v>
      </c>
      <c r="AJ123" t="s">
        <v>498</v>
      </c>
      <c r="AK123" s="58"/>
      <c r="AM123" s="613">
        <v>45574</v>
      </c>
    </row>
    <row r="124" spans="1:40" ht="22.8" x14ac:dyDescent="0.25">
      <c r="A124" s="28">
        <v>123</v>
      </c>
      <c r="B124" s="20">
        <v>39082</v>
      </c>
      <c r="C124" s="27" t="s">
        <v>64</v>
      </c>
      <c r="D124" s="3" t="s">
        <v>150</v>
      </c>
      <c r="E124" s="19" t="s">
        <v>56</v>
      </c>
      <c r="F124" s="29" t="s">
        <v>57</v>
      </c>
      <c r="G124" s="3" t="s">
        <v>11</v>
      </c>
      <c r="H124" s="19">
        <v>43686</v>
      </c>
      <c r="I124" s="3">
        <v>488</v>
      </c>
      <c r="J124" s="3" t="s">
        <v>58</v>
      </c>
      <c r="K124" s="429" t="s">
        <v>59</v>
      </c>
      <c r="L124" s="443">
        <v>44246</v>
      </c>
      <c r="M124" s="432" t="s">
        <v>60</v>
      </c>
      <c r="N124" s="443">
        <v>44199</v>
      </c>
      <c r="O124" s="33"/>
      <c r="P124" s="33"/>
      <c r="Q124" s="36"/>
      <c r="R124" s="36" t="s">
        <v>68</v>
      </c>
      <c r="S124" s="36"/>
      <c r="T124" s="36" t="s">
        <v>68</v>
      </c>
      <c r="U124" s="36" t="s">
        <v>68</v>
      </c>
      <c r="V124" s="36"/>
      <c r="W124" s="36"/>
      <c r="X124" s="36"/>
      <c r="Y124" s="36"/>
      <c r="Z124" s="557" t="s">
        <v>68</v>
      </c>
      <c r="AA124" s="557"/>
      <c r="AB124" s="24" t="s">
        <v>151</v>
      </c>
      <c r="AC124" s="24"/>
      <c r="AD124" s="285" t="s">
        <v>68</v>
      </c>
      <c r="AE124" s="37"/>
      <c r="AF124" s="285" t="s">
        <v>68</v>
      </c>
      <c r="AG124" s="1091">
        <v>45468</v>
      </c>
      <c r="AI124" s="307">
        <v>45168</v>
      </c>
      <c r="AJ124" s="58" t="s">
        <v>63</v>
      </c>
      <c r="AK124" s="58"/>
      <c r="AM124" s="613">
        <v>45560</v>
      </c>
    </row>
    <row r="125" spans="1:40" ht="22.8" x14ac:dyDescent="0.25">
      <c r="A125" s="28">
        <v>124</v>
      </c>
      <c r="B125" s="20">
        <v>39082</v>
      </c>
      <c r="C125" s="27" t="s">
        <v>54</v>
      </c>
      <c r="D125" s="3" t="s">
        <v>149</v>
      </c>
      <c r="E125" s="19" t="s">
        <v>56</v>
      </c>
      <c r="F125" s="29" t="s">
        <v>57</v>
      </c>
      <c r="G125" s="3" t="s">
        <v>11</v>
      </c>
      <c r="H125" s="19">
        <v>43686</v>
      </c>
      <c r="I125" s="3">
        <v>486</v>
      </c>
      <c r="J125" s="3" t="s">
        <v>58</v>
      </c>
      <c r="K125" s="429" t="s">
        <v>59</v>
      </c>
      <c r="L125" s="443">
        <v>44246</v>
      </c>
      <c r="M125" s="432" t="s">
        <v>60</v>
      </c>
      <c r="N125" s="443">
        <v>44199</v>
      </c>
      <c r="O125" s="33"/>
      <c r="P125" s="33"/>
      <c r="Q125" s="36"/>
      <c r="R125" s="36" t="s">
        <v>62</v>
      </c>
      <c r="S125" s="36"/>
      <c r="T125" s="36" t="s">
        <v>62</v>
      </c>
      <c r="U125" s="36" t="s">
        <v>62</v>
      </c>
      <c r="V125" s="36"/>
      <c r="W125" s="36"/>
      <c r="X125" s="36"/>
      <c r="Y125" s="36"/>
      <c r="Z125" s="557" t="s">
        <v>62</v>
      </c>
      <c r="AA125" s="557"/>
      <c r="AB125" s="24"/>
      <c r="AC125" s="24"/>
      <c r="AD125" s="285" t="s">
        <v>62</v>
      </c>
      <c r="AE125" s="37"/>
      <c r="AF125" s="285" t="s">
        <v>62</v>
      </c>
      <c r="AG125" s="1091">
        <v>45468</v>
      </c>
      <c r="AI125" s="307">
        <v>45168</v>
      </c>
      <c r="AJ125" s="58" t="s">
        <v>63</v>
      </c>
      <c r="AK125" s="58"/>
    </row>
    <row r="126" spans="1:40" ht="22.8" x14ac:dyDescent="0.25">
      <c r="A126" s="28">
        <v>125</v>
      </c>
      <c r="B126" s="20">
        <v>39119</v>
      </c>
      <c r="C126" s="27" t="s">
        <v>64</v>
      </c>
      <c r="D126" s="3" t="s">
        <v>127</v>
      </c>
      <c r="E126" s="19" t="s">
        <v>56</v>
      </c>
      <c r="F126" s="29" t="s">
        <v>57</v>
      </c>
      <c r="G126" s="3" t="s">
        <v>11</v>
      </c>
      <c r="H126" s="19">
        <v>43830</v>
      </c>
      <c r="I126" s="3">
        <v>660</v>
      </c>
      <c r="J126" s="3" t="s">
        <v>58</v>
      </c>
      <c r="K126" s="429" t="s">
        <v>59</v>
      </c>
      <c r="L126" s="443">
        <v>44256</v>
      </c>
      <c r="M126" s="432" t="s">
        <v>60</v>
      </c>
      <c r="N126" s="443">
        <v>44362</v>
      </c>
      <c r="O126" s="33">
        <v>45043</v>
      </c>
      <c r="P126" s="33">
        <v>44722</v>
      </c>
      <c r="Q126" s="16" t="s">
        <v>75</v>
      </c>
      <c r="R126" s="16" t="s">
        <v>75</v>
      </c>
      <c r="S126" s="36"/>
      <c r="T126" s="36" t="s">
        <v>68</v>
      </c>
      <c r="U126" s="36" t="s">
        <v>68</v>
      </c>
      <c r="V126" s="36"/>
      <c r="W126" s="36"/>
      <c r="X126" s="36"/>
      <c r="Y126" s="36"/>
      <c r="Z126" s="557" t="s">
        <v>68</v>
      </c>
      <c r="AA126" s="557"/>
      <c r="AB126" s="24"/>
      <c r="AC126" s="24"/>
      <c r="AD126" s="285" t="s">
        <v>68</v>
      </c>
      <c r="AE126" s="36"/>
      <c r="AF126" s="285" t="s">
        <v>68</v>
      </c>
      <c r="AG126" s="1091">
        <v>45481</v>
      </c>
      <c r="AI126" s="307">
        <v>45229</v>
      </c>
      <c r="AJ126" s="58" t="s">
        <v>63</v>
      </c>
      <c r="AK126" s="613">
        <v>45530</v>
      </c>
      <c r="AM126" s="613">
        <v>45533</v>
      </c>
    </row>
    <row r="127" spans="1:40" ht="22.8" x14ac:dyDescent="0.25">
      <c r="A127" s="28">
        <v>126</v>
      </c>
      <c r="B127" s="20">
        <v>39119</v>
      </c>
      <c r="C127" s="27" t="s">
        <v>54</v>
      </c>
      <c r="D127" s="3" t="s">
        <v>126</v>
      </c>
      <c r="E127" s="19" t="s">
        <v>56</v>
      </c>
      <c r="F127" s="29" t="s">
        <v>57</v>
      </c>
      <c r="G127" s="3" t="s">
        <v>11</v>
      </c>
      <c r="H127" s="19">
        <v>43830</v>
      </c>
      <c r="I127" s="3">
        <v>657</v>
      </c>
      <c r="J127" s="3" t="s">
        <v>58</v>
      </c>
      <c r="K127" s="429" t="s">
        <v>59</v>
      </c>
      <c r="L127" s="443">
        <v>44256</v>
      </c>
      <c r="M127" s="432" t="s">
        <v>60</v>
      </c>
      <c r="N127" s="443">
        <v>44362</v>
      </c>
      <c r="O127" s="33">
        <v>45043</v>
      </c>
      <c r="P127" s="33">
        <v>44722</v>
      </c>
      <c r="Q127" s="16" t="s">
        <v>75</v>
      </c>
      <c r="R127" s="16" t="s">
        <v>75</v>
      </c>
      <c r="S127" s="36"/>
      <c r="T127" s="36" t="s">
        <v>62</v>
      </c>
      <c r="U127" s="36" t="s">
        <v>62</v>
      </c>
      <c r="V127" s="36"/>
      <c r="W127" s="36"/>
      <c r="X127" s="36"/>
      <c r="Y127" s="36"/>
      <c r="Z127" s="557" t="s">
        <v>62</v>
      </c>
      <c r="AA127" s="557"/>
      <c r="AB127" s="24"/>
      <c r="AC127" s="24"/>
      <c r="AD127" s="285" t="s">
        <v>62</v>
      </c>
      <c r="AE127" s="36"/>
      <c r="AF127" s="285" t="s">
        <v>62</v>
      </c>
      <c r="AG127" s="1091">
        <v>45481</v>
      </c>
      <c r="AI127" s="307">
        <v>45229</v>
      </c>
      <c r="AJ127" s="58" t="s">
        <v>63</v>
      </c>
      <c r="AK127" s="613">
        <v>45530</v>
      </c>
      <c r="AM127" s="613">
        <v>45533</v>
      </c>
    </row>
    <row r="128" spans="1:40" ht="22.8" x14ac:dyDescent="0.25">
      <c r="A128" s="28">
        <v>127</v>
      </c>
      <c r="B128" s="20">
        <v>39121</v>
      </c>
      <c r="C128" s="27" t="s">
        <v>64</v>
      </c>
      <c r="D128" s="3" t="s">
        <v>125</v>
      </c>
      <c r="E128" s="19" t="s">
        <v>56</v>
      </c>
      <c r="F128" s="29" t="s">
        <v>57</v>
      </c>
      <c r="G128" s="3" t="s">
        <v>11</v>
      </c>
      <c r="H128" s="19">
        <v>43840</v>
      </c>
      <c r="I128" s="3">
        <v>670</v>
      </c>
      <c r="J128" s="3" t="s">
        <v>58</v>
      </c>
      <c r="K128" s="429" t="s">
        <v>59</v>
      </c>
      <c r="L128" s="443">
        <v>44551</v>
      </c>
      <c r="M128" s="432" t="s">
        <v>60</v>
      </c>
      <c r="N128" s="443">
        <v>44549</v>
      </c>
      <c r="O128" s="33">
        <v>45072</v>
      </c>
      <c r="P128" s="33"/>
      <c r="Q128" s="16" t="s">
        <v>75</v>
      </c>
      <c r="R128" s="16" t="s">
        <v>75</v>
      </c>
      <c r="S128" s="16"/>
      <c r="T128" s="16" t="s">
        <v>68</v>
      </c>
      <c r="U128" s="16" t="s">
        <v>68</v>
      </c>
      <c r="V128" s="16"/>
      <c r="W128" s="16" t="s">
        <v>68</v>
      </c>
      <c r="X128" s="16"/>
      <c r="Y128" s="16"/>
      <c r="Z128" s="557" t="s">
        <v>68</v>
      </c>
      <c r="AA128" s="432"/>
      <c r="AB128" s="24"/>
      <c r="AC128" s="24"/>
      <c r="AD128" s="36" t="s">
        <v>68</v>
      </c>
      <c r="AE128" s="24"/>
      <c r="AF128" s="285" t="s">
        <v>68</v>
      </c>
      <c r="AG128" s="1091">
        <v>45469</v>
      </c>
      <c r="AI128" s="307">
        <v>45169</v>
      </c>
      <c r="AM128" s="613">
        <v>45553</v>
      </c>
    </row>
    <row r="129" spans="1:40" ht="22.8" x14ac:dyDescent="0.25">
      <c r="A129" s="28">
        <v>128</v>
      </c>
      <c r="B129" s="20">
        <v>39121</v>
      </c>
      <c r="C129" s="27" t="s">
        <v>54</v>
      </c>
      <c r="D129" s="3" t="s">
        <v>124</v>
      </c>
      <c r="E129" s="19" t="s">
        <v>56</v>
      </c>
      <c r="F129" s="29" t="s">
        <v>57</v>
      </c>
      <c r="G129" s="3" t="s">
        <v>11</v>
      </c>
      <c r="H129" s="19">
        <v>43840</v>
      </c>
      <c r="I129" s="3">
        <v>675</v>
      </c>
      <c r="J129" s="3" t="s">
        <v>58</v>
      </c>
      <c r="K129" s="429" t="s">
        <v>59</v>
      </c>
      <c r="L129" s="443">
        <v>44551</v>
      </c>
      <c r="M129" s="432" t="s">
        <v>60</v>
      </c>
      <c r="N129" s="443">
        <v>44643</v>
      </c>
      <c r="O129" s="33">
        <v>45072</v>
      </c>
      <c r="P129" s="33"/>
      <c r="Q129" s="16" t="s">
        <v>75</v>
      </c>
      <c r="R129" s="16" t="s">
        <v>75</v>
      </c>
      <c r="S129" s="16"/>
      <c r="T129" s="16" t="s">
        <v>62</v>
      </c>
      <c r="U129" s="16" t="s">
        <v>62</v>
      </c>
      <c r="V129" s="16"/>
      <c r="W129" s="16" t="s">
        <v>62</v>
      </c>
      <c r="X129" s="16"/>
      <c r="Y129" s="16"/>
      <c r="Z129" s="557" t="s">
        <v>62</v>
      </c>
      <c r="AA129" s="432"/>
      <c r="AB129" s="24"/>
      <c r="AC129" s="24"/>
      <c r="AD129" s="36" t="s">
        <v>62</v>
      </c>
      <c r="AE129" s="24"/>
      <c r="AF129" s="285" t="s">
        <v>62</v>
      </c>
      <c r="AG129" s="1091">
        <v>45469</v>
      </c>
      <c r="AH129" s="511"/>
      <c r="AI129" s="307">
        <v>45169</v>
      </c>
      <c r="AM129" s="613">
        <v>45553</v>
      </c>
    </row>
    <row r="130" spans="1:40" ht="22.8" x14ac:dyDescent="0.25">
      <c r="A130" s="28">
        <v>129</v>
      </c>
      <c r="B130" s="17">
        <v>39190</v>
      </c>
      <c r="C130" s="55" t="s">
        <v>64</v>
      </c>
      <c r="D130" s="20" t="s">
        <v>606</v>
      </c>
      <c r="E130" s="19" t="s">
        <v>522</v>
      </c>
      <c r="F130" s="18" t="s">
        <v>57</v>
      </c>
      <c r="G130" s="18" t="s">
        <v>11</v>
      </c>
      <c r="H130" s="19">
        <v>44278</v>
      </c>
      <c r="I130" s="3" t="s">
        <v>607</v>
      </c>
      <c r="J130" s="3" t="s">
        <v>58</v>
      </c>
      <c r="K130" s="429" t="s">
        <v>59</v>
      </c>
      <c r="L130" s="432" t="s">
        <v>75</v>
      </c>
      <c r="M130" s="432" t="s">
        <v>60</v>
      </c>
      <c r="N130" s="432" t="s">
        <v>75</v>
      </c>
      <c r="O130" s="547">
        <v>45131</v>
      </c>
      <c r="P130" s="33"/>
      <c r="Q130" s="16" t="s">
        <v>75</v>
      </c>
      <c r="R130" s="16" t="s">
        <v>75</v>
      </c>
      <c r="S130" s="16"/>
      <c r="T130" s="16" t="s">
        <v>68</v>
      </c>
      <c r="U130" s="16" t="s">
        <v>68</v>
      </c>
      <c r="V130" s="16"/>
      <c r="W130" s="16"/>
      <c r="X130" s="16" t="s">
        <v>75</v>
      </c>
      <c r="Y130" s="16" t="s">
        <v>68</v>
      </c>
      <c r="Z130" s="432" t="s">
        <v>68</v>
      </c>
      <c r="AA130" s="432"/>
      <c r="AB130" s="24"/>
      <c r="AC130" s="24"/>
      <c r="AD130" s="276" t="s">
        <v>68</v>
      </c>
      <c r="AE130" s="36"/>
      <c r="AF130" s="276" t="s">
        <v>68</v>
      </c>
      <c r="AG130" s="286">
        <v>45506</v>
      </c>
      <c r="AH130" s="507" t="s">
        <v>121</v>
      </c>
      <c r="AI130" s="679">
        <v>45166</v>
      </c>
      <c r="AJ130" s="58" t="s">
        <v>121</v>
      </c>
      <c r="AK130" s="58"/>
      <c r="AM130" s="613">
        <v>45594</v>
      </c>
    </row>
    <row r="131" spans="1:40" ht="22.8" x14ac:dyDescent="0.25">
      <c r="A131" s="28">
        <v>130</v>
      </c>
      <c r="B131" s="17">
        <v>39190</v>
      </c>
      <c r="C131" s="55" t="s">
        <v>54</v>
      </c>
      <c r="D131" s="20" t="s">
        <v>608</v>
      </c>
      <c r="E131" s="19" t="s">
        <v>522</v>
      </c>
      <c r="F131" s="18" t="s">
        <v>57</v>
      </c>
      <c r="G131" s="18" t="s">
        <v>11</v>
      </c>
      <c r="H131" s="19">
        <v>44278</v>
      </c>
      <c r="I131" s="3" t="s">
        <v>609</v>
      </c>
      <c r="J131" s="3" t="s">
        <v>58</v>
      </c>
      <c r="K131" s="429" t="s">
        <v>59</v>
      </c>
      <c r="L131" s="432" t="s">
        <v>75</v>
      </c>
      <c r="M131" s="432" t="s">
        <v>60</v>
      </c>
      <c r="N131" s="432" t="s">
        <v>75</v>
      </c>
      <c r="O131" s="548">
        <v>45131</v>
      </c>
      <c r="P131" s="33"/>
      <c r="Q131" s="16" t="s">
        <v>75</v>
      </c>
      <c r="R131" s="16" t="s">
        <v>75</v>
      </c>
      <c r="S131" s="16"/>
      <c r="T131" s="16" t="s">
        <v>62</v>
      </c>
      <c r="U131" s="16" t="s">
        <v>62</v>
      </c>
      <c r="V131" s="16"/>
      <c r="W131" s="16"/>
      <c r="X131" s="16" t="s">
        <v>75</v>
      </c>
      <c r="Y131" s="16" t="s">
        <v>62</v>
      </c>
      <c r="Z131" s="432" t="s">
        <v>62</v>
      </c>
      <c r="AA131" s="432"/>
      <c r="AB131" s="24"/>
      <c r="AC131" s="24"/>
      <c r="AD131" s="276" t="s">
        <v>62</v>
      </c>
      <c r="AE131" s="36"/>
      <c r="AF131" s="276" t="s">
        <v>62</v>
      </c>
      <c r="AG131" s="286">
        <v>45506</v>
      </c>
      <c r="AH131" s="507" t="s">
        <v>121</v>
      </c>
      <c r="AI131" s="162">
        <v>45166</v>
      </c>
      <c r="AJ131" s="58" t="s">
        <v>121</v>
      </c>
      <c r="AK131" s="58"/>
      <c r="AM131" s="613">
        <v>45594</v>
      </c>
    </row>
    <row r="132" spans="1:40" ht="22.8" x14ac:dyDescent="0.25">
      <c r="A132" s="28">
        <v>131</v>
      </c>
      <c r="B132" s="17">
        <v>39191</v>
      </c>
      <c r="C132" s="55" t="s">
        <v>64</v>
      </c>
      <c r="D132" s="20" t="s">
        <v>610</v>
      </c>
      <c r="E132" s="19" t="s">
        <v>522</v>
      </c>
      <c r="F132" s="18" t="s">
        <v>57</v>
      </c>
      <c r="G132" s="18" t="s">
        <v>11</v>
      </c>
      <c r="H132" s="19">
        <v>44315</v>
      </c>
      <c r="I132" s="3" t="s">
        <v>611</v>
      </c>
      <c r="J132" s="3" t="s">
        <v>58</v>
      </c>
      <c r="K132" s="429" t="s">
        <v>59</v>
      </c>
      <c r="L132" s="432" t="s">
        <v>75</v>
      </c>
      <c r="M132" s="432" t="s">
        <v>60</v>
      </c>
      <c r="N132" s="432" t="s">
        <v>75</v>
      </c>
      <c r="O132" s="548">
        <v>45105</v>
      </c>
      <c r="P132" s="33"/>
      <c r="Q132" s="16" t="s">
        <v>75</v>
      </c>
      <c r="R132" s="16" t="s">
        <v>75</v>
      </c>
      <c r="S132" s="16"/>
      <c r="T132" s="16" t="s">
        <v>68</v>
      </c>
      <c r="U132" s="16" t="s">
        <v>68</v>
      </c>
      <c r="V132" s="16"/>
      <c r="W132" s="16"/>
      <c r="X132" s="16" t="s">
        <v>75</v>
      </c>
      <c r="Y132" s="16" t="s">
        <v>68</v>
      </c>
      <c r="Z132" s="432" t="s">
        <v>68</v>
      </c>
      <c r="AA132" s="432"/>
      <c r="AB132" s="24"/>
      <c r="AC132" s="24"/>
      <c r="AD132" s="24"/>
      <c r="AE132" s="24"/>
      <c r="AF132" s="79" t="s">
        <v>68</v>
      </c>
      <c r="AG132" s="286">
        <v>45477</v>
      </c>
      <c r="AH132" s="507" t="s">
        <v>121</v>
      </c>
      <c r="AI132" s="162">
        <v>45168</v>
      </c>
      <c r="AJ132" s="58" t="s">
        <v>121</v>
      </c>
      <c r="AM132" s="613">
        <v>45472</v>
      </c>
    </row>
    <row r="133" spans="1:40" ht="22.8" x14ac:dyDescent="0.25">
      <c r="A133" s="28">
        <v>132</v>
      </c>
      <c r="B133" s="17">
        <v>39191</v>
      </c>
      <c r="C133" s="55" t="s">
        <v>54</v>
      </c>
      <c r="D133" s="20" t="s">
        <v>612</v>
      </c>
      <c r="E133" s="19" t="s">
        <v>522</v>
      </c>
      <c r="F133" s="18" t="s">
        <v>57</v>
      </c>
      <c r="G133" s="18" t="s">
        <v>11</v>
      </c>
      <c r="H133" s="19">
        <v>44315</v>
      </c>
      <c r="I133" s="3" t="s">
        <v>613</v>
      </c>
      <c r="J133" s="3" t="s">
        <v>58</v>
      </c>
      <c r="K133" s="429" t="s">
        <v>59</v>
      </c>
      <c r="L133" s="432" t="s">
        <v>75</v>
      </c>
      <c r="M133" s="432" t="s">
        <v>60</v>
      </c>
      <c r="N133" s="432" t="s">
        <v>75</v>
      </c>
      <c r="O133" s="548">
        <v>45105</v>
      </c>
      <c r="P133" s="33"/>
      <c r="Q133" s="16" t="s">
        <v>75</v>
      </c>
      <c r="R133" s="16" t="s">
        <v>75</v>
      </c>
      <c r="S133" s="16"/>
      <c r="T133" s="16" t="s">
        <v>62</v>
      </c>
      <c r="U133" s="16" t="s">
        <v>62</v>
      </c>
      <c r="V133" s="16"/>
      <c r="W133" s="16"/>
      <c r="X133" s="16" t="s">
        <v>75</v>
      </c>
      <c r="Y133" s="16" t="s">
        <v>62</v>
      </c>
      <c r="Z133" s="432" t="s">
        <v>62</v>
      </c>
      <c r="AA133" s="432"/>
      <c r="AB133" s="24"/>
      <c r="AC133" s="24"/>
      <c r="AD133" s="24"/>
      <c r="AE133" s="24"/>
      <c r="AF133" s="79" t="s">
        <v>62</v>
      </c>
      <c r="AG133" s="286">
        <v>45477</v>
      </c>
      <c r="AH133" s="507" t="s">
        <v>121</v>
      </c>
      <c r="AI133" s="162">
        <v>45168</v>
      </c>
      <c r="AJ133" s="58" t="s">
        <v>121</v>
      </c>
      <c r="AM133" s="613">
        <v>45472</v>
      </c>
    </row>
    <row r="134" spans="1:40" ht="22.8" x14ac:dyDescent="0.25">
      <c r="A134" s="28">
        <v>133</v>
      </c>
      <c r="B134" s="20">
        <v>37176</v>
      </c>
      <c r="C134" s="27" t="s">
        <v>64</v>
      </c>
      <c r="D134" s="24" t="s">
        <v>614</v>
      </c>
      <c r="E134" s="19" t="s">
        <v>522</v>
      </c>
      <c r="F134" s="29" t="s">
        <v>57</v>
      </c>
      <c r="G134" s="18" t="s">
        <v>11</v>
      </c>
      <c r="H134" s="19">
        <v>43605</v>
      </c>
      <c r="I134" s="3">
        <v>440</v>
      </c>
      <c r="J134" s="3" t="s">
        <v>58</v>
      </c>
      <c r="K134" s="429" t="s">
        <v>59</v>
      </c>
      <c r="L134" s="443"/>
      <c r="M134" s="432" t="s">
        <v>60</v>
      </c>
      <c r="N134" s="443">
        <v>44653</v>
      </c>
      <c r="O134" s="33"/>
      <c r="P134" s="33"/>
      <c r="Q134" s="16" t="s">
        <v>68</v>
      </c>
      <c r="R134" s="16" t="s">
        <v>68</v>
      </c>
      <c r="S134" s="16"/>
      <c r="T134" s="16" t="s">
        <v>68</v>
      </c>
      <c r="U134" s="16" t="s">
        <v>68</v>
      </c>
      <c r="V134" s="16"/>
      <c r="W134" s="16"/>
      <c r="X134" s="16"/>
      <c r="Y134" s="16" t="s">
        <v>68</v>
      </c>
      <c r="Z134" s="432" t="s">
        <v>68</v>
      </c>
      <c r="AA134" s="432"/>
      <c r="AB134" s="24"/>
      <c r="AC134" s="24"/>
      <c r="AD134" s="276" t="s">
        <v>68</v>
      </c>
      <c r="AE134" s="37"/>
      <c r="AF134" s="276" t="s">
        <v>68</v>
      </c>
      <c r="AG134" s="286">
        <v>45481</v>
      </c>
      <c r="AH134" s="507" t="s">
        <v>121</v>
      </c>
      <c r="AI134" s="162">
        <v>45175</v>
      </c>
      <c r="AJ134" s="58" t="s">
        <v>121</v>
      </c>
      <c r="AK134" s="613">
        <v>45470</v>
      </c>
      <c r="AM134" s="613">
        <v>45475</v>
      </c>
    </row>
    <row r="135" spans="1:40" ht="22.8" x14ac:dyDescent="0.25">
      <c r="A135" s="28">
        <v>134</v>
      </c>
      <c r="B135" s="20">
        <v>37176</v>
      </c>
      <c r="C135" s="27" t="s">
        <v>54</v>
      </c>
      <c r="D135" s="24" t="s">
        <v>615</v>
      </c>
      <c r="E135" s="19" t="s">
        <v>522</v>
      </c>
      <c r="F135" s="29" t="s">
        <v>57</v>
      </c>
      <c r="G135" s="18" t="s">
        <v>11</v>
      </c>
      <c r="H135" s="19">
        <v>43605</v>
      </c>
      <c r="I135" s="3">
        <v>441</v>
      </c>
      <c r="J135" s="3" t="s">
        <v>58</v>
      </c>
      <c r="K135" s="429" t="s">
        <v>59</v>
      </c>
      <c r="L135" s="443"/>
      <c r="M135" s="432" t="s">
        <v>60</v>
      </c>
      <c r="N135" s="443">
        <v>44653</v>
      </c>
      <c r="O135" s="33"/>
      <c r="P135" s="33"/>
      <c r="Q135" s="37" t="s">
        <v>62</v>
      </c>
      <c r="R135" s="37" t="s">
        <v>62</v>
      </c>
      <c r="S135" s="16"/>
      <c r="T135" s="16" t="s">
        <v>62</v>
      </c>
      <c r="U135" s="16" t="s">
        <v>62</v>
      </c>
      <c r="V135" s="16"/>
      <c r="W135" s="16"/>
      <c r="X135" s="16"/>
      <c r="Y135" s="16" t="s">
        <v>62</v>
      </c>
      <c r="Z135" s="432" t="s">
        <v>62</v>
      </c>
      <c r="AA135" s="432"/>
      <c r="AB135" s="24"/>
      <c r="AC135" s="24"/>
      <c r="AD135" s="276" t="s">
        <v>62</v>
      </c>
      <c r="AE135" s="37"/>
      <c r="AF135" s="276" t="s">
        <v>62</v>
      </c>
      <c r="AG135" s="286">
        <v>45481</v>
      </c>
      <c r="AH135" s="507" t="s">
        <v>121</v>
      </c>
      <c r="AI135" s="162">
        <v>45175</v>
      </c>
      <c r="AJ135" s="58" t="s">
        <v>121</v>
      </c>
      <c r="AK135" s="613">
        <v>45470</v>
      </c>
      <c r="AM135" s="613">
        <v>45475</v>
      </c>
    </row>
    <row r="136" spans="1:40" ht="22.8" x14ac:dyDescent="0.25">
      <c r="A136" s="28">
        <v>135</v>
      </c>
      <c r="B136" s="88">
        <v>37581</v>
      </c>
      <c r="C136" s="27" t="s">
        <v>54</v>
      </c>
      <c r="D136" s="20" t="s">
        <v>123</v>
      </c>
      <c r="E136" s="20" t="s">
        <v>56</v>
      </c>
      <c r="F136" s="3" t="s">
        <v>57</v>
      </c>
      <c r="G136" s="3" t="s">
        <v>11</v>
      </c>
      <c r="H136" s="19">
        <v>44334</v>
      </c>
      <c r="I136" s="3">
        <v>755</v>
      </c>
      <c r="J136" s="3" t="s">
        <v>58</v>
      </c>
      <c r="K136" s="429" t="s">
        <v>59</v>
      </c>
      <c r="L136" s="443" t="s">
        <v>63</v>
      </c>
      <c r="M136" s="432" t="s">
        <v>60</v>
      </c>
      <c r="N136" s="432" t="s">
        <v>75</v>
      </c>
      <c r="O136" s="33">
        <v>45145</v>
      </c>
      <c r="P136" s="33"/>
      <c r="Q136" s="16" t="s">
        <v>75</v>
      </c>
      <c r="R136" s="16" t="s">
        <v>75</v>
      </c>
      <c r="S136" s="16"/>
      <c r="T136" s="36" t="s">
        <v>68</v>
      </c>
      <c r="U136" s="36" t="s">
        <v>68</v>
      </c>
      <c r="V136" s="16"/>
      <c r="W136" s="16"/>
      <c r="X136" s="16"/>
      <c r="Y136" s="16"/>
      <c r="Z136" s="557" t="s">
        <v>68</v>
      </c>
      <c r="AA136" s="432"/>
      <c r="AB136" s="24"/>
      <c r="AC136" s="24"/>
      <c r="AD136" s="285" t="s">
        <v>68</v>
      </c>
      <c r="AE136" s="37"/>
      <c r="AF136" s="79" t="s">
        <v>616</v>
      </c>
      <c r="AG136" s="1091">
        <v>45470</v>
      </c>
      <c r="AH136" t="s">
        <v>121</v>
      </c>
      <c r="AI136" s="614">
        <v>45232</v>
      </c>
      <c r="AJ136" s="58" t="s">
        <v>121</v>
      </c>
    </row>
    <row r="137" spans="1:40" ht="22.8" x14ac:dyDescent="0.25">
      <c r="A137" s="28">
        <v>136</v>
      </c>
      <c r="B137" s="88">
        <v>37581</v>
      </c>
      <c r="C137" s="27" t="s">
        <v>64</v>
      </c>
      <c r="D137" s="20" t="s">
        <v>122</v>
      </c>
      <c r="E137" s="20" t="s">
        <v>56</v>
      </c>
      <c r="F137" s="3" t="s">
        <v>57</v>
      </c>
      <c r="G137" s="3" t="s">
        <v>11</v>
      </c>
      <c r="H137" s="19">
        <v>44334</v>
      </c>
      <c r="I137" s="3">
        <v>757</v>
      </c>
      <c r="J137" s="3" t="s">
        <v>58</v>
      </c>
      <c r="K137" s="429" t="s">
        <v>59</v>
      </c>
      <c r="L137" s="443" t="s">
        <v>63</v>
      </c>
      <c r="M137" s="432" t="s">
        <v>60</v>
      </c>
      <c r="N137" s="432" t="s">
        <v>75</v>
      </c>
      <c r="O137" s="33">
        <v>45145</v>
      </c>
      <c r="P137" s="33"/>
      <c r="Q137" s="16" t="s">
        <v>75</v>
      </c>
      <c r="R137" s="16" t="s">
        <v>75</v>
      </c>
      <c r="S137" s="16"/>
      <c r="T137" s="36" t="s">
        <v>62</v>
      </c>
      <c r="U137" s="36" t="s">
        <v>62</v>
      </c>
      <c r="V137" s="16"/>
      <c r="W137" s="16"/>
      <c r="X137" s="16"/>
      <c r="Y137" s="16"/>
      <c r="Z137" s="557" t="s">
        <v>62</v>
      </c>
      <c r="AA137" s="432"/>
      <c r="AB137" s="24"/>
      <c r="AC137" s="24"/>
      <c r="AD137" s="276" t="s">
        <v>62</v>
      </c>
      <c r="AE137" s="37"/>
      <c r="AF137" s="79" t="s">
        <v>604</v>
      </c>
      <c r="AG137" s="1091">
        <v>45470</v>
      </c>
      <c r="AH137" t="s">
        <v>121</v>
      </c>
      <c r="AI137" s="614">
        <v>45232</v>
      </c>
      <c r="AJ137" s="58" t="s">
        <v>121</v>
      </c>
      <c r="AK137" s="58"/>
    </row>
    <row r="138" spans="1:40" ht="22.8" x14ac:dyDescent="0.25">
      <c r="A138" s="28">
        <v>137</v>
      </c>
      <c r="B138" s="88">
        <v>37580</v>
      </c>
      <c r="C138" s="27" t="s">
        <v>64</v>
      </c>
      <c r="D138" s="20" t="s">
        <v>120</v>
      </c>
      <c r="E138" s="20" t="s">
        <v>56</v>
      </c>
      <c r="F138" s="3" t="s">
        <v>57</v>
      </c>
      <c r="G138" s="3" t="s">
        <v>11</v>
      </c>
      <c r="H138" s="19">
        <v>44336</v>
      </c>
      <c r="I138" s="3">
        <v>780</v>
      </c>
      <c r="J138" s="3" t="s">
        <v>58</v>
      </c>
      <c r="K138" s="429" t="s">
        <v>59</v>
      </c>
      <c r="L138" s="443" t="s">
        <v>121</v>
      </c>
      <c r="M138" s="432" t="s">
        <v>60</v>
      </c>
      <c r="N138" s="432" t="s">
        <v>75</v>
      </c>
      <c r="O138" s="33">
        <v>45131</v>
      </c>
      <c r="P138" s="33"/>
      <c r="Q138" s="16" t="s">
        <v>75</v>
      </c>
      <c r="R138" s="16" t="s">
        <v>75</v>
      </c>
      <c r="S138" s="16"/>
      <c r="T138" s="36" t="s">
        <v>68</v>
      </c>
      <c r="U138" s="36" t="s">
        <v>68</v>
      </c>
      <c r="V138" s="16"/>
      <c r="W138" s="16"/>
      <c r="X138" s="16" t="s">
        <v>75</v>
      </c>
      <c r="Y138" s="16"/>
      <c r="Z138" s="557" t="s">
        <v>68</v>
      </c>
      <c r="AA138" s="432"/>
      <c r="AB138" s="24"/>
      <c r="AC138" s="24"/>
      <c r="AD138" s="285" t="s">
        <v>68</v>
      </c>
      <c r="AE138" s="24"/>
      <c r="AF138" s="276" t="s">
        <v>68</v>
      </c>
      <c r="AG138" s="1091">
        <v>45484</v>
      </c>
      <c r="AH138" t="s">
        <v>121</v>
      </c>
      <c r="AI138" s="614">
        <v>45175</v>
      </c>
      <c r="AJ138" s="58" t="s">
        <v>121</v>
      </c>
      <c r="AK138" s="58"/>
      <c r="AM138" s="613">
        <v>45548</v>
      </c>
    </row>
    <row r="139" spans="1:40" ht="22.8" x14ac:dyDescent="0.25">
      <c r="A139" s="28">
        <v>138</v>
      </c>
      <c r="B139" s="88">
        <v>37594</v>
      </c>
      <c r="C139" s="27" t="s">
        <v>64</v>
      </c>
      <c r="D139" s="20" t="s">
        <v>119</v>
      </c>
      <c r="E139" s="20" t="s">
        <v>56</v>
      </c>
      <c r="F139" s="3" t="s">
        <v>57</v>
      </c>
      <c r="G139" s="3" t="s">
        <v>11</v>
      </c>
      <c r="H139" s="19">
        <v>44367</v>
      </c>
      <c r="I139" s="3">
        <v>936</v>
      </c>
      <c r="J139" s="3" t="s">
        <v>58</v>
      </c>
      <c r="K139" s="429" t="s">
        <v>59</v>
      </c>
      <c r="L139" s="432" t="s">
        <v>75</v>
      </c>
      <c r="M139" s="435"/>
      <c r="N139" s="435"/>
      <c r="O139" s="249">
        <v>45103</v>
      </c>
      <c r="P139" s="24"/>
      <c r="Q139" s="16" t="s">
        <v>75</v>
      </c>
      <c r="R139" s="16" t="s">
        <v>75</v>
      </c>
      <c r="S139" s="24"/>
      <c r="T139" s="36" t="s">
        <v>68</v>
      </c>
      <c r="U139" s="36" t="s">
        <v>68</v>
      </c>
      <c r="V139" s="24"/>
      <c r="W139" s="24"/>
      <c r="X139" s="16" t="s">
        <v>75</v>
      </c>
      <c r="Y139" s="24"/>
      <c r="Z139" s="557" t="s">
        <v>68</v>
      </c>
      <c r="AA139" s="435"/>
      <c r="AB139" s="24"/>
      <c r="AC139" s="24"/>
      <c r="AD139" s="285" t="s">
        <v>68</v>
      </c>
      <c r="AE139" s="24"/>
      <c r="AF139" s="285" t="s">
        <v>599</v>
      </c>
      <c r="AG139" s="1091">
        <v>45496</v>
      </c>
      <c r="AH139" t="s">
        <v>121</v>
      </c>
      <c r="AI139" s="614">
        <v>45175</v>
      </c>
      <c r="AJ139" s="58" t="s">
        <v>121</v>
      </c>
      <c r="AK139" s="58"/>
      <c r="AM139" s="613">
        <v>45496</v>
      </c>
    </row>
    <row r="140" spans="1:40" ht="22.8" x14ac:dyDescent="0.25">
      <c r="A140" s="28">
        <v>139</v>
      </c>
      <c r="B140" s="88">
        <v>37594</v>
      </c>
      <c r="C140" s="27" t="s">
        <v>54</v>
      </c>
      <c r="D140" s="20" t="s">
        <v>118</v>
      </c>
      <c r="E140" s="20" t="s">
        <v>56</v>
      </c>
      <c r="F140" s="3" t="s">
        <v>57</v>
      </c>
      <c r="G140" s="3" t="s">
        <v>11</v>
      </c>
      <c r="H140" s="19">
        <v>44367</v>
      </c>
      <c r="I140" s="3">
        <v>937</v>
      </c>
      <c r="J140" s="3" t="s">
        <v>58</v>
      </c>
      <c r="K140" s="429" t="s">
        <v>59</v>
      </c>
      <c r="L140" s="432" t="s">
        <v>75</v>
      </c>
      <c r="M140" s="435"/>
      <c r="N140" s="435"/>
      <c r="O140" s="249">
        <v>45103</v>
      </c>
      <c r="P140" s="24"/>
      <c r="Q140" s="16" t="s">
        <v>75</v>
      </c>
      <c r="R140" s="16" t="s">
        <v>75</v>
      </c>
      <c r="S140" s="24"/>
      <c r="T140" s="36" t="s">
        <v>62</v>
      </c>
      <c r="U140" s="36" t="s">
        <v>62</v>
      </c>
      <c r="V140" s="24"/>
      <c r="W140" s="24"/>
      <c r="X140" s="16" t="s">
        <v>75</v>
      </c>
      <c r="Y140" s="24"/>
      <c r="Z140" s="557" t="s">
        <v>62</v>
      </c>
      <c r="AA140" s="435"/>
      <c r="AB140" s="24"/>
      <c r="AC140" s="24"/>
      <c r="AD140" s="285" t="s">
        <v>62</v>
      </c>
      <c r="AE140" s="24"/>
      <c r="AF140" s="285" t="s">
        <v>599</v>
      </c>
      <c r="AG140" s="1091">
        <v>45496</v>
      </c>
      <c r="AH140" t="s">
        <v>121</v>
      </c>
      <c r="AI140" s="614">
        <v>45162</v>
      </c>
      <c r="AJ140" s="58" t="s">
        <v>121</v>
      </c>
      <c r="AK140" s="58"/>
      <c r="AM140" s="613">
        <v>45496</v>
      </c>
    </row>
    <row r="141" spans="1:40" ht="22.8" x14ac:dyDescent="0.25">
      <c r="A141" s="28">
        <v>140</v>
      </c>
      <c r="B141" s="88">
        <v>37580</v>
      </c>
      <c r="C141" s="55" t="s">
        <v>54</v>
      </c>
      <c r="D141" s="20" t="s">
        <v>117</v>
      </c>
      <c r="E141" s="20" t="s">
        <v>56</v>
      </c>
      <c r="F141" s="3" t="s">
        <v>57</v>
      </c>
      <c r="G141" s="3" t="s">
        <v>11</v>
      </c>
      <c r="H141" s="19">
        <v>44336</v>
      </c>
      <c r="I141" s="3">
        <v>1039</v>
      </c>
      <c r="J141" s="3" t="s">
        <v>58</v>
      </c>
      <c r="K141" s="429" t="s">
        <v>59</v>
      </c>
      <c r="L141" s="432" t="s">
        <v>75</v>
      </c>
      <c r="M141" s="432" t="s">
        <v>60</v>
      </c>
      <c r="N141" s="432" t="s">
        <v>75</v>
      </c>
      <c r="O141" s="33">
        <v>45131</v>
      </c>
      <c r="P141" s="33"/>
      <c r="Q141" s="16" t="s">
        <v>75</v>
      </c>
      <c r="R141" s="16" t="s">
        <v>75</v>
      </c>
      <c r="S141" s="16"/>
      <c r="T141" s="36" t="s">
        <v>62</v>
      </c>
      <c r="U141" s="36" t="s">
        <v>62</v>
      </c>
      <c r="V141" s="16"/>
      <c r="W141" s="16"/>
      <c r="X141" s="16" t="s">
        <v>75</v>
      </c>
      <c r="Y141" s="16"/>
      <c r="Z141" s="557" t="s">
        <v>62</v>
      </c>
      <c r="AA141" s="432"/>
      <c r="AB141" s="24"/>
      <c r="AC141" s="24"/>
      <c r="AD141" s="276" t="s">
        <v>62</v>
      </c>
      <c r="AE141" s="24"/>
      <c r="AF141" s="79" t="s">
        <v>604</v>
      </c>
      <c r="AG141" s="1091">
        <v>45484</v>
      </c>
      <c r="AH141" t="s">
        <v>121</v>
      </c>
      <c r="AI141" s="614">
        <v>45162</v>
      </c>
      <c r="AJ141" s="58" t="s">
        <v>121</v>
      </c>
      <c r="AK141" s="58"/>
      <c r="AM141" s="613">
        <v>45548</v>
      </c>
    </row>
    <row r="142" spans="1:40" ht="22.8" x14ac:dyDescent="0.25">
      <c r="A142" s="28">
        <v>141</v>
      </c>
      <c r="B142" s="20">
        <v>30717</v>
      </c>
      <c r="C142" s="27" t="s">
        <v>64</v>
      </c>
      <c r="D142" s="20" t="s">
        <v>617</v>
      </c>
      <c r="E142" s="20" t="s">
        <v>522</v>
      </c>
      <c r="F142" s="29" t="s">
        <v>57</v>
      </c>
      <c r="G142" s="19" t="s">
        <v>11</v>
      </c>
      <c r="H142" s="19"/>
      <c r="I142" s="3">
        <v>1064</v>
      </c>
      <c r="J142" s="3" t="s">
        <v>58</v>
      </c>
      <c r="K142" s="429" t="s">
        <v>59</v>
      </c>
      <c r="L142" s="432" t="s">
        <v>75</v>
      </c>
      <c r="M142" s="432" t="s">
        <v>60</v>
      </c>
      <c r="N142" s="432" t="s">
        <v>75</v>
      </c>
      <c r="O142" s="547">
        <v>45120</v>
      </c>
      <c r="P142" s="33"/>
      <c r="Q142" s="16" t="s">
        <v>75</v>
      </c>
      <c r="R142" s="16" t="s">
        <v>75</v>
      </c>
      <c r="S142" s="16" t="s">
        <v>68</v>
      </c>
      <c r="T142" s="16" t="s">
        <v>68</v>
      </c>
      <c r="U142" s="16" t="s">
        <v>68</v>
      </c>
      <c r="V142" s="24"/>
      <c r="W142" s="24"/>
      <c r="X142" s="16" t="s">
        <v>75</v>
      </c>
      <c r="Y142" s="16" t="s">
        <v>68</v>
      </c>
      <c r="Z142" s="432" t="s">
        <v>68</v>
      </c>
      <c r="AA142" s="435"/>
      <c r="AB142" s="24"/>
      <c r="AC142" s="24"/>
      <c r="AD142" s="16" t="s">
        <v>68</v>
      </c>
      <c r="AE142" s="24"/>
      <c r="AF142" s="276" t="s">
        <v>68</v>
      </c>
      <c r="AG142" s="286">
        <v>45476</v>
      </c>
      <c r="AH142" s="507" t="s">
        <v>121</v>
      </c>
      <c r="AI142" s="162">
        <v>45232</v>
      </c>
      <c r="AJ142" s="58" t="s">
        <v>121</v>
      </c>
      <c r="AM142" s="613">
        <v>45476</v>
      </c>
      <c r="AN142" s="381"/>
    </row>
    <row r="143" spans="1:40" ht="22.8" x14ac:dyDescent="0.25">
      <c r="A143" s="28">
        <v>142</v>
      </c>
      <c r="B143" s="20">
        <v>30717</v>
      </c>
      <c r="C143" s="27" t="s">
        <v>54</v>
      </c>
      <c r="D143" s="20" t="s">
        <v>618</v>
      </c>
      <c r="E143" s="20" t="s">
        <v>522</v>
      </c>
      <c r="F143" s="29" t="s">
        <v>57</v>
      </c>
      <c r="G143" s="19" t="s">
        <v>11</v>
      </c>
      <c r="H143" s="19"/>
      <c r="I143" s="3">
        <v>1065</v>
      </c>
      <c r="J143" s="3" t="s">
        <v>58</v>
      </c>
      <c r="K143" s="429" t="s">
        <v>59</v>
      </c>
      <c r="L143" s="432" t="s">
        <v>75</v>
      </c>
      <c r="M143" s="432" t="s">
        <v>60</v>
      </c>
      <c r="N143" s="432" t="s">
        <v>75</v>
      </c>
      <c r="O143" s="548">
        <v>45120</v>
      </c>
      <c r="P143" s="33"/>
      <c r="Q143" s="16" t="s">
        <v>75</v>
      </c>
      <c r="R143" s="16" t="s">
        <v>75</v>
      </c>
      <c r="S143" s="16" t="s">
        <v>62</v>
      </c>
      <c r="T143" s="16" t="s">
        <v>62</v>
      </c>
      <c r="U143" s="16" t="s">
        <v>62</v>
      </c>
      <c r="V143" s="24"/>
      <c r="W143" s="24"/>
      <c r="X143" s="16" t="s">
        <v>75</v>
      </c>
      <c r="Y143" s="16" t="s">
        <v>62</v>
      </c>
      <c r="Z143" s="432" t="s">
        <v>62</v>
      </c>
      <c r="AA143" s="435"/>
      <c r="AB143" s="24"/>
      <c r="AC143" s="24"/>
      <c r="AD143" s="16" t="s">
        <v>62</v>
      </c>
      <c r="AE143" s="24"/>
      <c r="AF143" s="276" t="s">
        <v>62</v>
      </c>
      <c r="AG143" s="286">
        <v>45476</v>
      </c>
      <c r="AH143" s="507" t="s">
        <v>121</v>
      </c>
      <c r="AI143" s="162">
        <v>45232</v>
      </c>
      <c r="AJ143" s="58" t="s">
        <v>121</v>
      </c>
      <c r="AM143" s="613">
        <v>45476</v>
      </c>
    </row>
    <row r="144" spans="1:40" ht="23.1" customHeight="1" x14ac:dyDescent="0.3">
      <c r="A144" s="28">
        <v>143</v>
      </c>
      <c r="B144" s="55">
        <v>30562</v>
      </c>
      <c r="C144" s="55" t="s">
        <v>64</v>
      </c>
      <c r="D144" s="385" t="s">
        <v>116</v>
      </c>
      <c r="E144" s="55" t="s">
        <v>56</v>
      </c>
      <c r="F144" s="3" t="s">
        <v>57</v>
      </c>
      <c r="G144" s="3" t="s">
        <v>11</v>
      </c>
      <c r="H144" s="301">
        <v>44715</v>
      </c>
      <c r="I144" s="214">
        <v>1116</v>
      </c>
      <c r="J144" s="261" t="s">
        <v>58</v>
      </c>
      <c r="K144" s="429" t="s">
        <v>59</v>
      </c>
      <c r="L144" s="432" t="s">
        <v>75</v>
      </c>
      <c r="M144" s="432" t="s">
        <v>60</v>
      </c>
      <c r="N144" s="432" t="s">
        <v>75</v>
      </c>
      <c r="O144" s="539">
        <v>45086</v>
      </c>
      <c r="P144" s="265"/>
      <c r="Q144" s="16" t="s">
        <v>75</v>
      </c>
      <c r="R144" s="16" t="s">
        <v>75</v>
      </c>
      <c r="S144" s="16" t="s">
        <v>75</v>
      </c>
      <c r="T144" s="36" t="s">
        <v>68</v>
      </c>
      <c r="U144" s="36" t="s">
        <v>68</v>
      </c>
      <c r="V144" s="294"/>
      <c r="W144" s="294"/>
      <c r="X144" s="16" t="s">
        <v>75</v>
      </c>
      <c r="Y144" s="36" t="s">
        <v>68</v>
      </c>
      <c r="Z144" s="557" t="s">
        <v>68</v>
      </c>
      <c r="AA144" s="556"/>
      <c r="AB144" s="24"/>
      <c r="AC144" s="294"/>
      <c r="AD144" s="285" t="s">
        <v>68</v>
      </c>
      <c r="AE144" s="36"/>
      <c r="AF144" s="285" t="s">
        <v>68</v>
      </c>
      <c r="AG144" s="1091">
        <v>45476</v>
      </c>
      <c r="AH144" t="s">
        <v>121</v>
      </c>
      <c r="AI144" s="658">
        <v>45260</v>
      </c>
      <c r="AJ144" t="s">
        <v>121</v>
      </c>
      <c r="AK144" s="613">
        <v>45472</v>
      </c>
      <c r="AM144" s="613">
        <v>45470</v>
      </c>
      <c r="AN144" s="381"/>
    </row>
    <row r="145" spans="1:40" ht="23.1" customHeight="1" x14ac:dyDescent="0.3">
      <c r="A145" s="28">
        <v>144</v>
      </c>
      <c r="B145" s="55">
        <v>30562</v>
      </c>
      <c r="C145" s="55" t="s">
        <v>54</v>
      </c>
      <c r="D145" s="3" t="s">
        <v>115</v>
      </c>
      <c r="E145" s="55" t="s">
        <v>56</v>
      </c>
      <c r="F145" s="3" t="s">
        <v>57</v>
      </c>
      <c r="G145" s="3" t="s">
        <v>11</v>
      </c>
      <c r="H145" s="301">
        <v>44715</v>
      </c>
      <c r="I145" s="214">
        <v>1117</v>
      </c>
      <c r="J145" s="261" t="s">
        <v>58</v>
      </c>
      <c r="K145" s="429" t="s">
        <v>59</v>
      </c>
      <c r="L145" s="432" t="s">
        <v>75</v>
      </c>
      <c r="M145" s="432" t="s">
        <v>60</v>
      </c>
      <c r="N145" s="432" t="s">
        <v>75</v>
      </c>
      <c r="O145" s="539">
        <v>45086</v>
      </c>
      <c r="P145" s="265"/>
      <c r="Q145" s="16" t="s">
        <v>75</v>
      </c>
      <c r="R145" s="16" t="s">
        <v>75</v>
      </c>
      <c r="S145" s="16" t="s">
        <v>75</v>
      </c>
      <c r="T145" s="36" t="s">
        <v>62</v>
      </c>
      <c r="U145" s="36" t="s">
        <v>62</v>
      </c>
      <c r="V145" s="294"/>
      <c r="W145" s="294"/>
      <c r="X145" s="16" t="s">
        <v>75</v>
      </c>
      <c r="Y145" s="36" t="s">
        <v>62</v>
      </c>
      <c r="Z145" s="557" t="s">
        <v>62</v>
      </c>
      <c r="AA145" s="556"/>
      <c r="AB145" s="24"/>
      <c r="AC145" s="294"/>
      <c r="AD145" s="285" t="s">
        <v>62</v>
      </c>
      <c r="AE145" s="36"/>
      <c r="AF145" s="285" t="s">
        <v>62</v>
      </c>
      <c r="AG145" s="1091">
        <v>45476</v>
      </c>
      <c r="AH145" t="s">
        <v>121</v>
      </c>
      <c r="AI145" s="658">
        <v>45260</v>
      </c>
      <c r="AJ145" t="s">
        <v>121</v>
      </c>
      <c r="AK145" s="613">
        <v>45472</v>
      </c>
      <c r="AM145" s="613">
        <v>45470</v>
      </c>
    </row>
    <row r="146" spans="1:40" ht="22.8" x14ac:dyDescent="0.25">
      <c r="A146" s="28">
        <v>145</v>
      </c>
      <c r="B146" s="20">
        <v>30350</v>
      </c>
      <c r="C146" s="55" t="s">
        <v>64</v>
      </c>
      <c r="D146" s="20" t="s">
        <v>114</v>
      </c>
      <c r="E146" s="20" t="s">
        <v>56</v>
      </c>
      <c r="F146" s="29" t="s">
        <v>57</v>
      </c>
      <c r="G146" s="29" t="s">
        <v>11</v>
      </c>
      <c r="H146" s="19"/>
      <c r="I146" s="3">
        <v>1120</v>
      </c>
      <c r="J146" s="3" t="s">
        <v>58</v>
      </c>
      <c r="K146" s="429" t="s">
        <v>59</v>
      </c>
      <c r="L146" s="432" t="s">
        <v>75</v>
      </c>
      <c r="M146" s="432" t="s">
        <v>60</v>
      </c>
      <c r="N146" s="432" t="s">
        <v>75</v>
      </c>
      <c r="O146" s="33">
        <v>45289</v>
      </c>
      <c r="P146" s="33"/>
      <c r="Q146" s="16" t="s">
        <v>75</v>
      </c>
      <c r="R146" s="16" t="s">
        <v>75</v>
      </c>
      <c r="S146" s="16" t="s">
        <v>75</v>
      </c>
      <c r="T146" s="36" t="s">
        <v>68</v>
      </c>
      <c r="U146" s="36" t="s">
        <v>68</v>
      </c>
      <c r="V146" s="42"/>
      <c r="W146" s="42"/>
      <c r="X146" s="16" t="s">
        <v>75</v>
      </c>
      <c r="Y146" s="36" t="s">
        <v>68</v>
      </c>
      <c r="Z146" s="557" t="s">
        <v>68</v>
      </c>
      <c r="AA146" s="553"/>
      <c r="AB146" s="24"/>
      <c r="AC146" s="24"/>
      <c r="AD146" s="285" t="s">
        <v>68</v>
      </c>
      <c r="AE146" s="36"/>
      <c r="AF146" s="285" t="s">
        <v>68</v>
      </c>
      <c r="AG146" s="1091">
        <v>45469</v>
      </c>
      <c r="AH146" t="s">
        <v>121</v>
      </c>
      <c r="AI146" s="307">
        <v>45198</v>
      </c>
      <c r="AJ146" s="58" t="s">
        <v>121</v>
      </c>
      <c r="AK146" s="58"/>
      <c r="AM146" s="613">
        <v>45463</v>
      </c>
      <c r="AN146" s="381"/>
    </row>
    <row r="147" spans="1:40" ht="22.8" x14ac:dyDescent="0.25">
      <c r="A147" s="28">
        <v>146</v>
      </c>
      <c r="B147" s="20">
        <v>30350</v>
      </c>
      <c r="C147" s="55" t="s">
        <v>54</v>
      </c>
      <c r="D147" s="20" t="s">
        <v>113</v>
      </c>
      <c r="E147" s="20" t="s">
        <v>56</v>
      </c>
      <c r="F147" s="29" t="s">
        <v>57</v>
      </c>
      <c r="G147" s="29" t="s">
        <v>11</v>
      </c>
      <c r="H147" s="19"/>
      <c r="I147" s="3">
        <v>1118</v>
      </c>
      <c r="J147" s="3" t="s">
        <v>58</v>
      </c>
      <c r="K147" s="429" t="s">
        <v>59</v>
      </c>
      <c r="L147" s="432" t="s">
        <v>75</v>
      </c>
      <c r="M147" s="432" t="s">
        <v>60</v>
      </c>
      <c r="N147" s="432" t="s">
        <v>75</v>
      </c>
      <c r="O147" s="33">
        <v>45289</v>
      </c>
      <c r="P147" s="33"/>
      <c r="Q147" s="16" t="s">
        <v>75</v>
      </c>
      <c r="R147" s="16" t="s">
        <v>75</v>
      </c>
      <c r="S147" s="16" t="s">
        <v>75</v>
      </c>
      <c r="T147" s="36" t="s">
        <v>62</v>
      </c>
      <c r="U147" s="36" t="s">
        <v>62</v>
      </c>
      <c r="V147" s="42"/>
      <c r="W147" s="42"/>
      <c r="X147" s="16" t="s">
        <v>75</v>
      </c>
      <c r="Y147" s="36" t="s">
        <v>62</v>
      </c>
      <c r="Z147" s="557" t="s">
        <v>62</v>
      </c>
      <c r="AA147" s="553"/>
      <c r="AB147" s="24"/>
      <c r="AC147" s="24"/>
      <c r="AD147" s="285" t="s">
        <v>62</v>
      </c>
      <c r="AE147" s="36"/>
      <c r="AF147" s="285" t="s">
        <v>62</v>
      </c>
      <c r="AG147" s="1091">
        <v>45469</v>
      </c>
      <c r="AH147" t="s">
        <v>121</v>
      </c>
      <c r="AI147" s="307">
        <v>45198</v>
      </c>
      <c r="AJ147" s="58" t="s">
        <v>121</v>
      </c>
      <c r="AK147" s="58"/>
      <c r="AM147" s="613">
        <v>45463</v>
      </c>
    </row>
    <row r="148" spans="1:40" ht="22.8" x14ac:dyDescent="0.25">
      <c r="A148" s="28">
        <v>147</v>
      </c>
      <c r="B148" s="20">
        <v>30679</v>
      </c>
      <c r="C148" s="55" t="s">
        <v>64</v>
      </c>
      <c r="D148" s="20" t="s">
        <v>112</v>
      </c>
      <c r="E148" s="20" t="s">
        <v>56</v>
      </c>
      <c r="F148" s="29" t="s">
        <v>57</v>
      </c>
      <c r="G148" s="29" t="s">
        <v>11</v>
      </c>
      <c r="H148" s="19">
        <v>44648</v>
      </c>
      <c r="I148" s="3">
        <v>1119</v>
      </c>
      <c r="J148" s="3" t="s">
        <v>58</v>
      </c>
      <c r="K148" s="429" t="s">
        <v>59</v>
      </c>
      <c r="L148" s="432" t="s">
        <v>75</v>
      </c>
      <c r="M148" s="432" t="s">
        <v>60</v>
      </c>
      <c r="N148" s="432" t="s">
        <v>75</v>
      </c>
      <c r="O148" s="33">
        <v>45157</v>
      </c>
      <c r="P148" s="33"/>
      <c r="Q148" s="16" t="s">
        <v>75</v>
      </c>
      <c r="R148" s="16" t="s">
        <v>75</v>
      </c>
      <c r="S148" s="16" t="s">
        <v>75</v>
      </c>
      <c r="T148" s="36" t="s">
        <v>68</v>
      </c>
      <c r="U148" s="36" t="s">
        <v>68</v>
      </c>
      <c r="V148" s="16"/>
      <c r="W148" s="16"/>
      <c r="X148" s="16" t="s">
        <v>75</v>
      </c>
      <c r="Y148" s="36" t="s">
        <v>68</v>
      </c>
      <c r="Z148" s="557" t="s">
        <v>68</v>
      </c>
      <c r="AA148" s="432"/>
      <c r="AB148" s="24"/>
      <c r="AC148" s="24"/>
      <c r="AD148" s="285" t="s">
        <v>68</v>
      </c>
      <c r="AE148" s="58"/>
      <c r="AF148" s="285" t="s">
        <v>68</v>
      </c>
      <c r="AG148" s="1091">
        <v>45485</v>
      </c>
      <c r="AH148" t="s">
        <v>121</v>
      </c>
      <c r="AI148" s="307">
        <v>45157</v>
      </c>
      <c r="AJ148" s="58" t="s">
        <v>121</v>
      </c>
      <c r="AK148" s="58"/>
      <c r="AM148" s="613">
        <v>45534</v>
      </c>
      <c r="AN148" s="381"/>
    </row>
    <row r="149" spans="1:40" ht="22.8" x14ac:dyDescent="0.25">
      <c r="A149" s="28">
        <v>148</v>
      </c>
      <c r="B149" s="20">
        <v>30679</v>
      </c>
      <c r="C149" s="55" t="s">
        <v>54</v>
      </c>
      <c r="D149" s="20" t="s">
        <v>111</v>
      </c>
      <c r="E149" s="20" t="s">
        <v>56</v>
      </c>
      <c r="F149" s="29" t="s">
        <v>57</v>
      </c>
      <c r="G149" s="29" t="s">
        <v>11</v>
      </c>
      <c r="H149" s="19">
        <v>44648</v>
      </c>
      <c r="I149" s="3">
        <v>1121</v>
      </c>
      <c r="J149" s="3" t="s">
        <v>58</v>
      </c>
      <c r="K149" s="429" t="s">
        <v>59</v>
      </c>
      <c r="L149" s="432" t="s">
        <v>75</v>
      </c>
      <c r="M149" s="432" t="s">
        <v>60</v>
      </c>
      <c r="N149" s="432" t="s">
        <v>75</v>
      </c>
      <c r="O149" s="33">
        <v>45157</v>
      </c>
      <c r="P149" s="21"/>
      <c r="Q149" s="16" t="s">
        <v>75</v>
      </c>
      <c r="R149" s="16" t="s">
        <v>75</v>
      </c>
      <c r="S149" s="16" t="s">
        <v>75</v>
      </c>
      <c r="T149" s="36" t="s">
        <v>62</v>
      </c>
      <c r="U149" s="36" t="s">
        <v>62</v>
      </c>
      <c r="V149" s="42"/>
      <c r="W149" s="42"/>
      <c r="X149" s="16" t="s">
        <v>75</v>
      </c>
      <c r="Y149" s="36" t="s">
        <v>62</v>
      </c>
      <c r="Z149" s="557" t="s">
        <v>62</v>
      </c>
      <c r="AA149" s="553"/>
      <c r="AB149" s="24"/>
      <c r="AC149" s="24"/>
      <c r="AD149" s="285" t="s">
        <v>62</v>
      </c>
      <c r="AF149" s="285" t="s">
        <v>62</v>
      </c>
      <c r="AG149" s="1091">
        <v>45485</v>
      </c>
      <c r="AH149" t="s">
        <v>121</v>
      </c>
      <c r="AI149" s="307">
        <v>45157</v>
      </c>
      <c r="AJ149" s="58" t="s">
        <v>121</v>
      </c>
      <c r="AK149" s="58"/>
      <c r="AM149" s="613">
        <v>45534</v>
      </c>
    </row>
    <row r="150" spans="1:40" ht="22.8" x14ac:dyDescent="0.25">
      <c r="A150" s="28">
        <v>149</v>
      </c>
      <c r="B150" s="20">
        <v>30341</v>
      </c>
      <c r="C150" s="55" t="s">
        <v>64</v>
      </c>
      <c r="D150" s="20" t="s">
        <v>619</v>
      </c>
      <c r="E150" s="20" t="s">
        <v>522</v>
      </c>
      <c r="F150" s="29" t="s">
        <v>57</v>
      </c>
      <c r="G150" s="29" t="s">
        <v>11</v>
      </c>
      <c r="H150" s="19">
        <v>43865</v>
      </c>
      <c r="I150" s="3"/>
      <c r="J150" s="3" t="s">
        <v>58</v>
      </c>
      <c r="K150" s="429" t="s">
        <v>59</v>
      </c>
      <c r="L150" s="432" t="s">
        <v>75</v>
      </c>
      <c r="M150" s="432" t="s">
        <v>60</v>
      </c>
      <c r="N150" s="432" t="s">
        <v>75</v>
      </c>
      <c r="O150" s="547">
        <v>45105</v>
      </c>
      <c r="P150" s="251"/>
      <c r="Q150" s="16"/>
      <c r="R150" s="16" t="s">
        <v>75</v>
      </c>
      <c r="S150" s="16"/>
      <c r="T150" s="16" t="s">
        <v>68</v>
      </c>
      <c r="U150" s="16" t="s">
        <v>68</v>
      </c>
      <c r="V150" s="24"/>
      <c r="W150" s="24"/>
      <c r="X150" s="16"/>
      <c r="Y150" s="16" t="s">
        <v>68</v>
      </c>
      <c r="Z150" s="432" t="s">
        <v>68</v>
      </c>
      <c r="AA150" s="435"/>
      <c r="AB150" s="24"/>
      <c r="AC150" s="24"/>
      <c r="AD150" s="16" t="s">
        <v>68</v>
      </c>
      <c r="AE150" s="58"/>
      <c r="AF150" s="276" t="s">
        <v>68</v>
      </c>
      <c r="AG150" s="286">
        <v>45478</v>
      </c>
      <c r="AH150" s="507" t="s">
        <v>121</v>
      </c>
      <c r="AI150" s="162">
        <v>45175</v>
      </c>
      <c r="AJ150" s="58" t="s">
        <v>121</v>
      </c>
      <c r="AK150" s="613">
        <v>45499</v>
      </c>
      <c r="AM150" s="613">
        <v>45594</v>
      </c>
      <c r="AN150" s="381"/>
    </row>
    <row r="151" spans="1:40" ht="22.8" x14ac:dyDescent="0.25">
      <c r="A151" s="28">
        <v>150</v>
      </c>
      <c r="B151" s="20">
        <v>30341</v>
      </c>
      <c r="C151" s="55" t="s">
        <v>54</v>
      </c>
      <c r="D151" s="20" t="s">
        <v>620</v>
      </c>
      <c r="E151" s="20" t="s">
        <v>522</v>
      </c>
      <c r="F151" s="29" t="s">
        <v>57</v>
      </c>
      <c r="G151" s="29" t="s">
        <v>11</v>
      </c>
      <c r="H151" s="19">
        <v>43865</v>
      </c>
      <c r="I151" s="3"/>
      <c r="J151" s="3" t="s">
        <v>58</v>
      </c>
      <c r="K151" s="429" t="s">
        <v>59</v>
      </c>
      <c r="L151" s="432" t="s">
        <v>75</v>
      </c>
      <c r="M151" s="432" t="s">
        <v>60</v>
      </c>
      <c r="N151" s="432" t="s">
        <v>75</v>
      </c>
      <c r="O151" s="548">
        <v>45105</v>
      </c>
      <c r="P151" s="251"/>
      <c r="Q151" s="16"/>
      <c r="R151" s="16" t="s">
        <v>75</v>
      </c>
      <c r="S151" s="16"/>
      <c r="T151" s="16" t="s">
        <v>62</v>
      </c>
      <c r="U151" s="16" t="s">
        <v>62</v>
      </c>
      <c r="V151" s="24"/>
      <c r="W151" s="24"/>
      <c r="X151" s="16"/>
      <c r="Y151" s="16" t="s">
        <v>62</v>
      </c>
      <c r="Z151" s="432" t="s">
        <v>62</v>
      </c>
      <c r="AA151" s="435"/>
      <c r="AB151" s="24"/>
      <c r="AC151" s="24"/>
      <c r="AD151" s="16" t="s">
        <v>62</v>
      </c>
      <c r="AE151" s="58"/>
      <c r="AF151" s="276" t="s">
        <v>62</v>
      </c>
      <c r="AG151" s="286">
        <v>45478</v>
      </c>
      <c r="AH151" s="507" t="s">
        <v>121</v>
      </c>
      <c r="AI151" s="162">
        <v>45175</v>
      </c>
      <c r="AJ151" s="58" t="s">
        <v>121</v>
      </c>
      <c r="AK151" s="613">
        <v>45499</v>
      </c>
      <c r="AM151" s="613">
        <v>45475</v>
      </c>
    </row>
    <row r="152" spans="1:40" ht="22.8" x14ac:dyDescent="0.25">
      <c r="A152" s="28">
        <v>151</v>
      </c>
      <c r="B152" s="20">
        <v>30349</v>
      </c>
      <c r="C152" s="55" t="s">
        <v>64</v>
      </c>
      <c r="D152" s="20" t="s">
        <v>621</v>
      </c>
      <c r="E152" s="20" t="s">
        <v>522</v>
      </c>
      <c r="F152" s="29" t="s">
        <v>57</v>
      </c>
      <c r="G152" s="29" t="s">
        <v>11</v>
      </c>
      <c r="H152" s="19">
        <v>44233</v>
      </c>
      <c r="I152" s="3"/>
      <c r="J152" s="3" t="s">
        <v>58</v>
      </c>
      <c r="K152" s="429" t="s">
        <v>59</v>
      </c>
      <c r="L152" s="432" t="s">
        <v>75</v>
      </c>
      <c r="M152" s="432" t="s">
        <v>60</v>
      </c>
      <c r="N152" s="432" t="s">
        <v>75</v>
      </c>
      <c r="O152" s="550">
        <v>45162</v>
      </c>
      <c r="P152" s="33"/>
      <c r="Q152" s="16"/>
      <c r="R152" s="16" t="s">
        <v>75</v>
      </c>
      <c r="S152" s="16"/>
      <c r="T152" s="16" t="s">
        <v>68</v>
      </c>
      <c r="U152" s="16" t="s">
        <v>68</v>
      </c>
      <c r="V152" s="16"/>
      <c r="W152" s="16"/>
      <c r="X152" s="16"/>
      <c r="Y152" s="16" t="s">
        <v>68</v>
      </c>
      <c r="Z152" s="432" t="s">
        <v>68</v>
      </c>
      <c r="AA152" s="432"/>
      <c r="AB152" s="24"/>
      <c r="AC152" s="24"/>
      <c r="AD152" s="16" t="s">
        <v>68</v>
      </c>
      <c r="AE152" s="36"/>
      <c r="AF152" s="276" t="s">
        <v>68</v>
      </c>
      <c r="AG152" s="286">
        <v>45470</v>
      </c>
      <c r="AH152" s="507" t="s">
        <v>121</v>
      </c>
      <c r="AI152" s="677">
        <v>45162</v>
      </c>
      <c r="AJ152" s="58" t="s">
        <v>121</v>
      </c>
      <c r="AM152" s="613">
        <v>45558</v>
      </c>
      <c r="AN152" s="381"/>
    </row>
    <row r="153" spans="1:40" ht="22.8" x14ac:dyDescent="0.25">
      <c r="A153" s="28">
        <v>152</v>
      </c>
      <c r="B153" s="20">
        <v>30349</v>
      </c>
      <c r="C153" s="55" t="s">
        <v>54</v>
      </c>
      <c r="D153" s="20" t="s">
        <v>622</v>
      </c>
      <c r="E153" s="20" t="s">
        <v>522</v>
      </c>
      <c r="F153" s="29" t="s">
        <v>57</v>
      </c>
      <c r="G153" s="29" t="s">
        <v>11</v>
      </c>
      <c r="H153" s="19">
        <v>44233</v>
      </c>
      <c r="I153" s="3"/>
      <c r="J153" s="3" t="s">
        <v>58</v>
      </c>
      <c r="K153" s="429" t="s">
        <v>59</v>
      </c>
      <c r="L153" s="432" t="s">
        <v>75</v>
      </c>
      <c r="M153" s="432" t="s">
        <v>60</v>
      </c>
      <c r="N153" s="432" t="s">
        <v>75</v>
      </c>
      <c r="O153" s="550">
        <v>45162</v>
      </c>
      <c r="P153" s="48"/>
      <c r="Q153" s="16"/>
      <c r="R153" s="16" t="s">
        <v>75</v>
      </c>
      <c r="S153" s="16"/>
      <c r="T153" s="16" t="s">
        <v>62</v>
      </c>
      <c r="U153" s="16" t="s">
        <v>62</v>
      </c>
      <c r="V153" s="30"/>
      <c r="W153" s="30"/>
      <c r="X153" s="30"/>
      <c r="Y153" s="16" t="s">
        <v>62</v>
      </c>
      <c r="Z153" s="432" t="s">
        <v>62</v>
      </c>
      <c r="AA153" s="433"/>
      <c r="AB153" s="24"/>
      <c r="AC153" s="24"/>
      <c r="AD153" s="16" t="s">
        <v>62</v>
      </c>
      <c r="AE153" s="36"/>
      <c r="AF153" s="276" t="s">
        <v>62</v>
      </c>
      <c r="AG153" s="286">
        <v>45470</v>
      </c>
      <c r="AH153" s="507" t="s">
        <v>121</v>
      </c>
      <c r="AI153" s="677">
        <v>45162</v>
      </c>
      <c r="AJ153" s="58" t="s">
        <v>121</v>
      </c>
      <c r="AM153" s="613">
        <v>45558</v>
      </c>
    </row>
    <row r="154" spans="1:40" ht="22.8" x14ac:dyDescent="0.25">
      <c r="A154" s="28">
        <v>153</v>
      </c>
      <c r="B154" s="20">
        <v>30644</v>
      </c>
      <c r="C154" s="55" t="s">
        <v>64</v>
      </c>
      <c r="D154" s="20" t="s">
        <v>623</v>
      </c>
      <c r="E154" s="20" t="s">
        <v>522</v>
      </c>
      <c r="F154" s="29" t="s">
        <v>57</v>
      </c>
      <c r="G154" s="29" t="s">
        <v>11</v>
      </c>
      <c r="H154" s="19">
        <v>44450</v>
      </c>
      <c r="I154" s="3"/>
      <c r="J154" s="3" t="s">
        <v>58</v>
      </c>
      <c r="K154" s="429" t="s">
        <v>59</v>
      </c>
      <c r="L154" s="432" t="s">
        <v>75</v>
      </c>
      <c r="M154" s="432" t="s">
        <v>60</v>
      </c>
      <c r="N154" s="432" t="s">
        <v>75</v>
      </c>
      <c r="O154" s="548">
        <v>45118</v>
      </c>
      <c r="P154" s="33"/>
      <c r="Q154" s="16" t="s">
        <v>75</v>
      </c>
      <c r="R154" s="16" t="s">
        <v>75</v>
      </c>
      <c r="S154" s="16" t="s">
        <v>68</v>
      </c>
      <c r="T154" s="16" t="s">
        <v>68</v>
      </c>
      <c r="U154" s="16" t="s">
        <v>68</v>
      </c>
      <c r="V154" s="15"/>
      <c r="W154" s="16" t="s">
        <v>68</v>
      </c>
      <c r="X154" s="16" t="s">
        <v>68</v>
      </c>
      <c r="Y154" s="16" t="s">
        <v>68</v>
      </c>
      <c r="Z154" s="432" t="s">
        <v>68</v>
      </c>
      <c r="AA154" s="432"/>
      <c r="AB154" s="24"/>
      <c r="AC154" s="24"/>
      <c r="AD154" s="16" t="s">
        <v>68</v>
      </c>
      <c r="AE154" s="36"/>
      <c r="AF154" s="276" t="s">
        <v>68</v>
      </c>
      <c r="AG154" s="286">
        <v>45474</v>
      </c>
      <c r="AH154" s="507" t="s">
        <v>121</v>
      </c>
      <c r="AI154" s="677">
        <v>45208</v>
      </c>
      <c r="AJ154" s="58" t="s">
        <v>121</v>
      </c>
      <c r="AK154" s="613">
        <v>45562</v>
      </c>
    </row>
    <row r="155" spans="1:40" ht="22.8" x14ac:dyDescent="0.25">
      <c r="A155" s="28">
        <v>154</v>
      </c>
      <c r="B155" s="20">
        <v>30644</v>
      </c>
      <c r="C155" s="55" t="s">
        <v>54</v>
      </c>
      <c r="D155" s="20" t="s">
        <v>624</v>
      </c>
      <c r="E155" s="20" t="s">
        <v>522</v>
      </c>
      <c r="F155" s="29" t="s">
        <v>57</v>
      </c>
      <c r="G155" s="29" t="s">
        <v>11</v>
      </c>
      <c r="H155" s="19">
        <v>44450</v>
      </c>
      <c r="I155" s="3"/>
      <c r="J155" s="3" t="s">
        <v>58</v>
      </c>
      <c r="K155" s="429" t="s">
        <v>59</v>
      </c>
      <c r="L155" s="432" t="s">
        <v>75</v>
      </c>
      <c r="M155" s="432" t="s">
        <v>60</v>
      </c>
      <c r="N155" s="432" t="s">
        <v>75</v>
      </c>
      <c r="O155" s="548">
        <v>45118</v>
      </c>
      <c r="P155" s="33"/>
      <c r="Q155" s="16" t="s">
        <v>75</v>
      </c>
      <c r="R155" s="16" t="s">
        <v>75</v>
      </c>
      <c r="S155" s="16" t="s">
        <v>62</v>
      </c>
      <c r="T155" s="16" t="s">
        <v>62</v>
      </c>
      <c r="U155" s="16" t="s">
        <v>62</v>
      </c>
      <c r="V155" s="16"/>
      <c r="W155" s="16" t="s">
        <v>62</v>
      </c>
      <c r="X155" s="16" t="s">
        <v>62</v>
      </c>
      <c r="Y155" s="16" t="s">
        <v>62</v>
      </c>
      <c r="Z155" s="432" t="s">
        <v>62</v>
      </c>
      <c r="AA155" s="432"/>
      <c r="AB155" s="24"/>
      <c r="AC155" s="24"/>
      <c r="AD155" s="16" t="s">
        <v>62</v>
      </c>
      <c r="AE155" s="36"/>
      <c r="AF155" s="276" t="s">
        <v>62</v>
      </c>
      <c r="AG155" s="286">
        <v>45474</v>
      </c>
      <c r="AH155" s="507" t="s">
        <v>121</v>
      </c>
      <c r="AI155" s="677">
        <v>45208</v>
      </c>
      <c r="AJ155" s="58" t="s">
        <v>121</v>
      </c>
      <c r="AK155" s="613">
        <v>45562</v>
      </c>
    </row>
    <row r="156" spans="1:40" ht="22.8" x14ac:dyDescent="0.25">
      <c r="A156" s="28">
        <v>155</v>
      </c>
      <c r="B156" s="20">
        <v>37522</v>
      </c>
      <c r="C156" s="27" t="s">
        <v>64</v>
      </c>
      <c r="D156" s="20" t="s">
        <v>625</v>
      </c>
      <c r="E156" s="20" t="s">
        <v>522</v>
      </c>
      <c r="F156" s="29" t="s">
        <v>57</v>
      </c>
      <c r="G156" s="29" t="s">
        <v>11</v>
      </c>
      <c r="H156" s="19">
        <v>44210</v>
      </c>
      <c r="I156" s="3">
        <v>872</v>
      </c>
      <c r="J156" s="3" t="s">
        <v>58</v>
      </c>
      <c r="K156" s="429" t="s">
        <v>59</v>
      </c>
      <c r="L156" s="443">
        <v>44299</v>
      </c>
      <c r="M156" s="432" t="s">
        <v>60</v>
      </c>
      <c r="N156" s="432" t="s">
        <v>626</v>
      </c>
      <c r="O156" s="548">
        <v>45119</v>
      </c>
      <c r="P156" s="33"/>
      <c r="Q156" s="16" t="s">
        <v>75</v>
      </c>
      <c r="R156" s="16" t="s">
        <v>75</v>
      </c>
      <c r="S156" s="16"/>
      <c r="T156" s="16" t="s">
        <v>68</v>
      </c>
      <c r="U156" s="16" t="s">
        <v>68</v>
      </c>
      <c r="V156" s="16"/>
      <c r="W156" s="16" t="s">
        <v>68</v>
      </c>
      <c r="X156" s="16" t="s">
        <v>75</v>
      </c>
      <c r="Y156" s="16" t="s">
        <v>68</v>
      </c>
      <c r="Z156" s="432" t="s">
        <v>68</v>
      </c>
      <c r="AA156" s="444"/>
      <c r="AB156" s="24"/>
      <c r="AC156" s="24"/>
      <c r="AD156" s="24"/>
      <c r="AE156" s="24"/>
      <c r="AF156" s="276" t="s">
        <v>68</v>
      </c>
      <c r="AG156" s="286">
        <v>45503</v>
      </c>
      <c r="AH156" s="507" t="s">
        <v>121</v>
      </c>
      <c r="AI156" s="677">
        <v>45230</v>
      </c>
      <c r="AJ156" s="58" t="s">
        <v>121</v>
      </c>
      <c r="AK156" s="58"/>
      <c r="AM156" s="613">
        <v>45594</v>
      </c>
    </row>
    <row r="157" spans="1:40" ht="22.8" x14ac:dyDescent="0.25">
      <c r="A157" s="28">
        <v>156</v>
      </c>
      <c r="B157" s="20">
        <v>37522</v>
      </c>
      <c r="C157" s="27" t="s">
        <v>54</v>
      </c>
      <c r="D157" s="20" t="s">
        <v>627</v>
      </c>
      <c r="E157" s="20" t="s">
        <v>522</v>
      </c>
      <c r="F157" s="29" t="s">
        <v>57</v>
      </c>
      <c r="G157" s="29" t="s">
        <v>11</v>
      </c>
      <c r="H157" s="19">
        <v>44210</v>
      </c>
      <c r="I157" s="3">
        <v>873</v>
      </c>
      <c r="J157" s="3" t="s">
        <v>58</v>
      </c>
      <c r="K157" s="429" t="s">
        <v>59</v>
      </c>
      <c r="L157" s="443">
        <v>44299</v>
      </c>
      <c r="M157" s="432" t="s">
        <v>60</v>
      </c>
      <c r="N157" s="432" t="s">
        <v>626</v>
      </c>
      <c r="O157" s="548">
        <v>45119</v>
      </c>
      <c r="P157" s="33"/>
      <c r="Q157" s="16" t="s">
        <v>75</v>
      </c>
      <c r="R157" s="16" t="s">
        <v>75</v>
      </c>
      <c r="S157" s="16"/>
      <c r="T157" s="16" t="s">
        <v>62</v>
      </c>
      <c r="U157" s="16" t="s">
        <v>62</v>
      </c>
      <c r="V157" s="16"/>
      <c r="W157" s="16" t="s">
        <v>62</v>
      </c>
      <c r="X157" s="16" t="s">
        <v>75</v>
      </c>
      <c r="Y157" s="16" t="s">
        <v>62</v>
      </c>
      <c r="Z157" s="432" t="s">
        <v>62</v>
      </c>
      <c r="AA157" s="444"/>
      <c r="AB157" s="24"/>
      <c r="AC157" s="24"/>
      <c r="AD157" s="24"/>
      <c r="AE157" s="24"/>
      <c r="AF157" s="276" t="s">
        <v>62</v>
      </c>
      <c r="AG157" s="286">
        <v>45503</v>
      </c>
      <c r="AH157" s="507" t="s">
        <v>121</v>
      </c>
      <c r="AI157" s="677">
        <v>45230</v>
      </c>
      <c r="AJ157" s="58" t="s">
        <v>121</v>
      </c>
      <c r="AK157" s="58"/>
      <c r="AM157" s="613">
        <v>45594</v>
      </c>
    </row>
    <row r="158" spans="1:40" ht="22.8" x14ac:dyDescent="0.25">
      <c r="A158" s="28">
        <v>157</v>
      </c>
      <c r="B158" s="20">
        <v>30801</v>
      </c>
      <c r="C158" s="55" t="s">
        <v>64</v>
      </c>
      <c r="D158" s="20" t="s">
        <v>628</v>
      </c>
      <c r="E158" s="20" t="s">
        <v>522</v>
      </c>
      <c r="F158" s="29" t="s">
        <v>57</v>
      </c>
      <c r="G158" s="29" t="s">
        <v>11</v>
      </c>
      <c r="H158" s="19">
        <v>44459</v>
      </c>
      <c r="I158" s="3"/>
      <c r="J158" s="3" t="s">
        <v>58</v>
      </c>
      <c r="K158" s="429" t="s">
        <v>59</v>
      </c>
      <c r="L158" s="432" t="s">
        <v>75</v>
      </c>
      <c r="M158" s="432" t="s">
        <v>60</v>
      </c>
      <c r="N158" s="432" t="s">
        <v>75</v>
      </c>
      <c r="O158" s="249">
        <v>44779</v>
      </c>
      <c r="P158" s="24"/>
      <c r="Q158" s="16" t="s">
        <v>75</v>
      </c>
      <c r="R158" s="16" t="s">
        <v>75</v>
      </c>
      <c r="S158" s="16" t="s">
        <v>68</v>
      </c>
      <c r="T158" s="16" t="s">
        <v>68</v>
      </c>
      <c r="U158" s="16" t="s">
        <v>68</v>
      </c>
      <c r="V158" s="24"/>
      <c r="W158" s="16" t="s">
        <v>68</v>
      </c>
      <c r="X158" s="16" t="s">
        <v>75</v>
      </c>
      <c r="Y158" s="16" t="s">
        <v>68</v>
      </c>
      <c r="Z158" s="432" t="s">
        <v>68</v>
      </c>
      <c r="AA158" s="435"/>
      <c r="AB158" s="24"/>
      <c r="AC158" s="24"/>
      <c r="AD158" s="16" t="s">
        <v>68</v>
      </c>
      <c r="AF158" s="276" t="s">
        <v>68</v>
      </c>
      <c r="AG158" s="286">
        <v>45484</v>
      </c>
      <c r="AH158" s="507" t="s">
        <v>121</v>
      </c>
      <c r="AI158" s="677">
        <v>45180</v>
      </c>
      <c r="AJ158" s="58" t="s">
        <v>121</v>
      </c>
      <c r="AM158" s="613">
        <v>45527</v>
      </c>
    </row>
    <row r="159" spans="1:40" ht="22.8" x14ac:dyDescent="0.25">
      <c r="A159" s="28">
        <v>158</v>
      </c>
      <c r="B159" s="20">
        <v>30801</v>
      </c>
      <c r="C159" s="55" t="s">
        <v>54</v>
      </c>
      <c r="D159" s="20" t="s">
        <v>629</v>
      </c>
      <c r="E159" s="20" t="s">
        <v>522</v>
      </c>
      <c r="F159" s="29" t="s">
        <v>57</v>
      </c>
      <c r="G159" s="29" t="s">
        <v>11</v>
      </c>
      <c r="H159" s="19">
        <v>44459</v>
      </c>
      <c r="I159" s="3"/>
      <c r="J159" s="3" t="s">
        <v>58</v>
      </c>
      <c r="K159" s="429" t="s">
        <v>59</v>
      </c>
      <c r="L159" s="432" t="s">
        <v>75</v>
      </c>
      <c r="M159" s="432" t="s">
        <v>60</v>
      </c>
      <c r="N159" s="432" t="s">
        <v>75</v>
      </c>
      <c r="O159" s="249">
        <v>44779</v>
      </c>
      <c r="P159" s="24"/>
      <c r="Q159" s="16" t="s">
        <v>75</v>
      </c>
      <c r="R159" s="16" t="s">
        <v>75</v>
      </c>
      <c r="S159" s="16" t="s">
        <v>62</v>
      </c>
      <c r="T159" s="16" t="s">
        <v>62</v>
      </c>
      <c r="U159" s="16" t="s">
        <v>62</v>
      </c>
      <c r="V159" s="24"/>
      <c r="W159" s="16" t="s">
        <v>62</v>
      </c>
      <c r="X159" s="16" t="s">
        <v>75</v>
      </c>
      <c r="Y159" s="16" t="s">
        <v>62</v>
      </c>
      <c r="Z159" s="432" t="s">
        <v>62</v>
      </c>
      <c r="AA159" s="435"/>
      <c r="AB159" s="24"/>
      <c r="AC159" s="24"/>
      <c r="AD159" s="16" t="s">
        <v>62</v>
      </c>
      <c r="AF159" s="276" t="s">
        <v>62</v>
      </c>
      <c r="AG159" s="286">
        <v>45484</v>
      </c>
      <c r="AH159" s="507" t="s">
        <v>121</v>
      </c>
      <c r="AI159" s="677">
        <v>45180</v>
      </c>
      <c r="AJ159" s="58" t="s">
        <v>121</v>
      </c>
      <c r="AM159" s="613">
        <v>45527</v>
      </c>
    </row>
    <row r="160" spans="1:40" ht="22.8" x14ac:dyDescent="0.25">
      <c r="A160" s="28">
        <v>159</v>
      </c>
      <c r="B160" s="20">
        <v>30748</v>
      </c>
      <c r="C160" s="55" t="s">
        <v>64</v>
      </c>
      <c r="D160" s="20" t="s">
        <v>630</v>
      </c>
      <c r="E160" s="20" t="s">
        <v>522</v>
      </c>
      <c r="F160" s="29" t="s">
        <v>57</v>
      </c>
      <c r="G160" s="29" t="s">
        <v>11</v>
      </c>
      <c r="H160" s="19">
        <v>43686</v>
      </c>
      <c r="I160" s="3"/>
      <c r="J160" s="3" t="s">
        <v>58</v>
      </c>
      <c r="K160" s="429" t="s">
        <v>59</v>
      </c>
      <c r="L160" s="432" t="s">
        <v>75</v>
      </c>
      <c r="M160" s="432" t="s">
        <v>60</v>
      </c>
      <c r="N160" s="432" t="s">
        <v>75</v>
      </c>
      <c r="O160" s="547">
        <v>45143</v>
      </c>
      <c r="P160" s="24"/>
      <c r="Q160" s="16"/>
      <c r="R160" s="16" t="s">
        <v>75</v>
      </c>
      <c r="S160" s="16"/>
      <c r="T160" s="16" t="s">
        <v>68</v>
      </c>
      <c r="U160" s="16" t="s">
        <v>68</v>
      </c>
      <c r="V160" s="24"/>
      <c r="W160" s="24"/>
      <c r="X160" s="16"/>
      <c r="Y160" s="16" t="s">
        <v>68</v>
      </c>
      <c r="Z160" s="432" t="s">
        <v>68</v>
      </c>
      <c r="AA160" s="435"/>
      <c r="AB160" s="24"/>
      <c r="AC160" s="24"/>
      <c r="AD160" s="16" t="s">
        <v>68</v>
      </c>
      <c r="AE160" s="24"/>
      <c r="AF160" s="276" t="s">
        <v>68</v>
      </c>
      <c r="AG160" s="286">
        <v>45481</v>
      </c>
      <c r="AH160" s="507" t="s">
        <v>121</v>
      </c>
      <c r="AI160" s="677">
        <v>45174</v>
      </c>
      <c r="AJ160" s="58" t="s">
        <v>121</v>
      </c>
    </row>
    <row r="161" spans="1:40" ht="22.8" x14ac:dyDescent="0.25">
      <c r="A161" s="28">
        <v>160</v>
      </c>
      <c r="B161" s="20">
        <v>30748</v>
      </c>
      <c r="C161" s="55" t="s">
        <v>54</v>
      </c>
      <c r="D161" s="20" t="s">
        <v>546</v>
      </c>
      <c r="E161" s="20" t="s">
        <v>522</v>
      </c>
      <c r="F161" s="29" t="s">
        <v>57</v>
      </c>
      <c r="G161" s="29" t="s">
        <v>11</v>
      </c>
      <c r="H161" s="19">
        <v>43686</v>
      </c>
      <c r="I161" s="3"/>
      <c r="J161" s="3" t="s">
        <v>58</v>
      </c>
      <c r="K161" s="429" t="s">
        <v>59</v>
      </c>
      <c r="L161" s="432" t="s">
        <v>75</v>
      </c>
      <c r="M161" s="432" t="s">
        <v>60</v>
      </c>
      <c r="N161" s="432" t="s">
        <v>75</v>
      </c>
      <c r="O161" s="548">
        <v>45143</v>
      </c>
      <c r="P161" s="24"/>
      <c r="Q161" s="16"/>
      <c r="R161" s="16" t="s">
        <v>75</v>
      </c>
      <c r="S161" s="16"/>
      <c r="T161" s="16" t="s">
        <v>62</v>
      </c>
      <c r="U161" s="16" t="s">
        <v>62</v>
      </c>
      <c r="V161" s="24"/>
      <c r="W161" s="24"/>
      <c r="X161" s="16"/>
      <c r="Y161" s="16" t="s">
        <v>62</v>
      </c>
      <c r="Z161" s="432" t="s">
        <v>62</v>
      </c>
      <c r="AA161" s="435"/>
      <c r="AB161" s="126" t="s">
        <v>631</v>
      </c>
      <c r="AC161" s="24"/>
      <c r="AD161" s="16" t="s">
        <v>62</v>
      </c>
      <c r="AE161" s="24"/>
      <c r="AF161" s="276" t="s">
        <v>62</v>
      </c>
      <c r="AG161" s="286">
        <v>45481</v>
      </c>
      <c r="AH161" s="507" t="s">
        <v>121</v>
      </c>
      <c r="AI161" s="677">
        <v>45174</v>
      </c>
      <c r="AJ161" s="58" t="s">
        <v>121</v>
      </c>
    </row>
    <row r="162" spans="1:40" ht="13.35" customHeight="1" x14ac:dyDescent="0.25">
      <c r="A162" s="418">
        <v>161</v>
      </c>
      <c r="B162" s="20">
        <v>30436</v>
      </c>
      <c r="C162" s="55" t="s">
        <v>64</v>
      </c>
      <c r="D162" s="259" t="s">
        <v>110</v>
      </c>
      <c r="E162" s="20" t="s">
        <v>56</v>
      </c>
      <c r="F162" s="29" t="s">
        <v>57</v>
      </c>
      <c r="G162" s="29" t="s">
        <v>11</v>
      </c>
      <c r="H162" s="19"/>
      <c r="I162" s="3">
        <v>1333</v>
      </c>
      <c r="J162" s="265" t="s">
        <v>58</v>
      </c>
      <c r="K162" s="466" t="s">
        <v>59</v>
      </c>
      <c r="L162" s="467" t="s">
        <v>75</v>
      </c>
      <c r="M162" s="467" t="s">
        <v>60</v>
      </c>
      <c r="N162" s="467" t="s">
        <v>75</v>
      </c>
      <c r="O162" s="413">
        <v>45312</v>
      </c>
      <c r="P162" s="24"/>
      <c r="Q162" s="16" t="s">
        <v>75</v>
      </c>
      <c r="R162" s="16" t="s">
        <v>75</v>
      </c>
      <c r="S162" s="16" t="s">
        <v>75</v>
      </c>
      <c r="T162" s="16" t="s">
        <v>75</v>
      </c>
      <c r="U162" s="16" t="s">
        <v>75</v>
      </c>
      <c r="V162" s="279"/>
      <c r="W162" s="24"/>
      <c r="X162" s="16" t="s">
        <v>75</v>
      </c>
      <c r="Y162" s="24"/>
      <c r="Z162" s="435"/>
      <c r="AA162" s="435"/>
      <c r="AB162" s="24"/>
      <c r="AC162" s="24"/>
      <c r="AD162" s="16" t="s">
        <v>75</v>
      </c>
      <c r="AE162" s="24"/>
      <c r="AF162" s="16" t="s">
        <v>75</v>
      </c>
      <c r="AG162" s="1091">
        <v>45504</v>
      </c>
      <c r="AH162" t="s">
        <v>121</v>
      </c>
      <c r="AI162" s="307">
        <v>45224</v>
      </c>
      <c r="AJ162" s="58" t="s">
        <v>121</v>
      </c>
      <c r="AK162" s="58"/>
    </row>
    <row r="163" spans="1:40" ht="13.35" customHeight="1" x14ac:dyDescent="0.25">
      <c r="A163" s="419">
        <v>162</v>
      </c>
      <c r="B163" s="20">
        <v>30436</v>
      </c>
      <c r="C163" s="55" t="s">
        <v>54</v>
      </c>
      <c r="D163" s="259" t="s">
        <v>109</v>
      </c>
      <c r="E163" s="20" t="s">
        <v>56</v>
      </c>
      <c r="F163" s="29" t="s">
        <v>57</v>
      </c>
      <c r="G163" s="29" t="s">
        <v>11</v>
      </c>
      <c r="H163" s="19"/>
      <c r="I163" s="3">
        <v>1332</v>
      </c>
      <c r="J163" s="183" t="s">
        <v>58</v>
      </c>
      <c r="K163" s="468" t="s">
        <v>59</v>
      </c>
      <c r="L163" s="469" t="s">
        <v>75</v>
      </c>
      <c r="M163" s="469" t="s">
        <v>60</v>
      </c>
      <c r="N163" s="469" t="s">
        <v>75</v>
      </c>
      <c r="O163" s="413">
        <v>45312</v>
      </c>
      <c r="P163" s="24"/>
      <c r="Q163" s="16" t="s">
        <v>75</v>
      </c>
      <c r="R163" s="16" t="s">
        <v>75</v>
      </c>
      <c r="S163" s="16" t="s">
        <v>75</v>
      </c>
      <c r="T163" s="16" t="s">
        <v>75</v>
      </c>
      <c r="U163" s="16" t="s">
        <v>75</v>
      </c>
      <c r="V163" s="279"/>
      <c r="W163" s="24"/>
      <c r="X163" s="16" t="s">
        <v>75</v>
      </c>
      <c r="Y163" s="24"/>
      <c r="Z163" s="435"/>
      <c r="AA163" s="435"/>
      <c r="AB163" s="24"/>
      <c r="AC163" s="24"/>
      <c r="AD163" s="16" t="s">
        <v>75</v>
      </c>
      <c r="AE163" s="24"/>
      <c r="AF163" s="16" t="s">
        <v>75</v>
      </c>
      <c r="AG163" s="1091">
        <v>45504</v>
      </c>
      <c r="AH163" t="s">
        <v>121</v>
      </c>
      <c r="AI163" s="307">
        <v>45224</v>
      </c>
      <c r="AJ163" s="58" t="s">
        <v>121</v>
      </c>
      <c r="AK163" s="58"/>
    </row>
    <row r="164" spans="1:40" ht="22.8" x14ac:dyDescent="0.25">
      <c r="A164" s="418">
        <v>163</v>
      </c>
      <c r="B164" s="20">
        <v>30354</v>
      </c>
      <c r="C164" s="55" t="s">
        <v>64</v>
      </c>
      <c r="D164" s="122" t="s">
        <v>632</v>
      </c>
      <c r="E164" s="20" t="s">
        <v>522</v>
      </c>
      <c r="F164" s="29" t="s">
        <v>57</v>
      </c>
      <c r="G164" s="19" t="s">
        <v>11</v>
      </c>
      <c r="H164" s="19">
        <v>44886</v>
      </c>
      <c r="I164" s="3">
        <v>1178</v>
      </c>
      <c r="J164" s="3" t="s">
        <v>58</v>
      </c>
      <c r="K164" s="429" t="s">
        <v>59</v>
      </c>
      <c r="L164" s="432" t="s">
        <v>75</v>
      </c>
      <c r="M164" s="432" t="s">
        <v>60</v>
      </c>
      <c r="N164" s="432" t="s">
        <v>75</v>
      </c>
      <c r="O164" s="33">
        <v>44909</v>
      </c>
      <c r="P164" s="33"/>
      <c r="Q164" s="16"/>
      <c r="R164" s="16"/>
      <c r="S164" s="16"/>
      <c r="T164" s="24"/>
      <c r="U164" s="241"/>
      <c r="V164" s="24"/>
      <c r="W164" s="24"/>
      <c r="X164" s="16"/>
      <c r="Y164" s="24"/>
      <c r="Z164" s="435"/>
      <c r="AA164" s="435"/>
      <c r="AB164" s="24"/>
      <c r="AC164" s="24"/>
      <c r="AD164" s="24"/>
      <c r="AE164" s="24"/>
      <c r="AF164" s="16" t="s">
        <v>75</v>
      </c>
      <c r="AG164" s="286">
        <v>45533</v>
      </c>
      <c r="AH164" s="507" t="s">
        <v>121</v>
      </c>
      <c r="AI164" s="677">
        <v>45140</v>
      </c>
      <c r="AJ164" s="58" t="s">
        <v>121</v>
      </c>
      <c r="AK164" s="58"/>
      <c r="AM164" s="613">
        <v>45533</v>
      </c>
    </row>
    <row r="165" spans="1:40" ht="22.8" x14ac:dyDescent="0.25">
      <c r="A165" s="419">
        <v>164</v>
      </c>
      <c r="B165" s="20">
        <v>30354</v>
      </c>
      <c r="C165" s="55" t="s">
        <v>54</v>
      </c>
      <c r="D165" s="20" t="s">
        <v>633</v>
      </c>
      <c r="E165" s="20" t="s">
        <v>522</v>
      </c>
      <c r="F165" s="29" t="s">
        <v>57</v>
      </c>
      <c r="G165" s="29" t="s">
        <v>11</v>
      </c>
      <c r="H165" s="19">
        <v>44886</v>
      </c>
      <c r="I165" s="3">
        <v>1179</v>
      </c>
      <c r="J165" s="3" t="s">
        <v>58</v>
      </c>
      <c r="K165" s="429" t="s">
        <v>59</v>
      </c>
      <c r="L165" s="432" t="s">
        <v>75</v>
      </c>
      <c r="M165" s="432" t="s">
        <v>60</v>
      </c>
      <c r="N165" s="444" t="s">
        <v>75</v>
      </c>
      <c r="O165" s="413">
        <v>44909</v>
      </c>
      <c r="P165" s="33"/>
      <c r="Q165" s="16"/>
      <c r="R165" s="16"/>
      <c r="S165" s="16"/>
      <c r="T165" s="24"/>
      <c r="U165" s="16"/>
      <c r="V165" s="24"/>
      <c r="W165" s="24"/>
      <c r="X165" s="16"/>
      <c r="Y165" s="24"/>
      <c r="Z165" s="435"/>
      <c r="AA165" s="435"/>
      <c r="AB165" s="24"/>
      <c r="AC165" s="24"/>
      <c r="AD165" s="24"/>
      <c r="AE165" s="24"/>
      <c r="AF165" s="16" t="s">
        <v>75</v>
      </c>
      <c r="AG165" s="286">
        <v>45533</v>
      </c>
      <c r="AH165" s="507" t="s">
        <v>121</v>
      </c>
      <c r="AI165" s="677">
        <v>45140</v>
      </c>
      <c r="AJ165" s="58" t="s">
        <v>121</v>
      </c>
      <c r="AK165" s="58"/>
      <c r="AM165" s="613">
        <v>45533</v>
      </c>
    </row>
    <row r="166" spans="1:40" ht="23.4" x14ac:dyDescent="0.25">
      <c r="A166" s="254">
        <v>165</v>
      </c>
      <c r="B166" s="260">
        <v>39221</v>
      </c>
      <c r="C166" s="421" t="s">
        <v>64</v>
      </c>
      <c r="D166" s="327" t="s">
        <v>634</v>
      </c>
      <c r="E166" s="156" t="s">
        <v>522</v>
      </c>
      <c r="F166" s="129" t="s">
        <v>57</v>
      </c>
      <c r="G166" s="129" t="s">
        <v>11</v>
      </c>
      <c r="H166" s="420">
        <v>44950</v>
      </c>
      <c r="I166" s="129" t="s">
        <v>82</v>
      </c>
      <c r="J166" s="158" t="s">
        <v>58</v>
      </c>
      <c r="K166" s="468" t="s">
        <v>59</v>
      </c>
      <c r="L166" s="432" t="s">
        <v>75</v>
      </c>
      <c r="M166" s="469" t="s">
        <v>60</v>
      </c>
      <c r="N166" s="469" t="s">
        <v>75</v>
      </c>
      <c r="O166" s="130" t="s">
        <v>82</v>
      </c>
      <c r="P166" s="130" t="s">
        <v>82</v>
      </c>
      <c r="Q166" s="130" t="s">
        <v>75</v>
      </c>
      <c r="R166" s="130" t="s">
        <v>75</v>
      </c>
      <c r="S166" s="130" t="s">
        <v>75</v>
      </c>
      <c r="T166" s="130" t="s">
        <v>75</v>
      </c>
      <c r="U166" s="130" t="s">
        <v>75</v>
      </c>
      <c r="V166" s="130" t="s">
        <v>82</v>
      </c>
      <c r="W166" s="130" t="s">
        <v>82</v>
      </c>
      <c r="X166" s="130" t="s">
        <v>75</v>
      </c>
      <c r="Y166" s="130" t="s">
        <v>82</v>
      </c>
      <c r="Z166" s="469" t="s">
        <v>75</v>
      </c>
      <c r="AA166" s="469" t="s">
        <v>82</v>
      </c>
      <c r="AB166" s="24"/>
      <c r="AC166" s="129" t="s">
        <v>82</v>
      </c>
      <c r="AD166" s="130" t="s">
        <v>75</v>
      </c>
      <c r="AE166" s="129" t="s">
        <v>82</v>
      </c>
      <c r="AF166" s="159" t="s">
        <v>75</v>
      </c>
      <c r="AG166" s="286">
        <v>45483</v>
      </c>
      <c r="AH166" s="507" t="s">
        <v>121</v>
      </c>
      <c r="AI166" s="677">
        <v>45198</v>
      </c>
      <c r="AJ166" s="58" t="s">
        <v>121</v>
      </c>
      <c r="AM166" s="613">
        <v>45527</v>
      </c>
      <c r="AN166" s="381"/>
    </row>
    <row r="167" spans="1:40" ht="23.4" x14ac:dyDescent="0.25">
      <c r="A167" s="254">
        <v>166</v>
      </c>
      <c r="B167" s="260">
        <v>39221</v>
      </c>
      <c r="C167" s="421" t="s">
        <v>54</v>
      </c>
      <c r="D167" s="327" t="s">
        <v>635</v>
      </c>
      <c r="E167" s="156" t="s">
        <v>522</v>
      </c>
      <c r="F167" s="129" t="s">
        <v>57</v>
      </c>
      <c r="G167" s="129" t="s">
        <v>11</v>
      </c>
      <c r="H167" s="420">
        <v>44950</v>
      </c>
      <c r="I167" s="129" t="s">
        <v>82</v>
      </c>
      <c r="J167" s="158" t="s">
        <v>58</v>
      </c>
      <c r="K167" s="468" t="s">
        <v>59</v>
      </c>
      <c r="L167" s="432" t="s">
        <v>75</v>
      </c>
      <c r="M167" s="469" t="s">
        <v>60</v>
      </c>
      <c r="N167" s="469" t="s">
        <v>75</v>
      </c>
      <c r="O167" s="130" t="s">
        <v>82</v>
      </c>
      <c r="P167" s="130" t="s">
        <v>82</v>
      </c>
      <c r="Q167" s="130" t="s">
        <v>75</v>
      </c>
      <c r="R167" s="130" t="s">
        <v>75</v>
      </c>
      <c r="S167" s="130" t="s">
        <v>75</v>
      </c>
      <c r="T167" s="130" t="s">
        <v>75</v>
      </c>
      <c r="U167" s="130" t="s">
        <v>75</v>
      </c>
      <c r="V167" s="130" t="s">
        <v>82</v>
      </c>
      <c r="W167" s="130" t="s">
        <v>82</v>
      </c>
      <c r="X167" s="130" t="s">
        <v>75</v>
      </c>
      <c r="Y167" s="130" t="s">
        <v>82</v>
      </c>
      <c r="Z167" s="469" t="s">
        <v>75</v>
      </c>
      <c r="AA167" s="469" t="s">
        <v>82</v>
      </c>
      <c r="AB167" s="24"/>
      <c r="AC167" s="129" t="s">
        <v>82</v>
      </c>
      <c r="AD167" s="130" t="s">
        <v>75</v>
      </c>
      <c r="AE167" s="129" t="s">
        <v>82</v>
      </c>
      <c r="AF167" s="159" t="s">
        <v>75</v>
      </c>
      <c r="AG167" s="286">
        <v>45483</v>
      </c>
      <c r="AH167" s="507" t="s">
        <v>121</v>
      </c>
      <c r="AI167" s="677">
        <v>45198</v>
      </c>
      <c r="AJ167" s="58" t="s">
        <v>121</v>
      </c>
      <c r="AM167" s="613">
        <v>45527</v>
      </c>
    </row>
    <row r="168" spans="1:40" ht="23.4" x14ac:dyDescent="0.25">
      <c r="A168" s="254">
        <v>167</v>
      </c>
      <c r="B168" s="144">
        <v>39222</v>
      </c>
      <c r="C168" s="421" t="s">
        <v>64</v>
      </c>
      <c r="D168" s="327" t="s">
        <v>636</v>
      </c>
      <c r="E168" s="156" t="s">
        <v>522</v>
      </c>
      <c r="F168" s="327" t="s">
        <v>57</v>
      </c>
      <c r="G168" s="327" t="s">
        <v>11</v>
      </c>
      <c r="H168" s="420">
        <v>44953</v>
      </c>
      <c r="I168" s="129" t="s">
        <v>82</v>
      </c>
      <c r="J168" s="158" t="s">
        <v>58</v>
      </c>
      <c r="K168" s="468" t="s">
        <v>59</v>
      </c>
      <c r="L168" s="432" t="s">
        <v>75</v>
      </c>
      <c r="M168" s="469" t="s">
        <v>60</v>
      </c>
      <c r="N168" s="469" t="s">
        <v>75</v>
      </c>
      <c r="O168" s="130" t="s">
        <v>82</v>
      </c>
      <c r="P168" s="130" t="s">
        <v>82</v>
      </c>
      <c r="Q168" s="130" t="s">
        <v>75</v>
      </c>
      <c r="R168" s="130" t="s">
        <v>75</v>
      </c>
      <c r="S168" s="130" t="s">
        <v>75</v>
      </c>
      <c r="T168" s="130" t="s">
        <v>75</v>
      </c>
      <c r="U168" s="130" t="s">
        <v>75</v>
      </c>
      <c r="V168" s="130" t="s">
        <v>82</v>
      </c>
      <c r="W168" s="130" t="s">
        <v>82</v>
      </c>
      <c r="X168" s="130" t="s">
        <v>75</v>
      </c>
      <c r="Y168" s="130" t="s">
        <v>82</v>
      </c>
      <c r="Z168" s="469" t="s">
        <v>75</v>
      </c>
      <c r="AA168" s="469" t="s">
        <v>82</v>
      </c>
      <c r="AB168" s="24"/>
      <c r="AC168" s="129" t="s">
        <v>82</v>
      </c>
      <c r="AD168" s="130" t="s">
        <v>75</v>
      </c>
      <c r="AE168" s="129" t="s">
        <v>82</v>
      </c>
      <c r="AF168" s="159" t="s">
        <v>75</v>
      </c>
      <c r="AG168" s="286">
        <v>45502</v>
      </c>
      <c r="AH168" s="507" t="s">
        <v>121</v>
      </c>
      <c r="AI168" s="677">
        <v>45227</v>
      </c>
      <c r="AJ168" s="58" t="s">
        <v>121</v>
      </c>
      <c r="AK168" s="58"/>
      <c r="AM168" s="613">
        <v>45476</v>
      </c>
      <c r="AN168" s="381"/>
    </row>
    <row r="169" spans="1:40" ht="23.4" x14ac:dyDescent="0.25">
      <c r="A169" s="254">
        <v>168</v>
      </c>
      <c r="B169" s="144">
        <v>39222</v>
      </c>
      <c r="C169" s="421" t="s">
        <v>54</v>
      </c>
      <c r="D169" s="327" t="s">
        <v>637</v>
      </c>
      <c r="E169" s="156" t="s">
        <v>522</v>
      </c>
      <c r="F169" s="327" t="s">
        <v>57</v>
      </c>
      <c r="G169" s="327" t="s">
        <v>11</v>
      </c>
      <c r="H169" s="420">
        <v>44953</v>
      </c>
      <c r="I169" s="129" t="s">
        <v>82</v>
      </c>
      <c r="J169" s="158" t="s">
        <v>58</v>
      </c>
      <c r="K169" s="468" t="s">
        <v>59</v>
      </c>
      <c r="L169" s="432" t="s">
        <v>75</v>
      </c>
      <c r="M169" s="469" t="s">
        <v>60</v>
      </c>
      <c r="N169" s="469" t="s">
        <v>75</v>
      </c>
      <c r="O169" s="130" t="s">
        <v>82</v>
      </c>
      <c r="P169" s="130" t="s">
        <v>82</v>
      </c>
      <c r="Q169" s="130" t="s">
        <v>75</v>
      </c>
      <c r="R169" s="130" t="s">
        <v>75</v>
      </c>
      <c r="S169" s="130" t="s">
        <v>75</v>
      </c>
      <c r="T169" s="130" t="s">
        <v>75</v>
      </c>
      <c r="U169" s="130" t="s">
        <v>75</v>
      </c>
      <c r="V169" s="130" t="s">
        <v>82</v>
      </c>
      <c r="W169" s="130" t="s">
        <v>82</v>
      </c>
      <c r="X169" s="130" t="s">
        <v>75</v>
      </c>
      <c r="Y169" s="130" t="s">
        <v>82</v>
      </c>
      <c r="Z169" s="469" t="s">
        <v>75</v>
      </c>
      <c r="AA169" s="469" t="s">
        <v>82</v>
      </c>
      <c r="AB169" s="24"/>
      <c r="AC169" s="129" t="s">
        <v>82</v>
      </c>
      <c r="AD169" s="130" t="s">
        <v>75</v>
      </c>
      <c r="AE169" s="129" t="s">
        <v>82</v>
      </c>
      <c r="AF169" s="159" t="s">
        <v>75</v>
      </c>
      <c r="AG169" s="286">
        <v>45502</v>
      </c>
      <c r="AH169" s="507" t="s">
        <v>121</v>
      </c>
      <c r="AI169" s="677">
        <v>45227</v>
      </c>
      <c r="AJ169" s="58" t="s">
        <v>121</v>
      </c>
      <c r="AK169" s="58"/>
      <c r="AM169" s="613">
        <v>45476</v>
      </c>
    </row>
    <row r="170" spans="1:40" ht="23.4" x14ac:dyDescent="0.25">
      <c r="A170" s="254">
        <v>169</v>
      </c>
      <c r="B170" s="144">
        <v>39230</v>
      </c>
      <c r="C170" s="421" t="s">
        <v>64</v>
      </c>
      <c r="D170" s="327" t="s">
        <v>638</v>
      </c>
      <c r="E170" s="156" t="s">
        <v>522</v>
      </c>
      <c r="F170" s="327" t="s">
        <v>57</v>
      </c>
      <c r="G170" s="327" t="s">
        <v>11</v>
      </c>
      <c r="H170" s="420">
        <v>44967</v>
      </c>
      <c r="I170" s="129" t="s">
        <v>82</v>
      </c>
      <c r="J170" s="158" t="s">
        <v>58</v>
      </c>
      <c r="K170" s="468" t="s">
        <v>59</v>
      </c>
      <c r="L170" s="432" t="s">
        <v>75</v>
      </c>
      <c r="M170" s="469" t="s">
        <v>60</v>
      </c>
      <c r="N170" s="469" t="s">
        <v>75</v>
      </c>
      <c r="O170" s="130" t="s">
        <v>82</v>
      </c>
      <c r="P170" s="130" t="s">
        <v>82</v>
      </c>
      <c r="Q170" s="130" t="s">
        <v>75</v>
      </c>
      <c r="R170" s="130" t="s">
        <v>75</v>
      </c>
      <c r="S170" s="130" t="s">
        <v>75</v>
      </c>
      <c r="T170" s="130" t="s">
        <v>75</v>
      </c>
      <c r="U170" s="130" t="s">
        <v>75</v>
      </c>
      <c r="V170" s="130" t="s">
        <v>82</v>
      </c>
      <c r="W170" s="130" t="s">
        <v>82</v>
      </c>
      <c r="X170" s="130" t="s">
        <v>75</v>
      </c>
      <c r="Y170" s="130" t="s">
        <v>82</v>
      </c>
      <c r="Z170" s="469" t="s">
        <v>75</v>
      </c>
      <c r="AA170" s="469" t="s">
        <v>82</v>
      </c>
      <c r="AB170" s="24"/>
      <c r="AC170" s="129" t="s">
        <v>82</v>
      </c>
      <c r="AD170" s="130" t="s">
        <v>75</v>
      </c>
      <c r="AE170" s="129" t="s">
        <v>82</v>
      </c>
      <c r="AF170" s="159" t="s">
        <v>75</v>
      </c>
      <c r="AG170" s="286">
        <v>45509</v>
      </c>
      <c r="AH170" s="507" t="s">
        <v>121</v>
      </c>
      <c r="AI170" s="677">
        <v>45161</v>
      </c>
      <c r="AJ170" s="58" t="s">
        <v>121</v>
      </c>
      <c r="AK170" s="58"/>
      <c r="AM170" s="613">
        <v>45583</v>
      </c>
      <c r="AN170" s="381"/>
    </row>
    <row r="171" spans="1:40" ht="23.4" x14ac:dyDescent="0.25">
      <c r="A171" s="255">
        <v>170</v>
      </c>
      <c r="B171" s="144">
        <v>39230</v>
      </c>
      <c r="C171" s="421" t="s">
        <v>54</v>
      </c>
      <c r="D171" s="327" t="s">
        <v>639</v>
      </c>
      <c r="E171" s="156" t="s">
        <v>522</v>
      </c>
      <c r="F171" s="327" t="s">
        <v>57</v>
      </c>
      <c r="G171" s="327" t="s">
        <v>11</v>
      </c>
      <c r="H171" s="420">
        <v>44967</v>
      </c>
      <c r="I171" s="129" t="s">
        <v>82</v>
      </c>
      <c r="J171" s="158" t="s">
        <v>58</v>
      </c>
      <c r="K171" s="468" t="s">
        <v>59</v>
      </c>
      <c r="L171" s="432" t="s">
        <v>75</v>
      </c>
      <c r="M171" s="469" t="s">
        <v>60</v>
      </c>
      <c r="N171" s="469" t="s">
        <v>75</v>
      </c>
      <c r="O171" s="130" t="s">
        <v>82</v>
      </c>
      <c r="P171" s="130" t="s">
        <v>82</v>
      </c>
      <c r="Q171" s="130" t="s">
        <v>75</v>
      </c>
      <c r="R171" s="130" t="s">
        <v>75</v>
      </c>
      <c r="S171" s="130" t="s">
        <v>75</v>
      </c>
      <c r="T171" s="130" t="s">
        <v>75</v>
      </c>
      <c r="U171" s="130" t="s">
        <v>75</v>
      </c>
      <c r="V171" s="130" t="s">
        <v>82</v>
      </c>
      <c r="W171" s="130" t="s">
        <v>82</v>
      </c>
      <c r="X171" s="130" t="s">
        <v>75</v>
      </c>
      <c r="Y171" s="130" t="s">
        <v>82</v>
      </c>
      <c r="Z171" s="469" t="s">
        <v>75</v>
      </c>
      <c r="AA171" s="469" t="s">
        <v>82</v>
      </c>
      <c r="AB171" s="24"/>
      <c r="AC171" s="129" t="s">
        <v>82</v>
      </c>
      <c r="AD171" s="130" t="s">
        <v>75</v>
      </c>
      <c r="AE171" s="129" t="s">
        <v>82</v>
      </c>
      <c r="AF171" s="159" t="s">
        <v>75</v>
      </c>
      <c r="AG171" s="286">
        <v>45509</v>
      </c>
      <c r="AH171" s="507" t="s">
        <v>121</v>
      </c>
      <c r="AI171" s="677">
        <v>45161</v>
      </c>
      <c r="AJ171" s="58" t="s">
        <v>121</v>
      </c>
      <c r="AK171" s="58"/>
      <c r="AM171" s="613">
        <v>45583</v>
      </c>
    </row>
    <row r="172" spans="1:40" ht="23.4" x14ac:dyDescent="0.25">
      <c r="A172" s="255">
        <v>171</v>
      </c>
      <c r="B172" s="144">
        <v>39231</v>
      </c>
      <c r="C172" s="421" t="s">
        <v>64</v>
      </c>
      <c r="D172" s="327" t="s">
        <v>640</v>
      </c>
      <c r="E172" s="156" t="s">
        <v>522</v>
      </c>
      <c r="F172" s="327" t="s">
        <v>57</v>
      </c>
      <c r="G172" s="327" t="s">
        <v>11</v>
      </c>
      <c r="H172" s="420">
        <v>44972</v>
      </c>
      <c r="I172" s="129" t="s">
        <v>82</v>
      </c>
      <c r="J172" s="158" t="s">
        <v>58</v>
      </c>
      <c r="K172" s="468" t="s">
        <v>59</v>
      </c>
      <c r="L172" s="432" t="s">
        <v>75</v>
      </c>
      <c r="M172" s="469" t="s">
        <v>60</v>
      </c>
      <c r="N172" s="469" t="s">
        <v>75</v>
      </c>
      <c r="O172" s="547">
        <v>45170</v>
      </c>
      <c r="P172" s="130" t="s">
        <v>82</v>
      </c>
      <c r="Q172" s="130" t="s">
        <v>75</v>
      </c>
      <c r="R172" s="130" t="s">
        <v>75</v>
      </c>
      <c r="S172" s="130" t="s">
        <v>75</v>
      </c>
      <c r="T172" s="130" t="s">
        <v>75</v>
      </c>
      <c r="U172" s="130" t="s">
        <v>75</v>
      </c>
      <c r="V172" s="130" t="s">
        <v>82</v>
      </c>
      <c r="W172" s="130" t="s">
        <v>82</v>
      </c>
      <c r="X172" s="130" t="s">
        <v>75</v>
      </c>
      <c r="Y172" s="130" t="s">
        <v>82</v>
      </c>
      <c r="Z172" s="469" t="s">
        <v>75</v>
      </c>
      <c r="AA172" s="469" t="s">
        <v>82</v>
      </c>
      <c r="AB172" s="24"/>
      <c r="AC172" s="129" t="s">
        <v>82</v>
      </c>
      <c r="AD172" s="130" t="s">
        <v>75</v>
      </c>
      <c r="AE172" s="129" t="s">
        <v>82</v>
      </c>
      <c r="AF172" s="159" t="s">
        <v>75</v>
      </c>
      <c r="AG172" s="286">
        <v>45492</v>
      </c>
      <c r="AH172" s="507" t="s">
        <v>121</v>
      </c>
      <c r="AI172" s="677">
        <v>45178</v>
      </c>
      <c r="AJ172" s="58" t="s">
        <v>121</v>
      </c>
      <c r="AK172" s="58"/>
      <c r="AN172" s="381"/>
    </row>
    <row r="173" spans="1:40" ht="23.4" x14ac:dyDescent="0.25">
      <c r="A173" s="255">
        <v>172</v>
      </c>
      <c r="B173" s="144">
        <v>39231</v>
      </c>
      <c r="C173" s="421" t="s">
        <v>54</v>
      </c>
      <c r="D173" s="327" t="s">
        <v>641</v>
      </c>
      <c r="E173" s="156" t="s">
        <v>522</v>
      </c>
      <c r="F173" s="327" t="s">
        <v>57</v>
      </c>
      <c r="G173" s="327" t="s">
        <v>11</v>
      </c>
      <c r="H173" s="420">
        <v>44972</v>
      </c>
      <c r="I173" s="129" t="s">
        <v>82</v>
      </c>
      <c r="J173" s="158" t="s">
        <v>58</v>
      </c>
      <c r="K173" s="468" t="s">
        <v>59</v>
      </c>
      <c r="L173" s="432" t="s">
        <v>75</v>
      </c>
      <c r="M173" s="469" t="s">
        <v>60</v>
      </c>
      <c r="N173" s="469" t="s">
        <v>75</v>
      </c>
      <c r="O173" s="548">
        <v>45170</v>
      </c>
      <c r="P173" s="129" t="s">
        <v>82</v>
      </c>
      <c r="Q173" s="130" t="s">
        <v>75</v>
      </c>
      <c r="R173" s="130" t="s">
        <v>75</v>
      </c>
      <c r="S173" s="130" t="s">
        <v>75</v>
      </c>
      <c r="T173" s="130" t="s">
        <v>75</v>
      </c>
      <c r="U173" s="130" t="s">
        <v>75</v>
      </c>
      <c r="V173" s="129" t="s">
        <v>82</v>
      </c>
      <c r="W173" s="129" t="s">
        <v>82</v>
      </c>
      <c r="X173" s="130" t="s">
        <v>75</v>
      </c>
      <c r="Y173" s="129" t="s">
        <v>82</v>
      </c>
      <c r="Z173" s="469" t="s">
        <v>75</v>
      </c>
      <c r="AA173" s="567" t="s">
        <v>82</v>
      </c>
      <c r="AB173" s="24"/>
      <c r="AC173" s="129" t="s">
        <v>82</v>
      </c>
      <c r="AD173" s="130" t="s">
        <v>75</v>
      </c>
      <c r="AE173" s="129" t="s">
        <v>82</v>
      </c>
      <c r="AF173" s="159" t="s">
        <v>75</v>
      </c>
      <c r="AG173" s="286">
        <v>45492</v>
      </c>
      <c r="AH173" s="507" t="s">
        <v>121</v>
      </c>
      <c r="AI173" s="677">
        <v>45178</v>
      </c>
      <c r="AJ173" s="58" t="s">
        <v>121</v>
      </c>
      <c r="AK173" s="58"/>
    </row>
    <row r="174" spans="1:40" ht="23.4" x14ac:dyDescent="0.25">
      <c r="A174" s="254">
        <v>173</v>
      </c>
      <c r="B174" s="144">
        <v>39232</v>
      </c>
      <c r="C174" s="421" t="s">
        <v>64</v>
      </c>
      <c r="D174" s="327" t="s">
        <v>642</v>
      </c>
      <c r="E174" s="156" t="s">
        <v>522</v>
      </c>
      <c r="F174" s="327" t="s">
        <v>57</v>
      </c>
      <c r="G174" s="327" t="s">
        <v>11</v>
      </c>
      <c r="H174" s="420">
        <v>44975</v>
      </c>
      <c r="I174" s="129" t="s">
        <v>82</v>
      </c>
      <c r="J174" s="158" t="s">
        <v>58</v>
      </c>
      <c r="K174" s="468" t="s">
        <v>59</v>
      </c>
      <c r="L174" s="432" t="s">
        <v>75</v>
      </c>
      <c r="M174" s="469" t="s">
        <v>60</v>
      </c>
      <c r="N174" s="469" t="s">
        <v>75</v>
      </c>
      <c r="O174" s="129" t="s">
        <v>82</v>
      </c>
      <c r="P174" s="129" t="s">
        <v>82</v>
      </c>
      <c r="Q174" s="130" t="s">
        <v>75</v>
      </c>
      <c r="R174" s="130" t="s">
        <v>75</v>
      </c>
      <c r="S174" s="130" t="s">
        <v>75</v>
      </c>
      <c r="T174" s="130" t="s">
        <v>75</v>
      </c>
      <c r="U174" s="130" t="s">
        <v>75</v>
      </c>
      <c r="V174" s="129" t="s">
        <v>82</v>
      </c>
      <c r="W174" s="129" t="s">
        <v>82</v>
      </c>
      <c r="X174" s="130" t="s">
        <v>75</v>
      </c>
      <c r="Y174" s="129" t="s">
        <v>82</v>
      </c>
      <c r="Z174" s="469" t="s">
        <v>75</v>
      </c>
      <c r="AA174" s="567" t="s">
        <v>82</v>
      </c>
      <c r="AB174" s="24"/>
      <c r="AC174" s="129" t="s">
        <v>82</v>
      </c>
      <c r="AD174" s="130" t="s">
        <v>75</v>
      </c>
      <c r="AE174" s="129" t="s">
        <v>82</v>
      </c>
      <c r="AF174" s="159" t="s">
        <v>75</v>
      </c>
      <c r="AG174" s="286">
        <v>45479</v>
      </c>
      <c r="AH174" s="507" t="s">
        <v>121</v>
      </c>
      <c r="AI174" s="677">
        <v>45161</v>
      </c>
      <c r="AJ174" s="58" t="s">
        <v>121</v>
      </c>
      <c r="AM174" s="613">
        <v>45553</v>
      </c>
    </row>
    <row r="175" spans="1:40" ht="23.4" x14ac:dyDescent="0.25">
      <c r="A175" s="254">
        <v>174</v>
      </c>
      <c r="B175" s="144">
        <v>39232</v>
      </c>
      <c r="C175" s="421" t="s">
        <v>54</v>
      </c>
      <c r="D175" s="327" t="s">
        <v>643</v>
      </c>
      <c r="E175" s="156" t="s">
        <v>522</v>
      </c>
      <c r="F175" s="327" t="s">
        <v>57</v>
      </c>
      <c r="G175" s="327" t="s">
        <v>11</v>
      </c>
      <c r="H175" s="420">
        <v>44975</v>
      </c>
      <c r="I175" s="129" t="s">
        <v>82</v>
      </c>
      <c r="J175" s="158" t="s">
        <v>58</v>
      </c>
      <c r="K175" s="468" t="s">
        <v>59</v>
      </c>
      <c r="L175" s="432" t="s">
        <v>75</v>
      </c>
      <c r="M175" s="469" t="s">
        <v>60</v>
      </c>
      <c r="N175" s="469" t="s">
        <v>75</v>
      </c>
      <c r="O175" s="129" t="s">
        <v>82</v>
      </c>
      <c r="P175" s="129" t="s">
        <v>82</v>
      </c>
      <c r="Q175" s="130" t="s">
        <v>75</v>
      </c>
      <c r="R175" s="130" t="s">
        <v>75</v>
      </c>
      <c r="S175" s="130" t="s">
        <v>75</v>
      </c>
      <c r="T175" s="130" t="s">
        <v>75</v>
      </c>
      <c r="U175" s="130" t="s">
        <v>75</v>
      </c>
      <c r="V175" s="129" t="s">
        <v>82</v>
      </c>
      <c r="W175" s="129" t="s">
        <v>82</v>
      </c>
      <c r="X175" s="130" t="s">
        <v>75</v>
      </c>
      <c r="Y175" s="129" t="s">
        <v>82</v>
      </c>
      <c r="Z175" s="469" t="s">
        <v>75</v>
      </c>
      <c r="AA175" s="567" t="s">
        <v>82</v>
      </c>
      <c r="AB175" s="24"/>
      <c r="AC175" s="129" t="s">
        <v>82</v>
      </c>
      <c r="AD175" s="130" t="s">
        <v>75</v>
      </c>
      <c r="AE175" s="129" t="s">
        <v>82</v>
      </c>
      <c r="AF175" s="159" t="s">
        <v>75</v>
      </c>
      <c r="AG175" s="286">
        <v>45479</v>
      </c>
      <c r="AH175" s="507" t="s">
        <v>121</v>
      </c>
      <c r="AI175" s="677">
        <v>45161</v>
      </c>
      <c r="AJ175" s="58" t="s">
        <v>121</v>
      </c>
      <c r="AM175" s="613">
        <v>45553</v>
      </c>
    </row>
    <row r="176" spans="1:40" ht="23.4" x14ac:dyDescent="0.25">
      <c r="A176" s="28">
        <v>175</v>
      </c>
      <c r="B176" s="144">
        <v>39228</v>
      </c>
      <c r="C176" s="423" t="s">
        <v>64</v>
      </c>
      <c r="D176" s="326" t="s">
        <v>108</v>
      </c>
      <c r="E176" s="147" t="s">
        <v>56</v>
      </c>
      <c r="F176" s="127" t="s">
        <v>57</v>
      </c>
      <c r="G176" s="127" t="s">
        <v>11</v>
      </c>
      <c r="H176" s="424">
        <v>44972</v>
      </c>
      <c r="I176" s="127">
        <v>1238</v>
      </c>
      <c r="J176" s="149" t="s">
        <v>58</v>
      </c>
      <c r="K176" s="468" t="s">
        <v>59</v>
      </c>
      <c r="L176" s="432" t="s">
        <v>75</v>
      </c>
      <c r="M176" s="467" t="s">
        <v>60</v>
      </c>
      <c r="N176" s="467" t="s">
        <v>75</v>
      </c>
      <c r="O176" s="128" t="s">
        <v>82</v>
      </c>
      <c r="P176" s="128" t="s">
        <v>82</v>
      </c>
      <c r="Q176" s="128" t="s">
        <v>75</v>
      </c>
      <c r="R176" s="128" t="s">
        <v>75</v>
      </c>
      <c r="S176" s="128" t="s">
        <v>75</v>
      </c>
      <c r="T176" s="128" t="s">
        <v>75</v>
      </c>
      <c r="U176" s="128" t="s">
        <v>75</v>
      </c>
      <c r="V176" s="128" t="s">
        <v>82</v>
      </c>
      <c r="W176" s="128" t="s">
        <v>82</v>
      </c>
      <c r="X176" s="128" t="s">
        <v>75</v>
      </c>
      <c r="Y176" s="128" t="s">
        <v>82</v>
      </c>
      <c r="Z176" s="467" t="s">
        <v>75</v>
      </c>
      <c r="AA176" s="467" t="s">
        <v>82</v>
      </c>
      <c r="AB176" s="24"/>
      <c r="AC176" s="127" t="s">
        <v>82</v>
      </c>
      <c r="AD176" s="128" t="s">
        <v>75</v>
      </c>
      <c r="AE176" s="127" t="s">
        <v>82</v>
      </c>
      <c r="AF176" s="128" t="s">
        <v>75</v>
      </c>
      <c r="AG176" s="1091">
        <v>45502</v>
      </c>
      <c r="AH176" s="649"/>
      <c r="AI176" s="307">
        <v>45167</v>
      </c>
      <c r="AJ176" s="58" t="s">
        <v>121</v>
      </c>
      <c r="AK176" s="58"/>
      <c r="AM176" s="613">
        <v>45785</v>
      </c>
    </row>
    <row r="177" spans="1:39" ht="23.4" x14ac:dyDescent="0.25">
      <c r="A177" s="28">
        <v>176</v>
      </c>
      <c r="B177" s="144">
        <v>39228</v>
      </c>
      <c r="C177" s="425" t="s">
        <v>54</v>
      </c>
      <c r="D177" s="327" t="s">
        <v>107</v>
      </c>
      <c r="E177" s="156" t="s">
        <v>56</v>
      </c>
      <c r="F177" s="129" t="s">
        <v>57</v>
      </c>
      <c r="G177" s="129" t="s">
        <v>11</v>
      </c>
      <c r="H177" s="426">
        <v>44972</v>
      </c>
      <c r="I177" s="129">
        <v>1239</v>
      </c>
      <c r="J177" s="158" t="s">
        <v>58</v>
      </c>
      <c r="K177" s="468" t="s">
        <v>59</v>
      </c>
      <c r="L177" s="432" t="s">
        <v>75</v>
      </c>
      <c r="M177" s="469" t="s">
        <v>60</v>
      </c>
      <c r="N177" s="469" t="s">
        <v>75</v>
      </c>
      <c r="O177" s="130" t="s">
        <v>82</v>
      </c>
      <c r="P177" s="130" t="s">
        <v>82</v>
      </c>
      <c r="Q177" s="130" t="s">
        <v>75</v>
      </c>
      <c r="R177" s="130" t="s">
        <v>75</v>
      </c>
      <c r="S177" s="130" t="s">
        <v>75</v>
      </c>
      <c r="T177" s="130" t="s">
        <v>75</v>
      </c>
      <c r="U177" s="130" t="s">
        <v>75</v>
      </c>
      <c r="V177" s="130" t="s">
        <v>82</v>
      </c>
      <c r="W177" s="130" t="s">
        <v>82</v>
      </c>
      <c r="X177" s="130" t="s">
        <v>75</v>
      </c>
      <c r="Y177" s="130" t="s">
        <v>82</v>
      </c>
      <c r="Z177" s="469" t="s">
        <v>75</v>
      </c>
      <c r="AA177" s="469" t="s">
        <v>82</v>
      </c>
      <c r="AB177" s="24"/>
      <c r="AC177" s="129" t="s">
        <v>82</v>
      </c>
      <c r="AD177" s="130" t="s">
        <v>75</v>
      </c>
      <c r="AE177" s="129" t="s">
        <v>82</v>
      </c>
      <c r="AF177" s="130" t="s">
        <v>75</v>
      </c>
      <c r="AG177" s="1091">
        <v>45502</v>
      </c>
      <c r="AI177" s="307">
        <v>45167</v>
      </c>
      <c r="AJ177" s="58" t="s">
        <v>121</v>
      </c>
      <c r="AK177" s="58"/>
      <c r="AM177" s="613">
        <v>45785</v>
      </c>
    </row>
    <row r="178" spans="1:39" ht="23.4" x14ac:dyDescent="0.25">
      <c r="A178" s="28">
        <v>177</v>
      </c>
      <c r="B178" s="144">
        <v>39229</v>
      </c>
      <c r="C178" s="425" t="s">
        <v>64</v>
      </c>
      <c r="D178" s="327" t="s">
        <v>106</v>
      </c>
      <c r="E178" s="156" t="s">
        <v>56</v>
      </c>
      <c r="F178" s="327" t="s">
        <v>57</v>
      </c>
      <c r="G178" s="327" t="s">
        <v>11</v>
      </c>
      <c r="H178" s="420">
        <v>44977</v>
      </c>
      <c r="I178" s="129">
        <v>1235</v>
      </c>
      <c r="J178" s="158" t="s">
        <v>58</v>
      </c>
      <c r="K178" s="468" t="s">
        <v>59</v>
      </c>
      <c r="L178" s="432" t="s">
        <v>75</v>
      </c>
      <c r="M178" s="469" t="s">
        <v>60</v>
      </c>
      <c r="N178" s="469" t="s">
        <v>75</v>
      </c>
      <c r="O178" s="130" t="s">
        <v>82</v>
      </c>
      <c r="P178" s="130" t="s">
        <v>82</v>
      </c>
      <c r="Q178" s="130" t="s">
        <v>75</v>
      </c>
      <c r="R178" s="130" t="s">
        <v>75</v>
      </c>
      <c r="S178" s="130" t="s">
        <v>75</v>
      </c>
      <c r="T178" s="130" t="s">
        <v>75</v>
      </c>
      <c r="U178" s="130" t="s">
        <v>75</v>
      </c>
      <c r="V178" s="130" t="s">
        <v>82</v>
      </c>
      <c r="W178" s="130" t="s">
        <v>82</v>
      </c>
      <c r="X178" s="130" t="s">
        <v>75</v>
      </c>
      <c r="Y178" s="130" t="s">
        <v>82</v>
      </c>
      <c r="Z178" s="469" t="s">
        <v>75</v>
      </c>
      <c r="AA178" s="469" t="s">
        <v>82</v>
      </c>
      <c r="AB178" s="24"/>
      <c r="AC178" s="129" t="s">
        <v>82</v>
      </c>
      <c r="AD178" s="130" t="s">
        <v>75</v>
      </c>
      <c r="AE178" s="129" t="s">
        <v>82</v>
      </c>
      <c r="AF178" s="130" t="s">
        <v>75</v>
      </c>
      <c r="AG178" s="613">
        <v>45502</v>
      </c>
      <c r="AI178" s="307">
        <v>45167</v>
      </c>
      <c r="AJ178" s="58" t="s">
        <v>121</v>
      </c>
      <c r="AK178" s="58"/>
      <c r="AM178" s="613">
        <v>45534</v>
      </c>
    </row>
    <row r="179" spans="1:39" ht="23.4" x14ac:dyDescent="0.25">
      <c r="A179" s="28">
        <v>178</v>
      </c>
      <c r="B179" s="144">
        <v>39229</v>
      </c>
      <c r="C179" s="425" t="s">
        <v>54</v>
      </c>
      <c r="D179" s="327" t="s">
        <v>105</v>
      </c>
      <c r="E179" s="156" t="s">
        <v>56</v>
      </c>
      <c r="F179" s="327" t="s">
        <v>57</v>
      </c>
      <c r="G179" s="327" t="s">
        <v>11</v>
      </c>
      <c r="H179" s="420">
        <v>44977</v>
      </c>
      <c r="I179" s="129">
        <v>1232</v>
      </c>
      <c r="J179" s="158" t="s">
        <v>58</v>
      </c>
      <c r="K179" s="468" t="s">
        <v>59</v>
      </c>
      <c r="L179" s="432" t="s">
        <v>75</v>
      </c>
      <c r="M179" s="469" t="s">
        <v>60</v>
      </c>
      <c r="N179" s="469" t="s">
        <v>75</v>
      </c>
      <c r="O179" s="130" t="s">
        <v>82</v>
      </c>
      <c r="P179" s="130" t="s">
        <v>82</v>
      </c>
      <c r="Q179" s="130" t="s">
        <v>75</v>
      </c>
      <c r="R179" s="130" t="s">
        <v>75</v>
      </c>
      <c r="S179" s="130" t="s">
        <v>75</v>
      </c>
      <c r="T179" s="130" t="s">
        <v>75</v>
      </c>
      <c r="U179" s="130" t="s">
        <v>75</v>
      </c>
      <c r="V179" s="130" t="s">
        <v>82</v>
      </c>
      <c r="W179" s="130" t="s">
        <v>82</v>
      </c>
      <c r="X179" s="130" t="s">
        <v>75</v>
      </c>
      <c r="Y179" s="130" t="s">
        <v>82</v>
      </c>
      <c r="Z179" s="469" t="s">
        <v>75</v>
      </c>
      <c r="AA179" s="469" t="s">
        <v>82</v>
      </c>
      <c r="AB179" s="24"/>
      <c r="AC179" s="129" t="s">
        <v>82</v>
      </c>
      <c r="AD179" s="130" t="s">
        <v>75</v>
      </c>
      <c r="AE179" s="129" t="s">
        <v>82</v>
      </c>
      <c r="AF179" s="130" t="s">
        <v>75</v>
      </c>
      <c r="AG179" s="613">
        <v>45502</v>
      </c>
      <c r="AI179" s="307">
        <v>45167</v>
      </c>
      <c r="AJ179" s="58" t="s">
        <v>121</v>
      </c>
      <c r="AK179" s="58"/>
      <c r="AM179" s="613">
        <v>45534</v>
      </c>
    </row>
    <row r="180" spans="1:39" ht="23.4" x14ac:dyDescent="0.25">
      <c r="A180" s="28">
        <v>179</v>
      </c>
      <c r="B180" s="144">
        <v>30421</v>
      </c>
      <c r="C180" s="425" t="s">
        <v>64</v>
      </c>
      <c r="D180" s="327" t="s">
        <v>104</v>
      </c>
      <c r="E180" s="156" t="s">
        <v>56</v>
      </c>
      <c r="F180" s="327" t="s">
        <v>57</v>
      </c>
      <c r="G180" s="327" t="s">
        <v>11</v>
      </c>
      <c r="H180" s="420">
        <v>44993</v>
      </c>
      <c r="I180" s="129">
        <v>1391</v>
      </c>
      <c r="J180" s="158" t="s">
        <v>58</v>
      </c>
      <c r="K180" s="468" t="s">
        <v>59</v>
      </c>
      <c r="L180" s="432" t="s">
        <v>75</v>
      </c>
      <c r="M180" s="469" t="s">
        <v>60</v>
      </c>
      <c r="N180" s="469" t="s">
        <v>75</v>
      </c>
      <c r="O180" s="655">
        <v>45311</v>
      </c>
      <c r="P180" s="130" t="s">
        <v>82</v>
      </c>
      <c r="Q180" s="130" t="s">
        <v>75</v>
      </c>
      <c r="R180" s="130" t="s">
        <v>75</v>
      </c>
      <c r="S180" s="130" t="s">
        <v>75</v>
      </c>
      <c r="T180" s="130" t="s">
        <v>75</v>
      </c>
      <c r="U180" s="130" t="s">
        <v>75</v>
      </c>
      <c r="V180" s="130" t="s">
        <v>82</v>
      </c>
      <c r="W180" s="130" t="s">
        <v>82</v>
      </c>
      <c r="X180" s="130" t="s">
        <v>75</v>
      </c>
      <c r="Y180" s="130" t="s">
        <v>82</v>
      </c>
      <c r="Z180" s="469" t="s">
        <v>75</v>
      </c>
      <c r="AA180" s="469" t="s">
        <v>82</v>
      </c>
      <c r="AB180" s="24"/>
      <c r="AC180" s="129" t="s">
        <v>82</v>
      </c>
      <c r="AD180" s="130" t="s">
        <v>75</v>
      </c>
      <c r="AE180" s="129" t="s">
        <v>82</v>
      </c>
      <c r="AF180" s="130" t="s">
        <v>75</v>
      </c>
      <c r="AG180" s="613">
        <v>45512</v>
      </c>
      <c r="AI180" s="658">
        <v>45311</v>
      </c>
      <c r="AJ180" t="s">
        <v>121</v>
      </c>
      <c r="AK180" s="58"/>
      <c r="AM180" s="613">
        <v>45500</v>
      </c>
    </row>
    <row r="181" spans="1:39" ht="23.4" x14ac:dyDescent="0.25">
      <c r="A181" s="28">
        <v>180</v>
      </c>
      <c r="B181" s="144">
        <v>30421</v>
      </c>
      <c r="C181" s="425" t="s">
        <v>54</v>
      </c>
      <c r="D181" s="327" t="s">
        <v>103</v>
      </c>
      <c r="E181" s="156" t="s">
        <v>56</v>
      </c>
      <c r="F181" s="327" t="s">
        <v>57</v>
      </c>
      <c r="G181" s="327" t="s">
        <v>11</v>
      </c>
      <c r="H181" s="420">
        <v>44993</v>
      </c>
      <c r="I181" s="129">
        <v>1390</v>
      </c>
      <c r="J181" s="158" t="s">
        <v>58</v>
      </c>
      <c r="K181" s="468" t="s">
        <v>59</v>
      </c>
      <c r="L181" s="432" t="s">
        <v>75</v>
      </c>
      <c r="M181" s="469" t="s">
        <v>60</v>
      </c>
      <c r="N181" s="469" t="s">
        <v>75</v>
      </c>
      <c r="O181" s="655">
        <v>45311</v>
      </c>
      <c r="P181" s="130" t="s">
        <v>82</v>
      </c>
      <c r="Q181" s="130" t="s">
        <v>75</v>
      </c>
      <c r="R181" s="130" t="s">
        <v>75</v>
      </c>
      <c r="S181" s="130" t="s">
        <v>75</v>
      </c>
      <c r="T181" s="130" t="s">
        <v>75</v>
      </c>
      <c r="U181" s="130" t="s">
        <v>75</v>
      </c>
      <c r="V181" s="130" t="s">
        <v>82</v>
      </c>
      <c r="W181" s="130" t="s">
        <v>82</v>
      </c>
      <c r="X181" s="130" t="s">
        <v>75</v>
      </c>
      <c r="Y181" s="130" t="s">
        <v>82</v>
      </c>
      <c r="Z181" s="469" t="s">
        <v>75</v>
      </c>
      <c r="AA181" s="469" t="s">
        <v>82</v>
      </c>
      <c r="AB181" s="24"/>
      <c r="AC181" s="129" t="s">
        <v>82</v>
      </c>
      <c r="AD181" s="130" t="s">
        <v>75</v>
      </c>
      <c r="AE181" s="129" t="s">
        <v>82</v>
      </c>
      <c r="AF181" s="130" t="s">
        <v>75</v>
      </c>
      <c r="AG181" s="613">
        <v>45512</v>
      </c>
      <c r="AI181" s="658">
        <v>45311</v>
      </c>
      <c r="AJ181" t="s">
        <v>121</v>
      </c>
      <c r="AK181" s="58"/>
      <c r="AM181" s="613">
        <v>45500</v>
      </c>
    </row>
    <row r="182" spans="1:39" ht="13.35" customHeight="1" x14ac:dyDescent="0.25">
      <c r="A182" s="1407">
        <v>181</v>
      </c>
      <c r="B182" s="20">
        <v>30367</v>
      </c>
      <c r="C182" s="425" t="s">
        <v>64</v>
      </c>
      <c r="D182" s="12" t="s">
        <v>102</v>
      </c>
      <c r="E182" s="156" t="s">
        <v>56</v>
      </c>
      <c r="F182" s="327" t="s">
        <v>57</v>
      </c>
      <c r="G182" s="327" t="s">
        <v>11</v>
      </c>
      <c r="H182" s="19">
        <v>45005</v>
      </c>
      <c r="I182" s="3">
        <v>1388</v>
      </c>
      <c r="J182" s="3" t="s">
        <v>58</v>
      </c>
      <c r="K182" s="429"/>
      <c r="L182" s="450"/>
      <c r="M182" s="450"/>
      <c r="N182" s="433"/>
      <c r="O182" s="33">
        <v>45289</v>
      </c>
      <c r="P182" s="31"/>
      <c r="Q182" s="130" t="s">
        <v>75</v>
      </c>
      <c r="R182" s="130" t="s">
        <v>75</v>
      </c>
      <c r="S182" s="130" t="s">
        <v>75</v>
      </c>
      <c r="T182" s="130" t="s">
        <v>75</v>
      </c>
      <c r="U182" s="130" t="s">
        <v>75</v>
      </c>
      <c r="V182" s="32"/>
      <c r="W182" s="32"/>
      <c r="X182" s="130" t="s">
        <v>75</v>
      </c>
      <c r="Y182" s="130" t="s">
        <v>82</v>
      </c>
      <c r="Z182" s="469" t="s">
        <v>75</v>
      </c>
      <c r="AA182" s="558"/>
      <c r="AB182" s="24"/>
      <c r="AC182" s="24"/>
      <c r="AD182" s="130" t="s">
        <v>75</v>
      </c>
      <c r="AE182" s="130" t="s">
        <v>82</v>
      </c>
      <c r="AF182" s="130" t="s">
        <v>75</v>
      </c>
      <c r="AG182" s="1091">
        <v>45469</v>
      </c>
      <c r="AI182" s="307">
        <v>45196</v>
      </c>
      <c r="AJ182" s="58" t="s">
        <v>121</v>
      </c>
      <c r="AK182" s="58"/>
      <c r="AM182" s="613">
        <v>45561</v>
      </c>
    </row>
    <row r="183" spans="1:39" ht="13.35" customHeight="1" x14ac:dyDescent="0.25">
      <c r="A183" s="1408"/>
      <c r="B183" s="20">
        <v>30367</v>
      </c>
      <c r="C183" s="425" t="s">
        <v>54</v>
      </c>
      <c r="D183" s="12" t="s">
        <v>101</v>
      </c>
      <c r="E183" s="156" t="s">
        <v>56</v>
      </c>
      <c r="F183" s="327" t="s">
        <v>57</v>
      </c>
      <c r="G183" s="327" t="s">
        <v>11</v>
      </c>
      <c r="H183" s="19">
        <v>45005</v>
      </c>
      <c r="I183" s="2">
        <v>1386</v>
      </c>
      <c r="J183" s="3" t="s">
        <v>58</v>
      </c>
      <c r="K183" s="429"/>
      <c r="L183" s="450"/>
      <c r="M183" s="433"/>
      <c r="N183" s="443"/>
      <c r="O183" s="33">
        <v>45289</v>
      </c>
      <c r="P183" s="31"/>
      <c r="Q183" s="130" t="s">
        <v>75</v>
      </c>
      <c r="R183" s="130" t="s">
        <v>75</v>
      </c>
      <c r="S183" s="130" t="s">
        <v>75</v>
      </c>
      <c r="T183" s="130" t="s">
        <v>75</v>
      </c>
      <c r="U183" s="130" t="s">
        <v>75</v>
      </c>
      <c r="V183" s="32"/>
      <c r="W183" s="32"/>
      <c r="X183" s="130" t="s">
        <v>75</v>
      </c>
      <c r="Y183" s="130" t="s">
        <v>82</v>
      </c>
      <c r="Z183" s="469" t="s">
        <v>75</v>
      </c>
      <c r="AA183" s="558"/>
      <c r="AB183" s="24"/>
      <c r="AC183" s="24"/>
      <c r="AD183" s="130" t="s">
        <v>75</v>
      </c>
      <c r="AE183" s="130" t="s">
        <v>82</v>
      </c>
      <c r="AF183" s="130" t="s">
        <v>75</v>
      </c>
      <c r="AG183" s="1091">
        <v>45469</v>
      </c>
      <c r="AI183" s="307">
        <v>45196</v>
      </c>
      <c r="AJ183" s="58" t="s">
        <v>121</v>
      </c>
      <c r="AK183" s="58"/>
      <c r="AM183" s="613">
        <v>45561</v>
      </c>
    </row>
    <row r="184" spans="1:39" x14ac:dyDescent="0.25">
      <c r="A184" s="1407">
        <v>182</v>
      </c>
      <c r="B184" s="20">
        <v>39237</v>
      </c>
      <c r="C184" s="425" t="s">
        <v>64</v>
      </c>
      <c r="D184" s="12" t="s">
        <v>100</v>
      </c>
      <c r="E184" s="156" t="s">
        <v>56</v>
      </c>
      <c r="F184" s="327" t="s">
        <v>57</v>
      </c>
      <c r="G184" s="327" t="s">
        <v>11</v>
      </c>
      <c r="H184" s="19">
        <v>45008</v>
      </c>
      <c r="I184" s="3">
        <v>1258</v>
      </c>
      <c r="J184" s="3" t="s">
        <v>58</v>
      </c>
      <c r="K184" s="429"/>
      <c r="L184" s="450"/>
      <c r="M184" s="433"/>
      <c r="N184" s="443"/>
      <c r="O184" s="31"/>
      <c r="P184" s="31"/>
      <c r="Q184" s="130" t="s">
        <v>75</v>
      </c>
      <c r="R184" s="130" t="s">
        <v>75</v>
      </c>
      <c r="S184" s="130" t="s">
        <v>75</v>
      </c>
      <c r="T184" s="130" t="s">
        <v>75</v>
      </c>
      <c r="U184" s="130" t="s">
        <v>75</v>
      </c>
      <c r="V184" s="32"/>
      <c r="W184" s="32"/>
      <c r="X184" s="130" t="s">
        <v>75</v>
      </c>
      <c r="Y184" s="130" t="s">
        <v>82</v>
      </c>
      <c r="Z184" s="469" t="s">
        <v>75</v>
      </c>
      <c r="AA184" s="558"/>
      <c r="AB184" s="24"/>
      <c r="AC184" s="24"/>
      <c r="AD184" s="130" t="s">
        <v>75</v>
      </c>
      <c r="AE184" s="130" t="s">
        <v>82</v>
      </c>
      <c r="AF184" s="130" t="s">
        <v>75</v>
      </c>
      <c r="AG184" s="1091">
        <v>45496</v>
      </c>
      <c r="AI184" s="307">
        <v>45196</v>
      </c>
      <c r="AJ184" s="58" t="s">
        <v>121</v>
      </c>
      <c r="AK184" s="58"/>
      <c r="AM184" s="613">
        <v>45496</v>
      </c>
    </row>
    <row r="185" spans="1:39" ht="13.35" customHeight="1" x14ac:dyDescent="0.25">
      <c r="A185" s="1408"/>
      <c r="B185" s="20">
        <v>39237</v>
      </c>
      <c r="C185" s="425" t="s">
        <v>54</v>
      </c>
      <c r="D185" s="12" t="s">
        <v>99</v>
      </c>
      <c r="E185" s="156" t="s">
        <v>56</v>
      </c>
      <c r="F185" s="327" t="s">
        <v>57</v>
      </c>
      <c r="G185" s="327" t="s">
        <v>11</v>
      </c>
      <c r="H185" s="19">
        <v>45008</v>
      </c>
      <c r="I185" s="3">
        <v>1255</v>
      </c>
      <c r="J185" s="3" t="s">
        <v>58</v>
      </c>
      <c r="K185" s="429"/>
      <c r="L185" s="450"/>
      <c r="M185" s="433"/>
      <c r="N185" s="443"/>
      <c r="O185" s="31"/>
      <c r="P185" s="31"/>
      <c r="Q185" s="130" t="s">
        <v>75</v>
      </c>
      <c r="R185" s="130" t="s">
        <v>75</v>
      </c>
      <c r="S185" s="130" t="s">
        <v>75</v>
      </c>
      <c r="T185" s="130" t="s">
        <v>75</v>
      </c>
      <c r="U185" s="130" t="s">
        <v>75</v>
      </c>
      <c r="V185" s="32"/>
      <c r="W185" s="32"/>
      <c r="X185" s="130" t="s">
        <v>75</v>
      </c>
      <c r="Y185" s="130" t="s">
        <v>82</v>
      </c>
      <c r="Z185" s="469" t="s">
        <v>75</v>
      </c>
      <c r="AA185" s="558"/>
      <c r="AB185" s="24"/>
      <c r="AC185" s="24"/>
      <c r="AD185" s="130" t="s">
        <v>75</v>
      </c>
      <c r="AE185" s="130" t="s">
        <v>82</v>
      </c>
      <c r="AF185" s="130" t="s">
        <v>75</v>
      </c>
      <c r="AG185" s="1091">
        <v>45496</v>
      </c>
      <c r="AI185" s="307">
        <v>45196</v>
      </c>
      <c r="AJ185" s="58" t="s">
        <v>121</v>
      </c>
      <c r="AK185" s="58"/>
      <c r="AM185" s="613">
        <v>45496</v>
      </c>
    </row>
    <row r="186" spans="1:39" x14ac:dyDescent="0.25">
      <c r="A186" s="1407">
        <v>183</v>
      </c>
      <c r="B186" s="20">
        <v>37600</v>
      </c>
      <c r="C186" s="425" t="s">
        <v>64</v>
      </c>
      <c r="D186" s="12" t="s">
        <v>98</v>
      </c>
      <c r="E186" s="156" t="s">
        <v>56</v>
      </c>
      <c r="F186" s="327" t="s">
        <v>57</v>
      </c>
      <c r="G186" s="327" t="s">
        <v>11</v>
      </c>
      <c r="H186" s="19">
        <v>45016</v>
      </c>
      <c r="I186" s="3">
        <v>1295</v>
      </c>
      <c r="J186" s="3" t="s">
        <v>58</v>
      </c>
      <c r="K186" s="429"/>
      <c r="L186" s="450"/>
      <c r="M186" s="433"/>
      <c r="N186" s="443"/>
      <c r="O186" s="31"/>
      <c r="P186" s="31"/>
      <c r="Q186" s="130" t="s">
        <v>75</v>
      </c>
      <c r="R186" s="130" t="s">
        <v>75</v>
      </c>
      <c r="S186" s="130" t="s">
        <v>75</v>
      </c>
      <c r="T186" s="130" t="s">
        <v>75</v>
      </c>
      <c r="U186" s="130" t="s">
        <v>75</v>
      </c>
      <c r="V186" s="32"/>
      <c r="W186" s="32"/>
      <c r="X186" s="130" t="s">
        <v>75</v>
      </c>
      <c r="Y186" s="130" t="s">
        <v>82</v>
      </c>
      <c r="Z186" s="469" t="s">
        <v>75</v>
      </c>
      <c r="AA186" s="558"/>
      <c r="AB186" s="24"/>
      <c r="AC186" s="24"/>
      <c r="AD186" s="130" t="s">
        <v>75</v>
      </c>
      <c r="AE186" s="130" t="s">
        <v>82</v>
      </c>
      <c r="AF186" s="130" t="s">
        <v>75</v>
      </c>
      <c r="AG186" s="1093">
        <v>45474</v>
      </c>
      <c r="AI186" s="658">
        <v>45237</v>
      </c>
      <c r="AJ186" s="58" t="s">
        <v>121</v>
      </c>
      <c r="AK186" s="58"/>
      <c r="AM186" s="613">
        <v>45574</v>
      </c>
    </row>
    <row r="187" spans="1:39" ht="13.35" customHeight="1" x14ac:dyDescent="0.25">
      <c r="A187" s="1408"/>
      <c r="B187" s="20">
        <v>37600</v>
      </c>
      <c r="C187" s="425" t="s">
        <v>54</v>
      </c>
      <c r="D187" s="12" t="s">
        <v>97</v>
      </c>
      <c r="E187" s="156" t="s">
        <v>56</v>
      </c>
      <c r="F187" s="327" t="s">
        <v>57</v>
      </c>
      <c r="G187" s="327" t="s">
        <v>11</v>
      </c>
      <c r="H187" s="19">
        <v>45016</v>
      </c>
      <c r="I187" s="3">
        <v>1301</v>
      </c>
      <c r="J187" s="3" t="s">
        <v>58</v>
      </c>
      <c r="K187" s="429"/>
      <c r="L187" s="450"/>
      <c r="M187" s="433"/>
      <c r="N187" s="443"/>
      <c r="O187" s="31"/>
      <c r="P187" s="31"/>
      <c r="Q187" s="130" t="s">
        <v>75</v>
      </c>
      <c r="R187" s="130" t="s">
        <v>75</v>
      </c>
      <c r="S187" s="130" t="s">
        <v>75</v>
      </c>
      <c r="T187" s="130" t="s">
        <v>75</v>
      </c>
      <c r="U187" s="130" t="s">
        <v>75</v>
      </c>
      <c r="V187" s="32"/>
      <c r="W187" s="32"/>
      <c r="X187" s="130" t="s">
        <v>75</v>
      </c>
      <c r="Y187" s="130" t="s">
        <v>82</v>
      </c>
      <c r="Z187" s="469" t="s">
        <v>75</v>
      </c>
      <c r="AA187" s="558"/>
      <c r="AB187" s="24"/>
      <c r="AC187" s="24"/>
      <c r="AD187" s="130" t="s">
        <v>75</v>
      </c>
      <c r="AE187" s="130" t="s">
        <v>82</v>
      </c>
      <c r="AF187" s="130" t="s">
        <v>75</v>
      </c>
      <c r="AG187" s="1093">
        <v>45474</v>
      </c>
      <c r="AI187" s="658">
        <v>45237</v>
      </c>
      <c r="AJ187" s="58" t="s">
        <v>121</v>
      </c>
      <c r="AK187" s="58"/>
      <c r="AM187" s="613">
        <v>45574</v>
      </c>
    </row>
    <row r="188" spans="1:39" x14ac:dyDescent="0.25">
      <c r="A188" s="1407">
        <v>184</v>
      </c>
      <c r="B188" s="612">
        <v>39240</v>
      </c>
      <c r="C188" s="540" t="s">
        <v>64</v>
      </c>
      <c r="D188" s="541" t="s">
        <v>96</v>
      </c>
      <c r="E188" s="147" t="s">
        <v>56</v>
      </c>
      <c r="F188" s="326" t="s">
        <v>57</v>
      </c>
      <c r="G188" s="326" t="s">
        <v>11</v>
      </c>
      <c r="H188" s="542">
        <v>45040</v>
      </c>
      <c r="I188" s="127">
        <v>1265</v>
      </c>
      <c r="J188" s="149" t="s">
        <v>58</v>
      </c>
      <c r="K188" s="543" t="s">
        <v>82</v>
      </c>
      <c r="L188" s="543" t="s">
        <v>82</v>
      </c>
      <c r="M188" s="544" t="s">
        <v>75</v>
      </c>
      <c r="N188" s="544" t="s">
        <v>75</v>
      </c>
      <c r="O188" s="656">
        <v>45315</v>
      </c>
      <c r="P188" s="544"/>
      <c r="Q188" s="544" t="s">
        <v>75</v>
      </c>
      <c r="R188" s="544" t="s">
        <v>75</v>
      </c>
      <c r="S188" s="544" t="s">
        <v>75</v>
      </c>
      <c r="T188" s="544" t="s">
        <v>75</v>
      </c>
      <c r="U188" s="544" t="s">
        <v>75</v>
      </c>
      <c r="V188" s="544"/>
      <c r="W188" s="544" t="s">
        <v>82</v>
      </c>
      <c r="X188" s="127" t="s">
        <v>75</v>
      </c>
      <c r="Y188" s="127" t="s">
        <v>82</v>
      </c>
      <c r="Z188" s="568" t="s">
        <v>75</v>
      </c>
      <c r="AA188" s="569" t="s">
        <v>82</v>
      </c>
      <c r="AB188" s="24"/>
      <c r="AC188" s="126" t="s">
        <v>82</v>
      </c>
      <c r="AD188" s="127" t="s">
        <v>75</v>
      </c>
      <c r="AE188" s="127" t="s">
        <v>82</v>
      </c>
      <c r="AF188" s="130" t="s">
        <v>75</v>
      </c>
      <c r="AG188" s="1093">
        <v>45504</v>
      </c>
      <c r="AI188" s="307">
        <v>45195</v>
      </c>
      <c r="AJ188" s="58" t="s">
        <v>121</v>
      </c>
      <c r="AK188" s="58"/>
      <c r="AM188" s="613">
        <v>45534</v>
      </c>
    </row>
    <row r="189" spans="1:39" ht="13.35" customHeight="1" x14ac:dyDescent="0.25">
      <c r="A189" s="1408"/>
      <c r="B189" s="612">
        <v>39240</v>
      </c>
      <c r="C189" s="421" t="s">
        <v>54</v>
      </c>
      <c r="D189" s="545" t="s">
        <v>95</v>
      </c>
      <c r="E189" s="156" t="s">
        <v>56</v>
      </c>
      <c r="F189" s="327" t="s">
        <v>57</v>
      </c>
      <c r="G189" s="327" t="s">
        <v>11</v>
      </c>
      <c r="H189" s="420">
        <v>45040</v>
      </c>
      <c r="I189" s="129">
        <v>1259</v>
      </c>
      <c r="J189" s="158" t="s">
        <v>58</v>
      </c>
      <c r="K189" s="131" t="s">
        <v>82</v>
      </c>
      <c r="L189" s="131" t="s">
        <v>82</v>
      </c>
      <c r="M189" s="323" t="s">
        <v>75</v>
      </c>
      <c r="N189" s="323" t="s">
        <v>75</v>
      </c>
      <c r="O189" s="657">
        <v>45315</v>
      </c>
      <c r="P189" s="323"/>
      <c r="Q189" s="323" t="s">
        <v>75</v>
      </c>
      <c r="R189" s="323" t="s">
        <v>75</v>
      </c>
      <c r="S189" s="323" t="s">
        <v>75</v>
      </c>
      <c r="T189" s="323" t="s">
        <v>75</v>
      </c>
      <c r="U189" s="323" t="s">
        <v>75</v>
      </c>
      <c r="V189" s="323"/>
      <c r="W189" s="323" t="s">
        <v>82</v>
      </c>
      <c r="X189" s="129" t="s">
        <v>75</v>
      </c>
      <c r="Y189" s="129" t="s">
        <v>82</v>
      </c>
      <c r="Z189" s="570" t="s">
        <v>75</v>
      </c>
      <c r="AA189" s="571" t="s">
        <v>82</v>
      </c>
      <c r="AB189" s="24"/>
      <c r="AC189" s="123" t="s">
        <v>82</v>
      </c>
      <c r="AD189" s="129" t="s">
        <v>75</v>
      </c>
      <c r="AE189" s="129" t="s">
        <v>82</v>
      </c>
      <c r="AF189" s="130" t="s">
        <v>75</v>
      </c>
      <c r="AG189" s="1093">
        <v>45504</v>
      </c>
      <c r="AI189" s="307">
        <v>45195</v>
      </c>
      <c r="AJ189" s="58" t="s">
        <v>121</v>
      </c>
      <c r="AK189" s="58"/>
      <c r="AM189" s="613">
        <v>45534</v>
      </c>
    </row>
    <row r="190" spans="1:39" x14ac:dyDescent="0.25">
      <c r="A190" s="1407">
        <v>185</v>
      </c>
      <c r="B190" s="612">
        <v>30378</v>
      </c>
      <c r="C190" s="421" t="s">
        <v>64</v>
      </c>
      <c r="D190" s="545" t="s">
        <v>94</v>
      </c>
      <c r="E190" s="156" t="s">
        <v>56</v>
      </c>
      <c r="F190" s="327" t="s">
        <v>57</v>
      </c>
      <c r="G190" s="327" t="s">
        <v>11</v>
      </c>
      <c r="H190" s="420">
        <v>45058</v>
      </c>
      <c r="I190" s="129">
        <v>1380</v>
      </c>
      <c r="J190" s="158" t="s">
        <v>58</v>
      </c>
      <c r="K190" s="130" t="s">
        <v>82</v>
      </c>
      <c r="L190" s="130" t="s">
        <v>82</v>
      </c>
      <c r="M190" s="130" t="s">
        <v>75</v>
      </c>
      <c r="N190" s="130" t="s">
        <v>75</v>
      </c>
      <c r="O190" s="130"/>
      <c r="P190" s="130"/>
      <c r="Q190" s="130" t="s">
        <v>75</v>
      </c>
      <c r="R190" s="130" t="s">
        <v>75</v>
      </c>
      <c r="S190" s="130" t="s">
        <v>75</v>
      </c>
      <c r="T190" s="130" t="s">
        <v>75</v>
      </c>
      <c r="U190" s="130" t="s">
        <v>75</v>
      </c>
      <c r="V190" s="130"/>
      <c r="W190" s="130" t="s">
        <v>82</v>
      </c>
      <c r="X190" s="129" t="s">
        <v>75</v>
      </c>
      <c r="Y190" s="129" t="s">
        <v>82</v>
      </c>
      <c r="Z190" s="570" t="s">
        <v>75</v>
      </c>
      <c r="AA190" s="571" t="s">
        <v>82</v>
      </c>
      <c r="AB190" s="24"/>
      <c r="AC190" s="123" t="s">
        <v>82</v>
      </c>
      <c r="AD190" s="129" t="s">
        <v>75</v>
      </c>
      <c r="AE190" s="129" t="s">
        <v>82</v>
      </c>
      <c r="AF190" s="130" t="s">
        <v>75</v>
      </c>
      <c r="AG190" s="968">
        <v>45517</v>
      </c>
      <c r="AI190" s="658">
        <v>45234</v>
      </c>
      <c r="AJ190" s="58" t="s">
        <v>121</v>
      </c>
      <c r="AK190" s="58"/>
      <c r="AM190" s="613">
        <v>45785</v>
      </c>
    </row>
    <row r="191" spans="1:39" x14ac:dyDescent="0.25">
      <c r="A191" s="1408"/>
      <c r="B191" s="612">
        <v>30378</v>
      </c>
      <c r="C191" s="421" t="s">
        <v>54</v>
      </c>
      <c r="D191" s="545" t="s">
        <v>93</v>
      </c>
      <c r="E191" s="156" t="s">
        <v>56</v>
      </c>
      <c r="F191" s="327" t="s">
        <v>57</v>
      </c>
      <c r="G191" s="327" t="s">
        <v>11</v>
      </c>
      <c r="H191" s="420">
        <v>45058</v>
      </c>
      <c r="I191" s="129">
        <v>1382</v>
      </c>
      <c r="J191" s="158" t="s">
        <v>58</v>
      </c>
      <c r="K191" s="130" t="s">
        <v>82</v>
      </c>
      <c r="L191" s="130" t="s">
        <v>82</v>
      </c>
      <c r="M191" s="130" t="s">
        <v>75</v>
      </c>
      <c r="N191" s="130" t="s">
        <v>75</v>
      </c>
      <c r="O191" s="130"/>
      <c r="P191" s="130"/>
      <c r="Q191" s="130" t="s">
        <v>75</v>
      </c>
      <c r="R191" s="130" t="s">
        <v>75</v>
      </c>
      <c r="S191" s="130" t="s">
        <v>75</v>
      </c>
      <c r="T191" s="130" t="s">
        <v>75</v>
      </c>
      <c r="U191" s="130" t="s">
        <v>75</v>
      </c>
      <c r="V191" s="130"/>
      <c r="W191" s="130" t="s">
        <v>82</v>
      </c>
      <c r="X191" s="129" t="s">
        <v>75</v>
      </c>
      <c r="Y191" s="129" t="s">
        <v>82</v>
      </c>
      <c r="Z191" s="570" t="s">
        <v>75</v>
      </c>
      <c r="AA191" s="571" t="s">
        <v>82</v>
      </c>
      <c r="AB191" s="24"/>
      <c r="AC191" s="123" t="s">
        <v>82</v>
      </c>
      <c r="AD191" s="129" t="s">
        <v>75</v>
      </c>
      <c r="AE191" s="129" t="s">
        <v>82</v>
      </c>
      <c r="AF191" s="130" t="s">
        <v>75</v>
      </c>
      <c r="AG191" s="968">
        <v>45517</v>
      </c>
      <c r="AI191" s="658">
        <v>45234</v>
      </c>
      <c r="AJ191" s="58" t="s">
        <v>121</v>
      </c>
      <c r="AK191" s="58"/>
      <c r="AM191" s="613">
        <v>45785</v>
      </c>
    </row>
    <row r="192" spans="1:39" x14ac:dyDescent="0.25">
      <c r="A192" s="1407">
        <v>186</v>
      </c>
      <c r="B192" s="612">
        <v>30411</v>
      </c>
      <c r="C192" s="421" t="s">
        <v>64</v>
      </c>
      <c r="D192" s="545" t="s">
        <v>92</v>
      </c>
      <c r="E192" s="156" t="s">
        <v>56</v>
      </c>
      <c r="F192" s="327" t="s">
        <v>57</v>
      </c>
      <c r="G192" s="327" t="s">
        <v>11</v>
      </c>
      <c r="H192" s="420">
        <v>45085</v>
      </c>
      <c r="I192" s="129">
        <v>1351</v>
      </c>
      <c r="J192" s="158" t="s">
        <v>58</v>
      </c>
      <c r="K192" s="130" t="s">
        <v>82</v>
      </c>
      <c r="L192" s="130" t="s">
        <v>82</v>
      </c>
      <c r="M192" s="130" t="s">
        <v>75</v>
      </c>
      <c r="N192" s="130" t="s">
        <v>75</v>
      </c>
      <c r="O192" s="654">
        <v>45315</v>
      </c>
      <c r="P192" s="130"/>
      <c r="Q192" s="130" t="s">
        <v>75</v>
      </c>
      <c r="R192" s="130" t="s">
        <v>75</v>
      </c>
      <c r="S192" s="130" t="s">
        <v>75</v>
      </c>
      <c r="T192" s="130" t="s">
        <v>75</v>
      </c>
      <c r="U192" s="130" t="s">
        <v>75</v>
      </c>
      <c r="V192" s="130"/>
      <c r="W192" s="130" t="s">
        <v>82</v>
      </c>
      <c r="X192" s="129" t="s">
        <v>75</v>
      </c>
      <c r="Y192" s="129" t="s">
        <v>82</v>
      </c>
      <c r="Z192" s="570" t="s">
        <v>75</v>
      </c>
      <c r="AA192" s="571" t="s">
        <v>82</v>
      </c>
      <c r="AB192" s="24"/>
      <c r="AC192" s="123" t="s">
        <v>82</v>
      </c>
      <c r="AD192" s="129" t="s">
        <v>75</v>
      </c>
      <c r="AE192" s="325" t="s">
        <v>82</v>
      </c>
      <c r="AF192" s="130" t="s">
        <v>75</v>
      </c>
      <c r="AG192" s="613">
        <v>45521</v>
      </c>
      <c r="AI192" s="307">
        <v>45138</v>
      </c>
      <c r="AJ192" s="58" t="s">
        <v>121</v>
      </c>
      <c r="AK192" s="58"/>
      <c r="AM192" s="613">
        <v>45568</v>
      </c>
    </row>
    <row r="193" spans="1:40" x14ac:dyDescent="0.25">
      <c r="A193" s="1408"/>
      <c r="B193" s="612">
        <v>30411</v>
      </c>
      <c r="C193" s="421" t="s">
        <v>54</v>
      </c>
      <c r="D193" s="545" t="s">
        <v>90</v>
      </c>
      <c r="E193" s="156" t="s">
        <v>56</v>
      </c>
      <c r="F193" s="327" t="s">
        <v>57</v>
      </c>
      <c r="G193" s="327" t="s">
        <v>11</v>
      </c>
      <c r="H193" s="420">
        <v>45085</v>
      </c>
      <c r="I193" s="129">
        <v>1181</v>
      </c>
      <c r="J193" s="158" t="s">
        <v>58</v>
      </c>
      <c r="K193" s="130" t="s">
        <v>82</v>
      </c>
      <c r="L193" s="130" t="s">
        <v>82</v>
      </c>
      <c r="M193" s="130" t="s">
        <v>75</v>
      </c>
      <c r="N193" s="130" t="s">
        <v>75</v>
      </c>
      <c r="O193" s="654">
        <v>45315</v>
      </c>
      <c r="P193" s="130"/>
      <c r="Q193" s="130" t="s">
        <v>75</v>
      </c>
      <c r="R193" s="130" t="s">
        <v>75</v>
      </c>
      <c r="S193" s="130" t="s">
        <v>75</v>
      </c>
      <c r="T193" s="130" t="s">
        <v>75</v>
      </c>
      <c r="U193" s="130" t="s">
        <v>75</v>
      </c>
      <c r="V193" s="130"/>
      <c r="W193" s="130" t="s">
        <v>82</v>
      </c>
      <c r="X193" s="129" t="s">
        <v>75</v>
      </c>
      <c r="Y193" s="129" t="s">
        <v>82</v>
      </c>
      <c r="Z193" s="570" t="s">
        <v>75</v>
      </c>
      <c r="AA193" s="571" t="s">
        <v>82</v>
      </c>
      <c r="AB193" s="24"/>
      <c r="AC193" s="123" t="s">
        <v>82</v>
      </c>
      <c r="AD193" s="129" t="s">
        <v>75</v>
      </c>
      <c r="AE193" s="325" t="s">
        <v>82</v>
      </c>
      <c r="AF193" s="130" t="s">
        <v>75</v>
      </c>
      <c r="AG193" s="613">
        <v>45521</v>
      </c>
      <c r="AI193" s="307">
        <v>45138</v>
      </c>
      <c r="AJ193" s="58" t="s">
        <v>121</v>
      </c>
      <c r="AK193" s="58"/>
      <c r="AM193" s="613">
        <v>45568</v>
      </c>
    </row>
    <row r="194" spans="1:40" x14ac:dyDescent="0.25">
      <c r="A194" s="1407">
        <v>187</v>
      </c>
      <c r="B194" s="612">
        <v>30392</v>
      </c>
      <c r="C194" s="421" t="s">
        <v>64</v>
      </c>
      <c r="D194" s="545" t="s">
        <v>89</v>
      </c>
      <c r="E194" s="156" t="s">
        <v>56</v>
      </c>
      <c r="F194" s="327" t="s">
        <v>57</v>
      </c>
      <c r="G194" s="327" t="s">
        <v>11</v>
      </c>
      <c r="H194" s="420">
        <v>45110</v>
      </c>
      <c r="I194" s="129">
        <v>1361</v>
      </c>
      <c r="J194" s="158" t="s">
        <v>58</v>
      </c>
      <c r="K194" s="130" t="s">
        <v>82</v>
      </c>
      <c r="L194" s="130" t="s">
        <v>82</v>
      </c>
      <c r="M194" s="130" t="s">
        <v>75</v>
      </c>
      <c r="N194" s="130" t="s">
        <v>75</v>
      </c>
      <c r="O194" s="130"/>
      <c r="P194" s="130"/>
      <c r="Q194" s="130" t="s">
        <v>75</v>
      </c>
      <c r="R194" s="130" t="s">
        <v>75</v>
      </c>
      <c r="S194" s="130" t="s">
        <v>75</v>
      </c>
      <c r="T194" s="130" t="s">
        <v>75</v>
      </c>
      <c r="U194" s="130" t="s">
        <v>75</v>
      </c>
      <c r="V194" s="130"/>
      <c r="W194" s="130" t="s">
        <v>82</v>
      </c>
      <c r="X194" s="129" t="s">
        <v>75</v>
      </c>
      <c r="Y194" s="129" t="s">
        <v>82</v>
      </c>
      <c r="Z194" s="570" t="s">
        <v>75</v>
      </c>
      <c r="AA194" s="571" t="s">
        <v>82</v>
      </c>
      <c r="AB194" s="24"/>
      <c r="AC194" s="123" t="s">
        <v>82</v>
      </c>
      <c r="AD194" s="129" t="s">
        <v>75</v>
      </c>
      <c r="AE194" s="129" t="s">
        <v>82</v>
      </c>
      <c r="AF194" s="130" t="s">
        <v>75</v>
      </c>
      <c r="AG194" s="1091">
        <v>45474</v>
      </c>
      <c r="AI194" s="307">
        <v>45204</v>
      </c>
      <c r="AJ194" s="58" t="s">
        <v>121</v>
      </c>
      <c r="AK194" s="58"/>
      <c r="AM194" s="613">
        <v>45535</v>
      </c>
    </row>
    <row r="195" spans="1:40" x14ac:dyDescent="0.25">
      <c r="A195" s="1408"/>
      <c r="B195" s="612">
        <v>30392</v>
      </c>
      <c r="C195" s="421" t="s">
        <v>54</v>
      </c>
      <c r="D195" s="545" t="s">
        <v>88</v>
      </c>
      <c r="E195" s="156" t="s">
        <v>56</v>
      </c>
      <c r="F195" s="327" t="s">
        <v>57</v>
      </c>
      <c r="G195" s="327" t="s">
        <v>11</v>
      </c>
      <c r="H195" s="420">
        <v>45110</v>
      </c>
      <c r="I195" s="129">
        <v>1180</v>
      </c>
      <c r="J195" s="158" t="s">
        <v>58</v>
      </c>
      <c r="K195" s="130" t="s">
        <v>82</v>
      </c>
      <c r="L195" s="130" t="s">
        <v>82</v>
      </c>
      <c r="M195" s="130" t="s">
        <v>75</v>
      </c>
      <c r="N195" s="130" t="s">
        <v>75</v>
      </c>
      <c r="O195" s="130"/>
      <c r="P195" s="130"/>
      <c r="Q195" s="130" t="s">
        <v>75</v>
      </c>
      <c r="R195" s="130" t="s">
        <v>75</v>
      </c>
      <c r="S195" s="130" t="s">
        <v>75</v>
      </c>
      <c r="T195" s="130" t="s">
        <v>75</v>
      </c>
      <c r="U195" s="130" t="s">
        <v>75</v>
      </c>
      <c r="V195" s="130"/>
      <c r="W195" s="130" t="s">
        <v>82</v>
      </c>
      <c r="X195" s="129" t="s">
        <v>75</v>
      </c>
      <c r="Y195" s="129" t="s">
        <v>82</v>
      </c>
      <c r="Z195" s="570" t="s">
        <v>75</v>
      </c>
      <c r="AA195" s="571" t="s">
        <v>82</v>
      </c>
      <c r="AB195" s="24"/>
      <c r="AC195" s="123" t="s">
        <v>82</v>
      </c>
      <c r="AD195" s="129" t="s">
        <v>75</v>
      </c>
      <c r="AE195" s="129" t="s">
        <v>82</v>
      </c>
      <c r="AF195" s="130" t="s">
        <v>75</v>
      </c>
      <c r="AG195" s="1091">
        <v>45474</v>
      </c>
      <c r="AI195" s="307">
        <v>45204</v>
      </c>
      <c r="AJ195" s="58" t="s">
        <v>121</v>
      </c>
      <c r="AK195" s="58"/>
      <c r="AM195" s="613">
        <v>45535</v>
      </c>
    </row>
    <row r="196" spans="1:40" x14ac:dyDescent="0.25">
      <c r="A196" s="1407">
        <v>188</v>
      </c>
      <c r="B196" s="612">
        <v>30393</v>
      </c>
      <c r="C196" s="421" t="s">
        <v>64</v>
      </c>
      <c r="D196" s="545" t="s">
        <v>87</v>
      </c>
      <c r="E196" s="156" t="s">
        <v>56</v>
      </c>
      <c r="F196" s="327" t="s">
        <v>57</v>
      </c>
      <c r="G196" s="327" t="s">
        <v>11</v>
      </c>
      <c r="H196" s="420">
        <v>45110</v>
      </c>
      <c r="I196" s="129">
        <v>1359</v>
      </c>
      <c r="J196" s="158" t="s">
        <v>58</v>
      </c>
      <c r="K196" s="130" t="s">
        <v>82</v>
      </c>
      <c r="L196" s="130" t="s">
        <v>82</v>
      </c>
      <c r="M196" s="130" t="s">
        <v>75</v>
      </c>
      <c r="N196" s="130" t="s">
        <v>75</v>
      </c>
      <c r="O196" s="130"/>
      <c r="P196" s="130"/>
      <c r="Q196" s="130" t="s">
        <v>75</v>
      </c>
      <c r="R196" s="130" t="s">
        <v>75</v>
      </c>
      <c r="S196" s="130" t="s">
        <v>75</v>
      </c>
      <c r="T196" s="130" t="s">
        <v>75</v>
      </c>
      <c r="U196" s="130" t="s">
        <v>75</v>
      </c>
      <c r="V196" s="130"/>
      <c r="W196" s="130" t="s">
        <v>82</v>
      </c>
      <c r="X196" s="129" t="s">
        <v>75</v>
      </c>
      <c r="Y196" s="129" t="s">
        <v>82</v>
      </c>
      <c r="Z196" s="570" t="s">
        <v>75</v>
      </c>
      <c r="AA196" s="571" t="s">
        <v>82</v>
      </c>
      <c r="AB196" s="24"/>
      <c r="AC196" s="123" t="s">
        <v>82</v>
      </c>
      <c r="AD196" s="129" t="s">
        <v>75</v>
      </c>
      <c r="AE196" s="129" t="s">
        <v>82</v>
      </c>
      <c r="AF196" s="130" t="s">
        <v>75</v>
      </c>
      <c r="AG196" s="1091">
        <v>45484</v>
      </c>
      <c r="AI196" s="658">
        <v>45312</v>
      </c>
      <c r="AJ196" s="58" t="s">
        <v>121</v>
      </c>
      <c r="AK196" s="58"/>
      <c r="AM196" s="613">
        <v>45580</v>
      </c>
      <c r="AN196" s="381"/>
    </row>
    <row r="197" spans="1:40" x14ac:dyDescent="0.25">
      <c r="A197" s="1408"/>
      <c r="B197" s="612">
        <v>30393</v>
      </c>
      <c r="C197" s="421" t="s">
        <v>54</v>
      </c>
      <c r="D197" s="545" t="s">
        <v>86</v>
      </c>
      <c r="E197" s="156" t="s">
        <v>56</v>
      </c>
      <c r="F197" s="327" t="s">
        <v>57</v>
      </c>
      <c r="G197" s="327" t="s">
        <v>11</v>
      </c>
      <c r="H197" s="420">
        <v>45110</v>
      </c>
      <c r="I197" s="129">
        <v>1354</v>
      </c>
      <c r="J197" s="158" t="s">
        <v>58</v>
      </c>
      <c r="K197" s="130" t="s">
        <v>82</v>
      </c>
      <c r="L197" s="130" t="s">
        <v>82</v>
      </c>
      <c r="M197" s="130" t="s">
        <v>75</v>
      </c>
      <c r="N197" s="130" t="s">
        <v>75</v>
      </c>
      <c r="O197" s="130"/>
      <c r="P197" s="130"/>
      <c r="Q197" s="130" t="s">
        <v>75</v>
      </c>
      <c r="R197" s="130" t="s">
        <v>75</v>
      </c>
      <c r="S197" s="130" t="s">
        <v>75</v>
      </c>
      <c r="T197" s="130" t="s">
        <v>75</v>
      </c>
      <c r="U197" s="130" t="s">
        <v>75</v>
      </c>
      <c r="V197" s="130"/>
      <c r="W197" s="130" t="s">
        <v>82</v>
      </c>
      <c r="X197" s="129" t="s">
        <v>75</v>
      </c>
      <c r="Y197" s="129" t="s">
        <v>82</v>
      </c>
      <c r="Z197" s="570" t="s">
        <v>75</v>
      </c>
      <c r="AA197" s="571" t="s">
        <v>82</v>
      </c>
      <c r="AB197" s="24"/>
      <c r="AC197" s="123" t="s">
        <v>82</v>
      </c>
      <c r="AD197" s="129" t="s">
        <v>75</v>
      </c>
      <c r="AE197" s="129" t="s">
        <v>82</v>
      </c>
      <c r="AF197" s="130" t="s">
        <v>75</v>
      </c>
      <c r="AG197" s="1091">
        <v>45484</v>
      </c>
      <c r="AI197" s="658">
        <v>45312</v>
      </c>
      <c r="AJ197" s="58" t="s">
        <v>121</v>
      </c>
      <c r="AK197" s="58"/>
      <c r="AM197" s="613">
        <v>45580</v>
      </c>
      <c r="AN197" s="381"/>
    </row>
    <row r="198" spans="1:40" x14ac:dyDescent="0.25">
      <c r="A198" s="1407">
        <v>189</v>
      </c>
      <c r="B198" s="612">
        <v>30342</v>
      </c>
      <c r="C198" s="421" t="s">
        <v>64</v>
      </c>
      <c r="D198" s="545" t="s">
        <v>85</v>
      </c>
      <c r="E198" s="156" t="s">
        <v>56</v>
      </c>
      <c r="F198" s="327" t="s">
        <v>57</v>
      </c>
      <c r="G198" s="327" t="s">
        <v>11</v>
      </c>
      <c r="H198" s="420">
        <v>45125</v>
      </c>
      <c r="I198" s="129">
        <v>1385</v>
      </c>
      <c r="J198" s="158" t="s">
        <v>58</v>
      </c>
      <c r="K198" s="130" t="s">
        <v>82</v>
      </c>
      <c r="L198" s="130" t="s">
        <v>82</v>
      </c>
      <c r="M198" s="130" t="s">
        <v>75</v>
      </c>
      <c r="N198" s="130" t="s">
        <v>75</v>
      </c>
      <c r="O198" s="130"/>
      <c r="P198" s="130"/>
      <c r="Q198" s="130" t="s">
        <v>75</v>
      </c>
      <c r="R198" s="130" t="s">
        <v>75</v>
      </c>
      <c r="S198" s="130" t="s">
        <v>75</v>
      </c>
      <c r="T198" s="130" t="s">
        <v>75</v>
      </c>
      <c r="U198" s="130" t="s">
        <v>75</v>
      </c>
      <c r="V198" s="130"/>
      <c r="W198" s="130" t="s">
        <v>82</v>
      </c>
      <c r="X198" s="129" t="s">
        <v>75</v>
      </c>
      <c r="Y198" s="129" t="s">
        <v>82</v>
      </c>
      <c r="Z198" s="570" t="s">
        <v>75</v>
      </c>
      <c r="AA198" s="571" t="s">
        <v>82</v>
      </c>
      <c r="AB198" s="24"/>
      <c r="AC198" s="123" t="s">
        <v>82</v>
      </c>
      <c r="AD198" s="129" t="s">
        <v>75</v>
      </c>
      <c r="AE198" s="129" t="s">
        <v>82</v>
      </c>
      <c r="AF198" s="130" t="s">
        <v>75</v>
      </c>
      <c r="AG198" s="613">
        <v>45512</v>
      </c>
      <c r="AI198" s="307">
        <v>45197</v>
      </c>
      <c r="AJ198" s="58" t="s">
        <v>121</v>
      </c>
      <c r="AK198" s="58"/>
      <c r="AM198" s="613">
        <v>45534</v>
      </c>
    </row>
    <row r="199" spans="1:40" x14ac:dyDescent="0.25">
      <c r="A199" s="1408"/>
      <c r="B199" s="612">
        <v>30342</v>
      </c>
      <c r="C199" s="421" t="s">
        <v>54</v>
      </c>
      <c r="D199" s="545" t="s">
        <v>84</v>
      </c>
      <c r="E199" s="156" t="s">
        <v>56</v>
      </c>
      <c r="F199" s="327" t="s">
        <v>57</v>
      </c>
      <c r="G199" s="327" t="s">
        <v>11</v>
      </c>
      <c r="H199" s="420">
        <v>45125</v>
      </c>
      <c r="I199" s="129">
        <v>1389</v>
      </c>
      <c r="J199" s="158" t="s">
        <v>58</v>
      </c>
      <c r="K199" s="130" t="s">
        <v>82</v>
      </c>
      <c r="L199" s="130" t="s">
        <v>82</v>
      </c>
      <c r="M199" s="130" t="s">
        <v>75</v>
      </c>
      <c r="N199" s="130" t="s">
        <v>75</v>
      </c>
      <c r="O199" s="130"/>
      <c r="P199" s="130"/>
      <c r="Q199" s="130" t="s">
        <v>75</v>
      </c>
      <c r="R199" s="130" t="s">
        <v>75</v>
      </c>
      <c r="S199" s="130" t="s">
        <v>75</v>
      </c>
      <c r="T199" s="130" t="s">
        <v>75</v>
      </c>
      <c r="U199" s="130" t="s">
        <v>75</v>
      </c>
      <c r="V199" s="130"/>
      <c r="W199" s="130" t="s">
        <v>82</v>
      </c>
      <c r="X199" s="129" t="s">
        <v>75</v>
      </c>
      <c r="Y199" s="129" t="s">
        <v>82</v>
      </c>
      <c r="Z199" s="570" t="s">
        <v>75</v>
      </c>
      <c r="AA199" s="571" t="s">
        <v>82</v>
      </c>
      <c r="AB199" s="24"/>
      <c r="AC199" s="123" t="s">
        <v>82</v>
      </c>
      <c r="AD199" s="129" t="s">
        <v>75</v>
      </c>
      <c r="AE199" s="129" t="s">
        <v>82</v>
      </c>
      <c r="AF199" s="130" t="s">
        <v>75</v>
      </c>
      <c r="AG199" s="613">
        <v>45512</v>
      </c>
      <c r="AI199" s="307">
        <v>45197</v>
      </c>
      <c r="AJ199" s="58" t="s">
        <v>121</v>
      </c>
      <c r="AK199" s="58"/>
      <c r="AM199" s="613">
        <v>45534</v>
      </c>
    </row>
    <row r="200" spans="1:40" x14ac:dyDescent="0.25">
      <c r="A200" s="1407">
        <v>190</v>
      </c>
      <c r="B200" s="612">
        <v>30424</v>
      </c>
      <c r="C200" s="421" t="s">
        <v>64</v>
      </c>
      <c r="D200" s="545" t="s">
        <v>83</v>
      </c>
      <c r="E200" s="156" t="s">
        <v>56</v>
      </c>
      <c r="F200" s="327" t="s">
        <v>57</v>
      </c>
      <c r="G200" s="327" t="s">
        <v>11</v>
      </c>
      <c r="H200" s="420">
        <v>45163</v>
      </c>
      <c r="I200" s="129">
        <v>1338</v>
      </c>
      <c r="J200" s="158" t="s">
        <v>58</v>
      </c>
      <c r="K200" s="130" t="s">
        <v>82</v>
      </c>
      <c r="L200" s="130" t="s">
        <v>82</v>
      </c>
      <c r="M200" s="130" t="s">
        <v>75</v>
      </c>
      <c r="N200" s="130" t="s">
        <v>75</v>
      </c>
      <c r="O200" s="654">
        <v>45310</v>
      </c>
      <c r="P200" s="130"/>
      <c r="Q200" s="130" t="s">
        <v>75</v>
      </c>
      <c r="R200" s="130" t="s">
        <v>75</v>
      </c>
      <c r="S200" s="130" t="s">
        <v>75</v>
      </c>
      <c r="T200" s="130" t="s">
        <v>75</v>
      </c>
      <c r="U200" s="130" t="s">
        <v>75</v>
      </c>
      <c r="V200" s="130"/>
      <c r="W200" s="130" t="s">
        <v>82</v>
      </c>
      <c r="X200" s="129" t="s">
        <v>75</v>
      </c>
      <c r="Y200" s="129" t="s">
        <v>82</v>
      </c>
      <c r="Z200" s="570" t="s">
        <v>75</v>
      </c>
      <c r="AA200" s="571" t="s">
        <v>82</v>
      </c>
      <c r="AB200" s="24"/>
      <c r="AC200" s="123" t="s">
        <v>82</v>
      </c>
      <c r="AD200" s="129" t="s">
        <v>75</v>
      </c>
      <c r="AE200" s="325" t="s">
        <v>82</v>
      </c>
      <c r="AF200" s="130" t="s">
        <v>75</v>
      </c>
      <c r="AG200" s="1091">
        <v>45492</v>
      </c>
      <c r="AI200" s="307">
        <v>45162</v>
      </c>
      <c r="AJ200" s="58" t="s">
        <v>121</v>
      </c>
      <c r="AK200" s="58"/>
      <c r="AM200" s="613">
        <v>45546</v>
      </c>
      <c r="AN200" s="381"/>
    </row>
    <row r="201" spans="1:40" x14ac:dyDescent="0.25">
      <c r="A201" s="1408"/>
      <c r="B201" s="612">
        <v>30424</v>
      </c>
      <c r="C201" s="421" t="s">
        <v>54</v>
      </c>
      <c r="D201" s="545" t="s">
        <v>81</v>
      </c>
      <c r="E201" s="156" t="s">
        <v>56</v>
      </c>
      <c r="F201" s="327" t="s">
        <v>57</v>
      </c>
      <c r="G201" s="327" t="s">
        <v>11</v>
      </c>
      <c r="H201" s="420">
        <v>45163</v>
      </c>
      <c r="I201" s="129">
        <v>1339</v>
      </c>
      <c r="J201" s="158" t="s">
        <v>58</v>
      </c>
      <c r="K201" s="130" t="s">
        <v>82</v>
      </c>
      <c r="L201" s="130" t="s">
        <v>82</v>
      </c>
      <c r="M201" s="130" t="s">
        <v>75</v>
      </c>
      <c r="N201" s="130" t="s">
        <v>75</v>
      </c>
      <c r="O201" s="654">
        <v>45310</v>
      </c>
      <c r="P201" s="130"/>
      <c r="Q201" s="130" t="s">
        <v>75</v>
      </c>
      <c r="R201" s="130" t="s">
        <v>75</v>
      </c>
      <c r="S201" s="130" t="s">
        <v>75</v>
      </c>
      <c r="T201" s="130" t="s">
        <v>75</v>
      </c>
      <c r="U201" s="130" t="s">
        <v>75</v>
      </c>
      <c r="V201" s="130"/>
      <c r="W201" s="130" t="s">
        <v>82</v>
      </c>
      <c r="X201" s="129" t="s">
        <v>75</v>
      </c>
      <c r="Y201" s="129" t="s">
        <v>82</v>
      </c>
      <c r="Z201" s="568" t="s">
        <v>75</v>
      </c>
      <c r="AA201" s="571" t="s">
        <v>82</v>
      </c>
      <c r="AB201" s="24"/>
      <c r="AC201" s="123" t="s">
        <v>82</v>
      </c>
      <c r="AD201" s="129" t="s">
        <v>75</v>
      </c>
      <c r="AE201" s="325" t="s">
        <v>82</v>
      </c>
      <c r="AF201" s="130" t="s">
        <v>75</v>
      </c>
      <c r="AG201" s="1091">
        <v>45492</v>
      </c>
      <c r="AI201" s="307">
        <v>45162</v>
      </c>
      <c r="AJ201" s="58" t="s">
        <v>121</v>
      </c>
      <c r="AK201" s="58"/>
      <c r="AM201" s="613">
        <v>45546</v>
      </c>
      <c r="AN201" s="381"/>
    </row>
    <row r="202" spans="1:40" x14ac:dyDescent="0.25">
      <c r="A202" s="1407">
        <v>191</v>
      </c>
      <c r="B202" s="20">
        <v>37618</v>
      </c>
      <c r="C202" s="421" t="s">
        <v>64</v>
      </c>
      <c r="D202" s="119" t="s">
        <v>644</v>
      </c>
      <c r="E202" s="20" t="s">
        <v>522</v>
      </c>
      <c r="F202" s="327" t="s">
        <v>57</v>
      </c>
      <c r="G202" s="327" t="s">
        <v>11</v>
      </c>
      <c r="H202" s="19">
        <v>45213</v>
      </c>
      <c r="I202" s="3">
        <v>1316</v>
      </c>
      <c r="J202" s="158" t="s">
        <v>58</v>
      </c>
      <c r="K202" s="130" t="s">
        <v>82</v>
      </c>
      <c r="L202" s="450"/>
      <c r="M202" s="433"/>
      <c r="N202" s="450"/>
      <c r="O202" s="48"/>
      <c r="P202" s="48"/>
      <c r="Q202" s="130" t="s">
        <v>75</v>
      </c>
      <c r="R202" s="130" t="s">
        <v>75</v>
      </c>
      <c r="S202" s="130" t="s">
        <v>75</v>
      </c>
      <c r="T202" s="130" t="s">
        <v>75</v>
      </c>
      <c r="U202" s="130" t="s">
        <v>75</v>
      </c>
      <c r="V202" s="32"/>
      <c r="W202" s="32"/>
      <c r="X202" s="130" t="s">
        <v>75</v>
      </c>
      <c r="Y202" s="130"/>
      <c r="Z202" s="130"/>
      <c r="AA202" s="130"/>
      <c r="AB202" s="24"/>
      <c r="AC202" s="24"/>
      <c r="AD202" s="129" t="s">
        <v>75</v>
      </c>
      <c r="AE202" s="32"/>
      <c r="AF202" s="158" t="s">
        <v>75</v>
      </c>
      <c r="AG202" s="286">
        <v>45492</v>
      </c>
      <c r="AH202" s="129" t="s">
        <v>75</v>
      </c>
      <c r="AI202" s="413">
        <v>45223</v>
      </c>
      <c r="AJ202" s="58" t="s">
        <v>121</v>
      </c>
      <c r="AK202" s="58"/>
      <c r="AM202" s="613">
        <v>45594</v>
      </c>
    </row>
    <row r="203" spans="1:40" x14ac:dyDescent="0.25">
      <c r="A203" s="1408"/>
      <c r="B203" s="20">
        <v>37618</v>
      </c>
      <c r="C203" s="421" t="s">
        <v>54</v>
      </c>
      <c r="D203" s="121" t="s">
        <v>645</v>
      </c>
      <c r="E203" s="20" t="s">
        <v>522</v>
      </c>
      <c r="F203" s="327" t="s">
        <v>57</v>
      </c>
      <c r="G203" s="327" t="s">
        <v>11</v>
      </c>
      <c r="H203" s="19">
        <v>45213</v>
      </c>
      <c r="I203" s="3">
        <v>1317</v>
      </c>
      <c r="J203" s="158" t="s">
        <v>58</v>
      </c>
      <c r="K203" s="130" t="s">
        <v>82</v>
      </c>
      <c r="L203" s="450"/>
      <c r="M203" s="433"/>
      <c r="N203" s="450"/>
      <c r="O203" s="48"/>
      <c r="P203" s="48"/>
      <c r="Q203" s="130" t="s">
        <v>75</v>
      </c>
      <c r="R203" s="130" t="s">
        <v>75</v>
      </c>
      <c r="S203" s="130" t="s">
        <v>75</v>
      </c>
      <c r="T203" s="130" t="s">
        <v>75</v>
      </c>
      <c r="U203" s="130" t="s">
        <v>75</v>
      </c>
      <c r="V203" s="32"/>
      <c r="W203" s="32"/>
      <c r="X203" s="130" t="s">
        <v>75</v>
      </c>
      <c r="Y203" s="130"/>
      <c r="Z203" s="130"/>
      <c r="AA203" s="130"/>
      <c r="AB203" s="24"/>
      <c r="AC203" s="24"/>
      <c r="AD203" s="129" t="s">
        <v>75</v>
      </c>
      <c r="AE203" s="32"/>
      <c r="AF203" s="158" t="s">
        <v>75</v>
      </c>
      <c r="AG203" s="286">
        <v>45492</v>
      </c>
      <c r="AH203" s="129" t="s">
        <v>75</v>
      </c>
      <c r="AI203" s="413">
        <v>45223</v>
      </c>
      <c r="AJ203" s="58" t="s">
        <v>121</v>
      </c>
      <c r="AK203" s="58"/>
      <c r="AM203" s="613">
        <v>45594</v>
      </c>
    </row>
    <row r="204" spans="1:40" x14ac:dyDescent="0.25">
      <c r="A204" s="1407">
        <v>192</v>
      </c>
      <c r="B204" s="20">
        <v>30409</v>
      </c>
      <c r="C204" s="421" t="s">
        <v>64</v>
      </c>
      <c r="D204" s="119" t="s">
        <v>80</v>
      </c>
      <c r="E204" s="156" t="s">
        <v>56</v>
      </c>
      <c r="F204" s="327" t="s">
        <v>57</v>
      </c>
      <c r="G204" s="327" t="s">
        <v>11</v>
      </c>
      <c r="H204" s="610">
        <v>45177</v>
      </c>
      <c r="I204" s="127">
        <v>1348</v>
      </c>
      <c r="J204" s="158" t="s">
        <v>58</v>
      </c>
      <c r="K204" s="429"/>
      <c r="L204" s="450"/>
      <c r="M204" s="433"/>
      <c r="N204" s="450"/>
      <c r="O204" s="48"/>
      <c r="P204" s="48"/>
      <c r="Q204" s="130" t="s">
        <v>75</v>
      </c>
      <c r="R204" s="130" t="s">
        <v>75</v>
      </c>
      <c r="S204" s="130" t="s">
        <v>75</v>
      </c>
      <c r="T204" s="130" t="s">
        <v>75</v>
      </c>
      <c r="U204" s="130" t="s">
        <v>75</v>
      </c>
      <c r="V204" s="32"/>
      <c r="W204" s="32"/>
      <c r="X204" s="130" t="s">
        <v>75</v>
      </c>
      <c r="Y204" s="32"/>
      <c r="Z204" s="570"/>
      <c r="AA204" s="558"/>
      <c r="AB204" s="24"/>
      <c r="AC204" s="24"/>
      <c r="AD204" s="129" t="s">
        <v>75</v>
      </c>
      <c r="AE204" s="32"/>
      <c r="AF204" s="129" t="s">
        <v>75</v>
      </c>
      <c r="AG204" s="613">
        <v>45526</v>
      </c>
      <c r="AI204" s="307">
        <v>45177</v>
      </c>
      <c r="AJ204" s="58" t="s">
        <v>121</v>
      </c>
      <c r="AK204" s="58"/>
    </row>
    <row r="205" spans="1:40" x14ac:dyDescent="0.25">
      <c r="A205" s="1408"/>
      <c r="B205" s="20">
        <v>30409</v>
      </c>
      <c r="C205" s="421" t="s">
        <v>54</v>
      </c>
      <c r="D205" s="121" t="s">
        <v>79</v>
      </c>
      <c r="E205" s="156" t="s">
        <v>56</v>
      </c>
      <c r="F205" s="327" t="s">
        <v>57</v>
      </c>
      <c r="G205" s="327" t="s">
        <v>11</v>
      </c>
      <c r="H205" s="611">
        <v>45177</v>
      </c>
      <c r="I205" s="129">
        <v>1183</v>
      </c>
      <c r="J205" s="158" t="s">
        <v>58</v>
      </c>
      <c r="K205" s="429"/>
      <c r="L205" s="450"/>
      <c r="M205" s="433"/>
      <c r="N205" s="450"/>
      <c r="O205" s="48"/>
      <c r="P205" s="48"/>
      <c r="Q205" s="130" t="s">
        <v>75</v>
      </c>
      <c r="R205" s="130" t="s">
        <v>75</v>
      </c>
      <c r="S205" s="130" t="s">
        <v>75</v>
      </c>
      <c r="T205" s="130" t="s">
        <v>75</v>
      </c>
      <c r="U205" s="130" t="s">
        <v>75</v>
      </c>
      <c r="V205" s="32"/>
      <c r="W205" s="32"/>
      <c r="X205" s="130" t="s">
        <v>75</v>
      </c>
      <c r="Y205" s="32"/>
      <c r="Z205" s="570"/>
      <c r="AA205" s="558"/>
      <c r="AB205" s="24"/>
      <c r="AC205" s="24"/>
      <c r="AD205" s="129" t="s">
        <v>75</v>
      </c>
      <c r="AE205" s="32"/>
      <c r="AF205" s="129" t="s">
        <v>75</v>
      </c>
      <c r="AG205" s="613">
        <v>45526</v>
      </c>
      <c r="AI205" s="307">
        <v>45177</v>
      </c>
      <c r="AJ205" s="58" t="s">
        <v>121</v>
      </c>
      <c r="AK205" s="58"/>
    </row>
    <row r="206" spans="1:40" ht="13.35" customHeight="1" x14ac:dyDescent="0.25">
      <c r="A206" s="1407">
        <v>193</v>
      </c>
      <c r="B206" s="20">
        <v>30419</v>
      </c>
      <c r="C206" s="421" t="s">
        <v>64</v>
      </c>
      <c r="D206" s="121" t="s">
        <v>78</v>
      </c>
      <c r="E206" s="156" t="s">
        <v>56</v>
      </c>
      <c r="F206" s="327" t="s">
        <v>57</v>
      </c>
      <c r="G206" s="327" t="s">
        <v>11</v>
      </c>
      <c r="H206" s="611">
        <v>45192</v>
      </c>
      <c r="I206" s="129">
        <v>1357</v>
      </c>
      <c r="J206" s="158" t="s">
        <v>58</v>
      </c>
      <c r="K206" s="429"/>
      <c r="L206" s="450"/>
      <c r="M206" s="433"/>
      <c r="N206" s="450"/>
      <c r="O206" s="48"/>
      <c r="P206" s="48"/>
      <c r="Q206" s="130" t="s">
        <v>75</v>
      </c>
      <c r="R206" s="130" t="s">
        <v>75</v>
      </c>
      <c r="S206" s="130" t="s">
        <v>75</v>
      </c>
      <c r="T206" s="130" t="s">
        <v>75</v>
      </c>
      <c r="U206" s="130" t="s">
        <v>75</v>
      </c>
      <c r="V206" s="32"/>
      <c r="W206" s="32"/>
      <c r="X206" s="130" t="s">
        <v>75</v>
      </c>
      <c r="Y206" s="32"/>
      <c r="Z206" s="570"/>
      <c r="AA206" s="558"/>
      <c r="AB206" s="24"/>
      <c r="AC206" s="24"/>
      <c r="AD206" s="129" t="s">
        <v>75</v>
      </c>
      <c r="AE206" s="32"/>
      <c r="AF206" s="129" t="s">
        <v>75</v>
      </c>
      <c r="AG206" s="1091">
        <v>45476</v>
      </c>
      <c r="AI206" s="307">
        <v>45192</v>
      </c>
      <c r="AJ206" s="58" t="s">
        <v>121</v>
      </c>
      <c r="AK206" s="58"/>
      <c r="AM206" s="613">
        <v>45562</v>
      </c>
      <c r="AN206" s="381"/>
    </row>
    <row r="207" spans="1:40" ht="13.35" customHeight="1" x14ac:dyDescent="0.25">
      <c r="A207" s="1408"/>
      <c r="B207" s="20">
        <v>30419</v>
      </c>
      <c r="C207" s="421" t="s">
        <v>54</v>
      </c>
      <c r="D207" s="121" t="s">
        <v>77</v>
      </c>
      <c r="E207" s="156" t="s">
        <v>56</v>
      </c>
      <c r="F207" s="327" t="s">
        <v>57</v>
      </c>
      <c r="G207" s="327" t="s">
        <v>11</v>
      </c>
      <c r="H207" s="611">
        <v>45192</v>
      </c>
      <c r="I207" s="129">
        <v>1346</v>
      </c>
      <c r="J207" s="158" t="s">
        <v>58</v>
      </c>
      <c r="K207" s="429"/>
      <c r="L207" s="450"/>
      <c r="M207" s="433"/>
      <c r="N207" s="450"/>
      <c r="O207" s="48"/>
      <c r="P207" s="48"/>
      <c r="Q207" s="130" t="s">
        <v>75</v>
      </c>
      <c r="R207" s="130" t="s">
        <v>75</v>
      </c>
      <c r="S207" s="130" t="s">
        <v>75</v>
      </c>
      <c r="T207" s="130" t="s">
        <v>75</v>
      </c>
      <c r="U207" s="130" t="s">
        <v>75</v>
      </c>
      <c r="V207" s="32"/>
      <c r="W207" s="32"/>
      <c r="X207" s="130" t="s">
        <v>75</v>
      </c>
      <c r="Y207" s="32"/>
      <c r="Z207" s="570"/>
      <c r="AA207" s="558"/>
      <c r="AB207" s="24"/>
      <c r="AC207" s="24"/>
      <c r="AD207" s="129" t="s">
        <v>75</v>
      </c>
      <c r="AE207" s="32"/>
      <c r="AF207" s="129" t="s">
        <v>75</v>
      </c>
      <c r="AG207" s="1091">
        <v>45476</v>
      </c>
      <c r="AI207" s="307">
        <v>45192</v>
      </c>
      <c r="AJ207" s="58" t="s">
        <v>121</v>
      </c>
      <c r="AK207" s="58"/>
      <c r="AM207" s="613">
        <v>45562</v>
      </c>
      <c r="AN207" s="381"/>
    </row>
    <row r="208" spans="1:40" x14ac:dyDescent="0.25">
      <c r="A208" s="1407">
        <v>194</v>
      </c>
      <c r="B208" s="20">
        <v>30390</v>
      </c>
      <c r="C208" s="421" t="s">
        <v>64</v>
      </c>
      <c r="D208" s="121" t="s">
        <v>76</v>
      </c>
      <c r="E208" s="156" t="s">
        <v>56</v>
      </c>
      <c r="F208" s="327" t="s">
        <v>57</v>
      </c>
      <c r="G208" s="327" t="s">
        <v>11</v>
      </c>
      <c r="H208" s="611">
        <v>45216</v>
      </c>
      <c r="I208" s="129">
        <v>1387</v>
      </c>
      <c r="J208" s="158" t="s">
        <v>58</v>
      </c>
      <c r="K208" s="429"/>
      <c r="L208" s="450"/>
      <c r="M208" s="433"/>
      <c r="N208" s="450"/>
      <c r="O208" s="48"/>
      <c r="P208" s="48"/>
      <c r="Q208" s="130" t="s">
        <v>75</v>
      </c>
      <c r="R208" s="130" t="s">
        <v>75</v>
      </c>
      <c r="S208" s="130" t="s">
        <v>75</v>
      </c>
      <c r="T208" s="130" t="s">
        <v>75</v>
      </c>
      <c r="U208" s="130" t="s">
        <v>75</v>
      </c>
      <c r="V208" s="32"/>
      <c r="W208" s="32"/>
      <c r="X208" s="130" t="s">
        <v>75</v>
      </c>
      <c r="Y208" s="32"/>
      <c r="Z208" s="570"/>
      <c r="AA208" s="558"/>
      <c r="AB208" s="24"/>
      <c r="AC208" s="24"/>
      <c r="AD208" s="129" t="s">
        <v>75</v>
      </c>
      <c r="AE208" s="32"/>
      <c r="AF208" s="129" t="s">
        <v>75</v>
      </c>
      <c r="AG208" s="1091">
        <v>45471</v>
      </c>
      <c r="AI208" s="307">
        <v>45216</v>
      </c>
      <c r="AJ208" s="58" t="s">
        <v>121</v>
      </c>
      <c r="AK208" s="58"/>
      <c r="AM208" s="307">
        <v>45491</v>
      </c>
      <c r="AN208" s="381"/>
    </row>
    <row r="209" spans="1:40" x14ac:dyDescent="0.25">
      <c r="A209" s="1408"/>
      <c r="B209" s="111">
        <v>30390</v>
      </c>
      <c r="C209" s="660" t="s">
        <v>54</v>
      </c>
      <c r="D209" s="661" t="s">
        <v>74</v>
      </c>
      <c r="E209" s="222" t="s">
        <v>56</v>
      </c>
      <c r="F209" s="662" t="s">
        <v>57</v>
      </c>
      <c r="G209" s="662" t="s">
        <v>11</v>
      </c>
      <c r="H209" s="663">
        <v>45216</v>
      </c>
      <c r="I209" s="664">
        <v>1384</v>
      </c>
      <c r="J209" s="223" t="s">
        <v>58</v>
      </c>
      <c r="K209" s="430"/>
      <c r="L209" s="665"/>
      <c r="M209" s="666"/>
      <c r="N209" s="665"/>
      <c r="O209" s="667"/>
      <c r="P209" s="667"/>
      <c r="Q209" s="668" t="s">
        <v>75</v>
      </c>
      <c r="R209" s="668" t="s">
        <v>75</v>
      </c>
      <c r="S209" s="668" t="s">
        <v>75</v>
      </c>
      <c r="T209" s="668" t="s">
        <v>75</v>
      </c>
      <c r="U209" s="668" t="s">
        <v>75</v>
      </c>
      <c r="V209" s="408"/>
      <c r="W209" s="408"/>
      <c r="X209" s="668" t="s">
        <v>75</v>
      </c>
      <c r="Y209" s="408"/>
      <c r="Z209" s="669"/>
      <c r="AA209" s="670"/>
      <c r="AB209" s="24"/>
      <c r="AC209" s="186"/>
      <c r="AD209" s="664" t="s">
        <v>75</v>
      </c>
      <c r="AE209" s="408"/>
      <c r="AF209" s="664" t="s">
        <v>75</v>
      </c>
      <c r="AG209" s="1094">
        <v>45471</v>
      </c>
      <c r="AH209" s="511"/>
      <c r="AI209" s="671">
        <v>45216</v>
      </c>
      <c r="AJ209" s="511" t="s">
        <v>121</v>
      </c>
      <c r="AK209" s="511"/>
      <c r="AM209" s="307">
        <v>45491</v>
      </c>
      <c r="AN209" s="381"/>
    </row>
    <row r="210" spans="1:40" x14ac:dyDescent="0.25">
      <c r="A210" s="1409">
        <v>195</v>
      </c>
      <c r="B210" s="676">
        <v>30389</v>
      </c>
      <c r="C210" s="507" t="s">
        <v>64</v>
      </c>
      <c r="D210" s="507" t="s">
        <v>513</v>
      </c>
      <c r="E210" s="507" t="s">
        <v>56</v>
      </c>
      <c r="F210" s="507" t="s">
        <v>57</v>
      </c>
      <c r="G210" s="507" t="s">
        <v>11</v>
      </c>
      <c r="H210" s="508">
        <v>45255</v>
      </c>
      <c r="I210" s="507">
        <v>1350</v>
      </c>
      <c r="J210" s="507" t="s">
        <v>58</v>
      </c>
      <c r="K210" s="507" t="s">
        <v>82</v>
      </c>
      <c r="L210" s="507" t="s">
        <v>82</v>
      </c>
      <c r="M210" s="507" t="s">
        <v>75</v>
      </c>
      <c r="N210" s="507" t="s">
        <v>75</v>
      </c>
      <c r="O210" s="507" t="s">
        <v>75</v>
      </c>
      <c r="P210" s="507" t="s">
        <v>75</v>
      </c>
      <c r="Q210" s="507" t="s">
        <v>75</v>
      </c>
      <c r="R210" s="507" t="s">
        <v>82</v>
      </c>
      <c r="S210" s="507" t="s">
        <v>82</v>
      </c>
      <c r="T210" s="507" t="s">
        <v>75</v>
      </c>
      <c r="U210" s="507" t="s">
        <v>82</v>
      </c>
      <c r="V210" s="507" t="s">
        <v>75</v>
      </c>
      <c r="W210" s="507" t="s">
        <v>82</v>
      </c>
      <c r="X210" s="507" t="s">
        <v>82</v>
      </c>
      <c r="Y210" s="507" t="s">
        <v>82</v>
      </c>
      <c r="Z210" s="507" t="s">
        <v>75</v>
      </c>
      <c r="AA210" s="507" t="s">
        <v>82</v>
      </c>
      <c r="AB210" s="507"/>
      <c r="AC210" s="507" t="s">
        <v>82</v>
      </c>
      <c r="AD210" s="507" t="s">
        <v>82</v>
      </c>
      <c r="AE210" s="507" t="s">
        <v>82</v>
      </c>
      <c r="AF210" s="507" t="s">
        <v>75</v>
      </c>
      <c r="AG210" s="969">
        <v>45523</v>
      </c>
      <c r="AH210" s="507"/>
      <c r="AI210" s="659">
        <v>45255</v>
      </c>
      <c r="AJ210" s="507" t="s">
        <v>121</v>
      </c>
      <c r="AK210" s="507"/>
      <c r="AM210" s="613">
        <v>45517</v>
      </c>
    </row>
    <row r="211" spans="1:40" x14ac:dyDescent="0.25">
      <c r="A211" s="1410"/>
      <c r="B211" s="676">
        <v>30389</v>
      </c>
      <c r="C211" s="507" t="s">
        <v>54</v>
      </c>
      <c r="D211" s="507" t="s">
        <v>512</v>
      </c>
      <c r="E211" s="507" t="s">
        <v>56</v>
      </c>
      <c r="F211" s="507" t="s">
        <v>57</v>
      </c>
      <c r="G211" s="507" t="s">
        <v>11</v>
      </c>
      <c r="H211" s="508">
        <v>45255</v>
      </c>
      <c r="I211" s="507">
        <v>1344</v>
      </c>
      <c r="J211" s="507" t="s">
        <v>58</v>
      </c>
      <c r="K211" s="507" t="s">
        <v>82</v>
      </c>
      <c r="L211" s="507" t="s">
        <v>82</v>
      </c>
      <c r="M211" s="507" t="s">
        <v>75</v>
      </c>
      <c r="N211" s="507" t="s">
        <v>75</v>
      </c>
      <c r="O211" s="507" t="s">
        <v>75</v>
      </c>
      <c r="P211" s="507" t="s">
        <v>75</v>
      </c>
      <c r="Q211" s="507" t="s">
        <v>75</v>
      </c>
      <c r="R211" s="507" t="s">
        <v>82</v>
      </c>
      <c r="S211" s="507" t="s">
        <v>82</v>
      </c>
      <c r="T211" s="507" t="s">
        <v>75</v>
      </c>
      <c r="U211" s="507" t="s">
        <v>82</v>
      </c>
      <c r="V211" s="507" t="s">
        <v>75</v>
      </c>
      <c r="W211" s="507" t="s">
        <v>82</v>
      </c>
      <c r="X211" s="507" t="s">
        <v>82</v>
      </c>
      <c r="Y211" s="507" t="s">
        <v>82</v>
      </c>
      <c r="Z211" s="507" t="s">
        <v>75</v>
      </c>
      <c r="AA211" s="507" t="s">
        <v>82</v>
      </c>
      <c r="AB211" s="507"/>
      <c r="AC211" s="507" t="s">
        <v>82</v>
      </c>
      <c r="AD211" s="507" t="s">
        <v>82</v>
      </c>
      <c r="AE211" s="507" t="s">
        <v>82</v>
      </c>
      <c r="AF211" s="507" t="s">
        <v>75</v>
      </c>
      <c r="AG211" s="969">
        <v>45523</v>
      </c>
      <c r="AH211" s="507"/>
      <c r="AI211" s="659">
        <v>45255</v>
      </c>
      <c r="AJ211" s="507" t="s">
        <v>121</v>
      </c>
      <c r="AK211" s="507"/>
      <c r="AM211" s="613">
        <v>45517</v>
      </c>
    </row>
    <row r="212" spans="1:40" x14ac:dyDescent="0.25">
      <c r="A212" s="1409">
        <v>196</v>
      </c>
      <c r="B212" s="676">
        <v>30410</v>
      </c>
      <c r="C212" s="507" t="s">
        <v>64</v>
      </c>
      <c r="D212" s="507" t="s">
        <v>499</v>
      </c>
      <c r="E212" s="507" t="s">
        <v>56</v>
      </c>
      <c r="F212" s="507" t="s">
        <v>57</v>
      </c>
      <c r="G212" s="507" t="s">
        <v>11</v>
      </c>
      <c r="H212" s="508">
        <v>45300</v>
      </c>
      <c r="I212" s="507">
        <v>1356</v>
      </c>
      <c r="J212" s="507" t="s">
        <v>58</v>
      </c>
      <c r="K212" s="507" t="s">
        <v>82</v>
      </c>
      <c r="L212" s="507" t="s">
        <v>82</v>
      </c>
      <c r="M212" s="507" t="s">
        <v>75</v>
      </c>
      <c r="N212" s="507" t="s">
        <v>75</v>
      </c>
      <c r="O212" s="507" t="s">
        <v>75</v>
      </c>
      <c r="P212" s="507" t="s">
        <v>75</v>
      </c>
      <c r="Q212" s="507" t="s">
        <v>75</v>
      </c>
      <c r="R212" s="507" t="s">
        <v>82</v>
      </c>
      <c r="S212" s="507" t="s">
        <v>82</v>
      </c>
      <c r="T212" s="507" t="s">
        <v>75</v>
      </c>
      <c r="U212" s="507" t="s">
        <v>82</v>
      </c>
      <c r="V212" s="507" t="s">
        <v>75</v>
      </c>
      <c r="W212" s="507" t="s">
        <v>82</v>
      </c>
      <c r="X212" s="507" t="s">
        <v>82</v>
      </c>
      <c r="Y212" s="507" t="s">
        <v>82</v>
      </c>
      <c r="Z212" s="507" t="s">
        <v>75</v>
      </c>
      <c r="AA212" s="507" t="s">
        <v>82</v>
      </c>
      <c r="AB212" s="507"/>
      <c r="AC212" s="507" t="s">
        <v>82</v>
      </c>
      <c r="AD212" s="507" t="s">
        <v>82</v>
      </c>
      <c r="AE212" s="508">
        <v>45300</v>
      </c>
      <c r="AF212" s="507" t="s">
        <v>75</v>
      </c>
      <c r="AG212" s="1091">
        <v>45469</v>
      </c>
      <c r="AH212" s="507"/>
      <c r="AI212" s="659">
        <v>45300</v>
      </c>
      <c r="AJ212" s="507" t="s">
        <v>121</v>
      </c>
      <c r="AK212" s="507"/>
      <c r="AM212" s="613">
        <v>45553</v>
      </c>
    </row>
    <row r="213" spans="1:40" x14ac:dyDescent="0.25">
      <c r="A213" s="1410"/>
      <c r="B213" s="676">
        <v>30410</v>
      </c>
      <c r="C213" s="507" t="s">
        <v>54</v>
      </c>
      <c r="D213" s="507" t="s">
        <v>497</v>
      </c>
      <c r="E213" s="507" t="s">
        <v>56</v>
      </c>
      <c r="F213" s="507" t="s">
        <v>57</v>
      </c>
      <c r="G213" s="507" t="s">
        <v>11</v>
      </c>
      <c r="H213" s="508">
        <v>45300</v>
      </c>
      <c r="I213" s="507">
        <v>1345</v>
      </c>
      <c r="J213" s="507" t="s">
        <v>58</v>
      </c>
      <c r="K213" s="507" t="s">
        <v>82</v>
      </c>
      <c r="L213" s="507" t="s">
        <v>82</v>
      </c>
      <c r="M213" s="507" t="s">
        <v>75</v>
      </c>
      <c r="N213" s="507" t="s">
        <v>75</v>
      </c>
      <c r="O213" s="507" t="s">
        <v>75</v>
      </c>
      <c r="P213" s="507" t="s">
        <v>75</v>
      </c>
      <c r="Q213" s="507" t="s">
        <v>75</v>
      </c>
      <c r="R213" s="507" t="s">
        <v>82</v>
      </c>
      <c r="S213" s="507" t="s">
        <v>82</v>
      </c>
      <c r="T213" s="507" t="s">
        <v>75</v>
      </c>
      <c r="U213" s="507" t="s">
        <v>82</v>
      </c>
      <c r="V213" s="507" t="s">
        <v>75</v>
      </c>
      <c r="W213" s="507" t="s">
        <v>82</v>
      </c>
      <c r="X213" s="507" t="s">
        <v>82</v>
      </c>
      <c r="Y213" s="507" t="s">
        <v>82</v>
      </c>
      <c r="Z213" s="507" t="s">
        <v>75</v>
      </c>
      <c r="AA213" s="507" t="s">
        <v>82</v>
      </c>
      <c r="AB213" s="507"/>
      <c r="AC213" s="507" t="s">
        <v>82</v>
      </c>
      <c r="AD213" s="507" t="s">
        <v>82</v>
      </c>
      <c r="AE213" s="508">
        <v>45300</v>
      </c>
      <c r="AF213" s="507" t="s">
        <v>75</v>
      </c>
      <c r="AG213" s="1091">
        <v>45469</v>
      </c>
      <c r="AH213" s="507"/>
      <c r="AI213" s="659">
        <v>45300</v>
      </c>
      <c r="AJ213" s="507" t="s">
        <v>121</v>
      </c>
      <c r="AK213" s="507"/>
      <c r="AM213" s="613">
        <v>45553</v>
      </c>
    </row>
    <row r="214" spans="1:40" x14ac:dyDescent="0.25">
      <c r="A214" s="1407">
        <v>197</v>
      </c>
      <c r="B214" s="238">
        <v>37619</v>
      </c>
      <c r="C214" s="507" t="s">
        <v>64</v>
      </c>
      <c r="D214" s="916" t="s">
        <v>511</v>
      </c>
      <c r="E214" s="263" t="s">
        <v>56</v>
      </c>
      <c r="F214" s="917" t="s">
        <v>57</v>
      </c>
      <c r="G214" s="917" t="s">
        <v>11</v>
      </c>
      <c r="H214" s="918">
        <v>45247</v>
      </c>
      <c r="I214" s="917">
        <v>1452</v>
      </c>
      <c r="J214" s="917" t="s">
        <v>58</v>
      </c>
      <c r="K214" s="437"/>
      <c r="L214" s="673"/>
      <c r="M214" s="674"/>
      <c r="N214" s="673"/>
      <c r="O214" s="675"/>
      <c r="P214" s="675"/>
      <c r="Q214" s="142" t="s">
        <v>75</v>
      </c>
      <c r="R214" s="142" t="s">
        <v>75</v>
      </c>
      <c r="S214" s="142" t="s">
        <v>75</v>
      </c>
      <c r="T214" s="142" t="s">
        <v>75</v>
      </c>
      <c r="U214" s="142" t="s">
        <v>75</v>
      </c>
      <c r="V214" s="142"/>
      <c r="W214" s="142"/>
      <c r="X214" s="142" t="s">
        <v>75</v>
      </c>
      <c r="Y214" s="142"/>
      <c r="Z214" s="919"/>
      <c r="AA214" s="919"/>
      <c r="AB214" s="24"/>
      <c r="AC214" s="920"/>
      <c r="AD214" s="921" t="s">
        <v>75</v>
      </c>
      <c r="AE214" s="241"/>
      <c r="AF214" s="922" t="s">
        <v>75</v>
      </c>
      <c r="AG214" s="970">
        <v>45520</v>
      </c>
      <c r="AH214" s="923" t="s">
        <v>121</v>
      </c>
      <c r="AI214" s="924" t="s">
        <v>75</v>
      </c>
      <c r="AJ214" s="923" t="s">
        <v>121</v>
      </c>
      <c r="AK214" s="649"/>
    </row>
    <row r="215" spans="1:40" x14ac:dyDescent="0.25">
      <c r="A215" s="1408"/>
      <c r="B215" s="20">
        <v>37619</v>
      </c>
      <c r="C215" s="507" t="s">
        <v>54</v>
      </c>
      <c r="D215" s="12" t="s">
        <v>510</v>
      </c>
      <c r="E215" s="17" t="s">
        <v>56</v>
      </c>
      <c r="F215" s="615" t="s">
        <v>57</v>
      </c>
      <c r="G215" s="615" t="s">
        <v>11</v>
      </c>
      <c r="H215" s="925">
        <v>45247</v>
      </c>
      <c r="I215" s="615">
        <v>1453</v>
      </c>
      <c r="J215" s="615" t="s">
        <v>58</v>
      </c>
      <c r="K215" s="429"/>
      <c r="L215" s="450"/>
      <c r="M215" s="433"/>
      <c r="N215" s="450"/>
      <c r="O215" s="48"/>
      <c r="P215" s="48"/>
      <c r="Q215" s="32" t="s">
        <v>75</v>
      </c>
      <c r="R215" s="32" t="s">
        <v>75</v>
      </c>
      <c r="S215" s="32" t="s">
        <v>75</v>
      </c>
      <c r="T215" s="32" t="s">
        <v>75</v>
      </c>
      <c r="U215" s="32" t="s">
        <v>75</v>
      </c>
      <c r="V215" s="32"/>
      <c r="W215" s="32"/>
      <c r="X215" s="32" t="s">
        <v>75</v>
      </c>
      <c r="Y215" s="32"/>
      <c r="Z215" s="558"/>
      <c r="AA215" s="558"/>
      <c r="AB215" s="24"/>
      <c r="AC215" s="620"/>
      <c r="AD215" s="140" t="s">
        <v>75</v>
      </c>
      <c r="AE215" s="30"/>
      <c r="AF215" s="284" t="s">
        <v>75</v>
      </c>
      <c r="AG215" s="971">
        <v>45520</v>
      </c>
      <c r="AH215" s="926" t="s">
        <v>121</v>
      </c>
      <c r="AI215" s="927" t="s">
        <v>75</v>
      </c>
      <c r="AJ215" s="926" t="s">
        <v>121</v>
      </c>
      <c r="AK215" s="58"/>
    </row>
    <row r="216" spans="1:40" x14ac:dyDescent="0.25">
      <c r="A216" s="1407">
        <v>198</v>
      </c>
      <c r="B216" s="20">
        <v>37646</v>
      </c>
      <c r="C216" s="507" t="s">
        <v>64</v>
      </c>
      <c r="D216" s="12" t="s">
        <v>509</v>
      </c>
      <c r="E216" s="17" t="s">
        <v>56</v>
      </c>
      <c r="F216" s="615" t="s">
        <v>57</v>
      </c>
      <c r="G216" s="615" t="s">
        <v>11</v>
      </c>
      <c r="H216" s="925">
        <v>45331</v>
      </c>
      <c r="I216" s="615">
        <v>1509</v>
      </c>
      <c r="J216" s="615" t="s">
        <v>58</v>
      </c>
      <c r="K216" s="429"/>
      <c r="L216" s="450"/>
      <c r="M216" s="433"/>
      <c r="N216" s="450"/>
      <c r="O216" s="31"/>
      <c r="P216" s="31"/>
      <c r="Q216" s="16" t="s">
        <v>75</v>
      </c>
      <c r="R216" s="16" t="s">
        <v>75</v>
      </c>
      <c r="S216" s="32" t="s">
        <v>75</v>
      </c>
      <c r="T216" s="32" t="s">
        <v>75</v>
      </c>
      <c r="U216" s="32" t="s">
        <v>75</v>
      </c>
      <c r="V216" s="32"/>
      <c r="W216" s="32" t="s">
        <v>82</v>
      </c>
      <c r="X216" s="32" t="s">
        <v>75</v>
      </c>
      <c r="Y216" s="32" t="s">
        <v>82</v>
      </c>
      <c r="Z216" s="558"/>
      <c r="AA216" s="558" t="s">
        <v>82</v>
      </c>
      <c r="AB216" s="24"/>
      <c r="AC216" s="620"/>
      <c r="AD216" s="287" t="s">
        <v>75</v>
      </c>
      <c r="AE216" s="30"/>
      <c r="AF216" s="284" t="s">
        <v>75</v>
      </c>
      <c r="AG216" s="971">
        <v>45513</v>
      </c>
      <c r="AH216" s="926" t="s">
        <v>121</v>
      </c>
      <c r="AI216" s="927" t="s">
        <v>75</v>
      </c>
      <c r="AJ216" s="926" t="s">
        <v>121</v>
      </c>
      <c r="AK216" s="58"/>
      <c r="AM216" s="613">
        <v>45601</v>
      </c>
    </row>
    <row r="217" spans="1:40" x14ac:dyDescent="0.25">
      <c r="A217" s="1408"/>
      <c r="B217" s="20">
        <v>37646</v>
      </c>
      <c r="C217" s="507" t="s">
        <v>54</v>
      </c>
      <c r="D217" s="928" t="s">
        <v>508</v>
      </c>
      <c r="E217" s="17" t="s">
        <v>56</v>
      </c>
      <c r="F217" s="615" t="s">
        <v>57</v>
      </c>
      <c r="G217" s="615" t="s">
        <v>11</v>
      </c>
      <c r="H217" s="925">
        <v>45331</v>
      </c>
      <c r="I217" s="615">
        <v>1508</v>
      </c>
      <c r="J217" s="615" t="s">
        <v>58</v>
      </c>
      <c r="K217" s="429"/>
      <c r="L217" s="443"/>
      <c r="M217" s="432"/>
      <c r="N217" s="443"/>
      <c r="O217" s="33"/>
      <c r="P217" s="33"/>
      <c r="Q217" s="16" t="s">
        <v>75</v>
      </c>
      <c r="R217" s="16" t="s">
        <v>75</v>
      </c>
      <c r="S217" s="16" t="s">
        <v>75</v>
      </c>
      <c r="T217" s="16" t="s">
        <v>75</v>
      </c>
      <c r="U217" s="16" t="s">
        <v>75</v>
      </c>
      <c r="V217" s="37"/>
      <c r="W217" s="16" t="s">
        <v>82</v>
      </c>
      <c r="X217" s="32" t="s">
        <v>75</v>
      </c>
      <c r="Y217" s="16" t="s">
        <v>82</v>
      </c>
      <c r="Z217" s="432"/>
      <c r="AA217" s="432" t="s">
        <v>82</v>
      </c>
      <c r="AB217" s="24"/>
      <c r="AC217" s="620"/>
      <c r="AD217" s="276" t="s">
        <v>75</v>
      </c>
      <c r="AE217" s="30"/>
      <c r="AF217" s="284" t="s">
        <v>75</v>
      </c>
      <c r="AG217" s="971">
        <v>45513</v>
      </c>
      <c r="AH217" s="926" t="s">
        <v>121</v>
      </c>
      <c r="AI217" s="927" t="s">
        <v>75</v>
      </c>
      <c r="AJ217" s="926" t="s">
        <v>121</v>
      </c>
      <c r="AK217" s="58"/>
      <c r="AM217" s="613">
        <v>45601</v>
      </c>
    </row>
    <row r="218" spans="1:40" x14ac:dyDescent="0.25">
      <c r="A218" s="1407">
        <v>199</v>
      </c>
      <c r="B218" s="20">
        <v>30420</v>
      </c>
      <c r="C218" s="507" t="s">
        <v>64</v>
      </c>
      <c r="D218" s="12" t="s">
        <v>504</v>
      </c>
      <c r="E218" s="17" t="s">
        <v>56</v>
      </c>
      <c r="F218" s="615" t="s">
        <v>57</v>
      </c>
      <c r="G218" s="615" t="s">
        <v>11</v>
      </c>
      <c r="H218" s="925">
        <v>45332</v>
      </c>
      <c r="I218" s="615">
        <v>1493</v>
      </c>
      <c r="J218" s="615" t="s">
        <v>58</v>
      </c>
      <c r="K218" s="429"/>
      <c r="L218" s="450"/>
      <c r="M218" s="433"/>
      <c r="N218" s="450"/>
      <c r="O218" s="48"/>
      <c r="P218" s="48"/>
      <c r="Q218" s="16" t="s">
        <v>75</v>
      </c>
      <c r="R218" s="16" t="s">
        <v>75</v>
      </c>
      <c r="S218" s="32" t="s">
        <v>75</v>
      </c>
      <c r="T218" s="32" t="s">
        <v>75</v>
      </c>
      <c r="U218" s="32" t="s">
        <v>75</v>
      </c>
      <c r="V218" s="32"/>
      <c r="W218" s="32" t="s">
        <v>82</v>
      </c>
      <c r="X218" s="32" t="s">
        <v>75</v>
      </c>
      <c r="Y218" s="32" t="s">
        <v>82</v>
      </c>
      <c r="Z218" s="558"/>
      <c r="AA218" s="558" t="s">
        <v>82</v>
      </c>
      <c r="AB218" s="24"/>
      <c r="AC218" s="620"/>
      <c r="AD218" s="140" t="s">
        <v>75</v>
      </c>
      <c r="AE218" s="30"/>
      <c r="AF218" s="284" t="s">
        <v>75</v>
      </c>
      <c r="AG218" s="1095">
        <v>45477</v>
      </c>
      <c r="AH218" s="926" t="s">
        <v>121</v>
      </c>
      <c r="AI218" s="927" t="s">
        <v>75</v>
      </c>
      <c r="AJ218" s="926" t="s">
        <v>121</v>
      </c>
      <c r="AK218" s="58"/>
    </row>
    <row r="219" spans="1:40" x14ac:dyDescent="0.25">
      <c r="A219" s="1408"/>
      <c r="B219" s="20">
        <v>30420</v>
      </c>
      <c r="C219" s="507" t="s">
        <v>54</v>
      </c>
      <c r="D219" s="12" t="s">
        <v>503</v>
      </c>
      <c r="E219" s="17" t="s">
        <v>56</v>
      </c>
      <c r="F219" s="615" t="s">
        <v>57</v>
      </c>
      <c r="G219" s="615" t="s">
        <v>11</v>
      </c>
      <c r="H219" s="925">
        <v>45332</v>
      </c>
      <c r="I219" s="615">
        <v>1492</v>
      </c>
      <c r="J219" s="615" t="s">
        <v>58</v>
      </c>
      <c r="K219" s="429"/>
      <c r="L219" s="450"/>
      <c r="M219" s="433"/>
      <c r="N219" s="450"/>
      <c r="O219" s="48"/>
      <c r="P219" s="48"/>
      <c r="Q219" s="16" t="s">
        <v>75</v>
      </c>
      <c r="R219" s="16" t="s">
        <v>75</v>
      </c>
      <c r="S219" s="32" t="s">
        <v>75</v>
      </c>
      <c r="T219" s="32" t="s">
        <v>75</v>
      </c>
      <c r="U219" s="32" t="s">
        <v>75</v>
      </c>
      <c r="V219" s="32"/>
      <c r="W219" s="32" t="s">
        <v>82</v>
      </c>
      <c r="X219" s="32" t="s">
        <v>75</v>
      </c>
      <c r="Y219" s="32" t="s">
        <v>82</v>
      </c>
      <c r="Z219" s="558"/>
      <c r="AA219" s="558" t="s">
        <v>82</v>
      </c>
      <c r="AB219" s="24"/>
      <c r="AC219" s="620"/>
      <c r="AD219" s="140" t="s">
        <v>75</v>
      </c>
      <c r="AE219" s="30"/>
      <c r="AF219" s="284" t="s">
        <v>75</v>
      </c>
      <c r="AG219" s="1095">
        <v>45477</v>
      </c>
      <c r="AH219" s="926" t="s">
        <v>121</v>
      </c>
      <c r="AI219" s="927" t="s">
        <v>75</v>
      </c>
      <c r="AJ219" s="926" t="s">
        <v>121</v>
      </c>
      <c r="AK219" s="58"/>
    </row>
    <row r="220" spans="1:40" x14ac:dyDescent="0.25">
      <c r="A220" s="1407">
        <v>200</v>
      </c>
      <c r="B220" s="20">
        <v>30332</v>
      </c>
      <c r="C220" s="507" t="s">
        <v>64</v>
      </c>
      <c r="D220" s="12" t="s">
        <v>502</v>
      </c>
      <c r="E220" s="17" t="s">
        <v>56</v>
      </c>
      <c r="F220" s="615" t="s">
        <v>57</v>
      </c>
      <c r="G220" s="615" t="s">
        <v>11</v>
      </c>
      <c r="H220" s="925">
        <v>45437</v>
      </c>
      <c r="I220" s="615">
        <v>1490</v>
      </c>
      <c r="J220" s="615" t="s">
        <v>58</v>
      </c>
      <c r="K220" s="429"/>
      <c r="L220" s="450"/>
      <c r="M220" s="433"/>
      <c r="N220" s="450"/>
      <c r="O220" s="48"/>
      <c r="P220" s="48"/>
      <c r="Q220" s="16" t="s">
        <v>75</v>
      </c>
      <c r="R220" s="16" t="s">
        <v>75</v>
      </c>
      <c r="S220" s="32" t="s">
        <v>75</v>
      </c>
      <c r="T220" s="32" t="s">
        <v>75</v>
      </c>
      <c r="U220" s="32" t="s">
        <v>75</v>
      </c>
      <c r="V220" s="32"/>
      <c r="W220" s="32"/>
      <c r="X220" s="32" t="s">
        <v>75</v>
      </c>
      <c r="Y220" s="32"/>
      <c r="Z220" s="558"/>
      <c r="AA220" s="558"/>
      <c r="AB220" s="24"/>
      <c r="AC220" s="620"/>
      <c r="AD220" s="140" t="s">
        <v>75</v>
      </c>
      <c r="AE220" s="32"/>
      <c r="AF220" s="140" t="s">
        <v>75</v>
      </c>
      <c r="AG220" s="1095">
        <v>45477</v>
      </c>
      <c r="AH220" s="926" t="s">
        <v>121</v>
      </c>
      <c r="AI220" s="927" t="s">
        <v>75</v>
      </c>
      <c r="AJ220" s="926" t="s">
        <v>121</v>
      </c>
      <c r="AK220" s="58"/>
    </row>
    <row r="221" spans="1:40" x14ac:dyDescent="0.25">
      <c r="A221" s="1408"/>
      <c r="B221" s="20">
        <v>30332</v>
      </c>
      <c r="C221" s="507" t="s">
        <v>54</v>
      </c>
      <c r="D221" s="12" t="s">
        <v>501</v>
      </c>
      <c r="E221" s="17" t="s">
        <v>56</v>
      </c>
      <c r="F221" s="615" t="s">
        <v>57</v>
      </c>
      <c r="G221" s="615" t="s">
        <v>11</v>
      </c>
      <c r="H221" s="925">
        <v>45437</v>
      </c>
      <c r="I221" s="615">
        <v>1487</v>
      </c>
      <c r="J221" s="615" t="s">
        <v>58</v>
      </c>
      <c r="K221" s="429"/>
      <c r="L221" s="450"/>
      <c r="M221" s="433"/>
      <c r="N221" s="450"/>
      <c r="O221" s="48"/>
      <c r="P221" s="48"/>
      <c r="Q221" s="16" t="s">
        <v>75</v>
      </c>
      <c r="R221" s="16" t="s">
        <v>75</v>
      </c>
      <c r="S221" s="32" t="s">
        <v>75</v>
      </c>
      <c r="T221" s="32" t="s">
        <v>75</v>
      </c>
      <c r="U221" s="32" t="s">
        <v>75</v>
      </c>
      <c r="V221" s="32"/>
      <c r="W221" s="32"/>
      <c r="X221" s="32" t="s">
        <v>75</v>
      </c>
      <c r="Y221" s="32"/>
      <c r="Z221" s="558"/>
      <c r="AA221" s="558"/>
      <c r="AB221" s="24"/>
      <c r="AC221" s="1089"/>
      <c r="AD221" s="140" t="s">
        <v>75</v>
      </c>
      <c r="AE221" s="32"/>
      <c r="AF221" s="140" t="s">
        <v>75</v>
      </c>
      <c r="AG221" s="1095">
        <v>45477</v>
      </c>
      <c r="AH221" s="926" t="s">
        <v>121</v>
      </c>
      <c r="AI221" s="927" t="s">
        <v>75</v>
      </c>
      <c r="AJ221" s="926" t="s">
        <v>121</v>
      </c>
      <c r="AK221" s="58"/>
    </row>
    <row r="222" spans="1:40" ht="14.4" x14ac:dyDescent="0.3">
      <c r="A222" s="1407">
        <v>201</v>
      </c>
      <c r="B222" s="20">
        <v>30413</v>
      </c>
      <c r="C222" s="1114" t="s">
        <v>646</v>
      </c>
      <c r="D222" s="12" t="s">
        <v>647</v>
      </c>
      <c r="E222" s="187" t="s">
        <v>56</v>
      </c>
      <c r="F222" s="187" t="s">
        <v>57</v>
      </c>
      <c r="G222" s="187" t="s">
        <v>11</v>
      </c>
      <c r="H222" s="1090">
        <v>45502</v>
      </c>
      <c r="I222" s="3">
        <v>1625</v>
      </c>
      <c r="J222" s="3" t="s">
        <v>58</v>
      </c>
      <c r="K222" s="429"/>
      <c r="L222" s="450"/>
      <c r="M222" s="433"/>
      <c r="N222" s="450"/>
      <c r="O222" s="48"/>
      <c r="P222" s="48"/>
      <c r="Q222" s="1115" t="s">
        <v>75</v>
      </c>
      <c r="R222" s="187" t="s">
        <v>75</v>
      </c>
      <c r="S222" s="187" t="s">
        <v>75</v>
      </c>
      <c r="T222" s="187" t="s">
        <v>75</v>
      </c>
      <c r="U222" s="187" t="s">
        <v>75</v>
      </c>
      <c r="V222" s="30"/>
      <c r="W222" s="30"/>
      <c r="X222" s="187" t="s">
        <v>75</v>
      </c>
      <c r="Y222" s="30"/>
      <c r="Z222" s="24"/>
      <c r="AA222" s="79"/>
      <c r="AB222" s="24"/>
      <c r="AC222" s="105"/>
      <c r="AD222" s="223" t="s">
        <v>75</v>
      </c>
      <c r="AE222" s="32"/>
      <c r="AF222" s="223" t="s">
        <v>75</v>
      </c>
      <c r="AG222" s="1091">
        <v>45502</v>
      </c>
      <c r="AH222" t="s">
        <v>121</v>
      </c>
      <c r="AI222" s="223" t="s">
        <v>75</v>
      </c>
      <c r="AJ222" s="507" t="s">
        <v>121</v>
      </c>
    </row>
    <row r="223" spans="1:40" ht="14.4" x14ac:dyDescent="0.3">
      <c r="A223" s="1408"/>
      <c r="B223" s="20">
        <v>30413</v>
      </c>
      <c r="C223" s="1114" t="s">
        <v>648</v>
      </c>
      <c r="D223" s="12" t="s">
        <v>649</v>
      </c>
      <c r="E223" s="187" t="s">
        <v>56</v>
      </c>
      <c r="F223" s="187" t="s">
        <v>57</v>
      </c>
      <c r="G223" s="187" t="s">
        <v>11</v>
      </c>
      <c r="H223" s="1090">
        <v>45502</v>
      </c>
      <c r="I223" s="3">
        <v>1626</v>
      </c>
      <c r="J223" s="3" t="s">
        <v>58</v>
      </c>
      <c r="K223" s="429"/>
      <c r="L223" s="450"/>
      <c r="M223" s="433"/>
      <c r="N223" s="450"/>
      <c r="O223" s="48"/>
      <c r="P223" s="48"/>
      <c r="Q223" s="1115" t="s">
        <v>75</v>
      </c>
      <c r="R223" s="187" t="s">
        <v>75</v>
      </c>
      <c r="S223" s="187" t="s">
        <v>75</v>
      </c>
      <c r="T223" s="187" t="s">
        <v>75</v>
      </c>
      <c r="U223" s="187" t="s">
        <v>75</v>
      </c>
      <c r="V223" s="30"/>
      <c r="W223" s="30"/>
      <c r="X223" s="187" t="s">
        <v>75</v>
      </c>
      <c r="Y223" s="30"/>
      <c r="Z223" s="24"/>
      <c r="AA223" s="79"/>
      <c r="AB223" s="24"/>
      <c r="AC223" s="105"/>
      <c r="AD223" s="223" t="s">
        <v>75</v>
      </c>
      <c r="AE223" s="32"/>
      <c r="AF223" s="223" t="s">
        <v>75</v>
      </c>
      <c r="AG223" s="1091">
        <v>45502</v>
      </c>
      <c r="AH223" t="s">
        <v>121</v>
      </c>
      <c r="AI223" s="223" t="s">
        <v>75</v>
      </c>
      <c r="AJ223" s="507" t="s">
        <v>121</v>
      </c>
    </row>
    <row r="224" spans="1:40" x14ac:dyDescent="0.25">
      <c r="A224" s="1407">
        <v>202</v>
      </c>
      <c r="B224" s="20">
        <v>30398</v>
      </c>
      <c r="C224" s="1114" t="s">
        <v>646</v>
      </c>
      <c r="D224" s="12" t="s">
        <v>650</v>
      </c>
      <c r="E224" s="187" t="s">
        <v>56</v>
      </c>
      <c r="F224" s="187" t="s">
        <v>57</v>
      </c>
      <c r="G224" s="187" t="s">
        <v>11</v>
      </c>
      <c r="H224" s="613">
        <v>45537</v>
      </c>
      <c r="I224" s="3">
        <v>1624</v>
      </c>
      <c r="J224" s="3" t="s">
        <v>58</v>
      </c>
      <c r="K224" s="429"/>
      <c r="L224" s="450"/>
      <c r="M224" s="507" t="s">
        <v>75</v>
      </c>
      <c r="N224" s="1113" t="s">
        <v>75</v>
      </c>
      <c r="O224" s="48"/>
      <c r="P224" s="48"/>
      <c r="Q224" s="1115" t="s">
        <v>75</v>
      </c>
      <c r="R224" s="187" t="s">
        <v>75</v>
      </c>
      <c r="S224" s="187" t="s">
        <v>75</v>
      </c>
      <c r="T224" s="187" t="s">
        <v>75</v>
      </c>
      <c r="U224" s="187" t="s">
        <v>75</v>
      </c>
      <c r="V224" s="30"/>
      <c r="W224" s="30"/>
      <c r="X224" s="187" t="s">
        <v>75</v>
      </c>
      <c r="Y224" s="30"/>
      <c r="Z224" s="24"/>
      <c r="AA224" s="24"/>
      <c r="AB224" s="24"/>
      <c r="AC224" s="32"/>
      <c r="AD224" s="223" t="s">
        <v>75</v>
      </c>
      <c r="AE224" s="32"/>
      <c r="AF224" s="223" t="s">
        <v>75</v>
      </c>
      <c r="AG224" s="249">
        <v>45537</v>
      </c>
      <c r="AH224" s="23" t="s">
        <v>121</v>
      </c>
      <c r="AI224" s="223" t="s">
        <v>75</v>
      </c>
      <c r="AJ224" s="507" t="s">
        <v>121</v>
      </c>
      <c r="AK224" s="249"/>
      <c r="AM224" s="365"/>
    </row>
    <row r="225" spans="1:39" x14ac:dyDescent="0.25">
      <c r="A225" s="1408"/>
      <c r="B225" s="20">
        <v>30398</v>
      </c>
      <c r="C225" s="1114" t="s">
        <v>648</v>
      </c>
      <c r="D225" s="12" t="s">
        <v>651</v>
      </c>
      <c r="E225" s="187" t="s">
        <v>56</v>
      </c>
      <c r="F225" s="187" t="s">
        <v>57</v>
      </c>
      <c r="G225" s="187" t="s">
        <v>11</v>
      </c>
      <c r="H225" s="613">
        <v>45537</v>
      </c>
      <c r="I225" s="3">
        <v>1628</v>
      </c>
      <c r="J225" s="3" t="s">
        <v>58</v>
      </c>
      <c r="K225" s="429"/>
      <c r="L225" s="450"/>
      <c r="M225" s="507" t="s">
        <v>75</v>
      </c>
      <c r="N225" s="1113" t="s">
        <v>75</v>
      </c>
      <c r="O225" s="48"/>
      <c r="P225" s="48"/>
      <c r="Q225" s="1115" t="s">
        <v>75</v>
      </c>
      <c r="R225" s="187" t="s">
        <v>75</v>
      </c>
      <c r="S225" s="187" t="s">
        <v>75</v>
      </c>
      <c r="T225" s="187" t="s">
        <v>75</v>
      </c>
      <c r="U225" s="187" t="s">
        <v>75</v>
      </c>
      <c r="V225" s="30"/>
      <c r="W225" s="30"/>
      <c r="X225" s="187" t="s">
        <v>75</v>
      </c>
      <c r="Y225" s="30"/>
      <c r="Z225" s="24"/>
      <c r="AA225" s="24"/>
      <c r="AB225" s="24"/>
      <c r="AC225" s="32"/>
      <c r="AD225" s="223" t="s">
        <v>75</v>
      </c>
      <c r="AE225" s="32"/>
      <c r="AF225" s="223" t="s">
        <v>75</v>
      </c>
      <c r="AG225" s="249">
        <v>45537</v>
      </c>
      <c r="AH225" s="23" t="s">
        <v>121</v>
      </c>
      <c r="AI225" s="223" t="s">
        <v>75</v>
      </c>
      <c r="AJ225" s="507" t="s">
        <v>121</v>
      </c>
      <c r="AK225" s="249"/>
      <c r="AM225" s="365"/>
    </row>
    <row r="226" spans="1:39" x14ac:dyDescent="0.25">
      <c r="A226" s="1407">
        <v>203</v>
      </c>
      <c r="B226" s="20">
        <v>30408</v>
      </c>
      <c r="C226" s="27" t="s">
        <v>646</v>
      </c>
      <c r="D226" s="12" t="s">
        <v>501</v>
      </c>
      <c r="E226" s="507" t="s">
        <v>56</v>
      </c>
      <c r="F226" s="507" t="s">
        <v>57</v>
      </c>
      <c r="G226" s="507" t="s">
        <v>11</v>
      </c>
      <c r="H226" s="19">
        <v>45646</v>
      </c>
      <c r="I226" s="3">
        <v>1487</v>
      </c>
      <c r="J226" s="3" t="s">
        <v>58</v>
      </c>
      <c r="K226" s="429"/>
      <c r="L226" s="450"/>
      <c r="M226" s="507" t="s">
        <v>75</v>
      </c>
      <c r="N226" s="507" t="s">
        <v>75</v>
      </c>
      <c r="O226" s="31"/>
      <c r="P226" s="31"/>
      <c r="Q226" s="507" t="s">
        <v>75</v>
      </c>
      <c r="R226" s="507" t="s">
        <v>75</v>
      </c>
      <c r="S226" s="507" t="s">
        <v>75</v>
      </c>
      <c r="T226" s="507" t="s">
        <v>75</v>
      </c>
      <c r="U226" s="507" t="s">
        <v>75</v>
      </c>
      <c r="V226" s="32"/>
      <c r="W226" s="32"/>
      <c r="X226" s="507" t="s">
        <v>75</v>
      </c>
      <c r="Y226" s="32"/>
      <c r="Z226" s="32"/>
      <c r="AA226" s="32"/>
      <c r="AB226" s="24"/>
      <c r="AC226" s="32"/>
      <c r="AD226" s="664" t="s">
        <v>75</v>
      </c>
      <c r="AE226" s="32"/>
      <c r="AF226" s="664" t="s">
        <v>75</v>
      </c>
      <c r="AG226" s="19">
        <v>45646</v>
      </c>
      <c r="AH226" t="s">
        <v>121</v>
      </c>
      <c r="AI226" s="664" t="s">
        <v>75</v>
      </c>
      <c r="AJ226" s="507" t="s">
        <v>121</v>
      </c>
      <c r="AM226" s="365"/>
    </row>
    <row r="227" spans="1:39" x14ac:dyDescent="0.25">
      <c r="A227" s="1408"/>
      <c r="B227" s="20">
        <v>30408</v>
      </c>
      <c r="C227" s="27" t="s">
        <v>648</v>
      </c>
      <c r="D227" s="12" t="s">
        <v>652</v>
      </c>
      <c r="E227" s="507" t="s">
        <v>56</v>
      </c>
      <c r="F227" s="507" t="s">
        <v>57</v>
      </c>
      <c r="G227" s="507" t="s">
        <v>11</v>
      </c>
      <c r="H227" s="19">
        <v>45646</v>
      </c>
      <c r="I227" s="3">
        <v>1500</v>
      </c>
      <c r="J227" s="3" t="s">
        <v>58</v>
      </c>
      <c r="K227" s="429"/>
      <c r="L227" s="450"/>
      <c r="M227" s="507" t="s">
        <v>75</v>
      </c>
      <c r="N227" s="507" t="s">
        <v>75</v>
      </c>
      <c r="O227" s="48"/>
      <c r="P227" s="48"/>
      <c r="Q227" s="507" t="s">
        <v>75</v>
      </c>
      <c r="R227" s="507" t="s">
        <v>75</v>
      </c>
      <c r="S227" s="507" t="s">
        <v>75</v>
      </c>
      <c r="T227" s="507" t="s">
        <v>75</v>
      </c>
      <c r="U227" s="507" t="s">
        <v>75</v>
      </c>
      <c r="V227" s="32"/>
      <c r="W227" s="32"/>
      <c r="X227" s="507" t="s">
        <v>75</v>
      </c>
      <c r="Y227" s="32"/>
      <c r="Z227" s="32"/>
      <c r="AA227" s="32"/>
      <c r="AB227" s="24"/>
      <c r="AC227" s="32"/>
      <c r="AD227" s="664" t="s">
        <v>75</v>
      </c>
      <c r="AE227" s="32"/>
      <c r="AF227" s="664" t="s">
        <v>75</v>
      </c>
      <c r="AG227" s="19">
        <v>45646</v>
      </c>
      <c r="AH227" t="s">
        <v>121</v>
      </c>
      <c r="AI227" s="664" t="s">
        <v>75</v>
      </c>
      <c r="AJ227" s="507" t="s">
        <v>121</v>
      </c>
      <c r="AM227" s="365"/>
    </row>
    <row r="228" spans="1:39" x14ac:dyDescent="0.25">
      <c r="A228" s="1407">
        <v>204</v>
      </c>
      <c r="B228" s="20">
        <v>30416</v>
      </c>
      <c r="C228" s="27" t="s">
        <v>646</v>
      </c>
      <c r="D228" s="12" t="s">
        <v>653</v>
      </c>
      <c r="E228" s="507" t="s">
        <v>56</v>
      </c>
      <c r="F228" s="507" t="s">
        <v>57</v>
      </c>
      <c r="G228" s="507" t="s">
        <v>11</v>
      </c>
      <c r="H228" s="19">
        <v>45714</v>
      </c>
      <c r="I228" s="3">
        <v>1486</v>
      </c>
      <c r="J228" s="3" t="s">
        <v>58</v>
      </c>
      <c r="K228" s="429"/>
      <c r="L228" s="450"/>
      <c r="M228" s="507" t="s">
        <v>75</v>
      </c>
      <c r="N228" s="507" t="s">
        <v>75</v>
      </c>
      <c r="O228" s="33"/>
      <c r="P228" s="33"/>
      <c r="Q228" s="507" t="s">
        <v>75</v>
      </c>
      <c r="R228" s="507" t="s">
        <v>75</v>
      </c>
      <c r="S228" s="507" t="s">
        <v>75</v>
      </c>
      <c r="T228" s="507" t="s">
        <v>75</v>
      </c>
      <c r="U228" s="507" t="s">
        <v>75</v>
      </c>
      <c r="V228" s="32"/>
      <c r="W228" s="32"/>
      <c r="X228" s="507" t="s">
        <v>75</v>
      </c>
      <c r="Y228" s="32"/>
      <c r="Z228" s="32"/>
      <c r="AA228" s="32"/>
      <c r="AB228" s="32"/>
      <c r="AC228" s="32"/>
      <c r="AD228" s="507" t="s">
        <v>75</v>
      </c>
      <c r="AE228" s="32"/>
      <c r="AF228" s="507" t="s">
        <v>75</v>
      </c>
      <c r="AG228" s="413">
        <v>45714</v>
      </c>
      <c r="AH228" s="120" t="s">
        <v>63</v>
      </c>
      <c r="AI228" s="664" t="s">
        <v>75</v>
      </c>
      <c r="AJ228" t="s">
        <v>121</v>
      </c>
      <c r="AK228" s="307"/>
    </row>
    <row r="229" spans="1:39" x14ac:dyDescent="0.25">
      <c r="A229" s="1408"/>
      <c r="B229" s="20">
        <v>30416</v>
      </c>
      <c r="C229" s="27" t="s">
        <v>648</v>
      </c>
      <c r="D229" s="12" t="s">
        <v>654</v>
      </c>
      <c r="E229" s="507" t="s">
        <v>56</v>
      </c>
      <c r="F229" s="507" t="s">
        <v>57</v>
      </c>
      <c r="G229" s="507" t="s">
        <v>11</v>
      </c>
      <c r="H229" s="19">
        <v>45714</v>
      </c>
      <c r="I229" s="3">
        <v>1501</v>
      </c>
      <c r="J229" s="3" t="s">
        <v>58</v>
      </c>
      <c r="K229" s="429"/>
      <c r="L229" s="450"/>
      <c r="M229" s="507" t="s">
        <v>75</v>
      </c>
      <c r="N229" s="507" t="s">
        <v>75</v>
      </c>
      <c r="O229" s="48"/>
      <c r="P229" s="48"/>
      <c r="Q229" s="507" t="s">
        <v>75</v>
      </c>
      <c r="R229" s="507" t="s">
        <v>75</v>
      </c>
      <c r="S229" s="507" t="s">
        <v>75</v>
      </c>
      <c r="T229" s="507" t="s">
        <v>75</v>
      </c>
      <c r="U229" s="507" t="s">
        <v>75</v>
      </c>
      <c r="V229" s="32"/>
      <c r="W229" s="32"/>
      <c r="X229" s="507" t="s">
        <v>75</v>
      </c>
      <c r="Y229" s="32"/>
      <c r="Z229" s="32"/>
      <c r="AA229" s="32"/>
      <c r="AB229" s="32"/>
      <c r="AC229" s="32"/>
      <c r="AD229" s="507" t="s">
        <v>75</v>
      </c>
      <c r="AE229" s="32"/>
      <c r="AF229" s="507" t="s">
        <v>75</v>
      </c>
      <c r="AG229" s="413">
        <v>45714</v>
      </c>
      <c r="AH229" t="s">
        <v>121</v>
      </c>
      <c r="AI229" s="664" t="s">
        <v>75</v>
      </c>
      <c r="AJ229" t="s">
        <v>121</v>
      </c>
      <c r="AK229" s="307"/>
    </row>
    <row r="230" spans="1:39" x14ac:dyDescent="0.25">
      <c r="A230" s="1407">
        <v>205</v>
      </c>
      <c r="B230" s="20">
        <v>30422</v>
      </c>
      <c r="C230" s="27" t="s">
        <v>646</v>
      </c>
      <c r="D230" s="12" t="s">
        <v>655</v>
      </c>
      <c r="E230" s="507" t="s">
        <v>56</v>
      </c>
      <c r="F230" s="507" t="s">
        <v>57</v>
      </c>
      <c r="G230" s="507" t="s">
        <v>11</v>
      </c>
      <c r="H230" s="413">
        <v>45720</v>
      </c>
      <c r="I230" s="3">
        <v>1627</v>
      </c>
      <c r="J230" s="3" t="s">
        <v>58</v>
      </c>
      <c r="K230" s="429"/>
      <c r="L230" s="450"/>
      <c r="M230" s="507" t="s">
        <v>75</v>
      </c>
      <c r="N230" s="507" t="s">
        <v>75</v>
      </c>
      <c r="O230" s="48"/>
      <c r="P230" s="48"/>
      <c r="Q230" s="507" t="s">
        <v>75</v>
      </c>
      <c r="R230" s="507" t="s">
        <v>75</v>
      </c>
      <c r="S230" s="507" t="s">
        <v>75</v>
      </c>
      <c r="T230" s="507" t="s">
        <v>75</v>
      </c>
      <c r="U230" s="507" t="s">
        <v>75</v>
      </c>
      <c r="V230" s="32"/>
      <c r="W230" s="32"/>
      <c r="X230" s="507" t="s">
        <v>75</v>
      </c>
      <c r="Y230" s="32"/>
      <c r="Z230" s="32"/>
      <c r="AA230" s="32"/>
      <c r="AB230" s="32"/>
      <c r="AC230" s="32"/>
      <c r="AD230" s="507" t="s">
        <v>75</v>
      </c>
      <c r="AE230" s="32"/>
      <c r="AF230" s="507" t="s">
        <v>75</v>
      </c>
      <c r="AG230" s="413">
        <v>45720</v>
      </c>
      <c r="AH230" t="s">
        <v>121</v>
      </c>
      <c r="AI230" s="664" t="s">
        <v>75</v>
      </c>
      <c r="AJ230" t="s">
        <v>121</v>
      </c>
    </row>
    <row r="231" spans="1:39" x14ac:dyDescent="0.25">
      <c r="A231" s="1408"/>
      <c r="B231" s="20">
        <v>30422</v>
      </c>
      <c r="C231" s="27" t="s">
        <v>648</v>
      </c>
      <c r="D231" s="12" t="s">
        <v>656</v>
      </c>
      <c r="E231" s="507" t="s">
        <v>56</v>
      </c>
      <c r="F231" s="507" t="s">
        <v>57</v>
      </c>
      <c r="G231" s="507" t="s">
        <v>11</v>
      </c>
      <c r="H231" s="413">
        <v>45720</v>
      </c>
      <c r="I231" s="3">
        <v>1629</v>
      </c>
      <c r="J231" s="3" t="s">
        <v>58</v>
      </c>
      <c r="K231" s="429"/>
      <c r="L231" s="450"/>
      <c r="M231" s="507" t="s">
        <v>75</v>
      </c>
      <c r="N231" s="507" t="s">
        <v>75</v>
      </c>
      <c r="O231" s="48"/>
      <c r="P231" s="48"/>
      <c r="Q231" s="507" t="s">
        <v>75</v>
      </c>
      <c r="R231" s="507" t="s">
        <v>75</v>
      </c>
      <c r="S231" s="507" t="s">
        <v>75</v>
      </c>
      <c r="T231" s="507" t="s">
        <v>75</v>
      </c>
      <c r="U231" s="507" t="s">
        <v>75</v>
      </c>
      <c r="V231" s="32"/>
      <c r="W231" s="32"/>
      <c r="X231" s="507" t="s">
        <v>75</v>
      </c>
      <c r="Y231" s="32"/>
      <c r="Z231" s="32"/>
      <c r="AA231" s="32"/>
      <c r="AB231" s="32"/>
      <c r="AC231" s="32"/>
      <c r="AD231" s="507" t="s">
        <v>75</v>
      </c>
      <c r="AE231" s="32"/>
      <c r="AF231" s="507" t="s">
        <v>75</v>
      </c>
      <c r="AG231" s="413">
        <v>45720</v>
      </c>
      <c r="AH231" t="s">
        <v>121</v>
      </c>
      <c r="AI231" s="664" t="s">
        <v>75</v>
      </c>
      <c r="AJ231" t="s">
        <v>121</v>
      </c>
    </row>
    <row r="484" spans="14:14" x14ac:dyDescent="0.25"/>
    <row r="945" spans="2:2" x14ac:dyDescent="0.25"/>
    <row r="949" spans="2:2" x14ac:dyDescent="0.25"/>
    <row r="1064" spans="2:2" x14ac:dyDescent="0.25"/>
    <row r="1146" spans="2:2" x14ac:dyDescent="0.25"/>
    <row r="1148" spans="2:2" x14ac:dyDescent="0.25"/>
    <row r="1150" spans="2:2" x14ac:dyDescent="0.25"/>
  </sheetData>
  <autoFilter ref="A1:AN231" xr:uid="{C9EC32DF-0BBD-46F0-B122-FF4DDC808DF5}"/>
  <mergeCells count="25">
    <mergeCell ref="A222:A223"/>
    <mergeCell ref="A202:A203"/>
    <mergeCell ref="A204:A205"/>
    <mergeCell ref="A206:A207"/>
    <mergeCell ref="A208:A209"/>
    <mergeCell ref="A214:A215"/>
    <mergeCell ref="A216:A217"/>
    <mergeCell ref="A218:A219"/>
    <mergeCell ref="A220:A221"/>
    <mergeCell ref="A228:A229"/>
    <mergeCell ref="A230:A231"/>
    <mergeCell ref="A210:A211"/>
    <mergeCell ref="A212:A213"/>
    <mergeCell ref="A182:A183"/>
    <mergeCell ref="A184:A185"/>
    <mergeCell ref="A186:A187"/>
    <mergeCell ref="A188:A189"/>
    <mergeCell ref="A190:A191"/>
    <mergeCell ref="A226:A227"/>
    <mergeCell ref="A224:A225"/>
    <mergeCell ref="A192:A193"/>
    <mergeCell ref="A194:A195"/>
    <mergeCell ref="A196:A197"/>
    <mergeCell ref="A198:A199"/>
    <mergeCell ref="A200:A201"/>
  </mergeCells>
  <conditionalFormatting sqref="B1:B175 B182:B187 B202:B209 B214:B223 B232:B1048576">
    <cfRule type="duplicateValues" dxfId="1757" priority="14"/>
  </conditionalFormatting>
  <conditionalFormatting sqref="B1:B209 B214:B223 B232:B1048576">
    <cfRule type="duplicateValues" dxfId="1756" priority="13"/>
  </conditionalFormatting>
  <conditionalFormatting sqref="B2:B49 B51:B63">
    <cfRule type="duplicateValues" dxfId="1755" priority="218"/>
  </conditionalFormatting>
  <conditionalFormatting sqref="B2:B165 B182:B187 B232:B289 B292:B422 B202:B209 B214:B223">
    <cfRule type="duplicateValues" dxfId="1754" priority="221"/>
  </conditionalFormatting>
  <conditionalFormatting sqref="B50">
    <cfRule type="duplicateValues" dxfId="1753" priority="213"/>
  </conditionalFormatting>
  <conditionalFormatting sqref="B64">
    <cfRule type="duplicateValues" dxfId="1752" priority="211"/>
  </conditionalFormatting>
  <conditionalFormatting sqref="B65:B70 B72:B75">
    <cfRule type="duplicateValues" dxfId="1751" priority="217"/>
  </conditionalFormatting>
  <conditionalFormatting sqref="B71">
    <cfRule type="duplicateValues" dxfId="1750" priority="216"/>
  </conditionalFormatting>
  <conditionalFormatting sqref="B76:B80 B86:B104 B106:B165">
    <cfRule type="duplicateValues" dxfId="1749" priority="215"/>
  </conditionalFormatting>
  <conditionalFormatting sqref="B81:B85">
    <cfRule type="duplicateValues" dxfId="1748" priority="214"/>
  </conditionalFormatting>
  <conditionalFormatting sqref="B105">
    <cfRule type="duplicateValues" dxfId="1747" priority="210"/>
  </conditionalFormatting>
  <conditionalFormatting sqref="B182:B187">
    <cfRule type="duplicateValues" dxfId="1746" priority="212"/>
  </conditionalFormatting>
  <conditionalFormatting sqref="B202:B209 B232:B269 B271:B289 B292:B341 B214:B223">
    <cfRule type="duplicateValues" dxfId="1745" priority="220"/>
  </conditionalFormatting>
  <conditionalFormatting sqref="B224:B225">
    <cfRule type="duplicateValues" dxfId="1744" priority="11"/>
    <cfRule type="duplicateValues" dxfId="1743" priority="9"/>
    <cfRule type="duplicateValues" dxfId="1742" priority="10"/>
    <cfRule type="duplicateValues" dxfId="1741" priority="12"/>
  </conditionalFormatting>
  <conditionalFormatting sqref="B226:B227">
    <cfRule type="duplicateValues" dxfId="1740" priority="8"/>
    <cfRule type="duplicateValues" dxfId="1739" priority="6"/>
    <cfRule type="duplicateValues" dxfId="1738" priority="5"/>
    <cfRule type="duplicateValues" dxfId="1737" priority="7"/>
  </conditionalFormatting>
  <conditionalFormatting sqref="B228:B231">
    <cfRule type="duplicateValues" dxfId="1736" priority="2"/>
    <cfRule type="duplicateValues" dxfId="1735" priority="3"/>
    <cfRule type="duplicateValues" dxfId="1734" priority="1"/>
    <cfRule type="duplicateValues" dxfId="1733" priority="4"/>
  </conditionalFormatting>
  <conditionalFormatting sqref="B270">
    <cfRule type="duplicateValues" dxfId="1732" priority="209"/>
  </conditionalFormatting>
  <conditionalFormatting sqref="B290">
    <cfRule type="duplicateValues" dxfId="1731" priority="193"/>
  </conditionalFormatting>
  <conditionalFormatting sqref="B342:B401">
    <cfRule type="duplicateValues" dxfId="1730" priority="219"/>
  </conditionalFormatting>
  <conditionalFormatting sqref="B740:B766 B768:B777 B780:B797 B805:B847">
    <cfRule type="duplicateValues" dxfId="1729" priority="206"/>
  </conditionalFormatting>
  <conditionalFormatting sqref="B740:B777 B780:B797 B805:B868 B871:B886 B889:B936 B941:B974 B976:B977 B984 B986:B989 B992:B995 B1001 B1005 B1007:B1010">
    <cfRule type="duplicateValues" dxfId="1728" priority="208"/>
  </conditionalFormatting>
  <conditionalFormatting sqref="B767">
    <cfRule type="duplicateValues" dxfId="1727" priority="205"/>
  </conditionalFormatting>
  <conditionalFormatting sqref="B778:B779">
    <cfRule type="duplicateValues" dxfId="1726" priority="204"/>
    <cfRule type="duplicateValues" dxfId="1725" priority="203"/>
  </conditionalFormatting>
  <conditionalFormatting sqref="B798:B804">
    <cfRule type="duplicateValues" dxfId="1724" priority="152"/>
    <cfRule type="duplicateValues" dxfId="1723" priority="151"/>
  </conditionalFormatting>
  <conditionalFormatting sqref="B848:B868 B871:B886 B889:B925">
    <cfRule type="duplicateValues" dxfId="1722" priority="207"/>
  </conditionalFormatting>
  <conditionalFormatting sqref="B869:B870">
    <cfRule type="duplicateValues" dxfId="1721" priority="202"/>
    <cfRule type="duplicateValues" dxfId="1720" priority="201"/>
  </conditionalFormatting>
  <conditionalFormatting sqref="B887:B888">
    <cfRule type="duplicateValues" dxfId="1719" priority="200"/>
    <cfRule type="duplicateValues" dxfId="1718" priority="199"/>
  </conditionalFormatting>
  <conditionalFormatting sqref="B937:B938">
    <cfRule type="duplicateValues" dxfId="1717" priority="197"/>
  </conditionalFormatting>
  <conditionalFormatting sqref="B939:B940">
    <cfRule type="duplicateValues" dxfId="1716" priority="198"/>
  </conditionalFormatting>
  <conditionalFormatting sqref="B975">
    <cfRule type="duplicateValues" dxfId="1715" priority="160"/>
  </conditionalFormatting>
  <conditionalFormatting sqref="B978">
    <cfRule type="duplicateValues" dxfId="1714" priority="161"/>
  </conditionalFormatting>
  <conditionalFormatting sqref="B979">
    <cfRule type="duplicateValues" dxfId="1713" priority="175"/>
    <cfRule type="duplicateValues" dxfId="1712" priority="176"/>
    <cfRule type="duplicateValues" dxfId="1711" priority="172"/>
    <cfRule type="duplicateValues" dxfId="1710" priority="173"/>
    <cfRule type="duplicateValues" dxfId="1709" priority="174"/>
  </conditionalFormatting>
  <conditionalFormatting sqref="B980">
    <cfRule type="duplicateValues" dxfId="1708" priority="166"/>
  </conditionalFormatting>
  <conditionalFormatting sqref="B981">
    <cfRule type="duplicateValues" dxfId="1707" priority="167"/>
    <cfRule type="duplicateValues" dxfId="1706" priority="168"/>
    <cfRule type="duplicateValues" dxfId="1705" priority="169"/>
    <cfRule type="duplicateValues" dxfId="1704" priority="170"/>
    <cfRule type="duplicateValues" dxfId="1703" priority="171"/>
  </conditionalFormatting>
  <conditionalFormatting sqref="B982">
    <cfRule type="duplicateValues" dxfId="1702" priority="165"/>
  </conditionalFormatting>
  <conditionalFormatting sqref="B983">
    <cfRule type="duplicateValues" dxfId="1701" priority="164"/>
  </conditionalFormatting>
  <conditionalFormatting sqref="B985">
    <cfRule type="duplicateValues" dxfId="1700" priority="163"/>
  </conditionalFormatting>
  <conditionalFormatting sqref="B990">
    <cfRule type="duplicateValues" dxfId="1699" priority="196"/>
  </conditionalFormatting>
  <conditionalFormatting sqref="B991">
    <cfRule type="duplicateValues" dxfId="1698" priority="186"/>
  </conditionalFormatting>
  <conditionalFormatting sqref="B996">
    <cfRule type="duplicateValues" dxfId="1697" priority="194"/>
  </conditionalFormatting>
  <conditionalFormatting sqref="B997:B998">
    <cfRule type="duplicateValues" dxfId="1696" priority="195"/>
  </conditionalFormatting>
  <conditionalFormatting sqref="B999">
    <cfRule type="duplicateValues" dxfId="1695" priority="128"/>
  </conditionalFormatting>
  <conditionalFormatting sqref="B1000">
    <cfRule type="duplicateValues" dxfId="1694" priority="125"/>
    <cfRule type="duplicateValues" dxfId="1693" priority="119"/>
    <cfRule type="duplicateValues" dxfId="1692" priority="126"/>
    <cfRule type="duplicateValues" dxfId="1691" priority="123"/>
    <cfRule type="duplicateValues" dxfId="1690" priority="124"/>
    <cfRule type="duplicateValues" dxfId="1689" priority="122"/>
    <cfRule type="duplicateValues" dxfId="1688" priority="127"/>
    <cfRule type="duplicateValues" dxfId="1687" priority="120"/>
    <cfRule type="duplicateValues" dxfId="1686" priority="121"/>
  </conditionalFormatting>
  <conditionalFormatting sqref="B1002">
    <cfRule type="duplicateValues" dxfId="1685" priority="113"/>
    <cfRule type="duplicateValues" dxfId="1684" priority="114"/>
    <cfRule type="duplicateValues" dxfId="1683" priority="115"/>
    <cfRule type="duplicateValues" dxfId="1682" priority="116"/>
    <cfRule type="duplicateValues" dxfId="1681" priority="117"/>
    <cfRule type="duplicateValues" dxfId="1680" priority="118"/>
    <cfRule type="duplicateValues" dxfId="1679" priority="110"/>
    <cfRule type="duplicateValues" dxfId="1678" priority="111"/>
    <cfRule type="duplicateValues" dxfId="1677" priority="112"/>
  </conditionalFormatting>
  <conditionalFormatting sqref="B1003">
    <cfRule type="duplicateValues" dxfId="1676" priority="109"/>
  </conditionalFormatting>
  <conditionalFormatting sqref="B1004">
    <cfRule type="duplicateValues" dxfId="1675" priority="108"/>
  </conditionalFormatting>
  <conditionalFormatting sqref="B1006">
    <cfRule type="duplicateValues" dxfId="1674" priority="104"/>
    <cfRule type="duplicateValues" dxfId="1673" priority="103"/>
    <cfRule type="duplicateValues" dxfId="1672" priority="102"/>
    <cfRule type="duplicateValues" dxfId="1671" priority="100"/>
    <cfRule type="duplicateValues" dxfId="1670" priority="106"/>
    <cfRule type="duplicateValues" dxfId="1669" priority="101"/>
    <cfRule type="duplicateValues" dxfId="1668" priority="105"/>
  </conditionalFormatting>
  <conditionalFormatting sqref="B1011">
    <cfRule type="duplicateValues" dxfId="1667" priority="99"/>
  </conditionalFormatting>
  <conditionalFormatting sqref="B1012">
    <cfRule type="duplicateValues" dxfId="1666" priority="98"/>
  </conditionalFormatting>
  <conditionalFormatting sqref="B1013">
    <cfRule type="duplicateValues" dxfId="1665" priority="107"/>
  </conditionalFormatting>
  <conditionalFormatting sqref="B1014">
    <cfRule type="duplicateValues" dxfId="1664" priority="97"/>
  </conditionalFormatting>
  <conditionalFormatting sqref="B1015">
    <cfRule type="duplicateValues" dxfId="1663" priority="94"/>
    <cfRule type="duplicateValues" dxfId="1662" priority="93"/>
    <cfRule type="duplicateValues" dxfId="1661" priority="96"/>
    <cfRule type="duplicateValues" dxfId="1660" priority="95"/>
    <cfRule type="duplicateValues" dxfId="1659" priority="92"/>
  </conditionalFormatting>
  <conditionalFormatting sqref="B1016">
    <cfRule type="duplicateValues" dxfId="1658" priority="90"/>
    <cfRule type="duplicateValues" dxfId="1657" priority="91"/>
    <cfRule type="duplicateValues" dxfId="1656" priority="89"/>
    <cfRule type="duplicateValues" dxfId="1655" priority="88"/>
    <cfRule type="duplicateValues" dxfId="1654" priority="87"/>
  </conditionalFormatting>
  <conditionalFormatting sqref="B1017">
    <cfRule type="duplicateValues" dxfId="1653" priority="86"/>
  </conditionalFormatting>
  <conditionalFormatting sqref="B1018">
    <cfRule type="duplicateValues" dxfId="1652" priority="85"/>
  </conditionalFormatting>
  <conditionalFormatting sqref="B1024">
    <cfRule type="duplicateValues" dxfId="1651" priority="162"/>
  </conditionalFormatting>
  <conditionalFormatting sqref="B1025">
    <cfRule type="duplicateValues" dxfId="1650" priority="84"/>
  </conditionalFormatting>
  <conditionalFormatting sqref="B1026">
    <cfRule type="duplicateValues" dxfId="1649" priority="82"/>
  </conditionalFormatting>
  <conditionalFormatting sqref="B1027">
    <cfRule type="duplicateValues" dxfId="1648" priority="81"/>
  </conditionalFormatting>
  <conditionalFormatting sqref="B1028">
    <cfRule type="duplicateValues" dxfId="1647" priority="79"/>
  </conditionalFormatting>
  <conditionalFormatting sqref="B1031">
    <cfRule type="duplicateValues" dxfId="1646" priority="77"/>
  </conditionalFormatting>
  <conditionalFormatting sqref="B1032">
    <cfRule type="duplicateValues" dxfId="1645" priority="75"/>
  </conditionalFormatting>
  <conditionalFormatting sqref="B1033:B1034">
    <cfRule type="duplicateValues" dxfId="1644" priority="74"/>
  </conditionalFormatting>
  <conditionalFormatting sqref="B1035">
    <cfRule type="duplicateValues" dxfId="1643" priority="72"/>
  </conditionalFormatting>
  <conditionalFormatting sqref="B1036">
    <cfRule type="duplicateValues" dxfId="1642" priority="70"/>
  </conditionalFormatting>
  <conditionalFormatting sqref="B1037">
    <cfRule type="duplicateValues" dxfId="1641" priority="68"/>
  </conditionalFormatting>
  <conditionalFormatting sqref="B1038">
    <cfRule type="duplicateValues" dxfId="1640" priority="66"/>
  </conditionalFormatting>
  <conditionalFormatting sqref="B1039">
    <cfRule type="duplicateValues" dxfId="1639" priority="64"/>
  </conditionalFormatting>
  <conditionalFormatting sqref="B1040">
    <cfRule type="duplicateValues" dxfId="1638" priority="153"/>
  </conditionalFormatting>
  <conditionalFormatting sqref="B1041">
    <cfRule type="duplicateValues" dxfId="1637" priority="62"/>
  </conditionalFormatting>
  <conditionalFormatting sqref="B1042">
    <cfRule type="duplicateValues" dxfId="1636" priority="60"/>
  </conditionalFormatting>
  <conditionalFormatting sqref="B1044 B1046 B1150:B1151 B1088:C1103 B1132:C1133 B1152:C1152 B1155:C1048576 C1040 C1044:C1047 C1051:C1057 C1071 C1082:C1087">
    <cfRule type="duplicateValues" dxfId="1635" priority="374"/>
  </conditionalFormatting>
  <conditionalFormatting sqref="B1051">
    <cfRule type="duplicateValues" dxfId="1634" priority="58"/>
  </conditionalFormatting>
  <conditionalFormatting sqref="B1052">
    <cfRule type="duplicateValues" dxfId="1633" priority="57"/>
  </conditionalFormatting>
  <conditionalFormatting sqref="B1053">
    <cfRule type="duplicateValues" dxfId="1632" priority="185"/>
    <cfRule type="duplicateValues" dxfId="1631" priority="184"/>
    <cfRule type="duplicateValues" dxfId="1630" priority="183"/>
    <cfRule type="duplicateValues" dxfId="1629" priority="181"/>
    <cfRule type="duplicateValues" dxfId="1628" priority="180"/>
    <cfRule type="duplicateValues" dxfId="1627" priority="179"/>
    <cfRule type="duplicateValues" dxfId="1626" priority="178"/>
    <cfRule type="duplicateValues" dxfId="1625" priority="182"/>
    <cfRule type="duplicateValues" dxfId="1624" priority="177"/>
  </conditionalFormatting>
  <conditionalFormatting sqref="B1054">
    <cfRule type="duplicateValues" dxfId="1623" priority="159"/>
  </conditionalFormatting>
  <conditionalFormatting sqref="B1055">
    <cfRule type="duplicateValues" dxfId="1622" priority="56"/>
  </conditionalFormatting>
  <conditionalFormatting sqref="B1056">
    <cfRule type="duplicateValues" dxfId="1621" priority="55"/>
  </conditionalFormatting>
  <conditionalFormatting sqref="B1057">
    <cfRule type="duplicateValues" dxfId="1620" priority="54"/>
  </conditionalFormatting>
  <conditionalFormatting sqref="B1058">
    <cfRule type="duplicateValues" dxfId="1619" priority="188"/>
  </conditionalFormatting>
  <conditionalFormatting sqref="B1059">
    <cfRule type="duplicateValues" dxfId="1618" priority="52"/>
    <cfRule type="duplicateValues" dxfId="1617" priority="53"/>
  </conditionalFormatting>
  <conditionalFormatting sqref="B1060">
    <cfRule type="duplicateValues" dxfId="1616" priority="48"/>
    <cfRule type="duplicateValues" dxfId="1615" priority="49"/>
  </conditionalFormatting>
  <conditionalFormatting sqref="B1061">
    <cfRule type="duplicateValues" dxfId="1614" priority="45"/>
    <cfRule type="duplicateValues" dxfId="1613" priority="44"/>
    <cfRule type="duplicateValues" dxfId="1612" priority="47"/>
    <cfRule type="duplicateValues" dxfId="1611" priority="46"/>
    <cfRule type="duplicateValues" dxfId="1610" priority="43"/>
    <cfRule type="duplicateValues" dxfId="1609" priority="42"/>
    <cfRule type="duplicateValues" dxfId="1608" priority="41"/>
  </conditionalFormatting>
  <conditionalFormatting sqref="B1062">
    <cfRule type="duplicateValues" dxfId="1607" priority="139"/>
  </conditionalFormatting>
  <conditionalFormatting sqref="B1063">
    <cfRule type="duplicateValues" dxfId="1606" priority="140"/>
  </conditionalFormatting>
  <conditionalFormatting sqref="B1064">
    <cfRule type="duplicateValues" dxfId="1605" priority="39"/>
  </conditionalFormatting>
  <conditionalFormatting sqref="B1065">
    <cfRule type="duplicateValues" dxfId="1604" priority="37"/>
  </conditionalFormatting>
  <conditionalFormatting sqref="B1066">
    <cfRule type="duplicateValues" dxfId="1603" priority="141"/>
  </conditionalFormatting>
  <conditionalFormatting sqref="B1067">
    <cfRule type="duplicateValues" dxfId="1602" priority="142"/>
  </conditionalFormatting>
  <conditionalFormatting sqref="B1068">
    <cfRule type="duplicateValues" dxfId="1601" priority="35"/>
  </conditionalFormatting>
  <conditionalFormatting sqref="B1069">
    <cfRule type="duplicateValues" dxfId="1600" priority="33"/>
  </conditionalFormatting>
  <conditionalFormatting sqref="B1070">
    <cfRule type="duplicateValues" dxfId="1599" priority="31"/>
  </conditionalFormatting>
  <conditionalFormatting sqref="B1071 B1082">
    <cfRule type="duplicateValues" dxfId="1598" priority="156"/>
  </conditionalFormatting>
  <conditionalFormatting sqref="B1072">
    <cfRule type="duplicateValues" dxfId="1597" priority="133"/>
  </conditionalFormatting>
  <conditionalFormatting sqref="B1073">
    <cfRule type="duplicateValues" dxfId="1596" priority="134"/>
  </conditionalFormatting>
  <conditionalFormatting sqref="B1074">
    <cfRule type="duplicateValues" dxfId="1595" priority="129"/>
  </conditionalFormatting>
  <conditionalFormatting sqref="B1075">
    <cfRule type="duplicateValues" dxfId="1594" priority="135"/>
  </conditionalFormatting>
  <conditionalFormatting sqref="B1076">
    <cfRule type="duplicateValues" dxfId="1593" priority="136"/>
  </conditionalFormatting>
  <conditionalFormatting sqref="B1077">
    <cfRule type="duplicateValues" dxfId="1592" priority="29"/>
  </conditionalFormatting>
  <conditionalFormatting sqref="B1078">
    <cfRule type="duplicateValues" dxfId="1591" priority="137"/>
  </conditionalFormatting>
  <conditionalFormatting sqref="B1079:B1080">
    <cfRule type="duplicateValues" dxfId="1590" priority="132"/>
  </conditionalFormatting>
  <conditionalFormatting sqref="B1081">
    <cfRule type="duplicateValues" dxfId="1589" priority="138"/>
  </conditionalFormatting>
  <conditionalFormatting sqref="B1083:B1084">
    <cfRule type="duplicateValues" dxfId="1588" priority="155"/>
  </conditionalFormatting>
  <conditionalFormatting sqref="B1085">
    <cfRule type="duplicateValues" dxfId="1587" priority="158"/>
  </conditionalFormatting>
  <conditionalFormatting sqref="B1086">
    <cfRule type="duplicateValues" dxfId="1586" priority="157"/>
  </conditionalFormatting>
  <conditionalFormatting sqref="B1153:B1154 F1154">
    <cfRule type="duplicateValues" dxfId="1585" priority="16"/>
  </conditionalFormatting>
  <conditionalFormatting sqref="B1153:B1154">
    <cfRule type="duplicateValues" dxfId="1584" priority="17"/>
  </conditionalFormatting>
  <conditionalFormatting sqref="B1019:C1023 C1024:C1025 C1031">
    <cfRule type="duplicateValues" dxfId="1583" priority="384"/>
  </conditionalFormatting>
  <conditionalFormatting sqref="B1029:C1029">
    <cfRule type="duplicateValues" dxfId="1582" priority="149"/>
  </conditionalFormatting>
  <conditionalFormatting sqref="B1030:C1030">
    <cfRule type="duplicateValues" dxfId="1581" priority="150"/>
  </conditionalFormatting>
  <conditionalFormatting sqref="B1043:C1043">
    <cfRule type="duplicateValues" dxfId="1580" priority="131"/>
  </conditionalFormatting>
  <conditionalFormatting sqref="B1134:C1135">
    <cfRule type="duplicateValues" dxfId="1579" priority="28"/>
  </conditionalFormatting>
  <conditionalFormatting sqref="B1136:C1137">
    <cfRule type="duplicateValues" dxfId="1578" priority="27"/>
  </conditionalFormatting>
  <conditionalFormatting sqref="B1138:C1139">
    <cfRule type="duplicateValues" dxfId="1577" priority="26"/>
  </conditionalFormatting>
  <conditionalFormatting sqref="B1140:C1141">
    <cfRule type="duplicateValues" dxfId="1576" priority="25"/>
  </conditionalFormatting>
  <conditionalFormatting sqref="B1142:C1143">
    <cfRule type="duplicateValues" dxfId="1575" priority="24"/>
  </conditionalFormatting>
  <conditionalFormatting sqref="B1144:C1145">
    <cfRule type="duplicateValues" dxfId="1574" priority="23"/>
  </conditionalFormatting>
  <conditionalFormatting sqref="B1146:C1147">
    <cfRule type="duplicateValues" dxfId="1573" priority="22"/>
  </conditionalFormatting>
  <conditionalFormatting sqref="B1148:C1149">
    <cfRule type="duplicateValues" dxfId="1572" priority="21"/>
  </conditionalFormatting>
  <conditionalFormatting sqref="C290">
    <cfRule type="duplicateValues" dxfId="1571" priority="192"/>
  </conditionalFormatting>
  <conditionalFormatting sqref="C291">
    <cfRule type="duplicateValues" dxfId="1570" priority="191"/>
  </conditionalFormatting>
  <conditionalFormatting sqref="C1026">
    <cfRule type="duplicateValues" dxfId="1569" priority="83"/>
  </conditionalFormatting>
  <conditionalFormatting sqref="C1027">
    <cfRule type="duplicateValues" dxfId="1568" priority="80"/>
  </conditionalFormatting>
  <conditionalFormatting sqref="C1028">
    <cfRule type="duplicateValues" dxfId="1567" priority="78"/>
  </conditionalFormatting>
  <conditionalFormatting sqref="C1032">
    <cfRule type="duplicateValues" dxfId="1566" priority="76"/>
  </conditionalFormatting>
  <conditionalFormatting sqref="C1033:C1034">
    <cfRule type="duplicateValues" dxfId="1565" priority="73"/>
  </conditionalFormatting>
  <conditionalFormatting sqref="C1035">
    <cfRule type="duplicateValues" dxfId="1564" priority="71"/>
  </conditionalFormatting>
  <conditionalFormatting sqref="C1036">
    <cfRule type="duplicateValues" dxfId="1563" priority="69"/>
  </conditionalFormatting>
  <conditionalFormatting sqref="C1037">
    <cfRule type="duplicateValues" dxfId="1562" priority="67"/>
  </conditionalFormatting>
  <conditionalFormatting sqref="C1038">
    <cfRule type="duplicateValues" dxfId="1561" priority="65"/>
  </conditionalFormatting>
  <conditionalFormatting sqref="C1039">
    <cfRule type="duplicateValues" dxfId="1560" priority="63"/>
  </conditionalFormatting>
  <conditionalFormatting sqref="C1041">
    <cfRule type="duplicateValues" dxfId="1559" priority="61"/>
  </conditionalFormatting>
  <conditionalFormatting sqref="C1042">
    <cfRule type="duplicateValues" dxfId="1558" priority="59"/>
  </conditionalFormatting>
  <conditionalFormatting sqref="C1048">
    <cfRule type="duplicateValues" dxfId="1557" priority="143"/>
  </conditionalFormatting>
  <conditionalFormatting sqref="C1049">
    <cfRule type="duplicateValues" dxfId="1556" priority="144"/>
  </conditionalFormatting>
  <conditionalFormatting sqref="C1050">
    <cfRule type="duplicateValues" dxfId="1555" priority="145"/>
  </conditionalFormatting>
  <conditionalFormatting sqref="C1059">
    <cfRule type="duplicateValues" dxfId="1554" priority="51"/>
  </conditionalFormatting>
  <conditionalFormatting sqref="C1060">
    <cfRule type="duplicateValues" dxfId="1553" priority="50"/>
  </conditionalFormatting>
  <conditionalFormatting sqref="C1061">
    <cfRule type="duplicateValues" dxfId="1552" priority="40"/>
  </conditionalFormatting>
  <conditionalFormatting sqref="C1064">
    <cfRule type="duplicateValues" dxfId="1551" priority="38"/>
  </conditionalFormatting>
  <conditionalFormatting sqref="C1065">
    <cfRule type="duplicateValues" dxfId="1550" priority="36"/>
  </conditionalFormatting>
  <conditionalFormatting sqref="C1068">
    <cfRule type="duplicateValues" dxfId="1549" priority="34"/>
  </conditionalFormatting>
  <conditionalFormatting sqref="C1069">
    <cfRule type="duplicateValues" dxfId="1548" priority="32"/>
  </conditionalFormatting>
  <conditionalFormatting sqref="C1070">
    <cfRule type="duplicateValues" dxfId="1547" priority="30"/>
  </conditionalFormatting>
  <conditionalFormatting sqref="C1150:C1151">
    <cfRule type="duplicateValues" dxfId="1546" priority="20"/>
  </conditionalFormatting>
  <conditionalFormatting sqref="D2:D3">
    <cfRule type="duplicateValues" dxfId="1545" priority="308"/>
  </conditionalFormatting>
  <conditionalFormatting sqref="D4:D5">
    <cfRule type="duplicateValues" dxfId="1544" priority="307"/>
  </conditionalFormatting>
  <conditionalFormatting sqref="D6:D7">
    <cfRule type="duplicateValues" dxfId="1543" priority="306"/>
  </conditionalFormatting>
  <conditionalFormatting sqref="D8">
    <cfRule type="duplicateValues" dxfId="1542" priority="305"/>
  </conditionalFormatting>
  <conditionalFormatting sqref="D9:D10">
    <cfRule type="duplicateValues" dxfId="1541" priority="304"/>
  </conditionalFormatting>
  <conditionalFormatting sqref="D11">
    <cfRule type="duplicateValues" dxfId="1540" priority="303"/>
  </conditionalFormatting>
  <conditionalFormatting sqref="D12:D13">
    <cfRule type="duplicateValues" dxfId="1539" priority="15"/>
  </conditionalFormatting>
  <conditionalFormatting sqref="D14">
    <cfRule type="duplicateValues" dxfId="1538" priority="302"/>
  </conditionalFormatting>
  <conditionalFormatting sqref="D15:D16">
    <cfRule type="duplicateValues" dxfId="1537" priority="301"/>
  </conditionalFormatting>
  <conditionalFormatting sqref="D17:D18">
    <cfRule type="duplicateValues" dxfId="1536" priority="300"/>
  </conditionalFormatting>
  <conditionalFormatting sqref="D19:D20">
    <cfRule type="duplicateValues" dxfId="1535" priority="299"/>
  </conditionalFormatting>
  <conditionalFormatting sqref="D21:D22">
    <cfRule type="duplicateValues" dxfId="1534" priority="298"/>
  </conditionalFormatting>
  <conditionalFormatting sqref="D23">
    <cfRule type="duplicateValues" dxfId="1533" priority="297"/>
  </conditionalFormatting>
  <conditionalFormatting sqref="D24">
    <cfRule type="duplicateValues" dxfId="1532" priority="296"/>
  </conditionalFormatting>
  <conditionalFormatting sqref="D25:D26">
    <cfRule type="duplicateValues" dxfId="1531" priority="295"/>
  </conditionalFormatting>
  <conditionalFormatting sqref="D27:D28">
    <cfRule type="duplicateValues" dxfId="1530" priority="294"/>
  </conditionalFormatting>
  <conditionalFormatting sqref="D30">
    <cfRule type="duplicateValues" dxfId="1529" priority="372"/>
  </conditionalFormatting>
  <conditionalFormatting sqref="D30:D31">
    <cfRule type="duplicateValues" dxfId="1528" priority="373"/>
  </conditionalFormatting>
  <conditionalFormatting sqref="D31">
    <cfRule type="duplicateValues" dxfId="1527" priority="371"/>
  </conditionalFormatting>
  <conditionalFormatting sqref="D32">
    <cfRule type="duplicateValues" dxfId="1526" priority="369"/>
  </conditionalFormatting>
  <conditionalFormatting sqref="D32:D33">
    <cfRule type="duplicateValues" dxfId="1525" priority="370"/>
  </conditionalFormatting>
  <conditionalFormatting sqref="D33">
    <cfRule type="duplicateValues" dxfId="1524" priority="368"/>
  </conditionalFormatting>
  <conditionalFormatting sqref="D34">
    <cfRule type="duplicateValues" dxfId="1523" priority="366"/>
  </conditionalFormatting>
  <conditionalFormatting sqref="D34:D35">
    <cfRule type="duplicateValues" dxfId="1522" priority="367"/>
  </conditionalFormatting>
  <conditionalFormatting sqref="D35">
    <cfRule type="duplicateValues" dxfId="1521" priority="365"/>
  </conditionalFormatting>
  <conditionalFormatting sqref="D43">
    <cfRule type="duplicateValues" dxfId="1520" priority="293"/>
  </conditionalFormatting>
  <conditionalFormatting sqref="D46">
    <cfRule type="duplicateValues" dxfId="1519" priority="363"/>
  </conditionalFormatting>
  <conditionalFormatting sqref="D46:D47">
    <cfRule type="duplicateValues" dxfId="1518" priority="364"/>
  </conditionalFormatting>
  <conditionalFormatting sqref="D47">
    <cfRule type="duplicateValues" dxfId="1517" priority="362"/>
  </conditionalFormatting>
  <conditionalFormatting sqref="D48">
    <cfRule type="duplicateValues" dxfId="1516" priority="360"/>
  </conditionalFormatting>
  <conditionalFormatting sqref="D48:D49">
    <cfRule type="duplicateValues" dxfId="1515" priority="361"/>
  </conditionalFormatting>
  <conditionalFormatting sqref="D49">
    <cfRule type="duplicateValues" dxfId="1514" priority="359"/>
  </conditionalFormatting>
  <conditionalFormatting sqref="D50">
    <cfRule type="duplicateValues" dxfId="1513" priority="357"/>
  </conditionalFormatting>
  <conditionalFormatting sqref="D50:D51">
    <cfRule type="duplicateValues" dxfId="1512" priority="358"/>
  </conditionalFormatting>
  <conditionalFormatting sqref="D51">
    <cfRule type="duplicateValues" dxfId="1511" priority="356"/>
  </conditionalFormatting>
  <conditionalFormatting sqref="D62">
    <cfRule type="duplicateValues" dxfId="1510" priority="354"/>
  </conditionalFormatting>
  <conditionalFormatting sqref="D62:D63">
    <cfRule type="duplicateValues" dxfId="1509" priority="355"/>
  </conditionalFormatting>
  <conditionalFormatting sqref="D63">
    <cfRule type="duplicateValues" dxfId="1508" priority="353"/>
  </conditionalFormatting>
  <conditionalFormatting sqref="D72">
    <cfRule type="duplicateValues" dxfId="1507" priority="352"/>
  </conditionalFormatting>
  <conditionalFormatting sqref="D73">
    <cfRule type="duplicateValues" dxfId="1506" priority="351"/>
  </conditionalFormatting>
  <conditionalFormatting sqref="D80">
    <cfRule type="duplicateValues" dxfId="1505" priority="349"/>
  </conditionalFormatting>
  <conditionalFormatting sqref="D81">
    <cfRule type="duplicateValues" dxfId="1504" priority="350"/>
  </conditionalFormatting>
  <conditionalFormatting sqref="D84:D85">
    <cfRule type="duplicateValues" dxfId="1503" priority="292"/>
  </conditionalFormatting>
  <conditionalFormatting sqref="D87">
    <cfRule type="duplicateValues" dxfId="1502" priority="291"/>
  </conditionalFormatting>
  <conditionalFormatting sqref="D88">
    <cfRule type="duplicateValues" dxfId="1501" priority="290"/>
  </conditionalFormatting>
  <conditionalFormatting sqref="D102">
    <cfRule type="duplicateValues" dxfId="1500" priority="289"/>
  </conditionalFormatting>
  <conditionalFormatting sqref="D103">
    <cfRule type="duplicateValues" dxfId="1499" priority="288"/>
  </conditionalFormatting>
  <conditionalFormatting sqref="D108">
    <cfRule type="duplicateValues" dxfId="1498" priority="285"/>
  </conditionalFormatting>
  <conditionalFormatting sqref="D113:D114">
    <cfRule type="duplicateValues" dxfId="1497" priority="312"/>
  </conditionalFormatting>
  <conditionalFormatting sqref="D115 D117">
    <cfRule type="duplicateValues" dxfId="1496" priority="311"/>
  </conditionalFormatting>
  <conditionalFormatting sqref="D116">
    <cfRule type="duplicateValues" dxfId="1495" priority="284"/>
  </conditionalFormatting>
  <conditionalFormatting sqref="D132:D133">
    <cfRule type="duplicateValues" dxfId="1494" priority="283"/>
  </conditionalFormatting>
  <conditionalFormatting sqref="D140">
    <cfRule type="duplicateValues" dxfId="1493" priority="376"/>
  </conditionalFormatting>
  <conditionalFormatting sqref="D140:D141">
    <cfRule type="duplicateValues" dxfId="1492" priority="375"/>
  </conditionalFormatting>
  <conditionalFormatting sqref="D141">
    <cfRule type="duplicateValues" dxfId="1491" priority="377"/>
  </conditionalFormatting>
  <conditionalFormatting sqref="D144">
    <cfRule type="duplicateValues" dxfId="1490" priority="282"/>
  </conditionalFormatting>
  <conditionalFormatting sqref="D156">
    <cfRule type="duplicateValues" dxfId="1489" priority="281"/>
  </conditionalFormatting>
  <conditionalFormatting sqref="D158">
    <cfRule type="duplicateValues" dxfId="1488" priority="280"/>
  </conditionalFormatting>
  <conditionalFormatting sqref="D245:D246">
    <cfRule type="duplicateValues" dxfId="1487" priority="314"/>
  </conditionalFormatting>
  <conditionalFormatting sqref="D247:D248">
    <cfRule type="duplicateValues" dxfId="1486" priority="313"/>
  </conditionalFormatting>
  <conditionalFormatting sqref="D269:D270">
    <cfRule type="duplicateValues" dxfId="1485" priority="342"/>
  </conditionalFormatting>
  <conditionalFormatting sqref="D271:D272">
    <cfRule type="duplicateValues" dxfId="1484" priority="341"/>
  </conditionalFormatting>
  <conditionalFormatting sqref="D273:D274">
    <cfRule type="duplicateValues" dxfId="1483" priority="340"/>
  </conditionalFormatting>
  <conditionalFormatting sqref="D275:D276">
    <cfRule type="duplicateValues" dxfId="1482" priority="339"/>
  </conditionalFormatting>
  <conditionalFormatting sqref="D277:D278">
    <cfRule type="duplicateValues" dxfId="1481" priority="347"/>
  </conditionalFormatting>
  <conditionalFormatting sqref="D279:D280">
    <cfRule type="duplicateValues" dxfId="1480" priority="346"/>
  </conditionalFormatting>
  <conditionalFormatting sqref="D281:D282">
    <cfRule type="duplicateValues" dxfId="1479" priority="345"/>
  </conditionalFormatting>
  <conditionalFormatting sqref="D283:D284">
    <cfRule type="duplicateValues" dxfId="1478" priority="344"/>
  </conditionalFormatting>
  <conditionalFormatting sqref="D285">
    <cfRule type="duplicateValues" dxfId="1477" priority="276"/>
  </conditionalFormatting>
  <conditionalFormatting sqref="D286">
    <cfRule type="duplicateValues" dxfId="1476" priority="343"/>
  </conditionalFormatting>
  <conditionalFormatting sqref="D287:D288 D290:D318">
    <cfRule type="duplicateValues" dxfId="1475" priority="381"/>
  </conditionalFormatting>
  <conditionalFormatting sqref="D289">
    <cfRule type="duplicateValues" dxfId="1474" priority="275"/>
  </conditionalFormatting>
  <conditionalFormatting sqref="D319:D320">
    <cfRule type="duplicateValues" dxfId="1473" priority="333"/>
  </conditionalFormatting>
  <conditionalFormatting sqref="D321:D322">
    <cfRule type="duplicateValues" dxfId="1472" priority="332"/>
  </conditionalFormatting>
  <conditionalFormatting sqref="D323:D324">
    <cfRule type="duplicateValues" dxfId="1471" priority="338"/>
  </conditionalFormatting>
  <conditionalFormatting sqref="D325:D326">
    <cfRule type="duplicateValues" dxfId="1470" priority="331"/>
  </conditionalFormatting>
  <conditionalFormatting sqref="D327:D328 D331:D332">
    <cfRule type="duplicateValues" dxfId="1469" priority="337"/>
  </conditionalFormatting>
  <conditionalFormatting sqref="D329:D330">
    <cfRule type="duplicateValues" dxfId="1468" priority="330"/>
  </conditionalFormatting>
  <conditionalFormatting sqref="D333:D334">
    <cfRule type="duplicateValues" dxfId="1467" priority="329"/>
  </conditionalFormatting>
  <conditionalFormatting sqref="D335:D338">
    <cfRule type="duplicateValues" dxfId="1466" priority="378"/>
  </conditionalFormatting>
  <conditionalFormatting sqref="D339 D341 D343:D344">
    <cfRule type="duplicateValues" dxfId="1465" priority="328"/>
  </conditionalFormatting>
  <conditionalFormatting sqref="D340">
    <cfRule type="duplicateValues" dxfId="1464" priority="274"/>
  </conditionalFormatting>
  <conditionalFormatting sqref="D342">
    <cfRule type="duplicateValues" dxfId="1463" priority="277"/>
  </conditionalFormatting>
  <conditionalFormatting sqref="D345:D355 D358:D363 D366:D373 D375:D378 D392:D393">
    <cfRule type="duplicateValues" dxfId="1462" priority="348"/>
  </conditionalFormatting>
  <conditionalFormatting sqref="D356:D357">
    <cfRule type="duplicateValues" dxfId="1461" priority="310"/>
  </conditionalFormatting>
  <conditionalFormatting sqref="D364:D365">
    <cfRule type="duplicateValues" dxfId="1460" priority="309"/>
  </conditionalFormatting>
  <conditionalFormatting sqref="D374">
    <cfRule type="duplicateValues" dxfId="1459" priority="273"/>
  </conditionalFormatting>
  <conditionalFormatting sqref="D380">
    <cfRule type="duplicateValues" dxfId="1458" priority="272"/>
  </conditionalFormatting>
  <conditionalFormatting sqref="D384:D387">
    <cfRule type="duplicateValues" dxfId="1457" priority="327"/>
  </conditionalFormatting>
  <conditionalFormatting sqref="D386:D387">
    <cfRule type="duplicateValues" dxfId="1456" priority="325"/>
  </conditionalFormatting>
  <conditionalFormatting sqref="D388:D389">
    <cfRule type="duplicateValues" dxfId="1455" priority="326"/>
  </conditionalFormatting>
  <conditionalFormatting sqref="D390">
    <cfRule type="duplicateValues" dxfId="1454" priority="324"/>
  </conditionalFormatting>
  <conditionalFormatting sqref="D391">
    <cfRule type="duplicateValues" dxfId="1453" priority="271"/>
  </conditionalFormatting>
  <conditionalFormatting sqref="D394:D395">
    <cfRule type="duplicateValues" dxfId="1452" priority="323"/>
  </conditionalFormatting>
  <conditionalFormatting sqref="D396:D397">
    <cfRule type="duplicateValues" dxfId="1451" priority="318"/>
  </conditionalFormatting>
  <conditionalFormatting sqref="D398:D399">
    <cfRule type="duplicateValues" dxfId="1450" priority="319"/>
  </conditionalFormatting>
  <conditionalFormatting sqref="D400:D401">
    <cfRule type="duplicateValues" dxfId="1449" priority="322"/>
  </conditionalFormatting>
  <conditionalFormatting sqref="D402:D403">
    <cfRule type="duplicateValues" dxfId="1448" priority="321"/>
  </conditionalFormatting>
  <conditionalFormatting sqref="D404">
    <cfRule type="duplicateValues" dxfId="1447" priority="320"/>
  </conditionalFormatting>
  <conditionalFormatting sqref="D405">
    <cfRule type="duplicateValues" dxfId="1446" priority="316"/>
  </conditionalFormatting>
  <conditionalFormatting sqref="D406">
    <cfRule type="duplicateValues" dxfId="1445" priority="382"/>
  </conditionalFormatting>
  <conditionalFormatting sqref="D407:D408">
    <cfRule type="duplicateValues" dxfId="1444" priority="317"/>
  </conditionalFormatting>
  <conditionalFormatting sqref="D409:D422">
    <cfRule type="duplicateValues" dxfId="1443" priority="315"/>
  </conditionalFormatting>
  <conditionalFormatting sqref="D742">
    <cfRule type="duplicateValues" dxfId="1442" priority="286"/>
  </conditionalFormatting>
  <conditionalFormatting sqref="D744">
    <cfRule type="duplicateValues" dxfId="1441" priority="270"/>
  </conditionalFormatting>
  <conditionalFormatting sqref="D751:D752">
    <cfRule type="duplicateValues" dxfId="1440" priority="269"/>
  </conditionalFormatting>
  <conditionalFormatting sqref="D754:D757">
    <cfRule type="duplicateValues" dxfId="1439" priority="268"/>
  </conditionalFormatting>
  <conditionalFormatting sqref="D759:D761">
    <cfRule type="duplicateValues" dxfId="1438" priority="267"/>
  </conditionalFormatting>
  <conditionalFormatting sqref="D765">
    <cfRule type="duplicateValues" dxfId="1437" priority="266"/>
  </conditionalFormatting>
  <conditionalFormatting sqref="D771">
    <cfRule type="duplicateValues" dxfId="1436" priority="287"/>
  </conditionalFormatting>
  <conditionalFormatting sqref="D773">
    <cfRule type="duplicateValues" dxfId="1435" priority="265"/>
  </conditionalFormatting>
  <conditionalFormatting sqref="D778:D781">
    <cfRule type="duplicateValues" dxfId="1434" priority="264"/>
  </conditionalFormatting>
  <conditionalFormatting sqref="D786:D787">
    <cfRule type="duplicateValues" dxfId="1433" priority="263"/>
  </conditionalFormatting>
  <conditionalFormatting sqref="D789">
    <cfRule type="duplicateValues" dxfId="1432" priority="262"/>
  </conditionalFormatting>
  <conditionalFormatting sqref="D798">
    <cfRule type="duplicateValues" dxfId="1431" priority="261"/>
  </conditionalFormatting>
  <conditionalFormatting sqref="D799">
    <cfRule type="duplicateValues" dxfId="1430" priority="260"/>
  </conditionalFormatting>
  <conditionalFormatting sqref="D800">
    <cfRule type="duplicateValues" dxfId="1429" priority="259"/>
  </conditionalFormatting>
  <conditionalFormatting sqref="D801">
    <cfRule type="duplicateValues" dxfId="1428" priority="258"/>
  </conditionalFormatting>
  <conditionalFormatting sqref="D802:D803">
    <cfRule type="duplicateValues" dxfId="1427" priority="257"/>
  </conditionalFormatting>
  <conditionalFormatting sqref="D817 D826 D838:D846">
    <cfRule type="duplicateValues" dxfId="1426" priority="383"/>
  </conditionalFormatting>
  <conditionalFormatting sqref="D818:D824">
    <cfRule type="duplicateValues" dxfId="1425" priority="256"/>
  </conditionalFormatting>
  <conditionalFormatting sqref="D825">
    <cfRule type="duplicateValues" dxfId="1424" priority="255"/>
  </conditionalFormatting>
  <conditionalFormatting sqref="D827:D828">
    <cfRule type="duplicateValues" dxfId="1423" priority="254"/>
  </conditionalFormatting>
  <conditionalFormatting sqref="D829:D830">
    <cfRule type="duplicateValues" dxfId="1422" priority="336"/>
  </conditionalFormatting>
  <conditionalFormatting sqref="D847:D848">
    <cfRule type="duplicateValues" dxfId="1421" priority="335"/>
  </conditionalFormatting>
  <conditionalFormatting sqref="D849:D850 D853:D856 D859:D860">
    <cfRule type="duplicateValues" dxfId="1420" priority="334"/>
  </conditionalFormatting>
  <conditionalFormatting sqref="D851:D852">
    <cfRule type="duplicateValues" dxfId="1419" priority="253"/>
  </conditionalFormatting>
  <conditionalFormatting sqref="D857:D858">
    <cfRule type="duplicateValues" dxfId="1418" priority="252"/>
  </conditionalFormatting>
  <conditionalFormatting sqref="D861:D862">
    <cfRule type="duplicateValues" dxfId="1417" priority="251"/>
  </conditionalFormatting>
  <conditionalFormatting sqref="D865:D866">
    <cfRule type="duplicateValues" dxfId="1416" priority="250"/>
  </conditionalFormatting>
  <conditionalFormatting sqref="D869:D872">
    <cfRule type="duplicateValues" dxfId="1415" priority="249"/>
  </conditionalFormatting>
  <conditionalFormatting sqref="D877:D878">
    <cfRule type="duplicateValues" dxfId="1414" priority="248"/>
  </conditionalFormatting>
  <conditionalFormatting sqref="D880:D882">
    <cfRule type="duplicateValues" dxfId="1413" priority="247"/>
  </conditionalFormatting>
  <conditionalFormatting sqref="D886">
    <cfRule type="duplicateValues" dxfId="1412" priority="246"/>
  </conditionalFormatting>
  <conditionalFormatting sqref="D887:D890">
    <cfRule type="duplicateValues" dxfId="1411" priority="245"/>
  </conditionalFormatting>
  <conditionalFormatting sqref="D895:D896">
    <cfRule type="duplicateValues" dxfId="1410" priority="244"/>
  </conditionalFormatting>
  <conditionalFormatting sqref="D899">
    <cfRule type="duplicateValues" dxfId="1409" priority="243"/>
  </conditionalFormatting>
  <conditionalFormatting sqref="D909">
    <cfRule type="duplicateValues" dxfId="1408" priority="242"/>
  </conditionalFormatting>
  <conditionalFormatting sqref="D915:D920">
    <cfRule type="duplicateValues" dxfId="1407" priority="241"/>
  </conditionalFormatting>
  <conditionalFormatting sqref="D925:D927">
    <cfRule type="duplicateValues" dxfId="1406" priority="240"/>
  </conditionalFormatting>
  <conditionalFormatting sqref="D929:D930">
    <cfRule type="duplicateValues" dxfId="1405" priority="239"/>
  </conditionalFormatting>
  <conditionalFormatting sqref="D933:D935">
    <cfRule type="duplicateValues" dxfId="1404" priority="238"/>
  </conditionalFormatting>
  <conditionalFormatting sqref="D937:D942">
    <cfRule type="duplicateValues" dxfId="1403" priority="237"/>
  </conditionalFormatting>
  <conditionalFormatting sqref="D945">
    <cfRule type="duplicateValues" dxfId="1402" priority="236"/>
  </conditionalFormatting>
  <conditionalFormatting sqref="D952">
    <cfRule type="duplicateValues" dxfId="1401" priority="235"/>
  </conditionalFormatting>
  <conditionalFormatting sqref="D955:D956">
    <cfRule type="duplicateValues" dxfId="1400" priority="234"/>
  </conditionalFormatting>
  <conditionalFormatting sqref="D967">
    <cfRule type="duplicateValues" dxfId="1399" priority="233"/>
  </conditionalFormatting>
  <conditionalFormatting sqref="D969:D970">
    <cfRule type="duplicateValues" dxfId="1398" priority="232"/>
  </conditionalFormatting>
  <conditionalFormatting sqref="D975:D976">
    <cfRule type="duplicateValues" dxfId="1397" priority="231"/>
  </conditionalFormatting>
  <conditionalFormatting sqref="D980:D981 D983">
    <cfRule type="duplicateValues" dxfId="1396" priority="230"/>
  </conditionalFormatting>
  <conditionalFormatting sqref="D986:D987">
    <cfRule type="duplicateValues" dxfId="1395" priority="229"/>
  </conditionalFormatting>
  <conditionalFormatting sqref="D990:D993">
    <cfRule type="duplicateValues" dxfId="1394" priority="227"/>
  </conditionalFormatting>
  <conditionalFormatting sqref="D994">
    <cfRule type="duplicateValues" dxfId="1393" priority="228"/>
  </conditionalFormatting>
  <conditionalFormatting sqref="D996:D998">
    <cfRule type="duplicateValues" dxfId="1392" priority="226"/>
  </conditionalFormatting>
  <conditionalFormatting sqref="D999">
    <cfRule type="duplicateValues" dxfId="1391" priority="225"/>
  </conditionalFormatting>
  <conditionalFormatting sqref="D1004">
    <cfRule type="duplicateValues" dxfId="1390" priority="224"/>
  </conditionalFormatting>
  <conditionalFormatting sqref="D1008">
    <cfRule type="duplicateValues" dxfId="1389" priority="223"/>
  </conditionalFormatting>
  <conditionalFormatting sqref="D1011:D1014">
    <cfRule type="duplicateValues" dxfId="1388" priority="222"/>
  </conditionalFormatting>
  <conditionalFormatting sqref="D1016:D1026 D1032">
    <cfRule type="duplicateValues" dxfId="1387" priority="187"/>
  </conditionalFormatting>
  <conditionalFormatting sqref="D1027:D1031">
    <cfRule type="duplicateValues" dxfId="1386" priority="148"/>
  </conditionalFormatting>
  <conditionalFormatting sqref="D1033">
    <cfRule type="duplicateValues" dxfId="1385" priority="147"/>
  </conditionalFormatting>
  <conditionalFormatting sqref="D1034">
    <cfRule type="duplicateValues" dxfId="1384" priority="154"/>
  </conditionalFormatting>
  <conditionalFormatting sqref="D1035:D1037">
    <cfRule type="duplicateValues" dxfId="1383" priority="146"/>
  </conditionalFormatting>
  <conditionalFormatting sqref="D1042:D1043">
    <cfRule type="duplicateValues" dxfId="1382" priority="130"/>
  </conditionalFormatting>
  <conditionalFormatting sqref="D1153:D1154">
    <cfRule type="duplicateValues" dxfId="1381" priority="19"/>
    <cfRule type="duplicateValues" dxfId="1380" priority="18"/>
  </conditionalFormatting>
  <conditionalFormatting sqref="H967:H969">
    <cfRule type="expression" dxfId="1379" priority="190">
      <formula>IF(F967&gt;1,FALSE,TRUE)</formula>
    </cfRule>
  </conditionalFormatting>
  <conditionalFormatting sqref="H976:H977">
    <cfRule type="expression" dxfId="1378" priority="189">
      <formula>IF(F976&gt;1,FALSE,TRUE)</formula>
    </cfRule>
  </conditionalFormatting>
  <dataValidations count="2">
    <dataValidation type="list" allowBlank="1" showInputMessage="1" showErrorMessage="1" sqref="J1132:J1048576 J740:J1103 J1:J161 J164:J165 J182:J187 J214:J422" xr:uid="{A3C1EB8D-6050-410D-A49B-FF865B26A9CF}">
      <formula1>"Imported, Nashik"</formula1>
    </dataValidation>
    <dataValidation type="list" allowBlank="1" showInputMessage="1" showErrorMessage="1" sqref="S242:AA266 AD34:AF37 Q1153:Q1154 V377:V383 V392:V395 W745:W746 S232:S236 R86:R89 Y746:AA746 W835:W837 U791:U792 S768 AD1153:AD1154 V232:X236 S770 AD232:AF240 T911:T912 T232:U237 Q232:Q236 AA204:AA207 R239:R266 T86:U89 R301 S110:S111 R382 R386 U908:U912 Q242:Q266 W911:W912 R288:R289 V285:V289 AF130:AF131 V413:V422 W82:W85 V292:V318 V398:V410 AD42:AD55 AD242:AD253 AD256:AD266 AE242:AF266 S1153:U1154 AF158:AF161 X1153:X1154 Z1153:Z1154 AF150:AF151 AD746:AF746 S86:S87 AD2:AD5 AE3:AF5 AD8:AF11 AF20:AF23 AD24:AF31 AF38:AF39 AD62:AF67 AD70:AF71 AF12:AF15 AD58:AF59 AF56:AF57 AF142:AF143 Y156:Z157 Y142:Z143 S130:U135 Q2:AA71 AF6:AF7 Y130:Z135 Y150:Y155 Y158:Y161 S142:U143 S154:S155 S158:S159 Y94:Y97 AF138 Y204:Y207 AE202:AE209 V202:W207 AF2 AF88:AF89 AF32:AF33 AE40:AF55 AF134:AF135 AD215:AF221 Q215:AA221 AE222:AE231 Y222:Y225 Q222:S225 V222:W231 Y232:AA240 AC224:AC227 Y226:AA227 R232:R237 Y228:AC231" xr:uid="{A8679116-9826-4088-A3C8-01D257CE5C7E}">
      <formula1>"Conv-A DONE,Conv-B DONE"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C0EE-C320-452C-A752-DA99A3158B6D}">
  <dimension ref="A3:U7"/>
  <sheetViews>
    <sheetView workbookViewId="0">
      <selection activeCell="A3" sqref="A3"/>
    </sheetView>
  </sheetViews>
  <sheetFormatPr defaultColWidth="21.44140625" defaultRowHeight="13.2" x14ac:dyDescent="0.25"/>
  <cols>
    <col min="1" max="1" width="15.5546875" bestFit="1" customWidth="1"/>
    <col min="2" max="2" width="4.33203125" bestFit="1" customWidth="1"/>
    <col min="3" max="3" width="7.44140625" bestFit="1" customWidth="1"/>
    <col min="4" max="4" width="9.6640625" bestFit="1" customWidth="1"/>
    <col min="5" max="5" width="23.88671875" bestFit="1" customWidth="1"/>
    <col min="6" max="6" width="21.5546875" bestFit="1" customWidth="1"/>
    <col min="7" max="7" width="9.88671875" bestFit="1" customWidth="1"/>
    <col min="8" max="8" width="8.21875" bestFit="1" customWidth="1"/>
    <col min="9" max="9" width="16.44140625" bestFit="1" customWidth="1"/>
    <col min="10" max="10" width="9.5546875" bestFit="1" customWidth="1"/>
    <col min="11" max="11" width="36.109375" bestFit="1" customWidth="1"/>
    <col min="12" max="12" width="5.44140625" bestFit="1" customWidth="1"/>
    <col min="13" max="13" width="6.6640625" bestFit="1" customWidth="1"/>
    <col min="14" max="14" width="5.33203125" bestFit="1" customWidth="1"/>
    <col min="15" max="15" width="8.88671875" bestFit="1" customWidth="1"/>
    <col min="16" max="16" width="15.88671875" bestFit="1" customWidth="1"/>
    <col min="17" max="17" width="18.109375" bestFit="1" customWidth="1"/>
    <col min="18" max="18" width="21.6640625" bestFit="1" customWidth="1"/>
    <col min="19" max="19" width="7.44140625" bestFit="1" customWidth="1"/>
    <col min="20" max="20" width="11.33203125" bestFit="1" customWidth="1"/>
    <col min="21" max="21" width="18.88671875" bestFit="1" customWidth="1"/>
  </cols>
  <sheetData>
    <row r="3" spans="1:21" s="18" customFormat="1" ht="12.75" customHeight="1" x14ac:dyDescent="0.25">
      <c r="A3" s="643" t="s">
        <v>472</v>
      </c>
      <c r="B3" s="18" t="s">
        <v>473</v>
      </c>
      <c r="C3" s="18" t="s">
        <v>474</v>
      </c>
      <c r="D3" s="18" t="s">
        <v>475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487</v>
      </c>
      <c r="Q3" s="18" t="s">
        <v>488</v>
      </c>
      <c r="R3" s="18" t="s">
        <v>489</v>
      </c>
      <c r="S3" s="18" t="s">
        <v>490</v>
      </c>
      <c r="T3" s="18" t="s">
        <v>491</v>
      </c>
      <c r="U3" s="18" t="s">
        <v>492</v>
      </c>
    </row>
    <row r="4" spans="1:21" s="18" customFormat="1" x14ac:dyDescent="0.25">
      <c r="A4" s="18" t="s">
        <v>522</v>
      </c>
      <c r="B4" s="1449">
        <v>100</v>
      </c>
      <c r="C4" s="1449">
        <v>96</v>
      </c>
      <c r="D4" s="1449">
        <v>98</v>
      </c>
      <c r="E4" s="1449">
        <v>70</v>
      </c>
      <c r="F4" s="1449">
        <v>98</v>
      </c>
      <c r="G4" s="1449">
        <v>54</v>
      </c>
      <c r="H4" s="1449">
        <v>98</v>
      </c>
      <c r="I4" s="1449">
        <v>98</v>
      </c>
      <c r="J4" s="1449">
        <v>10</v>
      </c>
      <c r="K4" s="1449">
        <v>73</v>
      </c>
      <c r="L4" s="1449">
        <v>13</v>
      </c>
      <c r="M4" s="1449">
        <v>84</v>
      </c>
      <c r="N4" s="1449">
        <v>10</v>
      </c>
      <c r="O4" s="1449">
        <v>100</v>
      </c>
      <c r="P4" s="1449">
        <v>100</v>
      </c>
      <c r="Q4" s="1449">
        <v>100</v>
      </c>
      <c r="R4" s="1449">
        <v>100</v>
      </c>
      <c r="S4" s="1449">
        <v>30</v>
      </c>
      <c r="T4" s="1449"/>
      <c r="U4" s="1449">
        <v>84</v>
      </c>
    </row>
    <row r="5" spans="1:21" s="18" customFormat="1" x14ac:dyDescent="0.25">
      <c r="A5" s="18" t="s">
        <v>56</v>
      </c>
      <c r="B5" s="1449">
        <v>130</v>
      </c>
      <c r="C5" s="1449">
        <v>100</v>
      </c>
      <c r="D5" s="1449">
        <v>106</v>
      </c>
      <c r="E5" s="1449">
        <v>93</v>
      </c>
      <c r="F5" s="1449">
        <v>130</v>
      </c>
      <c r="G5" s="1449">
        <v>68</v>
      </c>
      <c r="H5" s="1449">
        <v>130</v>
      </c>
      <c r="I5" s="1449">
        <v>113</v>
      </c>
      <c r="J5" s="1449">
        <v>10</v>
      </c>
      <c r="K5" s="1449">
        <v>32</v>
      </c>
      <c r="L5" s="1449">
        <v>11</v>
      </c>
      <c r="M5" s="1449">
        <v>130</v>
      </c>
      <c r="N5" s="1449">
        <v>30</v>
      </c>
      <c r="O5" s="1449">
        <v>130</v>
      </c>
      <c r="P5" s="1449">
        <v>64</v>
      </c>
      <c r="Q5" s="1449">
        <v>130</v>
      </c>
      <c r="R5" s="1449">
        <v>130</v>
      </c>
      <c r="S5" s="1449">
        <v>11</v>
      </c>
      <c r="T5" s="1449">
        <v>16</v>
      </c>
      <c r="U5" s="1449">
        <v>102</v>
      </c>
    </row>
    <row r="6" spans="1:21" s="18" customFormat="1" x14ac:dyDescent="0.25">
      <c r="A6" s="18" t="s">
        <v>493</v>
      </c>
      <c r="B6" s="1449"/>
      <c r="C6" s="1449"/>
      <c r="D6" s="1449"/>
      <c r="E6" s="1449"/>
      <c r="F6" s="1449"/>
      <c r="G6" s="1449"/>
      <c r="H6" s="1449"/>
      <c r="I6" s="1449"/>
      <c r="J6" s="1449"/>
      <c r="K6" s="1449"/>
      <c r="L6" s="1449"/>
      <c r="M6" s="1449"/>
      <c r="N6" s="1449"/>
      <c r="O6" s="1449"/>
      <c r="P6" s="1449"/>
      <c r="Q6" s="1449"/>
      <c r="R6" s="1449"/>
      <c r="S6" s="1449"/>
      <c r="T6" s="1449"/>
      <c r="U6" s="1449"/>
    </row>
    <row r="7" spans="1:21" s="18" customFormat="1" x14ac:dyDescent="0.25">
      <c r="A7" s="18" t="s">
        <v>494</v>
      </c>
      <c r="B7" s="1449">
        <v>230</v>
      </c>
      <c r="C7" s="1449">
        <v>196</v>
      </c>
      <c r="D7" s="1449">
        <v>204</v>
      </c>
      <c r="E7" s="1449">
        <v>163</v>
      </c>
      <c r="F7" s="1449">
        <v>228</v>
      </c>
      <c r="G7" s="1449">
        <v>122</v>
      </c>
      <c r="H7" s="1449">
        <v>228</v>
      </c>
      <c r="I7" s="1449">
        <v>211</v>
      </c>
      <c r="J7" s="1449">
        <v>20</v>
      </c>
      <c r="K7" s="1449">
        <v>105</v>
      </c>
      <c r="L7" s="1449">
        <v>24</v>
      </c>
      <c r="M7" s="1449">
        <v>214</v>
      </c>
      <c r="N7" s="1449">
        <v>40</v>
      </c>
      <c r="O7" s="1449">
        <v>230</v>
      </c>
      <c r="P7" s="1449">
        <v>164</v>
      </c>
      <c r="Q7" s="1449">
        <v>230</v>
      </c>
      <c r="R7" s="1449">
        <v>230</v>
      </c>
      <c r="S7" s="1449">
        <v>41</v>
      </c>
      <c r="T7" s="1449">
        <v>16</v>
      </c>
      <c r="U7" s="1449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5379-F521-48D2-BEB9-4A17F729E0E0}">
  <dimension ref="A1:AM81"/>
  <sheetViews>
    <sheetView workbookViewId="0"/>
  </sheetViews>
  <sheetFormatPr defaultRowHeight="13.2" x14ac:dyDescent="0.25"/>
  <cols>
    <col min="2" max="2" width="10.6640625" bestFit="1" customWidth="1"/>
    <col min="4" max="4" width="18.33203125" bestFit="1" customWidth="1"/>
    <col min="5" max="5" width="12.5546875" bestFit="1" customWidth="1"/>
    <col min="6" max="6" width="10" bestFit="1" customWidth="1"/>
    <col min="7" max="7" width="9.44140625" bestFit="1" customWidth="1"/>
    <col min="8" max="8" width="10.33203125" bestFit="1" customWidth="1"/>
    <col min="9" max="9" width="11.44140625" bestFit="1" customWidth="1"/>
    <col min="10" max="10" width="21" bestFit="1" customWidth="1"/>
    <col min="11" max="11" width="25.44140625" bestFit="1" customWidth="1"/>
    <col min="12" max="12" width="73" bestFit="1" customWidth="1"/>
    <col min="13" max="13" width="27.44140625" bestFit="1" customWidth="1"/>
    <col min="14" max="14" width="57.44140625" bestFit="1" customWidth="1"/>
    <col min="15" max="15" width="19.44140625" bestFit="1" customWidth="1"/>
    <col min="16" max="16" width="21.44140625" bestFit="1" customWidth="1"/>
    <col min="17" max="17" width="46.5546875" bestFit="1" customWidth="1"/>
    <col min="18" max="18" width="38.6640625" bestFit="1" customWidth="1"/>
    <col min="19" max="19" width="33" bestFit="1" customWidth="1"/>
    <col min="20" max="20" width="35.5546875" bestFit="1" customWidth="1"/>
    <col min="21" max="21" width="46.44140625" bestFit="1" customWidth="1"/>
    <col min="22" max="22" width="30" bestFit="1" customWidth="1"/>
    <col min="23" max="23" width="58.5546875" bestFit="1" customWidth="1"/>
    <col min="24" max="24" width="35.44140625" bestFit="1" customWidth="1"/>
    <col min="25" max="25" width="50.44140625" bestFit="1" customWidth="1"/>
    <col min="26" max="26" width="43.44140625" bestFit="1" customWidth="1"/>
    <col min="27" max="27" width="22.5546875" bestFit="1" customWidth="1"/>
    <col min="28" max="28" width="47.33203125" bestFit="1" customWidth="1"/>
    <col min="29" max="29" width="45.6640625" bestFit="1" customWidth="1"/>
    <col min="30" max="30" width="40.44140625" bestFit="1" customWidth="1"/>
    <col min="31" max="31" width="16" bestFit="1" customWidth="1"/>
    <col min="32" max="32" width="26" bestFit="1" customWidth="1"/>
    <col min="33" max="33" width="81.33203125" bestFit="1" customWidth="1"/>
    <col min="34" max="34" width="61.5546875" bestFit="1" customWidth="1"/>
    <col min="35" max="35" width="66.44140625" bestFit="1" customWidth="1"/>
    <col min="36" max="36" width="34.44140625" bestFit="1" customWidth="1"/>
    <col min="37" max="37" width="26" bestFit="1" customWidth="1"/>
    <col min="38" max="38" width="29.44140625" bestFit="1" customWidth="1"/>
    <col min="39" max="39" width="39.44140625" bestFit="1" customWidth="1"/>
  </cols>
  <sheetData>
    <row r="1" spans="1:39" x14ac:dyDescent="0.25">
      <c r="A1" s="680" t="s">
        <v>657</v>
      </c>
    </row>
    <row r="3" spans="1:3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0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496</v>
      </c>
      <c r="AH3" t="s">
        <v>50</v>
      </c>
      <c r="AI3" t="s">
        <v>51</v>
      </c>
      <c r="AJ3" t="s">
        <v>52</v>
      </c>
      <c r="AK3" t="s">
        <v>53</v>
      </c>
      <c r="AL3" t="s">
        <v>197</v>
      </c>
      <c r="AM3" t="s">
        <v>658</v>
      </c>
    </row>
    <row r="4" spans="1:39" x14ac:dyDescent="0.25">
      <c r="A4">
        <v>365</v>
      </c>
      <c r="B4">
        <v>37701</v>
      </c>
      <c r="C4" t="s">
        <v>54</v>
      </c>
      <c r="D4" t="s">
        <v>659</v>
      </c>
      <c r="E4" t="s">
        <v>660</v>
      </c>
      <c r="F4" t="s">
        <v>661</v>
      </c>
      <c r="G4" t="s">
        <v>13</v>
      </c>
      <c r="H4" s="646">
        <v>45390</v>
      </c>
      <c r="J4" t="s">
        <v>58</v>
      </c>
      <c r="AM4" t="s">
        <v>662</v>
      </c>
    </row>
    <row r="5" spans="1:39" x14ac:dyDescent="0.25">
      <c r="A5">
        <v>364</v>
      </c>
      <c r="B5">
        <v>37701</v>
      </c>
      <c r="C5" t="s">
        <v>64</v>
      </c>
      <c r="D5" t="s">
        <v>663</v>
      </c>
      <c r="E5" t="s">
        <v>660</v>
      </c>
      <c r="F5" t="s">
        <v>661</v>
      </c>
      <c r="G5" t="s">
        <v>13</v>
      </c>
      <c r="H5" s="646">
        <v>45390</v>
      </c>
      <c r="J5" t="s">
        <v>58</v>
      </c>
      <c r="AM5" t="s">
        <v>662</v>
      </c>
    </row>
    <row r="6" spans="1:39" x14ac:dyDescent="0.25">
      <c r="A6">
        <v>363</v>
      </c>
      <c r="B6">
        <v>39241</v>
      </c>
      <c r="C6" t="s">
        <v>54</v>
      </c>
      <c r="D6" t="s">
        <v>664</v>
      </c>
      <c r="E6" t="s">
        <v>660</v>
      </c>
      <c r="F6" t="s">
        <v>661</v>
      </c>
      <c r="G6" t="s">
        <v>13</v>
      </c>
      <c r="H6" s="646">
        <v>45026</v>
      </c>
      <c r="J6" t="s">
        <v>58</v>
      </c>
      <c r="AM6" t="s">
        <v>665</v>
      </c>
    </row>
    <row r="7" spans="1:39" x14ac:dyDescent="0.25">
      <c r="A7">
        <v>362</v>
      </c>
      <c r="B7">
        <v>39241</v>
      </c>
      <c r="C7" t="s">
        <v>64</v>
      </c>
      <c r="D7" t="s">
        <v>666</v>
      </c>
      <c r="E7" t="s">
        <v>660</v>
      </c>
      <c r="F7" t="s">
        <v>661</v>
      </c>
      <c r="G7" t="s">
        <v>13</v>
      </c>
      <c r="H7" s="646">
        <v>45026</v>
      </c>
      <c r="J7" t="s">
        <v>58</v>
      </c>
      <c r="AM7" t="s">
        <v>665</v>
      </c>
    </row>
    <row r="8" spans="1:39" x14ac:dyDescent="0.25">
      <c r="A8">
        <v>361</v>
      </c>
      <c r="B8">
        <v>37622</v>
      </c>
      <c r="C8" t="s">
        <v>54</v>
      </c>
      <c r="D8" t="s">
        <v>667</v>
      </c>
      <c r="E8" t="s">
        <v>660</v>
      </c>
      <c r="F8" t="s">
        <v>661</v>
      </c>
      <c r="G8" t="s">
        <v>13</v>
      </c>
      <c r="H8" s="646">
        <v>45219</v>
      </c>
      <c r="J8" t="s">
        <v>58</v>
      </c>
      <c r="AM8" t="s">
        <v>662</v>
      </c>
    </row>
    <row r="9" spans="1:39" x14ac:dyDescent="0.25">
      <c r="A9">
        <v>360</v>
      </c>
      <c r="B9">
        <v>37622</v>
      </c>
      <c r="C9" t="s">
        <v>64</v>
      </c>
      <c r="D9" t="s">
        <v>668</v>
      </c>
      <c r="E9" t="s">
        <v>660</v>
      </c>
      <c r="F9" t="s">
        <v>661</v>
      </c>
      <c r="G9" t="s">
        <v>13</v>
      </c>
      <c r="H9" s="646">
        <v>45219</v>
      </c>
      <c r="J9" t="s">
        <v>58</v>
      </c>
      <c r="AM9" t="s">
        <v>662</v>
      </c>
    </row>
    <row r="10" spans="1:39" x14ac:dyDescent="0.25">
      <c r="A10">
        <v>359</v>
      </c>
      <c r="B10">
        <v>37621</v>
      </c>
      <c r="C10" t="s">
        <v>54</v>
      </c>
      <c r="D10" t="s">
        <v>669</v>
      </c>
      <c r="E10" t="s">
        <v>660</v>
      </c>
      <c r="F10" t="s">
        <v>661</v>
      </c>
      <c r="G10" t="s">
        <v>13</v>
      </c>
      <c r="H10" s="646">
        <v>45218</v>
      </c>
      <c r="J10" t="s">
        <v>58</v>
      </c>
      <c r="AM10" t="s">
        <v>670</v>
      </c>
    </row>
    <row r="11" spans="1:39" x14ac:dyDescent="0.25">
      <c r="A11">
        <v>358</v>
      </c>
      <c r="B11">
        <v>37621</v>
      </c>
      <c r="C11" t="s">
        <v>64</v>
      </c>
      <c r="D11" t="s">
        <v>671</v>
      </c>
      <c r="E11" t="s">
        <v>660</v>
      </c>
      <c r="F11" t="s">
        <v>661</v>
      </c>
      <c r="G11" t="s">
        <v>13</v>
      </c>
      <c r="H11" s="646">
        <v>45218</v>
      </c>
      <c r="J11" t="s">
        <v>58</v>
      </c>
      <c r="AM11" t="s">
        <v>670</v>
      </c>
    </row>
    <row r="12" spans="1:39" x14ac:dyDescent="0.25">
      <c r="A12">
        <v>357</v>
      </c>
      <c r="B12">
        <v>39217</v>
      </c>
      <c r="C12" t="s">
        <v>54</v>
      </c>
      <c r="D12" t="s">
        <v>672</v>
      </c>
      <c r="E12" t="s">
        <v>660</v>
      </c>
      <c r="F12" t="s">
        <v>661</v>
      </c>
      <c r="G12" t="s">
        <v>13</v>
      </c>
      <c r="H12" s="646">
        <v>44921</v>
      </c>
      <c r="J12" t="s">
        <v>58</v>
      </c>
      <c r="AM12" t="s">
        <v>662</v>
      </c>
    </row>
    <row r="13" spans="1:39" x14ac:dyDescent="0.25">
      <c r="A13">
        <v>356</v>
      </c>
      <c r="B13">
        <v>39217</v>
      </c>
      <c r="C13" t="s">
        <v>64</v>
      </c>
      <c r="D13" t="s">
        <v>673</v>
      </c>
      <c r="E13" t="s">
        <v>660</v>
      </c>
      <c r="F13" t="s">
        <v>661</v>
      </c>
      <c r="G13" t="s">
        <v>13</v>
      </c>
      <c r="H13" s="646">
        <v>44921</v>
      </c>
      <c r="J13" t="s">
        <v>58</v>
      </c>
      <c r="AM13" t="s">
        <v>662</v>
      </c>
    </row>
    <row r="14" spans="1:39" x14ac:dyDescent="0.25">
      <c r="A14">
        <v>299</v>
      </c>
      <c r="B14">
        <v>39213</v>
      </c>
      <c r="C14" t="s">
        <v>674</v>
      </c>
      <c r="D14" t="s">
        <v>675</v>
      </c>
      <c r="E14" t="s">
        <v>660</v>
      </c>
      <c r="F14" t="s">
        <v>661</v>
      </c>
      <c r="G14" t="s">
        <v>13</v>
      </c>
      <c r="H14" s="646">
        <v>44915</v>
      </c>
      <c r="J14" t="s">
        <v>58</v>
      </c>
      <c r="O14" s="646">
        <v>45468</v>
      </c>
      <c r="Q14" t="s">
        <v>62</v>
      </c>
      <c r="R14" t="s">
        <v>62</v>
      </c>
      <c r="S14" t="s">
        <v>62</v>
      </c>
      <c r="W14" t="s">
        <v>62</v>
      </c>
      <c r="AD14" t="s">
        <v>62</v>
      </c>
      <c r="AF14" t="s">
        <v>62</v>
      </c>
      <c r="AG14" s="646">
        <v>45492</v>
      </c>
      <c r="AH14" t="s">
        <v>62</v>
      </c>
      <c r="AI14" s="646">
        <v>45324</v>
      </c>
      <c r="AJ14" t="s">
        <v>62</v>
      </c>
      <c r="AL14" t="s">
        <v>676</v>
      </c>
      <c r="AM14" t="s">
        <v>662</v>
      </c>
    </row>
    <row r="15" spans="1:39" x14ac:dyDescent="0.25">
      <c r="A15">
        <v>298</v>
      </c>
      <c r="B15">
        <v>39213</v>
      </c>
      <c r="C15" t="s">
        <v>677</v>
      </c>
      <c r="D15" t="s">
        <v>678</v>
      </c>
      <c r="E15" t="s">
        <v>660</v>
      </c>
      <c r="F15" t="s">
        <v>661</v>
      </c>
      <c r="G15" t="s">
        <v>13</v>
      </c>
      <c r="H15" s="646">
        <v>44915</v>
      </c>
      <c r="J15" t="s">
        <v>58</v>
      </c>
      <c r="O15" s="646">
        <v>45468</v>
      </c>
      <c r="Q15" t="s">
        <v>68</v>
      </c>
      <c r="R15" t="s">
        <v>68</v>
      </c>
      <c r="S15" t="s">
        <v>68</v>
      </c>
      <c r="W15" t="s">
        <v>68</v>
      </c>
      <c r="AD15" t="s">
        <v>68</v>
      </c>
      <c r="AF15" t="s">
        <v>68</v>
      </c>
      <c r="AG15" s="646">
        <v>45492</v>
      </c>
      <c r="AH15" t="s">
        <v>68</v>
      </c>
      <c r="AI15" s="646">
        <v>45323</v>
      </c>
      <c r="AJ15" t="s">
        <v>68</v>
      </c>
      <c r="AL15" t="s">
        <v>676</v>
      </c>
      <c r="AM15" t="s">
        <v>662</v>
      </c>
    </row>
    <row r="16" spans="1:39" x14ac:dyDescent="0.25">
      <c r="A16">
        <v>215</v>
      </c>
      <c r="B16">
        <v>37134</v>
      </c>
      <c r="C16" t="s">
        <v>54</v>
      </c>
      <c r="D16" t="s">
        <v>679</v>
      </c>
      <c r="E16" t="s">
        <v>660</v>
      </c>
      <c r="F16" t="s">
        <v>661</v>
      </c>
      <c r="G16" t="s">
        <v>13</v>
      </c>
      <c r="J16" t="s">
        <v>58</v>
      </c>
      <c r="K16" t="s">
        <v>680</v>
      </c>
      <c r="L16" s="646">
        <v>44827</v>
      </c>
      <c r="M16" t="s">
        <v>60</v>
      </c>
      <c r="N16" t="s">
        <v>681</v>
      </c>
      <c r="S16" t="s">
        <v>62</v>
      </c>
      <c r="T16" t="s">
        <v>62</v>
      </c>
      <c r="U16" t="s">
        <v>62</v>
      </c>
      <c r="W16" t="s">
        <v>62</v>
      </c>
      <c r="X16" t="s">
        <v>75</v>
      </c>
      <c r="AD16" t="s">
        <v>62</v>
      </c>
      <c r="AG16" s="646">
        <v>45430</v>
      </c>
      <c r="AI16" s="646">
        <v>45126</v>
      </c>
      <c r="AJ16" s="646">
        <v>45126</v>
      </c>
      <c r="AK16" s="646">
        <v>45126</v>
      </c>
      <c r="AM16" t="s">
        <v>662</v>
      </c>
    </row>
    <row r="17" spans="1:39" x14ac:dyDescent="0.25">
      <c r="A17">
        <v>214</v>
      </c>
      <c r="B17">
        <v>37134</v>
      </c>
      <c r="C17" t="s">
        <v>64</v>
      </c>
      <c r="D17" t="s">
        <v>682</v>
      </c>
      <c r="E17" t="s">
        <v>660</v>
      </c>
      <c r="F17" t="s">
        <v>661</v>
      </c>
      <c r="G17" t="s">
        <v>13</v>
      </c>
      <c r="J17" t="s">
        <v>58</v>
      </c>
      <c r="K17" t="s">
        <v>680</v>
      </c>
      <c r="L17" s="646">
        <v>44827</v>
      </c>
      <c r="M17" t="s">
        <v>60</v>
      </c>
      <c r="N17" t="s">
        <v>681</v>
      </c>
      <c r="R17" t="s">
        <v>75</v>
      </c>
      <c r="S17" t="s">
        <v>68</v>
      </c>
      <c r="T17" t="s">
        <v>68</v>
      </c>
      <c r="U17" t="s">
        <v>68</v>
      </c>
      <c r="W17" t="s">
        <v>68</v>
      </c>
      <c r="X17" t="s">
        <v>75</v>
      </c>
      <c r="AD17" t="s">
        <v>68</v>
      </c>
      <c r="AG17" s="646">
        <v>45430</v>
      </c>
      <c r="AI17" s="646">
        <v>45126</v>
      </c>
      <c r="AJ17" s="646">
        <v>45126</v>
      </c>
      <c r="AK17" s="646">
        <v>45126</v>
      </c>
      <c r="AM17" t="s">
        <v>662</v>
      </c>
    </row>
    <row r="18" spans="1:39" ht="26.4" x14ac:dyDescent="0.25">
      <c r="A18">
        <v>142</v>
      </c>
      <c r="B18">
        <v>39090</v>
      </c>
      <c r="C18" t="s">
        <v>54</v>
      </c>
      <c r="D18" t="s">
        <v>683</v>
      </c>
      <c r="E18" t="s">
        <v>660</v>
      </c>
      <c r="F18" t="s">
        <v>661</v>
      </c>
      <c r="G18" t="s">
        <v>13</v>
      </c>
      <c r="H18" s="646">
        <v>43710</v>
      </c>
      <c r="I18">
        <v>487</v>
      </c>
      <c r="J18" t="s">
        <v>58</v>
      </c>
      <c r="K18" s="653" t="s">
        <v>59</v>
      </c>
      <c r="L18" s="646">
        <v>44209</v>
      </c>
      <c r="M18" t="s">
        <v>60</v>
      </c>
      <c r="N18" s="646">
        <v>44209</v>
      </c>
      <c r="O18" s="646">
        <v>44295</v>
      </c>
      <c r="U18" t="s">
        <v>62</v>
      </c>
      <c r="W18" t="s">
        <v>62</v>
      </c>
      <c r="AB18" t="s">
        <v>121</v>
      </c>
      <c r="AF18" s="646">
        <v>45343</v>
      </c>
      <c r="AG18" t="s">
        <v>684</v>
      </c>
      <c r="AI18" s="646">
        <v>45343</v>
      </c>
      <c r="AJ18" s="646">
        <v>45343</v>
      </c>
      <c r="AK18" s="646">
        <v>45343</v>
      </c>
      <c r="AM18" t="s">
        <v>685</v>
      </c>
    </row>
    <row r="19" spans="1:39" ht="26.4" x14ac:dyDescent="0.25">
      <c r="A19">
        <v>141</v>
      </c>
      <c r="B19">
        <v>39090</v>
      </c>
      <c r="C19" t="s">
        <v>64</v>
      </c>
      <c r="D19" t="s">
        <v>686</v>
      </c>
      <c r="E19" t="s">
        <v>660</v>
      </c>
      <c r="F19" t="s">
        <v>661</v>
      </c>
      <c r="G19" t="s">
        <v>13</v>
      </c>
      <c r="H19" s="646">
        <v>43710</v>
      </c>
      <c r="I19">
        <v>525</v>
      </c>
      <c r="J19" t="s">
        <v>58</v>
      </c>
      <c r="K19" s="653" t="s">
        <v>59</v>
      </c>
      <c r="L19" s="646">
        <v>44209</v>
      </c>
      <c r="M19" t="s">
        <v>60</v>
      </c>
      <c r="N19" s="646">
        <v>44209</v>
      </c>
      <c r="O19" s="646">
        <v>44295</v>
      </c>
      <c r="Q19" t="s">
        <v>75</v>
      </c>
      <c r="U19" t="s">
        <v>68</v>
      </c>
      <c r="W19" t="s">
        <v>68</v>
      </c>
      <c r="AB19" t="s">
        <v>121</v>
      </c>
      <c r="AF19" s="646">
        <v>45345</v>
      </c>
      <c r="AG19" t="s">
        <v>684</v>
      </c>
      <c r="AI19" s="646">
        <v>45345</v>
      </c>
      <c r="AJ19" s="646">
        <v>45345</v>
      </c>
      <c r="AK19" s="646">
        <v>45345</v>
      </c>
      <c r="AM19" t="s">
        <v>685</v>
      </c>
    </row>
    <row r="20" spans="1:39" ht="26.4" x14ac:dyDescent="0.25">
      <c r="A20">
        <v>140</v>
      </c>
      <c r="B20">
        <v>39087</v>
      </c>
      <c r="C20" t="s">
        <v>54</v>
      </c>
      <c r="D20" t="s">
        <v>687</v>
      </c>
      <c r="E20" t="s">
        <v>660</v>
      </c>
      <c r="F20" t="s">
        <v>661</v>
      </c>
      <c r="G20" t="s">
        <v>13</v>
      </c>
      <c r="H20" s="646">
        <v>43697</v>
      </c>
      <c r="I20">
        <v>489</v>
      </c>
      <c r="J20" t="s">
        <v>58</v>
      </c>
      <c r="K20" s="653" t="s">
        <v>59</v>
      </c>
      <c r="L20" s="646">
        <v>44858</v>
      </c>
      <c r="M20" t="s">
        <v>60</v>
      </c>
      <c r="N20" s="646">
        <v>44838</v>
      </c>
      <c r="R20" t="s">
        <v>62</v>
      </c>
      <c r="T20" t="s">
        <v>62</v>
      </c>
      <c r="U20" t="s">
        <v>62</v>
      </c>
      <c r="W20" t="s">
        <v>62</v>
      </c>
      <c r="AB20" t="s">
        <v>688</v>
      </c>
      <c r="AD20" t="s">
        <v>63</v>
      </c>
      <c r="AE20" t="s">
        <v>689</v>
      </c>
      <c r="AF20" s="646">
        <v>45325</v>
      </c>
      <c r="AG20" s="646">
        <v>45441</v>
      </c>
      <c r="AI20" s="646">
        <v>45335</v>
      </c>
      <c r="AJ20" s="646">
        <v>45335</v>
      </c>
      <c r="AK20" s="646">
        <v>45335</v>
      </c>
      <c r="AM20" t="s">
        <v>690</v>
      </c>
    </row>
    <row r="21" spans="1:39" ht="26.4" x14ac:dyDescent="0.25">
      <c r="A21">
        <v>139</v>
      </c>
      <c r="B21">
        <v>39087</v>
      </c>
      <c r="C21" t="s">
        <v>64</v>
      </c>
      <c r="D21" t="s">
        <v>691</v>
      </c>
      <c r="E21" t="s">
        <v>660</v>
      </c>
      <c r="F21" t="s">
        <v>661</v>
      </c>
      <c r="G21" t="s">
        <v>13</v>
      </c>
      <c r="H21" s="646">
        <v>43697</v>
      </c>
      <c r="I21">
        <v>482</v>
      </c>
      <c r="J21" t="s">
        <v>58</v>
      </c>
      <c r="K21" s="653" t="s">
        <v>59</v>
      </c>
      <c r="L21" s="646">
        <v>44858</v>
      </c>
      <c r="M21" t="s">
        <v>60</v>
      </c>
      <c r="N21" s="646">
        <v>44838</v>
      </c>
      <c r="R21" t="s">
        <v>68</v>
      </c>
      <c r="T21" t="s">
        <v>68</v>
      </c>
      <c r="U21" t="s">
        <v>68</v>
      </c>
      <c r="W21" t="s">
        <v>68</v>
      </c>
      <c r="AB21" t="s">
        <v>692</v>
      </c>
      <c r="AD21" t="s">
        <v>63</v>
      </c>
      <c r="AF21" s="646">
        <v>45294</v>
      </c>
      <c r="AG21" s="646">
        <v>45441</v>
      </c>
      <c r="AI21" s="646">
        <v>45294</v>
      </c>
      <c r="AJ21" s="646">
        <v>45294</v>
      </c>
      <c r="AK21" s="646">
        <v>45294</v>
      </c>
      <c r="AM21" t="s">
        <v>690</v>
      </c>
    </row>
    <row r="22" spans="1:39" ht="26.4" x14ac:dyDescent="0.25">
      <c r="A22">
        <v>138</v>
      </c>
      <c r="B22">
        <v>37512</v>
      </c>
      <c r="C22" t="s">
        <v>54</v>
      </c>
      <c r="D22" t="s">
        <v>693</v>
      </c>
      <c r="E22" t="s">
        <v>660</v>
      </c>
      <c r="F22" t="s">
        <v>661</v>
      </c>
      <c r="G22" t="s">
        <v>13</v>
      </c>
      <c r="H22" s="646">
        <v>44195</v>
      </c>
      <c r="I22">
        <v>835</v>
      </c>
      <c r="J22" t="s">
        <v>58</v>
      </c>
      <c r="K22" s="653" t="s">
        <v>59</v>
      </c>
      <c r="L22" t="s">
        <v>63</v>
      </c>
      <c r="M22" t="s">
        <v>60</v>
      </c>
      <c r="N22" t="s">
        <v>63</v>
      </c>
      <c r="O22" s="646">
        <v>44606</v>
      </c>
      <c r="Q22" t="s">
        <v>75</v>
      </c>
      <c r="R22" t="s">
        <v>75</v>
      </c>
      <c r="T22" t="s">
        <v>62</v>
      </c>
      <c r="U22" t="s">
        <v>62</v>
      </c>
      <c r="X22" t="s">
        <v>75</v>
      </c>
      <c r="AD22" t="s">
        <v>63</v>
      </c>
      <c r="AF22" s="646">
        <v>45276</v>
      </c>
      <c r="AG22" s="646">
        <v>45466</v>
      </c>
      <c r="AI22" s="646">
        <v>45276</v>
      </c>
      <c r="AJ22" s="646">
        <v>45276</v>
      </c>
      <c r="AK22" s="646">
        <v>45466</v>
      </c>
      <c r="AM22" t="s">
        <v>694</v>
      </c>
    </row>
    <row r="23" spans="1:39" ht="26.4" x14ac:dyDescent="0.25">
      <c r="A23">
        <v>137</v>
      </c>
      <c r="B23">
        <v>37512</v>
      </c>
      <c r="C23" t="s">
        <v>64</v>
      </c>
      <c r="D23" t="s">
        <v>695</v>
      </c>
      <c r="E23" t="s">
        <v>660</v>
      </c>
      <c r="F23" t="s">
        <v>661</v>
      </c>
      <c r="G23" t="s">
        <v>13</v>
      </c>
      <c r="H23" s="646">
        <v>44195</v>
      </c>
      <c r="I23">
        <v>946</v>
      </c>
      <c r="J23" t="s">
        <v>58</v>
      </c>
      <c r="K23" s="653" t="s">
        <v>59</v>
      </c>
      <c r="L23" t="s">
        <v>75</v>
      </c>
      <c r="M23" t="s">
        <v>60</v>
      </c>
      <c r="N23" t="s">
        <v>63</v>
      </c>
      <c r="O23" s="646">
        <v>44606</v>
      </c>
      <c r="Q23" t="s">
        <v>75</v>
      </c>
      <c r="R23" t="s">
        <v>75</v>
      </c>
      <c r="T23" t="s">
        <v>68</v>
      </c>
      <c r="U23" t="s">
        <v>68</v>
      </c>
      <c r="X23" t="s">
        <v>75</v>
      </c>
      <c r="AD23" t="s">
        <v>63</v>
      </c>
      <c r="AF23" s="646">
        <v>45276</v>
      </c>
      <c r="AG23" s="646">
        <v>45466</v>
      </c>
      <c r="AI23" s="646">
        <v>45276</v>
      </c>
      <c r="AJ23" s="646">
        <v>45276</v>
      </c>
      <c r="AK23" s="646">
        <v>45465</v>
      </c>
      <c r="AM23" t="s">
        <v>694</v>
      </c>
    </row>
    <row r="24" spans="1:39" ht="26.4" x14ac:dyDescent="0.25">
      <c r="A24">
        <v>136</v>
      </c>
      <c r="B24">
        <v>37510</v>
      </c>
      <c r="C24" t="s">
        <v>54</v>
      </c>
      <c r="D24" t="s">
        <v>696</v>
      </c>
      <c r="E24" t="s">
        <v>660</v>
      </c>
      <c r="F24" t="s">
        <v>661</v>
      </c>
      <c r="G24" t="s">
        <v>13</v>
      </c>
      <c r="H24" s="646">
        <v>44192</v>
      </c>
      <c r="I24">
        <v>947</v>
      </c>
      <c r="J24" t="s">
        <v>58</v>
      </c>
      <c r="K24" s="653" t="s">
        <v>59</v>
      </c>
      <c r="L24" t="s">
        <v>75</v>
      </c>
      <c r="M24" t="s">
        <v>60</v>
      </c>
      <c r="N24" t="s">
        <v>63</v>
      </c>
      <c r="O24" s="646">
        <v>44597</v>
      </c>
      <c r="Q24" t="s">
        <v>75</v>
      </c>
      <c r="R24" t="s">
        <v>75</v>
      </c>
      <c r="T24" t="s">
        <v>68</v>
      </c>
      <c r="U24" t="s">
        <v>62</v>
      </c>
      <c r="X24" t="s">
        <v>75</v>
      </c>
      <c r="AD24" t="s">
        <v>63</v>
      </c>
      <c r="AG24" t="s">
        <v>697</v>
      </c>
      <c r="AK24" t="s">
        <v>698</v>
      </c>
      <c r="AM24" t="s">
        <v>697</v>
      </c>
    </row>
    <row r="25" spans="1:39" ht="26.4" x14ac:dyDescent="0.25">
      <c r="A25">
        <v>135</v>
      </c>
      <c r="B25">
        <v>37510</v>
      </c>
      <c r="C25" t="s">
        <v>64</v>
      </c>
      <c r="D25" t="s">
        <v>699</v>
      </c>
      <c r="E25" t="s">
        <v>660</v>
      </c>
      <c r="F25" t="s">
        <v>661</v>
      </c>
      <c r="G25" t="s">
        <v>13</v>
      </c>
      <c r="H25" s="646">
        <v>44192</v>
      </c>
      <c r="I25">
        <v>842</v>
      </c>
      <c r="J25" t="s">
        <v>58</v>
      </c>
      <c r="K25" s="653" t="s">
        <v>59</v>
      </c>
      <c r="L25" t="s">
        <v>63</v>
      </c>
      <c r="M25" t="s">
        <v>60</v>
      </c>
      <c r="N25" t="s">
        <v>63</v>
      </c>
      <c r="O25" s="646">
        <v>44597</v>
      </c>
      <c r="Q25" t="s">
        <v>75</v>
      </c>
      <c r="R25" t="s">
        <v>75</v>
      </c>
      <c r="U25" t="s">
        <v>68</v>
      </c>
      <c r="X25" t="s">
        <v>75</v>
      </c>
      <c r="AD25" t="s">
        <v>63</v>
      </c>
      <c r="AG25" t="s">
        <v>697</v>
      </c>
      <c r="AK25" t="s">
        <v>698</v>
      </c>
      <c r="AM25" t="s">
        <v>697</v>
      </c>
    </row>
    <row r="26" spans="1:39" ht="26.4" x14ac:dyDescent="0.25">
      <c r="A26">
        <v>134</v>
      </c>
      <c r="B26">
        <v>37468</v>
      </c>
      <c r="C26" t="s">
        <v>54</v>
      </c>
      <c r="D26" t="s">
        <v>700</v>
      </c>
      <c r="E26" t="s">
        <v>660</v>
      </c>
      <c r="F26" t="s">
        <v>661</v>
      </c>
      <c r="G26" t="s">
        <v>13</v>
      </c>
      <c r="H26" s="646">
        <v>44134</v>
      </c>
      <c r="I26">
        <v>973</v>
      </c>
      <c r="J26" t="s">
        <v>58</v>
      </c>
      <c r="K26" s="653" t="s">
        <v>59</v>
      </c>
      <c r="L26" t="s">
        <v>75</v>
      </c>
      <c r="M26" t="s">
        <v>60</v>
      </c>
      <c r="N26" s="646">
        <v>44146</v>
      </c>
      <c r="O26" s="646">
        <v>44621</v>
      </c>
      <c r="Q26" t="s">
        <v>75</v>
      </c>
      <c r="R26" t="s">
        <v>75</v>
      </c>
      <c r="T26" t="s">
        <v>62</v>
      </c>
      <c r="U26" t="s">
        <v>62</v>
      </c>
      <c r="X26" t="s">
        <v>75</v>
      </c>
      <c r="AD26" t="s">
        <v>63</v>
      </c>
      <c r="AG26" s="646">
        <v>45427</v>
      </c>
      <c r="AM26" t="s">
        <v>662</v>
      </c>
    </row>
    <row r="27" spans="1:39" ht="26.4" x14ac:dyDescent="0.25">
      <c r="A27">
        <v>133</v>
      </c>
      <c r="B27">
        <v>37468</v>
      </c>
      <c r="C27" t="s">
        <v>64</v>
      </c>
      <c r="D27" t="s">
        <v>701</v>
      </c>
      <c r="E27" t="s">
        <v>660</v>
      </c>
      <c r="F27" t="s">
        <v>661</v>
      </c>
      <c r="G27" t="s">
        <v>13</v>
      </c>
      <c r="H27" s="646">
        <v>44134</v>
      </c>
      <c r="I27">
        <v>972</v>
      </c>
      <c r="J27" t="s">
        <v>58</v>
      </c>
      <c r="K27" s="653" t="s">
        <v>59</v>
      </c>
      <c r="L27" t="s">
        <v>75</v>
      </c>
      <c r="M27" t="s">
        <v>60</v>
      </c>
      <c r="N27" s="646">
        <v>44146</v>
      </c>
      <c r="O27" s="646">
        <v>44621</v>
      </c>
      <c r="Q27" t="s">
        <v>75</v>
      </c>
      <c r="R27" t="s">
        <v>75</v>
      </c>
      <c r="T27" t="s">
        <v>68</v>
      </c>
      <c r="U27" t="s">
        <v>68</v>
      </c>
      <c r="X27" t="s">
        <v>75</v>
      </c>
      <c r="AD27" t="s">
        <v>63</v>
      </c>
      <c r="AG27" s="646">
        <v>45427</v>
      </c>
      <c r="AM27" t="s">
        <v>662</v>
      </c>
    </row>
    <row r="28" spans="1:39" ht="26.4" x14ac:dyDescent="0.25">
      <c r="A28">
        <v>132</v>
      </c>
      <c r="B28">
        <v>37458</v>
      </c>
      <c r="C28" t="s">
        <v>54</v>
      </c>
      <c r="D28" t="s">
        <v>702</v>
      </c>
      <c r="E28" t="s">
        <v>660</v>
      </c>
      <c r="F28" t="s">
        <v>661</v>
      </c>
      <c r="G28" t="s">
        <v>13</v>
      </c>
      <c r="H28" s="646">
        <v>44133</v>
      </c>
      <c r="I28">
        <v>932</v>
      </c>
      <c r="J28" t="s">
        <v>58</v>
      </c>
      <c r="K28" s="653" t="s">
        <v>59</v>
      </c>
      <c r="L28" t="s">
        <v>75</v>
      </c>
      <c r="Q28" t="s">
        <v>75</v>
      </c>
      <c r="R28" t="s">
        <v>75</v>
      </c>
      <c r="X28" t="s">
        <v>75</v>
      </c>
      <c r="AG28" s="646">
        <v>45491</v>
      </c>
      <c r="AJ28" s="646">
        <v>45401</v>
      </c>
      <c r="AK28" s="646">
        <v>45401</v>
      </c>
      <c r="AM28" t="s">
        <v>703</v>
      </c>
    </row>
    <row r="29" spans="1:39" ht="26.4" x14ac:dyDescent="0.25">
      <c r="A29">
        <v>131</v>
      </c>
      <c r="B29">
        <v>37458</v>
      </c>
      <c r="C29" t="s">
        <v>64</v>
      </c>
      <c r="D29" t="s">
        <v>704</v>
      </c>
      <c r="E29" t="s">
        <v>660</v>
      </c>
      <c r="F29" t="s">
        <v>661</v>
      </c>
      <c r="G29" t="s">
        <v>13</v>
      </c>
      <c r="H29" s="646">
        <v>44133</v>
      </c>
      <c r="I29">
        <v>933</v>
      </c>
      <c r="J29" t="s">
        <v>58</v>
      </c>
      <c r="K29" s="653" t="s">
        <v>59</v>
      </c>
      <c r="L29" t="s">
        <v>75</v>
      </c>
      <c r="Q29" t="s">
        <v>75</v>
      </c>
      <c r="R29" t="s">
        <v>75</v>
      </c>
      <c r="X29" t="s">
        <v>75</v>
      </c>
      <c r="AG29" s="646">
        <v>45491</v>
      </c>
      <c r="AJ29" s="646">
        <v>45401</v>
      </c>
      <c r="AK29" s="646">
        <v>45401</v>
      </c>
      <c r="AM29" t="s">
        <v>703</v>
      </c>
    </row>
    <row r="30" spans="1:39" ht="26.4" x14ac:dyDescent="0.25">
      <c r="A30">
        <v>130</v>
      </c>
      <c r="B30">
        <v>37440</v>
      </c>
      <c r="C30" t="s">
        <v>54</v>
      </c>
      <c r="D30" t="s">
        <v>705</v>
      </c>
      <c r="E30" t="s">
        <v>660</v>
      </c>
      <c r="F30" t="s">
        <v>661</v>
      </c>
      <c r="G30" t="s">
        <v>13</v>
      </c>
      <c r="H30" s="646">
        <v>44077</v>
      </c>
      <c r="I30">
        <v>840</v>
      </c>
      <c r="J30" t="s">
        <v>58</v>
      </c>
      <c r="K30" s="653" t="s">
        <v>59</v>
      </c>
      <c r="L30" s="646">
        <v>44834</v>
      </c>
      <c r="M30" t="s">
        <v>60</v>
      </c>
      <c r="N30" s="646">
        <v>44834</v>
      </c>
      <c r="Q30" t="s">
        <v>75</v>
      </c>
      <c r="R30" t="s">
        <v>75</v>
      </c>
      <c r="T30" t="s">
        <v>62</v>
      </c>
      <c r="U30" t="s">
        <v>62</v>
      </c>
      <c r="X30" t="s">
        <v>75</v>
      </c>
      <c r="AD30" t="s">
        <v>62</v>
      </c>
      <c r="AG30" t="s">
        <v>706</v>
      </c>
      <c r="AK30" t="s">
        <v>707</v>
      </c>
      <c r="AM30" t="s">
        <v>708</v>
      </c>
    </row>
    <row r="31" spans="1:39" ht="26.4" x14ac:dyDescent="0.25">
      <c r="A31">
        <v>129</v>
      </c>
      <c r="B31">
        <v>37440</v>
      </c>
      <c r="C31" t="s">
        <v>64</v>
      </c>
      <c r="D31" t="s">
        <v>709</v>
      </c>
      <c r="E31" t="s">
        <v>660</v>
      </c>
      <c r="F31" t="s">
        <v>661</v>
      </c>
      <c r="G31" t="s">
        <v>13</v>
      </c>
      <c r="H31" s="646">
        <v>44077</v>
      </c>
      <c r="I31">
        <v>847</v>
      </c>
      <c r="J31" t="s">
        <v>58</v>
      </c>
      <c r="K31" s="653" t="s">
        <v>59</v>
      </c>
      <c r="L31" s="646">
        <v>44834</v>
      </c>
      <c r="M31" t="s">
        <v>60</v>
      </c>
      <c r="N31" s="646">
        <v>44834</v>
      </c>
      <c r="Q31" t="s">
        <v>75</v>
      </c>
      <c r="R31" t="s">
        <v>75</v>
      </c>
      <c r="T31" t="s">
        <v>68</v>
      </c>
      <c r="U31" t="s">
        <v>68</v>
      </c>
      <c r="X31" t="s">
        <v>75</v>
      </c>
      <c r="AD31" t="s">
        <v>68</v>
      </c>
      <c r="AE31" t="s">
        <v>710</v>
      </c>
      <c r="AG31" t="s">
        <v>706</v>
      </c>
      <c r="AK31" t="s">
        <v>707</v>
      </c>
      <c r="AM31" t="s">
        <v>708</v>
      </c>
    </row>
    <row r="32" spans="1:39" x14ac:dyDescent="0.25">
      <c r="A32">
        <v>128</v>
      </c>
      <c r="B32">
        <v>37426</v>
      </c>
      <c r="C32" t="s">
        <v>54</v>
      </c>
      <c r="D32" t="s">
        <v>711</v>
      </c>
      <c r="E32" t="s">
        <v>660</v>
      </c>
      <c r="F32" t="s">
        <v>661</v>
      </c>
      <c r="G32" t="s">
        <v>13</v>
      </c>
      <c r="H32" s="646">
        <v>44062</v>
      </c>
      <c r="I32">
        <v>809</v>
      </c>
      <c r="J32" t="s">
        <v>58</v>
      </c>
      <c r="Q32" t="s">
        <v>75</v>
      </c>
      <c r="R32" t="s">
        <v>75</v>
      </c>
      <c r="X32" t="s">
        <v>75</v>
      </c>
      <c r="AD32" t="s">
        <v>63</v>
      </c>
      <c r="AF32" s="646">
        <v>45302</v>
      </c>
      <c r="AG32" s="646">
        <v>45468</v>
      </c>
      <c r="AI32" s="646">
        <v>45302</v>
      </c>
      <c r="AJ32" s="646">
        <v>45302</v>
      </c>
      <c r="AK32" s="646">
        <v>45468</v>
      </c>
      <c r="AM32" t="s">
        <v>697</v>
      </c>
    </row>
    <row r="33" spans="1:39" x14ac:dyDescent="0.25">
      <c r="A33">
        <v>127</v>
      </c>
      <c r="B33">
        <v>37426</v>
      </c>
      <c r="C33" t="s">
        <v>64</v>
      </c>
      <c r="D33" t="s">
        <v>712</v>
      </c>
      <c r="E33" t="s">
        <v>660</v>
      </c>
      <c r="F33" t="s">
        <v>661</v>
      </c>
      <c r="G33" t="s">
        <v>13</v>
      </c>
      <c r="H33" s="646">
        <v>44062</v>
      </c>
      <c r="I33">
        <v>808</v>
      </c>
      <c r="J33" t="s">
        <v>58</v>
      </c>
      <c r="Q33" t="s">
        <v>75</v>
      </c>
      <c r="R33" t="s">
        <v>75</v>
      </c>
      <c r="X33" t="s">
        <v>75</v>
      </c>
      <c r="AD33" t="s">
        <v>63</v>
      </c>
      <c r="AF33" s="646">
        <v>45302</v>
      </c>
      <c r="AG33" s="646">
        <v>45468</v>
      </c>
      <c r="AI33" s="646">
        <v>45302</v>
      </c>
      <c r="AJ33" s="646">
        <v>45302</v>
      </c>
      <c r="AK33" s="646">
        <v>45468</v>
      </c>
      <c r="AM33" t="s">
        <v>697</v>
      </c>
    </row>
    <row r="34" spans="1:39" ht="26.4" x14ac:dyDescent="0.25">
      <c r="A34">
        <v>126</v>
      </c>
      <c r="B34">
        <v>37381</v>
      </c>
      <c r="C34" t="s">
        <v>54</v>
      </c>
      <c r="D34" t="s">
        <v>713</v>
      </c>
      <c r="E34" t="s">
        <v>660</v>
      </c>
      <c r="F34" t="s">
        <v>661</v>
      </c>
      <c r="G34" t="s">
        <v>13</v>
      </c>
      <c r="H34" s="646">
        <v>44012</v>
      </c>
      <c r="I34">
        <v>758</v>
      </c>
      <c r="J34" t="s">
        <v>58</v>
      </c>
      <c r="K34" s="653" t="s">
        <v>59</v>
      </c>
      <c r="L34" s="646">
        <v>44152</v>
      </c>
      <c r="M34" t="s">
        <v>60</v>
      </c>
      <c r="N34" s="646">
        <v>44152</v>
      </c>
      <c r="O34" s="646">
        <v>44276</v>
      </c>
      <c r="Q34" t="s">
        <v>75</v>
      </c>
      <c r="R34" t="s">
        <v>75</v>
      </c>
      <c r="S34" t="s">
        <v>62</v>
      </c>
      <c r="T34" t="s">
        <v>62</v>
      </c>
      <c r="U34" t="s">
        <v>62</v>
      </c>
      <c r="AB34" t="s">
        <v>714</v>
      </c>
      <c r="AD34" t="s">
        <v>63</v>
      </c>
      <c r="AF34" s="646">
        <v>373997</v>
      </c>
      <c r="AG34" s="646">
        <v>45483</v>
      </c>
      <c r="AI34" s="646">
        <v>373997</v>
      </c>
      <c r="AJ34" s="646">
        <v>373997</v>
      </c>
      <c r="AK34" t="s">
        <v>715</v>
      </c>
      <c r="AM34" s="646">
        <v>45483</v>
      </c>
    </row>
    <row r="35" spans="1:39" ht="26.4" x14ac:dyDescent="0.25">
      <c r="A35">
        <v>125</v>
      </c>
      <c r="B35">
        <v>37381</v>
      </c>
      <c r="C35" t="s">
        <v>64</v>
      </c>
      <c r="D35" t="s">
        <v>716</v>
      </c>
      <c r="E35" t="s">
        <v>660</v>
      </c>
      <c r="F35" t="s">
        <v>661</v>
      </c>
      <c r="G35" t="s">
        <v>13</v>
      </c>
      <c r="H35" s="646">
        <v>44012</v>
      </c>
      <c r="I35">
        <v>710</v>
      </c>
      <c r="J35" t="s">
        <v>58</v>
      </c>
      <c r="K35" s="653" t="s">
        <v>59</v>
      </c>
      <c r="L35" s="646">
        <v>44152</v>
      </c>
      <c r="M35" t="s">
        <v>60</v>
      </c>
      <c r="N35" s="646">
        <v>44152</v>
      </c>
      <c r="O35" s="646">
        <v>44276</v>
      </c>
      <c r="Q35" t="s">
        <v>75</v>
      </c>
      <c r="R35" t="s">
        <v>75</v>
      </c>
      <c r="S35" t="s">
        <v>68</v>
      </c>
      <c r="T35" t="s">
        <v>68</v>
      </c>
      <c r="U35" t="s">
        <v>68</v>
      </c>
      <c r="AD35" t="s">
        <v>63</v>
      </c>
      <c r="AF35" s="646">
        <v>373997</v>
      </c>
      <c r="AG35" s="646">
        <v>45483</v>
      </c>
      <c r="AI35" s="646">
        <v>373997</v>
      </c>
      <c r="AJ35" s="646">
        <v>373997</v>
      </c>
      <c r="AK35" t="s">
        <v>715</v>
      </c>
      <c r="AM35" s="646">
        <v>45483</v>
      </c>
    </row>
    <row r="36" spans="1:39" ht="26.4" x14ac:dyDescent="0.25">
      <c r="A36">
        <v>124</v>
      </c>
      <c r="B36">
        <v>37380</v>
      </c>
      <c r="C36" t="s">
        <v>54</v>
      </c>
      <c r="D36" t="s">
        <v>717</v>
      </c>
      <c r="E36" t="s">
        <v>660</v>
      </c>
      <c r="F36" t="s">
        <v>661</v>
      </c>
      <c r="G36" t="s">
        <v>13</v>
      </c>
      <c r="H36" s="646">
        <v>44012</v>
      </c>
      <c r="I36">
        <v>753</v>
      </c>
      <c r="J36" t="s">
        <v>58</v>
      </c>
      <c r="K36" s="653" t="s">
        <v>718</v>
      </c>
      <c r="M36" t="s">
        <v>60</v>
      </c>
      <c r="Q36" t="s">
        <v>75</v>
      </c>
      <c r="R36" t="s">
        <v>75</v>
      </c>
      <c r="T36" t="s">
        <v>62</v>
      </c>
      <c r="U36" t="s">
        <v>62</v>
      </c>
      <c r="W36" t="s">
        <v>62</v>
      </c>
      <c r="AD36" t="s">
        <v>63</v>
      </c>
      <c r="AG36" t="s">
        <v>684</v>
      </c>
      <c r="AK36" t="s">
        <v>684</v>
      </c>
      <c r="AM36" t="s">
        <v>684</v>
      </c>
    </row>
    <row r="37" spans="1:39" ht="26.4" x14ac:dyDescent="0.25">
      <c r="A37">
        <v>123</v>
      </c>
      <c r="B37">
        <v>37380</v>
      </c>
      <c r="C37" t="s">
        <v>64</v>
      </c>
      <c r="D37" t="s">
        <v>719</v>
      </c>
      <c r="E37" t="s">
        <v>660</v>
      </c>
      <c r="F37" t="s">
        <v>661</v>
      </c>
      <c r="G37" t="s">
        <v>13</v>
      </c>
      <c r="H37" s="646">
        <v>44012</v>
      </c>
      <c r="I37">
        <v>594</v>
      </c>
      <c r="J37" t="s">
        <v>58</v>
      </c>
      <c r="K37" s="653" t="s">
        <v>720</v>
      </c>
      <c r="M37" t="s">
        <v>60</v>
      </c>
      <c r="Q37" t="s">
        <v>75</v>
      </c>
      <c r="R37" t="s">
        <v>75</v>
      </c>
      <c r="T37" t="s">
        <v>68</v>
      </c>
      <c r="U37" t="s">
        <v>68</v>
      </c>
      <c r="W37" t="s">
        <v>68</v>
      </c>
      <c r="AD37" t="s">
        <v>63</v>
      </c>
      <c r="AE37" s="646">
        <v>44854</v>
      </c>
      <c r="AF37" s="646">
        <v>45360</v>
      </c>
      <c r="AG37" t="s">
        <v>684</v>
      </c>
      <c r="AK37" t="s">
        <v>684</v>
      </c>
      <c r="AM37" t="s">
        <v>684</v>
      </c>
    </row>
    <row r="38" spans="1:39" ht="26.4" x14ac:dyDescent="0.25">
      <c r="A38">
        <v>120</v>
      </c>
      <c r="B38">
        <v>37221</v>
      </c>
      <c r="C38" t="s">
        <v>54</v>
      </c>
      <c r="D38" t="s">
        <v>721</v>
      </c>
      <c r="E38" t="s">
        <v>660</v>
      </c>
      <c r="F38" t="s">
        <v>661</v>
      </c>
      <c r="G38" t="s">
        <v>13</v>
      </c>
      <c r="H38" s="646">
        <v>43677</v>
      </c>
      <c r="I38">
        <v>517</v>
      </c>
      <c r="J38" t="s">
        <v>58</v>
      </c>
      <c r="K38" s="653" t="s">
        <v>59</v>
      </c>
      <c r="L38" s="646">
        <v>44839</v>
      </c>
      <c r="M38" t="s">
        <v>722</v>
      </c>
      <c r="N38" s="646">
        <v>44839</v>
      </c>
      <c r="O38" s="646">
        <v>44839</v>
      </c>
      <c r="P38" s="646">
        <v>44898</v>
      </c>
      <c r="Q38" t="s">
        <v>75</v>
      </c>
      <c r="R38" t="s">
        <v>62</v>
      </c>
      <c r="T38" t="s">
        <v>62</v>
      </c>
      <c r="U38" t="s">
        <v>62</v>
      </c>
      <c r="AB38" t="s">
        <v>723</v>
      </c>
      <c r="AD38" t="s">
        <v>62</v>
      </c>
      <c r="AF38" s="646">
        <v>45374</v>
      </c>
      <c r="AG38" t="s">
        <v>724</v>
      </c>
      <c r="AI38" s="646">
        <v>45374</v>
      </c>
      <c r="AJ38" s="646">
        <v>45374</v>
      </c>
      <c r="AK38" s="646">
        <v>45374</v>
      </c>
      <c r="AM38" t="s">
        <v>662</v>
      </c>
    </row>
    <row r="39" spans="1:39" ht="26.4" x14ac:dyDescent="0.25">
      <c r="A39">
        <v>119</v>
      </c>
      <c r="B39">
        <v>37221</v>
      </c>
      <c r="C39" t="s">
        <v>64</v>
      </c>
      <c r="D39" t="s">
        <v>725</v>
      </c>
      <c r="E39" t="s">
        <v>660</v>
      </c>
      <c r="F39" t="s">
        <v>661</v>
      </c>
      <c r="G39" t="s">
        <v>13</v>
      </c>
      <c r="H39" s="646">
        <v>43677</v>
      </c>
      <c r="I39">
        <v>516</v>
      </c>
      <c r="J39" t="s">
        <v>58</v>
      </c>
      <c r="K39" s="653" t="s">
        <v>59</v>
      </c>
      <c r="L39" s="646">
        <v>44839</v>
      </c>
      <c r="M39" t="s">
        <v>722</v>
      </c>
      <c r="N39" s="646">
        <v>44839</v>
      </c>
      <c r="O39" s="646">
        <v>44839</v>
      </c>
      <c r="P39" s="646">
        <v>44898</v>
      </c>
      <c r="Q39" t="s">
        <v>75</v>
      </c>
      <c r="R39" t="s">
        <v>68</v>
      </c>
      <c r="T39" t="s">
        <v>68</v>
      </c>
      <c r="U39" t="s">
        <v>68</v>
      </c>
      <c r="AB39" t="s">
        <v>726</v>
      </c>
      <c r="AD39" t="s">
        <v>68</v>
      </c>
      <c r="AE39" t="s">
        <v>710</v>
      </c>
      <c r="AG39" t="s">
        <v>724</v>
      </c>
      <c r="AK39" t="s">
        <v>727</v>
      </c>
      <c r="AM39" t="s">
        <v>662</v>
      </c>
    </row>
    <row r="40" spans="1:39" ht="26.4" x14ac:dyDescent="0.25">
      <c r="A40">
        <v>118</v>
      </c>
      <c r="B40">
        <v>37220</v>
      </c>
      <c r="C40" t="s">
        <v>54</v>
      </c>
      <c r="D40" t="s">
        <v>728</v>
      </c>
      <c r="E40" t="s">
        <v>660</v>
      </c>
      <c r="F40" t="s">
        <v>661</v>
      </c>
      <c r="G40" t="s">
        <v>13</v>
      </c>
      <c r="H40" s="646">
        <v>43676</v>
      </c>
      <c r="I40">
        <v>504</v>
      </c>
      <c r="J40" t="s">
        <v>58</v>
      </c>
      <c r="K40" s="653" t="s">
        <v>59</v>
      </c>
      <c r="L40" t="s">
        <v>63</v>
      </c>
      <c r="M40" t="s">
        <v>60</v>
      </c>
      <c r="N40" t="s">
        <v>63</v>
      </c>
      <c r="R40" t="s">
        <v>62</v>
      </c>
      <c r="U40" t="s">
        <v>62</v>
      </c>
      <c r="AB40" t="s">
        <v>729</v>
      </c>
      <c r="AD40" t="s">
        <v>63</v>
      </c>
      <c r="AF40" s="646">
        <v>45093</v>
      </c>
      <c r="AG40" s="646">
        <v>45477</v>
      </c>
      <c r="AI40" s="646">
        <v>45093</v>
      </c>
      <c r="AJ40" s="646">
        <v>45093</v>
      </c>
      <c r="AK40" s="646">
        <v>45093</v>
      </c>
      <c r="AM40" t="s">
        <v>730</v>
      </c>
    </row>
    <row r="41" spans="1:39" ht="26.4" x14ac:dyDescent="0.25">
      <c r="A41">
        <v>117</v>
      </c>
      <c r="B41">
        <v>37220</v>
      </c>
      <c r="C41" t="s">
        <v>64</v>
      </c>
      <c r="D41" t="s">
        <v>731</v>
      </c>
      <c r="E41" t="s">
        <v>660</v>
      </c>
      <c r="F41" t="s">
        <v>661</v>
      </c>
      <c r="G41" t="s">
        <v>13</v>
      </c>
      <c r="H41" s="646">
        <v>43676</v>
      </c>
      <c r="I41">
        <v>505</v>
      </c>
      <c r="J41" t="s">
        <v>58</v>
      </c>
      <c r="K41" s="653" t="s">
        <v>59</v>
      </c>
      <c r="L41" t="s">
        <v>63</v>
      </c>
      <c r="M41" t="s">
        <v>60</v>
      </c>
      <c r="N41" t="s">
        <v>63</v>
      </c>
      <c r="Q41" t="s">
        <v>75</v>
      </c>
      <c r="R41" t="s">
        <v>68</v>
      </c>
      <c r="U41" t="s">
        <v>68</v>
      </c>
      <c r="AB41" t="s">
        <v>732</v>
      </c>
      <c r="AD41" t="s">
        <v>63</v>
      </c>
      <c r="AF41" s="646">
        <v>45093</v>
      </c>
      <c r="AG41" s="646">
        <v>45477</v>
      </c>
      <c r="AI41" s="646">
        <v>45093</v>
      </c>
      <c r="AJ41" s="646">
        <v>45093</v>
      </c>
      <c r="AK41" s="646">
        <v>45093</v>
      </c>
      <c r="AM41" t="s">
        <v>730</v>
      </c>
    </row>
    <row r="42" spans="1:39" ht="26.4" x14ac:dyDescent="0.25">
      <c r="A42">
        <v>116</v>
      </c>
      <c r="B42">
        <v>37196</v>
      </c>
      <c r="C42" t="s">
        <v>54</v>
      </c>
      <c r="D42" t="s">
        <v>733</v>
      </c>
      <c r="E42" t="s">
        <v>660</v>
      </c>
      <c r="F42" t="s">
        <v>661</v>
      </c>
      <c r="G42" t="s">
        <v>13</v>
      </c>
      <c r="H42" s="646">
        <v>43635</v>
      </c>
      <c r="I42">
        <v>477</v>
      </c>
      <c r="J42" t="s">
        <v>58</v>
      </c>
      <c r="K42" s="653" t="s">
        <v>59</v>
      </c>
      <c r="L42" s="646">
        <v>44209</v>
      </c>
      <c r="M42" t="s">
        <v>60</v>
      </c>
      <c r="N42" s="646">
        <v>44653</v>
      </c>
      <c r="R42" t="s">
        <v>62</v>
      </c>
      <c r="S42" t="s">
        <v>62</v>
      </c>
      <c r="T42" t="s">
        <v>62</v>
      </c>
      <c r="U42" t="s">
        <v>62</v>
      </c>
      <c r="W42" t="s">
        <v>62</v>
      </c>
      <c r="AD42" t="s">
        <v>63</v>
      </c>
      <c r="AF42" s="646">
        <v>45275</v>
      </c>
      <c r="AG42" s="646">
        <v>45479</v>
      </c>
      <c r="AI42" s="646">
        <v>45275</v>
      </c>
      <c r="AJ42" s="646">
        <v>45275</v>
      </c>
      <c r="AK42" s="646">
        <v>45479</v>
      </c>
      <c r="AM42" s="646">
        <v>45479</v>
      </c>
    </row>
    <row r="43" spans="1:39" ht="26.4" x14ac:dyDescent="0.25">
      <c r="A43">
        <v>115</v>
      </c>
      <c r="B43">
        <v>37196</v>
      </c>
      <c r="C43" t="s">
        <v>64</v>
      </c>
      <c r="D43" t="s">
        <v>734</v>
      </c>
      <c r="E43" t="s">
        <v>660</v>
      </c>
      <c r="F43" t="s">
        <v>661</v>
      </c>
      <c r="G43" t="s">
        <v>13</v>
      </c>
      <c r="H43" s="646">
        <v>43635</v>
      </c>
      <c r="I43">
        <v>476</v>
      </c>
      <c r="J43" t="s">
        <v>58</v>
      </c>
      <c r="K43" s="653" t="s">
        <v>59</v>
      </c>
      <c r="L43" s="646">
        <v>44209</v>
      </c>
      <c r="M43" t="s">
        <v>60</v>
      </c>
      <c r="N43" s="646">
        <v>44209</v>
      </c>
      <c r="O43" s="646">
        <v>44306</v>
      </c>
      <c r="R43" t="s">
        <v>68</v>
      </c>
      <c r="T43" t="s">
        <v>68</v>
      </c>
      <c r="U43" t="s">
        <v>68</v>
      </c>
      <c r="W43" t="s">
        <v>68</v>
      </c>
      <c r="AD43" t="s">
        <v>63</v>
      </c>
      <c r="AF43" s="646">
        <v>45275</v>
      </c>
      <c r="AG43" s="646">
        <v>45479</v>
      </c>
      <c r="AI43" s="646">
        <v>45275</v>
      </c>
      <c r="AJ43" s="646">
        <v>45275</v>
      </c>
      <c r="AK43" s="646">
        <v>45479</v>
      </c>
      <c r="AM43" s="646">
        <v>45479</v>
      </c>
    </row>
    <row r="44" spans="1:39" ht="26.4" x14ac:dyDescent="0.25">
      <c r="A44">
        <v>114</v>
      </c>
      <c r="B44">
        <v>37177</v>
      </c>
      <c r="C44" t="s">
        <v>54</v>
      </c>
      <c r="D44" t="s">
        <v>735</v>
      </c>
      <c r="E44" t="s">
        <v>660</v>
      </c>
      <c r="F44" t="s">
        <v>661</v>
      </c>
      <c r="G44" t="s">
        <v>13</v>
      </c>
      <c r="H44" s="646">
        <v>43605</v>
      </c>
      <c r="I44">
        <v>458</v>
      </c>
      <c r="J44" t="s">
        <v>58</v>
      </c>
      <c r="K44" s="653" t="s">
        <v>59</v>
      </c>
      <c r="L44" s="646">
        <v>44139</v>
      </c>
      <c r="M44" t="s">
        <v>60</v>
      </c>
      <c r="N44" s="646">
        <v>44139</v>
      </c>
      <c r="R44" t="s">
        <v>62</v>
      </c>
      <c r="U44" t="s">
        <v>62</v>
      </c>
      <c r="AB44" s="646">
        <v>44798</v>
      </c>
      <c r="AF44" s="646">
        <v>45304</v>
      </c>
      <c r="AG44" t="s">
        <v>736</v>
      </c>
      <c r="AI44" s="646">
        <v>45304</v>
      </c>
      <c r="AJ44" s="646">
        <v>45304</v>
      </c>
      <c r="AK44" t="s">
        <v>737</v>
      </c>
      <c r="AM44" t="s">
        <v>662</v>
      </c>
    </row>
    <row r="45" spans="1:39" ht="26.4" x14ac:dyDescent="0.25">
      <c r="A45">
        <v>113</v>
      </c>
      <c r="B45">
        <v>37177</v>
      </c>
      <c r="C45" t="s">
        <v>64</v>
      </c>
      <c r="D45" t="s">
        <v>738</v>
      </c>
      <c r="E45" t="s">
        <v>660</v>
      </c>
      <c r="F45" t="s">
        <v>661</v>
      </c>
      <c r="G45" t="s">
        <v>13</v>
      </c>
      <c r="H45" s="646">
        <v>43605</v>
      </c>
      <c r="I45">
        <v>459</v>
      </c>
      <c r="J45" t="s">
        <v>58</v>
      </c>
      <c r="K45" s="653" t="s">
        <v>59</v>
      </c>
      <c r="L45" s="646">
        <v>44139</v>
      </c>
      <c r="M45" t="s">
        <v>60</v>
      </c>
      <c r="N45" s="646">
        <v>44139</v>
      </c>
      <c r="R45" t="s">
        <v>68</v>
      </c>
      <c r="U45" t="s">
        <v>68</v>
      </c>
      <c r="AF45" s="646">
        <v>45304</v>
      </c>
      <c r="AG45" t="s">
        <v>736</v>
      </c>
      <c r="AI45" s="646">
        <v>45304</v>
      </c>
      <c r="AJ45" s="646">
        <v>45304</v>
      </c>
      <c r="AK45" t="s">
        <v>737</v>
      </c>
      <c r="AM45" t="s">
        <v>662</v>
      </c>
    </row>
    <row r="46" spans="1:39" ht="26.4" x14ac:dyDescent="0.25">
      <c r="A46">
        <v>112</v>
      </c>
      <c r="B46">
        <v>37174</v>
      </c>
      <c r="C46" t="s">
        <v>54</v>
      </c>
      <c r="D46" t="s">
        <v>739</v>
      </c>
      <c r="E46" t="s">
        <v>660</v>
      </c>
      <c r="F46" t="s">
        <v>661</v>
      </c>
      <c r="G46" t="s">
        <v>13</v>
      </c>
      <c r="H46" s="646">
        <v>43603</v>
      </c>
      <c r="I46">
        <v>428</v>
      </c>
      <c r="J46" t="s">
        <v>58</v>
      </c>
      <c r="K46" s="653" t="s">
        <v>59</v>
      </c>
      <c r="L46" s="646">
        <v>44144</v>
      </c>
      <c r="M46" t="s">
        <v>60</v>
      </c>
      <c r="N46" s="646">
        <v>44144</v>
      </c>
      <c r="O46" s="646">
        <v>44607</v>
      </c>
      <c r="R46" t="s">
        <v>62</v>
      </c>
      <c r="S46" t="s">
        <v>62</v>
      </c>
      <c r="U46" t="s">
        <v>62</v>
      </c>
      <c r="AD46" t="s">
        <v>63</v>
      </c>
      <c r="AF46" s="646">
        <v>45280</v>
      </c>
      <c r="AG46" s="646">
        <v>45482</v>
      </c>
      <c r="AI46" s="646">
        <v>45280</v>
      </c>
      <c r="AJ46" s="646">
        <v>45280</v>
      </c>
      <c r="AK46" s="646">
        <v>45482</v>
      </c>
      <c r="AM46" s="646">
        <v>45482</v>
      </c>
    </row>
    <row r="47" spans="1:39" ht="26.4" x14ac:dyDescent="0.25">
      <c r="A47">
        <v>111</v>
      </c>
      <c r="B47">
        <v>37174</v>
      </c>
      <c r="C47" t="s">
        <v>64</v>
      </c>
      <c r="D47" t="s">
        <v>740</v>
      </c>
      <c r="E47" t="s">
        <v>660</v>
      </c>
      <c r="F47" t="s">
        <v>661</v>
      </c>
      <c r="G47" t="s">
        <v>13</v>
      </c>
      <c r="H47" s="646">
        <v>43603</v>
      </c>
      <c r="I47">
        <v>434</v>
      </c>
      <c r="J47" t="s">
        <v>58</v>
      </c>
      <c r="K47" s="653" t="s">
        <v>59</v>
      </c>
      <c r="L47" s="646">
        <v>44144</v>
      </c>
      <c r="M47" t="s">
        <v>60</v>
      </c>
      <c r="N47" s="646">
        <v>44144</v>
      </c>
      <c r="O47" s="646">
        <v>44607</v>
      </c>
      <c r="R47" t="s">
        <v>68</v>
      </c>
      <c r="U47" t="s">
        <v>68</v>
      </c>
      <c r="X47" t="s">
        <v>68</v>
      </c>
      <c r="AD47" t="s">
        <v>63</v>
      </c>
      <c r="AF47" s="646">
        <v>45280</v>
      </c>
      <c r="AG47" s="646">
        <v>45482</v>
      </c>
      <c r="AI47" s="646">
        <v>45280</v>
      </c>
      <c r="AJ47" s="646">
        <v>45280</v>
      </c>
      <c r="AK47" s="646">
        <v>45481</v>
      </c>
      <c r="AM47" s="646">
        <v>45482</v>
      </c>
    </row>
    <row r="48" spans="1:39" ht="26.4" x14ac:dyDescent="0.25">
      <c r="A48">
        <v>110</v>
      </c>
      <c r="B48">
        <v>37146</v>
      </c>
      <c r="C48" t="s">
        <v>54</v>
      </c>
      <c r="D48" t="s">
        <v>741</v>
      </c>
      <c r="E48" t="s">
        <v>660</v>
      </c>
      <c r="F48" t="s">
        <v>661</v>
      </c>
      <c r="G48" t="s">
        <v>13</v>
      </c>
      <c r="H48" s="646">
        <v>43573</v>
      </c>
      <c r="I48">
        <v>338</v>
      </c>
      <c r="J48" t="s">
        <v>58</v>
      </c>
      <c r="K48" s="653" t="s">
        <v>59</v>
      </c>
      <c r="L48" s="646">
        <v>44150</v>
      </c>
      <c r="M48" t="s">
        <v>60</v>
      </c>
      <c r="N48" s="646">
        <v>44150</v>
      </c>
      <c r="O48" s="646">
        <v>44652</v>
      </c>
      <c r="R48" t="s">
        <v>62</v>
      </c>
      <c r="S48" t="s">
        <v>62</v>
      </c>
      <c r="U48" t="s">
        <v>62</v>
      </c>
      <c r="W48" t="s">
        <v>62</v>
      </c>
      <c r="X48" t="s">
        <v>62</v>
      </c>
      <c r="AB48" t="s">
        <v>742</v>
      </c>
      <c r="AD48" t="s">
        <v>63</v>
      </c>
      <c r="AF48" s="646">
        <v>45308</v>
      </c>
      <c r="AG48" s="646">
        <v>45461</v>
      </c>
      <c r="AJ48" s="646">
        <v>45308</v>
      </c>
      <c r="AK48" t="s">
        <v>743</v>
      </c>
      <c r="AM48" t="s">
        <v>743</v>
      </c>
    </row>
    <row r="49" spans="1:39" ht="26.4" x14ac:dyDescent="0.25">
      <c r="A49">
        <v>109</v>
      </c>
      <c r="B49">
        <v>37146</v>
      </c>
      <c r="C49" t="s">
        <v>64</v>
      </c>
      <c r="D49" t="s">
        <v>744</v>
      </c>
      <c r="E49" t="s">
        <v>660</v>
      </c>
      <c r="F49" t="s">
        <v>661</v>
      </c>
      <c r="G49" t="s">
        <v>13</v>
      </c>
      <c r="H49" s="646">
        <v>43573</v>
      </c>
      <c r="I49">
        <v>364</v>
      </c>
      <c r="J49" t="s">
        <v>58</v>
      </c>
      <c r="K49" s="653" t="s">
        <v>59</v>
      </c>
      <c r="L49" s="646">
        <v>44150</v>
      </c>
      <c r="M49" t="s">
        <v>60</v>
      </c>
      <c r="N49" s="646">
        <v>44150</v>
      </c>
      <c r="O49" s="646">
        <v>44652</v>
      </c>
      <c r="R49" t="s">
        <v>68</v>
      </c>
      <c r="S49" t="s">
        <v>68</v>
      </c>
      <c r="U49" t="s">
        <v>68</v>
      </c>
      <c r="W49" t="s">
        <v>68</v>
      </c>
      <c r="X49" t="s">
        <v>68</v>
      </c>
      <c r="AB49" t="s">
        <v>745</v>
      </c>
      <c r="AD49" t="s">
        <v>63</v>
      </c>
      <c r="AF49" s="646">
        <v>45308</v>
      </c>
      <c r="AG49" s="646">
        <v>45461</v>
      </c>
      <c r="AJ49" s="646">
        <v>45308</v>
      </c>
      <c r="AK49" t="s">
        <v>743</v>
      </c>
      <c r="AM49" t="s">
        <v>743</v>
      </c>
    </row>
    <row r="50" spans="1:39" ht="26.4" x14ac:dyDescent="0.25">
      <c r="A50">
        <v>108</v>
      </c>
      <c r="B50">
        <v>37141</v>
      </c>
      <c r="C50" t="s">
        <v>54</v>
      </c>
      <c r="D50" t="s">
        <v>746</v>
      </c>
      <c r="E50" t="s">
        <v>660</v>
      </c>
      <c r="F50" t="s">
        <v>661</v>
      </c>
      <c r="G50" t="s">
        <v>13</v>
      </c>
      <c r="H50" s="646">
        <v>43570</v>
      </c>
      <c r="I50">
        <v>335</v>
      </c>
      <c r="J50" t="s">
        <v>58</v>
      </c>
      <c r="K50" s="653" t="s">
        <v>59</v>
      </c>
      <c r="L50" s="646">
        <v>44651</v>
      </c>
      <c r="M50" t="s">
        <v>60</v>
      </c>
      <c r="O50" s="646">
        <v>44651</v>
      </c>
      <c r="R50" t="s">
        <v>62</v>
      </c>
      <c r="T50" t="s">
        <v>62</v>
      </c>
      <c r="U50" t="s">
        <v>62</v>
      </c>
      <c r="W50" t="s">
        <v>62</v>
      </c>
      <c r="X50" t="s">
        <v>62</v>
      </c>
      <c r="AB50" t="s">
        <v>747</v>
      </c>
      <c r="AD50" t="s">
        <v>63</v>
      </c>
      <c r="AF50" s="646">
        <v>45093</v>
      </c>
      <c r="AG50" t="s">
        <v>748</v>
      </c>
      <c r="AJ50" s="646">
        <v>45330</v>
      </c>
      <c r="AK50" s="646">
        <v>45329</v>
      </c>
      <c r="AM50" t="s">
        <v>670</v>
      </c>
    </row>
    <row r="51" spans="1:39" ht="26.4" x14ac:dyDescent="0.25">
      <c r="A51">
        <v>107</v>
      </c>
      <c r="B51">
        <v>37141</v>
      </c>
      <c r="C51" t="s">
        <v>64</v>
      </c>
      <c r="D51" t="s">
        <v>749</v>
      </c>
      <c r="E51" t="s">
        <v>660</v>
      </c>
      <c r="F51" t="s">
        <v>661</v>
      </c>
      <c r="G51" t="s">
        <v>13</v>
      </c>
      <c r="H51" s="646">
        <v>43570</v>
      </c>
      <c r="I51">
        <v>366</v>
      </c>
      <c r="J51" t="s">
        <v>58</v>
      </c>
      <c r="K51" s="653" t="s">
        <v>59</v>
      </c>
      <c r="L51" s="646">
        <v>44651</v>
      </c>
      <c r="M51" t="s">
        <v>60</v>
      </c>
      <c r="O51" s="646">
        <v>44651</v>
      </c>
      <c r="R51" t="s">
        <v>68</v>
      </c>
      <c r="T51" t="s">
        <v>68</v>
      </c>
      <c r="U51" t="s">
        <v>68</v>
      </c>
      <c r="W51" t="s">
        <v>68</v>
      </c>
      <c r="AB51" t="s">
        <v>750</v>
      </c>
      <c r="AD51" t="s">
        <v>63</v>
      </c>
      <c r="AF51" s="646">
        <v>45093</v>
      </c>
      <c r="AG51" t="s">
        <v>748</v>
      </c>
      <c r="AJ51" s="646">
        <v>45329</v>
      </c>
      <c r="AK51" s="646">
        <v>45329</v>
      </c>
      <c r="AM51" t="s">
        <v>670</v>
      </c>
    </row>
    <row r="52" spans="1:39" ht="26.4" x14ac:dyDescent="0.25">
      <c r="A52">
        <v>106</v>
      </c>
      <c r="B52">
        <v>37137</v>
      </c>
      <c r="C52" t="s">
        <v>54</v>
      </c>
      <c r="D52" t="s">
        <v>751</v>
      </c>
      <c r="E52" t="s">
        <v>660</v>
      </c>
      <c r="F52" t="s">
        <v>661</v>
      </c>
      <c r="G52" t="s">
        <v>13</v>
      </c>
      <c r="H52" s="646">
        <v>43553</v>
      </c>
      <c r="I52">
        <v>405</v>
      </c>
      <c r="J52" t="s">
        <v>58</v>
      </c>
      <c r="K52" s="653" t="s">
        <v>59</v>
      </c>
      <c r="L52" t="s">
        <v>63</v>
      </c>
      <c r="M52" t="s">
        <v>60</v>
      </c>
      <c r="N52" t="s">
        <v>63</v>
      </c>
      <c r="O52" s="646">
        <v>44676</v>
      </c>
      <c r="P52" s="646">
        <v>44910</v>
      </c>
      <c r="R52" t="s">
        <v>68</v>
      </c>
      <c r="U52" t="s">
        <v>62</v>
      </c>
      <c r="W52" t="s">
        <v>62</v>
      </c>
      <c r="AD52" t="s">
        <v>63</v>
      </c>
      <c r="AF52" s="646">
        <v>45274</v>
      </c>
      <c r="AG52" s="646">
        <v>45461</v>
      </c>
      <c r="AI52" s="646">
        <v>45166</v>
      </c>
      <c r="AJ52" s="646">
        <v>45166</v>
      </c>
      <c r="AK52" s="646">
        <v>45166</v>
      </c>
      <c r="AM52" s="646">
        <v>45461</v>
      </c>
    </row>
    <row r="53" spans="1:39" ht="26.4" x14ac:dyDescent="0.25">
      <c r="A53">
        <v>105</v>
      </c>
      <c r="B53">
        <v>37137</v>
      </c>
      <c r="C53" t="s">
        <v>64</v>
      </c>
      <c r="D53" t="s">
        <v>752</v>
      </c>
      <c r="E53" t="s">
        <v>660</v>
      </c>
      <c r="F53" t="s">
        <v>661</v>
      </c>
      <c r="G53" t="s">
        <v>13</v>
      </c>
      <c r="H53" s="646">
        <v>43553</v>
      </c>
      <c r="I53">
        <v>404</v>
      </c>
      <c r="J53" t="s">
        <v>58</v>
      </c>
      <c r="K53" s="653" t="s">
        <v>59</v>
      </c>
      <c r="L53" t="s">
        <v>63</v>
      </c>
      <c r="M53" t="s">
        <v>60</v>
      </c>
      <c r="N53" t="s">
        <v>63</v>
      </c>
      <c r="O53" s="646">
        <v>44676</v>
      </c>
      <c r="P53" s="646">
        <v>44910</v>
      </c>
      <c r="R53" t="s">
        <v>68</v>
      </c>
      <c r="U53" t="s">
        <v>68</v>
      </c>
      <c r="W53" t="s">
        <v>68</v>
      </c>
      <c r="AD53" t="s">
        <v>63</v>
      </c>
      <c r="AF53" s="646">
        <v>45274</v>
      </c>
      <c r="AG53" s="646">
        <v>45461</v>
      </c>
      <c r="AI53" s="646">
        <v>45166</v>
      </c>
      <c r="AJ53" s="646">
        <v>45166</v>
      </c>
      <c r="AK53" s="646">
        <v>45166</v>
      </c>
      <c r="AM53" s="646">
        <v>45461</v>
      </c>
    </row>
    <row r="54" spans="1:39" ht="26.4" x14ac:dyDescent="0.25">
      <c r="A54">
        <v>104</v>
      </c>
      <c r="B54">
        <v>37132</v>
      </c>
      <c r="C54" t="s">
        <v>54</v>
      </c>
      <c r="D54" t="s">
        <v>753</v>
      </c>
      <c r="E54" t="s">
        <v>660</v>
      </c>
      <c r="F54" t="s">
        <v>661</v>
      </c>
      <c r="G54" t="s">
        <v>13</v>
      </c>
      <c r="H54" s="646">
        <v>43552</v>
      </c>
      <c r="I54">
        <v>314</v>
      </c>
      <c r="J54" t="s">
        <v>58</v>
      </c>
      <c r="K54" s="653" t="s">
        <v>59</v>
      </c>
      <c r="L54" t="s">
        <v>63</v>
      </c>
      <c r="M54" t="s">
        <v>60</v>
      </c>
      <c r="N54" t="s">
        <v>63</v>
      </c>
      <c r="O54" s="646">
        <v>44853</v>
      </c>
      <c r="R54" t="s">
        <v>62</v>
      </c>
      <c r="T54" t="s">
        <v>62</v>
      </c>
      <c r="U54" t="s">
        <v>62</v>
      </c>
      <c r="V54" t="s">
        <v>62</v>
      </c>
      <c r="W54" t="s">
        <v>62</v>
      </c>
      <c r="AD54" t="s">
        <v>62</v>
      </c>
      <c r="AE54" t="s">
        <v>689</v>
      </c>
      <c r="AF54" s="646">
        <v>45163</v>
      </c>
      <c r="AG54" s="646">
        <v>45466</v>
      </c>
      <c r="AI54" s="646">
        <v>45163</v>
      </c>
      <c r="AJ54" s="646">
        <v>45163</v>
      </c>
      <c r="AK54" s="646">
        <v>45163</v>
      </c>
      <c r="AM54" s="646">
        <v>45464</v>
      </c>
    </row>
    <row r="55" spans="1:39" ht="26.4" x14ac:dyDescent="0.25">
      <c r="A55">
        <v>103</v>
      </c>
      <c r="B55">
        <v>37132</v>
      </c>
      <c r="C55" t="s">
        <v>64</v>
      </c>
      <c r="D55" t="s">
        <v>754</v>
      </c>
      <c r="E55" t="s">
        <v>660</v>
      </c>
      <c r="F55" t="s">
        <v>661</v>
      </c>
      <c r="G55" t="s">
        <v>13</v>
      </c>
      <c r="H55" s="646">
        <v>43552</v>
      </c>
      <c r="I55">
        <v>337</v>
      </c>
      <c r="J55" t="s">
        <v>58</v>
      </c>
      <c r="K55" s="653" t="s">
        <v>59</v>
      </c>
      <c r="L55" t="s">
        <v>63</v>
      </c>
      <c r="M55" t="s">
        <v>60</v>
      </c>
      <c r="N55" t="s">
        <v>63</v>
      </c>
      <c r="O55" s="646">
        <v>44853</v>
      </c>
      <c r="R55" t="s">
        <v>68</v>
      </c>
      <c r="T55" t="s">
        <v>68</v>
      </c>
      <c r="U55" t="s">
        <v>68</v>
      </c>
      <c r="V55" t="s">
        <v>68</v>
      </c>
      <c r="W55" t="s">
        <v>68</v>
      </c>
      <c r="AB55" t="s">
        <v>755</v>
      </c>
      <c r="AD55" t="s">
        <v>68</v>
      </c>
      <c r="AF55" s="646">
        <v>45163</v>
      </c>
      <c r="AG55" s="646">
        <v>45466</v>
      </c>
      <c r="AI55" s="646">
        <v>45163</v>
      </c>
      <c r="AJ55" s="646">
        <v>45163</v>
      </c>
      <c r="AK55" s="646">
        <v>45163</v>
      </c>
      <c r="AM55" s="646">
        <v>45464</v>
      </c>
    </row>
    <row r="56" spans="1:39" ht="26.4" x14ac:dyDescent="0.25">
      <c r="A56">
        <v>102</v>
      </c>
      <c r="B56">
        <v>37130</v>
      </c>
      <c r="C56" t="s">
        <v>54</v>
      </c>
      <c r="D56" t="s">
        <v>756</v>
      </c>
      <c r="E56" t="s">
        <v>660</v>
      </c>
      <c r="F56" t="s">
        <v>661</v>
      </c>
      <c r="G56" t="s">
        <v>13</v>
      </c>
      <c r="H56" s="646">
        <v>43552</v>
      </c>
      <c r="I56">
        <v>417</v>
      </c>
      <c r="J56" t="s">
        <v>58</v>
      </c>
      <c r="K56" s="653" t="s">
        <v>59</v>
      </c>
      <c r="L56" t="s">
        <v>63</v>
      </c>
      <c r="M56" t="s">
        <v>60</v>
      </c>
      <c r="N56" s="646">
        <v>44469</v>
      </c>
      <c r="O56" s="646">
        <v>44833</v>
      </c>
      <c r="R56" t="s">
        <v>62</v>
      </c>
      <c r="U56" t="s">
        <v>62</v>
      </c>
      <c r="AD56" t="s">
        <v>63</v>
      </c>
      <c r="AE56" s="646">
        <v>44833</v>
      </c>
      <c r="AF56" s="646">
        <v>45232</v>
      </c>
      <c r="AG56" s="646">
        <v>45447</v>
      </c>
      <c r="AI56" s="646">
        <v>45232</v>
      </c>
      <c r="AJ56" s="646">
        <v>45232</v>
      </c>
      <c r="AK56" s="646">
        <v>45232</v>
      </c>
      <c r="AM56" t="s">
        <v>685</v>
      </c>
    </row>
    <row r="57" spans="1:39" ht="26.4" x14ac:dyDescent="0.25">
      <c r="A57">
        <v>101</v>
      </c>
      <c r="B57">
        <v>37130</v>
      </c>
      <c r="C57" t="s">
        <v>64</v>
      </c>
      <c r="D57" t="s">
        <v>757</v>
      </c>
      <c r="E57" t="s">
        <v>660</v>
      </c>
      <c r="F57" t="s">
        <v>661</v>
      </c>
      <c r="G57" t="s">
        <v>13</v>
      </c>
      <c r="H57" s="646">
        <v>43552</v>
      </c>
      <c r="I57">
        <v>416</v>
      </c>
      <c r="J57" t="s">
        <v>58</v>
      </c>
      <c r="K57" s="653" t="s">
        <v>59</v>
      </c>
      <c r="L57" t="s">
        <v>63</v>
      </c>
      <c r="M57" t="s">
        <v>722</v>
      </c>
      <c r="N57" s="646">
        <v>44833</v>
      </c>
      <c r="O57" s="646">
        <v>44833</v>
      </c>
      <c r="R57" t="s">
        <v>68</v>
      </c>
      <c r="U57" t="s">
        <v>68</v>
      </c>
      <c r="W57" t="s">
        <v>68</v>
      </c>
      <c r="AD57" t="s">
        <v>63</v>
      </c>
      <c r="AF57" s="646">
        <v>45231</v>
      </c>
      <c r="AG57" s="646">
        <v>45447</v>
      </c>
      <c r="AI57" s="646">
        <v>45231</v>
      </c>
      <c r="AJ57" s="646">
        <v>45231</v>
      </c>
      <c r="AK57" s="646">
        <v>45231</v>
      </c>
      <c r="AM57" t="s">
        <v>685</v>
      </c>
    </row>
    <row r="58" spans="1:39" ht="26.4" x14ac:dyDescent="0.25">
      <c r="A58">
        <v>100</v>
      </c>
      <c r="B58">
        <v>37129</v>
      </c>
      <c r="C58" t="s">
        <v>54</v>
      </c>
      <c r="D58" t="s">
        <v>758</v>
      </c>
      <c r="E58" t="s">
        <v>660</v>
      </c>
      <c r="F58" t="s">
        <v>661</v>
      </c>
      <c r="G58" t="s">
        <v>13</v>
      </c>
      <c r="H58" s="646">
        <v>43551</v>
      </c>
      <c r="I58">
        <v>384</v>
      </c>
      <c r="J58" t="s">
        <v>58</v>
      </c>
      <c r="K58" s="653" t="s">
        <v>59</v>
      </c>
      <c r="L58" t="s">
        <v>63</v>
      </c>
      <c r="M58" t="s">
        <v>722</v>
      </c>
      <c r="R58" t="s">
        <v>62</v>
      </c>
      <c r="S58" t="s">
        <v>62</v>
      </c>
      <c r="U58" t="s">
        <v>62</v>
      </c>
      <c r="W58" t="s">
        <v>62</v>
      </c>
      <c r="AB58" t="s">
        <v>759</v>
      </c>
      <c r="AD58" t="s">
        <v>63</v>
      </c>
      <c r="AF58" s="646">
        <v>45118</v>
      </c>
      <c r="AG58" s="646">
        <v>45432</v>
      </c>
      <c r="AI58" s="646">
        <v>45118</v>
      </c>
      <c r="AJ58" s="646">
        <v>45118</v>
      </c>
      <c r="AK58" s="646">
        <v>45484</v>
      </c>
      <c r="AM58" t="s">
        <v>662</v>
      </c>
    </row>
    <row r="59" spans="1:39" ht="26.4" x14ac:dyDescent="0.25">
      <c r="A59">
        <v>99</v>
      </c>
      <c r="B59">
        <v>37129</v>
      </c>
      <c r="C59" t="s">
        <v>64</v>
      </c>
      <c r="D59" t="s">
        <v>760</v>
      </c>
      <c r="E59" t="s">
        <v>660</v>
      </c>
      <c r="F59" t="s">
        <v>661</v>
      </c>
      <c r="G59" t="s">
        <v>13</v>
      </c>
      <c r="H59" s="646">
        <v>43551</v>
      </c>
      <c r="I59">
        <v>385</v>
      </c>
      <c r="J59" t="s">
        <v>58</v>
      </c>
      <c r="K59" s="653" t="s">
        <v>59</v>
      </c>
      <c r="L59" t="s">
        <v>63</v>
      </c>
      <c r="M59" t="s">
        <v>722</v>
      </c>
      <c r="R59" t="s">
        <v>68</v>
      </c>
      <c r="S59" t="s">
        <v>68</v>
      </c>
      <c r="U59" t="s">
        <v>68</v>
      </c>
      <c r="AB59" s="646">
        <v>44219</v>
      </c>
      <c r="AD59" t="s">
        <v>63</v>
      </c>
      <c r="AF59" s="646">
        <v>45118</v>
      </c>
      <c r="AG59" s="646">
        <v>45432</v>
      </c>
      <c r="AI59" s="646">
        <v>45118</v>
      </c>
      <c r="AJ59" s="646">
        <v>45118</v>
      </c>
      <c r="AK59" s="646">
        <v>45484</v>
      </c>
      <c r="AM59" t="s">
        <v>662</v>
      </c>
    </row>
    <row r="60" spans="1:39" ht="26.4" x14ac:dyDescent="0.25">
      <c r="A60">
        <v>98</v>
      </c>
      <c r="B60">
        <v>37125</v>
      </c>
      <c r="C60" t="s">
        <v>54</v>
      </c>
      <c r="D60" t="s">
        <v>761</v>
      </c>
      <c r="E60" t="s">
        <v>660</v>
      </c>
      <c r="F60" t="s">
        <v>661</v>
      </c>
      <c r="G60" t="s">
        <v>13</v>
      </c>
      <c r="H60" s="646">
        <v>43549</v>
      </c>
      <c r="I60">
        <v>354</v>
      </c>
      <c r="J60" t="s">
        <v>58</v>
      </c>
      <c r="K60" s="653" t="s">
        <v>59</v>
      </c>
      <c r="L60" t="s">
        <v>63</v>
      </c>
      <c r="M60" t="s">
        <v>60</v>
      </c>
      <c r="N60" t="s">
        <v>63</v>
      </c>
      <c r="O60" s="646">
        <v>44813</v>
      </c>
      <c r="R60" t="s">
        <v>68</v>
      </c>
      <c r="U60" t="s">
        <v>62</v>
      </c>
      <c r="W60" t="s">
        <v>62</v>
      </c>
      <c r="AB60" t="s">
        <v>762</v>
      </c>
      <c r="AD60" t="s">
        <v>63</v>
      </c>
      <c r="AF60" s="646">
        <v>45111</v>
      </c>
      <c r="AG60" s="646">
        <v>45471</v>
      </c>
      <c r="AI60" s="646">
        <v>45111</v>
      </c>
      <c r="AJ60" s="646">
        <v>45111</v>
      </c>
      <c r="AK60" s="646">
        <v>45111</v>
      </c>
      <c r="AM60" t="s">
        <v>763</v>
      </c>
    </row>
    <row r="61" spans="1:39" ht="26.4" x14ac:dyDescent="0.25">
      <c r="A61">
        <v>97</v>
      </c>
      <c r="B61">
        <v>37125</v>
      </c>
      <c r="C61" t="s">
        <v>64</v>
      </c>
      <c r="D61" t="s">
        <v>764</v>
      </c>
      <c r="E61" t="s">
        <v>660</v>
      </c>
      <c r="F61" t="s">
        <v>661</v>
      </c>
      <c r="G61" t="s">
        <v>13</v>
      </c>
      <c r="H61" s="646">
        <v>43549</v>
      </c>
      <c r="I61">
        <v>340</v>
      </c>
      <c r="J61" t="s">
        <v>58</v>
      </c>
      <c r="K61" s="653" t="s">
        <v>59</v>
      </c>
      <c r="L61" s="646">
        <v>44137</v>
      </c>
      <c r="M61" t="s">
        <v>60</v>
      </c>
      <c r="N61" s="646">
        <v>44137</v>
      </c>
      <c r="O61" s="646">
        <v>44813</v>
      </c>
      <c r="R61" t="s">
        <v>68</v>
      </c>
      <c r="S61" t="s">
        <v>68</v>
      </c>
      <c r="T61" t="s">
        <v>68</v>
      </c>
      <c r="U61" t="s">
        <v>68</v>
      </c>
      <c r="W61" t="s">
        <v>68</v>
      </c>
      <c r="AD61" t="s">
        <v>63</v>
      </c>
      <c r="AF61" s="646">
        <v>45111</v>
      </c>
      <c r="AG61" s="646">
        <v>45471</v>
      </c>
      <c r="AI61" s="646">
        <v>45111</v>
      </c>
      <c r="AJ61" s="646">
        <v>45111</v>
      </c>
      <c r="AK61" s="646">
        <v>45111</v>
      </c>
      <c r="AM61" t="s">
        <v>763</v>
      </c>
    </row>
    <row r="62" spans="1:39" ht="26.4" x14ac:dyDescent="0.25">
      <c r="A62">
        <v>96</v>
      </c>
      <c r="B62">
        <v>37123</v>
      </c>
      <c r="C62" t="s">
        <v>54</v>
      </c>
      <c r="D62" t="s">
        <v>765</v>
      </c>
      <c r="E62" t="s">
        <v>660</v>
      </c>
      <c r="F62" t="s">
        <v>661</v>
      </c>
      <c r="G62" t="s">
        <v>13</v>
      </c>
      <c r="H62" s="646">
        <v>43547</v>
      </c>
      <c r="I62">
        <v>326</v>
      </c>
      <c r="J62" t="s">
        <v>58</v>
      </c>
      <c r="K62" s="653" t="s">
        <v>59</v>
      </c>
      <c r="L62" s="646">
        <v>44811</v>
      </c>
      <c r="M62" t="s">
        <v>60</v>
      </c>
      <c r="N62" s="646">
        <v>44811</v>
      </c>
      <c r="O62" s="646">
        <v>44292</v>
      </c>
      <c r="R62" t="s">
        <v>62</v>
      </c>
      <c r="T62" t="s">
        <v>62</v>
      </c>
      <c r="U62" t="s">
        <v>62</v>
      </c>
      <c r="W62" t="s">
        <v>62</v>
      </c>
      <c r="AB62" t="s">
        <v>766</v>
      </c>
      <c r="AD62" t="s">
        <v>63</v>
      </c>
      <c r="AE62" t="s">
        <v>662</v>
      </c>
      <c r="AF62" s="646">
        <v>45258</v>
      </c>
      <c r="AG62" s="646">
        <v>45465</v>
      </c>
      <c r="AI62" s="646">
        <v>45258</v>
      </c>
      <c r="AJ62" s="646">
        <v>45258</v>
      </c>
      <c r="AK62" s="646">
        <v>45258</v>
      </c>
      <c r="AM62" s="646">
        <v>45464</v>
      </c>
    </row>
    <row r="63" spans="1:39" ht="26.4" x14ac:dyDescent="0.25">
      <c r="A63">
        <v>95</v>
      </c>
      <c r="B63">
        <v>37123</v>
      </c>
      <c r="C63" t="s">
        <v>64</v>
      </c>
      <c r="D63" t="s">
        <v>767</v>
      </c>
      <c r="E63" t="s">
        <v>660</v>
      </c>
      <c r="F63" t="s">
        <v>661</v>
      </c>
      <c r="G63" t="s">
        <v>13</v>
      </c>
      <c r="H63" s="646">
        <v>43547</v>
      </c>
      <c r="I63">
        <v>357</v>
      </c>
      <c r="J63" t="s">
        <v>58</v>
      </c>
      <c r="K63" s="653" t="s">
        <v>59</v>
      </c>
      <c r="L63" s="646">
        <v>44811</v>
      </c>
      <c r="M63" t="s">
        <v>60</v>
      </c>
      <c r="N63" s="646">
        <v>44811</v>
      </c>
      <c r="R63" t="s">
        <v>68</v>
      </c>
      <c r="T63" t="s">
        <v>68</v>
      </c>
      <c r="U63" t="s">
        <v>68</v>
      </c>
      <c r="W63" t="s">
        <v>68</v>
      </c>
      <c r="AB63" t="s">
        <v>768</v>
      </c>
      <c r="AD63" t="s">
        <v>63</v>
      </c>
      <c r="AE63" t="s">
        <v>662</v>
      </c>
      <c r="AG63" s="646">
        <v>45465</v>
      </c>
      <c r="AJ63" s="646">
        <v>45252</v>
      </c>
      <c r="AK63" s="646">
        <v>45252</v>
      </c>
      <c r="AM63" s="646">
        <v>45464</v>
      </c>
    </row>
    <row r="64" spans="1:39" ht="26.4" x14ac:dyDescent="0.25">
      <c r="A64">
        <v>94</v>
      </c>
      <c r="B64">
        <v>37105</v>
      </c>
      <c r="C64" t="s">
        <v>54</v>
      </c>
      <c r="D64" t="s">
        <v>769</v>
      </c>
      <c r="E64" t="s">
        <v>660</v>
      </c>
      <c r="F64" t="s">
        <v>661</v>
      </c>
      <c r="G64" t="s">
        <v>13</v>
      </c>
      <c r="H64" s="646">
        <v>43523</v>
      </c>
      <c r="I64">
        <v>212</v>
      </c>
      <c r="J64" t="s">
        <v>58</v>
      </c>
      <c r="K64" s="653" t="s">
        <v>59</v>
      </c>
      <c r="L64" t="s">
        <v>63</v>
      </c>
      <c r="M64" t="s">
        <v>60</v>
      </c>
      <c r="N64" t="s">
        <v>63</v>
      </c>
      <c r="O64" s="646">
        <v>44305</v>
      </c>
      <c r="R64" t="s">
        <v>62</v>
      </c>
      <c r="T64" t="s">
        <v>62</v>
      </c>
      <c r="U64" t="s">
        <v>62</v>
      </c>
      <c r="AB64" t="s">
        <v>770</v>
      </c>
      <c r="AD64" t="s">
        <v>63</v>
      </c>
      <c r="AG64" s="646">
        <v>45451</v>
      </c>
      <c r="AK64" s="646">
        <v>45239</v>
      </c>
      <c r="AM64" s="646">
        <v>45451</v>
      </c>
    </row>
    <row r="65" spans="1:39" ht="26.4" x14ac:dyDescent="0.25">
      <c r="A65">
        <v>93</v>
      </c>
      <c r="B65">
        <v>37105</v>
      </c>
      <c r="C65" t="s">
        <v>64</v>
      </c>
      <c r="D65" t="s">
        <v>771</v>
      </c>
      <c r="E65" t="s">
        <v>660</v>
      </c>
      <c r="F65" t="s">
        <v>661</v>
      </c>
      <c r="G65" t="s">
        <v>13</v>
      </c>
      <c r="H65" s="646">
        <v>43523</v>
      </c>
      <c r="I65">
        <v>297</v>
      </c>
      <c r="J65" t="s">
        <v>58</v>
      </c>
      <c r="K65" s="653" t="s">
        <v>59</v>
      </c>
      <c r="L65" t="s">
        <v>63</v>
      </c>
      <c r="M65" t="s">
        <v>60</v>
      </c>
      <c r="N65" t="s">
        <v>63</v>
      </c>
      <c r="O65" s="646">
        <v>44305</v>
      </c>
      <c r="R65" t="s">
        <v>68</v>
      </c>
      <c r="T65" t="s">
        <v>68</v>
      </c>
      <c r="U65" t="s">
        <v>68</v>
      </c>
      <c r="AB65" t="s">
        <v>772</v>
      </c>
      <c r="AD65" t="s">
        <v>63</v>
      </c>
      <c r="AG65" s="646">
        <v>45451</v>
      </c>
      <c r="AK65" s="646">
        <v>45238</v>
      </c>
      <c r="AM65" s="646">
        <v>45451</v>
      </c>
    </row>
    <row r="66" spans="1:39" ht="26.4" x14ac:dyDescent="0.25">
      <c r="A66">
        <v>92</v>
      </c>
      <c r="B66">
        <v>37102</v>
      </c>
      <c r="C66" t="s">
        <v>54</v>
      </c>
      <c r="D66" t="s">
        <v>773</v>
      </c>
      <c r="E66" t="s">
        <v>660</v>
      </c>
      <c r="F66" t="s">
        <v>661</v>
      </c>
      <c r="G66" t="s">
        <v>13</v>
      </c>
      <c r="H66" s="646">
        <v>43523</v>
      </c>
      <c r="I66">
        <v>301</v>
      </c>
      <c r="J66" t="s">
        <v>58</v>
      </c>
      <c r="K66" s="653" t="s">
        <v>59</v>
      </c>
      <c r="L66" s="646">
        <v>44158</v>
      </c>
      <c r="M66" t="s">
        <v>60</v>
      </c>
      <c r="N66" s="646">
        <v>44448</v>
      </c>
      <c r="O66" s="646">
        <v>44812</v>
      </c>
      <c r="R66" t="s">
        <v>68</v>
      </c>
      <c r="U66" t="s">
        <v>62</v>
      </c>
      <c r="W66" t="s">
        <v>62</v>
      </c>
      <c r="X66" t="s">
        <v>75</v>
      </c>
      <c r="AB66" t="s">
        <v>774</v>
      </c>
      <c r="AD66" t="s">
        <v>63</v>
      </c>
      <c r="AF66" s="646">
        <v>45281</v>
      </c>
      <c r="AG66" s="646">
        <v>45480</v>
      </c>
      <c r="AI66" s="646">
        <v>45281</v>
      </c>
      <c r="AJ66" s="646">
        <v>45281</v>
      </c>
      <c r="AK66" s="646">
        <v>45480</v>
      </c>
      <c r="AM66" s="646">
        <v>45480</v>
      </c>
    </row>
    <row r="67" spans="1:39" ht="26.4" x14ac:dyDescent="0.25">
      <c r="A67">
        <v>91</v>
      </c>
      <c r="B67">
        <v>37102</v>
      </c>
      <c r="C67" t="s">
        <v>64</v>
      </c>
      <c r="D67" t="s">
        <v>775</v>
      </c>
      <c r="E67" t="s">
        <v>660</v>
      </c>
      <c r="F67" t="s">
        <v>661</v>
      </c>
      <c r="G67" t="s">
        <v>13</v>
      </c>
      <c r="H67" s="646">
        <v>43523</v>
      </c>
      <c r="I67">
        <v>300</v>
      </c>
      <c r="J67" t="s">
        <v>58</v>
      </c>
      <c r="K67" s="653" t="s">
        <v>59</v>
      </c>
      <c r="L67" s="646">
        <v>44158</v>
      </c>
      <c r="M67" t="s">
        <v>60</v>
      </c>
      <c r="N67" s="646">
        <v>44158</v>
      </c>
      <c r="O67" s="646">
        <v>44812</v>
      </c>
      <c r="R67" t="s">
        <v>68</v>
      </c>
      <c r="U67" t="s">
        <v>68</v>
      </c>
      <c r="W67" t="s">
        <v>68</v>
      </c>
      <c r="X67" t="s">
        <v>75</v>
      </c>
      <c r="AB67" t="s">
        <v>776</v>
      </c>
      <c r="AD67" t="s">
        <v>63</v>
      </c>
      <c r="AF67" s="646">
        <v>45281</v>
      </c>
      <c r="AG67" s="646">
        <v>45480</v>
      </c>
      <c r="AI67" s="646">
        <v>45281</v>
      </c>
      <c r="AJ67" s="646">
        <v>45281</v>
      </c>
      <c r="AK67" s="646">
        <v>45480</v>
      </c>
      <c r="AM67" t="s">
        <v>777</v>
      </c>
    </row>
    <row r="68" spans="1:39" ht="26.4" x14ac:dyDescent="0.25">
      <c r="A68">
        <v>90</v>
      </c>
      <c r="B68">
        <v>37100</v>
      </c>
      <c r="C68" t="s">
        <v>54</v>
      </c>
      <c r="D68" t="s">
        <v>778</v>
      </c>
      <c r="E68" t="s">
        <v>660</v>
      </c>
      <c r="F68" t="s">
        <v>661</v>
      </c>
      <c r="G68" t="s">
        <v>13</v>
      </c>
      <c r="H68" s="646">
        <v>43522</v>
      </c>
      <c r="I68">
        <v>239</v>
      </c>
      <c r="J68" t="s">
        <v>58</v>
      </c>
      <c r="K68" s="653" t="s">
        <v>59</v>
      </c>
      <c r="L68" s="646">
        <v>44816</v>
      </c>
      <c r="M68" t="s">
        <v>60</v>
      </c>
      <c r="N68" s="646">
        <v>44172</v>
      </c>
      <c r="O68" s="646">
        <v>44824</v>
      </c>
      <c r="P68" s="646">
        <v>44910</v>
      </c>
      <c r="R68" t="s">
        <v>68</v>
      </c>
      <c r="T68" t="s">
        <v>62</v>
      </c>
      <c r="U68" t="s">
        <v>62</v>
      </c>
      <c r="W68" t="s">
        <v>62</v>
      </c>
      <c r="AD68" t="s">
        <v>63</v>
      </c>
      <c r="AF68" s="646">
        <v>45308</v>
      </c>
      <c r="AG68" t="s">
        <v>779</v>
      </c>
      <c r="AI68" s="646">
        <v>45096</v>
      </c>
      <c r="AJ68" s="646">
        <v>45096</v>
      </c>
      <c r="AK68" s="646">
        <v>45096</v>
      </c>
      <c r="AM68" t="s">
        <v>63</v>
      </c>
    </row>
    <row r="69" spans="1:39" ht="26.4" x14ac:dyDescent="0.25">
      <c r="A69">
        <v>89</v>
      </c>
      <c r="B69">
        <v>37100</v>
      </c>
      <c r="C69" t="s">
        <v>64</v>
      </c>
      <c r="D69" t="s">
        <v>780</v>
      </c>
      <c r="E69" t="s">
        <v>660</v>
      </c>
      <c r="F69" t="s">
        <v>661</v>
      </c>
      <c r="G69" t="s">
        <v>13</v>
      </c>
      <c r="H69" s="646">
        <v>43522</v>
      </c>
      <c r="I69">
        <v>238</v>
      </c>
      <c r="J69" t="s">
        <v>58</v>
      </c>
      <c r="K69" s="653" t="s">
        <v>59</v>
      </c>
      <c r="L69" s="646">
        <v>44816</v>
      </c>
      <c r="M69" t="s">
        <v>60</v>
      </c>
      <c r="N69" s="646">
        <v>44172</v>
      </c>
      <c r="O69" s="646">
        <v>44824</v>
      </c>
      <c r="P69" s="646">
        <v>44910</v>
      </c>
      <c r="R69" t="s">
        <v>68</v>
      </c>
      <c r="T69" t="s">
        <v>68</v>
      </c>
      <c r="U69" t="s">
        <v>68</v>
      </c>
      <c r="W69" t="s">
        <v>68</v>
      </c>
      <c r="AD69" t="s">
        <v>63</v>
      </c>
      <c r="AF69" s="646">
        <v>45308</v>
      </c>
      <c r="AG69" t="s">
        <v>779</v>
      </c>
      <c r="AI69" s="646">
        <v>45096</v>
      </c>
      <c r="AJ69" s="646">
        <v>45096</v>
      </c>
      <c r="AK69" s="646">
        <v>45096</v>
      </c>
      <c r="AM69" t="s">
        <v>63</v>
      </c>
    </row>
    <row r="70" spans="1:39" ht="26.4" x14ac:dyDescent="0.25">
      <c r="A70">
        <v>88</v>
      </c>
      <c r="B70">
        <v>37099</v>
      </c>
      <c r="C70" t="s">
        <v>54</v>
      </c>
      <c r="D70" t="s">
        <v>781</v>
      </c>
      <c r="E70" t="s">
        <v>660</v>
      </c>
      <c r="F70" t="s">
        <v>661</v>
      </c>
      <c r="G70" t="s">
        <v>13</v>
      </c>
      <c r="H70" s="646">
        <v>43522</v>
      </c>
      <c r="I70">
        <v>232</v>
      </c>
      <c r="J70" t="s">
        <v>58</v>
      </c>
      <c r="K70" s="653" t="s">
        <v>59</v>
      </c>
      <c r="L70" t="s">
        <v>63</v>
      </c>
      <c r="M70" t="s">
        <v>60</v>
      </c>
      <c r="N70" t="s">
        <v>63</v>
      </c>
      <c r="O70" s="646">
        <v>44824</v>
      </c>
      <c r="P70" s="646">
        <v>44889</v>
      </c>
      <c r="R70" t="s">
        <v>62</v>
      </c>
      <c r="T70" t="s">
        <v>62</v>
      </c>
      <c r="U70" t="s">
        <v>62</v>
      </c>
      <c r="V70" t="s">
        <v>62</v>
      </c>
      <c r="W70" t="s">
        <v>62</v>
      </c>
      <c r="AD70" t="s">
        <v>62</v>
      </c>
      <c r="AG70" t="s">
        <v>782</v>
      </c>
      <c r="AI70" s="646">
        <v>45227</v>
      </c>
      <c r="AJ70" s="646">
        <v>45227</v>
      </c>
      <c r="AK70" s="646">
        <v>45227</v>
      </c>
      <c r="AM70" t="s">
        <v>783</v>
      </c>
    </row>
    <row r="71" spans="1:39" ht="26.4" x14ac:dyDescent="0.25">
      <c r="A71">
        <v>87</v>
      </c>
      <c r="B71">
        <v>37099</v>
      </c>
      <c r="C71" t="s">
        <v>64</v>
      </c>
      <c r="D71" t="s">
        <v>784</v>
      </c>
      <c r="E71" t="s">
        <v>660</v>
      </c>
      <c r="F71" t="s">
        <v>661</v>
      </c>
      <c r="G71" t="s">
        <v>13</v>
      </c>
      <c r="H71" s="646">
        <v>43522</v>
      </c>
      <c r="I71">
        <v>279</v>
      </c>
      <c r="J71" t="s">
        <v>58</v>
      </c>
      <c r="K71" s="653" t="s">
        <v>59</v>
      </c>
      <c r="L71" t="s">
        <v>63</v>
      </c>
      <c r="M71" t="s">
        <v>60</v>
      </c>
      <c r="N71" t="s">
        <v>63</v>
      </c>
      <c r="O71" s="646">
        <v>44824</v>
      </c>
      <c r="P71" s="646">
        <v>44889</v>
      </c>
      <c r="R71" t="s">
        <v>68</v>
      </c>
      <c r="T71" t="s">
        <v>68</v>
      </c>
      <c r="U71" t="s">
        <v>68</v>
      </c>
      <c r="W71" t="s">
        <v>68</v>
      </c>
      <c r="AB71" t="s">
        <v>785</v>
      </c>
      <c r="AD71" t="s">
        <v>68</v>
      </c>
      <c r="AG71" t="s">
        <v>782</v>
      </c>
      <c r="AI71" s="646">
        <v>45220</v>
      </c>
      <c r="AJ71" s="646">
        <v>45220</v>
      </c>
      <c r="AK71" s="646">
        <v>45220</v>
      </c>
      <c r="AM71" t="s">
        <v>783</v>
      </c>
    </row>
    <row r="72" spans="1:39" ht="26.4" x14ac:dyDescent="0.25">
      <c r="A72">
        <v>86</v>
      </c>
      <c r="B72">
        <v>37097</v>
      </c>
      <c r="C72" t="s">
        <v>54</v>
      </c>
      <c r="D72" t="s">
        <v>786</v>
      </c>
      <c r="E72" t="s">
        <v>660</v>
      </c>
      <c r="F72" t="s">
        <v>661</v>
      </c>
      <c r="G72" t="s">
        <v>13</v>
      </c>
      <c r="H72" s="646">
        <v>43523</v>
      </c>
      <c r="I72">
        <v>299</v>
      </c>
      <c r="J72" t="s">
        <v>58</v>
      </c>
      <c r="K72" s="653" t="s">
        <v>59</v>
      </c>
      <c r="L72" s="646">
        <v>44761</v>
      </c>
      <c r="M72" t="s">
        <v>60</v>
      </c>
      <c r="N72" s="646">
        <v>44761</v>
      </c>
      <c r="O72" s="646">
        <v>44853</v>
      </c>
      <c r="R72" t="s">
        <v>62</v>
      </c>
      <c r="T72" t="s">
        <v>62</v>
      </c>
      <c r="U72" t="s">
        <v>62</v>
      </c>
      <c r="W72" t="s">
        <v>62</v>
      </c>
      <c r="AB72" t="s">
        <v>787</v>
      </c>
      <c r="AD72" t="s">
        <v>63</v>
      </c>
      <c r="AE72" t="s">
        <v>662</v>
      </c>
      <c r="AF72" s="646">
        <v>45362</v>
      </c>
      <c r="AG72" s="646">
        <v>45464</v>
      </c>
      <c r="AI72" s="646">
        <v>45157</v>
      </c>
      <c r="AJ72" s="646">
        <v>45157</v>
      </c>
      <c r="AK72" s="646">
        <v>45157</v>
      </c>
      <c r="AM72" t="s">
        <v>783</v>
      </c>
    </row>
    <row r="73" spans="1:39" ht="26.4" x14ac:dyDescent="0.25">
      <c r="A73">
        <v>85</v>
      </c>
      <c r="B73">
        <v>37097</v>
      </c>
      <c r="C73" t="s">
        <v>64</v>
      </c>
      <c r="D73" t="s">
        <v>788</v>
      </c>
      <c r="E73" t="s">
        <v>660</v>
      </c>
      <c r="F73" t="s">
        <v>661</v>
      </c>
      <c r="G73" t="s">
        <v>13</v>
      </c>
      <c r="H73" s="646">
        <v>43523</v>
      </c>
      <c r="I73">
        <v>298</v>
      </c>
      <c r="J73" t="s">
        <v>58</v>
      </c>
      <c r="K73" s="653" t="s">
        <v>59</v>
      </c>
      <c r="L73" s="646">
        <v>44761</v>
      </c>
      <c r="M73" t="s">
        <v>60</v>
      </c>
      <c r="N73" s="646">
        <v>44761</v>
      </c>
      <c r="O73" s="646">
        <v>44853</v>
      </c>
      <c r="Q73" t="s">
        <v>68</v>
      </c>
      <c r="R73" t="s">
        <v>68</v>
      </c>
      <c r="T73" t="s">
        <v>68</v>
      </c>
      <c r="U73" t="s">
        <v>68</v>
      </c>
      <c r="W73" t="s">
        <v>68</v>
      </c>
      <c r="AB73" t="s">
        <v>789</v>
      </c>
      <c r="AD73" t="s">
        <v>63</v>
      </c>
      <c r="AE73" t="s">
        <v>662</v>
      </c>
      <c r="AF73" s="646">
        <v>45362</v>
      </c>
      <c r="AG73" s="646">
        <v>45464</v>
      </c>
      <c r="AI73" s="646">
        <v>45157</v>
      </c>
      <c r="AJ73" s="646">
        <v>45157</v>
      </c>
      <c r="AK73" s="646">
        <v>45157</v>
      </c>
      <c r="AM73" t="s">
        <v>783</v>
      </c>
    </row>
    <row r="74" spans="1:39" ht="26.4" x14ac:dyDescent="0.25">
      <c r="A74">
        <v>84</v>
      </c>
      <c r="B74">
        <v>37096</v>
      </c>
      <c r="C74" t="s">
        <v>54</v>
      </c>
      <c r="D74" t="s">
        <v>790</v>
      </c>
      <c r="E74" t="s">
        <v>660</v>
      </c>
      <c r="F74" t="s">
        <v>661</v>
      </c>
      <c r="G74" t="s">
        <v>13</v>
      </c>
      <c r="H74" s="646">
        <v>43520</v>
      </c>
      <c r="I74">
        <v>231</v>
      </c>
      <c r="J74" t="s">
        <v>58</v>
      </c>
      <c r="K74" s="653" t="s">
        <v>59</v>
      </c>
      <c r="L74" s="646">
        <v>44139</v>
      </c>
      <c r="M74" t="s">
        <v>60</v>
      </c>
      <c r="N74" s="646">
        <v>44139</v>
      </c>
      <c r="O74" s="646">
        <v>44327</v>
      </c>
      <c r="R74" t="s">
        <v>62</v>
      </c>
      <c r="T74" t="s">
        <v>62</v>
      </c>
      <c r="U74" t="s">
        <v>62</v>
      </c>
      <c r="W74" t="s">
        <v>62</v>
      </c>
      <c r="AB74" t="s">
        <v>791</v>
      </c>
      <c r="AD74" t="s">
        <v>62</v>
      </c>
      <c r="AG74" s="646">
        <v>45449</v>
      </c>
      <c r="AI74" s="646">
        <v>45142</v>
      </c>
      <c r="AJ74" s="646">
        <v>45142</v>
      </c>
      <c r="AK74" s="646">
        <v>45142</v>
      </c>
      <c r="AM74" t="s">
        <v>783</v>
      </c>
    </row>
    <row r="75" spans="1:39" ht="26.4" x14ac:dyDescent="0.25">
      <c r="A75">
        <v>83</v>
      </c>
      <c r="B75">
        <v>37096</v>
      </c>
      <c r="C75" t="s">
        <v>64</v>
      </c>
      <c r="D75" t="s">
        <v>792</v>
      </c>
      <c r="E75" t="s">
        <v>660</v>
      </c>
      <c r="F75" t="s">
        <v>661</v>
      </c>
      <c r="G75" t="s">
        <v>13</v>
      </c>
      <c r="H75" s="646">
        <v>43520</v>
      </c>
      <c r="I75">
        <v>286</v>
      </c>
      <c r="J75" t="s">
        <v>58</v>
      </c>
      <c r="K75" s="653" t="s">
        <v>59</v>
      </c>
      <c r="L75" s="646">
        <v>44139</v>
      </c>
      <c r="M75" t="s">
        <v>60</v>
      </c>
      <c r="N75" s="646">
        <v>44139</v>
      </c>
      <c r="O75" s="646">
        <v>44326</v>
      </c>
      <c r="R75" t="s">
        <v>68</v>
      </c>
      <c r="T75" t="s">
        <v>68</v>
      </c>
      <c r="U75" t="s">
        <v>68</v>
      </c>
      <c r="W75" t="s">
        <v>68</v>
      </c>
      <c r="AD75" t="s">
        <v>68</v>
      </c>
      <c r="AG75" s="646">
        <v>45449</v>
      </c>
      <c r="AI75" s="646">
        <v>45142</v>
      </c>
      <c r="AJ75" s="646">
        <v>45142</v>
      </c>
      <c r="AK75" s="646">
        <v>45142</v>
      </c>
      <c r="AM75" t="s">
        <v>783</v>
      </c>
    </row>
    <row r="76" spans="1:39" ht="26.4" x14ac:dyDescent="0.25">
      <c r="A76">
        <v>82</v>
      </c>
      <c r="B76">
        <v>30820</v>
      </c>
      <c r="C76" t="s">
        <v>54</v>
      </c>
      <c r="D76" t="s">
        <v>793</v>
      </c>
      <c r="E76" t="s">
        <v>660</v>
      </c>
      <c r="F76" t="s">
        <v>661</v>
      </c>
      <c r="G76" t="s">
        <v>13</v>
      </c>
      <c r="H76" s="646">
        <v>44191</v>
      </c>
      <c r="I76">
        <v>1004</v>
      </c>
      <c r="J76" t="s">
        <v>58</v>
      </c>
      <c r="K76" s="653" t="s">
        <v>59</v>
      </c>
      <c r="L76" s="646">
        <v>44841</v>
      </c>
      <c r="M76" t="s">
        <v>60</v>
      </c>
      <c r="N76" s="646">
        <v>44841</v>
      </c>
      <c r="O76" s="646">
        <v>44841</v>
      </c>
      <c r="Q76" t="s">
        <v>75</v>
      </c>
      <c r="R76" t="s">
        <v>75</v>
      </c>
      <c r="T76" t="s">
        <v>62</v>
      </c>
      <c r="U76" t="s">
        <v>62</v>
      </c>
      <c r="V76" t="s">
        <v>62</v>
      </c>
      <c r="X76" t="s">
        <v>75</v>
      </c>
      <c r="AD76" t="s">
        <v>63</v>
      </c>
      <c r="AF76" s="646">
        <v>45278</v>
      </c>
      <c r="AG76" s="646">
        <v>45472</v>
      </c>
      <c r="AI76" s="646">
        <v>45278</v>
      </c>
      <c r="AJ76" s="646">
        <v>45278</v>
      </c>
      <c r="AK76" s="646">
        <v>45476</v>
      </c>
      <c r="AM76" s="646">
        <v>45476</v>
      </c>
    </row>
    <row r="77" spans="1:39" ht="26.4" x14ac:dyDescent="0.25">
      <c r="A77">
        <v>81</v>
      </c>
      <c r="B77">
        <v>30820</v>
      </c>
      <c r="C77" t="s">
        <v>64</v>
      </c>
      <c r="D77" t="s">
        <v>794</v>
      </c>
      <c r="E77" t="s">
        <v>660</v>
      </c>
      <c r="F77" t="s">
        <v>661</v>
      </c>
      <c r="G77" t="s">
        <v>13</v>
      </c>
      <c r="H77" s="646">
        <v>44191</v>
      </c>
      <c r="I77">
        <v>962</v>
      </c>
      <c r="J77" t="s">
        <v>58</v>
      </c>
      <c r="K77" s="653" t="s">
        <v>59</v>
      </c>
      <c r="L77" s="646">
        <v>44841</v>
      </c>
      <c r="M77" t="s">
        <v>60</v>
      </c>
      <c r="N77" s="646">
        <v>44841</v>
      </c>
      <c r="O77" s="646">
        <v>44841</v>
      </c>
      <c r="Q77" t="s">
        <v>75</v>
      </c>
      <c r="R77" t="s">
        <v>75</v>
      </c>
      <c r="T77" t="s">
        <v>68</v>
      </c>
      <c r="U77" t="s">
        <v>68</v>
      </c>
      <c r="V77" t="s">
        <v>68</v>
      </c>
      <c r="X77" t="s">
        <v>75</v>
      </c>
      <c r="AD77" t="s">
        <v>63</v>
      </c>
      <c r="AE77" t="s">
        <v>662</v>
      </c>
      <c r="AF77" s="646">
        <v>45309</v>
      </c>
      <c r="AG77" s="646">
        <v>45472</v>
      </c>
      <c r="AI77" s="646">
        <v>45309</v>
      </c>
      <c r="AJ77" s="646">
        <v>45309</v>
      </c>
      <c r="AK77" s="646">
        <v>45476</v>
      </c>
      <c r="AM77" s="646">
        <v>45476</v>
      </c>
    </row>
    <row r="78" spans="1:39" ht="26.4" x14ac:dyDescent="0.25">
      <c r="A78">
        <v>80</v>
      </c>
      <c r="B78">
        <v>30819</v>
      </c>
      <c r="C78" t="s">
        <v>54</v>
      </c>
      <c r="D78" t="s">
        <v>795</v>
      </c>
      <c r="E78" t="s">
        <v>660</v>
      </c>
      <c r="F78" t="s">
        <v>661</v>
      </c>
      <c r="G78" t="s">
        <v>13</v>
      </c>
      <c r="H78" s="646">
        <v>44183</v>
      </c>
      <c r="I78">
        <v>1005</v>
      </c>
      <c r="J78" t="s">
        <v>58</v>
      </c>
      <c r="K78" s="653" t="s">
        <v>59</v>
      </c>
      <c r="L78" t="s">
        <v>75</v>
      </c>
      <c r="M78" t="s">
        <v>60</v>
      </c>
      <c r="N78" t="s">
        <v>63</v>
      </c>
      <c r="P78" s="646">
        <v>44909</v>
      </c>
      <c r="Q78" t="s">
        <v>75</v>
      </c>
      <c r="R78" t="s">
        <v>75</v>
      </c>
      <c r="T78" t="s">
        <v>62</v>
      </c>
      <c r="U78" t="s">
        <v>62</v>
      </c>
      <c r="W78" t="s">
        <v>62</v>
      </c>
      <c r="X78" t="s">
        <v>75</v>
      </c>
      <c r="AD78" t="s">
        <v>63</v>
      </c>
      <c r="AF78" s="646">
        <v>45286</v>
      </c>
      <c r="AG78" s="646">
        <v>45453</v>
      </c>
      <c r="AI78" s="646">
        <v>45286</v>
      </c>
      <c r="AJ78" s="646">
        <v>45286</v>
      </c>
      <c r="AK78" t="s">
        <v>796</v>
      </c>
      <c r="AM78" t="s">
        <v>797</v>
      </c>
    </row>
    <row r="79" spans="1:39" ht="26.4" x14ac:dyDescent="0.25">
      <c r="A79">
        <v>79</v>
      </c>
      <c r="B79">
        <v>30819</v>
      </c>
      <c r="C79" t="s">
        <v>64</v>
      </c>
      <c r="D79" t="s">
        <v>798</v>
      </c>
      <c r="E79" t="s">
        <v>660</v>
      </c>
      <c r="F79" t="s">
        <v>661</v>
      </c>
      <c r="G79" t="s">
        <v>13</v>
      </c>
      <c r="H79" s="646">
        <v>44183</v>
      </c>
      <c r="I79">
        <v>963</v>
      </c>
      <c r="J79" t="s">
        <v>58</v>
      </c>
      <c r="K79" s="653" t="s">
        <v>59</v>
      </c>
      <c r="L79" t="s">
        <v>75</v>
      </c>
      <c r="M79" t="s">
        <v>60</v>
      </c>
      <c r="N79" t="s">
        <v>63</v>
      </c>
      <c r="P79" s="646">
        <v>44909</v>
      </c>
      <c r="Q79" t="s">
        <v>75</v>
      </c>
      <c r="R79" t="s">
        <v>75</v>
      </c>
      <c r="T79" t="s">
        <v>68</v>
      </c>
      <c r="U79" t="s">
        <v>68</v>
      </c>
      <c r="W79" t="s">
        <v>68</v>
      </c>
      <c r="X79" t="s">
        <v>75</v>
      </c>
      <c r="AD79" t="s">
        <v>63</v>
      </c>
      <c r="AF79" s="646">
        <v>45286</v>
      </c>
      <c r="AG79" s="646">
        <v>45453</v>
      </c>
      <c r="AI79" s="646">
        <v>45286</v>
      </c>
      <c r="AJ79" s="646">
        <v>45286</v>
      </c>
      <c r="AK79" t="s">
        <v>799</v>
      </c>
      <c r="AM79" t="s">
        <v>797</v>
      </c>
    </row>
    <row r="80" spans="1:39" ht="26.4" x14ac:dyDescent="0.25">
      <c r="A80">
        <v>77</v>
      </c>
      <c r="B80">
        <v>30817</v>
      </c>
      <c r="C80" t="s">
        <v>64</v>
      </c>
      <c r="D80" t="s">
        <v>800</v>
      </c>
      <c r="E80" t="s">
        <v>660</v>
      </c>
      <c r="F80" t="s">
        <v>661</v>
      </c>
      <c r="G80" t="s">
        <v>13</v>
      </c>
      <c r="H80" s="646">
        <v>44181</v>
      </c>
      <c r="I80">
        <v>897</v>
      </c>
      <c r="J80" t="s">
        <v>58</v>
      </c>
      <c r="K80" s="653" t="s">
        <v>59</v>
      </c>
      <c r="L80" s="646">
        <v>44819</v>
      </c>
      <c r="M80" t="s">
        <v>60</v>
      </c>
      <c r="N80" s="646">
        <v>44819</v>
      </c>
      <c r="O80" s="646">
        <v>44833</v>
      </c>
      <c r="Q80" t="s">
        <v>75</v>
      </c>
      <c r="R80" t="s">
        <v>75</v>
      </c>
      <c r="S80" t="s">
        <v>68</v>
      </c>
      <c r="T80" t="s">
        <v>68</v>
      </c>
      <c r="U80" t="s">
        <v>68</v>
      </c>
      <c r="W80" t="s">
        <v>68</v>
      </c>
      <c r="X80" t="s">
        <v>75</v>
      </c>
      <c r="AD80" t="s">
        <v>63</v>
      </c>
      <c r="AG80" s="646">
        <v>45430</v>
      </c>
      <c r="AK80" t="s">
        <v>801</v>
      </c>
      <c r="AM80" t="s">
        <v>801</v>
      </c>
    </row>
    <row r="81" spans="1:39" ht="26.4" x14ac:dyDescent="0.25">
      <c r="A81">
        <v>78</v>
      </c>
      <c r="B81">
        <v>30817</v>
      </c>
      <c r="C81" t="s">
        <v>54</v>
      </c>
      <c r="D81" t="s">
        <v>802</v>
      </c>
      <c r="E81" t="s">
        <v>660</v>
      </c>
      <c r="F81" t="s">
        <v>661</v>
      </c>
      <c r="G81" t="s">
        <v>13</v>
      </c>
      <c r="H81" s="646">
        <v>44181</v>
      </c>
      <c r="I81">
        <v>896</v>
      </c>
      <c r="J81" t="s">
        <v>58</v>
      </c>
      <c r="K81" s="653" t="s">
        <v>59</v>
      </c>
      <c r="L81" s="646">
        <v>44819</v>
      </c>
      <c r="M81" t="s">
        <v>60</v>
      </c>
      <c r="N81" s="646">
        <v>44819</v>
      </c>
      <c r="O81" s="646">
        <v>44833</v>
      </c>
      <c r="Q81" t="s">
        <v>75</v>
      </c>
      <c r="R81" t="s">
        <v>75</v>
      </c>
      <c r="S81" t="s">
        <v>62</v>
      </c>
      <c r="T81" t="s">
        <v>62</v>
      </c>
      <c r="U81" t="s">
        <v>62</v>
      </c>
      <c r="W81" t="s">
        <v>62</v>
      </c>
      <c r="X81" t="s">
        <v>75</v>
      </c>
      <c r="AD81" t="s">
        <v>63</v>
      </c>
      <c r="AG81" s="646">
        <v>45430</v>
      </c>
      <c r="AK81" t="s">
        <v>796</v>
      </c>
      <c r="AM81" t="s">
        <v>801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B4D5-C1B8-4D79-A352-D7ECFAE297F9}">
  <sheetPr filterMode="1"/>
  <dimension ref="A1:AR401"/>
  <sheetViews>
    <sheetView topLeftCell="F1" zoomScale="90" zoomScaleNormal="90" workbookViewId="0">
      <selection activeCell="H402" sqref="H402"/>
    </sheetView>
  </sheetViews>
  <sheetFormatPr defaultColWidth="8.5546875" defaultRowHeight="13.2" x14ac:dyDescent="0.25"/>
  <cols>
    <col min="1" max="1" width="5.5546875" style="2" customWidth="1"/>
    <col min="2" max="2" width="9.44140625" style="72" customWidth="1"/>
    <col min="3" max="3" width="8.44140625" style="72" customWidth="1"/>
    <col min="4" max="4" width="21" style="2" customWidth="1"/>
    <col min="5" max="5" width="17.5546875" style="72" customWidth="1"/>
    <col min="6" max="9" width="11" style="2" customWidth="1"/>
    <col min="10" max="10" width="15.44140625" style="2" customWidth="1"/>
    <col min="11" max="11" width="15.6640625" style="441" customWidth="1"/>
    <col min="12" max="12" width="16.5546875" style="470" customWidth="1"/>
    <col min="13" max="13" width="13.6640625" style="441" customWidth="1"/>
    <col min="14" max="14" width="17.33203125" style="441" customWidth="1"/>
    <col min="15" max="16" width="14.44140625" style="68" customWidth="1"/>
    <col min="17" max="17" width="16" style="61" customWidth="1"/>
    <col min="18" max="18" width="19.5546875" style="61" customWidth="1"/>
    <col min="19" max="19" width="17.5546875" style="61" customWidth="1"/>
    <col min="20" max="20" width="16.44140625" style="61" customWidth="1"/>
    <col min="21" max="21" width="15.5546875" style="61" customWidth="1"/>
    <col min="22" max="22" width="13.5546875" style="61" customWidth="1"/>
    <col min="23" max="23" width="16.44140625" style="61" customWidth="1"/>
    <col min="24" max="24" width="16" style="61" customWidth="1"/>
    <col min="25" max="25" width="15.5546875" style="61" customWidth="1"/>
    <col min="26" max="27" width="15.5546875" style="441" customWidth="1"/>
    <col min="28" max="30" width="15.5546875" style="61" customWidth="1"/>
    <col min="31" max="32" width="15.5546875" style="16" customWidth="1"/>
    <col min="33" max="33" width="20.5546875" style="58" customWidth="1"/>
    <col min="34" max="36" width="17.5546875" style="58" customWidth="1"/>
    <col min="37" max="37" width="17.5546875" style="24" customWidth="1"/>
    <col min="38" max="38" width="15.5546875" style="23" customWidth="1"/>
    <col min="39" max="39" width="20" style="24" customWidth="1"/>
    <col min="40" max="40" width="20" style="58" customWidth="1"/>
    <col min="41" max="41" width="12.44140625" customWidth="1"/>
    <col min="42" max="42" width="20.44140625" customWidth="1"/>
    <col min="43" max="43" width="13.5546875" bestFit="1" customWidth="1"/>
  </cols>
  <sheetData>
    <row r="1" spans="1:43" s="80" customFormat="1" ht="114.6" x14ac:dyDescent="0.3">
      <c r="A1" s="758" t="s">
        <v>18</v>
      </c>
      <c r="B1" s="1179" t="s">
        <v>19</v>
      </c>
      <c r="C1" s="1178" t="s">
        <v>20</v>
      </c>
      <c r="D1" s="1179" t="s">
        <v>21</v>
      </c>
      <c r="E1" s="1179" t="s">
        <v>22</v>
      </c>
      <c r="F1" s="1179" t="s">
        <v>23</v>
      </c>
      <c r="G1" s="1179" t="s">
        <v>0</v>
      </c>
      <c r="H1" s="1179" t="s">
        <v>24</v>
      </c>
      <c r="I1" s="227" t="s">
        <v>25</v>
      </c>
      <c r="J1" s="1180" t="s">
        <v>26</v>
      </c>
      <c r="K1" s="1181" t="s">
        <v>27</v>
      </c>
      <c r="L1" s="1182" t="s">
        <v>516</v>
      </c>
      <c r="M1" s="1181" t="s">
        <v>29</v>
      </c>
      <c r="N1" s="1183" t="s">
        <v>803</v>
      </c>
      <c r="O1" s="1184" t="s">
        <v>518</v>
      </c>
      <c r="P1" s="1184" t="s">
        <v>519</v>
      </c>
      <c r="Q1" s="1180" t="s">
        <v>33</v>
      </c>
      <c r="R1" s="1180" t="s">
        <v>34</v>
      </c>
      <c r="S1" s="1180" t="s">
        <v>35</v>
      </c>
      <c r="T1" s="1180" t="s">
        <v>36</v>
      </c>
      <c r="U1" s="1180" t="s">
        <v>37</v>
      </c>
      <c r="V1" s="1180" t="s">
        <v>38</v>
      </c>
      <c r="W1" s="1180" t="s">
        <v>39</v>
      </c>
      <c r="X1" s="1180" t="s">
        <v>40</v>
      </c>
      <c r="Y1" s="1180" t="s">
        <v>41</v>
      </c>
      <c r="Z1" s="1181" t="s">
        <v>42</v>
      </c>
      <c r="AA1" s="1181" t="s">
        <v>43</v>
      </c>
      <c r="AB1" s="1180" t="s">
        <v>44</v>
      </c>
      <c r="AC1" s="1180" t="s">
        <v>45</v>
      </c>
      <c r="AD1" s="1180" t="s">
        <v>46</v>
      </c>
      <c r="AE1" s="1180" t="s">
        <v>47</v>
      </c>
      <c r="AF1" s="1180" t="s">
        <v>48</v>
      </c>
      <c r="AG1" s="1185" t="s">
        <v>193</v>
      </c>
      <c r="AH1" s="1180" t="s">
        <v>194</v>
      </c>
      <c r="AI1" s="1180" t="s">
        <v>195</v>
      </c>
      <c r="AJ1" s="1186" t="s">
        <v>196</v>
      </c>
      <c r="AK1" s="1187" t="s">
        <v>53</v>
      </c>
      <c r="AL1" s="1188" t="s">
        <v>197</v>
      </c>
      <c r="AM1" s="1187" t="s">
        <v>658</v>
      </c>
      <c r="AN1" s="621" t="s">
        <v>199</v>
      </c>
      <c r="AO1" s="645"/>
      <c r="AP1" s="81" t="s">
        <v>200</v>
      </c>
      <c r="AQ1" s="82" t="s">
        <v>201</v>
      </c>
    </row>
    <row r="2" spans="1:43" ht="22.8" hidden="1" x14ac:dyDescent="0.25">
      <c r="A2" s="28">
        <v>1</v>
      </c>
      <c r="B2" s="238">
        <v>30277</v>
      </c>
      <c r="C2" s="1125" t="s">
        <v>64</v>
      </c>
      <c r="D2" s="238" t="s">
        <v>804</v>
      </c>
      <c r="E2" s="238" t="s">
        <v>805</v>
      </c>
      <c r="F2" s="258" t="s">
        <v>806</v>
      </c>
      <c r="G2" s="258" t="s">
        <v>13</v>
      </c>
      <c r="H2" s="672">
        <v>40360</v>
      </c>
      <c r="I2" s="239">
        <v>1</v>
      </c>
      <c r="J2" s="239" t="s">
        <v>66</v>
      </c>
      <c r="K2" s="437" t="s">
        <v>59</v>
      </c>
      <c r="L2" s="673">
        <v>44154</v>
      </c>
      <c r="M2" s="674" t="s">
        <v>67</v>
      </c>
      <c r="N2" s="776" t="s">
        <v>63</v>
      </c>
      <c r="O2" s="675" t="s">
        <v>807</v>
      </c>
      <c r="P2" s="675">
        <v>45370</v>
      </c>
      <c r="Q2" s="142" t="s">
        <v>68</v>
      </c>
      <c r="R2" s="142" t="s">
        <v>68</v>
      </c>
      <c r="S2" s="142" t="s">
        <v>68</v>
      </c>
      <c r="T2" s="142" t="s">
        <v>68</v>
      </c>
      <c r="U2" s="241"/>
      <c r="V2" s="142"/>
      <c r="W2" s="142" t="s">
        <v>68</v>
      </c>
      <c r="X2" s="142" t="s">
        <v>68</v>
      </c>
      <c r="Y2" s="142"/>
      <c r="Z2" s="919"/>
      <c r="AA2" s="919"/>
      <c r="AB2" s="241"/>
      <c r="AC2" s="241"/>
      <c r="AD2" s="777">
        <v>44658</v>
      </c>
      <c r="AE2" s="649" t="s">
        <v>808</v>
      </c>
      <c r="AF2" s="778">
        <v>44943</v>
      </c>
      <c r="AG2" s="778">
        <v>45489</v>
      </c>
      <c r="AH2" s="649"/>
      <c r="AI2" s="778">
        <v>45186</v>
      </c>
      <c r="AJ2" s="649" t="s">
        <v>63</v>
      </c>
      <c r="AK2" s="1066">
        <v>45453</v>
      </c>
      <c r="AL2" s="23" t="s">
        <v>63</v>
      </c>
      <c r="AM2" s="1066">
        <v>45737</v>
      </c>
      <c r="AN2" s="24"/>
      <c r="AO2" t="s">
        <v>809</v>
      </c>
      <c r="AP2" s="83"/>
      <c r="AQ2" s="83"/>
    </row>
    <row r="3" spans="1:43" ht="22.8" hidden="1" x14ac:dyDescent="0.25">
      <c r="A3" s="28">
        <v>2</v>
      </c>
      <c r="B3" s="20">
        <v>30277</v>
      </c>
      <c r="C3" s="27" t="s">
        <v>54</v>
      </c>
      <c r="D3" s="20" t="s">
        <v>810</v>
      </c>
      <c r="E3" s="238" t="s">
        <v>805</v>
      </c>
      <c r="F3" s="29" t="s">
        <v>806</v>
      </c>
      <c r="G3" s="29" t="s">
        <v>13</v>
      </c>
      <c r="H3" s="19">
        <v>40360</v>
      </c>
      <c r="I3" s="3">
        <v>2</v>
      </c>
      <c r="J3" s="3" t="s">
        <v>66</v>
      </c>
      <c r="K3" s="429" t="s">
        <v>59</v>
      </c>
      <c r="L3" s="450">
        <v>44154</v>
      </c>
      <c r="M3" s="433" t="s">
        <v>67</v>
      </c>
      <c r="N3" s="443" t="s">
        <v>63</v>
      </c>
      <c r="O3" s="31" t="s">
        <v>807</v>
      </c>
      <c r="P3" s="31">
        <v>45370</v>
      </c>
      <c r="Q3" s="32" t="s">
        <v>62</v>
      </c>
      <c r="R3" s="32" t="s">
        <v>62</v>
      </c>
      <c r="S3" s="32" t="s">
        <v>62</v>
      </c>
      <c r="T3" s="32" t="s">
        <v>62</v>
      </c>
      <c r="U3" s="16"/>
      <c r="V3" s="32"/>
      <c r="W3" s="32" t="s">
        <v>62</v>
      </c>
      <c r="X3" s="32" t="s">
        <v>62</v>
      </c>
      <c r="Y3" s="32"/>
      <c r="Z3" s="558"/>
      <c r="AA3" s="558"/>
      <c r="AB3" s="16"/>
      <c r="AC3" s="16"/>
      <c r="AD3" s="287">
        <v>44658</v>
      </c>
      <c r="AE3" s="58" t="s">
        <v>808</v>
      </c>
      <c r="AF3" s="382">
        <v>44943</v>
      </c>
      <c r="AG3" s="778">
        <v>45489</v>
      </c>
      <c r="AI3" s="382">
        <v>45186</v>
      </c>
      <c r="AJ3" s="58" t="s">
        <v>63</v>
      </c>
      <c r="AK3" s="143">
        <v>45453</v>
      </c>
      <c r="AL3" s="23" t="s">
        <v>662</v>
      </c>
      <c r="AM3" s="143">
        <v>45737</v>
      </c>
      <c r="AN3" s="24"/>
      <c r="AP3" s="83"/>
      <c r="AQ3" s="83"/>
    </row>
    <row r="4" spans="1:43" ht="22.8" hidden="1" x14ac:dyDescent="0.25">
      <c r="A4" s="28">
        <v>3</v>
      </c>
      <c r="B4" s="20">
        <v>30365</v>
      </c>
      <c r="C4" s="27" t="s">
        <v>64</v>
      </c>
      <c r="D4" s="20" t="s">
        <v>811</v>
      </c>
      <c r="E4" s="238" t="s">
        <v>805</v>
      </c>
      <c r="F4" s="29" t="s">
        <v>806</v>
      </c>
      <c r="G4" s="29" t="s">
        <v>13</v>
      </c>
      <c r="H4" s="19">
        <v>41579</v>
      </c>
      <c r="I4" s="3">
        <v>4</v>
      </c>
      <c r="J4" s="3" t="s">
        <v>66</v>
      </c>
      <c r="K4" s="429" t="s">
        <v>59</v>
      </c>
      <c r="L4" s="450">
        <v>44093</v>
      </c>
      <c r="M4" s="433" t="s">
        <v>67</v>
      </c>
      <c r="N4" s="443" t="s">
        <v>63</v>
      </c>
      <c r="O4" s="31" t="s">
        <v>807</v>
      </c>
      <c r="P4" s="31">
        <v>45339</v>
      </c>
      <c r="Q4" s="32" t="s">
        <v>68</v>
      </c>
      <c r="R4" s="32" t="s">
        <v>68</v>
      </c>
      <c r="S4" s="32" t="s">
        <v>68</v>
      </c>
      <c r="T4" s="32" t="s">
        <v>68</v>
      </c>
      <c r="U4" s="32"/>
      <c r="V4" s="32"/>
      <c r="W4" s="32" t="s">
        <v>62</v>
      </c>
      <c r="X4" s="32" t="s">
        <v>68</v>
      </c>
      <c r="Y4" s="32"/>
      <c r="Z4" s="558"/>
      <c r="AA4" s="558"/>
      <c r="AB4" s="16"/>
      <c r="AC4" s="16"/>
      <c r="AD4" s="287">
        <v>44599</v>
      </c>
      <c r="AE4" s="58" t="s">
        <v>710</v>
      </c>
      <c r="AF4" s="58" t="s">
        <v>710</v>
      </c>
      <c r="AG4" s="382">
        <v>45532</v>
      </c>
      <c r="AI4" s="382">
        <v>45339</v>
      </c>
      <c r="AJ4" s="58" t="s">
        <v>710</v>
      </c>
      <c r="AK4" s="143">
        <v>45436</v>
      </c>
      <c r="AL4" s="1369">
        <v>45341</v>
      </c>
      <c r="AM4" s="143">
        <v>45574</v>
      </c>
      <c r="AN4" s="24"/>
    </row>
    <row r="5" spans="1:43" ht="22.8" hidden="1" x14ac:dyDescent="0.25">
      <c r="A5" s="28">
        <v>4</v>
      </c>
      <c r="B5" s="20">
        <v>30365</v>
      </c>
      <c r="C5" s="27" t="s">
        <v>54</v>
      </c>
      <c r="D5" s="20" t="s">
        <v>812</v>
      </c>
      <c r="E5" s="238" t="s">
        <v>805</v>
      </c>
      <c r="F5" s="29" t="s">
        <v>806</v>
      </c>
      <c r="G5" s="29" t="s">
        <v>13</v>
      </c>
      <c r="H5" s="19">
        <v>41579</v>
      </c>
      <c r="I5" s="3">
        <v>6</v>
      </c>
      <c r="J5" s="3" t="s">
        <v>66</v>
      </c>
      <c r="K5" s="429" t="s">
        <v>59</v>
      </c>
      <c r="L5" s="450">
        <v>44093</v>
      </c>
      <c r="M5" s="433" t="s">
        <v>67</v>
      </c>
      <c r="N5" s="443" t="s">
        <v>63</v>
      </c>
      <c r="O5" s="31" t="s">
        <v>807</v>
      </c>
      <c r="P5" s="31">
        <v>45339</v>
      </c>
      <c r="Q5" s="32" t="s">
        <v>62</v>
      </c>
      <c r="R5" s="32" t="s">
        <v>62</v>
      </c>
      <c r="S5" s="32" t="s">
        <v>62</v>
      </c>
      <c r="T5" s="32" t="s">
        <v>62</v>
      </c>
      <c r="U5" s="32"/>
      <c r="V5" s="32"/>
      <c r="W5" s="32" t="s">
        <v>62</v>
      </c>
      <c r="X5" s="32" t="s">
        <v>62</v>
      </c>
      <c r="Y5" s="32"/>
      <c r="Z5" s="558"/>
      <c r="AA5" s="558"/>
      <c r="AB5" s="16"/>
      <c r="AC5" s="16"/>
      <c r="AD5" s="287">
        <v>44599</v>
      </c>
      <c r="AE5" s="58" t="s">
        <v>689</v>
      </c>
      <c r="AF5" s="58" t="s">
        <v>689</v>
      </c>
      <c r="AG5" s="382">
        <v>45532</v>
      </c>
      <c r="AI5" s="382">
        <v>45339</v>
      </c>
      <c r="AJ5" s="58" t="s">
        <v>689</v>
      </c>
      <c r="AK5" s="143">
        <v>45436</v>
      </c>
      <c r="AL5" s="1369">
        <v>45341</v>
      </c>
      <c r="AM5" s="143">
        <v>45574</v>
      </c>
      <c r="AN5" s="24"/>
    </row>
    <row r="6" spans="1:43" ht="22.8" hidden="1" x14ac:dyDescent="0.25">
      <c r="A6" s="28">
        <v>5</v>
      </c>
      <c r="B6" s="20">
        <v>30406</v>
      </c>
      <c r="C6" s="27" t="s">
        <v>64</v>
      </c>
      <c r="D6" s="20" t="s">
        <v>813</v>
      </c>
      <c r="E6" s="238" t="s">
        <v>805</v>
      </c>
      <c r="F6" s="29" t="s">
        <v>806</v>
      </c>
      <c r="G6" s="29" t="s">
        <v>13</v>
      </c>
      <c r="H6" s="19">
        <v>42005</v>
      </c>
      <c r="I6" s="3">
        <v>7</v>
      </c>
      <c r="J6" s="3" t="s">
        <v>66</v>
      </c>
      <c r="K6" s="429" t="s">
        <v>59</v>
      </c>
      <c r="L6" s="450">
        <v>44081</v>
      </c>
      <c r="M6" s="433" t="s">
        <v>60</v>
      </c>
      <c r="N6" s="443" t="s">
        <v>63</v>
      </c>
      <c r="O6" s="31" t="s">
        <v>807</v>
      </c>
      <c r="P6" s="31"/>
      <c r="Q6" s="32" t="s">
        <v>68</v>
      </c>
      <c r="R6" s="32" t="s">
        <v>68</v>
      </c>
      <c r="S6" s="32" t="s">
        <v>68</v>
      </c>
      <c r="T6" s="32" t="s">
        <v>68</v>
      </c>
      <c r="U6" s="32"/>
      <c r="V6" s="32"/>
      <c r="W6" s="32"/>
      <c r="X6" s="32" t="s">
        <v>68</v>
      </c>
      <c r="Y6" s="32"/>
      <c r="Z6" s="558"/>
      <c r="AA6" s="558"/>
      <c r="AB6" s="16"/>
      <c r="AC6" s="16"/>
      <c r="AD6" s="287">
        <v>44588</v>
      </c>
      <c r="AE6" s="58" t="s">
        <v>63</v>
      </c>
      <c r="AF6" s="382">
        <v>44524</v>
      </c>
      <c r="AG6" s="382">
        <v>45545</v>
      </c>
      <c r="AI6" s="58" t="s">
        <v>814</v>
      </c>
      <c r="AK6" s="143">
        <v>44676</v>
      </c>
      <c r="AM6" s="143">
        <v>45546</v>
      </c>
      <c r="AO6" s="658">
        <v>45546</v>
      </c>
    </row>
    <row r="7" spans="1:43" ht="22.8" hidden="1" x14ac:dyDescent="0.25">
      <c r="A7" s="28">
        <v>6</v>
      </c>
      <c r="B7" s="20">
        <v>30406</v>
      </c>
      <c r="C7" s="27" t="s">
        <v>54</v>
      </c>
      <c r="D7" s="12" t="s">
        <v>815</v>
      </c>
      <c r="E7" s="238" t="s">
        <v>805</v>
      </c>
      <c r="F7" s="29" t="s">
        <v>806</v>
      </c>
      <c r="G7" s="29" t="s">
        <v>13</v>
      </c>
      <c r="H7" s="19">
        <v>42005</v>
      </c>
      <c r="I7" s="3">
        <v>36</v>
      </c>
      <c r="J7" s="3" t="s">
        <v>58</v>
      </c>
      <c r="K7" s="429" t="s">
        <v>59</v>
      </c>
      <c r="L7" s="450">
        <v>44081</v>
      </c>
      <c r="M7" s="433" t="s">
        <v>67</v>
      </c>
      <c r="N7" s="443" t="s">
        <v>63</v>
      </c>
      <c r="O7" s="31" t="s">
        <v>807</v>
      </c>
      <c r="P7" s="31"/>
      <c r="Q7" s="32" t="s">
        <v>62</v>
      </c>
      <c r="R7" s="32" t="s">
        <v>62</v>
      </c>
      <c r="S7" s="32" t="s">
        <v>62</v>
      </c>
      <c r="T7" s="32" t="s">
        <v>62</v>
      </c>
      <c r="U7" s="32"/>
      <c r="V7" s="32"/>
      <c r="W7" s="32"/>
      <c r="X7" s="32" t="s">
        <v>62</v>
      </c>
      <c r="Y7" s="32"/>
      <c r="Z7" s="558"/>
      <c r="AA7" s="558"/>
      <c r="AB7" s="16"/>
      <c r="AC7" s="16"/>
      <c r="AD7" s="287">
        <v>44588</v>
      </c>
      <c r="AE7" s="24" t="s">
        <v>63</v>
      </c>
      <c r="AF7" s="382">
        <v>44524</v>
      </c>
      <c r="AG7" s="382">
        <v>45545</v>
      </c>
      <c r="AI7" s="58" t="s">
        <v>814</v>
      </c>
      <c r="AK7" s="143">
        <v>44676</v>
      </c>
      <c r="AM7" s="143">
        <v>45546</v>
      </c>
      <c r="AO7" s="658">
        <v>45546</v>
      </c>
    </row>
    <row r="8" spans="1:43" ht="22.8" hidden="1" x14ac:dyDescent="0.25">
      <c r="A8" s="28">
        <v>7</v>
      </c>
      <c r="B8" s="20">
        <v>30445</v>
      </c>
      <c r="C8" s="27" t="s">
        <v>64</v>
      </c>
      <c r="D8" s="12" t="s">
        <v>816</v>
      </c>
      <c r="E8" s="238" t="s">
        <v>805</v>
      </c>
      <c r="F8" s="29" t="s">
        <v>806</v>
      </c>
      <c r="G8" s="29" t="s">
        <v>13</v>
      </c>
      <c r="H8" s="19">
        <v>42364</v>
      </c>
      <c r="I8" s="3">
        <v>8</v>
      </c>
      <c r="J8" s="3" t="s">
        <v>58</v>
      </c>
      <c r="K8" s="429" t="s">
        <v>59</v>
      </c>
      <c r="L8" s="450">
        <v>44056</v>
      </c>
      <c r="M8" s="433" t="s">
        <v>67</v>
      </c>
      <c r="N8" s="443" t="s">
        <v>63</v>
      </c>
      <c r="O8" s="31">
        <v>45412</v>
      </c>
      <c r="P8" s="31">
        <v>45306</v>
      </c>
      <c r="Q8" s="32" t="s">
        <v>68</v>
      </c>
      <c r="R8" s="32" t="s">
        <v>68</v>
      </c>
      <c r="S8" s="32"/>
      <c r="T8" s="32" t="s">
        <v>68</v>
      </c>
      <c r="U8" s="32" t="s">
        <v>68</v>
      </c>
      <c r="V8" s="32"/>
      <c r="W8" s="32" t="s">
        <v>68</v>
      </c>
      <c r="X8" s="32" t="s">
        <v>68</v>
      </c>
      <c r="Y8" s="32"/>
      <c r="Z8" s="558"/>
      <c r="AA8" s="558"/>
      <c r="AB8" s="16"/>
      <c r="AC8" s="16"/>
      <c r="AD8" s="287">
        <v>44599</v>
      </c>
      <c r="AE8" s="24" t="s">
        <v>63</v>
      </c>
      <c r="AF8" s="382">
        <v>44558</v>
      </c>
      <c r="AG8" s="143">
        <v>45491</v>
      </c>
      <c r="AH8" s="143"/>
      <c r="AI8" s="143">
        <v>45217</v>
      </c>
      <c r="AJ8" s="140" t="s">
        <v>68</v>
      </c>
      <c r="AK8" s="1369">
        <v>44667</v>
      </c>
      <c r="AL8" s="1369">
        <v>45306</v>
      </c>
      <c r="AM8" s="143">
        <v>45607</v>
      </c>
      <c r="AO8" s="658"/>
    </row>
    <row r="9" spans="1:43" ht="22.8" hidden="1" x14ac:dyDescent="0.25">
      <c r="A9" s="28">
        <v>8</v>
      </c>
      <c r="B9" s="20">
        <v>30445</v>
      </c>
      <c r="C9" s="27" t="s">
        <v>54</v>
      </c>
      <c r="D9" s="12" t="s">
        <v>817</v>
      </c>
      <c r="E9" s="238" t="s">
        <v>805</v>
      </c>
      <c r="F9" s="29" t="s">
        <v>806</v>
      </c>
      <c r="G9" s="29" t="s">
        <v>13</v>
      </c>
      <c r="H9" s="19">
        <v>42364</v>
      </c>
      <c r="I9" s="3">
        <v>9</v>
      </c>
      <c r="J9" s="3" t="s">
        <v>58</v>
      </c>
      <c r="K9" s="429" t="s">
        <v>59</v>
      </c>
      <c r="L9" s="450">
        <v>44065</v>
      </c>
      <c r="M9" s="433" t="s">
        <v>67</v>
      </c>
      <c r="N9" s="443" t="s">
        <v>63</v>
      </c>
      <c r="O9" s="31">
        <v>45412</v>
      </c>
      <c r="P9" s="31">
        <v>45306</v>
      </c>
      <c r="Q9" s="32" t="s">
        <v>62</v>
      </c>
      <c r="R9" s="32" t="s">
        <v>62</v>
      </c>
      <c r="S9" s="32"/>
      <c r="T9" s="32" t="s">
        <v>62</v>
      </c>
      <c r="U9" s="32" t="s">
        <v>62</v>
      </c>
      <c r="V9" s="32"/>
      <c r="W9" s="32" t="s">
        <v>62</v>
      </c>
      <c r="X9" s="32" t="s">
        <v>62</v>
      </c>
      <c r="Y9" s="32"/>
      <c r="Z9" s="558"/>
      <c r="AA9" s="558"/>
      <c r="AB9" s="16"/>
      <c r="AC9" s="16"/>
      <c r="AD9" s="287">
        <v>44599</v>
      </c>
      <c r="AE9" s="24" t="s">
        <v>63</v>
      </c>
      <c r="AF9" s="382">
        <v>44558</v>
      </c>
      <c r="AG9" s="143">
        <v>45491</v>
      </c>
      <c r="AI9" s="143">
        <v>45217</v>
      </c>
      <c r="AJ9" s="140" t="s">
        <v>62</v>
      </c>
      <c r="AK9" s="1369">
        <v>44667</v>
      </c>
      <c r="AL9" s="1369">
        <v>45306</v>
      </c>
      <c r="AM9" s="143">
        <v>45607</v>
      </c>
      <c r="AO9" s="658"/>
    </row>
    <row r="10" spans="1:43" ht="22.8" hidden="1" x14ac:dyDescent="0.25">
      <c r="A10" s="28">
        <v>9</v>
      </c>
      <c r="B10" s="20">
        <v>30453</v>
      </c>
      <c r="C10" s="27" t="s">
        <v>64</v>
      </c>
      <c r="D10" s="12" t="s">
        <v>818</v>
      </c>
      <c r="E10" s="238" t="s">
        <v>805</v>
      </c>
      <c r="F10" s="29" t="s">
        <v>806</v>
      </c>
      <c r="G10" s="29" t="s">
        <v>13</v>
      </c>
      <c r="H10" s="19">
        <v>42458</v>
      </c>
      <c r="I10" s="3">
        <v>35</v>
      </c>
      <c r="J10" s="3" t="s">
        <v>58</v>
      </c>
      <c r="K10" s="429" t="s">
        <v>59</v>
      </c>
      <c r="L10" s="450">
        <v>44104</v>
      </c>
      <c r="M10" s="433" t="s">
        <v>67</v>
      </c>
      <c r="N10" s="443" t="s">
        <v>63</v>
      </c>
      <c r="O10" s="31" t="s">
        <v>807</v>
      </c>
      <c r="P10" s="31">
        <v>45353</v>
      </c>
      <c r="Q10" s="32" t="s">
        <v>68</v>
      </c>
      <c r="R10" s="32" t="s">
        <v>68</v>
      </c>
      <c r="S10" s="32" t="s">
        <v>68</v>
      </c>
      <c r="T10" s="32" t="s">
        <v>68</v>
      </c>
      <c r="U10" s="32" t="s">
        <v>68</v>
      </c>
      <c r="V10" s="32"/>
      <c r="W10" s="32" t="s">
        <v>68</v>
      </c>
      <c r="X10" s="32" t="s">
        <v>68</v>
      </c>
      <c r="Y10" s="32"/>
      <c r="Z10" s="558"/>
      <c r="AA10" s="558"/>
      <c r="AB10" s="16"/>
      <c r="AC10" s="16"/>
      <c r="AD10" s="140" t="s">
        <v>68</v>
      </c>
      <c r="AE10" s="24" t="s">
        <v>63</v>
      </c>
      <c r="AF10" s="140" t="s">
        <v>68</v>
      </c>
      <c r="AG10" s="382">
        <v>45524</v>
      </c>
      <c r="AI10" s="58" t="s">
        <v>819</v>
      </c>
      <c r="AJ10" s="140" t="s">
        <v>68</v>
      </c>
      <c r="AK10" s="1369">
        <v>44680</v>
      </c>
      <c r="AL10" s="23" t="s">
        <v>63</v>
      </c>
      <c r="AM10" s="143">
        <v>45521</v>
      </c>
      <c r="AN10" s="381"/>
      <c r="AO10" s="658"/>
    </row>
    <row r="11" spans="1:43" ht="22.8" hidden="1" x14ac:dyDescent="0.25">
      <c r="A11" s="28">
        <v>10</v>
      </c>
      <c r="B11" s="20">
        <v>30453</v>
      </c>
      <c r="C11" s="27" t="s">
        <v>54</v>
      </c>
      <c r="D11" s="12" t="s">
        <v>820</v>
      </c>
      <c r="E11" s="238" t="s">
        <v>805</v>
      </c>
      <c r="F11" s="29" t="s">
        <v>806</v>
      </c>
      <c r="G11" s="29" t="s">
        <v>13</v>
      </c>
      <c r="H11" s="19">
        <v>42458</v>
      </c>
      <c r="I11" s="3">
        <v>34</v>
      </c>
      <c r="J11" s="3" t="s">
        <v>58</v>
      </c>
      <c r="K11" s="429" t="s">
        <v>59</v>
      </c>
      <c r="L11" s="450">
        <v>44104</v>
      </c>
      <c r="M11" s="433" t="s">
        <v>67</v>
      </c>
      <c r="N11" s="443" t="s">
        <v>63</v>
      </c>
      <c r="O11" s="31" t="s">
        <v>807</v>
      </c>
      <c r="P11" s="31">
        <v>45353</v>
      </c>
      <c r="Q11" s="32" t="s">
        <v>62</v>
      </c>
      <c r="R11" s="32" t="s">
        <v>62</v>
      </c>
      <c r="S11" s="32" t="s">
        <v>62</v>
      </c>
      <c r="T11" s="32" t="s">
        <v>62</v>
      </c>
      <c r="U11" s="32" t="s">
        <v>62</v>
      </c>
      <c r="V11" s="32"/>
      <c r="W11" s="32" t="s">
        <v>62</v>
      </c>
      <c r="X11" s="32" t="s">
        <v>62</v>
      </c>
      <c r="Y11" s="32"/>
      <c r="Z11" s="558"/>
      <c r="AA11" s="558"/>
      <c r="AB11" s="16"/>
      <c r="AC11" s="16"/>
      <c r="AD11" s="140" t="s">
        <v>62</v>
      </c>
      <c r="AE11" s="24" t="s">
        <v>63</v>
      </c>
      <c r="AF11" s="140" t="s">
        <v>62</v>
      </c>
      <c r="AG11" s="382">
        <v>45524</v>
      </c>
      <c r="AI11" s="58" t="s">
        <v>819</v>
      </c>
      <c r="AJ11" s="140" t="s">
        <v>62</v>
      </c>
      <c r="AK11" s="1369">
        <v>44680</v>
      </c>
      <c r="AL11" s="23" t="s">
        <v>63</v>
      </c>
      <c r="AM11" s="143">
        <v>45521</v>
      </c>
      <c r="AO11" s="658"/>
    </row>
    <row r="12" spans="1:43" ht="22.8" hidden="1" x14ac:dyDescent="0.25">
      <c r="A12" s="28">
        <v>11</v>
      </c>
      <c r="B12" s="20">
        <v>30483</v>
      </c>
      <c r="C12" s="27" t="s">
        <v>64</v>
      </c>
      <c r="D12" s="12" t="s">
        <v>821</v>
      </c>
      <c r="E12" s="238" t="s">
        <v>805</v>
      </c>
      <c r="F12" s="29" t="s">
        <v>806</v>
      </c>
      <c r="G12" s="29" t="s">
        <v>13</v>
      </c>
      <c r="H12" s="19">
        <v>42570</v>
      </c>
      <c r="I12" s="3">
        <v>38</v>
      </c>
      <c r="J12" s="3" t="s">
        <v>66</v>
      </c>
      <c r="K12" s="429" t="s">
        <v>59</v>
      </c>
      <c r="L12" s="450">
        <v>44079</v>
      </c>
      <c r="M12" s="433" t="s">
        <v>67</v>
      </c>
      <c r="N12" s="443" t="s">
        <v>63</v>
      </c>
      <c r="O12" s="31" t="s">
        <v>807</v>
      </c>
      <c r="P12" s="31">
        <v>45296</v>
      </c>
      <c r="Q12" s="32" t="s">
        <v>68</v>
      </c>
      <c r="R12" s="32" t="s">
        <v>68</v>
      </c>
      <c r="S12" s="32" t="s">
        <v>68</v>
      </c>
      <c r="T12" s="32" t="s">
        <v>68</v>
      </c>
      <c r="U12" s="32"/>
      <c r="V12" s="32"/>
      <c r="W12" s="32" t="s">
        <v>68</v>
      </c>
      <c r="X12" s="32" t="s">
        <v>68</v>
      </c>
      <c r="Y12" s="32"/>
      <c r="Z12" s="558"/>
      <c r="AA12" s="558"/>
      <c r="AB12" s="16"/>
      <c r="AC12" s="16"/>
      <c r="AD12" s="287">
        <v>44643</v>
      </c>
      <c r="AE12" s="24" t="s">
        <v>63</v>
      </c>
      <c r="AF12" s="276" t="s">
        <v>68</v>
      </c>
      <c r="AG12" s="382">
        <v>45472</v>
      </c>
      <c r="AH12" s="143"/>
      <c r="AI12" s="143">
        <v>45204</v>
      </c>
      <c r="AJ12" s="276" t="s">
        <v>68</v>
      </c>
      <c r="AK12" s="1369">
        <v>45490</v>
      </c>
      <c r="AL12" s="1369">
        <v>45296</v>
      </c>
      <c r="AM12" s="143">
        <v>45583</v>
      </c>
      <c r="AN12" s="381"/>
      <c r="AO12" s="658"/>
    </row>
    <row r="13" spans="1:43" ht="22.8" hidden="1" x14ac:dyDescent="0.25">
      <c r="A13" s="28">
        <v>12</v>
      </c>
      <c r="B13" s="20">
        <v>30483</v>
      </c>
      <c r="C13" s="27" t="s">
        <v>54</v>
      </c>
      <c r="D13" s="12" t="s">
        <v>822</v>
      </c>
      <c r="E13" s="238" t="s">
        <v>805</v>
      </c>
      <c r="F13" s="29" t="s">
        <v>806</v>
      </c>
      <c r="G13" s="29" t="s">
        <v>13</v>
      </c>
      <c r="H13" s="19">
        <v>42570</v>
      </c>
      <c r="I13" s="3">
        <v>45</v>
      </c>
      <c r="J13" s="3" t="s">
        <v>66</v>
      </c>
      <c r="K13" s="429" t="s">
        <v>59</v>
      </c>
      <c r="L13" s="450">
        <v>44081</v>
      </c>
      <c r="M13" s="433" t="s">
        <v>67</v>
      </c>
      <c r="N13" s="443" t="s">
        <v>63</v>
      </c>
      <c r="O13" s="31" t="s">
        <v>807</v>
      </c>
      <c r="P13" s="31">
        <v>45296</v>
      </c>
      <c r="Q13" s="32" t="s">
        <v>62</v>
      </c>
      <c r="R13" s="32" t="s">
        <v>62</v>
      </c>
      <c r="S13" s="32" t="s">
        <v>62</v>
      </c>
      <c r="T13" s="32" t="s">
        <v>62</v>
      </c>
      <c r="U13" s="32"/>
      <c r="V13" s="32"/>
      <c r="W13" s="32" t="s">
        <v>62</v>
      </c>
      <c r="X13" s="32" t="s">
        <v>62</v>
      </c>
      <c r="Y13" s="32"/>
      <c r="Z13" s="558"/>
      <c r="AA13" s="558"/>
      <c r="AB13" s="16"/>
      <c r="AC13" s="16"/>
      <c r="AD13" s="287">
        <v>44643</v>
      </c>
      <c r="AE13" s="24" t="s">
        <v>63</v>
      </c>
      <c r="AF13" s="276" t="s">
        <v>62</v>
      </c>
      <c r="AG13" s="382">
        <v>45472</v>
      </c>
      <c r="AI13" s="143">
        <v>45204</v>
      </c>
      <c r="AJ13" s="276" t="s">
        <v>62</v>
      </c>
      <c r="AK13" s="1369">
        <v>45490</v>
      </c>
      <c r="AL13" s="1369">
        <v>45296</v>
      </c>
      <c r="AM13" s="143">
        <v>45583</v>
      </c>
      <c r="AO13" s="658"/>
    </row>
    <row r="14" spans="1:43" ht="22.8" hidden="1" x14ac:dyDescent="0.25">
      <c r="A14" s="28">
        <v>13</v>
      </c>
      <c r="B14" s="20">
        <v>30600</v>
      </c>
      <c r="C14" s="27" t="s">
        <v>64</v>
      </c>
      <c r="D14" s="18" t="s">
        <v>823</v>
      </c>
      <c r="E14" s="238" t="s">
        <v>805</v>
      </c>
      <c r="F14" s="29" t="s">
        <v>806</v>
      </c>
      <c r="G14" s="29" t="s">
        <v>13</v>
      </c>
      <c r="H14" s="19">
        <v>43042</v>
      </c>
      <c r="I14" s="3">
        <v>91</v>
      </c>
      <c r="J14" s="3" t="s">
        <v>58</v>
      </c>
      <c r="K14" s="429" t="s">
        <v>59</v>
      </c>
      <c r="L14" s="443" t="s">
        <v>63</v>
      </c>
      <c r="M14" s="432" t="s">
        <v>824</v>
      </c>
      <c r="N14" s="450">
        <v>44732</v>
      </c>
      <c r="O14" s="33">
        <v>45350</v>
      </c>
      <c r="P14" s="33"/>
      <c r="Q14" s="16"/>
      <c r="R14" s="43" t="s">
        <v>68</v>
      </c>
      <c r="S14" s="16" t="s">
        <v>68</v>
      </c>
      <c r="T14" s="16" t="s">
        <v>68</v>
      </c>
      <c r="U14" s="16" t="s">
        <v>68</v>
      </c>
      <c r="V14" s="16" t="s">
        <v>68</v>
      </c>
      <c r="W14" s="16" t="s">
        <v>68</v>
      </c>
      <c r="X14" s="16" t="s">
        <v>68</v>
      </c>
      <c r="Y14" s="16"/>
      <c r="Z14" s="432"/>
      <c r="AA14" s="432"/>
      <c r="AB14" s="16"/>
      <c r="AC14" s="16"/>
      <c r="AD14" s="276" t="s">
        <v>68</v>
      </c>
      <c r="AE14" s="276" t="s">
        <v>68</v>
      </c>
      <c r="AF14" s="276" t="s">
        <v>68</v>
      </c>
      <c r="AG14" s="382">
        <v>45520</v>
      </c>
      <c r="AI14" s="58" t="s">
        <v>825</v>
      </c>
      <c r="AJ14" s="140" t="s">
        <v>68</v>
      </c>
      <c r="AK14" s="140" t="s">
        <v>68</v>
      </c>
      <c r="AL14" s="140" t="s">
        <v>68</v>
      </c>
      <c r="AM14" s="143">
        <v>45524</v>
      </c>
      <c r="AO14" s="658">
        <v>45520</v>
      </c>
    </row>
    <row r="15" spans="1:43" ht="22.8" hidden="1" x14ac:dyDescent="0.25">
      <c r="A15" s="28">
        <v>14</v>
      </c>
      <c r="B15" s="111">
        <v>30600</v>
      </c>
      <c r="C15" s="112" t="s">
        <v>54</v>
      </c>
      <c r="D15" s="1197" t="s">
        <v>826</v>
      </c>
      <c r="E15" s="1157" t="s">
        <v>805</v>
      </c>
      <c r="F15" s="110" t="s">
        <v>806</v>
      </c>
      <c r="G15" s="110" t="s">
        <v>13</v>
      </c>
      <c r="H15" s="114">
        <v>43042</v>
      </c>
      <c r="I15" s="115">
        <v>90</v>
      </c>
      <c r="J15" s="115" t="s">
        <v>58</v>
      </c>
      <c r="K15" s="430" t="s">
        <v>59</v>
      </c>
      <c r="L15" s="447" t="s">
        <v>63</v>
      </c>
      <c r="M15" s="446" t="s">
        <v>60</v>
      </c>
      <c r="N15" s="665">
        <v>44732</v>
      </c>
      <c r="O15" s="406">
        <v>45350</v>
      </c>
      <c r="P15" s="406"/>
      <c r="Q15" s="117"/>
      <c r="R15" s="1198" t="s">
        <v>62</v>
      </c>
      <c r="S15" s="117" t="s">
        <v>62</v>
      </c>
      <c r="T15" s="117" t="s">
        <v>62</v>
      </c>
      <c r="U15" s="117" t="s">
        <v>62</v>
      </c>
      <c r="V15" s="117" t="s">
        <v>62</v>
      </c>
      <c r="W15" s="117" t="s">
        <v>62</v>
      </c>
      <c r="X15" s="117" t="s">
        <v>62</v>
      </c>
      <c r="Y15" s="117"/>
      <c r="Z15" s="446"/>
      <c r="AA15" s="446"/>
      <c r="AB15" s="117"/>
      <c r="AC15" s="117"/>
      <c r="AD15" s="407" t="s">
        <v>62</v>
      </c>
      <c r="AE15" s="407" t="s">
        <v>62</v>
      </c>
      <c r="AF15" s="407" t="s">
        <v>62</v>
      </c>
      <c r="AG15" s="616">
        <v>45520</v>
      </c>
      <c r="AH15" s="511"/>
      <c r="AI15" s="511" t="s">
        <v>825</v>
      </c>
      <c r="AJ15" s="1199" t="s">
        <v>62</v>
      </c>
      <c r="AK15" s="1369">
        <v>45447</v>
      </c>
      <c r="AL15" s="1199" t="s">
        <v>62</v>
      </c>
      <c r="AM15" s="235">
        <v>45524</v>
      </c>
    </row>
    <row r="16" spans="1:43" ht="26.4" hidden="1" x14ac:dyDescent="0.25">
      <c r="A16" s="1196">
        <v>15</v>
      </c>
      <c r="B16" s="229">
        <v>30626</v>
      </c>
      <c r="C16" s="227" t="s">
        <v>64</v>
      </c>
      <c r="D16" s="1189" t="s">
        <v>827</v>
      </c>
      <c r="E16" s="229" t="s">
        <v>828</v>
      </c>
      <c r="F16" s="291" t="s">
        <v>806</v>
      </c>
      <c r="G16" s="291" t="s">
        <v>13</v>
      </c>
      <c r="H16" s="1190">
        <v>43908</v>
      </c>
      <c r="I16" s="103">
        <v>331</v>
      </c>
      <c r="J16" s="103" t="s">
        <v>58</v>
      </c>
      <c r="K16" s="436" t="s">
        <v>59</v>
      </c>
      <c r="L16" s="1191">
        <v>44062</v>
      </c>
      <c r="M16" s="1192" t="s">
        <v>60</v>
      </c>
      <c r="N16" s="1191"/>
      <c r="O16" s="1193">
        <v>44736</v>
      </c>
      <c r="P16" s="1194"/>
      <c r="Q16" s="396"/>
      <c r="R16" s="396" t="s">
        <v>68</v>
      </c>
      <c r="S16" s="396" t="s">
        <v>68</v>
      </c>
      <c r="T16" s="396" t="s">
        <v>68</v>
      </c>
      <c r="U16" s="396" t="s">
        <v>68</v>
      </c>
      <c r="V16" s="396" t="s">
        <v>68</v>
      </c>
      <c r="W16" s="396"/>
      <c r="X16" s="396" t="s">
        <v>68</v>
      </c>
      <c r="Y16" s="396" t="s">
        <v>68</v>
      </c>
      <c r="Z16" s="1195"/>
      <c r="AA16" s="1195"/>
      <c r="AB16" s="105"/>
      <c r="AC16" s="105"/>
      <c r="AD16" s="396" t="s">
        <v>68</v>
      </c>
      <c r="AE16" s="396" t="s">
        <v>68</v>
      </c>
      <c r="AF16" s="396" t="s">
        <v>68</v>
      </c>
      <c r="AG16" s="231">
        <v>45500</v>
      </c>
      <c r="AH16" s="396" t="s">
        <v>68</v>
      </c>
      <c r="AI16" s="396" t="s">
        <v>68</v>
      </c>
      <c r="AJ16" s="105" t="s">
        <v>68</v>
      </c>
      <c r="AK16" s="105" t="s">
        <v>68</v>
      </c>
      <c r="AL16" s="187"/>
      <c r="AM16" s="187" t="s">
        <v>63</v>
      </c>
      <c r="AO16" s="653" t="s">
        <v>829</v>
      </c>
    </row>
    <row r="17" spans="1:41" ht="26.4" hidden="1" x14ac:dyDescent="0.25">
      <c r="A17" s="1196">
        <v>16</v>
      </c>
      <c r="B17" s="229">
        <v>30626</v>
      </c>
      <c r="C17" s="227" t="s">
        <v>54</v>
      </c>
      <c r="D17" s="1189" t="s">
        <v>830</v>
      </c>
      <c r="E17" s="229" t="s">
        <v>828</v>
      </c>
      <c r="F17" s="291" t="s">
        <v>806</v>
      </c>
      <c r="G17" s="291" t="s">
        <v>13</v>
      </c>
      <c r="H17" s="1190">
        <v>43908</v>
      </c>
      <c r="I17" s="103">
        <v>324</v>
      </c>
      <c r="J17" s="103" t="s">
        <v>58</v>
      </c>
      <c r="K17" s="436" t="s">
        <v>59</v>
      </c>
      <c r="L17" s="1191">
        <v>44062</v>
      </c>
      <c r="M17" s="1192" t="s">
        <v>60</v>
      </c>
      <c r="N17" s="1191"/>
      <c r="O17" s="1193">
        <v>44736</v>
      </c>
      <c r="P17" s="1194"/>
      <c r="Q17" s="396"/>
      <c r="R17" s="396" t="s">
        <v>62</v>
      </c>
      <c r="S17" s="396" t="s">
        <v>62</v>
      </c>
      <c r="T17" s="396" t="s">
        <v>62</v>
      </c>
      <c r="U17" s="396" t="s">
        <v>62</v>
      </c>
      <c r="V17" s="396" t="s">
        <v>62</v>
      </c>
      <c r="W17" s="396"/>
      <c r="X17" s="396" t="s">
        <v>62</v>
      </c>
      <c r="Y17" s="396" t="s">
        <v>68</v>
      </c>
      <c r="Z17" s="1195"/>
      <c r="AA17" s="1195"/>
      <c r="AB17" s="105"/>
      <c r="AC17" s="105"/>
      <c r="AD17" s="396" t="s">
        <v>62</v>
      </c>
      <c r="AE17" s="396" t="s">
        <v>62</v>
      </c>
      <c r="AF17" s="396" t="s">
        <v>62</v>
      </c>
      <c r="AG17" s="231">
        <v>45500</v>
      </c>
      <c r="AH17" s="396" t="s">
        <v>62</v>
      </c>
      <c r="AI17" s="396" t="s">
        <v>62</v>
      </c>
      <c r="AJ17" s="105" t="s">
        <v>62</v>
      </c>
      <c r="AK17" s="105" t="s">
        <v>62</v>
      </c>
      <c r="AL17" s="187"/>
      <c r="AM17" s="187" t="s">
        <v>63</v>
      </c>
      <c r="AO17" s="653" t="s">
        <v>829</v>
      </c>
    </row>
    <row r="18" spans="1:41" ht="22.8" hidden="1" x14ac:dyDescent="0.25">
      <c r="A18" s="28">
        <v>17</v>
      </c>
      <c r="B18" s="238">
        <v>30638</v>
      </c>
      <c r="C18" s="1125" t="s">
        <v>64</v>
      </c>
      <c r="D18" s="916" t="s">
        <v>831</v>
      </c>
      <c r="E18" s="238" t="s">
        <v>805</v>
      </c>
      <c r="F18" s="258" t="s">
        <v>806</v>
      </c>
      <c r="G18" s="258" t="s">
        <v>13</v>
      </c>
      <c r="H18" s="1223">
        <v>44037</v>
      </c>
      <c r="I18" s="239">
        <v>348</v>
      </c>
      <c r="J18" s="239" t="s">
        <v>58</v>
      </c>
      <c r="K18" s="437" t="s">
        <v>59</v>
      </c>
      <c r="L18" s="673">
        <v>44130</v>
      </c>
      <c r="M18" s="674" t="s">
        <v>60</v>
      </c>
      <c r="N18" s="673">
        <v>44564</v>
      </c>
      <c r="O18" s="675">
        <v>45462</v>
      </c>
      <c r="P18" s="675"/>
      <c r="Q18" s="142"/>
      <c r="R18" s="142" t="s">
        <v>68</v>
      </c>
      <c r="S18" s="142" t="s">
        <v>68</v>
      </c>
      <c r="T18" s="142" t="s">
        <v>68</v>
      </c>
      <c r="U18" s="142" t="s">
        <v>68</v>
      </c>
      <c r="V18" s="142"/>
      <c r="W18" s="142" t="s">
        <v>68</v>
      </c>
      <c r="X18" s="142" t="s">
        <v>68</v>
      </c>
      <c r="Y18" s="142"/>
      <c r="Z18" s="919"/>
      <c r="AA18" s="919"/>
      <c r="AB18" s="241"/>
      <c r="AC18" s="241"/>
      <c r="AD18" s="921" t="s">
        <v>68</v>
      </c>
      <c r="AE18" s="921" t="s">
        <v>68</v>
      </c>
      <c r="AF18" s="921" t="s">
        <v>68</v>
      </c>
      <c r="AG18" s="778">
        <v>45499</v>
      </c>
      <c r="AH18" s="649"/>
      <c r="AI18" s="778">
        <v>45180</v>
      </c>
      <c r="AJ18" s="921" t="s">
        <v>68</v>
      </c>
      <c r="AK18" s="1066">
        <v>45434</v>
      </c>
      <c r="AL18" s="921" t="s">
        <v>68</v>
      </c>
      <c r="AM18" s="1066">
        <v>45462</v>
      </c>
      <c r="AN18" s="381"/>
    </row>
    <row r="19" spans="1:41" ht="22.8" hidden="1" x14ac:dyDescent="0.25">
      <c r="A19" s="28">
        <v>18</v>
      </c>
      <c r="B19" s="20">
        <v>30638</v>
      </c>
      <c r="C19" s="27" t="s">
        <v>54</v>
      </c>
      <c r="D19" s="12" t="s">
        <v>832</v>
      </c>
      <c r="E19" s="238" t="s">
        <v>805</v>
      </c>
      <c r="F19" s="29" t="s">
        <v>806</v>
      </c>
      <c r="G19" s="29" t="s">
        <v>13</v>
      </c>
      <c r="H19" s="49">
        <v>44037</v>
      </c>
      <c r="I19" s="3">
        <v>325</v>
      </c>
      <c r="J19" s="3" t="s">
        <v>58</v>
      </c>
      <c r="K19" s="429" t="s">
        <v>59</v>
      </c>
      <c r="L19" s="450">
        <v>44130</v>
      </c>
      <c r="M19" s="433" t="s">
        <v>60</v>
      </c>
      <c r="N19" s="450">
        <v>44564</v>
      </c>
      <c r="O19" s="31">
        <v>45462</v>
      </c>
      <c r="P19" s="31"/>
      <c r="Q19" s="32"/>
      <c r="R19" s="32" t="s">
        <v>62</v>
      </c>
      <c r="S19" s="32" t="s">
        <v>62</v>
      </c>
      <c r="T19" s="32" t="s">
        <v>62</v>
      </c>
      <c r="U19" s="32" t="s">
        <v>62</v>
      </c>
      <c r="V19" s="32"/>
      <c r="W19" s="32" t="s">
        <v>62</v>
      </c>
      <c r="X19" s="32" t="s">
        <v>62</v>
      </c>
      <c r="Y19" s="32"/>
      <c r="Z19" s="558"/>
      <c r="AA19" s="558"/>
      <c r="AB19" s="16" t="s">
        <v>833</v>
      </c>
      <c r="AC19" s="16"/>
      <c r="AD19" s="140" t="s">
        <v>62</v>
      </c>
      <c r="AE19" s="24" t="s">
        <v>63</v>
      </c>
      <c r="AF19" s="140" t="s">
        <v>62</v>
      </c>
      <c r="AG19" s="382">
        <v>45499</v>
      </c>
      <c r="AI19" s="382">
        <v>45180</v>
      </c>
      <c r="AJ19" s="140" t="s">
        <v>62</v>
      </c>
      <c r="AK19" s="143">
        <v>45434</v>
      </c>
      <c r="AL19" s="140" t="s">
        <v>62</v>
      </c>
      <c r="AM19" s="143">
        <v>45462</v>
      </c>
    </row>
    <row r="20" spans="1:41" ht="22.8" hidden="1" x14ac:dyDescent="0.25">
      <c r="A20" s="28">
        <v>19</v>
      </c>
      <c r="B20" s="20">
        <v>30649</v>
      </c>
      <c r="C20" s="27" t="s">
        <v>64</v>
      </c>
      <c r="D20" s="12" t="s">
        <v>834</v>
      </c>
      <c r="E20" s="238" t="s">
        <v>805</v>
      </c>
      <c r="F20" s="29" t="s">
        <v>806</v>
      </c>
      <c r="G20" s="29" t="s">
        <v>13</v>
      </c>
      <c r="H20" s="19">
        <v>43131</v>
      </c>
      <c r="I20" s="3">
        <v>163</v>
      </c>
      <c r="J20" s="3" t="s">
        <v>58</v>
      </c>
      <c r="K20" s="429" t="s">
        <v>59</v>
      </c>
      <c r="L20" s="450">
        <v>44081</v>
      </c>
      <c r="M20" s="433" t="s">
        <v>722</v>
      </c>
      <c r="N20" s="450" t="s">
        <v>294</v>
      </c>
      <c r="O20" s="48">
        <v>45479</v>
      </c>
      <c r="P20" s="48">
        <v>45308</v>
      </c>
      <c r="Q20" s="32"/>
      <c r="R20" s="32" t="s">
        <v>62</v>
      </c>
      <c r="S20" s="32" t="s">
        <v>68</v>
      </c>
      <c r="T20" s="32" t="s">
        <v>68</v>
      </c>
      <c r="U20" s="32" t="s">
        <v>68</v>
      </c>
      <c r="V20" s="32"/>
      <c r="W20" s="32" t="s">
        <v>68</v>
      </c>
      <c r="X20" s="32" t="s">
        <v>62</v>
      </c>
      <c r="Y20" s="32"/>
      <c r="Z20" s="558"/>
      <c r="AA20" s="558"/>
      <c r="AB20" s="16"/>
      <c r="AC20" s="16"/>
      <c r="AD20" s="140" t="s">
        <v>68</v>
      </c>
      <c r="AE20" s="58" t="s">
        <v>710</v>
      </c>
      <c r="AF20" s="140" t="s">
        <v>68</v>
      </c>
      <c r="AG20" s="382">
        <v>45476</v>
      </c>
      <c r="AH20" s="382">
        <v>45309</v>
      </c>
      <c r="AI20" s="382" t="s">
        <v>835</v>
      </c>
      <c r="AJ20" s="58" t="s">
        <v>68</v>
      </c>
      <c r="AK20" s="143">
        <v>45479</v>
      </c>
      <c r="AL20" s="1369">
        <v>45308</v>
      </c>
      <c r="AM20" s="143">
        <v>45668</v>
      </c>
      <c r="AN20" s="381"/>
    </row>
    <row r="21" spans="1:41" ht="22.8" hidden="1" x14ac:dyDescent="0.25">
      <c r="A21" s="28">
        <v>20</v>
      </c>
      <c r="B21" s="20">
        <v>30649</v>
      </c>
      <c r="C21" s="27" t="s">
        <v>54</v>
      </c>
      <c r="D21" s="12" t="s">
        <v>836</v>
      </c>
      <c r="E21" s="238" t="s">
        <v>805</v>
      </c>
      <c r="F21" s="29" t="s">
        <v>806</v>
      </c>
      <c r="G21" s="29" t="s">
        <v>13</v>
      </c>
      <c r="H21" s="19">
        <v>43131</v>
      </c>
      <c r="I21" s="3">
        <v>161</v>
      </c>
      <c r="J21" s="3" t="s">
        <v>58</v>
      </c>
      <c r="K21" s="429" t="s">
        <v>59</v>
      </c>
      <c r="L21" s="450">
        <v>44081</v>
      </c>
      <c r="M21" s="433" t="s">
        <v>722</v>
      </c>
      <c r="N21" s="450" t="s">
        <v>294</v>
      </c>
      <c r="O21" s="48">
        <v>45479</v>
      </c>
      <c r="P21" s="48">
        <v>45308</v>
      </c>
      <c r="Q21" s="32"/>
      <c r="R21" s="32" t="s">
        <v>68</v>
      </c>
      <c r="S21" s="32" t="s">
        <v>62</v>
      </c>
      <c r="T21" s="32" t="s">
        <v>62</v>
      </c>
      <c r="U21" s="32" t="s">
        <v>62</v>
      </c>
      <c r="V21" s="32"/>
      <c r="W21" s="32" t="s">
        <v>62</v>
      </c>
      <c r="X21" s="32" t="s">
        <v>68</v>
      </c>
      <c r="Y21" s="32"/>
      <c r="Z21" s="558"/>
      <c r="AA21" s="558"/>
      <c r="AB21" s="16"/>
      <c r="AC21" s="16"/>
      <c r="AD21" s="140" t="s">
        <v>62</v>
      </c>
      <c r="AE21" s="58" t="s">
        <v>689</v>
      </c>
      <c r="AF21" s="140" t="s">
        <v>62</v>
      </c>
      <c r="AG21" s="382">
        <v>45476</v>
      </c>
      <c r="AH21" s="382">
        <v>45309</v>
      </c>
      <c r="AI21" s="382" t="s">
        <v>835</v>
      </c>
      <c r="AJ21" s="58" t="s">
        <v>689</v>
      </c>
      <c r="AK21" s="143">
        <v>45479</v>
      </c>
      <c r="AL21" s="1369">
        <v>45308</v>
      </c>
      <c r="AM21" s="143">
        <v>45668</v>
      </c>
    </row>
    <row r="22" spans="1:41" ht="22.8" hidden="1" x14ac:dyDescent="0.25">
      <c r="A22" s="28">
        <v>21</v>
      </c>
      <c r="B22" s="20">
        <v>30662</v>
      </c>
      <c r="C22" s="27" t="s">
        <v>64</v>
      </c>
      <c r="D22" s="12" t="s">
        <v>837</v>
      </c>
      <c r="E22" s="238" t="s">
        <v>805</v>
      </c>
      <c r="F22" s="29" t="s">
        <v>806</v>
      </c>
      <c r="G22" s="29" t="s">
        <v>13</v>
      </c>
      <c r="H22" s="19">
        <v>44096</v>
      </c>
      <c r="I22" s="3">
        <v>349</v>
      </c>
      <c r="J22" s="3" t="s">
        <v>58</v>
      </c>
      <c r="K22" s="429" t="s">
        <v>59</v>
      </c>
      <c r="L22" s="450">
        <v>44101</v>
      </c>
      <c r="M22" s="433" t="s">
        <v>722</v>
      </c>
      <c r="N22" s="450" t="s">
        <v>294</v>
      </c>
      <c r="O22" s="48">
        <v>45360</v>
      </c>
      <c r="P22" s="48"/>
      <c r="Q22" s="30"/>
      <c r="R22" s="32" t="s">
        <v>68</v>
      </c>
      <c r="S22" s="32" t="s">
        <v>68</v>
      </c>
      <c r="T22" s="32" t="s">
        <v>68</v>
      </c>
      <c r="U22" s="32" t="s">
        <v>68</v>
      </c>
      <c r="V22" s="30"/>
      <c r="W22" s="30"/>
      <c r="X22" s="30"/>
      <c r="Y22" s="30"/>
      <c r="Z22" s="433"/>
      <c r="AA22" s="433"/>
      <c r="AB22" s="3" t="s">
        <v>838</v>
      </c>
      <c r="AC22" s="16"/>
      <c r="AD22" s="284" t="s">
        <v>68</v>
      </c>
      <c r="AE22" s="284" t="s">
        <v>68</v>
      </c>
      <c r="AF22" s="284" t="s">
        <v>68</v>
      </c>
      <c r="AG22" s="382">
        <v>45467</v>
      </c>
      <c r="AH22" s="382"/>
      <c r="AI22" s="284" t="s">
        <v>68</v>
      </c>
      <c r="AJ22" s="284" t="s">
        <v>68</v>
      </c>
      <c r="AK22" s="143">
        <v>45468</v>
      </c>
      <c r="AL22" s="284" t="s">
        <v>68</v>
      </c>
      <c r="AM22" s="143">
        <v>45560</v>
      </c>
      <c r="AN22" s="381"/>
    </row>
    <row r="23" spans="1:41" ht="22.8" hidden="1" x14ac:dyDescent="0.25">
      <c r="A23" s="28">
        <v>22</v>
      </c>
      <c r="B23" s="20">
        <v>30662</v>
      </c>
      <c r="C23" s="27" t="s">
        <v>54</v>
      </c>
      <c r="D23" s="12" t="s">
        <v>839</v>
      </c>
      <c r="E23" s="238" t="s">
        <v>805</v>
      </c>
      <c r="F23" s="29" t="s">
        <v>806</v>
      </c>
      <c r="G23" s="29" t="s">
        <v>13</v>
      </c>
      <c r="H23" s="19">
        <v>44096</v>
      </c>
      <c r="I23" s="3">
        <v>330</v>
      </c>
      <c r="J23" s="3" t="s">
        <v>58</v>
      </c>
      <c r="K23" s="429" t="s">
        <v>59</v>
      </c>
      <c r="L23" s="450">
        <v>44101</v>
      </c>
      <c r="M23" s="433" t="s">
        <v>722</v>
      </c>
      <c r="N23" s="450" t="s">
        <v>294</v>
      </c>
      <c r="O23" s="48">
        <v>45360</v>
      </c>
      <c r="P23" s="48"/>
      <c r="Q23" s="30"/>
      <c r="R23" s="32" t="s">
        <v>62</v>
      </c>
      <c r="S23" s="32" t="s">
        <v>62</v>
      </c>
      <c r="T23" s="32" t="s">
        <v>62</v>
      </c>
      <c r="U23" s="32" t="s">
        <v>62</v>
      </c>
      <c r="V23" s="30"/>
      <c r="W23" s="30"/>
      <c r="X23" s="30"/>
      <c r="Y23" s="30"/>
      <c r="Z23" s="433"/>
      <c r="AA23" s="433"/>
      <c r="AB23" s="24" t="s">
        <v>840</v>
      </c>
      <c r="AC23" s="16"/>
      <c r="AD23" s="284" t="s">
        <v>62</v>
      </c>
      <c r="AE23" s="24" t="s">
        <v>63</v>
      </c>
      <c r="AF23" s="284" t="s">
        <v>62</v>
      </c>
      <c r="AG23" s="382">
        <v>45467</v>
      </c>
      <c r="AI23" s="284" t="s">
        <v>62</v>
      </c>
      <c r="AJ23" s="284" t="s">
        <v>62</v>
      </c>
      <c r="AK23" s="143">
        <v>45468</v>
      </c>
      <c r="AL23" s="284" t="s">
        <v>62</v>
      </c>
      <c r="AM23" s="143">
        <v>45560</v>
      </c>
      <c r="AN23" s="381"/>
    </row>
    <row r="24" spans="1:41" ht="22.8" hidden="1" x14ac:dyDescent="0.25">
      <c r="A24" s="28">
        <v>23</v>
      </c>
      <c r="B24" s="20">
        <v>30756</v>
      </c>
      <c r="C24" s="27" t="s">
        <v>64</v>
      </c>
      <c r="D24" s="20" t="s">
        <v>841</v>
      </c>
      <c r="E24" s="238" t="s">
        <v>805</v>
      </c>
      <c r="F24" s="29" t="s">
        <v>806</v>
      </c>
      <c r="G24" s="29" t="s">
        <v>13</v>
      </c>
      <c r="H24" s="49">
        <v>43713</v>
      </c>
      <c r="I24" s="3">
        <v>383</v>
      </c>
      <c r="J24" s="3" t="s">
        <v>58</v>
      </c>
      <c r="K24" s="429" t="s">
        <v>59</v>
      </c>
      <c r="L24" s="450">
        <v>44081</v>
      </c>
      <c r="M24" s="432"/>
      <c r="N24" s="450" t="s">
        <v>294</v>
      </c>
      <c r="O24" s="48">
        <v>45300</v>
      </c>
      <c r="P24" s="48"/>
      <c r="Q24" s="32"/>
      <c r="R24" s="32" t="s">
        <v>68</v>
      </c>
      <c r="S24" s="32" t="s">
        <v>68</v>
      </c>
      <c r="T24" s="32" t="s">
        <v>68</v>
      </c>
      <c r="U24" s="32" t="s">
        <v>68</v>
      </c>
      <c r="V24" s="32"/>
      <c r="W24" s="32" t="s">
        <v>68</v>
      </c>
      <c r="X24" s="32" t="s">
        <v>68</v>
      </c>
      <c r="Y24" s="32"/>
      <c r="Z24" s="32"/>
      <c r="AA24" s="32"/>
      <c r="AB24" s="24" t="s">
        <v>842</v>
      </c>
      <c r="AC24" s="16"/>
      <c r="AD24" s="287">
        <v>44599</v>
      </c>
      <c r="AE24" s="24" t="s">
        <v>63</v>
      </c>
      <c r="AF24" s="32" t="s">
        <v>68</v>
      </c>
      <c r="AG24" s="382">
        <v>45478</v>
      </c>
      <c r="AI24" s="58" t="s">
        <v>843</v>
      </c>
      <c r="AJ24" s="32" t="s">
        <v>68</v>
      </c>
      <c r="AK24" s="143">
        <v>45502</v>
      </c>
      <c r="AL24" s="1369">
        <v>45300</v>
      </c>
      <c r="AM24" s="143">
        <v>45570</v>
      </c>
    </row>
    <row r="25" spans="1:41" hidden="1" x14ac:dyDescent="0.25">
      <c r="A25" s="28">
        <v>24</v>
      </c>
      <c r="B25" s="20">
        <v>30756</v>
      </c>
      <c r="C25" s="27" t="s">
        <v>54</v>
      </c>
      <c r="D25" s="20" t="s">
        <v>844</v>
      </c>
      <c r="E25" s="238" t="s">
        <v>805</v>
      </c>
      <c r="F25" s="29" t="s">
        <v>806</v>
      </c>
      <c r="G25" s="29" t="s">
        <v>13</v>
      </c>
      <c r="H25" s="19">
        <v>43713</v>
      </c>
      <c r="I25" s="3">
        <v>382</v>
      </c>
      <c r="J25" s="3" t="s">
        <v>58</v>
      </c>
      <c r="K25" s="433" t="s">
        <v>680</v>
      </c>
      <c r="L25" s="450">
        <v>44081</v>
      </c>
      <c r="M25" s="433" t="s">
        <v>60</v>
      </c>
      <c r="N25" s="450" t="s">
        <v>294</v>
      </c>
      <c r="O25" s="33">
        <v>45300</v>
      </c>
      <c r="P25" s="33"/>
      <c r="Q25" s="36"/>
      <c r="R25" s="16" t="s">
        <v>68</v>
      </c>
      <c r="S25" s="36" t="s">
        <v>62</v>
      </c>
      <c r="T25" s="36" t="s">
        <v>62</v>
      </c>
      <c r="U25" s="36" t="s">
        <v>62</v>
      </c>
      <c r="V25" s="36"/>
      <c r="W25" s="36" t="s">
        <v>62</v>
      </c>
      <c r="X25" s="36" t="s">
        <v>62</v>
      </c>
      <c r="Y25" s="36"/>
      <c r="Z25" s="36"/>
      <c r="AA25" s="36"/>
      <c r="AB25" s="24" t="s">
        <v>845</v>
      </c>
      <c r="AC25" s="16"/>
      <c r="AD25" s="290">
        <v>44599</v>
      </c>
      <c r="AE25" s="24" t="s">
        <v>63</v>
      </c>
      <c r="AF25" s="36" t="s">
        <v>62</v>
      </c>
      <c r="AG25" s="382">
        <v>45478</v>
      </c>
      <c r="AI25" s="58" t="s">
        <v>843</v>
      </c>
      <c r="AJ25" s="36" t="s">
        <v>62</v>
      </c>
      <c r="AK25" s="143">
        <v>45502</v>
      </c>
      <c r="AL25" s="1369">
        <v>45300</v>
      </c>
      <c r="AM25" s="143">
        <v>45570</v>
      </c>
    </row>
    <row r="26" spans="1:41" ht="22.8" hidden="1" x14ac:dyDescent="0.25">
      <c r="A26" s="28">
        <v>25</v>
      </c>
      <c r="B26" s="20">
        <v>30785</v>
      </c>
      <c r="C26" s="27" t="s">
        <v>64</v>
      </c>
      <c r="D26" s="12" t="s">
        <v>846</v>
      </c>
      <c r="E26" s="238" t="s">
        <v>805</v>
      </c>
      <c r="F26" s="29" t="s">
        <v>806</v>
      </c>
      <c r="G26" s="29" t="s">
        <v>13</v>
      </c>
      <c r="H26" s="19">
        <v>43850</v>
      </c>
      <c r="I26" s="3">
        <v>372</v>
      </c>
      <c r="J26" s="3" t="s">
        <v>58</v>
      </c>
      <c r="K26" s="429" t="s">
        <v>59</v>
      </c>
      <c r="L26" s="450">
        <v>44067</v>
      </c>
      <c r="M26" s="433" t="s">
        <v>60</v>
      </c>
      <c r="N26" s="450" t="s">
        <v>294</v>
      </c>
      <c r="O26" s="48">
        <v>45429</v>
      </c>
      <c r="P26" s="48"/>
      <c r="Q26" s="32"/>
      <c r="R26" s="32" t="s">
        <v>68</v>
      </c>
      <c r="S26" s="32" t="s">
        <v>68</v>
      </c>
      <c r="T26" s="32" t="s">
        <v>68</v>
      </c>
      <c r="U26" s="32" t="s">
        <v>68</v>
      </c>
      <c r="V26" s="32"/>
      <c r="W26" s="32" t="s">
        <v>68</v>
      </c>
      <c r="X26" s="32" t="s">
        <v>68</v>
      </c>
      <c r="Y26" s="32"/>
      <c r="Z26" s="558"/>
      <c r="AA26" s="558"/>
      <c r="AB26" s="16"/>
      <c r="AC26" s="16"/>
      <c r="AD26" s="287">
        <v>44641</v>
      </c>
      <c r="AE26" s="24" t="s">
        <v>63</v>
      </c>
      <c r="AF26" s="58" t="s">
        <v>710</v>
      </c>
      <c r="AG26" s="382">
        <v>45471</v>
      </c>
      <c r="AH26" s="382">
        <v>45325</v>
      </c>
      <c r="AI26" s="58" t="s">
        <v>847</v>
      </c>
      <c r="AJ26" s="58" t="s">
        <v>63</v>
      </c>
      <c r="AK26" s="143">
        <v>45505</v>
      </c>
      <c r="AL26" s="1369">
        <v>45325</v>
      </c>
      <c r="AM26" s="143">
        <v>45827</v>
      </c>
    </row>
    <row r="27" spans="1:41" ht="22.8" hidden="1" x14ac:dyDescent="0.25">
      <c r="A27" s="28">
        <v>26</v>
      </c>
      <c r="B27" s="20">
        <v>30785</v>
      </c>
      <c r="C27" s="27" t="s">
        <v>54</v>
      </c>
      <c r="D27" s="12" t="s">
        <v>848</v>
      </c>
      <c r="E27" s="238" t="s">
        <v>805</v>
      </c>
      <c r="F27" s="29" t="s">
        <v>806</v>
      </c>
      <c r="G27" s="29" t="s">
        <v>13</v>
      </c>
      <c r="H27" s="19">
        <v>43850</v>
      </c>
      <c r="I27" s="3">
        <v>373</v>
      </c>
      <c r="J27" s="3" t="s">
        <v>58</v>
      </c>
      <c r="K27" s="429" t="s">
        <v>59</v>
      </c>
      <c r="L27" s="450">
        <v>44067</v>
      </c>
      <c r="M27" s="433" t="s">
        <v>60</v>
      </c>
      <c r="N27" s="450" t="s">
        <v>294</v>
      </c>
      <c r="O27" s="48">
        <v>45429</v>
      </c>
      <c r="P27" s="48"/>
      <c r="Q27" s="32"/>
      <c r="R27" s="32" t="s">
        <v>62</v>
      </c>
      <c r="S27" s="32" t="s">
        <v>62</v>
      </c>
      <c r="T27" s="32" t="s">
        <v>62</v>
      </c>
      <c r="U27" s="32" t="s">
        <v>62</v>
      </c>
      <c r="V27" s="32"/>
      <c r="W27" s="32" t="s">
        <v>62</v>
      </c>
      <c r="X27" s="32" t="s">
        <v>62</v>
      </c>
      <c r="Y27" s="32"/>
      <c r="Z27" s="558"/>
      <c r="AA27" s="558"/>
      <c r="AB27" s="16"/>
      <c r="AC27" s="16"/>
      <c r="AD27" s="287">
        <v>44641</v>
      </c>
      <c r="AE27" s="24" t="s">
        <v>63</v>
      </c>
      <c r="AF27" s="58" t="s">
        <v>689</v>
      </c>
      <c r="AG27" s="382">
        <v>45471</v>
      </c>
      <c r="AH27" s="382">
        <v>45325</v>
      </c>
      <c r="AI27" s="58" t="s">
        <v>847</v>
      </c>
      <c r="AJ27" s="58" t="s">
        <v>63</v>
      </c>
      <c r="AK27" s="143">
        <v>45505</v>
      </c>
      <c r="AL27" s="1369">
        <v>45325</v>
      </c>
      <c r="AM27" s="143">
        <v>45827</v>
      </c>
    </row>
    <row r="28" spans="1:41" ht="26.4" hidden="1" x14ac:dyDescent="0.25">
      <c r="A28" s="28">
        <v>27</v>
      </c>
      <c r="B28" s="20">
        <v>30786</v>
      </c>
      <c r="C28" s="27" t="s">
        <v>64</v>
      </c>
      <c r="D28" s="12" t="s">
        <v>849</v>
      </c>
      <c r="E28" s="238" t="s">
        <v>805</v>
      </c>
      <c r="F28" s="29" t="s">
        <v>806</v>
      </c>
      <c r="G28" s="29" t="s">
        <v>13</v>
      </c>
      <c r="H28" s="19">
        <v>43864</v>
      </c>
      <c r="I28" s="3">
        <v>368</v>
      </c>
      <c r="J28" s="3" t="s">
        <v>58</v>
      </c>
      <c r="K28" s="429" t="s">
        <v>59</v>
      </c>
      <c r="L28" s="450">
        <v>44067</v>
      </c>
      <c r="M28" s="433" t="s">
        <v>60</v>
      </c>
      <c r="N28" s="450" t="s">
        <v>294</v>
      </c>
      <c r="O28" s="48">
        <v>45327</v>
      </c>
      <c r="P28" s="48"/>
      <c r="Q28" s="32"/>
      <c r="R28" s="32" t="s">
        <v>68</v>
      </c>
      <c r="S28" s="32" t="s">
        <v>68</v>
      </c>
      <c r="T28" s="32" t="s">
        <v>68</v>
      </c>
      <c r="U28" s="32" t="s">
        <v>68</v>
      </c>
      <c r="V28" s="32"/>
      <c r="W28" s="32" t="s">
        <v>68</v>
      </c>
      <c r="X28" s="32" t="s">
        <v>68</v>
      </c>
      <c r="Y28" s="32"/>
      <c r="Z28" s="558"/>
      <c r="AA28" s="558"/>
      <c r="AB28" s="16"/>
      <c r="AC28" s="16"/>
      <c r="AD28" s="287">
        <v>44649</v>
      </c>
      <c r="AE28" s="58" t="s">
        <v>662</v>
      </c>
      <c r="AF28" s="382">
        <v>44945</v>
      </c>
      <c r="AG28" s="382">
        <v>45471</v>
      </c>
      <c r="AI28" s="681" t="s">
        <v>850</v>
      </c>
      <c r="AJ28" s="58" t="s">
        <v>63</v>
      </c>
      <c r="AK28" s="143">
        <v>45455</v>
      </c>
      <c r="AM28" s="143">
        <v>45579</v>
      </c>
    </row>
    <row r="29" spans="1:41" ht="26.4" hidden="1" x14ac:dyDescent="0.25">
      <c r="A29" s="28">
        <v>28</v>
      </c>
      <c r="B29" s="20">
        <v>30786</v>
      </c>
      <c r="C29" s="27" t="s">
        <v>54</v>
      </c>
      <c r="D29" s="12" t="s">
        <v>851</v>
      </c>
      <c r="E29" s="238" t="s">
        <v>805</v>
      </c>
      <c r="F29" s="29" t="s">
        <v>806</v>
      </c>
      <c r="G29" s="29" t="s">
        <v>13</v>
      </c>
      <c r="H29" s="19">
        <v>43864</v>
      </c>
      <c r="I29" s="3">
        <v>359</v>
      </c>
      <c r="J29" s="3" t="s">
        <v>58</v>
      </c>
      <c r="K29" s="429" t="s">
        <v>59</v>
      </c>
      <c r="L29" s="450">
        <v>44067</v>
      </c>
      <c r="M29" s="433" t="s">
        <v>60</v>
      </c>
      <c r="N29" s="450" t="s">
        <v>294</v>
      </c>
      <c r="O29" s="48">
        <v>45327</v>
      </c>
      <c r="P29" s="48"/>
      <c r="Q29" s="32"/>
      <c r="R29" s="32" t="s">
        <v>62</v>
      </c>
      <c r="S29" s="32" t="s">
        <v>62</v>
      </c>
      <c r="T29" s="32" t="s">
        <v>62</v>
      </c>
      <c r="U29" s="32" t="s">
        <v>62</v>
      </c>
      <c r="V29" s="32"/>
      <c r="W29" s="32" t="s">
        <v>62</v>
      </c>
      <c r="X29" s="32" t="s">
        <v>62</v>
      </c>
      <c r="Y29" s="32"/>
      <c r="Z29" s="558"/>
      <c r="AA29" s="558"/>
      <c r="AB29" s="16"/>
      <c r="AC29" s="16"/>
      <c r="AD29" s="287">
        <v>44649</v>
      </c>
      <c r="AE29" s="58" t="s">
        <v>662</v>
      </c>
      <c r="AF29" s="382">
        <v>44945</v>
      </c>
      <c r="AG29" s="382">
        <v>45471</v>
      </c>
      <c r="AI29" s="681" t="s">
        <v>850</v>
      </c>
      <c r="AJ29" s="58" t="s">
        <v>63</v>
      </c>
      <c r="AK29" s="143">
        <v>45455</v>
      </c>
      <c r="AM29" s="143">
        <v>45579</v>
      </c>
    </row>
    <row r="30" spans="1:41" ht="22.8" hidden="1" x14ac:dyDescent="0.25">
      <c r="A30" s="28">
        <v>29</v>
      </c>
      <c r="B30" s="20">
        <v>37155</v>
      </c>
      <c r="C30" s="27" t="s">
        <v>64</v>
      </c>
      <c r="D30" s="12" t="s">
        <v>852</v>
      </c>
      <c r="E30" s="238" t="s">
        <v>805</v>
      </c>
      <c r="F30" s="29" t="s">
        <v>806</v>
      </c>
      <c r="G30" s="29" t="s">
        <v>13</v>
      </c>
      <c r="H30" s="19">
        <v>43581</v>
      </c>
      <c r="I30" s="3">
        <v>425</v>
      </c>
      <c r="J30" s="3" t="s">
        <v>58</v>
      </c>
      <c r="K30" s="429" t="s">
        <v>59</v>
      </c>
      <c r="L30" s="450">
        <v>44133</v>
      </c>
      <c r="M30" s="433" t="s">
        <v>60</v>
      </c>
      <c r="N30" s="450" t="s">
        <v>294</v>
      </c>
      <c r="O30" s="48">
        <v>45409</v>
      </c>
      <c r="P30" s="48"/>
      <c r="Q30" s="32" t="s">
        <v>68</v>
      </c>
      <c r="R30" s="32" t="s">
        <v>68</v>
      </c>
      <c r="S30" s="32" t="s">
        <v>68</v>
      </c>
      <c r="T30" s="32" t="s">
        <v>68</v>
      </c>
      <c r="U30" s="32" t="s">
        <v>68</v>
      </c>
      <c r="V30" s="32"/>
      <c r="W30" s="32" t="s">
        <v>68</v>
      </c>
      <c r="X30" s="32" t="s">
        <v>68</v>
      </c>
      <c r="Y30" s="32"/>
      <c r="Z30" s="558"/>
      <c r="AA30" s="558"/>
      <c r="AB30" s="16"/>
      <c r="AC30" s="16"/>
      <c r="AD30" s="140" t="s">
        <v>68</v>
      </c>
      <c r="AE30" s="24" t="s">
        <v>63</v>
      </c>
      <c r="AF30" s="58" t="s">
        <v>63</v>
      </c>
      <c r="AG30" s="382">
        <v>45488</v>
      </c>
      <c r="AI30" s="58" t="s">
        <v>843</v>
      </c>
      <c r="AJ30" s="58" t="s">
        <v>63</v>
      </c>
      <c r="AK30" s="143">
        <v>45517</v>
      </c>
      <c r="AL30" s="1369">
        <v>45409</v>
      </c>
      <c r="AM30" s="143">
        <v>45611</v>
      </c>
      <c r="AO30" t="s">
        <v>853</v>
      </c>
    </row>
    <row r="31" spans="1:41" ht="22.8" hidden="1" x14ac:dyDescent="0.25">
      <c r="A31" s="28">
        <v>30</v>
      </c>
      <c r="B31" s="20">
        <v>37155</v>
      </c>
      <c r="C31" s="27" t="s">
        <v>54</v>
      </c>
      <c r="D31" s="12" t="s">
        <v>854</v>
      </c>
      <c r="E31" s="238" t="s">
        <v>805</v>
      </c>
      <c r="F31" s="29" t="s">
        <v>806</v>
      </c>
      <c r="G31" s="29" t="s">
        <v>13</v>
      </c>
      <c r="H31" s="19">
        <v>43581</v>
      </c>
      <c r="I31" s="3">
        <v>443</v>
      </c>
      <c r="J31" s="3" t="s">
        <v>58</v>
      </c>
      <c r="K31" s="429" t="s">
        <v>59</v>
      </c>
      <c r="L31" s="450">
        <v>44061</v>
      </c>
      <c r="M31" s="433" t="s">
        <v>60</v>
      </c>
      <c r="N31" s="450" t="s">
        <v>294</v>
      </c>
      <c r="O31" s="48">
        <v>45409</v>
      </c>
      <c r="P31" s="48"/>
      <c r="Q31" s="32" t="s">
        <v>62</v>
      </c>
      <c r="R31" s="32" t="s">
        <v>62</v>
      </c>
      <c r="S31" s="32" t="s">
        <v>62</v>
      </c>
      <c r="T31" s="32" t="s">
        <v>62</v>
      </c>
      <c r="U31" s="32" t="s">
        <v>62</v>
      </c>
      <c r="V31" s="32"/>
      <c r="W31" s="32" t="s">
        <v>62</v>
      </c>
      <c r="X31" s="32" t="s">
        <v>62</v>
      </c>
      <c r="Y31" s="32"/>
      <c r="Z31" s="558"/>
      <c r="AA31" s="558"/>
      <c r="AB31" s="16"/>
      <c r="AC31" s="16"/>
      <c r="AD31" s="140" t="s">
        <v>62</v>
      </c>
      <c r="AE31" s="24" t="s">
        <v>63</v>
      </c>
      <c r="AF31" s="58" t="s">
        <v>63</v>
      </c>
      <c r="AG31" s="382">
        <v>45488</v>
      </c>
      <c r="AI31" s="58" t="s">
        <v>855</v>
      </c>
      <c r="AJ31" s="58" t="s">
        <v>662</v>
      </c>
      <c r="AK31" s="143">
        <v>45517</v>
      </c>
      <c r="AL31" s="1369">
        <v>45409</v>
      </c>
      <c r="AM31" s="143">
        <v>45611</v>
      </c>
      <c r="AO31" t="s">
        <v>853</v>
      </c>
    </row>
    <row r="32" spans="1:41" ht="22.8" hidden="1" x14ac:dyDescent="0.25">
      <c r="A32" s="28">
        <v>31</v>
      </c>
      <c r="B32" s="20">
        <v>37170</v>
      </c>
      <c r="C32" s="27" t="s">
        <v>64</v>
      </c>
      <c r="D32" s="12" t="s">
        <v>856</v>
      </c>
      <c r="E32" s="238" t="s">
        <v>805</v>
      </c>
      <c r="F32" s="29" t="s">
        <v>806</v>
      </c>
      <c r="G32" s="29" t="s">
        <v>13</v>
      </c>
      <c r="H32" s="19">
        <v>43600</v>
      </c>
      <c r="I32" s="3">
        <v>402</v>
      </c>
      <c r="J32" s="3" t="s">
        <v>58</v>
      </c>
      <c r="K32" s="429" t="s">
        <v>59</v>
      </c>
      <c r="L32" s="450">
        <v>44068</v>
      </c>
      <c r="M32" s="433" t="s">
        <v>722</v>
      </c>
      <c r="N32" s="450" t="s">
        <v>294</v>
      </c>
      <c r="O32" s="48">
        <v>45311</v>
      </c>
      <c r="P32" s="48"/>
      <c r="Q32" s="32"/>
      <c r="R32" s="32" t="s">
        <v>68</v>
      </c>
      <c r="S32" s="32" t="s">
        <v>68</v>
      </c>
      <c r="T32" s="32" t="s">
        <v>68</v>
      </c>
      <c r="U32" s="32" t="s">
        <v>68</v>
      </c>
      <c r="V32" s="32"/>
      <c r="W32" s="32" t="s">
        <v>68</v>
      </c>
      <c r="X32" s="32" t="s">
        <v>68</v>
      </c>
      <c r="Y32" s="32"/>
      <c r="Z32" s="558"/>
      <c r="AA32" s="558"/>
      <c r="AB32" s="16"/>
      <c r="AC32" s="16"/>
      <c r="AD32" s="287">
        <v>44613</v>
      </c>
      <c r="AE32" s="382">
        <v>45569</v>
      </c>
      <c r="AF32" s="382">
        <v>44516</v>
      </c>
      <c r="AG32" s="382">
        <v>45478</v>
      </c>
      <c r="AH32" s="382">
        <v>45311</v>
      </c>
      <c r="AI32" s="58" t="s">
        <v>857</v>
      </c>
      <c r="AJ32" s="32" t="s">
        <v>68</v>
      </c>
      <c r="AK32" s="143">
        <v>45504</v>
      </c>
      <c r="AL32" s="1369">
        <v>45311</v>
      </c>
      <c r="AM32" s="143">
        <v>45592</v>
      </c>
      <c r="AN32" s="381"/>
    </row>
    <row r="33" spans="1:41" ht="22.8" hidden="1" x14ac:dyDescent="0.25">
      <c r="A33" s="28">
        <v>32</v>
      </c>
      <c r="B33" s="20">
        <v>37170</v>
      </c>
      <c r="C33" s="27" t="s">
        <v>54</v>
      </c>
      <c r="D33" s="12" t="s">
        <v>858</v>
      </c>
      <c r="E33" s="238" t="s">
        <v>805</v>
      </c>
      <c r="F33" s="29" t="s">
        <v>806</v>
      </c>
      <c r="G33" s="29" t="s">
        <v>13</v>
      </c>
      <c r="H33" s="19">
        <v>43600</v>
      </c>
      <c r="I33" s="3">
        <v>403</v>
      </c>
      <c r="J33" s="3" t="s">
        <v>58</v>
      </c>
      <c r="K33" s="429" t="s">
        <v>59</v>
      </c>
      <c r="L33" s="450">
        <v>44068</v>
      </c>
      <c r="M33" s="433" t="s">
        <v>722</v>
      </c>
      <c r="N33" s="450" t="s">
        <v>294</v>
      </c>
      <c r="O33" s="48">
        <v>45311</v>
      </c>
      <c r="P33" s="48"/>
      <c r="Q33" s="32"/>
      <c r="R33" s="32" t="s">
        <v>62</v>
      </c>
      <c r="S33" s="32" t="s">
        <v>62</v>
      </c>
      <c r="T33" s="32" t="s">
        <v>62</v>
      </c>
      <c r="U33" s="32" t="s">
        <v>62</v>
      </c>
      <c r="V33" s="32"/>
      <c r="W33" s="32" t="s">
        <v>62</v>
      </c>
      <c r="X33" s="32" t="s">
        <v>62</v>
      </c>
      <c r="Y33" s="32"/>
      <c r="Z33" s="558"/>
      <c r="AA33" s="558"/>
      <c r="AB33" s="16"/>
      <c r="AC33" s="16"/>
      <c r="AD33" s="287">
        <v>44613</v>
      </c>
      <c r="AE33" s="382">
        <v>45569</v>
      </c>
      <c r="AF33" s="382">
        <v>44516</v>
      </c>
      <c r="AG33" s="382">
        <v>45478</v>
      </c>
      <c r="AH33" s="382">
        <v>45311</v>
      </c>
      <c r="AI33" s="58" t="s">
        <v>857</v>
      </c>
      <c r="AJ33" s="32" t="s">
        <v>62</v>
      </c>
      <c r="AK33" s="143">
        <v>45504</v>
      </c>
      <c r="AL33" s="1369">
        <v>45311</v>
      </c>
      <c r="AM33" s="143">
        <v>45592</v>
      </c>
      <c r="AN33" s="381"/>
    </row>
    <row r="34" spans="1:41" ht="22.8" hidden="1" x14ac:dyDescent="0.25">
      <c r="A34" s="28">
        <v>33</v>
      </c>
      <c r="B34" s="20">
        <v>37171</v>
      </c>
      <c r="C34" s="27" t="s">
        <v>64</v>
      </c>
      <c r="D34" s="12" t="s">
        <v>859</v>
      </c>
      <c r="E34" s="238" t="s">
        <v>805</v>
      </c>
      <c r="F34" s="29" t="s">
        <v>806</v>
      </c>
      <c r="G34" s="29" t="s">
        <v>13</v>
      </c>
      <c r="H34" s="19">
        <v>43600</v>
      </c>
      <c r="I34" s="3">
        <v>421</v>
      </c>
      <c r="J34" s="3" t="s">
        <v>58</v>
      </c>
      <c r="K34" s="429" t="s">
        <v>59</v>
      </c>
      <c r="L34" s="450">
        <v>44120</v>
      </c>
      <c r="M34" s="433" t="s">
        <v>60</v>
      </c>
      <c r="N34" s="450" t="s">
        <v>294</v>
      </c>
      <c r="O34" s="48">
        <v>45181</v>
      </c>
      <c r="P34" s="48"/>
      <c r="Q34" s="32"/>
      <c r="R34" s="32" t="s">
        <v>68</v>
      </c>
      <c r="S34" s="32" t="s">
        <v>68</v>
      </c>
      <c r="T34" s="32" t="s">
        <v>68</v>
      </c>
      <c r="U34" s="32" t="s">
        <v>68</v>
      </c>
      <c r="V34" s="32"/>
      <c r="W34" s="32" t="s">
        <v>68</v>
      </c>
      <c r="X34" s="32" t="s">
        <v>68</v>
      </c>
      <c r="Y34" s="32"/>
      <c r="Z34" s="558"/>
      <c r="AA34" s="558"/>
      <c r="AB34" s="16"/>
      <c r="AC34" s="16"/>
      <c r="AD34" s="140" t="s">
        <v>68</v>
      </c>
      <c r="AE34" s="24" t="s">
        <v>63</v>
      </c>
      <c r="AF34" s="140" t="s">
        <v>68</v>
      </c>
      <c r="AG34" s="382">
        <v>45528</v>
      </c>
      <c r="AI34" s="58" t="s">
        <v>814</v>
      </c>
      <c r="AJ34" s="140" t="s">
        <v>68</v>
      </c>
      <c r="AK34" s="140" t="s">
        <v>68</v>
      </c>
      <c r="AM34" s="143">
        <v>45609</v>
      </c>
      <c r="AO34" s="658">
        <v>45507</v>
      </c>
    </row>
    <row r="35" spans="1:41" ht="22.8" hidden="1" x14ac:dyDescent="0.25">
      <c r="A35" s="28">
        <v>34</v>
      </c>
      <c r="B35" s="20">
        <v>37171</v>
      </c>
      <c r="C35" s="27" t="s">
        <v>54</v>
      </c>
      <c r="D35" s="12" t="s">
        <v>860</v>
      </c>
      <c r="E35" s="238" t="s">
        <v>805</v>
      </c>
      <c r="F35" s="29" t="s">
        <v>806</v>
      </c>
      <c r="G35" s="29" t="s">
        <v>13</v>
      </c>
      <c r="H35" s="19">
        <v>43600</v>
      </c>
      <c r="I35" s="3">
        <v>420</v>
      </c>
      <c r="J35" s="3" t="s">
        <v>58</v>
      </c>
      <c r="K35" s="429" t="s">
        <v>59</v>
      </c>
      <c r="L35" s="450">
        <v>44120</v>
      </c>
      <c r="M35" s="433" t="s">
        <v>60</v>
      </c>
      <c r="N35" s="450" t="s">
        <v>294</v>
      </c>
      <c r="O35" s="48">
        <v>45181</v>
      </c>
      <c r="P35" s="48"/>
      <c r="Q35" s="32"/>
      <c r="R35" s="32" t="s">
        <v>62</v>
      </c>
      <c r="S35" s="32" t="s">
        <v>62</v>
      </c>
      <c r="T35" s="32" t="s">
        <v>62</v>
      </c>
      <c r="U35" s="32" t="s">
        <v>62</v>
      </c>
      <c r="V35" s="32"/>
      <c r="W35" s="32" t="s">
        <v>62</v>
      </c>
      <c r="X35" s="32" t="s">
        <v>62</v>
      </c>
      <c r="Y35" s="32"/>
      <c r="Z35" s="558"/>
      <c r="AA35" s="558"/>
      <c r="AB35" s="16"/>
      <c r="AC35" s="16"/>
      <c r="AD35" s="140" t="s">
        <v>62</v>
      </c>
      <c r="AE35" s="58" t="s">
        <v>62</v>
      </c>
      <c r="AF35" s="140" t="s">
        <v>62</v>
      </c>
      <c r="AG35" s="382">
        <v>45528</v>
      </c>
      <c r="AI35" s="58" t="s">
        <v>814</v>
      </c>
      <c r="AJ35" s="140" t="s">
        <v>62</v>
      </c>
      <c r="AK35" s="140" t="s">
        <v>62</v>
      </c>
      <c r="AM35" s="143">
        <v>45609</v>
      </c>
      <c r="AO35" s="658">
        <v>45507</v>
      </c>
    </row>
    <row r="36" spans="1:41" ht="22.8" hidden="1" x14ac:dyDescent="0.25">
      <c r="A36" s="28">
        <v>35</v>
      </c>
      <c r="B36" s="429">
        <v>37218</v>
      </c>
      <c r="C36" s="27" t="s">
        <v>64</v>
      </c>
      <c r="D36" s="12" t="s">
        <v>861</v>
      </c>
      <c r="E36" s="20" t="s">
        <v>862</v>
      </c>
      <c r="F36" s="29" t="s">
        <v>863</v>
      </c>
      <c r="G36" s="29" t="s">
        <v>13</v>
      </c>
      <c r="H36" s="19">
        <v>43672</v>
      </c>
      <c r="I36" s="3">
        <v>388</v>
      </c>
      <c r="J36" s="3" t="s">
        <v>58</v>
      </c>
      <c r="K36" s="429" t="s">
        <v>59</v>
      </c>
      <c r="L36" s="450">
        <v>44136</v>
      </c>
      <c r="M36" s="433" t="s">
        <v>60</v>
      </c>
      <c r="N36" s="450" t="s">
        <v>294</v>
      </c>
      <c r="O36" s="48">
        <v>44380</v>
      </c>
      <c r="P36" s="48"/>
      <c r="Q36" s="32"/>
      <c r="R36" s="32" t="s">
        <v>68</v>
      </c>
      <c r="S36" s="32" t="s">
        <v>68</v>
      </c>
      <c r="T36" s="32" t="s">
        <v>68</v>
      </c>
      <c r="U36" s="32" t="s">
        <v>68</v>
      </c>
      <c r="V36" s="32"/>
      <c r="W36" s="32"/>
      <c r="X36" s="32" t="s">
        <v>68</v>
      </c>
      <c r="Y36" s="32" t="s">
        <v>68</v>
      </c>
      <c r="Z36" s="32"/>
      <c r="AA36" s="32"/>
      <c r="AB36" s="16"/>
      <c r="AC36" s="16"/>
      <c r="AD36" s="140" t="s">
        <v>68</v>
      </c>
      <c r="AE36" s="58"/>
      <c r="AF36" s="58"/>
      <c r="AG36" s="382"/>
      <c r="AH36" s="382"/>
      <c r="AI36" s="382"/>
      <c r="AJ36" s="140" t="s">
        <v>68</v>
      </c>
      <c r="AK36" s="140"/>
    </row>
    <row r="37" spans="1:41" ht="22.8" hidden="1" x14ac:dyDescent="0.25">
      <c r="A37" s="28">
        <v>36</v>
      </c>
      <c r="B37" s="429">
        <v>37218</v>
      </c>
      <c r="C37" s="27" t="s">
        <v>54</v>
      </c>
      <c r="D37" s="12" t="s">
        <v>864</v>
      </c>
      <c r="E37" s="20" t="s">
        <v>862</v>
      </c>
      <c r="F37" s="29" t="s">
        <v>863</v>
      </c>
      <c r="G37" s="29" t="s">
        <v>13</v>
      </c>
      <c r="H37" s="19">
        <v>43672</v>
      </c>
      <c r="I37" s="3">
        <v>389</v>
      </c>
      <c r="J37" s="3" t="s">
        <v>58</v>
      </c>
      <c r="K37" s="429" t="s">
        <v>59</v>
      </c>
      <c r="L37" s="450">
        <v>44136</v>
      </c>
      <c r="M37" s="433" t="s">
        <v>60</v>
      </c>
      <c r="N37" s="450" t="s">
        <v>294</v>
      </c>
      <c r="O37" s="48">
        <v>44380</v>
      </c>
      <c r="P37" s="48"/>
      <c r="Q37" s="32"/>
      <c r="R37" s="32" t="s">
        <v>62</v>
      </c>
      <c r="S37" s="32" t="s">
        <v>62</v>
      </c>
      <c r="T37" s="32" t="s">
        <v>62</v>
      </c>
      <c r="U37" s="32" t="s">
        <v>62</v>
      </c>
      <c r="V37" s="32"/>
      <c r="W37" s="32"/>
      <c r="X37" s="32" t="s">
        <v>62</v>
      </c>
      <c r="Y37" s="32" t="s">
        <v>62</v>
      </c>
      <c r="Z37" s="32"/>
      <c r="AA37" s="32"/>
      <c r="AB37" s="16"/>
      <c r="AC37" s="16"/>
      <c r="AD37" s="140" t="s">
        <v>62</v>
      </c>
      <c r="AE37" s="58"/>
      <c r="AF37" s="58"/>
      <c r="AG37" s="382"/>
      <c r="AH37" s="382"/>
      <c r="AI37" s="382"/>
      <c r="AJ37" s="140" t="s">
        <v>62</v>
      </c>
      <c r="AK37" s="140"/>
    </row>
    <row r="38" spans="1:41" ht="22.8" hidden="1" x14ac:dyDescent="0.25">
      <c r="A38" s="28">
        <v>37</v>
      </c>
      <c r="B38" s="429">
        <v>37219</v>
      </c>
      <c r="C38" s="27" t="s">
        <v>64</v>
      </c>
      <c r="D38" s="12" t="s">
        <v>865</v>
      </c>
      <c r="E38" s="20" t="s">
        <v>862</v>
      </c>
      <c r="F38" s="29" t="s">
        <v>863</v>
      </c>
      <c r="G38" s="29" t="s">
        <v>13</v>
      </c>
      <c r="H38" s="19">
        <v>43674</v>
      </c>
      <c r="I38" s="3">
        <v>376</v>
      </c>
      <c r="J38" s="3" t="s">
        <v>58</v>
      </c>
      <c r="K38" s="429" t="s">
        <v>59</v>
      </c>
      <c r="L38" s="450">
        <v>44130</v>
      </c>
      <c r="M38" s="433" t="s">
        <v>722</v>
      </c>
      <c r="N38" s="450" t="s">
        <v>294</v>
      </c>
      <c r="O38" s="31">
        <v>44361</v>
      </c>
      <c r="P38" s="31"/>
      <c r="Q38" s="32"/>
      <c r="R38" s="32" t="s">
        <v>68</v>
      </c>
      <c r="S38" s="32" t="s">
        <v>68</v>
      </c>
      <c r="T38" s="32" t="s">
        <v>68</v>
      </c>
      <c r="U38" s="32" t="s">
        <v>68</v>
      </c>
      <c r="V38" s="32"/>
      <c r="W38" s="32"/>
      <c r="X38" s="32"/>
      <c r="Y38" s="32" t="s">
        <v>68</v>
      </c>
      <c r="Z38" s="32"/>
      <c r="AA38" s="32"/>
      <c r="AB38" s="16"/>
      <c r="AC38" s="16"/>
      <c r="AD38" s="140" t="s">
        <v>616</v>
      </c>
      <c r="AE38" s="58"/>
      <c r="AF38" s="58"/>
      <c r="AJ38" s="58" t="s">
        <v>68</v>
      </c>
    </row>
    <row r="39" spans="1:41" ht="22.8" hidden="1" x14ac:dyDescent="0.25">
      <c r="A39" s="28">
        <v>38</v>
      </c>
      <c r="B39" s="429">
        <v>37219</v>
      </c>
      <c r="C39" s="27" t="s">
        <v>54</v>
      </c>
      <c r="D39" s="12" t="s">
        <v>866</v>
      </c>
      <c r="E39" s="20" t="s">
        <v>862</v>
      </c>
      <c r="F39" s="29" t="s">
        <v>863</v>
      </c>
      <c r="G39" s="29" t="s">
        <v>13</v>
      </c>
      <c r="H39" s="19">
        <v>43674</v>
      </c>
      <c r="I39" s="3">
        <v>377</v>
      </c>
      <c r="J39" s="3" t="s">
        <v>58</v>
      </c>
      <c r="K39" s="429" t="s">
        <v>59</v>
      </c>
      <c r="L39" s="450">
        <v>44081</v>
      </c>
      <c r="M39" s="433" t="s">
        <v>722</v>
      </c>
      <c r="N39" s="450" t="s">
        <v>294</v>
      </c>
      <c r="O39" s="48">
        <v>44361</v>
      </c>
      <c r="P39" s="48"/>
      <c r="Q39" s="32"/>
      <c r="R39" s="32" t="s">
        <v>62</v>
      </c>
      <c r="S39" s="32" t="s">
        <v>62</v>
      </c>
      <c r="T39" s="32" t="s">
        <v>62</v>
      </c>
      <c r="U39" s="32" t="s">
        <v>62</v>
      </c>
      <c r="V39" s="32"/>
      <c r="W39" s="32"/>
      <c r="X39" s="32"/>
      <c r="Y39" s="32" t="s">
        <v>62</v>
      </c>
      <c r="Z39" s="32"/>
      <c r="AA39" s="32"/>
      <c r="AB39" s="16"/>
      <c r="AC39" s="16"/>
      <c r="AD39" s="140" t="s">
        <v>689</v>
      </c>
      <c r="AE39" s="58"/>
      <c r="AF39" s="58"/>
      <c r="AJ39" s="58" t="s">
        <v>62</v>
      </c>
    </row>
    <row r="40" spans="1:41" ht="22.8" hidden="1" x14ac:dyDescent="0.3">
      <c r="A40" s="28">
        <v>39</v>
      </c>
      <c r="B40" s="429">
        <v>37261</v>
      </c>
      <c r="C40" s="27" t="s">
        <v>64</v>
      </c>
      <c r="D40" s="12" t="s">
        <v>867</v>
      </c>
      <c r="E40" s="20" t="s">
        <v>862</v>
      </c>
      <c r="F40" s="29" t="s">
        <v>863</v>
      </c>
      <c r="G40" s="29" t="s">
        <v>13</v>
      </c>
      <c r="H40" s="19">
        <v>43736</v>
      </c>
      <c r="I40" s="3">
        <v>581</v>
      </c>
      <c r="J40" s="3" t="s">
        <v>58</v>
      </c>
      <c r="K40" s="429" t="s">
        <v>59</v>
      </c>
      <c r="L40" s="450">
        <v>44078</v>
      </c>
      <c r="M40" s="433" t="s">
        <v>60</v>
      </c>
      <c r="N40" s="450">
        <v>44604</v>
      </c>
      <c r="O40" s="718">
        <v>45446</v>
      </c>
      <c r="P40" s="33">
        <v>45050</v>
      </c>
      <c r="Q40" s="720" t="s">
        <v>75</v>
      </c>
      <c r="R40" s="720" t="s">
        <v>75</v>
      </c>
      <c r="S40" s="721" t="s">
        <v>68</v>
      </c>
      <c r="T40" s="721" t="s">
        <v>68</v>
      </c>
      <c r="U40" s="721"/>
      <c r="V40" s="721" t="s">
        <v>68</v>
      </c>
      <c r="W40" s="721" t="s">
        <v>68</v>
      </c>
      <c r="X40" s="721" t="s">
        <v>68</v>
      </c>
      <c r="Y40" s="721" t="s">
        <v>68</v>
      </c>
      <c r="Z40" s="32"/>
      <c r="AA40" s="32"/>
      <c r="AB40" s="720"/>
      <c r="AC40" s="16"/>
      <c r="AD40" s="726" t="s">
        <v>68</v>
      </c>
      <c r="AE40" s="725" t="s">
        <v>206</v>
      </c>
      <c r="AF40" s="725" t="s">
        <v>206</v>
      </c>
      <c r="AG40" s="728"/>
      <c r="AH40" s="382">
        <v>45096</v>
      </c>
      <c r="AI40" s="725" t="s">
        <v>206</v>
      </c>
      <c r="AJ40" s="725" t="s">
        <v>206</v>
      </c>
      <c r="AN40" s="381"/>
    </row>
    <row r="41" spans="1:41" ht="22.8" hidden="1" x14ac:dyDescent="0.3">
      <c r="A41" s="28">
        <v>40</v>
      </c>
      <c r="B41" s="429">
        <v>37261</v>
      </c>
      <c r="C41" s="27" t="s">
        <v>54</v>
      </c>
      <c r="D41" s="18" t="s">
        <v>868</v>
      </c>
      <c r="E41" s="20" t="s">
        <v>862</v>
      </c>
      <c r="F41" s="29" t="s">
        <v>863</v>
      </c>
      <c r="G41" s="29" t="s">
        <v>13</v>
      </c>
      <c r="H41" s="19">
        <v>43736</v>
      </c>
      <c r="I41" s="3">
        <v>610</v>
      </c>
      <c r="J41" s="3" t="s">
        <v>58</v>
      </c>
      <c r="K41" s="429" t="s">
        <v>59</v>
      </c>
      <c r="L41" s="443">
        <v>44147</v>
      </c>
      <c r="M41" s="432" t="s">
        <v>60</v>
      </c>
      <c r="N41" s="443">
        <v>8079</v>
      </c>
      <c r="O41" s="718">
        <v>45446</v>
      </c>
      <c r="P41" s="33">
        <v>45050</v>
      </c>
      <c r="Q41" s="720" t="s">
        <v>75</v>
      </c>
      <c r="R41" s="720" t="s">
        <v>75</v>
      </c>
      <c r="S41" s="720"/>
      <c r="T41" s="720" t="s">
        <v>68</v>
      </c>
      <c r="U41" s="720" t="s">
        <v>68</v>
      </c>
      <c r="V41" s="722" t="s">
        <v>62</v>
      </c>
      <c r="W41" s="720" t="s">
        <v>62</v>
      </c>
      <c r="X41" s="721" t="s">
        <v>62</v>
      </c>
      <c r="Y41" s="720" t="s">
        <v>62</v>
      </c>
      <c r="Z41" s="16" t="s">
        <v>869</v>
      </c>
      <c r="AA41" s="16"/>
      <c r="AB41" s="720"/>
      <c r="AC41" s="16"/>
      <c r="AD41" s="727" t="s">
        <v>62</v>
      </c>
      <c r="AE41" s="725" t="s">
        <v>206</v>
      </c>
      <c r="AF41" s="725" t="s">
        <v>206</v>
      </c>
      <c r="AG41" s="728"/>
      <c r="AH41" s="382">
        <v>45096</v>
      </c>
      <c r="AI41" s="725" t="s">
        <v>206</v>
      </c>
      <c r="AJ41" s="725" t="s">
        <v>206</v>
      </c>
      <c r="AN41" s="381"/>
    </row>
    <row r="42" spans="1:41" ht="22.8" hidden="1" x14ac:dyDescent="0.3">
      <c r="A42" s="28">
        <v>41</v>
      </c>
      <c r="B42" s="429">
        <v>37264</v>
      </c>
      <c r="C42" s="27" t="s">
        <v>64</v>
      </c>
      <c r="D42" s="12" t="s">
        <v>870</v>
      </c>
      <c r="E42" s="20" t="s">
        <v>862</v>
      </c>
      <c r="F42" s="29" t="s">
        <v>863</v>
      </c>
      <c r="G42" s="29" t="s">
        <v>13</v>
      </c>
      <c r="H42" s="19">
        <v>43756</v>
      </c>
      <c r="I42" s="3">
        <v>642</v>
      </c>
      <c r="J42" s="3" t="s">
        <v>58</v>
      </c>
      <c r="K42" s="429" t="s">
        <v>59</v>
      </c>
      <c r="L42" s="450">
        <v>44107</v>
      </c>
      <c r="M42" s="433" t="s">
        <v>871</v>
      </c>
      <c r="N42" s="450">
        <v>44851</v>
      </c>
      <c r="O42" s="717">
        <v>45443</v>
      </c>
      <c r="P42" s="48">
        <v>45143</v>
      </c>
      <c r="Q42" s="720" t="s">
        <v>75</v>
      </c>
      <c r="R42" s="720" t="s">
        <v>75</v>
      </c>
      <c r="S42" s="721" t="s">
        <v>68</v>
      </c>
      <c r="T42" s="721" t="s">
        <v>68</v>
      </c>
      <c r="U42" s="721"/>
      <c r="V42" s="721" t="s">
        <v>68</v>
      </c>
      <c r="W42" s="721" t="s">
        <v>68</v>
      </c>
      <c r="X42" s="721" t="s">
        <v>68</v>
      </c>
      <c r="Y42" s="721" t="s">
        <v>68</v>
      </c>
      <c r="Z42" s="32"/>
      <c r="AA42" s="32"/>
      <c r="AB42" s="723" t="s">
        <v>872</v>
      </c>
      <c r="AC42" s="16"/>
      <c r="AD42" s="724" t="s">
        <v>68</v>
      </c>
      <c r="AE42" s="728">
        <v>45260</v>
      </c>
      <c r="AF42" s="728">
        <v>45260</v>
      </c>
      <c r="AG42" s="728"/>
      <c r="AH42" s="382">
        <v>45159</v>
      </c>
      <c r="AI42" s="728">
        <v>45260</v>
      </c>
      <c r="AJ42" s="725" t="s">
        <v>206</v>
      </c>
      <c r="AN42" s="381"/>
    </row>
    <row r="43" spans="1:41" ht="22.8" hidden="1" x14ac:dyDescent="0.3">
      <c r="A43" s="28">
        <v>42</v>
      </c>
      <c r="B43" s="429">
        <v>37264</v>
      </c>
      <c r="C43" s="27" t="s">
        <v>54</v>
      </c>
      <c r="D43" s="12" t="s">
        <v>873</v>
      </c>
      <c r="E43" s="20" t="s">
        <v>862</v>
      </c>
      <c r="F43" s="29" t="s">
        <v>863</v>
      </c>
      <c r="G43" s="29" t="s">
        <v>13</v>
      </c>
      <c r="H43" s="19">
        <v>43756</v>
      </c>
      <c r="I43" s="3">
        <v>643</v>
      </c>
      <c r="J43" s="3" t="s">
        <v>58</v>
      </c>
      <c r="K43" s="429" t="s">
        <v>59</v>
      </c>
      <c r="L43" s="450">
        <v>44110</v>
      </c>
      <c r="M43" s="433" t="s">
        <v>871</v>
      </c>
      <c r="N43" s="450">
        <v>44851</v>
      </c>
      <c r="O43" s="717">
        <v>45443</v>
      </c>
      <c r="P43" s="48">
        <v>45143</v>
      </c>
      <c r="Q43" s="720" t="s">
        <v>75</v>
      </c>
      <c r="R43" s="720" t="s">
        <v>75</v>
      </c>
      <c r="S43" s="721" t="s">
        <v>62</v>
      </c>
      <c r="T43" s="721" t="s">
        <v>62</v>
      </c>
      <c r="U43" s="721"/>
      <c r="V43" s="721" t="s">
        <v>62</v>
      </c>
      <c r="W43" s="721" t="s">
        <v>62</v>
      </c>
      <c r="X43" s="721" t="s">
        <v>62</v>
      </c>
      <c r="Y43" s="721" t="s">
        <v>62</v>
      </c>
      <c r="Z43" s="32"/>
      <c r="AA43" s="32"/>
      <c r="AB43" s="723" t="s">
        <v>874</v>
      </c>
      <c r="AC43" s="16"/>
      <c r="AD43" s="724" t="s">
        <v>62</v>
      </c>
      <c r="AE43" s="728">
        <v>45260</v>
      </c>
      <c r="AF43" s="728">
        <v>45260</v>
      </c>
      <c r="AG43" s="728"/>
      <c r="AH43" s="382">
        <v>45159</v>
      </c>
      <c r="AI43" s="728">
        <v>45260</v>
      </c>
      <c r="AJ43" s="725" t="s">
        <v>206</v>
      </c>
    </row>
    <row r="44" spans="1:41" ht="22.8" hidden="1" x14ac:dyDescent="0.25">
      <c r="A44" s="28">
        <v>43</v>
      </c>
      <c r="B44" s="20">
        <v>37327</v>
      </c>
      <c r="C44" s="27" t="s">
        <v>64</v>
      </c>
      <c r="D44" s="12" t="s">
        <v>875</v>
      </c>
      <c r="E44" s="238" t="s">
        <v>805</v>
      </c>
      <c r="F44" s="29" t="s">
        <v>806</v>
      </c>
      <c r="G44" s="29" t="s">
        <v>13</v>
      </c>
      <c r="H44" s="19">
        <v>43864</v>
      </c>
      <c r="I44" s="3">
        <v>694</v>
      </c>
      <c r="J44" s="3" t="s">
        <v>58</v>
      </c>
      <c r="K44" s="429" t="s">
        <v>59</v>
      </c>
      <c r="L44" s="450">
        <v>44201</v>
      </c>
      <c r="M44" s="433" t="s">
        <v>722</v>
      </c>
      <c r="N44" s="450" t="s">
        <v>294</v>
      </c>
      <c r="O44" s="48">
        <v>45302</v>
      </c>
      <c r="P44" s="48"/>
      <c r="Q44" s="16" t="s">
        <v>75</v>
      </c>
      <c r="R44" s="16" t="s">
        <v>75</v>
      </c>
      <c r="S44" s="32" t="s">
        <v>68</v>
      </c>
      <c r="T44" s="32" t="s">
        <v>68</v>
      </c>
      <c r="U44" s="32" t="s">
        <v>68</v>
      </c>
      <c r="V44" s="32"/>
      <c r="W44" s="32" t="s">
        <v>68</v>
      </c>
      <c r="X44" s="32" t="s">
        <v>68</v>
      </c>
      <c r="Y44" s="32"/>
      <c r="Z44" s="558"/>
      <c r="AA44" s="558"/>
      <c r="AB44" s="16"/>
      <c r="AC44" s="16"/>
      <c r="AD44" s="140" t="s">
        <v>68</v>
      </c>
      <c r="AE44" s="24" t="s">
        <v>63</v>
      </c>
      <c r="AF44" s="382">
        <v>45041</v>
      </c>
      <c r="AG44" s="382">
        <v>45464</v>
      </c>
      <c r="AH44" s="32" t="s">
        <v>68</v>
      </c>
      <c r="AI44" s="58" t="s">
        <v>876</v>
      </c>
      <c r="AJ44" s="58" t="s">
        <v>68</v>
      </c>
      <c r="AK44" s="143">
        <v>45538</v>
      </c>
      <c r="AL44" s="1369">
        <v>45302</v>
      </c>
      <c r="AM44" s="143">
        <v>45810</v>
      </c>
      <c r="AN44" s="381"/>
      <c r="AO44" t="s">
        <v>877</v>
      </c>
    </row>
    <row r="45" spans="1:41" ht="22.8" hidden="1" x14ac:dyDescent="0.25">
      <c r="A45" s="28">
        <v>44</v>
      </c>
      <c r="B45" s="20">
        <v>37327</v>
      </c>
      <c r="C45" s="27" t="s">
        <v>54</v>
      </c>
      <c r="D45" s="12" t="s">
        <v>878</v>
      </c>
      <c r="E45" s="238" t="s">
        <v>805</v>
      </c>
      <c r="F45" s="29" t="s">
        <v>806</v>
      </c>
      <c r="G45" s="29" t="s">
        <v>13</v>
      </c>
      <c r="H45" s="19">
        <v>43864</v>
      </c>
      <c r="I45" s="3">
        <v>699</v>
      </c>
      <c r="J45" s="3" t="s">
        <v>58</v>
      </c>
      <c r="K45" s="429" t="s">
        <v>59</v>
      </c>
      <c r="L45" s="450">
        <v>44201</v>
      </c>
      <c r="M45" s="433" t="s">
        <v>722</v>
      </c>
      <c r="N45" s="450" t="s">
        <v>294</v>
      </c>
      <c r="O45" s="48">
        <v>45302</v>
      </c>
      <c r="P45" s="48"/>
      <c r="Q45" s="16" t="s">
        <v>75</v>
      </c>
      <c r="R45" s="16" t="s">
        <v>75</v>
      </c>
      <c r="S45" s="32" t="s">
        <v>62</v>
      </c>
      <c r="T45" s="32" t="s">
        <v>62</v>
      </c>
      <c r="U45" s="32" t="s">
        <v>62</v>
      </c>
      <c r="V45" s="32"/>
      <c r="W45" s="32" t="s">
        <v>62</v>
      </c>
      <c r="X45" s="32" t="s">
        <v>62</v>
      </c>
      <c r="Y45" s="32"/>
      <c r="Z45" s="558"/>
      <c r="AA45" s="558"/>
      <c r="AB45" s="16"/>
      <c r="AC45" s="16"/>
      <c r="AD45" s="140" t="s">
        <v>62</v>
      </c>
      <c r="AE45" s="24" t="s">
        <v>63</v>
      </c>
      <c r="AF45" s="382">
        <v>45041</v>
      </c>
      <c r="AG45" s="382">
        <v>45464</v>
      </c>
      <c r="AH45" s="32" t="s">
        <v>62</v>
      </c>
      <c r="AI45" s="58" t="s">
        <v>876</v>
      </c>
      <c r="AJ45" s="58" t="s">
        <v>879</v>
      </c>
      <c r="AK45" s="143">
        <v>45538</v>
      </c>
      <c r="AL45" s="1369">
        <v>45302</v>
      </c>
      <c r="AM45" s="143">
        <v>45810</v>
      </c>
      <c r="AO45" t="s">
        <v>877</v>
      </c>
    </row>
    <row r="46" spans="1:41" ht="22.8" hidden="1" x14ac:dyDescent="0.25">
      <c r="A46" s="28">
        <v>45</v>
      </c>
      <c r="B46" s="20">
        <v>37331</v>
      </c>
      <c r="C46" s="27" t="s">
        <v>64</v>
      </c>
      <c r="D46" s="12" t="s">
        <v>880</v>
      </c>
      <c r="E46" s="238" t="s">
        <v>805</v>
      </c>
      <c r="F46" s="29" t="s">
        <v>806</v>
      </c>
      <c r="G46" s="29" t="s">
        <v>13</v>
      </c>
      <c r="H46" s="19">
        <v>43868</v>
      </c>
      <c r="I46" s="3">
        <v>692</v>
      </c>
      <c r="J46" s="3" t="s">
        <v>58</v>
      </c>
      <c r="K46" s="429" t="s">
        <v>59</v>
      </c>
      <c r="L46" s="450">
        <v>44067</v>
      </c>
      <c r="M46" s="433" t="s">
        <v>722</v>
      </c>
      <c r="N46" s="450" t="s">
        <v>294</v>
      </c>
      <c r="O46" s="48">
        <v>45342</v>
      </c>
      <c r="P46" s="48"/>
      <c r="Q46" s="16" t="s">
        <v>75</v>
      </c>
      <c r="R46" s="16" t="s">
        <v>75</v>
      </c>
      <c r="S46" s="32" t="s">
        <v>68</v>
      </c>
      <c r="T46" s="32" t="s">
        <v>68</v>
      </c>
      <c r="U46" s="32" t="s">
        <v>68</v>
      </c>
      <c r="V46" s="32"/>
      <c r="W46" s="32" t="s">
        <v>68</v>
      </c>
      <c r="X46" s="32" t="s">
        <v>68</v>
      </c>
      <c r="Y46" s="32"/>
      <c r="Z46" s="558"/>
      <c r="AA46" s="558"/>
      <c r="AB46" s="16"/>
      <c r="AC46" s="16"/>
      <c r="AD46" s="140" t="s">
        <v>68</v>
      </c>
      <c r="AE46" s="140" t="s">
        <v>68</v>
      </c>
      <c r="AF46" s="140" t="s">
        <v>68</v>
      </c>
      <c r="AG46" s="382">
        <v>45553</v>
      </c>
      <c r="AI46" s="140" t="s">
        <v>68</v>
      </c>
      <c r="AJ46" s="140" t="s">
        <v>68</v>
      </c>
      <c r="AK46" s="1369">
        <v>45486</v>
      </c>
      <c r="AL46" s="1369">
        <v>45342</v>
      </c>
      <c r="AM46" s="143">
        <v>45554</v>
      </c>
      <c r="AO46" s="658"/>
    </row>
    <row r="47" spans="1:41" ht="22.8" hidden="1" x14ac:dyDescent="0.25">
      <c r="A47" s="28">
        <v>46</v>
      </c>
      <c r="B47" s="20">
        <v>37331</v>
      </c>
      <c r="C47" s="27" t="s">
        <v>54</v>
      </c>
      <c r="D47" s="12" t="s">
        <v>881</v>
      </c>
      <c r="E47" s="238" t="s">
        <v>805</v>
      </c>
      <c r="F47" s="29" t="s">
        <v>806</v>
      </c>
      <c r="G47" s="29" t="s">
        <v>13</v>
      </c>
      <c r="H47" s="19">
        <v>43868</v>
      </c>
      <c r="I47" s="3">
        <v>705</v>
      </c>
      <c r="J47" s="3" t="s">
        <v>58</v>
      </c>
      <c r="K47" s="429" t="s">
        <v>59</v>
      </c>
      <c r="L47" s="450">
        <v>44067</v>
      </c>
      <c r="M47" s="433" t="s">
        <v>722</v>
      </c>
      <c r="N47" s="450" t="s">
        <v>294</v>
      </c>
      <c r="O47" s="48">
        <v>45342</v>
      </c>
      <c r="P47" s="48"/>
      <c r="Q47" s="16" t="s">
        <v>75</v>
      </c>
      <c r="R47" s="16" t="s">
        <v>75</v>
      </c>
      <c r="S47" s="32" t="s">
        <v>62</v>
      </c>
      <c r="T47" s="32" t="s">
        <v>62</v>
      </c>
      <c r="U47" s="32" t="s">
        <v>62</v>
      </c>
      <c r="V47" s="32"/>
      <c r="W47" s="32" t="s">
        <v>62</v>
      </c>
      <c r="X47" s="32" t="s">
        <v>62</v>
      </c>
      <c r="Y47" s="32"/>
      <c r="Z47" s="558"/>
      <c r="AA47" s="558"/>
      <c r="AB47" s="24" t="s">
        <v>882</v>
      </c>
      <c r="AC47" s="16"/>
      <c r="AD47" s="140" t="s">
        <v>62</v>
      </c>
      <c r="AE47" s="140" t="s">
        <v>62</v>
      </c>
      <c r="AF47" s="140" t="s">
        <v>62</v>
      </c>
      <c r="AG47" s="382">
        <v>45553</v>
      </c>
      <c r="AH47" s="58" t="s">
        <v>662</v>
      </c>
      <c r="AI47" s="140" t="s">
        <v>62</v>
      </c>
      <c r="AJ47" s="140" t="s">
        <v>62</v>
      </c>
      <c r="AK47" s="1369">
        <v>45486</v>
      </c>
      <c r="AL47" s="1369">
        <v>45342</v>
      </c>
      <c r="AM47" s="143">
        <v>45554</v>
      </c>
      <c r="AO47" s="658"/>
    </row>
    <row r="48" spans="1:41" ht="22.8" hidden="1" x14ac:dyDescent="0.25">
      <c r="A48" s="28">
        <v>47</v>
      </c>
      <c r="B48" s="20">
        <v>37365</v>
      </c>
      <c r="C48" s="27" t="s">
        <v>64</v>
      </c>
      <c r="D48" s="12" t="s">
        <v>883</v>
      </c>
      <c r="E48" s="238" t="s">
        <v>805</v>
      </c>
      <c r="F48" s="29" t="s">
        <v>806</v>
      </c>
      <c r="G48" s="29" t="s">
        <v>13</v>
      </c>
      <c r="H48" s="19">
        <v>43981</v>
      </c>
      <c r="I48" s="3">
        <v>743</v>
      </c>
      <c r="J48" s="3" t="s">
        <v>58</v>
      </c>
      <c r="K48" s="429" t="s">
        <v>59</v>
      </c>
      <c r="L48" s="450">
        <v>44114</v>
      </c>
      <c r="M48" s="433" t="s">
        <v>60</v>
      </c>
      <c r="N48" s="450" t="s">
        <v>294</v>
      </c>
      <c r="O48" s="48">
        <v>45364</v>
      </c>
      <c r="P48" s="48"/>
      <c r="Q48" s="16" t="s">
        <v>75</v>
      </c>
      <c r="R48" s="16" t="s">
        <v>75</v>
      </c>
      <c r="S48" s="32" t="s">
        <v>68</v>
      </c>
      <c r="T48" s="32" t="s">
        <v>68</v>
      </c>
      <c r="U48" s="32" t="s">
        <v>68</v>
      </c>
      <c r="V48" s="30"/>
      <c r="W48" s="30"/>
      <c r="X48" s="32" t="s">
        <v>68</v>
      </c>
      <c r="Y48" s="30"/>
      <c r="Z48" s="433"/>
      <c r="AA48" s="433"/>
      <c r="AB48" s="16">
        <v>411</v>
      </c>
      <c r="AC48" s="16"/>
      <c r="AD48" s="284" t="s">
        <v>68</v>
      </c>
      <c r="AE48" s="24" t="s">
        <v>63</v>
      </c>
      <c r="AF48" s="284" t="s">
        <v>68</v>
      </c>
      <c r="AG48" s="382">
        <v>45513</v>
      </c>
      <c r="AI48" s="284" t="s">
        <v>68</v>
      </c>
      <c r="AJ48" s="284" t="s">
        <v>68</v>
      </c>
      <c r="AK48" s="948">
        <v>45463</v>
      </c>
      <c r="AL48" s="284" t="s">
        <v>68</v>
      </c>
      <c r="AM48" s="143" t="s">
        <v>662</v>
      </c>
      <c r="AN48" s="381"/>
    </row>
    <row r="49" spans="1:41" ht="22.8" hidden="1" x14ac:dyDescent="0.25">
      <c r="A49" s="28">
        <v>48</v>
      </c>
      <c r="B49" s="20">
        <v>37365</v>
      </c>
      <c r="C49" s="27" t="s">
        <v>54</v>
      </c>
      <c r="D49" s="12" t="s">
        <v>884</v>
      </c>
      <c r="E49" s="238" t="s">
        <v>805</v>
      </c>
      <c r="F49" s="29" t="s">
        <v>806</v>
      </c>
      <c r="G49" s="29" t="s">
        <v>13</v>
      </c>
      <c r="H49" s="19">
        <v>43981</v>
      </c>
      <c r="I49" s="3">
        <v>737</v>
      </c>
      <c r="J49" s="3" t="s">
        <v>58</v>
      </c>
      <c r="K49" s="429" t="s">
        <v>59</v>
      </c>
      <c r="L49" s="450">
        <v>44114</v>
      </c>
      <c r="M49" s="433" t="s">
        <v>60</v>
      </c>
      <c r="N49" s="450" t="s">
        <v>294</v>
      </c>
      <c r="O49" s="48">
        <v>45364</v>
      </c>
      <c r="P49" s="48"/>
      <c r="Q49" s="16" t="s">
        <v>75</v>
      </c>
      <c r="R49" s="16" t="s">
        <v>75</v>
      </c>
      <c r="S49" s="32" t="s">
        <v>62</v>
      </c>
      <c r="T49" s="32" t="s">
        <v>62</v>
      </c>
      <c r="U49" s="32" t="s">
        <v>62</v>
      </c>
      <c r="V49" s="30"/>
      <c r="W49" s="30"/>
      <c r="X49" s="32" t="s">
        <v>62</v>
      </c>
      <c r="Y49" s="30"/>
      <c r="Z49" s="433"/>
      <c r="AA49" s="433"/>
      <c r="AB49" s="16"/>
      <c r="AC49" s="16"/>
      <c r="AD49" s="284" t="s">
        <v>62</v>
      </c>
      <c r="AE49" s="24" t="s">
        <v>63</v>
      </c>
      <c r="AF49" s="284" t="s">
        <v>62</v>
      </c>
      <c r="AG49" s="382">
        <v>45513</v>
      </c>
      <c r="AI49" s="284" t="s">
        <v>62</v>
      </c>
      <c r="AJ49" s="284" t="s">
        <v>62</v>
      </c>
      <c r="AK49" s="948">
        <v>45463</v>
      </c>
      <c r="AL49" s="284" t="s">
        <v>62</v>
      </c>
      <c r="AM49" s="24" t="s">
        <v>63</v>
      </c>
      <c r="AN49" s="381"/>
    </row>
    <row r="50" spans="1:41" ht="22.8" hidden="1" x14ac:dyDescent="0.3">
      <c r="A50" s="28">
        <v>49</v>
      </c>
      <c r="B50" s="429">
        <v>37377</v>
      </c>
      <c r="C50" s="27" t="s">
        <v>64</v>
      </c>
      <c r="D50" s="12" t="s">
        <v>885</v>
      </c>
      <c r="E50" s="20" t="s">
        <v>862</v>
      </c>
      <c r="F50" s="29" t="s">
        <v>863</v>
      </c>
      <c r="G50" s="29" t="s">
        <v>13</v>
      </c>
      <c r="H50" s="19">
        <v>44009</v>
      </c>
      <c r="I50" s="3">
        <v>609</v>
      </c>
      <c r="J50" s="3" t="s">
        <v>58</v>
      </c>
      <c r="K50" s="429" t="s">
        <v>59</v>
      </c>
      <c r="L50" s="450">
        <v>44078</v>
      </c>
      <c r="M50" s="432" t="s">
        <v>60</v>
      </c>
      <c r="N50" s="450" t="s">
        <v>294</v>
      </c>
      <c r="O50" s="718">
        <v>45461</v>
      </c>
      <c r="P50" s="31"/>
      <c r="Q50" s="720" t="s">
        <v>75</v>
      </c>
      <c r="R50" s="720" t="s">
        <v>75</v>
      </c>
      <c r="S50" s="721" t="s">
        <v>68</v>
      </c>
      <c r="T50" s="721" t="s">
        <v>68</v>
      </c>
      <c r="U50" s="721" t="s">
        <v>68</v>
      </c>
      <c r="V50" s="721" t="s">
        <v>68</v>
      </c>
      <c r="W50" s="721" t="s">
        <v>68</v>
      </c>
      <c r="X50" s="721" t="s">
        <v>68</v>
      </c>
      <c r="Y50" s="721" t="s">
        <v>68</v>
      </c>
      <c r="Z50" s="32"/>
      <c r="AA50" s="32"/>
      <c r="AB50" s="16"/>
      <c r="AC50" s="16"/>
      <c r="AD50" s="721" t="s">
        <v>68</v>
      </c>
      <c r="AE50" s="725" t="s">
        <v>206</v>
      </c>
      <c r="AF50" s="725" t="s">
        <v>206</v>
      </c>
      <c r="AG50" s="728">
        <v>45465</v>
      </c>
      <c r="AH50" s="728">
        <v>45092</v>
      </c>
      <c r="AI50" s="728">
        <v>45261</v>
      </c>
      <c r="AJ50" s="1359" t="s">
        <v>63</v>
      </c>
      <c r="AK50" s="143">
        <v>45464</v>
      </c>
      <c r="AM50" s="143">
        <v>45465</v>
      </c>
    </row>
    <row r="51" spans="1:41" ht="22.8" hidden="1" x14ac:dyDescent="0.3">
      <c r="A51" s="28">
        <v>50</v>
      </c>
      <c r="B51" s="429">
        <v>37377</v>
      </c>
      <c r="C51" s="27" t="s">
        <v>54</v>
      </c>
      <c r="D51" s="12" t="s">
        <v>886</v>
      </c>
      <c r="E51" s="20" t="s">
        <v>862</v>
      </c>
      <c r="F51" s="29" t="s">
        <v>863</v>
      </c>
      <c r="G51" s="29" t="s">
        <v>13</v>
      </c>
      <c r="H51" s="19">
        <v>44009</v>
      </c>
      <c r="I51" s="3">
        <v>580</v>
      </c>
      <c r="J51" s="3" t="s">
        <v>58</v>
      </c>
      <c r="K51" s="429" t="s">
        <v>59</v>
      </c>
      <c r="L51" s="450">
        <v>44079</v>
      </c>
      <c r="M51" s="432" t="s">
        <v>60</v>
      </c>
      <c r="N51" s="450" t="s">
        <v>294</v>
      </c>
      <c r="O51" s="718">
        <v>45461</v>
      </c>
      <c r="P51" s="48"/>
      <c r="Q51" s="720" t="s">
        <v>75</v>
      </c>
      <c r="R51" s="720" t="s">
        <v>75</v>
      </c>
      <c r="S51" s="721" t="s">
        <v>62</v>
      </c>
      <c r="T51" s="721" t="s">
        <v>62</v>
      </c>
      <c r="U51" s="721" t="s">
        <v>62</v>
      </c>
      <c r="V51" s="721" t="s">
        <v>62</v>
      </c>
      <c r="W51" s="721" t="s">
        <v>62</v>
      </c>
      <c r="X51" s="721" t="s">
        <v>62</v>
      </c>
      <c r="Y51" s="721" t="s">
        <v>62</v>
      </c>
      <c r="Z51" s="32"/>
      <c r="AA51" s="32"/>
      <c r="AB51" s="16"/>
      <c r="AC51" s="16"/>
      <c r="AD51" s="721" t="s">
        <v>62</v>
      </c>
      <c r="AE51" s="725" t="s">
        <v>206</v>
      </c>
      <c r="AF51" s="725" t="s">
        <v>206</v>
      </c>
      <c r="AG51" s="728">
        <v>45465</v>
      </c>
      <c r="AH51" s="728">
        <v>45092</v>
      </c>
      <c r="AI51" s="728">
        <v>45261</v>
      </c>
      <c r="AJ51" s="1359" t="s">
        <v>63</v>
      </c>
      <c r="AK51" s="143">
        <v>45464</v>
      </c>
      <c r="AM51" s="143">
        <v>45465</v>
      </c>
    </row>
    <row r="52" spans="1:41" ht="22.8" hidden="1" x14ac:dyDescent="0.25">
      <c r="A52" s="28">
        <v>51</v>
      </c>
      <c r="B52" s="429">
        <v>37378</v>
      </c>
      <c r="C52" s="27" t="s">
        <v>64</v>
      </c>
      <c r="D52" s="18" t="s">
        <v>887</v>
      </c>
      <c r="E52" s="20" t="s">
        <v>862</v>
      </c>
      <c r="F52" s="29" t="s">
        <v>863</v>
      </c>
      <c r="G52" s="29" t="s">
        <v>13</v>
      </c>
      <c r="H52" s="19">
        <v>44008</v>
      </c>
      <c r="I52" s="3">
        <v>600</v>
      </c>
      <c r="J52" s="3" t="s">
        <v>58</v>
      </c>
      <c r="K52" s="429" t="s">
        <v>59</v>
      </c>
      <c r="L52" s="450">
        <v>44074</v>
      </c>
      <c r="M52" s="432" t="s">
        <v>60</v>
      </c>
      <c r="N52" s="443">
        <v>44908</v>
      </c>
      <c r="O52" s="33">
        <v>44908</v>
      </c>
      <c r="P52" s="33">
        <v>44789</v>
      </c>
      <c r="Q52" s="16" t="s">
        <v>75</v>
      </c>
      <c r="R52" s="16" t="s">
        <v>75</v>
      </c>
      <c r="S52" s="16"/>
      <c r="T52" s="16" t="s">
        <v>68</v>
      </c>
      <c r="U52" s="16" t="s">
        <v>68</v>
      </c>
      <c r="V52" s="15"/>
      <c r="W52" s="16"/>
      <c r="X52" s="16" t="s">
        <v>68</v>
      </c>
      <c r="Y52" s="16"/>
      <c r="Z52" s="16"/>
      <c r="AA52" s="16"/>
      <c r="AB52" s="16" t="s">
        <v>888</v>
      </c>
      <c r="AC52" s="16"/>
      <c r="AD52" s="16" t="s">
        <v>68</v>
      </c>
      <c r="AE52" s="58"/>
      <c r="AF52" s="58"/>
      <c r="AG52" s="382"/>
      <c r="AH52" s="382"/>
      <c r="AI52" s="382"/>
      <c r="AK52" s="143"/>
    </row>
    <row r="53" spans="1:41" ht="22.8" hidden="1" x14ac:dyDescent="0.25">
      <c r="A53" s="28">
        <v>52</v>
      </c>
      <c r="B53" s="429">
        <v>37378</v>
      </c>
      <c r="C53" s="27" t="s">
        <v>54</v>
      </c>
      <c r="D53" s="12" t="s">
        <v>889</v>
      </c>
      <c r="E53" s="20" t="s">
        <v>862</v>
      </c>
      <c r="F53" s="29" t="s">
        <v>863</v>
      </c>
      <c r="G53" s="29" t="s">
        <v>13</v>
      </c>
      <c r="H53" s="19">
        <v>44008</v>
      </c>
      <c r="I53" s="3">
        <v>715</v>
      </c>
      <c r="J53" s="3" t="s">
        <v>58</v>
      </c>
      <c r="K53" s="429" t="s">
        <v>59</v>
      </c>
      <c r="L53" s="450">
        <v>44074</v>
      </c>
      <c r="M53" s="433" t="s">
        <v>60</v>
      </c>
      <c r="N53" s="450">
        <v>44908</v>
      </c>
      <c r="O53" s="48">
        <v>44908</v>
      </c>
      <c r="P53" s="48">
        <v>44789</v>
      </c>
      <c r="Q53" s="16" t="s">
        <v>75</v>
      </c>
      <c r="R53" s="16" t="s">
        <v>75</v>
      </c>
      <c r="S53" s="30"/>
      <c r="T53" s="32" t="s">
        <v>62</v>
      </c>
      <c r="U53" s="32" t="s">
        <v>62</v>
      </c>
      <c r="V53" s="30"/>
      <c r="W53" s="30"/>
      <c r="X53" s="32" t="s">
        <v>62</v>
      </c>
      <c r="Y53" s="30"/>
      <c r="Z53" s="30"/>
      <c r="AA53" s="30"/>
      <c r="AB53" s="16" t="s">
        <v>890</v>
      </c>
      <c r="AC53" s="16"/>
      <c r="AD53" s="32" t="s">
        <v>62</v>
      </c>
      <c r="AE53" s="58"/>
      <c r="AF53" s="58"/>
      <c r="AG53" s="382"/>
      <c r="AH53" s="382"/>
      <c r="AI53" s="382"/>
      <c r="AK53" s="143"/>
    </row>
    <row r="54" spans="1:41" ht="22.8" hidden="1" x14ac:dyDescent="0.3">
      <c r="A54" s="28">
        <v>53</v>
      </c>
      <c r="B54" s="429">
        <v>37438</v>
      </c>
      <c r="C54" s="27" t="s">
        <v>64</v>
      </c>
      <c r="D54" s="12" t="s">
        <v>891</v>
      </c>
      <c r="E54" s="20" t="s">
        <v>862</v>
      </c>
      <c r="F54" s="29" t="s">
        <v>863</v>
      </c>
      <c r="G54" s="29" t="s">
        <v>13</v>
      </c>
      <c r="H54" s="19">
        <v>44083</v>
      </c>
      <c r="I54" s="3">
        <v>838</v>
      </c>
      <c r="J54" s="3" t="s">
        <v>58</v>
      </c>
      <c r="K54" s="429" t="s">
        <v>59</v>
      </c>
      <c r="L54" s="450">
        <v>44123</v>
      </c>
      <c r="M54" s="433" t="s">
        <v>60</v>
      </c>
      <c r="N54" s="450" t="s">
        <v>294</v>
      </c>
      <c r="O54" s="717">
        <v>45070</v>
      </c>
      <c r="P54" s="717">
        <v>45174</v>
      </c>
      <c r="Q54" s="720" t="s">
        <v>75</v>
      </c>
      <c r="R54" s="720" t="s">
        <v>75</v>
      </c>
      <c r="S54" s="729" t="s">
        <v>68</v>
      </c>
      <c r="T54" s="721" t="s">
        <v>68</v>
      </c>
      <c r="U54" s="721" t="s">
        <v>68</v>
      </c>
      <c r="V54" s="729" t="s">
        <v>68</v>
      </c>
      <c r="W54" s="729" t="s">
        <v>68</v>
      </c>
      <c r="X54" s="720" t="s">
        <v>75</v>
      </c>
      <c r="Y54" s="729" t="s">
        <v>68</v>
      </c>
      <c r="Z54" s="30"/>
      <c r="AA54" s="30"/>
      <c r="AB54" s="16"/>
      <c r="AC54" s="16"/>
      <c r="AD54" s="730" t="s">
        <v>68</v>
      </c>
      <c r="AE54" s="725" t="s">
        <v>206</v>
      </c>
      <c r="AF54" s="725" t="s">
        <v>206</v>
      </c>
      <c r="AG54" s="728">
        <v>45477</v>
      </c>
      <c r="AH54" s="728">
        <v>45174</v>
      </c>
      <c r="AI54" s="728">
        <v>45275</v>
      </c>
      <c r="AJ54" s="725" t="s">
        <v>206</v>
      </c>
    </row>
    <row r="55" spans="1:41" ht="22.8" hidden="1" x14ac:dyDescent="0.3">
      <c r="A55" s="28">
        <v>54</v>
      </c>
      <c r="B55" s="429">
        <v>37438</v>
      </c>
      <c r="C55" s="27" t="s">
        <v>54</v>
      </c>
      <c r="D55" s="12" t="s">
        <v>892</v>
      </c>
      <c r="E55" s="20" t="s">
        <v>862</v>
      </c>
      <c r="F55" s="29" t="s">
        <v>863</v>
      </c>
      <c r="G55" s="29" t="s">
        <v>13</v>
      </c>
      <c r="H55" s="19">
        <v>44083</v>
      </c>
      <c r="I55" s="3">
        <v>836</v>
      </c>
      <c r="J55" s="3" t="s">
        <v>58</v>
      </c>
      <c r="K55" s="429" t="s">
        <v>59</v>
      </c>
      <c r="L55" s="450">
        <v>44123</v>
      </c>
      <c r="M55" s="433" t="s">
        <v>60</v>
      </c>
      <c r="N55" s="450" t="s">
        <v>294</v>
      </c>
      <c r="O55" s="717">
        <v>45070</v>
      </c>
      <c r="P55" s="717">
        <v>45174</v>
      </c>
      <c r="Q55" s="720" t="s">
        <v>75</v>
      </c>
      <c r="R55" s="720" t="s">
        <v>75</v>
      </c>
      <c r="S55" s="729" t="s">
        <v>62</v>
      </c>
      <c r="T55" s="721" t="s">
        <v>62</v>
      </c>
      <c r="U55" s="721" t="s">
        <v>62</v>
      </c>
      <c r="V55" s="729" t="s">
        <v>62</v>
      </c>
      <c r="W55" s="729" t="s">
        <v>62</v>
      </c>
      <c r="X55" s="720" t="s">
        <v>75</v>
      </c>
      <c r="Y55" s="729" t="s">
        <v>62</v>
      </c>
      <c r="Z55" s="30"/>
      <c r="AA55" s="30"/>
      <c r="AB55" s="16"/>
      <c r="AC55" s="16"/>
      <c r="AD55" s="730" t="s">
        <v>62</v>
      </c>
      <c r="AE55" s="725" t="s">
        <v>206</v>
      </c>
      <c r="AF55" s="725" t="s">
        <v>206</v>
      </c>
      <c r="AG55" s="728">
        <v>45477</v>
      </c>
      <c r="AH55" s="728">
        <v>45174</v>
      </c>
      <c r="AI55" s="728">
        <v>45275</v>
      </c>
      <c r="AJ55" s="725" t="s">
        <v>206</v>
      </c>
    </row>
    <row r="56" spans="1:41" ht="22.8" hidden="1" x14ac:dyDescent="0.3">
      <c r="A56" s="28">
        <v>55</v>
      </c>
      <c r="B56" s="429">
        <v>37450</v>
      </c>
      <c r="C56" s="27" t="s">
        <v>64</v>
      </c>
      <c r="D56" s="20" t="s">
        <v>893</v>
      </c>
      <c r="E56" s="20" t="s">
        <v>862</v>
      </c>
      <c r="F56" s="29" t="s">
        <v>863</v>
      </c>
      <c r="G56" s="29" t="s">
        <v>13</v>
      </c>
      <c r="H56" s="19">
        <v>44098</v>
      </c>
      <c r="I56" s="3">
        <v>850</v>
      </c>
      <c r="J56" s="3" t="s">
        <v>58</v>
      </c>
      <c r="K56" s="429" t="s">
        <v>59</v>
      </c>
      <c r="L56" s="443">
        <v>44426</v>
      </c>
      <c r="M56" s="433" t="s">
        <v>60</v>
      </c>
      <c r="N56" s="450">
        <v>44856</v>
      </c>
      <c r="O56" s="719">
        <v>45449</v>
      </c>
      <c r="P56" s="719">
        <v>45157</v>
      </c>
      <c r="Q56" s="720" t="s">
        <v>75</v>
      </c>
      <c r="R56" s="720" t="s">
        <v>75</v>
      </c>
      <c r="S56" s="722" t="s">
        <v>68</v>
      </c>
      <c r="T56" s="720" t="s">
        <v>68</v>
      </c>
      <c r="U56" s="720" t="s">
        <v>68</v>
      </c>
      <c r="V56" s="720" t="s">
        <v>68</v>
      </c>
      <c r="W56" s="720" t="s">
        <v>68</v>
      </c>
      <c r="X56" s="720" t="s">
        <v>75</v>
      </c>
      <c r="Y56" s="720" t="s">
        <v>68</v>
      </c>
      <c r="Z56" s="16"/>
      <c r="AA56" s="16"/>
      <c r="AB56" s="16"/>
      <c r="AC56" s="16"/>
      <c r="AD56" s="727" t="s">
        <v>68</v>
      </c>
      <c r="AE56" s="728">
        <v>45260</v>
      </c>
      <c r="AF56" s="728">
        <v>45260</v>
      </c>
      <c r="AG56" s="728"/>
      <c r="AH56" s="728">
        <v>45157</v>
      </c>
      <c r="AI56" s="728">
        <v>45260</v>
      </c>
      <c r="AJ56" s="725" t="s">
        <v>206</v>
      </c>
    </row>
    <row r="57" spans="1:41" ht="22.8" hidden="1" x14ac:dyDescent="0.3">
      <c r="A57" s="28">
        <v>56</v>
      </c>
      <c r="B57" s="429">
        <v>37450</v>
      </c>
      <c r="C57" s="27" t="s">
        <v>54</v>
      </c>
      <c r="D57" s="20" t="s">
        <v>894</v>
      </c>
      <c r="E57" s="20" t="s">
        <v>862</v>
      </c>
      <c r="F57" s="29" t="s">
        <v>863</v>
      </c>
      <c r="G57" s="29" t="s">
        <v>13</v>
      </c>
      <c r="H57" s="19">
        <v>44098</v>
      </c>
      <c r="I57" s="3">
        <v>851</v>
      </c>
      <c r="J57" s="3" t="s">
        <v>58</v>
      </c>
      <c r="K57" s="429" t="s">
        <v>59</v>
      </c>
      <c r="L57" s="443">
        <v>44426</v>
      </c>
      <c r="M57" s="433" t="s">
        <v>60</v>
      </c>
      <c r="N57" s="450">
        <v>44856</v>
      </c>
      <c r="O57" s="719">
        <v>45449</v>
      </c>
      <c r="P57" s="719">
        <v>45157</v>
      </c>
      <c r="Q57" s="720" t="s">
        <v>75</v>
      </c>
      <c r="R57" s="720" t="s">
        <v>75</v>
      </c>
      <c r="S57" s="722" t="s">
        <v>62</v>
      </c>
      <c r="T57" s="720" t="s">
        <v>62</v>
      </c>
      <c r="U57" s="720" t="s">
        <v>62</v>
      </c>
      <c r="V57" s="720" t="s">
        <v>62</v>
      </c>
      <c r="W57" s="720" t="s">
        <v>62</v>
      </c>
      <c r="X57" s="720" t="s">
        <v>75</v>
      </c>
      <c r="Y57" s="720" t="s">
        <v>62</v>
      </c>
      <c r="Z57" s="16"/>
      <c r="AA57" s="16"/>
      <c r="AB57" s="16"/>
      <c r="AC57" s="16"/>
      <c r="AD57" s="727" t="s">
        <v>62</v>
      </c>
      <c r="AE57" s="728">
        <v>45260</v>
      </c>
      <c r="AF57" s="728">
        <v>45260</v>
      </c>
      <c r="AG57" s="728"/>
      <c r="AH57" s="728">
        <v>45157</v>
      </c>
      <c r="AI57" s="728">
        <v>45260</v>
      </c>
      <c r="AJ57" s="725" t="s">
        <v>206</v>
      </c>
    </row>
    <row r="58" spans="1:41" ht="22.8" hidden="1" x14ac:dyDescent="0.25">
      <c r="A58" s="28">
        <v>57</v>
      </c>
      <c r="B58" s="20">
        <v>39021</v>
      </c>
      <c r="C58" s="27" t="s">
        <v>64</v>
      </c>
      <c r="D58" s="12" t="s">
        <v>895</v>
      </c>
      <c r="E58" s="238" t="s">
        <v>805</v>
      </c>
      <c r="F58" s="29" t="s">
        <v>806</v>
      </c>
      <c r="G58" s="29" t="s">
        <v>13</v>
      </c>
      <c r="H58" s="19">
        <v>43412</v>
      </c>
      <c r="I58" s="3">
        <v>219</v>
      </c>
      <c r="J58" s="3" t="s">
        <v>58</v>
      </c>
      <c r="K58" s="429" t="s">
        <v>59</v>
      </c>
      <c r="L58" s="450">
        <v>44071</v>
      </c>
      <c r="M58" s="433" t="s">
        <v>60</v>
      </c>
      <c r="N58" s="450" t="s">
        <v>294</v>
      </c>
      <c r="O58" s="48">
        <v>45470</v>
      </c>
      <c r="P58" s="48"/>
      <c r="Q58" s="32"/>
      <c r="R58" s="32" t="s">
        <v>68</v>
      </c>
      <c r="S58" s="32" t="s">
        <v>68</v>
      </c>
      <c r="T58" s="32" t="s">
        <v>68</v>
      </c>
      <c r="U58" s="32" t="s">
        <v>68</v>
      </c>
      <c r="V58" s="32"/>
      <c r="W58" s="32" t="s">
        <v>68</v>
      </c>
      <c r="X58" s="32" t="s">
        <v>68</v>
      </c>
      <c r="Y58" s="32"/>
      <c r="Z58" s="558"/>
      <c r="AA58" s="558"/>
      <c r="AB58" s="24" t="s">
        <v>896</v>
      </c>
      <c r="AC58" s="16"/>
      <c r="AD58" s="140" t="s">
        <v>68</v>
      </c>
      <c r="AE58" s="24" t="s">
        <v>63</v>
      </c>
      <c r="AF58" s="140" t="s">
        <v>68</v>
      </c>
      <c r="AG58" s="382">
        <v>45472</v>
      </c>
      <c r="AI58" s="32" t="s">
        <v>68</v>
      </c>
      <c r="AJ58" s="32" t="s">
        <v>68</v>
      </c>
      <c r="AK58" s="32" t="s">
        <v>68</v>
      </c>
      <c r="AL58" s="32" t="s">
        <v>68</v>
      </c>
      <c r="AM58" s="143">
        <v>45470</v>
      </c>
      <c r="AN58" s="381"/>
      <c r="AO58" t="s">
        <v>897</v>
      </c>
    </row>
    <row r="59" spans="1:41" ht="22.8" hidden="1" x14ac:dyDescent="0.25">
      <c r="A59" s="28">
        <v>58</v>
      </c>
      <c r="B59" s="20">
        <v>39021</v>
      </c>
      <c r="C59" s="27" t="s">
        <v>54</v>
      </c>
      <c r="D59" s="12" t="s">
        <v>898</v>
      </c>
      <c r="E59" s="238" t="s">
        <v>805</v>
      </c>
      <c r="F59" s="29" t="s">
        <v>806</v>
      </c>
      <c r="G59" s="29" t="s">
        <v>13</v>
      </c>
      <c r="H59" s="19">
        <v>43412</v>
      </c>
      <c r="I59" s="3">
        <v>218</v>
      </c>
      <c r="J59" s="3" t="s">
        <v>58</v>
      </c>
      <c r="K59" s="429" t="s">
        <v>59</v>
      </c>
      <c r="L59" s="450">
        <v>44068</v>
      </c>
      <c r="M59" s="433" t="s">
        <v>60</v>
      </c>
      <c r="N59" s="450" t="s">
        <v>294</v>
      </c>
      <c r="O59" s="48">
        <v>45470</v>
      </c>
      <c r="P59" s="48"/>
      <c r="Q59" s="32"/>
      <c r="R59" s="32" t="s">
        <v>62</v>
      </c>
      <c r="S59" s="32" t="s">
        <v>62</v>
      </c>
      <c r="T59" s="32" t="s">
        <v>62</v>
      </c>
      <c r="U59" s="32" t="s">
        <v>62</v>
      </c>
      <c r="V59" s="408"/>
      <c r="W59" s="32" t="s">
        <v>62</v>
      </c>
      <c r="X59" s="32" t="s">
        <v>62</v>
      </c>
      <c r="Y59" s="32"/>
      <c r="Z59" s="558"/>
      <c r="AA59" s="558"/>
      <c r="AB59" s="24" t="s">
        <v>899</v>
      </c>
      <c r="AC59" s="16"/>
      <c r="AD59" s="140" t="s">
        <v>62</v>
      </c>
      <c r="AE59" s="24" t="s">
        <v>63</v>
      </c>
      <c r="AF59" s="140" t="s">
        <v>62</v>
      </c>
      <c r="AG59" s="382">
        <v>45472</v>
      </c>
      <c r="AI59" s="32" t="s">
        <v>62</v>
      </c>
      <c r="AJ59" s="32" t="s">
        <v>62</v>
      </c>
      <c r="AK59" s="32" t="s">
        <v>62</v>
      </c>
      <c r="AL59" s="32" t="s">
        <v>62</v>
      </c>
      <c r="AM59" s="143">
        <v>45470</v>
      </c>
      <c r="AN59" s="381"/>
    </row>
    <row r="60" spans="1:41" ht="22.8" hidden="1" x14ac:dyDescent="0.25">
      <c r="A60" s="28">
        <v>59</v>
      </c>
      <c r="B60" s="20">
        <v>39022</v>
      </c>
      <c r="C60" s="27" t="s">
        <v>64</v>
      </c>
      <c r="D60" s="12" t="s">
        <v>900</v>
      </c>
      <c r="E60" s="238" t="s">
        <v>805</v>
      </c>
      <c r="F60" s="29" t="s">
        <v>806</v>
      </c>
      <c r="G60" s="29" t="s">
        <v>13</v>
      </c>
      <c r="H60" s="19">
        <v>43477</v>
      </c>
      <c r="I60" s="3">
        <v>220</v>
      </c>
      <c r="J60" s="3" t="s">
        <v>58</v>
      </c>
      <c r="K60" s="429" t="s">
        <v>59</v>
      </c>
      <c r="L60" s="450">
        <v>44068</v>
      </c>
      <c r="M60" s="433" t="s">
        <v>60</v>
      </c>
      <c r="N60" s="450" t="s">
        <v>294</v>
      </c>
      <c r="O60" s="48">
        <v>45164</v>
      </c>
      <c r="P60" s="48"/>
      <c r="Q60" s="32"/>
      <c r="R60" s="32" t="s">
        <v>68</v>
      </c>
      <c r="S60" s="32" t="s">
        <v>68</v>
      </c>
      <c r="T60" s="32" t="s">
        <v>68</v>
      </c>
      <c r="U60" s="140" t="s">
        <v>68</v>
      </c>
      <c r="V60" s="105"/>
      <c r="W60" s="141" t="s">
        <v>68</v>
      </c>
      <c r="X60" s="32"/>
      <c r="Y60" s="32"/>
      <c r="Z60" s="558"/>
      <c r="AA60" s="558"/>
      <c r="AB60" s="24" t="s">
        <v>901</v>
      </c>
      <c r="AC60" s="16"/>
      <c r="AD60" s="140" t="s">
        <v>68</v>
      </c>
      <c r="AE60" s="24" t="s">
        <v>63</v>
      </c>
      <c r="AF60" s="382">
        <v>44945</v>
      </c>
      <c r="AG60" s="382">
        <v>45488</v>
      </c>
      <c r="AH60" s="382" t="s">
        <v>63</v>
      </c>
      <c r="AI60" s="140" t="s">
        <v>68</v>
      </c>
      <c r="AJ60" s="140" t="s">
        <v>68</v>
      </c>
      <c r="AK60" s="143">
        <v>45457</v>
      </c>
      <c r="AL60" s="140" t="s">
        <v>68</v>
      </c>
      <c r="AM60" s="24" t="s">
        <v>902</v>
      </c>
    </row>
    <row r="61" spans="1:41" ht="22.8" hidden="1" x14ac:dyDescent="0.25">
      <c r="A61" s="28">
        <v>60</v>
      </c>
      <c r="B61" s="20">
        <v>39022</v>
      </c>
      <c r="C61" s="27" t="s">
        <v>54</v>
      </c>
      <c r="D61" s="12" t="s">
        <v>903</v>
      </c>
      <c r="E61" s="238" t="s">
        <v>805</v>
      </c>
      <c r="F61" s="29" t="s">
        <v>806</v>
      </c>
      <c r="G61" s="29" t="s">
        <v>13</v>
      </c>
      <c r="H61" s="19">
        <v>43477</v>
      </c>
      <c r="I61" s="3">
        <v>221</v>
      </c>
      <c r="J61" s="3" t="s">
        <v>58</v>
      </c>
      <c r="K61" s="429" t="s">
        <v>59</v>
      </c>
      <c r="L61" s="450">
        <v>44068</v>
      </c>
      <c r="M61" s="433" t="s">
        <v>60</v>
      </c>
      <c r="N61" s="450" t="s">
        <v>294</v>
      </c>
      <c r="O61" s="48">
        <v>45164</v>
      </c>
      <c r="P61" s="48"/>
      <c r="Q61" s="32"/>
      <c r="R61" s="32" t="s">
        <v>62</v>
      </c>
      <c r="S61" s="32" t="s">
        <v>62</v>
      </c>
      <c r="T61" s="32" t="s">
        <v>62</v>
      </c>
      <c r="U61" s="140" t="s">
        <v>62</v>
      </c>
      <c r="V61" s="105"/>
      <c r="W61" s="141" t="s">
        <v>62</v>
      </c>
      <c r="X61" s="32"/>
      <c r="Y61" s="32"/>
      <c r="Z61" s="558"/>
      <c r="AA61" s="558"/>
      <c r="AB61" s="24" t="s">
        <v>904</v>
      </c>
      <c r="AC61" s="16"/>
      <c r="AD61" s="140" t="s">
        <v>62</v>
      </c>
      <c r="AE61" s="24" t="s">
        <v>63</v>
      </c>
      <c r="AF61" s="382">
        <v>44945</v>
      </c>
      <c r="AG61" s="382">
        <v>45488</v>
      </c>
      <c r="AH61" s="58" t="s">
        <v>63</v>
      </c>
      <c r="AI61" s="58" t="s">
        <v>905</v>
      </c>
      <c r="AJ61" s="140" t="s">
        <v>62</v>
      </c>
      <c r="AK61" s="143">
        <v>45457</v>
      </c>
      <c r="AL61" s="140" t="s">
        <v>62</v>
      </c>
      <c r="AM61" s="24" t="s">
        <v>902</v>
      </c>
    </row>
    <row r="62" spans="1:41" ht="22.8" hidden="1" x14ac:dyDescent="0.3">
      <c r="A62" s="28">
        <v>61</v>
      </c>
      <c r="B62" s="20">
        <v>39023</v>
      </c>
      <c r="C62" s="27" t="s">
        <v>64</v>
      </c>
      <c r="D62" s="12" t="s">
        <v>906</v>
      </c>
      <c r="E62" s="20" t="s">
        <v>862</v>
      </c>
      <c r="F62" s="29" t="s">
        <v>863</v>
      </c>
      <c r="G62" s="29" t="s">
        <v>13</v>
      </c>
      <c r="H62" s="19">
        <v>43480</v>
      </c>
      <c r="I62" s="3">
        <v>237</v>
      </c>
      <c r="J62" s="3" t="s">
        <v>58</v>
      </c>
      <c r="K62" s="429" t="s">
        <v>59</v>
      </c>
      <c r="L62" s="450">
        <v>44139</v>
      </c>
      <c r="M62" s="433" t="s">
        <v>722</v>
      </c>
      <c r="N62" s="450">
        <v>44769</v>
      </c>
      <c r="O62" s="717">
        <v>45731</v>
      </c>
      <c r="P62" s="717">
        <v>45731</v>
      </c>
      <c r="Q62" s="32"/>
      <c r="R62" s="721" t="s">
        <v>68</v>
      </c>
      <c r="S62" s="721" t="s">
        <v>68</v>
      </c>
      <c r="T62" s="721" t="s">
        <v>68</v>
      </c>
      <c r="U62" s="721" t="s">
        <v>68</v>
      </c>
      <c r="V62" s="731" t="s">
        <v>206</v>
      </c>
      <c r="W62" s="721" t="s">
        <v>206</v>
      </c>
      <c r="X62" s="721" t="s">
        <v>75</v>
      </c>
      <c r="Y62" s="721" t="s">
        <v>206</v>
      </c>
      <c r="Z62" s="32"/>
      <c r="AA62" s="32"/>
      <c r="AB62" s="1116" t="s">
        <v>907</v>
      </c>
      <c r="AC62" s="720"/>
      <c r="AD62" s="724" t="s">
        <v>616</v>
      </c>
      <c r="AE62" s="728">
        <v>45275</v>
      </c>
      <c r="AF62" s="725" t="s">
        <v>206</v>
      </c>
      <c r="AG62" s="728"/>
      <c r="AH62" s="728">
        <v>45277</v>
      </c>
      <c r="AI62" s="728">
        <v>45275</v>
      </c>
      <c r="AJ62" s="725" t="s">
        <v>206</v>
      </c>
      <c r="AK62" s="143">
        <v>45454</v>
      </c>
      <c r="AM62" s="143">
        <v>45537</v>
      </c>
      <c r="AN62" s="381"/>
    </row>
    <row r="63" spans="1:41" ht="22.8" hidden="1" x14ac:dyDescent="0.3">
      <c r="A63" s="28">
        <v>62</v>
      </c>
      <c r="B63" s="20">
        <v>39023</v>
      </c>
      <c r="C63" s="27" t="s">
        <v>54</v>
      </c>
      <c r="D63" s="12" t="s">
        <v>908</v>
      </c>
      <c r="E63" s="20" t="s">
        <v>862</v>
      </c>
      <c r="F63" s="29" t="s">
        <v>863</v>
      </c>
      <c r="G63" s="29" t="s">
        <v>13</v>
      </c>
      <c r="H63" s="19">
        <v>43480</v>
      </c>
      <c r="I63" s="3">
        <v>224</v>
      </c>
      <c r="J63" s="3" t="s">
        <v>58</v>
      </c>
      <c r="K63" s="429" t="s">
        <v>59</v>
      </c>
      <c r="L63" s="450">
        <v>44139</v>
      </c>
      <c r="M63" s="433" t="s">
        <v>722</v>
      </c>
      <c r="N63" s="450">
        <v>44769</v>
      </c>
      <c r="O63" s="717">
        <v>45731</v>
      </c>
      <c r="P63" s="717">
        <v>45731</v>
      </c>
      <c r="Q63" s="32"/>
      <c r="R63" s="721" t="s">
        <v>62</v>
      </c>
      <c r="S63" s="721" t="s">
        <v>62</v>
      </c>
      <c r="T63" s="721" t="s">
        <v>62</v>
      </c>
      <c r="U63" s="721" t="s">
        <v>62</v>
      </c>
      <c r="V63" s="721" t="s">
        <v>206</v>
      </c>
      <c r="W63" s="721" t="s">
        <v>206</v>
      </c>
      <c r="X63" s="721" t="s">
        <v>75</v>
      </c>
      <c r="Y63" s="721" t="s">
        <v>206</v>
      </c>
      <c r="Z63" s="32"/>
      <c r="AA63" s="32"/>
      <c r="AB63" s="1116" t="s">
        <v>909</v>
      </c>
      <c r="AC63" s="720"/>
      <c r="AD63" s="724" t="s">
        <v>689</v>
      </c>
      <c r="AE63" s="728">
        <v>45276</v>
      </c>
      <c r="AF63" s="725" t="s">
        <v>206</v>
      </c>
      <c r="AG63" s="728"/>
      <c r="AH63" s="728">
        <v>45277</v>
      </c>
      <c r="AI63" s="728">
        <v>45275</v>
      </c>
      <c r="AJ63" s="725" t="s">
        <v>206</v>
      </c>
      <c r="AK63" s="143">
        <v>45454</v>
      </c>
      <c r="AM63" s="143">
        <v>45537</v>
      </c>
    </row>
    <row r="64" spans="1:41" ht="22.8" hidden="1" x14ac:dyDescent="0.25">
      <c r="A64" s="28">
        <v>63</v>
      </c>
      <c r="B64" s="20">
        <v>39032</v>
      </c>
      <c r="C64" s="27" t="s">
        <v>64</v>
      </c>
      <c r="D64" s="12" t="s">
        <v>910</v>
      </c>
      <c r="E64" s="238" t="s">
        <v>805</v>
      </c>
      <c r="F64" s="29" t="s">
        <v>806</v>
      </c>
      <c r="G64" s="29" t="s">
        <v>13</v>
      </c>
      <c r="H64" s="19">
        <v>43514</v>
      </c>
      <c r="I64" s="3">
        <v>253</v>
      </c>
      <c r="J64" s="3" t="s">
        <v>58</v>
      </c>
      <c r="K64" s="429" t="s">
        <v>59</v>
      </c>
      <c r="L64" s="450">
        <v>44078</v>
      </c>
      <c r="M64" s="433" t="s">
        <v>60</v>
      </c>
      <c r="N64" s="450" t="s">
        <v>294</v>
      </c>
      <c r="O64" s="48">
        <v>45378</v>
      </c>
      <c r="P64" s="48"/>
      <c r="Q64" s="32"/>
      <c r="R64" s="32" t="s">
        <v>68</v>
      </c>
      <c r="S64" s="32" t="s">
        <v>68</v>
      </c>
      <c r="T64" s="32" t="s">
        <v>68</v>
      </c>
      <c r="U64" s="32" t="s">
        <v>68</v>
      </c>
      <c r="V64" s="32"/>
      <c r="W64" s="32"/>
      <c r="X64" s="32"/>
      <c r="Y64" s="32"/>
      <c r="Z64" s="558"/>
      <c r="AA64" s="558"/>
      <c r="AB64" s="24" t="s">
        <v>911</v>
      </c>
      <c r="AC64" s="16"/>
      <c r="AD64" s="140" t="s">
        <v>68</v>
      </c>
      <c r="AE64" s="140" t="s">
        <v>68</v>
      </c>
      <c r="AF64" s="140" t="s">
        <v>68</v>
      </c>
      <c r="AG64" s="382">
        <v>45533</v>
      </c>
      <c r="AH64" s="382">
        <v>45383</v>
      </c>
      <c r="AI64" s="140" t="s">
        <v>68</v>
      </c>
      <c r="AJ64" s="140" t="s">
        <v>68</v>
      </c>
      <c r="AK64" s="143">
        <v>45408</v>
      </c>
      <c r="AL64" s="140" t="s">
        <v>68</v>
      </c>
      <c r="AM64" s="143">
        <v>45535</v>
      </c>
      <c r="AN64" s="381"/>
    </row>
    <row r="65" spans="1:41" ht="22.8" hidden="1" x14ac:dyDescent="0.25">
      <c r="A65" s="28">
        <v>64</v>
      </c>
      <c r="B65" s="20">
        <v>39032</v>
      </c>
      <c r="C65" s="27" t="s">
        <v>54</v>
      </c>
      <c r="D65" s="12" t="s">
        <v>912</v>
      </c>
      <c r="E65" s="238" t="s">
        <v>805</v>
      </c>
      <c r="F65" s="29" t="s">
        <v>806</v>
      </c>
      <c r="G65" s="29" t="s">
        <v>13</v>
      </c>
      <c r="H65" s="19">
        <v>43514</v>
      </c>
      <c r="I65" s="3">
        <v>248</v>
      </c>
      <c r="J65" s="3" t="s">
        <v>58</v>
      </c>
      <c r="K65" s="429" t="s">
        <v>59</v>
      </c>
      <c r="L65" s="450">
        <v>44078</v>
      </c>
      <c r="M65" s="433" t="s">
        <v>60</v>
      </c>
      <c r="N65" s="450" t="s">
        <v>294</v>
      </c>
      <c r="O65" s="48">
        <v>45378</v>
      </c>
      <c r="P65" s="48"/>
      <c r="Q65" s="32"/>
      <c r="R65" s="32" t="s">
        <v>62</v>
      </c>
      <c r="S65" s="32" t="s">
        <v>62</v>
      </c>
      <c r="T65" s="32" t="s">
        <v>62</v>
      </c>
      <c r="U65" s="32" t="s">
        <v>62</v>
      </c>
      <c r="V65" s="32"/>
      <c r="W65" s="32"/>
      <c r="X65" s="32"/>
      <c r="Y65" s="32"/>
      <c r="Z65" s="558"/>
      <c r="AA65" s="558"/>
      <c r="AB65" s="24" t="s">
        <v>913</v>
      </c>
      <c r="AC65" s="16"/>
      <c r="AD65" s="140" t="s">
        <v>62</v>
      </c>
      <c r="AE65" s="58" t="s">
        <v>689</v>
      </c>
      <c r="AF65" s="140" t="s">
        <v>62</v>
      </c>
      <c r="AG65" s="382">
        <v>45533</v>
      </c>
      <c r="AH65" s="382"/>
      <c r="AI65" s="140" t="s">
        <v>62</v>
      </c>
      <c r="AJ65" s="140" t="s">
        <v>62</v>
      </c>
      <c r="AK65" s="143">
        <v>45408</v>
      </c>
      <c r="AL65" s="140" t="s">
        <v>62</v>
      </c>
      <c r="AM65" s="143">
        <v>45535</v>
      </c>
    </row>
    <row r="66" spans="1:41" ht="22.8" hidden="1" x14ac:dyDescent="0.25">
      <c r="A66" s="28">
        <v>65</v>
      </c>
      <c r="B66" s="20">
        <v>39041</v>
      </c>
      <c r="C66" s="27" t="s">
        <v>64</v>
      </c>
      <c r="D66" s="12" t="s">
        <v>914</v>
      </c>
      <c r="E66" s="238" t="s">
        <v>805</v>
      </c>
      <c r="F66" s="29" t="s">
        <v>806</v>
      </c>
      <c r="G66" s="29" t="s">
        <v>13</v>
      </c>
      <c r="H66" s="19">
        <v>43582</v>
      </c>
      <c r="I66" s="3">
        <v>311</v>
      </c>
      <c r="J66" s="3" t="s">
        <v>58</v>
      </c>
      <c r="K66" s="429" t="s">
        <v>59</v>
      </c>
      <c r="L66" s="450">
        <v>44062</v>
      </c>
      <c r="M66" s="433" t="s">
        <v>722</v>
      </c>
      <c r="N66" s="450" t="s">
        <v>294</v>
      </c>
      <c r="O66" s="31" t="s">
        <v>915</v>
      </c>
      <c r="P66" s="31"/>
      <c r="Q66" s="32"/>
      <c r="R66" s="32" t="s">
        <v>68</v>
      </c>
      <c r="S66" s="32" t="s">
        <v>68</v>
      </c>
      <c r="T66" s="32" t="s">
        <v>68</v>
      </c>
      <c r="U66" s="32" t="s">
        <v>68</v>
      </c>
      <c r="V66" s="32"/>
      <c r="W66" s="32" t="s">
        <v>68</v>
      </c>
      <c r="X66" s="32" t="s">
        <v>68</v>
      </c>
      <c r="Y66" s="32"/>
      <c r="Z66" s="558"/>
      <c r="AA66" s="558"/>
      <c r="AB66" s="24" t="s">
        <v>916</v>
      </c>
      <c r="AC66" s="16"/>
      <c r="AD66" s="140" t="s">
        <v>68</v>
      </c>
      <c r="AE66" s="24" t="s">
        <v>63</v>
      </c>
      <c r="AF66" s="140" t="s">
        <v>68</v>
      </c>
      <c r="AG66" s="382">
        <v>45540</v>
      </c>
      <c r="AH66" s="382">
        <v>45313</v>
      </c>
      <c r="AI66" s="382" t="s">
        <v>876</v>
      </c>
      <c r="AJ66" s="140" t="s">
        <v>68</v>
      </c>
      <c r="AK66" s="143">
        <v>45435</v>
      </c>
      <c r="AL66" s="1369">
        <v>45313</v>
      </c>
      <c r="AM66" s="143">
        <v>45540</v>
      </c>
    </row>
    <row r="67" spans="1:41" ht="22.8" hidden="1" x14ac:dyDescent="0.25">
      <c r="A67" s="28">
        <v>66</v>
      </c>
      <c r="B67" s="20">
        <v>39041</v>
      </c>
      <c r="C67" s="27" t="s">
        <v>54</v>
      </c>
      <c r="D67" s="12" t="s">
        <v>917</v>
      </c>
      <c r="E67" s="238" t="s">
        <v>805</v>
      </c>
      <c r="F67" s="29" t="s">
        <v>806</v>
      </c>
      <c r="G67" s="29" t="s">
        <v>13</v>
      </c>
      <c r="H67" s="19">
        <v>43582</v>
      </c>
      <c r="I67" s="3">
        <v>308</v>
      </c>
      <c r="J67" s="3" t="s">
        <v>58</v>
      </c>
      <c r="K67" s="429" t="s">
        <v>59</v>
      </c>
      <c r="L67" s="450">
        <v>44062</v>
      </c>
      <c r="M67" s="433" t="s">
        <v>722</v>
      </c>
      <c r="N67" s="450" t="s">
        <v>294</v>
      </c>
      <c r="O67" s="31" t="s">
        <v>915</v>
      </c>
      <c r="P67" s="31"/>
      <c r="Q67" s="32"/>
      <c r="R67" s="32" t="s">
        <v>62</v>
      </c>
      <c r="S67" s="32" t="s">
        <v>62</v>
      </c>
      <c r="T67" s="32" t="s">
        <v>62</v>
      </c>
      <c r="U67" s="32" t="s">
        <v>62</v>
      </c>
      <c r="V67" s="32"/>
      <c r="W67" s="32" t="s">
        <v>62</v>
      </c>
      <c r="X67" s="32" t="s">
        <v>62</v>
      </c>
      <c r="Y67" s="32"/>
      <c r="Z67" s="558"/>
      <c r="AA67" s="558"/>
      <c r="AB67" s="24" t="s">
        <v>918</v>
      </c>
      <c r="AC67" s="16"/>
      <c r="AD67" s="140" t="s">
        <v>62</v>
      </c>
      <c r="AE67" s="24" t="s">
        <v>63</v>
      </c>
      <c r="AF67" s="140" t="s">
        <v>62</v>
      </c>
      <c r="AG67" s="382">
        <v>45540</v>
      </c>
      <c r="AH67" s="382">
        <v>45313</v>
      </c>
      <c r="AI67" s="382" t="s">
        <v>876</v>
      </c>
      <c r="AJ67" s="140" t="s">
        <v>62</v>
      </c>
      <c r="AK67" s="143">
        <v>45435</v>
      </c>
      <c r="AL67" s="1369">
        <v>45313</v>
      </c>
      <c r="AM67" s="143">
        <v>45540</v>
      </c>
    </row>
    <row r="68" spans="1:41" ht="22.8" hidden="1" x14ac:dyDescent="0.25">
      <c r="A68" s="28">
        <v>67</v>
      </c>
      <c r="B68" s="20">
        <v>39044</v>
      </c>
      <c r="C68" s="27" t="s">
        <v>64</v>
      </c>
      <c r="D68" s="12" t="s">
        <v>919</v>
      </c>
      <c r="E68" s="238" t="s">
        <v>805</v>
      </c>
      <c r="F68" s="29" t="s">
        <v>806</v>
      </c>
      <c r="G68" s="29" t="s">
        <v>13</v>
      </c>
      <c r="H68" s="19">
        <v>43575</v>
      </c>
      <c r="I68" s="3">
        <v>312</v>
      </c>
      <c r="J68" s="3" t="s">
        <v>58</v>
      </c>
      <c r="K68" s="429" t="s">
        <v>59</v>
      </c>
      <c r="L68" s="450">
        <v>44072</v>
      </c>
      <c r="M68" s="433" t="s">
        <v>722</v>
      </c>
      <c r="N68" s="450" t="s">
        <v>294</v>
      </c>
      <c r="O68" s="48">
        <v>45294</v>
      </c>
      <c r="P68" s="48"/>
      <c r="Q68" s="32"/>
      <c r="R68" s="32" t="s">
        <v>68</v>
      </c>
      <c r="S68" s="32" t="s">
        <v>68</v>
      </c>
      <c r="T68" s="32" t="s">
        <v>68</v>
      </c>
      <c r="U68" s="32" t="s">
        <v>68</v>
      </c>
      <c r="V68" s="32"/>
      <c r="W68" s="32" t="s">
        <v>68</v>
      </c>
      <c r="X68" s="32" t="s">
        <v>68</v>
      </c>
      <c r="Y68" s="32"/>
      <c r="Z68" s="558"/>
      <c r="AA68" s="558"/>
      <c r="AB68" s="16"/>
      <c r="AC68" s="16"/>
      <c r="AD68" s="140" t="s">
        <v>68</v>
      </c>
      <c r="AE68" s="24" t="s">
        <v>63</v>
      </c>
      <c r="AF68" s="382">
        <v>44943</v>
      </c>
      <c r="AG68" s="382">
        <v>45520</v>
      </c>
      <c r="AI68" s="606">
        <v>45352</v>
      </c>
      <c r="AJ68" s="58" t="s">
        <v>920</v>
      </c>
      <c r="AK68" s="143">
        <v>45427</v>
      </c>
      <c r="AL68" s="1147">
        <v>45294</v>
      </c>
      <c r="AM68" s="143">
        <v>45583</v>
      </c>
      <c r="AO68" s="58" t="s">
        <v>920</v>
      </c>
    </row>
    <row r="69" spans="1:41" ht="22.8" hidden="1" x14ac:dyDescent="0.25">
      <c r="A69" s="28">
        <v>68</v>
      </c>
      <c r="B69" s="20">
        <v>39044</v>
      </c>
      <c r="C69" s="27" t="s">
        <v>54</v>
      </c>
      <c r="D69" s="12" t="s">
        <v>921</v>
      </c>
      <c r="E69" s="238" t="s">
        <v>805</v>
      </c>
      <c r="F69" s="29" t="s">
        <v>806</v>
      </c>
      <c r="G69" s="29" t="s">
        <v>13</v>
      </c>
      <c r="H69" s="19">
        <v>43575</v>
      </c>
      <c r="I69" s="3">
        <v>313</v>
      </c>
      <c r="J69" s="3" t="s">
        <v>58</v>
      </c>
      <c r="K69" s="429" t="s">
        <v>59</v>
      </c>
      <c r="L69" s="450">
        <v>44072</v>
      </c>
      <c r="M69" s="433" t="s">
        <v>722</v>
      </c>
      <c r="N69" s="450" t="s">
        <v>294</v>
      </c>
      <c r="O69" s="48">
        <v>45294</v>
      </c>
      <c r="P69" s="48"/>
      <c r="Q69" s="32"/>
      <c r="R69" s="32" t="s">
        <v>62</v>
      </c>
      <c r="S69" s="32" t="s">
        <v>62</v>
      </c>
      <c r="T69" s="32" t="s">
        <v>62</v>
      </c>
      <c r="U69" s="32" t="s">
        <v>62</v>
      </c>
      <c r="V69" s="32"/>
      <c r="W69" s="32" t="s">
        <v>62</v>
      </c>
      <c r="X69" s="32" t="s">
        <v>62</v>
      </c>
      <c r="Y69" s="32"/>
      <c r="Z69" s="558"/>
      <c r="AA69" s="558"/>
      <c r="AB69" s="16"/>
      <c r="AC69" s="16"/>
      <c r="AD69" s="140" t="s">
        <v>62</v>
      </c>
      <c r="AE69" s="24" t="s">
        <v>63</v>
      </c>
      <c r="AF69" s="382">
        <v>44943</v>
      </c>
      <c r="AG69" s="382">
        <v>45520</v>
      </c>
      <c r="AI69" s="606">
        <v>45352</v>
      </c>
      <c r="AJ69" s="58" t="s">
        <v>922</v>
      </c>
      <c r="AK69" s="143">
        <v>45427</v>
      </c>
      <c r="AL69" s="1147">
        <v>45294</v>
      </c>
      <c r="AM69" s="143">
        <v>45583</v>
      </c>
      <c r="AO69" s="58" t="s">
        <v>922</v>
      </c>
    </row>
    <row r="70" spans="1:41" ht="22.8" hidden="1" x14ac:dyDescent="0.3">
      <c r="A70" s="28">
        <v>69</v>
      </c>
      <c r="B70" s="20">
        <v>39075</v>
      </c>
      <c r="C70" s="27" t="s">
        <v>64</v>
      </c>
      <c r="D70" s="12" t="s">
        <v>923</v>
      </c>
      <c r="E70" s="20" t="s">
        <v>862</v>
      </c>
      <c r="F70" s="29" t="s">
        <v>863</v>
      </c>
      <c r="G70" s="29" t="s">
        <v>13</v>
      </c>
      <c r="H70" s="19">
        <v>43676</v>
      </c>
      <c r="I70" s="3">
        <v>332</v>
      </c>
      <c r="J70" s="3" t="s">
        <v>58</v>
      </c>
      <c r="K70" s="429" t="s">
        <v>59</v>
      </c>
      <c r="L70" s="450">
        <v>44118</v>
      </c>
      <c r="M70" s="433" t="s">
        <v>722</v>
      </c>
      <c r="N70" s="450" t="s">
        <v>294</v>
      </c>
      <c r="O70" s="718">
        <v>45737</v>
      </c>
      <c r="P70" s="718">
        <v>45737</v>
      </c>
      <c r="Q70" s="721"/>
      <c r="R70" s="721" t="s">
        <v>68</v>
      </c>
      <c r="S70" s="721" t="s">
        <v>206</v>
      </c>
      <c r="T70" s="721" t="s">
        <v>68</v>
      </c>
      <c r="U70" s="721" t="s">
        <v>68</v>
      </c>
      <c r="V70" s="721" t="s">
        <v>206</v>
      </c>
      <c r="W70" s="721" t="s">
        <v>68</v>
      </c>
      <c r="X70" s="721" t="s">
        <v>68</v>
      </c>
      <c r="Y70" s="721" t="s">
        <v>206</v>
      </c>
      <c r="Z70" s="32"/>
      <c r="AA70" s="32"/>
      <c r="AB70" s="720"/>
      <c r="AC70" s="720"/>
      <c r="AD70" s="721" t="s">
        <v>68</v>
      </c>
      <c r="AE70" s="728">
        <v>45244</v>
      </c>
      <c r="AF70" s="725" t="s">
        <v>206</v>
      </c>
      <c r="AG70" s="728">
        <v>45468</v>
      </c>
      <c r="AH70" s="728">
        <v>45118</v>
      </c>
      <c r="AI70" s="728">
        <v>45241</v>
      </c>
      <c r="AJ70" s="725" t="s">
        <v>206</v>
      </c>
      <c r="AK70" s="1370">
        <v>45357</v>
      </c>
      <c r="AM70" s="143">
        <v>45468</v>
      </c>
    </row>
    <row r="71" spans="1:41" ht="14.4" hidden="1" x14ac:dyDescent="0.3">
      <c r="A71" s="28">
        <v>70</v>
      </c>
      <c r="B71" s="20">
        <v>39075</v>
      </c>
      <c r="C71" s="27" t="s">
        <v>54</v>
      </c>
      <c r="D71" s="20" t="s">
        <v>924</v>
      </c>
      <c r="E71" s="20" t="s">
        <v>862</v>
      </c>
      <c r="F71" s="29" t="s">
        <v>863</v>
      </c>
      <c r="G71" s="29" t="s">
        <v>13</v>
      </c>
      <c r="H71" s="19">
        <v>43676</v>
      </c>
      <c r="I71" s="3">
        <v>342</v>
      </c>
      <c r="J71" s="3" t="s">
        <v>58</v>
      </c>
      <c r="K71" s="433" t="s">
        <v>680</v>
      </c>
      <c r="L71" s="450">
        <v>44118</v>
      </c>
      <c r="M71" s="433" t="s">
        <v>722</v>
      </c>
      <c r="N71" s="450" t="s">
        <v>294</v>
      </c>
      <c r="O71" s="718">
        <v>45737</v>
      </c>
      <c r="P71" s="718">
        <v>45737</v>
      </c>
      <c r="Q71" s="44"/>
      <c r="R71" s="720" t="s">
        <v>62</v>
      </c>
      <c r="S71" s="44" t="s">
        <v>206</v>
      </c>
      <c r="T71" s="720" t="s">
        <v>62</v>
      </c>
      <c r="U71" s="44" t="s">
        <v>62</v>
      </c>
      <c r="V71" s="50" t="s">
        <v>206</v>
      </c>
      <c r="W71" s="44" t="s">
        <v>62</v>
      </c>
      <c r="X71" s="44" t="s">
        <v>62</v>
      </c>
      <c r="Y71" s="44" t="s">
        <v>206</v>
      </c>
      <c r="Z71" s="44"/>
      <c r="AA71" s="44"/>
      <c r="AB71" s="720"/>
      <c r="AC71" s="720"/>
      <c r="AD71" s="44" t="s">
        <v>62</v>
      </c>
      <c r="AE71" s="728">
        <v>45244</v>
      </c>
      <c r="AF71" s="725" t="s">
        <v>206</v>
      </c>
      <c r="AG71" s="728">
        <v>45468</v>
      </c>
      <c r="AH71" s="728">
        <v>45118</v>
      </c>
      <c r="AI71" s="728">
        <v>45241</v>
      </c>
      <c r="AJ71" s="725" t="s">
        <v>206</v>
      </c>
      <c r="AK71" s="1370">
        <v>45358</v>
      </c>
      <c r="AM71" s="143">
        <v>45468</v>
      </c>
    </row>
    <row r="72" spans="1:41" ht="22.8" hidden="1" x14ac:dyDescent="0.3">
      <c r="A72" s="28">
        <v>71</v>
      </c>
      <c r="B72" s="20">
        <v>39141</v>
      </c>
      <c r="C72" s="27" t="s">
        <v>64</v>
      </c>
      <c r="D72" s="12" t="s">
        <v>925</v>
      </c>
      <c r="E72" s="20" t="s">
        <v>862</v>
      </c>
      <c r="F72" s="29" t="s">
        <v>863</v>
      </c>
      <c r="G72" s="29" t="s">
        <v>13</v>
      </c>
      <c r="H72" s="19">
        <v>43994</v>
      </c>
      <c r="I72" s="3">
        <v>768</v>
      </c>
      <c r="J72" s="3" t="s">
        <v>58</v>
      </c>
      <c r="K72" s="429" t="s">
        <v>59</v>
      </c>
      <c r="L72" s="450">
        <v>44074</v>
      </c>
      <c r="M72" s="433" t="s">
        <v>722</v>
      </c>
      <c r="N72" s="450" t="s">
        <v>294</v>
      </c>
      <c r="O72" s="717">
        <v>45782</v>
      </c>
      <c r="P72" s="717"/>
      <c r="Q72" s="720" t="s">
        <v>75</v>
      </c>
      <c r="R72" s="720" t="s">
        <v>75</v>
      </c>
      <c r="S72" s="729" t="s">
        <v>206</v>
      </c>
      <c r="T72" s="721" t="s">
        <v>68</v>
      </c>
      <c r="U72" s="721" t="s">
        <v>68</v>
      </c>
      <c r="V72" s="729" t="s">
        <v>206</v>
      </c>
      <c r="W72" s="729" t="s">
        <v>68</v>
      </c>
      <c r="X72" s="729" t="s">
        <v>68</v>
      </c>
      <c r="Y72" s="729" t="s">
        <v>206</v>
      </c>
      <c r="Z72" s="30"/>
      <c r="AA72" s="30"/>
      <c r="AB72" s="720"/>
      <c r="AC72" s="720"/>
      <c r="AD72" s="730" t="s">
        <v>63</v>
      </c>
      <c r="AE72" s="725" t="s">
        <v>206</v>
      </c>
      <c r="AF72" s="725" t="s">
        <v>206</v>
      </c>
      <c r="AG72" s="728"/>
      <c r="AH72" s="728">
        <v>45150</v>
      </c>
      <c r="AI72" s="725" t="s">
        <v>206</v>
      </c>
      <c r="AJ72" s="725" t="s">
        <v>206</v>
      </c>
      <c r="AK72" s="1371">
        <v>45474</v>
      </c>
      <c r="AM72" s="143">
        <v>45470</v>
      </c>
    </row>
    <row r="73" spans="1:41" ht="22.8" hidden="1" x14ac:dyDescent="0.3">
      <c r="A73" s="28">
        <v>72</v>
      </c>
      <c r="B73" s="20">
        <v>39141</v>
      </c>
      <c r="C73" s="27" t="s">
        <v>54</v>
      </c>
      <c r="D73" s="12" t="s">
        <v>926</v>
      </c>
      <c r="E73" s="20" t="s">
        <v>862</v>
      </c>
      <c r="F73" s="29" t="s">
        <v>863</v>
      </c>
      <c r="G73" s="29" t="s">
        <v>13</v>
      </c>
      <c r="H73" s="19">
        <v>43994</v>
      </c>
      <c r="I73" s="3">
        <v>769</v>
      </c>
      <c r="J73" s="3" t="s">
        <v>58</v>
      </c>
      <c r="K73" s="429" t="s">
        <v>59</v>
      </c>
      <c r="L73" s="450">
        <v>44074</v>
      </c>
      <c r="M73" s="433" t="s">
        <v>722</v>
      </c>
      <c r="N73" s="450" t="s">
        <v>294</v>
      </c>
      <c r="O73" s="717">
        <v>45782</v>
      </c>
      <c r="P73" s="717"/>
      <c r="Q73" s="720" t="s">
        <v>75</v>
      </c>
      <c r="R73" s="720" t="s">
        <v>75</v>
      </c>
      <c r="S73" s="729" t="s">
        <v>206</v>
      </c>
      <c r="T73" s="721" t="s">
        <v>62</v>
      </c>
      <c r="U73" s="721" t="s">
        <v>62</v>
      </c>
      <c r="V73" s="729" t="s">
        <v>206</v>
      </c>
      <c r="W73" s="729" t="s">
        <v>62</v>
      </c>
      <c r="X73" s="729" t="s">
        <v>62</v>
      </c>
      <c r="Y73" s="729" t="s">
        <v>206</v>
      </c>
      <c r="Z73" s="30"/>
      <c r="AA73" s="30"/>
      <c r="AB73" s="720"/>
      <c r="AC73" s="720"/>
      <c r="AD73" s="730" t="s">
        <v>63</v>
      </c>
      <c r="AE73" s="725" t="s">
        <v>206</v>
      </c>
      <c r="AF73" s="725" t="s">
        <v>206</v>
      </c>
      <c r="AG73" s="728"/>
      <c r="AH73" s="728">
        <v>45150</v>
      </c>
      <c r="AI73" s="725" t="s">
        <v>206</v>
      </c>
      <c r="AJ73" s="1359" t="s">
        <v>206</v>
      </c>
      <c r="AK73" s="1371">
        <v>45474</v>
      </c>
      <c r="AM73" s="143">
        <v>45470</v>
      </c>
    </row>
    <row r="74" spans="1:41" ht="22.8" hidden="1" x14ac:dyDescent="0.3">
      <c r="A74" s="28">
        <v>73</v>
      </c>
      <c r="B74" s="20">
        <v>39142</v>
      </c>
      <c r="C74" s="27" t="s">
        <v>64</v>
      </c>
      <c r="D74" s="12" t="s">
        <v>927</v>
      </c>
      <c r="E74" s="20" t="s">
        <v>862</v>
      </c>
      <c r="F74" s="29" t="s">
        <v>863</v>
      </c>
      <c r="G74" s="29" t="s">
        <v>13</v>
      </c>
      <c r="H74" s="19">
        <v>44004</v>
      </c>
      <c r="I74" s="3">
        <v>774</v>
      </c>
      <c r="J74" s="3" t="s">
        <v>58</v>
      </c>
      <c r="K74" s="429" t="s">
        <v>59</v>
      </c>
      <c r="L74" s="450">
        <v>44125</v>
      </c>
      <c r="M74" s="433" t="s">
        <v>722</v>
      </c>
      <c r="N74" s="450">
        <v>44852</v>
      </c>
      <c r="O74" s="717">
        <v>45794</v>
      </c>
      <c r="P74" s="717"/>
      <c r="Q74" s="720" t="s">
        <v>75</v>
      </c>
      <c r="R74" s="720" t="s">
        <v>75</v>
      </c>
      <c r="S74" s="729" t="s">
        <v>206</v>
      </c>
      <c r="T74" s="721" t="s">
        <v>68</v>
      </c>
      <c r="U74" s="721" t="s">
        <v>68</v>
      </c>
      <c r="V74" s="729" t="s">
        <v>206</v>
      </c>
      <c r="W74" s="729" t="s">
        <v>68</v>
      </c>
      <c r="X74" s="729" t="s">
        <v>206</v>
      </c>
      <c r="Y74" s="729" t="s">
        <v>206</v>
      </c>
      <c r="Z74" s="30"/>
      <c r="AA74" s="30"/>
      <c r="AB74" s="720"/>
      <c r="AC74" s="720"/>
      <c r="AD74" s="730" t="s">
        <v>928</v>
      </c>
      <c r="AE74" s="725" t="s">
        <v>206</v>
      </c>
      <c r="AF74" s="728">
        <v>45274</v>
      </c>
      <c r="AG74" s="732"/>
      <c r="AH74" s="732">
        <v>45129</v>
      </c>
      <c r="AI74" s="732" t="s">
        <v>206</v>
      </c>
      <c r="AJ74" s="732" t="s">
        <v>206</v>
      </c>
      <c r="AK74" s="1371">
        <v>45547</v>
      </c>
      <c r="AM74" s="143">
        <v>45546</v>
      </c>
      <c r="AN74" s="381"/>
    </row>
    <row r="75" spans="1:41" ht="22.8" hidden="1" x14ac:dyDescent="0.3">
      <c r="A75" s="28">
        <v>74</v>
      </c>
      <c r="B75" s="20">
        <v>39142</v>
      </c>
      <c r="C75" s="27" t="s">
        <v>54</v>
      </c>
      <c r="D75" s="12" t="s">
        <v>929</v>
      </c>
      <c r="E75" s="111" t="s">
        <v>862</v>
      </c>
      <c r="F75" s="110" t="s">
        <v>863</v>
      </c>
      <c r="G75" s="110" t="s">
        <v>13</v>
      </c>
      <c r="H75" s="114">
        <v>44004</v>
      </c>
      <c r="I75" s="115">
        <v>771</v>
      </c>
      <c r="J75" s="115" t="s">
        <v>58</v>
      </c>
      <c r="K75" s="430" t="s">
        <v>59</v>
      </c>
      <c r="L75" s="665">
        <v>44125</v>
      </c>
      <c r="M75" s="666" t="s">
        <v>871</v>
      </c>
      <c r="N75" s="665">
        <v>44908</v>
      </c>
      <c r="O75" s="717">
        <v>45794</v>
      </c>
      <c r="P75" s="765"/>
      <c r="Q75" s="766" t="s">
        <v>75</v>
      </c>
      <c r="R75" s="766" t="s">
        <v>75</v>
      </c>
      <c r="S75" s="767" t="s">
        <v>206</v>
      </c>
      <c r="T75" s="768" t="s">
        <v>62</v>
      </c>
      <c r="U75" s="768" t="s">
        <v>62</v>
      </c>
      <c r="V75" s="767" t="s">
        <v>206</v>
      </c>
      <c r="W75" s="767" t="s">
        <v>62</v>
      </c>
      <c r="X75" s="767" t="s">
        <v>206</v>
      </c>
      <c r="Y75" s="767" t="s">
        <v>206</v>
      </c>
      <c r="Z75" s="30"/>
      <c r="AA75" s="30"/>
      <c r="AB75" s="766"/>
      <c r="AC75" s="766"/>
      <c r="AD75" s="769" t="s">
        <v>930</v>
      </c>
      <c r="AE75" s="770" t="s">
        <v>206</v>
      </c>
      <c r="AF75" s="771">
        <v>45274</v>
      </c>
      <c r="AG75" s="772"/>
      <c r="AH75" s="772">
        <v>45129</v>
      </c>
      <c r="AI75" s="772" t="s">
        <v>206</v>
      </c>
      <c r="AJ75" s="772" t="s">
        <v>206</v>
      </c>
      <c r="AK75" s="1372">
        <v>45547</v>
      </c>
      <c r="AM75" s="143">
        <v>45546</v>
      </c>
      <c r="AN75" s="381"/>
    </row>
    <row r="76" spans="1:41" ht="13.8" hidden="1" x14ac:dyDescent="0.25">
      <c r="A76" s="28">
        <v>75</v>
      </c>
      <c r="B76" s="414">
        <v>37578</v>
      </c>
      <c r="C76" s="27" t="s">
        <v>64</v>
      </c>
      <c r="D76" s="759" t="s">
        <v>931</v>
      </c>
      <c r="E76" s="17" t="s">
        <v>932</v>
      </c>
      <c r="F76" s="29" t="s">
        <v>933</v>
      </c>
      <c r="G76" s="29" t="s">
        <v>13</v>
      </c>
      <c r="H76" s="19">
        <v>44315</v>
      </c>
      <c r="I76" s="3">
        <v>781</v>
      </c>
      <c r="J76" s="3" t="s">
        <v>58</v>
      </c>
      <c r="K76" s="432"/>
      <c r="L76" s="443"/>
      <c r="M76" s="432"/>
      <c r="N76" s="443" t="s">
        <v>63</v>
      </c>
      <c r="O76" s="33"/>
      <c r="P76" s="33"/>
      <c r="Q76" s="16" t="s">
        <v>75</v>
      </c>
      <c r="R76" s="16" t="s">
        <v>75</v>
      </c>
      <c r="S76" s="16"/>
      <c r="T76" s="32" t="s">
        <v>68</v>
      </c>
      <c r="U76" s="32" t="s">
        <v>68</v>
      </c>
      <c r="V76" s="32" t="s">
        <v>68</v>
      </c>
      <c r="W76" s="16"/>
      <c r="X76" s="16" t="s">
        <v>75</v>
      </c>
      <c r="Y76" s="16"/>
      <c r="Z76" s="277"/>
      <c r="AA76" s="276"/>
      <c r="AB76" s="16"/>
      <c r="AC76" s="16"/>
      <c r="AD76" s="791" t="s">
        <v>68</v>
      </c>
      <c r="AE76" s="792" t="s">
        <v>869</v>
      </c>
      <c r="AF76" s="790">
        <v>45395</v>
      </c>
      <c r="AG76" s="790"/>
      <c r="AH76" s="790">
        <v>45111</v>
      </c>
      <c r="AI76" s="790">
        <v>45234</v>
      </c>
      <c r="AJ76" s="1268" t="s">
        <v>206</v>
      </c>
      <c r="AK76" s="187" t="s">
        <v>662</v>
      </c>
      <c r="AL76" s="187"/>
      <c r="AM76" s="187" t="s">
        <v>934</v>
      </c>
    </row>
    <row r="77" spans="1:41" ht="13.8" hidden="1" x14ac:dyDescent="0.25">
      <c r="A77" s="28">
        <v>76</v>
      </c>
      <c r="B77" s="414">
        <v>37578</v>
      </c>
      <c r="C77" s="27" t="s">
        <v>54</v>
      </c>
      <c r="D77" s="759" t="s">
        <v>935</v>
      </c>
      <c r="E77" s="17" t="s">
        <v>932</v>
      </c>
      <c r="F77" s="29" t="s">
        <v>933</v>
      </c>
      <c r="G77" s="29" t="s">
        <v>13</v>
      </c>
      <c r="H77" s="19">
        <v>44315</v>
      </c>
      <c r="I77" s="3">
        <v>778</v>
      </c>
      <c r="J77" s="3" t="s">
        <v>58</v>
      </c>
      <c r="K77" s="432"/>
      <c r="L77" s="443"/>
      <c r="M77" s="432"/>
      <c r="N77" s="443" t="s">
        <v>63</v>
      </c>
      <c r="O77" s="33"/>
      <c r="P77" s="33"/>
      <c r="Q77" s="16" t="s">
        <v>75</v>
      </c>
      <c r="R77" s="16" t="s">
        <v>75</v>
      </c>
      <c r="S77" s="16"/>
      <c r="T77" s="32" t="s">
        <v>62</v>
      </c>
      <c r="U77" s="32" t="s">
        <v>62</v>
      </c>
      <c r="V77" s="32" t="s">
        <v>62</v>
      </c>
      <c r="W77" s="16"/>
      <c r="X77" s="16" t="s">
        <v>75</v>
      </c>
      <c r="Y77" s="16"/>
      <c r="Z77" s="277"/>
      <c r="AA77" s="276"/>
      <c r="AB77" s="16"/>
      <c r="AC77" s="16"/>
      <c r="AD77" s="791" t="s">
        <v>62</v>
      </c>
      <c r="AE77" s="792" t="s">
        <v>869</v>
      </c>
      <c r="AF77" s="790">
        <v>45395</v>
      </c>
      <c r="AG77" s="790"/>
      <c r="AH77" s="790">
        <v>45111</v>
      </c>
      <c r="AI77" s="790">
        <v>45234</v>
      </c>
      <c r="AJ77" s="1268" t="s">
        <v>206</v>
      </c>
      <c r="AK77" s="187" t="s">
        <v>63</v>
      </c>
      <c r="AL77" s="187"/>
      <c r="AM77" s="187" t="s">
        <v>934</v>
      </c>
    </row>
    <row r="78" spans="1:41" ht="22.8" hidden="1" x14ac:dyDescent="0.25">
      <c r="A78" s="28">
        <v>77</v>
      </c>
      <c r="B78" s="20">
        <v>30817</v>
      </c>
      <c r="C78" s="27" t="s">
        <v>64</v>
      </c>
      <c r="D78" s="3" t="s">
        <v>800</v>
      </c>
      <c r="E78" s="238" t="s">
        <v>660</v>
      </c>
      <c r="F78" s="239" t="s">
        <v>661</v>
      </c>
      <c r="G78" s="258" t="s">
        <v>13</v>
      </c>
      <c r="H78" s="672">
        <v>44181</v>
      </c>
      <c r="I78" s="239">
        <v>897</v>
      </c>
      <c r="J78" s="239" t="s">
        <v>58</v>
      </c>
      <c r="K78" s="437" t="s">
        <v>59</v>
      </c>
      <c r="L78" s="779">
        <v>44819</v>
      </c>
      <c r="M78" s="779" t="s">
        <v>60</v>
      </c>
      <c r="N78" s="776">
        <v>44819</v>
      </c>
      <c r="O78" s="33">
        <v>44833</v>
      </c>
      <c r="P78" s="33"/>
      <c r="Q78" s="16" t="s">
        <v>75</v>
      </c>
      <c r="R78" s="16" t="s">
        <v>75</v>
      </c>
      <c r="S78" s="16" t="s">
        <v>68</v>
      </c>
      <c r="T78" s="16" t="s">
        <v>68</v>
      </c>
      <c r="U78" s="16" t="s">
        <v>68</v>
      </c>
      <c r="V78" s="16"/>
      <c r="W78" s="16" t="s">
        <v>68</v>
      </c>
      <c r="X78" s="16" t="s">
        <v>75</v>
      </c>
      <c r="Y78" s="16"/>
      <c r="Z78" s="16"/>
      <c r="AA78" s="16"/>
      <c r="AB78" s="16"/>
      <c r="AC78" s="16"/>
      <c r="AD78" s="276" t="s">
        <v>63</v>
      </c>
      <c r="AE78" s="58"/>
      <c r="AF78" s="58"/>
      <c r="AG78" s="382">
        <v>45430</v>
      </c>
      <c r="AH78" s="382">
        <v>45430</v>
      </c>
      <c r="AI78" s="382">
        <v>45310</v>
      </c>
      <c r="AJ78" s="1269" t="s">
        <v>63</v>
      </c>
      <c r="AK78" s="1265" t="s">
        <v>801</v>
      </c>
      <c r="AL78" s="187"/>
      <c r="AM78" s="1373" t="s">
        <v>801</v>
      </c>
      <c r="AN78" s="381"/>
    </row>
    <row r="79" spans="1:41" ht="22.8" hidden="1" x14ac:dyDescent="0.25">
      <c r="A79" s="28">
        <v>78</v>
      </c>
      <c r="B79" s="20">
        <v>30817</v>
      </c>
      <c r="C79" s="27" t="s">
        <v>54</v>
      </c>
      <c r="D79" s="3" t="s">
        <v>802</v>
      </c>
      <c r="E79" s="20" t="s">
        <v>660</v>
      </c>
      <c r="F79" s="3" t="s">
        <v>661</v>
      </c>
      <c r="G79" s="29" t="s">
        <v>13</v>
      </c>
      <c r="H79" s="19">
        <v>44181</v>
      </c>
      <c r="I79" s="3">
        <v>896</v>
      </c>
      <c r="J79" s="3" t="s">
        <v>58</v>
      </c>
      <c r="K79" s="429" t="s">
        <v>59</v>
      </c>
      <c r="L79" s="452">
        <v>44819</v>
      </c>
      <c r="M79" s="452" t="s">
        <v>60</v>
      </c>
      <c r="N79" s="443">
        <v>44819</v>
      </c>
      <c r="O79" s="33">
        <v>44833</v>
      </c>
      <c r="P79" s="33"/>
      <c r="Q79" s="16" t="s">
        <v>75</v>
      </c>
      <c r="R79" s="16" t="s">
        <v>75</v>
      </c>
      <c r="S79" s="16" t="s">
        <v>62</v>
      </c>
      <c r="T79" s="16" t="s">
        <v>62</v>
      </c>
      <c r="U79" s="16" t="s">
        <v>62</v>
      </c>
      <c r="V79" s="16"/>
      <c r="W79" s="16" t="s">
        <v>62</v>
      </c>
      <c r="X79" s="16" t="s">
        <v>75</v>
      </c>
      <c r="Y79" s="16"/>
      <c r="Z79" s="16"/>
      <c r="AA79" s="16"/>
      <c r="AB79" s="16"/>
      <c r="AC79" s="16"/>
      <c r="AD79" s="276" t="s">
        <v>63</v>
      </c>
      <c r="AE79" s="58"/>
      <c r="AF79" s="58"/>
      <c r="AG79" s="382">
        <v>45430</v>
      </c>
      <c r="AH79" s="382">
        <v>45430</v>
      </c>
      <c r="AI79" s="382">
        <v>45310</v>
      </c>
      <c r="AJ79" s="1269" t="s">
        <v>75</v>
      </c>
      <c r="AK79" s="1265" t="s">
        <v>796</v>
      </c>
      <c r="AL79" s="187"/>
      <c r="AM79" s="1373" t="s">
        <v>801</v>
      </c>
    </row>
    <row r="80" spans="1:41" ht="22.8" hidden="1" x14ac:dyDescent="0.3">
      <c r="A80" s="28">
        <v>79</v>
      </c>
      <c r="B80" s="20">
        <v>30819</v>
      </c>
      <c r="C80" s="27" t="s">
        <v>64</v>
      </c>
      <c r="D80" s="3" t="s">
        <v>798</v>
      </c>
      <c r="E80" s="20" t="s">
        <v>660</v>
      </c>
      <c r="F80" s="3" t="s">
        <v>661</v>
      </c>
      <c r="G80" s="29" t="s">
        <v>13</v>
      </c>
      <c r="H80" s="19">
        <v>44183</v>
      </c>
      <c r="I80" s="3">
        <v>963</v>
      </c>
      <c r="J80" s="3" t="s">
        <v>58</v>
      </c>
      <c r="K80" s="429" t="s">
        <v>59</v>
      </c>
      <c r="L80" s="432" t="s">
        <v>75</v>
      </c>
      <c r="M80" s="452" t="s">
        <v>60</v>
      </c>
      <c r="N80" s="443" t="s">
        <v>63</v>
      </c>
      <c r="O80" s="33"/>
      <c r="P80" s="33">
        <v>44909</v>
      </c>
      <c r="Q80" s="16" t="s">
        <v>75</v>
      </c>
      <c r="R80" s="16" t="s">
        <v>75</v>
      </c>
      <c r="S80" s="16" t="s">
        <v>68</v>
      </c>
      <c r="T80" s="16" t="s">
        <v>68</v>
      </c>
      <c r="U80" s="16" t="s">
        <v>68</v>
      </c>
      <c r="V80" s="16"/>
      <c r="W80" s="16" t="s">
        <v>68</v>
      </c>
      <c r="X80" s="16" t="s">
        <v>75</v>
      </c>
      <c r="Y80" s="16"/>
      <c r="Z80" s="16"/>
      <c r="AA80" s="16"/>
      <c r="AB80" s="16"/>
      <c r="AC80" s="16"/>
      <c r="AD80" s="276" t="s">
        <v>63</v>
      </c>
      <c r="AE80" s="58"/>
      <c r="AF80" s="709">
        <v>45286</v>
      </c>
      <c r="AG80" s="824">
        <v>45453</v>
      </c>
      <c r="AH80" s="824">
        <v>45453</v>
      </c>
      <c r="AI80" s="382">
        <v>45286</v>
      </c>
      <c r="AJ80" s="1270">
        <v>45286</v>
      </c>
      <c r="AK80" s="1374" t="s">
        <v>799</v>
      </c>
      <c r="AL80" s="187"/>
      <c r="AM80" s="1373" t="s">
        <v>797</v>
      </c>
      <c r="AN80" s="381"/>
    </row>
    <row r="81" spans="1:40" ht="22.8" hidden="1" x14ac:dyDescent="0.3">
      <c r="A81" s="28">
        <v>80</v>
      </c>
      <c r="B81" s="20">
        <v>30819</v>
      </c>
      <c r="C81" s="27" t="s">
        <v>54</v>
      </c>
      <c r="D81" s="3" t="s">
        <v>795</v>
      </c>
      <c r="E81" s="20" t="s">
        <v>660</v>
      </c>
      <c r="F81" s="3" t="s">
        <v>661</v>
      </c>
      <c r="G81" s="29" t="s">
        <v>13</v>
      </c>
      <c r="H81" s="19">
        <v>44183</v>
      </c>
      <c r="I81" s="3">
        <v>1005</v>
      </c>
      <c r="J81" s="3" t="s">
        <v>58</v>
      </c>
      <c r="K81" s="429" t="s">
        <v>59</v>
      </c>
      <c r="L81" s="432" t="s">
        <v>75</v>
      </c>
      <c r="M81" s="452" t="s">
        <v>60</v>
      </c>
      <c r="N81" s="443" t="s">
        <v>63</v>
      </c>
      <c r="O81" s="33"/>
      <c r="P81" s="33">
        <v>44909</v>
      </c>
      <c r="Q81" s="16" t="s">
        <v>75</v>
      </c>
      <c r="R81" s="16" t="s">
        <v>75</v>
      </c>
      <c r="S81" s="16" t="s">
        <v>62</v>
      </c>
      <c r="T81" s="16" t="s">
        <v>62</v>
      </c>
      <c r="U81" s="16" t="s">
        <v>62</v>
      </c>
      <c r="V81" s="16"/>
      <c r="W81" s="16" t="s">
        <v>62</v>
      </c>
      <c r="X81" s="16" t="s">
        <v>75</v>
      </c>
      <c r="Y81" s="16"/>
      <c r="Z81" s="16"/>
      <c r="AA81" s="16"/>
      <c r="AB81" s="16"/>
      <c r="AC81" s="16"/>
      <c r="AD81" s="276" t="s">
        <v>63</v>
      </c>
      <c r="AE81" s="58"/>
      <c r="AF81" s="709">
        <v>45286</v>
      </c>
      <c r="AG81" s="824">
        <v>45453</v>
      </c>
      <c r="AH81" s="824">
        <v>45453</v>
      </c>
      <c r="AI81" s="382">
        <v>45286</v>
      </c>
      <c r="AJ81" s="1270">
        <v>45286</v>
      </c>
      <c r="AK81" s="1373" t="s">
        <v>796</v>
      </c>
      <c r="AL81" s="187"/>
      <c r="AM81" s="1373" t="s">
        <v>797</v>
      </c>
    </row>
    <row r="82" spans="1:40" ht="22.8" hidden="1" x14ac:dyDescent="0.3">
      <c r="A82" s="28">
        <v>81</v>
      </c>
      <c r="B82" s="20">
        <v>30820</v>
      </c>
      <c r="C82" s="27" t="s">
        <v>64</v>
      </c>
      <c r="D82" s="20" t="s">
        <v>794</v>
      </c>
      <c r="E82" s="20" t="s">
        <v>660</v>
      </c>
      <c r="F82" s="3" t="s">
        <v>661</v>
      </c>
      <c r="G82" s="29" t="s">
        <v>13</v>
      </c>
      <c r="H82" s="19">
        <v>44191</v>
      </c>
      <c r="I82" s="3">
        <v>962</v>
      </c>
      <c r="J82" s="3" t="s">
        <v>58</v>
      </c>
      <c r="K82" s="429" t="s">
        <v>59</v>
      </c>
      <c r="L82" s="452">
        <v>44841</v>
      </c>
      <c r="M82" s="452" t="s">
        <v>60</v>
      </c>
      <c r="N82" s="443">
        <v>44841</v>
      </c>
      <c r="O82" s="33">
        <v>44841</v>
      </c>
      <c r="P82" s="33"/>
      <c r="Q82" s="16" t="s">
        <v>75</v>
      </c>
      <c r="R82" s="16" t="s">
        <v>75</v>
      </c>
      <c r="S82" s="16" t="s">
        <v>68</v>
      </c>
      <c r="T82" s="16" t="s">
        <v>68</v>
      </c>
      <c r="U82" s="16" t="s">
        <v>68</v>
      </c>
      <c r="V82" s="16" t="s">
        <v>68</v>
      </c>
      <c r="W82" s="16"/>
      <c r="X82" s="16" t="s">
        <v>75</v>
      </c>
      <c r="Y82" s="16"/>
      <c r="Z82" s="16"/>
      <c r="AA82" s="16"/>
      <c r="AB82" s="16"/>
      <c r="AC82" s="16"/>
      <c r="AD82" s="276" t="s">
        <v>63</v>
      </c>
      <c r="AE82" s="276" t="s">
        <v>63</v>
      </c>
      <c r="AF82" s="709">
        <v>45309</v>
      </c>
      <c r="AG82" s="382">
        <v>45472</v>
      </c>
      <c r="AH82" s="382">
        <v>45472</v>
      </c>
      <c r="AI82" s="382">
        <v>45309</v>
      </c>
      <c r="AJ82" s="1270">
        <v>45309</v>
      </c>
      <c r="AK82" s="1375">
        <v>45476</v>
      </c>
      <c r="AL82" s="187"/>
      <c r="AM82" s="231">
        <v>45476</v>
      </c>
    </row>
    <row r="83" spans="1:40" ht="22.8" hidden="1" x14ac:dyDescent="0.3">
      <c r="A83" s="28">
        <v>82</v>
      </c>
      <c r="B83" s="20">
        <v>30820</v>
      </c>
      <c r="C83" s="27" t="s">
        <v>54</v>
      </c>
      <c r="D83" s="20" t="s">
        <v>793</v>
      </c>
      <c r="E83" s="20" t="s">
        <v>660</v>
      </c>
      <c r="F83" s="3" t="s">
        <v>661</v>
      </c>
      <c r="G83" s="29" t="s">
        <v>13</v>
      </c>
      <c r="H83" s="19">
        <v>44191</v>
      </c>
      <c r="I83" s="3">
        <v>1004</v>
      </c>
      <c r="J83" s="3" t="s">
        <v>58</v>
      </c>
      <c r="K83" s="429" t="s">
        <v>59</v>
      </c>
      <c r="L83" s="452">
        <v>44841</v>
      </c>
      <c r="M83" s="452" t="s">
        <v>60</v>
      </c>
      <c r="N83" s="443">
        <v>44841</v>
      </c>
      <c r="O83" s="33">
        <v>44841</v>
      </c>
      <c r="P83" s="33"/>
      <c r="Q83" s="16" t="s">
        <v>75</v>
      </c>
      <c r="R83" s="16" t="s">
        <v>75</v>
      </c>
      <c r="S83" s="16" t="s">
        <v>62</v>
      </c>
      <c r="T83" s="16" t="s">
        <v>62</v>
      </c>
      <c r="U83" s="16" t="s">
        <v>62</v>
      </c>
      <c r="V83" s="16" t="s">
        <v>62</v>
      </c>
      <c r="W83" s="16"/>
      <c r="X83" s="16" t="s">
        <v>75</v>
      </c>
      <c r="Y83" s="16"/>
      <c r="Z83" s="16"/>
      <c r="AA83" s="16"/>
      <c r="AB83" s="16"/>
      <c r="AC83" s="16"/>
      <c r="AD83" s="276" t="s">
        <v>63</v>
      </c>
      <c r="AE83" s="58"/>
      <c r="AF83" s="709">
        <v>45278</v>
      </c>
      <c r="AG83" s="382">
        <v>45472</v>
      </c>
      <c r="AH83" s="382">
        <v>45472</v>
      </c>
      <c r="AI83" s="382">
        <v>45278</v>
      </c>
      <c r="AJ83" s="1270">
        <v>45278</v>
      </c>
      <c r="AK83" s="1375">
        <v>45476</v>
      </c>
      <c r="AL83" s="187"/>
      <c r="AM83" s="231">
        <v>45476</v>
      </c>
    </row>
    <row r="84" spans="1:40" ht="22.8" hidden="1" x14ac:dyDescent="0.3">
      <c r="A84" s="28">
        <v>83</v>
      </c>
      <c r="B84" s="20">
        <v>37096</v>
      </c>
      <c r="C84" s="27" t="s">
        <v>64</v>
      </c>
      <c r="D84" s="3" t="s">
        <v>792</v>
      </c>
      <c r="E84" s="20" t="s">
        <v>660</v>
      </c>
      <c r="F84" s="3" t="s">
        <v>661</v>
      </c>
      <c r="G84" s="29" t="s">
        <v>13</v>
      </c>
      <c r="H84" s="19">
        <v>43520</v>
      </c>
      <c r="I84" s="3">
        <v>286</v>
      </c>
      <c r="J84" s="3" t="s">
        <v>58</v>
      </c>
      <c r="K84" s="429" t="s">
        <v>59</v>
      </c>
      <c r="L84" s="443">
        <v>44139</v>
      </c>
      <c r="M84" s="432" t="s">
        <v>60</v>
      </c>
      <c r="N84" s="443">
        <v>44139</v>
      </c>
      <c r="O84" s="33">
        <v>44326</v>
      </c>
      <c r="P84" s="33"/>
      <c r="Q84" s="16"/>
      <c r="R84" s="16" t="s">
        <v>68</v>
      </c>
      <c r="S84" s="16" t="s">
        <v>68</v>
      </c>
      <c r="T84" s="16" t="s">
        <v>68</v>
      </c>
      <c r="U84" s="37" t="s">
        <v>68</v>
      </c>
      <c r="V84" s="16"/>
      <c r="W84" s="16" t="s">
        <v>68</v>
      </c>
      <c r="X84" s="16"/>
      <c r="Y84" s="16"/>
      <c r="Z84" s="16"/>
      <c r="AA84" s="16"/>
      <c r="AB84" s="16"/>
      <c r="AC84" s="16"/>
      <c r="AD84" s="276" t="s">
        <v>68</v>
      </c>
      <c r="AE84" s="58"/>
      <c r="AF84" s="710"/>
      <c r="AG84" s="382">
        <v>45449</v>
      </c>
      <c r="AH84" s="382">
        <v>45449</v>
      </c>
      <c r="AI84" s="382">
        <v>45142</v>
      </c>
      <c r="AJ84" s="1271">
        <v>45142</v>
      </c>
      <c r="AK84" s="1376">
        <v>45142</v>
      </c>
      <c r="AL84" s="187"/>
      <c r="AM84" s="1377" t="s">
        <v>783</v>
      </c>
      <c r="AN84" s="381"/>
    </row>
    <row r="85" spans="1:40" ht="22.8" hidden="1" x14ac:dyDescent="0.3">
      <c r="A85" s="28">
        <v>84</v>
      </c>
      <c r="B85" s="20">
        <v>37096</v>
      </c>
      <c r="C85" s="27" t="s">
        <v>54</v>
      </c>
      <c r="D85" s="3" t="s">
        <v>790</v>
      </c>
      <c r="E85" s="20" t="s">
        <v>660</v>
      </c>
      <c r="F85" s="3" t="s">
        <v>661</v>
      </c>
      <c r="G85" s="29" t="s">
        <v>13</v>
      </c>
      <c r="H85" s="19">
        <v>43520</v>
      </c>
      <c r="I85" s="3">
        <v>231</v>
      </c>
      <c r="J85" s="3" t="s">
        <v>58</v>
      </c>
      <c r="K85" s="429" t="s">
        <v>59</v>
      </c>
      <c r="L85" s="443">
        <v>44139</v>
      </c>
      <c r="M85" s="432" t="s">
        <v>60</v>
      </c>
      <c r="N85" s="443">
        <v>44139</v>
      </c>
      <c r="O85" s="33">
        <v>44327</v>
      </c>
      <c r="P85" s="33"/>
      <c r="Q85" s="16"/>
      <c r="R85" s="16" t="s">
        <v>62</v>
      </c>
      <c r="S85" s="16" t="s">
        <v>62</v>
      </c>
      <c r="T85" s="16" t="s">
        <v>62</v>
      </c>
      <c r="U85" s="37" t="s">
        <v>62</v>
      </c>
      <c r="V85" s="16"/>
      <c r="W85" s="16" t="s">
        <v>62</v>
      </c>
      <c r="X85" s="16"/>
      <c r="Y85" s="16"/>
      <c r="Z85" s="16"/>
      <c r="AA85" s="16"/>
      <c r="AB85" s="24" t="s">
        <v>791</v>
      </c>
      <c r="AC85" s="16"/>
      <c r="AD85" s="276" t="s">
        <v>62</v>
      </c>
      <c r="AE85" s="58"/>
      <c r="AF85" s="710"/>
      <c r="AG85" s="382">
        <v>45449</v>
      </c>
      <c r="AH85" s="382">
        <v>45449</v>
      </c>
      <c r="AI85" s="382">
        <v>45142</v>
      </c>
      <c r="AJ85" s="1271">
        <v>45142</v>
      </c>
      <c r="AK85" s="1376">
        <v>45142</v>
      </c>
      <c r="AL85" s="187"/>
      <c r="AM85" s="1377" t="s">
        <v>783</v>
      </c>
      <c r="AN85" s="381"/>
    </row>
    <row r="86" spans="1:40" ht="22.8" hidden="1" x14ac:dyDescent="0.3">
      <c r="A86" s="28">
        <v>85</v>
      </c>
      <c r="B86" s="20">
        <v>37097</v>
      </c>
      <c r="C86" s="27" t="s">
        <v>64</v>
      </c>
      <c r="D86" s="3" t="s">
        <v>788</v>
      </c>
      <c r="E86" s="20" t="s">
        <v>660</v>
      </c>
      <c r="F86" s="3" t="s">
        <v>661</v>
      </c>
      <c r="G86" s="29" t="s">
        <v>13</v>
      </c>
      <c r="H86" s="19">
        <v>43523</v>
      </c>
      <c r="I86" s="3">
        <v>298</v>
      </c>
      <c r="J86" s="3" t="s">
        <v>58</v>
      </c>
      <c r="K86" s="429" t="s">
        <v>59</v>
      </c>
      <c r="L86" s="443">
        <v>44761</v>
      </c>
      <c r="M86" s="432" t="s">
        <v>60</v>
      </c>
      <c r="N86" s="443">
        <v>44761</v>
      </c>
      <c r="O86" s="33">
        <v>44853</v>
      </c>
      <c r="P86" s="33"/>
      <c r="Q86" s="16" t="s">
        <v>68</v>
      </c>
      <c r="R86" s="16" t="s">
        <v>68</v>
      </c>
      <c r="S86" s="16" t="s">
        <v>68</v>
      </c>
      <c r="T86" s="16" t="s">
        <v>68</v>
      </c>
      <c r="U86" s="37" t="s">
        <v>68</v>
      </c>
      <c r="V86" s="16"/>
      <c r="W86" s="37" t="s">
        <v>68</v>
      </c>
      <c r="X86" s="16"/>
      <c r="Y86" s="16"/>
      <c r="Z86" s="16"/>
      <c r="AA86" s="16"/>
      <c r="AB86" s="143" t="s">
        <v>789</v>
      </c>
      <c r="AC86" s="16"/>
      <c r="AD86" s="276" t="s">
        <v>63</v>
      </c>
      <c r="AE86" s="24" t="s">
        <v>63</v>
      </c>
      <c r="AF86" s="711">
        <v>45362</v>
      </c>
      <c r="AG86" s="382">
        <v>45464</v>
      </c>
      <c r="AH86" s="382">
        <v>45464</v>
      </c>
      <c r="AI86" s="382">
        <v>45157</v>
      </c>
      <c r="AJ86" s="1271">
        <v>45157</v>
      </c>
      <c r="AK86" s="1376">
        <v>45157</v>
      </c>
      <c r="AL86" s="187"/>
      <c r="AM86" s="187" t="s">
        <v>783</v>
      </c>
    </row>
    <row r="87" spans="1:40" ht="22.8" hidden="1" x14ac:dyDescent="0.3">
      <c r="A87" s="28">
        <v>86</v>
      </c>
      <c r="B87" s="20">
        <v>37097</v>
      </c>
      <c r="C87" s="27" t="s">
        <v>54</v>
      </c>
      <c r="D87" s="3" t="s">
        <v>786</v>
      </c>
      <c r="E87" s="20" t="s">
        <v>660</v>
      </c>
      <c r="F87" s="3" t="s">
        <v>661</v>
      </c>
      <c r="G87" s="29" t="s">
        <v>13</v>
      </c>
      <c r="H87" s="19">
        <v>43523</v>
      </c>
      <c r="I87" s="3">
        <v>299</v>
      </c>
      <c r="J87" s="3" t="s">
        <v>58</v>
      </c>
      <c r="K87" s="429" t="s">
        <v>59</v>
      </c>
      <c r="L87" s="443">
        <v>44761</v>
      </c>
      <c r="M87" s="432" t="s">
        <v>60</v>
      </c>
      <c r="N87" s="443">
        <v>44761</v>
      </c>
      <c r="O87" s="33">
        <v>44853</v>
      </c>
      <c r="P87" s="33"/>
      <c r="Q87" s="16"/>
      <c r="R87" s="16" t="s">
        <v>62</v>
      </c>
      <c r="S87" s="16" t="s">
        <v>62</v>
      </c>
      <c r="T87" s="16" t="s">
        <v>62</v>
      </c>
      <c r="U87" s="37" t="s">
        <v>62</v>
      </c>
      <c r="V87" s="16"/>
      <c r="W87" s="37" t="s">
        <v>62</v>
      </c>
      <c r="X87" s="16"/>
      <c r="Y87" s="16"/>
      <c r="Z87" s="16"/>
      <c r="AA87" s="16"/>
      <c r="AB87" s="143" t="s">
        <v>787</v>
      </c>
      <c r="AC87" s="16"/>
      <c r="AD87" s="276" t="s">
        <v>63</v>
      </c>
      <c r="AE87" s="24" t="s">
        <v>662</v>
      </c>
      <c r="AF87" s="711">
        <v>45362</v>
      </c>
      <c r="AG87" s="382">
        <v>45464</v>
      </c>
      <c r="AH87" s="382">
        <v>45464</v>
      </c>
      <c r="AI87" s="382">
        <v>45157</v>
      </c>
      <c r="AJ87" s="1271">
        <v>45157</v>
      </c>
      <c r="AK87" s="1376">
        <v>45157</v>
      </c>
      <c r="AL87" s="187"/>
      <c r="AM87" s="187" t="s">
        <v>783</v>
      </c>
    </row>
    <row r="88" spans="1:40" ht="22.8" hidden="1" x14ac:dyDescent="0.3">
      <c r="A88" s="28">
        <v>87</v>
      </c>
      <c r="B88" s="20">
        <v>37099</v>
      </c>
      <c r="C88" s="27" t="s">
        <v>64</v>
      </c>
      <c r="D88" s="3" t="s">
        <v>784</v>
      </c>
      <c r="E88" s="20" t="s">
        <v>660</v>
      </c>
      <c r="F88" s="3" t="s">
        <v>661</v>
      </c>
      <c r="G88" s="29" t="s">
        <v>13</v>
      </c>
      <c r="H88" s="19">
        <v>43522</v>
      </c>
      <c r="I88" s="3">
        <v>279</v>
      </c>
      <c r="J88" s="3" t="s">
        <v>58</v>
      </c>
      <c r="K88" s="429" t="s">
        <v>59</v>
      </c>
      <c r="L88" s="443" t="s">
        <v>63</v>
      </c>
      <c r="M88" s="432" t="s">
        <v>60</v>
      </c>
      <c r="N88" s="443" t="s">
        <v>63</v>
      </c>
      <c r="O88" s="33">
        <v>44824</v>
      </c>
      <c r="P88" s="33">
        <v>44889</v>
      </c>
      <c r="Q88" s="16"/>
      <c r="R88" s="16" t="s">
        <v>68</v>
      </c>
      <c r="S88" s="16" t="s">
        <v>68</v>
      </c>
      <c r="T88" s="16" t="s">
        <v>68</v>
      </c>
      <c r="U88" s="16" t="s">
        <v>68</v>
      </c>
      <c r="V88" s="16"/>
      <c r="W88" s="16" t="s">
        <v>68</v>
      </c>
      <c r="X88" s="16"/>
      <c r="Y88" s="16"/>
      <c r="Z88" s="16"/>
      <c r="AA88" s="16"/>
      <c r="AB88" s="24" t="s">
        <v>785</v>
      </c>
      <c r="AC88" s="16"/>
      <c r="AD88" s="16" t="s">
        <v>68</v>
      </c>
      <c r="AE88" s="58"/>
      <c r="AF88" s="710"/>
      <c r="AG88" s="1119" t="s">
        <v>782</v>
      </c>
      <c r="AH88" s="1308" t="s">
        <v>782</v>
      </c>
      <c r="AI88" s="382">
        <v>45220</v>
      </c>
      <c r="AJ88" s="1271">
        <v>45220</v>
      </c>
      <c r="AK88" s="1376">
        <v>45220</v>
      </c>
      <c r="AL88" s="187"/>
      <c r="AM88" s="187" t="s">
        <v>783</v>
      </c>
    </row>
    <row r="89" spans="1:40" ht="22.8" hidden="1" x14ac:dyDescent="0.3">
      <c r="A89" s="28">
        <v>88</v>
      </c>
      <c r="B89" s="20">
        <v>37099</v>
      </c>
      <c r="C89" s="27" t="s">
        <v>54</v>
      </c>
      <c r="D89" s="3" t="s">
        <v>781</v>
      </c>
      <c r="E89" s="20" t="s">
        <v>660</v>
      </c>
      <c r="F89" s="3" t="s">
        <v>661</v>
      </c>
      <c r="G89" s="29" t="s">
        <v>13</v>
      </c>
      <c r="H89" s="19">
        <v>43522</v>
      </c>
      <c r="I89" s="3">
        <v>232</v>
      </c>
      <c r="J89" s="3" t="s">
        <v>58</v>
      </c>
      <c r="K89" s="429" t="s">
        <v>59</v>
      </c>
      <c r="L89" s="443" t="s">
        <v>63</v>
      </c>
      <c r="M89" s="432" t="s">
        <v>60</v>
      </c>
      <c r="N89" s="443" t="s">
        <v>63</v>
      </c>
      <c r="O89" s="33">
        <v>44824</v>
      </c>
      <c r="P89" s="33">
        <v>44889</v>
      </c>
      <c r="Q89" s="16"/>
      <c r="R89" s="16" t="s">
        <v>62</v>
      </c>
      <c r="S89" s="16" t="s">
        <v>62</v>
      </c>
      <c r="T89" s="16" t="s">
        <v>62</v>
      </c>
      <c r="U89" s="51" t="s">
        <v>62</v>
      </c>
      <c r="V89" s="51" t="s">
        <v>62</v>
      </c>
      <c r="W89" s="16" t="s">
        <v>62</v>
      </c>
      <c r="X89" s="16"/>
      <c r="Y89" s="16"/>
      <c r="Z89" s="16"/>
      <c r="AA89" s="16"/>
      <c r="AB89" s="16"/>
      <c r="AC89" s="16"/>
      <c r="AD89" s="16" t="s">
        <v>62</v>
      </c>
      <c r="AE89" s="58"/>
      <c r="AF89" s="710"/>
      <c r="AG89" s="1120" t="s">
        <v>782</v>
      </c>
      <c r="AH89" s="1309" t="s">
        <v>782</v>
      </c>
      <c r="AI89" s="382">
        <v>45227</v>
      </c>
      <c r="AJ89" s="1271">
        <v>45227</v>
      </c>
      <c r="AK89" s="1376">
        <v>45227</v>
      </c>
      <c r="AL89" s="187"/>
      <c r="AM89" s="187" t="s">
        <v>783</v>
      </c>
    </row>
    <row r="90" spans="1:40" ht="22.8" hidden="1" x14ac:dyDescent="0.3">
      <c r="A90" s="28">
        <v>89</v>
      </c>
      <c r="B90" s="20">
        <v>37100</v>
      </c>
      <c r="C90" s="27" t="s">
        <v>64</v>
      </c>
      <c r="D90" s="3" t="s">
        <v>780</v>
      </c>
      <c r="E90" s="20" t="s">
        <v>660</v>
      </c>
      <c r="F90" s="3" t="s">
        <v>661</v>
      </c>
      <c r="G90" s="29" t="s">
        <v>13</v>
      </c>
      <c r="H90" s="19">
        <v>43522</v>
      </c>
      <c r="I90" s="3">
        <v>238</v>
      </c>
      <c r="J90" s="3" t="s">
        <v>58</v>
      </c>
      <c r="K90" s="429" t="s">
        <v>59</v>
      </c>
      <c r="L90" s="443">
        <v>44816</v>
      </c>
      <c r="M90" s="432" t="s">
        <v>60</v>
      </c>
      <c r="N90" s="443">
        <v>44172</v>
      </c>
      <c r="O90" s="33">
        <v>44824</v>
      </c>
      <c r="P90" s="33">
        <v>44910</v>
      </c>
      <c r="Q90" s="16"/>
      <c r="R90" s="16" t="s">
        <v>68</v>
      </c>
      <c r="S90" s="16" t="s">
        <v>68</v>
      </c>
      <c r="T90" s="16" t="s">
        <v>68</v>
      </c>
      <c r="U90" s="16" t="s">
        <v>68</v>
      </c>
      <c r="V90" s="16"/>
      <c r="W90" s="16" t="s">
        <v>710</v>
      </c>
      <c r="X90" s="16"/>
      <c r="Y90" s="16"/>
      <c r="Z90" s="16"/>
      <c r="AA90" s="16"/>
      <c r="AB90" s="16"/>
      <c r="AC90" s="16"/>
      <c r="AD90" s="276" t="s">
        <v>63</v>
      </c>
      <c r="AE90" s="58"/>
      <c r="AF90" s="710">
        <v>45308</v>
      </c>
      <c r="AG90" s="1121" t="s">
        <v>779</v>
      </c>
      <c r="AH90" s="1310" t="s">
        <v>779</v>
      </c>
      <c r="AI90" s="382">
        <v>45096</v>
      </c>
      <c r="AJ90" s="1271">
        <v>45096</v>
      </c>
      <c r="AK90" s="1376">
        <v>45096</v>
      </c>
      <c r="AL90" s="187"/>
      <c r="AM90" s="1265" t="s">
        <v>662</v>
      </c>
    </row>
    <row r="91" spans="1:40" ht="22.8" hidden="1" x14ac:dyDescent="0.3">
      <c r="A91" s="28">
        <v>90</v>
      </c>
      <c r="B91" s="20">
        <v>37100</v>
      </c>
      <c r="C91" s="27" t="s">
        <v>54</v>
      </c>
      <c r="D91" s="3" t="s">
        <v>778</v>
      </c>
      <c r="E91" s="20" t="s">
        <v>660</v>
      </c>
      <c r="F91" s="3" t="s">
        <v>661</v>
      </c>
      <c r="G91" s="29" t="s">
        <v>13</v>
      </c>
      <c r="H91" s="19">
        <v>43522</v>
      </c>
      <c r="I91" s="3">
        <v>239</v>
      </c>
      <c r="J91" s="3" t="s">
        <v>58</v>
      </c>
      <c r="K91" s="429" t="s">
        <v>59</v>
      </c>
      <c r="L91" s="443">
        <v>44816</v>
      </c>
      <c r="M91" s="432" t="s">
        <v>60</v>
      </c>
      <c r="N91" s="443">
        <v>44172</v>
      </c>
      <c r="O91" s="33">
        <v>44824</v>
      </c>
      <c r="P91" s="33">
        <v>44910</v>
      </c>
      <c r="Q91" s="16"/>
      <c r="R91" s="16" t="s">
        <v>68</v>
      </c>
      <c r="S91" s="16" t="s">
        <v>62</v>
      </c>
      <c r="T91" s="16" t="s">
        <v>62</v>
      </c>
      <c r="U91" s="51" t="s">
        <v>62</v>
      </c>
      <c r="V91" s="16"/>
      <c r="W91" s="16" t="s">
        <v>689</v>
      </c>
      <c r="X91" s="16"/>
      <c r="Y91" s="16"/>
      <c r="Z91" s="16"/>
      <c r="AA91" s="16"/>
      <c r="AB91" s="16"/>
      <c r="AC91" s="16"/>
      <c r="AD91" s="276" t="s">
        <v>63</v>
      </c>
      <c r="AE91" s="58"/>
      <c r="AF91" s="710">
        <v>45308</v>
      </c>
      <c r="AG91" s="1122" t="s">
        <v>779</v>
      </c>
      <c r="AH91" s="1311" t="s">
        <v>779</v>
      </c>
      <c r="AI91" s="382">
        <v>45096</v>
      </c>
      <c r="AJ91" s="1271">
        <v>45096</v>
      </c>
      <c r="AK91" s="1376">
        <v>45096</v>
      </c>
      <c r="AL91" s="187"/>
      <c r="AM91" s="1265" t="s">
        <v>662</v>
      </c>
    </row>
    <row r="92" spans="1:40" ht="22.8" hidden="1" x14ac:dyDescent="0.3">
      <c r="A92" s="28">
        <v>91</v>
      </c>
      <c r="B92" s="20">
        <v>37102</v>
      </c>
      <c r="C92" s="27" t="s">
        <v>64</v>
      </c>
      <c r="D92" s="3" t="s">
        <v>775</v>
      </c>
      <c r="E92" s="20" t="s">
        <v>660</v>
      </c>
      <c r="F92" s="3" t="s">
        <v>661</v>
      </c>
      <c r="G92" s="29" t="s">
        <v>13</v>
      </c>
      <c r="H92" s="19">
        <v>43523</v>
      </c>
      <c r="I92" s="3">
        <v>300</v>
      </c>
      <c r="J92" s="3" t="s">
        <v>58</v>
      </c>
      <c r="K92" s="429" t="s">
        <v>59</v>
      </c>
      <c r="L92" s="443">
        <v>44158</v>
      </c>
      <c r="M92" s="432" t="s">
        <v>60</v>
      </c>
      <c r="N92" s="443">
        <v>44158</v>
      </c>
      <c r="O92" s="33">
        <v>44812</v>
      </c>
      <c r="P92" s="33"/>
      <c r="Q92" s="16"/>
      <c r="R92" s="16" t="s">
        <v>68</v>
      </c>
      <c r="S92" s="16" t="s">
        <v>68</v>
      </c>
      <c r="T92" s="16" t="s">
        <v>68</v>
      </c>
      <c r="U92" s="16" t="s">
        <v>68</v>
      </c>
      <c r="V92" s="16"/>
      <c r="W92" s="16" t="s">
        <v>68</v>
      </c>
      <c r="X92" s="16" t="s">
        <v>75</v>
      </c>
      <c r="Y92" s="16"/>
      <c r="Z92" s="16"/>
      <c r="AA92" s="16"/>
      <c r="AB92" s="24" t="s">
        <v>776</v>
      </c>
      <c r="AC92" s="16"/>
      <c r="AD92" s="276" t="s">
        <v>63</v>
      </c>
      <c r="AE92" s="58"/>
      <c r="AF92" s="710">
        <v>45281</v>
      </c>
      <c r="AG92" s="711">
        <v>45480</v>
      </c>
      <c r="AH92" s="711">
        <v>45480</v>
      </c>
      <c r="AI92" s="382">
        <v>45281</v>
      </c>
      <c r="AJ92" s="1271">
        <v>45281</v>
      </c>
      <c r="AK92" s="1376">
        <v>45480</v>
      </c>
      <c r="AL92" s="187"/>
      <c r="AM92" s="1265" t="s">
        <v>777</v>
      </c>
    </row>
    <row r="93" spans="1:40" ht="22.8" hidden="1" x14ac:dyDescent="0.3">
      <c r="A93" s="28">
        <v>92</v>
      </c>
      <c r="B93" s="20">
        <v>37102</v>
      </c>
      <c r="C93" s="27" t="s">
        <v>54</v>
      </c>
      <c r="D93" s="3" t="s">
        <v>773</v>
      </c>
      <c r="E93" s="20" t="s">
        <v>660</v>
      </c>
      <c r="F93" s="3" t="s">
        <v>661</v>
      </c>
      <c r="G93" s="29" t="s">
        <v>13</v>
      </c>
      <c r="H93" s="19">
        <v>43523</v>
      </c>
      <c r="I93" s="3">
        <v>301</v>
      </c>
      <c r="J93" s="3" t="s">
        <v>58</v>
      </c>
      <c r="K93" s="429" t="s">
        <v>59</v>
      </c>
      <c r="L93" s="443">
        <v>44158</v>
      </c>
      <c r="M93" s="432" t="s">
        <v>60</v>
      </c>
      <c r="N93" s="443">
        <v>44448</v>
      </c>
      <c r="O93" s="33">
        <v>44812</v>
      </c>
      <c r="P93" s="33"/>
      <c r="Q93" s="16"/>
      <c r="R93" s="16" t="s">
        <v>68</v>
      </c>
      <c r="S93" s="16" t="s">
        <v>62</v>
      </c>
      <c r="T93" s="16" t="s">
        <v>62</v>
      </c>
      <c r="U93" s="51" t="s">
        <v>62</v>
      </c>
      <c r="V93" s="16"/>
      <c r="W93" s="16" t="s">
        <v>62</v>
      </c>
      <c r="X93" s="16" t="s">
        <v>75</v>
      </c>
      <c r="Y93" s="16"/>
      <c r="Z93" s="16"/>
      <c r="AA93" s="16"/>
      <c r="AB93" s="24" t="s">
        <v>774</v>
      </c>
      <c r="AC93" s="16"/>
      <c r="AD93" s="276" t="s">
        <v>63</v>
      </c>
      <c r="AE93" s="58"/>
      <c r="AF93" s="710">
        <v>45281</v>
      </c>
      <c r="AG93" s="711">
        <v>45480</v>
      </c>
      <c r="AH93" s="711">
        <v>45480</v>
      </c>
      <c r="AI93" s="382">
        <v>45281</v>
      </c>
      <c r="AJ93" s="1271">
        <v>45281</v>
      </c>
      <c r="AK93" s="1376">
        <v>45480</v>
      </c>
      <c r="AL93" s="187"/>
      <c r="AM93" s="231">
        <v>45480</v>
      </c>
    </row>
    <row r="94" spans="1:40" ht="22.8" hidden="1" x14ac:dyDescent="0.3">
      <c r="A94" s="28">
        <v>93</v>
      </c>
      <c r="B94" s="20">
        <v>37105</v>
      </c>
      <c r="C94" s="27" t="s">
        <v>64</v>
      </c>
      <c r="D94" s="3" t="s">
        <v>771</v>
      </c>
      <c r="E94" s="20" t="s">
        <v>660</v>
      </c>
      <c r="F94" s="3" t="s">
        <v>661</v>
      </c>
      <c r="G94" s="29" t="s">
        <v>13</v>
      </c>
      <c r="H94" s="19">
        <v>43523</v>
      </c>
      <c r="I94" s="3">
        <v>297</v>
      </c>
      <c r="J94" s="3" t="s">
        <v>58</v>
      </c>
      <c r="K94" s="429" t="s">
        <v>59</v>
      </c>
      <c r="L94" s="443" t="s">
        <v>63</v>
      </c>
      <c r="M94" s="432" t="s">
        <v>60</v>
      </c>
      <c r="N94" s="443" t="s">
        <v>63</v>
      </c>
      <c r="O94" s="33">
        <v>44305</v>
      </c>
      <c r="P94" s="33"/>
      <c r="Q94" s="16"/>
      <c r="R94" s="16" t="s">
        <v>68</v>
      </c>
      <c r="S94" s="16" t="s">
        <v>68</v>
      </c>
      <c r="T94" s="16" t="s">
        <v>68</v>
      </c>
      <c r="U94" s="16" t="s">
        <v>68</v>
      </c>
      <c r="V94" s="16"/>
      <c r="W94" s="16"/>
      <c r="X94" s="16"/>
      <c r="Y94" s="16"/>
      <c r="Z94" s="16"/>
      <c r="AA94" s="16"/>
      <c r="AB94" s="143" t="s">
        <v>772</v>
      </c>
      <c r="AC94" s="16"/>
      <c r="AD94" s="276" t="s">
        <v>63</v>
      </c>
      <c r="AE94" s="58"/>
      <c r="AF94" s="710"/>
      <c r="AG94" s="382">
        <v>45451</v>
      </c>
      <c r="AH94" s="382">
        <v>45451</v>
      </c>
      <c r="AI94" s="382">
        <v>45281</v>
      </c>
      <c r="AJ94" s="1271" t="s">
        <v>63</v>
      </c>
      <c r="AK94" s="1376">
        <v>45238</v>
      </c>
      <c r="AL94" s="187"/>
      <c r="AM94" s="231">
        <v>45451</v>
      </c>
      <c r="AN94" s="381"/>
    </row>
    <row r="95" spans="1:40" ht="22.8" hidden="1" x14ac:dyDescent="0.3">
      <c r="A95" s="28">
        <v>94</v>
      </c>
      <c r="B95" s="20">
        <v>37105</v>
      </c>
      <c r="C95" s="27" t="s">
        <v>54</v>
      </c>
      <c r="D95" s="3" t="s">
        <v>769</v>
      </c>
      <c r="E95" s="20" t="s">
        <v>660</v>
      </c>
      <c r="F95" s="3" t="s">
        <v>661</v>
      </c>
      <c r="G95" s="29" t="s">
        <v>13</v>
      </c>
      <c r="H95" s="19">
        <v>43523</v>
      </c>
      <c r="I95" s="3">
        <v>212</v>
      </c>
      <c r="J95" s="3" t="s">
        <v>58</v>
      </c>
      <c r="K95" s="429" t="s">
        <v>59</v>
      </c>
      <c r="L95" s="443" t="s">
        <v>63</v>
      </c>
      <c r="M95" s="432" t="s">
        <v>60</v>
      </c>
      <c r="N95" s="443" t="s">
        <v>63</v>
      </c>
      <c r="O95" s="33">
        <v>44305</v>
      </c>
      <c r="P95" s="33"/>
      <c r="Q95" s="16"/>
      <c r="R95" s="16" t="s">
        <v>62</v>
      </c>
      <c r="S95" s="16" t="s">
        <v>62</v>
      </c>
      <c r="T95" s="16" t="s">
        <v>62</v>
      </c>
      <c r="U95" s="51" t="s">
        <v>62</v>
      </c>
      <c r="V95" s="16"/>
      <c r="W95" s="16"/>
      <c r="X95" s="16"/>
      <c r="Y95" s="16"/>
      <c r="Z95" s="16"/>
      <c r="AA95" s="16"/>
      <c r="AB95" s="143" t="s">
        <v>770</v>
      </c>
      <c r="AC95" s="16"/>
      <c r="AD95" s="276" t="s">
        <v>63</v>
      </c>
      <c r="AE95" s="58"/>
      <c r="AF95" s="710"/>
      <c r="AG95" s="382">
        <v>45451</v>
      </c>
      <c r="AH95" s="382">
        <v>45451</v>
      </c>
      <c r="AI95" s="382">
        <v>45316</v>
      </c>
      <c r="AJ95" s="1271" t="s">
        <v>63</v>
      </c>
      <c r="AK95" s="1376">
        <v>45239</v>
      </c>
      <c r="AL95" s="187"/>
      <c r="AM95" s="231">
        <v>45451</v>
      </c>
    </row>
    <row r="96" spans="1:40" ht="22.8" hidden="1" x14ac:dyDescent="0.3">
      <c r="A96" s="28">
        <v>95</v>
      </c>
      <c r="B96" s="20">
        <v>37123</v>
      </c>
      <c r="C96" s="27" t="s">
        <v>64</v>
      </c>
      <c r="D96" s="3" t="s">
        <v>767</v>
      </c>
      <c r="E96" s="20" t="s">
        <v>660</v>
      </c>
      <c r="F96" s="3" t="s">
        <v>661</v>
      </c>
      <c r="G96" s="29" t="s">
        <v>13</v>
      </c>
      <c r="H96" s="19">
        <v>43547</v>
      </c>
      <c r="I96" s="3">
        <v>357</v>
      </c>
      <c r="J96" s="3" t="s">
        <v>58</v>
      </c>
      <c r="K96" s="429" t="s">
        <v>59</v>
      </c>
      <c r="L96" s="443">
        <v>44811</v>
      </c>
      <c r="M96" s="432" t="s">
        <v>60</v>
      </c>
      <c r="N96" s="443">
        <v>44811</v>
      </c>
      <c r="O96" s="33"/>
      <c r="P96" s="33"/>
      <c r="Q96" s="16"/>
      <c r="R96" s="16" t="s">
        <v>68</v>
      </c>
      <c r="S96" s="16" t="s">
        <v>68</v>
      </c>
      <c r="T96" s="16" t="s">
        <v>68</v>
      </c>
      <c r="U96" s="16" t="s">
        <v>68</v>
      </c>
      <c r="V96" s="16"/>
      <c r="W96" s="16" t="s">
        <v>68</v>
      </c>
      <c r="X96" s="16"/>
      <c r="Y96" s="16"/>
      <c r="Z96" s="16"/>
      <c r="AA96" s="16"/>
      <c r="AB96" s="24" t="s">
        <v>768</v>
      </c>
      <c r="AC96" s="16"/>
      <c r="AD96" s="276" t="s">
        <v>63</v>
      </c>
      <c r="AE96" s="276" t="s">
        <v>662</v>
      </c>
      <c r="AF96" s="712"/>
      <c r="AG96" s="382">
        <v>45465</v>
      </c>
      <c r="AH96" s="382">
        <v>45465</v>
      </c>
      <c r="AI96" s="382">
        <v>45316</v>
      </c>
      <c r="AJ96" s="1271">
        <v>45252</v>
      </c>
      <c r="AK96" s="1376">
        <v>45252</v>
      </c>
      <c r="AL96" s="187"/>
      <c r="AM96" s="231">
        <v>45464</v>
      </c>
      <c r="AN96" s="381"/>
    </row>
    <row r="97" spans="1:40" ht="22.8" hidden="1" x14ac:dyDescent="0.3">
      <c r="A97" s="28">
        <v>96</v>
      </c>
      <c r="B97" s="20">
        <v>37123</v>
      </c>
      <c r="C97" s="27" t="s">
        <v>54</v>
      </c>
      <c r="D97" s="3" t="s">
        <v>765</v>
      </c>
      <c r="E97" s="20" t="s">
        <v>660</v>
      </c>
      <c r="F97" s="3" t="s">
        <v>661</v>
      </c>
      <c r="G97" s="29" t="s">
        <v>13</v>
      </c>
      <c r="H97" s="19">
        <v>43547</v>
      </c>
      <c r="I97" s="3">
        <v>326</v>
      </c>
      <c r="J97" s="3" t="s">
        <v>58</v>
      </c>
      <c r="K97" s="429" t="s">
        <v>59</v>
      </c>
      <c r="L97" s="443">
        <v>44811</v>
      </c>
      <c r="M97" s="432" t="s">
        <v>60</v>
      </c>
      <c r="N97" s="443">
        <v>44811</v>
      </c>
      <c r="O97" s="33">
        <v>44292</v>
      </c>
      <c r="P97" s="33"/>
      <c r="Q97" s="16"/>
      <c r="R97" s="16" t="s">
        <v>62</v>
      </c>
      <c r="S97" s="16" t="s">
        <v>62</v>
      </c>
      <c r="T97" s="16" t="s">
        <v>62</v>
      </c>
      <c r="U97" s="51" t="s">
        <v>62</v>
      </c>
      <c r="V97" s="16"/>
      <c r="W97" s="51" t="s">
        <v>62</v>
      </c>
      <c r="X97" s="16"/>
      <c r="Y97" s="16"/>
      <c r="Z97" s="16"/>
      <c r="AA97" s="16"/>
      <c r="AB97" s="143" t="s">
        <v>766</v>
      </c>
      <c r="AC97" s="16"/>
      <c r="AD97" s="276" t="s">
        <v>63</v>
      </c>
      <c r="AE97" s="276" t="s">
        <v>63</v>
      </c>
      <c r="AF97" s="709">
        <v>45258</v>
      </c>
      <c r="AG97" s="382">
        <v>45465</v>
      </c>
      <c r="AH97" s="382">
        <v>45465</v>
      </c>
      <c r="AI97" s="382">
        <v>45258</v>
      </c>
      <c r="AJ97" s="1270">
        <v>45258</v>
      </c>
      <c r="AK97" s="1378">
        <v>45258</v>
      </c>
      <c r="AL97" s="187"/>
      <c r="AM97" s="231">
        <v>45464</v>
      </c>
    </row>
    <row r="98" spans="1:40" ht="22.8" hidden="1" x14ac:dyDescent="0.3">
      <c r="A98" s="28">
        <v>97</v>
      </c>
      <c r="B98" s="20">
        <v>37125</v>
      </c>
      <c r="C98" s="27" t="s">
        <v>64</v>
      </c>
      <c r="D98" s="3" t="s">
        <v>764</v>
      </c>
      <c r="E98" s="20" t="s">
        <v>660</v>
      </c>
      <c r="F98" s="3" t="s">
        <v>661</v>
      </c>
      <c r="G98" s="29" t="s">
        <v>13</v>
      </c>
      <c r="H98" s="19">
        <v>43549</v>
      </c>
      <c r="I98" s="3">
        <v>340</v>
      </c>
      <c r="J98" s="3" t="s">
        <v>58</v>
      </c>
      <c r="K98" s="429" t="s">
        <v>59</v>
      </c>
      <c r="L98" s="443">
        <v>44137</v>
      </c>
      <c r="M98" s="432" t="s">
        <v>60</v>
      </c>
      <c r="N98" s="443">
        <v>44137</v>
      </c>
      <c r="O98" s="33">
        <v>44813</v>
      </c>
      <c r="P98" s="33"/>
      <c r="Q98" s="16"/>
      <c r="R98" s="16" t="s">
        <v>68</v>
      </c>
      <c r="S98" s="16" t="s">
        <v>68</v>
      </c>
      <c r="T98" s="16" t="s">
        <v>68</v>
      </c>
      <c r="U98" s="16" t="s">
        <v>68</v>
      </c>
      <c r="V98" s="16"/>
      <c r="W98" s="16" t="s">
        <v>68</v>
      </c>
      <c r="X98" s="16"/>
      <c r="Y98" s="16"/>
      <c r="Z98" s="16"/>
      <c r="AA98" s="16"/>
      <c r="AB98" s="16"/>
      <c r="AC98" s="16"/>
      <c r="AD98" s="276" t="s">
        <v>63</v>
      </c>
      <c r="AE98" s="58"/>
      <c r="AF98" s="710">
        <v>45111</v>
      </c>
      <c r="AG98" s="382">
        <v>45471</v>
      </c>
      <c r="AH98" s="382">
        <v>45471</v>
      </c>
      <c r="AI98" s="382">
        <v>45111</v>
      </c>
      <c r="AJ98" s="1271">
        <v>45111</v>
      </c>
      <c r="AK98" s="1376">
        <v>45111</v>
      </c>
      <c r="AL98" s="187"/>
      <c r="AM98" s="1373" t="s">
        <v>763</v>
      </c>
    </row>
    <row r="99" spans="1:40" ht="22.8" hidden="1" x14ac:dyDescent="0.3">
      <c r="A99" s="28">
        <v>98</v>
      </c>
      <c r="B99" s="20">
        <v>37125</v>
      </c>
      <c r="C99" s="27" t="s">
        <v>54</v>
      </c>
      <c r="D99" s="3" t="s">
        <v>761</v>
      </c>
      <c r="E99" s="20" t="s">
        <v>660</v>
      </c>
      <c r="F99" s="3" t="s">
        <v>661</v>
      </c>
      <c r="G99" s="29" t="s">
        <v>13</v>
      </c>
      <c r="H99" s="19">
        <v>43549</v>
      </c>
      <c r="I99" s="3">
        <v>354</v>
      </c>
      <c r="J99" s="3" t="s">
        <v>58</v>
      </c>
      <c r="K99" s="429" t="s">
        <v>59</v>
      </c>
      <c r="L99" s="443" t="s">
        <v>63</v>
      </c>
      <c r="M99" s="432" t="s">
        <v>60</v>
      </c>
      <c r="N99" s="443" t="s">
        <v>63</v>
      </c>
      <c r="O99" s="33">
        <v>44813</v>
      </c>
      <c r="P99" s="33"/>
      <c r="Q99" s="16"/>
      <c r="R99" s="16" t="s">
        <v>68</v>
      </c>
      <c r="S99" s="16" t="s">
        <v>62</v>
      </c>
      <c r="T99" s="16" t="s">
        <v>62</v>
      </c>
      <c r="U99" s="51" t="s">
        <v>62</v>
      </c>
      <c r="V99" s="16"/>
      <c r="W99" s="16" t="s">
        <v>62</v>
      </c>
      <c r="X99" s="16"/>
      <c r="Y99" s="16"/>
      <c r="Z99" s="16"/>
      <c r="AA99" s="16"/>
      <c r="AB99" s="24" t="s">
        <v>762</v>
      </c>
      <c r="AC99" s="16"/>
      <c r="AD99" s="276" t="s">
        <v>63</v>
      </c>
      <c r="AE99" s="58"/>
      <c r="AF99" s="710">
        <v>45111</v>
      </c>
      <c r="AG99" s="382">
        <v>45471</v>
      </c>
      <c r="AH99" s="382">
        <v>45471</v>
      </c>
      <c r="AI99" s="382">
        <v>45111</v>
      </c>
      <c r="AJ99" s="1271">
        <v>45111</v>
      </c>
      <c r="AK99" s="1376">
        <v>45111</v>
      </c>
      <c r="AL99" s="187"/>
      <c r="AM99" s="1373" t="s">
        <v>763</v>
      </c>
    </row>
    <row r="100" spans="1:40" ht="22.8" hidden="1" x14ac:dyDescent="0.3">
      <c r="A100" s="28">
        <v>99</v>
      </c>
      <c r="B100" s="20">
        <v>37129</v>
      </c>
      <c r="C100" s="27" t="s">
        <v>64</v>
      </c>
      <c r="D100" s="3" t="s">
        <v>760</v>
      </c>
      <c r="E100" s="20" t="s">
        <v>660</v>
      </c>
      <c r="F100" s="3" t="s">
        <v>661</v>
      </c>
      <c r="G100" s="29" t="s">
        <v>13</v>
      </c>
      <c r="H100" s="19">
        <v>43551</v>
      </c>
      <c r="I100" s="3">
        <v>385</v>
      </c>
      <c r="J100" s="3" t="s">
        <v>58</v>
      </c>
      <c r="K100" s="429" t="s">
        <v>59</v>
      </c>
      <c r="L100" s="443" t="s">
        <v>63</v>
      </c>
      <c r="M100" s="432" t="s">
        <v>722</v>
      </c>
      <c r="N100" s="443"/>
      <c r="O100" s="33"/>
      <c r="P100" s="33"/>
      <c r="Q100" s="16"/>
      <c r="R100" s="16" t="s">
        <v>68</v>
      </c>
      <c r="S100" s="16" t="s">
        <v>68</v>
      </c>
      <c r="T100" s="16" t="s">
        <v>68</v>
      </c>
      <c r="U100" s="16" t="s">
        <v>68</v>
      </c>
      <c r="V100" s="16"/>
      <c r="W100" s="16"/>
      <c r="X100" s="16"/>
      <c r="Y100" s="16"/>
      <c r="Z100" s="16"/>
      <c r="AA100" s="16"/>
      <c r="AB100" s="386">
        <v>44219</v>
      </c>
      <c r="AC100" s="16"/>
      <c r="AD100" s="276" t="s">
        <v>63</v>
      </c>
      <c r="AE100" s="58"/>
      <c r="AF100" s="710">
        <v>45118</v>
      </c>
      <c r="AG100" s="382">
        <v>45432</v>
      </c>
      <c r="AH100" s="382">
        <v>45432</v>
      </c>
      <c r="AI100" s="382">
        <v>45118</v>
      </c>
      <c r="AJ100" s="1271">
        <v>45118</v>
      </c>
      <c r="AK100" s="1376">
        <v>45484</v>
      </c>
      <c r="AL100" s="187"/>
      <c r="AM100" s="187" t="s">
        <v>662</v>
      </c>
      <c r="AN100" s="381"/>
    </row>
    <row r="101" spans="1:40" ht="22.8" hidden="1" x14ac:dyDescent="0.3">
      <c r="A101" s="28">
        <v>100</v>
      </c>
      <c r="B101" s="20">
        <v>37129</v>
      </c>
      <c r="C101" s="27" t="s">
        <v>54</v>
      </c>
      <c r="D101" s="3" t="s">
        <v>758</v>
      </c>
      <c r="E101" s="20" t="s">
        <v>660</v>
      </c>
      <c r="F101" s="3" t="s">
        <v>661</v>
      </c>
      <c r="G101" s="29" t="s">
        <v>13</v>
      </c>
      <c r="H101" s="19">
        <v>43551</v>
      </c>
      <c r="I101" s="3">
        <v>384</v>
      </c>
      <c r="J101" s="3" t="s">
        <v>58</v>
      </c>
      <c r="K101" s="429" t="s">
        <v>59</v>
      </c>
      <c r="L101" s="443" t="s">
        <v>63</v>
      </c>
      <c r="M101" s="432" t="s">
        <v>722</v>
      </c>
      <c r="N101" s="443"/>
      <c r="O101" s="33"/>
      <c r="P101" s="33"/>
      <c r="Q101" s="16"/>
      <c r="R101" s="16" t="s">
        <v>62</v>
      </c>
      <c r="S101" s="16" t="s">
        <v>62</v>
      </c>
      <c r="T101" s="16" t="s">
        <v>62</v>
      </c>
      <c r="U101" s="51" t="s">
        <v>62</v>
      </c>
      <c r="V101" s="16"/>
      <c r="W101" s="16" t="s">
        <v>62</v>
      </c>
      <c r="X101" s="16"/>
      <c r="Y101" s="16"/>
      <c r="Z101" s="16"/>
      <c r="AA101" s="16"/>
      <c r="AB101" s="1117" t="s">
        <v>759</v>
      </c>
      <c r="AC101" s="16"/>
      <c r="AD101" s="276" t="s">
        <v>63</v>
      </c>
      <c r="AE101" s="58"/>
      <c r="AF101" s="710">
        <v>45118</v>
      </c>
      <c r="AG101" s="382">
        <v>45432</v>
      </c>
      <c r="AH101" s="382">
        <v>45432</v>
      </c>
      <c r="AI101" s="382">
        <v>45118</v>
      </c>
      <c r="AJ101" s="1271">
        <v>45118</v>
      </c>
      <c r="AK101" s="1376">
        <v>45484</v>
      </c>
      <c r="AL101" s="187"/>
      <c r="AM101" s="187" t="s">
        <v>662</v>
      </c>
      <c r="AN101" s="381"/>
    </row>
    <row r="102" spans="1:40" ht="22.8" hidden="1" x14ac:dyDescent="0.3">
      <c r="A102" s="28">
        <v>101</v>
      </c>
      <c r="B102" s="20">
        <v>37130</v>
      </c>
      <c r="C102" s="27" t="s">
        <v>64</v>
      </c>
      <c r="D102" s="3" t="s">
        <v>757</v>
      </c>
      <c r="E102" s="20" t="s">
        <v>660</v>
      </c>
      <c r="F102" s="3" t="s">
        <v>661</v>
      </c>
      <c r="G102" s="29" t="s">
        <v>13</v>
      </c>
      <c r="H102" s="19">
        <v>43552</v>
      </c>
      <c r="I102" s="3">
        <v>416</v>
      </c>
      <c r="J102" s="3" t="s">
        <v>58</v>
      </c>
      <c r="K102" s="429" t="s">
        <v>59</v>
      </c>
      <c r="L102" s="443" t="s">
        <v>63</v>
      </c>
      <c r="M102" s="432" t="s">
        <v>722</v>
      </c>
      <c r="N102" s="443">
        <v>44833</v>
      </c>
      <c r="O102" s="33">
        <v>44833</v>
      </c>
      <c r="P102" s="33"/>
      <c r="Q102" s="16"/>
      <c r="R102" s="16" t="s">
        <v>68</v>
      </c>
      <c r="S102" s="16" t="s">
        <v>68</v>
      </c>
      <c r="T102" s="16" t="s">
        <v>68</v>
      </c>
      <c r="U102" s="16" t="s">
        <v>68</v>
      </c>
      <c r="V102" s="16"/>
      <c r="W102" s="16" t="s">
        <v>68</v>
      </c>
      <c r="X102" s="16"/>
      <c r="Y102" s="16"/>
      <c r="Z102" s="16"/>
      <c r="AA102" s="16"/>
      <c r="AB102" s="16"/>
      <c r="AC102" s="16"/>
      <c r="AD102" s="276" t="s">
        <v>63</v>
      </c>
      <c r="AE102" s="58"/>
      <c r="AF102" s="709">
        <v>45231</v>
      </c>
      <c r="AG102" s="382">
        <v>45447</v>
      </c>
      <c r="AH102" s="382">
        <v>45447</v>
      </c>
      <c r="AI102" s="382">
        <v>45231</v>
      </c>
      <c r="AJ102" s="1270">
        <v>45231</v>
      </c>
      <c r="AK102" s="1378">
        <v>45231</v>
      </c>
      <c r="AL102" s="187"/>
      <c r="AM102" s="1374" t="s">
        <v>685</v>
      </c>
    </row>
    <row r="103" spans="1:40" ht="22.8" hidden="1" x14ac:dyDescent="0.3">
      <c r="A103" s="28">
        <v>102</v>
      </c>
      <c r="B103" s="20">
        <v>37130</v>
      </c>
      <c r="C103" s="27" t="s">
        <v>54</v>
      </c>
      <c r="D103" s="3" t="s">
        <v>756</v>
      </c>
      <c r="E103" s="20" t="s">
        <v>660</v>
      </c>
      <c r="F103" s="3" t="s">
        <v>661</v>
      </c>
      <c r="G103" s="29" t="s">
        <v>13</v>
      </c>
      <c r="H103" s="19">
        <v>43552</v>
      </c>
      <c r="I103" s="3">
        <v>417</v>
      </c>
      <c r="J103" s="3" t="s">
        <v>58</v>
      </c>
      <c r="K103" s="429" t="s">
        <v>59</v>
      </c>
      <c r="L103" s="443" t="s">
        <v>63</v>
      </c>
      <c r="M103" s="432" t="s">
        <v>60</v>
      </c>
      <c r="N103" s="443">
        <v>44469</v>
      </c>
      <c r="O103" s="33">
        <v>44833</v>
      </c>
      <c r="P103" s="33"/>
      <c r="Q103" s="16"/>
      <c r="R103" s="16" t="s">
        <v>62</v>
      </c>
      <c r="S103" s="16" t="s">
        <v>62</v>
      </c>
      <c r="T103" s="16" t="s">
        <v>62</v>
      </c>
      <c r="U103" s="51" t="s">
        <v>62</v>
      </c>
      <c r="V103" s="16"/>
      <c r="W103" s="16"/>
      <c r="X103" s="16"/>
      <c r="Y103" s="16"/>
      <c r="Z103" s="16"/>
      <c r="AA103" s="16"/>
      <c r="AB103" s="16"/>
      <c r="AC103" s="16"/>
      <c r="AD103" s="276" t="s">
        <v>63</v>
      </c>
      <c r="AE103" s="382">
        <v>44833</v>
      </c>
      <c r="AF103" s="709">
        <v>45232</v>
      </c>
      <c r="AG103" s="382">
        <v>45447</v>
      </c>
      <c r="AH103" s="382">
        <v>45447</v>
      </c>
      <c r="AI103" s="382">
        <v>45232</v>
      </c>
      <c r="AJ103" s="1270">
        <v>45232</v>
      </c>
      <c r="AK103" s="1378">
        <v>45232</v>
      </c>
      <c r="AL103" s="187"/>
      <c r="AM103" s="1374" t="s">
        <v>685</v>
      </c>
    </row>
    <row r="104" spans="1:40" ht="22.8" hidden="1" x14ac:dyDescent="0.3">
      <c r="A104" s="28">
        <v>103</v>
      </c>
      <c r="B104" s="20">
        <v>37132</v>
      </c>
      <c r="C104" s="27" t="s">
        <v>64</v>
      </c>
      <c r="D104" s="3" t="s">
        <v>754</v>
      </c>
      <c r="E104" s="20" t="s">
        <v>660</v>
      </c>
      <c r="F104" s="3" t="s">
        <v>661</v>
      </c>
      <c r="G104" s="29" t="s">
        <v>13</v>
      </c>
      <c r="H104" s="19">
        <v>43552</v>
      </c>
      <c r="I104" s="3">
        <v>337</v>
      </c>
      <c r="J104" s="3" t="s">
        <v>58</v>
      </c>
      <c r="K104" s="429" t="s">
        <v>59</v>
      </c>
      <c r="L104" s="443" t="s">
        <v>63</v>
      </c>
      <c r="M104" s="432" t="s">
        <v>60</v>
      </c>
      <c r="N104" s="443" t="s">
        <v>63</v>
      </c>
      <c r="O104" s="33">
        <v>44853</v>
      </c>
      <c r="P104" s="33"/>
      <c r="Q104" s="16"/>
      <c r="R104" s="16" t="s">
        <v>68</v>
      </c>
      <c r="S104" s="16" t="s">
        <v>68</v>
      </c>
      <c r="T104" s="16" t="s">
        <v>68</v>
      </c>
      <c r="U104" s="16" t="s">
        <v>68</v>
      </c>
      <c r="V104" s="16" t="s">
        <v>68</v>
      </c>
      <c r="W104" s="16" t="s">
        <v>68</v>
      </c>
      <c r="X104" s="16"/>
      <c r="Y104" s="16"/>
      <c r="Z104" s="16"/>
      <c r="AA104" s="16"/>
      <c r="AB104" s="24" t="s">
        <v>755</v>
      </c>
      <c r="AC104" s="16"/>
      <c r="AD104" s="276" t="s">
        <v>68</v>
      </c>
      <c r="AE104" s="58"/>
      <c r="AF104" s="710">
        <v>45163</v>
      </c>
      <c r="AG104" s="382">
        <v>45466</v>
      </c>
      <c r="AH104" s="382">
        <v>45466</v>
      </c>
      <c r="AI104" s="382">
        <v>45163</v>
      </c>
      <c r="AJ104" s="1271">
        <v>45163</v>
      </c>
      <c r="AK104" s="1376">
        <v>45163</v>
      </c>
      <c r="AL104" s="187"/>
      <c r="AM104" s="231">
        <v>45464</v>
      </c>
    </row>
    <row r="105" spans="1:40" ht="22.8" hidden="1" x14ac:dyDescent="0.3">
      <c r="A105" s="28">
        <v>104</v>
      </c>
      <c r="B105" s="20">
        <v>37132</v>
      </c>
      <c r="C105" s="27" t="s">
        <v>54</v>
      </c>
      <c r="D105" s="3" t="s">
        <v>753</v>
      </c>
      <c r="E105" s="20" t="s">
        <v>660</v>
      </c>
      <c r="F105" s="3" t="s">
        <v>661</v>
      </c>
      <c r="G105" s="29" t="s">
        <v>13</v>
      </c>
      <c r="H105" s="19">
        <v>43552</v>
      </c>
      <c r="I105" s="3">
        <v>314</v>
      </c>
      <c r="J105" s="3" t="s">
        <v>58</v>
      </c>
      <c r="K105" s="429" t="s">
        <v>59</v>
      </c>
      <c r="L105" s="443" t="s">
        <v>63</v>
      </c>
      <c r="M105" s="432" t="s">
        <v>60</v>
      </c>
      <c r="N105" s="443" t="s">
        <v>63</v>
      </c>
      <c r="O105" s="33">
        <v>44853</v>
      </c>
      <c r="P105" s="33"/>
      <c r="Q105" s="16"/>
      <c r="R105" s="16" t="s">
        <v>62</v>
      </c>
      <c r="S105" s="16" t="s">
        <v>62</v>
      </c>
      <c r="T105" s="16" t="s">
        <v>62</v>
      </c>
      <c r="U105" s="51" t="s">
        <v>62</v>
      </c>
      <c r="V105" s="51" t="s">
        <v>62</v>
      </c>
      <c r="W105" s="51" t="s">
        <v>62</v>
      </c>
      <c r="X105" s="16"/>
      <c r="Y105" s="16"/>
      <c r="Z105" s="16"/>
      <c r="AA105" s="16"/>
      <c r="AB105" s="16"/>
      <c r="AC105" s="16"/>
      <c r="AD105" s="276" t="s">
        <v>62</v>
      </c>
      <c r="AE105" s="276" t="s">
        <v>62</v>
      </c>
      <c r="AF105" s="710">
        <v>45163</v>
      </c>
      <c r="AG105" s="382">
        <v>45466</v>
      </c>
      <c r="AH105" s="382">
        <v>45466</v>
      </c>
      <c r="AI105" s="382">
        <v>45163</v>
      </c>
      <c r="AJ105" s="1271">
        <v>45163</v>
      </c>
      <c r="AK105" s="1376">
        <v>45163</v>
      </c>
      <c r="AL105" s="187"/>
      <c r="AM105" s="231">
        <v>45464</v>
      </c>
    </row>
    <row r="106" spans="1:40" ht="22.8" hidden="1" x14ac:dyDescent="0.3">
      <c r="A106" s="28">
        <v>105</v>
      </c>
      <c r="B106" s="20">
        <v>37137</v>
      </c>
      <c r="C106" s="27" t="s">
        <v>64</v>
      </c>
      <c r="D106" s="3" t="s">
        <v>752</v>
      </c>
      <c r="E106" s="20" t="s">
        <v>660</v>
      </c>
      <c r="F106" s="3" t="s">
        <v>661</v>
      </c>
      <c r="G106" s="29" t="s">
        <v>13</v>
      </c>
      <c r="H106" s="19">
        <v>43553</v>
      </c>
      <c r="I106" s="3">
        <v>404</v>
      </c>
      <c r="J106" s="3" t="s">
        <v>58</v>
      </c>
      <c r="K106" s="429" t="s">
        <v>59</v>
      </c>
      <c r="L106" s="443" t="s">
        <v>63</v>
      </c>
      <c r="M106" s="432" t="s">
        <v>60</v>
      </c>
      <c r="N106" s="443" t="s">
        <v>63</v>
      </c>
      <c r="O106" s="33">
        <v>44676</v>
      </c>
      <c r="P106" s="33">
        <v>44910</v>
      </c>
      <c r="Q106" s="16"/>
      <c r="R106" s="16" t="s">
        <v>68</v>
      </c>
      <c r="S106" s="16" t="s">
        <v>68</v>
      </c>
      <c r="T106" s="16" t="s">
        <v>68</v>
      </c>
      <c r="U106" s="16" t="s">
        <v>68</v>
      </c>
      <c r="V106" s="16"/>
      <c r="W106" s="16" t="s">
        <v>68</v>
      </c>
      <c r="X106" s="16"/>
      <c r="Y106" s="16"/>
      <c r="Z106" s="16"/>
      <c r="AA106" s="16"/>
      <c r="AB106" s="16"/>
      <c r="AC106" s="16"/>
      <c r="AD106" s="276" t="s">
        <v>63</v>
      </c>
      <c r="AE106" s="58"/>
      <c r="AF106" s="710">
        <v>45274</v>
      </c>
      <c r="AG106" s="825">
        <v>45461</v>
      </c>
      <c r="AH106" s="825">
        <v>45461</v>
      </c>
      <c r="AI106" s="382">
        <v>45166</v>
      </c>
      <c r="AJ106" s="1271">
        <v>45166</v>
      </c>
      <c r="AK106" s="1376">
        <v>45166</v>
      </c>
      <c r="AL106" s="187"/>
      <c r="AM106" s="231">
        <v>45461</v>
      </c>
    </row>
    <row r="107" spans="1:40" ht="22.8" hidden="1" x14ac:dyDescent="0.3">
      <c r="A107" s="28">
        <v>106</v>
      </c>
      <c r="B107" s="20">
        <v>37137</v>
      </c>
      <c r="C107" s="27" t="s">
        <v>54</v>
      </c>
      <c r="D107" s="3" t="s">
        <v>751</v>
      </c>
      <c r="E107" s="20" t="s">
        <v>660</v>
      </c>
      <c r="F107" s="3" t="s">
        <v>661</v>
      </c>
      <c r="G107" s="29" t="s">
        <v>13</v>
      </c>
      <c r="H107" s="19">
        <v>43553</v>
      </c>
      <c r="I107" s="3">
        <v>405</v>
      </c>
      <c r="J107" s="3" t="s">
        <v>58</v>
      </c>
      <c r="K107" s="429" t="s">
        <v>59</v>
      </c>
      <c r="L107" s="443" t="s">
        <v>63</v>
      </c>
      <c r="M107" s="432" t="s">
        <v>60</v>
      </c>
      <c r="N107" s="443" t="s">
        <v>63</v>
      </c>
      <c r="O107" s="33">
        <v>44676</v>
      </c>
      <c r="P107" s="33">
        <v>44910</v>
      </c>
      <c r="Q107" s="16"/>
      <c r="R107" s="16" t="s">
        <v>68</v>
      </c>
      <c r="S107" s="16" t="s">
        <v>62</v>
      </c>
      <c r="T107" s="16" t="s">
        <v>62</v>
      </c>
      <c r="U107" s="51" t="s">
        <v>62</v>
      </c>
      <c r="V107" s="16"/>
      <c r="W107" s="51" t="s">
        <v>62</v>
      </c>
      <c r="X107" s="16"/>
      <c r="Y107" s="16"/>
      <c r="Z107" s="16"/>
      <c r="AA107" s="16"/>
      <c r="AB107" s="16"/>
      <c r="AC107" s="16"/>
      <c r="AD107" s="276" t="s">
        <v>63</v>
      </c>
      <c r="AE107" s="58"/>
      <c r="AF107" s="710">
        <v>45274</v>
      </c>
      <c r="AG107" s="825">
        <v>45461</v>
      </c>
      <c r="AH107" s="825">
        <v>45461</v>
      </c>
      <c r="AI107" s="382">
        <v>45166</v>
      </c>
      <c r="AJ107" s="1271">
        <v>45166</v>
      </c>
      <c r="AK107" s="1376">
        <v>45166</v>
      </c>
      <c r="AL107" s="187"/>
      <c r="AM107" s="231">
        <v>45461</v>
      </c>
    </row>
    <row r="108" spans="1:40" ht="22.8" hidden="1" x14ac:dyDescent="0.3">
      <c r="A108" s="28">
        <v>107</v>
      </c>
      <c r="B108" s="20">
        <v>37141</v>
      </c>
      <c r="C108" s="27" t="s">
        <v>64</v>
      </c>
      <c r="D108" s="3" t="s">
        <v>749</v>
      </c>
      <c r="E108" s="20" t="s">
        <v>660</v>
      </c>
      <c r="F108" s="3" t="s">
        <v>661</v>
      </c>
      <c r="G108" s="29" t="s">
        <v>13</v>
      </c>
      <c r="H108" s="19">
        <v>43570</v>
      </c>
      <c r="I108" s="3">
        <v>366</v>
      </c>
      <c r="J108" s="3" t="s">
        <v>58</v>
      </c>
      <c r="K108" s="429" t="s">
        <v>59</v>
      </c>
      <c r="L108" s="443">
        <v>44651</v>
      </c>
      <c r="M108" s="432" t="s">
        <v>60</v>
      </c>
      <c r="N108" s="443"/>
      <c r="O108" s="33">
        <v>44651</v>
      </c>
      <c r="P108" s="33"/>
      <c r="Q108" s="16"/>
      <c r="R108" s="16" t="s">
        <v>68</v>
      </c>
      <c r="S108" s="16" t="s">
        <v>68</v>
      </c>
      <c r="T108" s="16" t="s">
        <v>68</v>
      </c>
      <c r="U108" s="16" t="s">
        <v>68</v>
      </c>
      <c r="V108" s="16"/>
      <c r="W108" s="16" t="s">
        <v>68</v>
      </c>
      <c r="X108" s="16"/>
      <c r="Y108" s="16"/>
      <c r="Z108" s="16"/>
      <c r="AA108" s="16"/>
      <c r="AB108" s="24" t="s">
        <v>750</v>
      </c>
      <c r="AC108" s="16"/>
      <c r="AD108" s="276" t="s">
        <v>63</v>
      </c>
      <c r="AE108" s="58"/>
      <c r="AF108" s="710">
        <v>45093</v>
      </c>
      <c r="AG108" s="1121" t="s">
        <v>748</v>
      </c>
      <c r="AH108" s="1310" t="s">
        <v>748</v>
      </c>
      <c r="AI108" s="382">
        <v>45153</v>
      </c>
      <c r="AJ108" s="1270">
        <v>45329</v>
      </c>
      <c r="AK108" s="1378">
        <v>45329</v>
      </c>
      <c r="AL108" s="187"/>
      <c r="AM108" s="1374" t="s">
        <v>670</v>
      </c>
    </row>
    <row r="109" spans="1:40" ht="22.8" hidden="1" x14ac:dyDescent="0.3">
      <c r="A109" s="28">
        <v>108</v>
      </c>
      <c r="B109" s="20">
        <v>37141</v>
      </c>
      <c r="C109" s="27" t="s">
        <v>54</v>
      </c>
      <c r="D109" s="3" t="s">
        <v>746</v>
      </c>
      <c r="E109" s="20" t="s">
        <v>660</v>
      </c>
      <c r="F109" s="3" t="s">
        <v>661</v>
      </c>
      <c r="G109" s="29" t="s">
        <v>13</v>
      </c>
      <c r="H109" s="19">
        <v>43570</v>
      </c>
      <c r="I109" s="3">
        <v>335</v>
      </c>
      <c r="J109" s="3" t="s">
        <v>58</v>
      </c>
      <c r="K109" s="429" t="s">
        <v>59</v>
      </c>
      <c r="L109" s="443">
        <v>44651</v>
      </c>
      <c r="M109" s="432" t="s">
        <v>60</v>
      </c>
      <c r="N109" s="443"/>
      <c r="O109" s="33">
        <v>44651</v>
      </c>
      <c r="P109" s="33"/>
      <c r="Q109" s="16"/>
      <c r="R109" s="16" t="s">
        <v>62</v>
      </c>
      <c r="S109" s="16" t="s">
        <v>62</v>
      </c>
      <c r="T109" s="16" t="s">
        <v>62</v>
      </c>
      <c r="U109" s="51" t="s">
        <v>62</v>
      </c>
      <c r="V109" s="16"/>
      <c r="W109" s="16" t="s">
        <v>62</v>
      </c>
      <c r="X109" s="16" t="s">
        <v>689</v>
      </c>
      <c r="Y109" s="16"/>
      <c r="Z109" s="16"/>
      <c r="AA109" s="16"/>
      <c r="AB109" s="24" t="s">
        <v>747</v>
      </c>
      <c r="AC109" s="16"/>
      <c r="AD109" s="276" t="s">
        <v>63</v>
      </c>
      <c r="AE109" s="58"/>
      <c r="AF109" s="710">
        <v>45093</v>
      </c>
      <c r="AG109" s="1122" t="s">
        <v>748</v>
      </c>
      <c r="AH109" s="1311" t="s">
        <v>748</v>
      </c>
      <c r="AI109" s="382">
        <v>45153</v>
      </c>
      <c r="AJ109" s="1270">
        <v>45330</v>
      </c>
      <c r="AK109" s="1378">
        <v>45329</v>
      </c>
      <c r="AL109" s="187"/>
      <c r="AM109" s="1374" t="s">
        <v>670</v>
      </c>
    </row>
    <row r="110" spans="1:40" ht="22.8" hidden="1" x14ac:dyDescent="0.3">
      <c r="A110" s="28">
        <v>109</v>
      </c>
      <c r="B110" s="20">
        <v>37146</v>
      </c>
      <c r="C110" s="27" t="s">
        <v>64</v>
      </c>
      <c r="D110" s="3" t="s">
        <v>744</v>
      </c>
      <c r="E110" s="20" t="s">
        <v>660</v>
      </c>
      <c r="F110" s="3" t="s">
        <v>661</v>
      </c>
      <c r="G110" s="29" t="s">
        <v>13</v>
      </c>
      <c r="H110" s="19">
        <v>43573</v>
      </c>
      <c r="I110" s="3">
        <v>364</v>
      </c>
      <c r="J110" s="3" t="s">
        <v>58</v>
      </c>
      <c r="K110" s="429" t="s">
        <v>59</v>
      </c>
      <c r="L110" s="443">
        <v>44150</v>
      </c>
      <c r="M110" s="432" t="s">
        <v>60</v>
      </c>
      <c r="N110" s="443">
        <v>44150</v>
      </c>
      <c r="O110" s="33">
        <v>44652</v>
      </c>
      <c r="P110" s="33"/>
      <c r="Q110" s="16"/>
      <c r="R110" s="16" t="s">
        <v>68</v>
      </c>
      <c r="S110" s="16" t="s">
        <v>68</v>
      </c>
      <c r="T110" s="16" t="s">
        <v>68</v>
      </c>
      <c r="U110" s="16" t="s">
        <v>68</v>
      </c>
      <c r="V110" s="16"/>
      <c r="W110" s="16" t="s">
        <v>68</v>
      </c>
      <c r="X110" s="16" t="s">
        <v>710</v>
      </c>
      <c r="Y110" s="16"/>
      <c r="Z110" s="16"/>
      <c r="AA110" s="16"/>
      <c r="AB110" s="143" t="s">
        <v>745</v>
      </c>
      <c r="AC110" s="16"/>
      <c r="AD110" s="276" t="s">
        <v>63</v>
      </c>
      <c r="AE110" s="58"/>
      <c r="AF110" s="710">
        <v>45308</v>
      </c>
      <c r="AG110" s="382">
        <v>45461</v>
      </c>
      <c r="AH110" s="382">
        <v>45461</v>
      </c>
      <c r="AI110" s="382">
        <v>45158</v>
      </c>
      <c r="AJ110" s="1271">
        <v>45308</v>
      </c>
      <c r="AK110" s="1373" t="s">
        <v>743</v>
      </c>
      <c r="AL110" s="187"/>
      <c r="AM110" s="1265" t="s">
        <v>743</v>
      </c>
      <c r="AN110" s="381"/>
    </row>
    <row r="111" spans="1:40" ht="22.8" hidden="1" x14ac:dyDescent="0.3">
      <c r="A111" s="28">
        <v>110</v>
      </c>
      <c r="B111" s="20">
        <v>37146</v>
      </c>
      <c r="C111" s="27" t="s">
        <v>54</v>
      </c>
      <c r="D111" s="3" t="s">
        <v>741</v>
      </c>
      <c r="E111" s="20" t="s">
        <v>660</v>
      </c>
      <c r="F111" s="3" t="s">
        <v>661</v>
      </c>
      <c r="G111" s="29" t="s">
        <v>13</v>
      </c>
      <c r="H111" s="19">
        <v>43573</v>
      </c>
      <c r="I111" s="3">
        <v>338</v>
      </c>
      <c r="J111" s="3" t="s">
        <v>58</v>
      </c>
      <c r="K111" s="429" t="s">
        <v>59</v>
      </c>
      <c r="L111" s="443">
        <v>44150</v>
      </c>
      <c r="M111" s="432" t="s">
        <v>60</v>
      </c>
      <c r="N111" s="443">
        <v>44150</v>
      </c>
      <c r="O111" s="33">
        <v>44652</v>
      </c>
      <c r="P111" s="33"/>
      <c r="Q111" s="16"/>
      <c r="R111" s="16" t="s">
        <v>62</v>
      </c>
      <c r="S111" s="16" t="s">
        <v>62</v>
      </c>
      <c r="T111" s="16" t="s">
        <v>62</v>
      </c>
      <c r="U111" s="51" t="s">
        <v>62</v>
      </c>
      <c r="V111" s="16"/>
      <c r="W111" s="16" t="s">
        <v>62</v>
      </c>
      <c r="X111" s="16" t="s">
        <v>689</v>
      </c>
      <c r="Y111" s="16"/>
      <c r="Z111" s="16"/>
      <c r="AA111" s="16"/>
      <c r="AB111" s="143" t="s">
        <v>742</v>
      </c>
      <c r="AC111" s="16"/>
      <c r="AD111" s="276" t="s">
        <v>63</v>
      </c>
      <c r="AE111" s="58"/>
      <c r="AF111" s="710">
        <v>45308</v>
      </c>
      <c r="AG111" s="382">
        <v>45461</v>
      </c>
      <c r="AH111" s="382">
        <v>45461</v>
      </c>
      <c r="AI111" s="382">
        <v>45158</v>
      </c>
      <c r="AJ111" s="1271">
        <v>45308</v>
      </c>
      <c r="AK111" s="1373" t="s">
        <v>743</v>
      </c>
      <c r="AL111" s="187"/>
      <c r="AM111" s="1265" t="s">
        <v>743</v>
      </c>
      <c r="AN111" s="381"/>
    </row>
    <row r="112" spans="1:40" ht="22.8" hidden="1" x14ac:dyDescent="0.3">
      <c r="A112" s="28">
        <v>111</v>
      </c>
      <c r="B112" s="20">
        <v>37174</v>
      </c>
      <c r="C112" s="27" t="s">
        <v>64</v>
      </c>
      <c r="D112" s="3" t="s">
        <v>740</v>
      </c>
      <c r="E112" s="20" t="s">
        <v>660</v>
      </c>
      <c r="F112" s="3" t="s">
        <v>661</v>
      </c>
      <c r="G112" s="29" t="s">
        <v>13</v>
      </c>
      <c r="H112" s="19">
        <v>43603</v>
      </c>
      <c r="I112" s="3">
        <v>434</v>
      </c>
      <c r="J112" s="3" t="s">
        <v>58</v>
      </c>
      <c r="K112" s="429" t="s">
        <v>59</v>
      </c>
      <c r="L112" s="443">
        <v>44144</v>
      </c>
      <c r="M112" s="432" t="s">
        <v>60</v>
      </c>
      <c r="N112" s="443">
        <v>44144</v>
      </c>
      <c r="O112" s="33">
        <v>44607</v>
      </c>
      <c r="P112" s="33"/>
      <c r="Q112" s="16"/>
      <c r="R112" s="16" t="s">
        <v>68</v>
      </c>
      <c r="S112" s="16" t="s">
        <v>68</v>
      </c>
      <c r="T112" s="16" t="s">
        <v>68</v>
      </c>
      <c r="U112" s="16" t="s">
        <v>68</v>
      </c>
      <c r="V112" s="16"/>
      <c r="W112" s="16"/>
      <c r="X112" s="16" t="s">
        <v>710</v>
      </c>
      <c r="Y112" s="16"/>
      <c r="Z112" s="16"/>
      <c r="AA112" s="16"/>
      <c r="AB112" s="16"/>
      <c r="AC112" s="16"/>
      <c r="AD112" s="276" t="s">
        <v>63</v>
      </c>
      <c r="AE112" s="58"/>
      <c r="AF112" s="709">
        <v>45280</v>
      </c>
      <c r="AG112" s="711">
        <v>45482</v>
      </c>
      <c r="AH112" s="711">
        <v>45482</v>
      </c>
      <c r="AI112" s="382">
        <v>45280</v>
      </c>
      <c r="AJ112" s="1270">
        <v>45280</v>
      </c>
      <c r="AK112" s="1375">
        <v>45481</v>
      </c>
      <c r="AL112" s="187"/>
      <c r="AM112" s="231">
        <v>45482</v>
      </c>
      <c r="AN112" s="381"/>
    </row>
    <row r="113" spans="1:40" ht="22.8" hidden="1" x14ac:dyDescent="0.3">
      <c r="A113" s="28">
        <v>112</v>
      </c>
      <c r="B113" s="20">
        <v>37174</v>
      </c>
      <c r="C113" s="27" t="s">
        <v>54</v>
      </c>
      <c r="D113" s="3" t="s">
        <v>739</v>
      </c>
      <c r="E113" s="20" t="s">
        <v>660</v>
      </c>
      <c r="F113" s="3" t="s">
        <v>661</v>
      </c>
      <c r="G113" s="29" t="s">
        <v>13</v>
      </c>
      <c r="H113" s="19">
        <v>43603</v>
      </c>
      <c r="I113" s="3">
        <v>428</v>
      </c>
      <c r="J113" s="3" t="s">
        <v>58</v>
      </c>
      <c r="K113" s="429" t="s">
        <v>59</v>
      </c>
      <c r="L113" s="443">
        <v>44144</v>
      </c>
      <c r="M113" s="432" t="s">
        <v>60</v>
      </c>
      <c r="N113" s="443">
        <v>44144</v>
      </c>
      <c r="O113" s="33">
        <v>44607</v>
      </c>
      <c r="P113" s="33"/>
      <c r="Q113" s="16"/>
      <c r="R113" s="16" t="s">
        <v>62</v>
      </c>
      <c r="S113" s="16" t="s">
        <v>62</v>
      </c>
      <c r="T113" s="16" t="s">
        <v>62</v>
      </c>
      <c r="U113" s="51" t="s">
        <v>62</v>
      </c>
      <c r="V113" s="16"/>
      <c r="W113" s="16"/>
      <c r="X113" s="16"/>
      <c r="Y113" s="16"/>
      <c r="Z113" s="16"/>
      <c r="AA113" s="16"/>
      <c r="AB113" s="16"/>
      <c r="AC113" s="16"/>
      <c r="AD113" s="276" t="s">
        <v>63</v>
      </c>
      <c r="AE113" s="58"/>
      <c r="AF113" s="709">
        <v>45280</v>
      </c>
      <c r="AG113" s="711">
        <v>45482</v>
      </c>
      <c r="AH113" s="711">
        <v>45482</v>
      </c>
      <c r="AI113" s="382">
        <v>45280</v>
      </c>
      <c r="AJ113" s="1270">
        <v>45280</v>
      </c>
      <c r="AK113" s="1375">
        <v>45482</v>
      </c>
      <c r="AL113" s="187"/>
      <c r="AM113" s="231">
        <v>45482</v>
      </c>
      <c r="AN113" s="381"/>
    </row>
    <row r="114" spans="1:40" ht="22.8" hidden="1" x14ac:dyDescent="0.3">
      <c r="A114" s="28">
        <v>113</v>
      </c>
      <c r="B114" s="20">
        <v>37177</v>
      </c>
      <c r="C114" s="27" t="s">
        <v>64</v>
      </c>
      <c r="D114" s="3" t="s">
        <v>738</v>
      </c>
      <c r="E114" s="20" t="s">
        <v>660</v>
      </c>
      <c r="F114" s="3" t="s">
        <v>661</v>
      </c>
      <c r="G114" s="29" t="s">
        <v>13</v>
      </c>
      <c r="H114" s="19">
        <v>43605</v>
      </c>
      <c r="I114" s="3">
        <v>459</v>
      </c>
      <c r="J114" s="3" t="s">
        <v>58</v>
      </c>
      <c r="K114" s="429" t="s">
        <v>59</v>
      </c>
      <c r="L114" s="443">
        <v>44139</v>
      </c>
      <c r="M114" s="432" t="s">
        <v>60</v>
      </c>
      <c r="N114" s="443">
        <v>44139</v>
      </c>
      <c r="O114" s="33"/>
      <c r="P114" s="33"/>
      <c r="Q114" s="16"/>
      <c r="R114" s="16" t="s">
        <v>68</v>
      </c>
      <c r="S114" s="16" t="s">
        <v>68</v>
      </c>
      <c r="T114" s="16" t="s">
        <v>68</v>
      </c>
      <c r="U114" s="16" t="s">
        <v>68</v>
      </c>
      <c r="V114" s="16"/>
      <c r="W114" s="16"/>
      <c r="X114" s="16"/>
      <c r="Y114" s="16"/>
      <c r="Z114" s="16"/>
      <c r="AA114" s="16"/>
      <c r="AB114" s="16"/>
      <c r="AC114" s="16"/>
      <c r="AD114" s="276" t="s">
        <v>63</v>
      </c>
      <c r="AE114" s="58"/>
      <c r="AF114" s="709">
        <v>45304</v>
      </c>
      <c r="AG114" s="1119" t="s">
        <v>736</v>
      </c>
      <c r="AH114" s="1308" t="s">
        <v>736</v>
      </c>
      <c r="AI114" s="382">
        <v>45304</v>
      </c>
      <c r="AJ114" s="1270">
        <v>45304</v>
      </c>
      <c r="AK114" s="1373" t="s">
        <v>737</v>
      </c>
      <c r="AL114" s="187"/>
      <c r="AM114" s="187" t="s">
        <v>662</v>
      </c>
      <c r="AN114" s="381"/>
    </row>
    <row r="115" spans="1:40" ht="22.8" hidden="1" x14ac:dyDescent="0.3">
      <c r="A115" s="28">
        <v>114</v>
      </c>
      <c r="B115" s="20">
        <v>37177</v>
      </c>
      <c r="C115" s="27" t="s">
        <v>54</v>
      </c>
      <c r="D115" s="3" t="s">
        <v>735</v>
      </c>
      <c r="E115" s="20" t="s">
        <v>660</v>
      </c>
      <c r="F115" s="3" t="s">
        <v>661</v>
      </c>
      <c r="G115" s="29" t="s">
        <v>13</v>
      </c>
      <c r="H115" s="19">
        <v>43605</v>
      </c>
      <c r="I115" s="3">
        <v>458</v>
      </c>
      <c r="J115" s="3" t="s">
        <v>58</v>
      </c>
      <c r="K115" s="429" t="s">
        <v>59</v>
      </c>
      <c r="L115" s="443">
        <v>44139</v>
      </c>
      <c r="M115" s="432" t="s">
        <v>60</v>
      </c>
      <c r="N115" s="443">
        <v>44139</v>
      </c>
      <c r="O115" s="33"/>
      <c r="P115" s="33"/>
      <c r="Q115" s="16"/>
      <c r="R115" s="16" t="s">
        <v>62</v>
      </c>
      <c r="S115" s="16" t="s">
        <v>62</v>
      </c>
      <c r="T115" s="16" t="s">
        <v>62</v>
      </c>
      <c r="U115" s="51" t="s">
        <v>62</v>
      </c>
      <c r="V115" s="16"/>
      <c r="W115" s="16"/>
      <c r="X115" s="16"/>
      <c r="Y115" s="16"/>
      <c r="Z115" s="16"/>
      <c r="AA115" s="16"/>
      <c r="AB115" s="387">
        <v>44798</v>
      </c>
      <c r="AC115" s="16"/>
      <c r="AD115" s="276" t="s">
        <v>63</v>
      </c>
      <c r="AE115" s="58"/>
      <c r="AF115" s="709">
        <v>45304</v>
      </c>
      <c r="AG115" s="1120" t="s">
        <v>736</v>
      </c>
      <c r="AH115" s="1309" t="s">
        <v>736</v>
      </c>
      <c r="AI115" s="382">
        <v>45304</v>
      </c>
      <c r="AJ115" s="1270">
        <v>45304</v>
      </c>
      <c r="AK115" s="1373" t="s">
        <v>737</v>
      </c>
      <c r="AL115" s="187"/>
      <c r="AM115" s="187" t="s">
        <v>662</v>
      </c>
    </row>
    <row r="116" spans="1:40" ht="22.8" hidden="1" x14ac:dyDescent="0.3">
      <c r="A116" s="28">
        <v>115</v>
      </c>
      <c r="B116" s="20">
        <v>37196</v>
      </c>
      <c r="C116" s="27" t="s">
        <v>64</v>
      </c>
      <c r="D116" s="3" t="s">
        <v>734</v>
      </c>
      <c r="E116" s="20" t="s">
        <v>660</v>
      </c>
      <c r="F116" s="3" t="s">
        <v>661</v>
      </c>
      <c r="G116" s="29" t="s">
        <v>13</v>
      </c>
      <c r="H116" s="19">
        <v>43635</v>
      </c>
      <c r="I116" s="3">
        <v>476</v>
      </c>
      <c r="J116" s="3" t="s">
        <v>58</v>
      </c>
      <c r="K116" s="429" t="s">
        <v>59</v>
      </c>
      <c r="L116" s="443">
        <v>44209</v>
      </c>
      <c r="M116" s="432" t="s">
        <v>60</v>
      </c>
      <c r="N116" s="443">
        <v>44209</v>
      </c>
      <c r="O116" s="33">
        <v>44306</v>
      </c>
      <c r="P116" s="33"/>
      <c r="Q116" s="16"/>
      <c r="R116" s="16" t="s">
        <v>68</v>
      </c>
      <c r="S116" s="16" t="s">
        <v>68</v>
      </c>
      <c r="T116" s="16" t="s">
        <v>68</v>
      </c>
      <c r="U116" s="16" t="s">
        <v>68</v>
      </c>
      <c r="V116" s="16"/>
      <c r="W116" s="16" t="s">
        <v>616</v>
      </c>
      <c r="X116" s="16"/>
      <c r="Y116" s="16"/>
      <c r="Z116" s="16"/>
      <c r="AA116" s="16"/>
      <c r="AB116" s="16"/>
      <c r="AC116" s="16"/>
      <c r="AD116" s="276" t="s">
        <v>63</v>
      </c>
      <c r="AE116" s="58"/>
      <c r="AF116" s="709">
        <v>45275</v>
      </c>
      <c r="AG116" s="382">
        <v>45479</v>
      </c>
      <c r="AH116" s="382">
        <v>45479</v>
      </c>
      <c r="AI116" s="382">
        <v>45275</v>
      </c>
      <c r="AJ116" s="1270">
        <v>45275</v>
      </c>
      <c r="AK116" s="1375">
        <v>45479</v>
      </c>
      <c r="AL116" s="187"/>
      <c r="AM116" s="231">
        <v>45479</v>
      </c>
      <c r="AN116" s="381"/>
    </row>
    <row r="117" spans="1:40" ht="22.8" hidden="1" x14ac:dyDescent="0.3">
      <c r="A117" s="28">
        <v>116</v>
      </c>
      <c r="B117" s="20">
        <v>37196</v>
      </c>
      <c r="C117" s="27" t="s">
        <v>54</v>
      </c>
      <c r="D117" s="3" t="s">
        <v>733</v>
      </c>
      <c r="E117" s="20" t="s">
        <v>660</v>
      </c>
      <c r="F117" s="3" t="s">
        <v>661</v>
      </c>
      <c r="G117" s="29" t="s">
        <v>13</v>
      </c>
      <c r="H117" s="19">
        <v>43635</v>
      </c>
      <c r="I117" s="3">
        <v>477</v>
      </c>
      <c r="J117" s="3" t="s">
        <v>58</v>
      </c>
      <c r="K117" s="429" t="s">
        <v>59</v>
      </c>
      <c r="L117" s="443">
        <v>44209</v>
      </c>
      <c r="M117" s="432" t="s">
        <v>60</v>
      </c>
      <c r="N117" s="443">
        <v>44653</v>
      </c>
      <c r="O117" s="33"/>
      <c r="P117" s="33"/>
      <c r="Q117" s="16"/>
      <c r="R117" s="16" t="s">
        <v>62</v>
      </c>
      <c r="S117" s="16" t="s">
        <v>62</v>
      </c>
      <c r="T117" s="16" t="s">
        <v>62</v>
      </c>
      <c r="U117" s="51" t="s">
        <v>62</v>
      </c>
      <c r="V117" s="16"/>
      <c r="W117" s="16" t="s">
        <v>604</v>
      </c>
      <c r="X117" s="16"/>
      <c r="Y117" s="16"/>
      <c r="Z117" s="16"/>
      <c r="AA117" s="16"/>
      <c r="AB117" s="16"/>
      <c r="AC117" s="16"/>
      <c r="AD117" s="276" t="s">
        <v>63</v>
      </c>
      <c r="AE117" s="58"/>
      <c r="AF117" s="709">
        <v>45275</v>
      </c>
      <c r="AG117" s="382">
        <v>45479</v>
      </c>
      <c r="AH117" s="382">
        <v>45479</v>
      </c>
      <c r="AI117" s="382">
        <v>45275</v>
      </c>
      <c r="AJ117" s="1270">
        <v>45275</v>
      </c>
      <c r="AK117" s="1375">
        <v>45479</v>
      </c>
      <c r="AL117" s="187"/>
      <c r="AM117" s="231">
        <v>45479</v>
      </c>
    </row>
    <row r="118" spans="1:40" ht="22.8" hidden="1" x14ac:dyDescent="0.3">
      <c r="A118" s="28">
        <v>117</v>
      </c>
      <c r="B118" s="20">
        <v>37220</v>
      </c>
      <c r="C118" s="27" t="s">
        <v>64</v>
      </c>
      <c r="D118" s="3" t="s">
        <v>731</v>
      </c>
      <c r="E118" s="20" t="s">
        <v>660</v>
      </c>
      <c r="F118" s="3" t="s">
        <v>661</v>
      </c>
      <c r="G118" s="29" t="s">
        <v>13</v>
      </c>
      <c r="H118" s="19">
        <v>43676</v>
      </c>
      <c r="I118" s="3">
        <v>505</v>
      </c>
      <c r="J118" s="3" t="s">
        <v>58</v>
      </c>
      <c r="K118" s="429" t="s">
        <v>59</v>
      </c>
      <c r="L118" s="443" t="s">
        <v>63</v>
      </c>
      <c r="M118" s="432" t="s">
        <v>60</v>
      </c>
      <c r="N118" s="443" t="s">
        <v>63</v>
      </c>
      <c r="O118" s="33"/>
      <c r="P118" s="33"/>
      <c r="Q118" s="16" t="s">
        <v>75</v>
      </c>
      <c r="R118" s="16" t="s">
        <v>68</v>
      </c>
      <c r="S118" s="16" t="s">
        <v>68</v>
      </c>
      <c r="T118" s="16" t="s">
        <v>68</v>
      </c>
      <c r="U118" s="16" t="s">
        <v>68</v>
      </c>
      <c r="V118" s="16"/>
      <c r="W118" s="16"/>
      <c r="X118" s="16"/>
      <c r="Y118" s="16"/>
      <c r="Z118" s="16"/>
      <c r="AA118" s="16"/>
      <c r="AB118" s="143" t="s">
        <v>732</v>
      </c>
      <c r="AC118" s="16"/>
      <c r="AD118" s="276" t="s">
        <v>63</v>
      </c>
      <c r="AE118" s="58"/>
      <c r="AF118" s="710">
        <v>45093</v>
      </c>
      <c r="AG118" s="711">
        <v>45477</v>
      </c>
      <c r="AH118" s="711">
        <v>45477</v>
      </c>
      <c r="AI118" s="382">
        <v>45093</v>
      </c>
      <c r="AJ118" s="1271">
        <v>45093</v>
      </c>
      <c r="AK118" s="1376">
        <v>45093</v>
      </c>
      <c r="AL118" s="187"/>
      <c r="AM118" s="1265" t="s">
        <v>730</v>
      </c>
    </row>
    <row r="119" spans="1:40" ht="22.8" hidden="1" x14ac:dyDescent="0.3">
      <c r="A119" s="28">
        <v>118</v>
      </c>
      <c r="B119" s="20">
        <v>37220</v>
      </c>
      <c r="C119" s="27" t="s">
        <v>54</v>
      </c>
      <c r="D119" s="3" t="s">
        <v>728</v>
      </c>
      <c r="E119" s="20" t="s">
        <v>660</v>
      </c>
      <c r="F119" s="3" t="s">
        <v>661</v>
      </c>
      <c r="G119" s="29" t="s">
        <v>13</v>
      </c>
      <c r="H119" s="19">
        <v>43676</v>
      </c>
      <c r="I119" s="3">
        <v>504</v>
      </c>
      <c r="J119" s="3" t="s">
        <v>58</v>
      </c>
      <c r="K119" s="429" t="s">
        <v>59</v>
      </c>
      <c r="L119" s="443" t="s">
        <v>63</v>
      </c>
      <c r="M119" s="432" t="s">
        <v>60</v>
      </c>
      <c r="N119" s="443" t="s">
        <v>63</v>
      </c>
      <c r="O119" s="33"/>
      <c r="P119" s="33"/>
      <c r="Q119" s="16"/>
      <c r="R119" s="16" t="s">
        <v>62</v>
      </c>
      <c r="S119" s="16" t="s">
        <v>62</v>
      </c>
      <c r="T119" s="16" t="s">
        <v>62</v>
      </c>
      <c r="U119" s="51" t="s">
        <v>62</v>
      </c>
      <c r="V119" s="16"/>
      <c r="W119" s="16"/>
      <c r="X119" s="16"/>
      <c r="Y119" s="16"/>
      <c r="Z119" s="16"/>
      <c r="AA119" s="16"/>
      <c r="AB119" s="143" t="s">
        <v>729</v>
      </c>
      <c r="AC119" s="16"/>
      <c r="AD119" s="276" t="s">
        <v>63</v>
      </c>
      <c r="AE119" s="58"/>
      <c r="AF119" s="710">
        <v>45093</v>
      </c>
      <c r="AG119" s="711">
        <v>45477</v>
      </c>
      <c r="AH119" s="711">
        <v>45477</v>
      </c>
      <c r="AI119" s="382">
        <v>45093</v>
      </c>
      <c r="AJ119" s="1271">
        <v>45093</v>
      </c>
      <c r="AK119" s="1376">
        <v>45093</v>
      </c>
      <c r="AL119" s="187"/>
      <c r="AM119" s="1265" t="s">
        <v>730</v>
      </c>
    </row>
    <row r="120" spans="1:40" ht="22.8" hidden="1" x14ac:dyDescent="0.3">
      <c r="A120" s="28">
        <v>119</v>
      </c>
      <c r="B120" s="20">
        <v>37221</v>
      </c>
      <c r="C120" s="27" t="s">
        <v>64</v>
      </c>
      <c r="D120" s="3" t="s">
        <v>725</v>
      </c>
      <c r="E120" s="20" t="s">
        <v>660</v>
      </c>
      <c r="F120" s="3" t="s">
        <v>661</v>
      </c>
      <c r="G120" s="29" t="s">
        <v>13</v>
      </c>
      <c r="H120" s="19">
        <v>43677</v>
      </c>
      <c r="I120" s="3">
        <v>516</v>
      </c>
      <c r="J120" s="3" t="s">
        <v>58</v>
      </c>
      <c r="K120" s="429" t="s">
        <v>59</v>
      </c>
      <c r="L120" s="443">
        <v>44839</v>
      </c>
      <c r="M120" s="432" t="s">
        <v>722</v>
      </c>
      <c r="N120" s="443">
        <v>44839</v>
      </c>
      <c r="O120" s="33">
        <v>44839</v>
      </c>
      <c r="P120" s="33">
        <v>44898</v>
      </c>
      <c r="Q120" s="16" t="s">
        <v>75</v>
      </c>
      <c r="R120" s="16" t="s">
        <v>68</v>
      </c>
      <c r="S120" s="16" t="s">
        <v>68</v>
      </c>
      <c r="T120" s="16" t="s">
        <v>68</v>
      </c>
      <c r="U120" s="16" t="s">
        <v>68</v>
      </c>
      <c r="V120" s="16"/>
      <c r="W120" s="16"/>
      <c r="X120" s="16"/>
      <c r="Y120" s="16"/>
      <c r="Z120" s="16"/>
      <c r="AA120" s="16"/>
      <c r="AB120" s="143" t="s">
        <v>726</v>
      </c>
      <c r="AC120" s="16"/>
      <c r="AD120" s="16" t="s">
        <v>68</v>
      </c>
      <c r="AE120" s="16" t="s">
        <v>68</v>
      </c>
      <c r="AF120" s="58"/>
      <c r="AG120" s="1121" t="s">
        <v>724</v>
      </c>
      <c r="AH120" s="1310" t="s">
        <v>724</v>
      </c>
      <c r="AI120" s="382">
        <v>45374</v>
      </c>
      <c r="AJ120" s="1272"/>
      <c r="AK120" s="1265" t="s">
        <v>727</v>
      </c>
      <c r="AL120" s="187"/>
      <c r="AM120" s="187" t="s">
        <v>662</v>
      </c>
    </row>
    <row r="121" spans="1:40" ht="22.8" hidden="1" x14ac:dyDescent="0.3">
      <c r="A121" s="28">
        <v>120</v>
      </c>
      <c r="B121" s="20">
        <v>37221</v>
      </c>
      <c r="C121" s="27" t="s">
        <v>54</v>
      </c>
      <c r="D121" s="3" t="s">
        <v>721</v>
      </c>
      <c r="E121" s="20" t="s">
        <v>660</v>
      </c>
      <c r="F121" s="3" t="s">
        <v>661</v>
      </c>
      <c r="G121" s="29" t="s">
        <v>13</v>
      </c>
      <c r="H121" s="19">
        <v>43677</v>
      </c>
      <c r="I121" s="3">
        <v>517</v>
      </c>
      <c r="J121" s="3" t="s">
        <v>58</v>
      </c>
      <c r="K121" s="429" t="s">
        <v>59</v>
      </c>
      <c r="L121" s="443">
        <v>44839</v>
      </c>
      <c r="M121" s="432" t="s">
        <v>722</v>
      </c>
      <c r="N121" s="443">
        <v>44839</v>
      </c>
      <c r="O121" s="33">
        <v>44839</v>
      </c>
      <c r="P121" s="33">
        <v>44898</v>
      </c>
      <c r="Q121" s="16" t="s">
        <v>75</v>
      </c>
      <c r="R121" s="16" t="s">
        <v>62</v>
      </c>
      <c r="S121" s="16" t="s">
        <v>62</v>
      </c>
      <c r="T121" s="16" t="s">
        <v>62</v>
      </c>
      <c r="U121" s="51" t="s">
        <v>62</v>
      </c>
      <c r="V121" s="16"/>
      <c r="W121" s="16"/>
      <c r="X121" s="16"/>
      <c r="Y121" s="16"/>
      <c r="Z121" s="16"/>
      <c r="AA121" s="16"/>
      <c r="AB121" s="143" t="s">
        <v>723</v>
      </c>
      <c r="AC121" s="16"/>
      <c r="AD121" s="16" t="s">
        <v>62</v>
      </c>
      <c r="AE121" s="58"/>
      <c r="AF121" s="825">
        <v>45374</v>
      </c>
      <c r="AG121" s="1122" t="s">
        <v>724</v>
      </c>
      <c r="AH121" s="1311" t="s">
        <v>724</v>
      </c>
      <c r="AI121" s="382">
        <v>45374</v>
      </c>
      <c r="AJ121" s="1273">
        <v>45374</v>
      </c>
      <c r="AK121" s="1379">
        <v>45374</v>
      </c>
      <c r="AL121" s="187"/>
      <c r="AM121" s="187" t="s">
        <v>662</v>
      </c>
    </row>
    <row r="122" spans="1:40" ht="14.4" hidden="1" x14ac:dyDescent="0.3">
      <c r="A122" s="28"/>
      <c r="B122" s="20"/>
      <c r="C122" s="27"/>
      <c r="D122" s="20"/>
      <c r="E122" s="20"/>
      <c r="F122" s="3"/>
      <c r="G122" s="29"/>
      <c r="H122" s="19"/>
      <c r="I122" s="3"/>
      <c r="J122" s="3"/>
      <c r="K122" s="429"/>
      <c r="L122" s="443"/>
      <c r="M122" s="432" t="s">
        <v>60</v>
      </c>
      <c r="N122" s="443" t="s">
        <v>63</v>
      </c>
      <c r="O122" s="33"/>
      <c r="P122" s="33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276"/>
      <c r="AE122" s="58"/>
      <c r="AF122" s="58"/>
      <c r="AH122" s="1310" t="s">
        <v>684</v>
      </c>
      <c r="AI122" s="712"/>
      <c r="AJ122" s="712"/>
      <c r="AK122" s="1380"/>
      <c r="AM122" s="242"/>
    </row>
    <row r="123" spans="1:40" ht="14.4" hidden="1" x14ac:dyDescent="0.3">
      <c r="A123" s="28"/>
      <c r="B123" s="20"/>
      <c r="C123" s="27"/>
      <c r="D123" s="18"/>
      <c r="E123" s="20"/>
      <c r="F123" s="3"/>
      <c r="G123" s="29"/>
      <c r="H123" s="19"/>
      <c r="I123" s="3"/>
      <c r="J123" s="3"/>
      <c r="K123" s="429"/>
      <c r="L123" s="443"/>
      <c r="M123" s="432" t="s">
        <v>60</v>
      </c>
      <c r="N123" s="443">
        <v>44238</v>
      </c>
      <c r="O123" s="33"/>
      <c r="P123" s="33"/>
      <c r="Q123" s="16"/>
      <c r="R123" s="16"/>
      <c r="S123" s="16"/>
      <c r="T123" s="16"/>
      <c r="U123" s="16"/>
      <c r="V123" s="15"/>
      <c r="W123" s="16"/>
      <c r="X123" s="16"/>
      <c r="Y123" s="16"/>
      <c r="Z123" s="16"/>
      <c r="AA123" s="16"/>
      <c r="AB123" s="16"/>
      <c r="AC123" s="16"/>
      <c r="AD123" s="276"/>
      <c r="AE123" s="58"/>
      <c r="AF123" s="58"/>
      <c r="AH123" s="1311" t="s">
        <v>684</v>
      </c>
      <c r="AI123" s="712"/>
      <c r="AJ123" s="712"/>
      <c r="AK123" s="1381"/>
      <c r="AM123" s="186"/>
    </row>
    <row r="124" spans="1:40" ht="22.8" hidden="1" x14ac:dyDescent="0.3">
      <c r="A124" s="28">
        <v>123</v>
      </c>
      <c r="B124" s="20">
        <v>37380</v>
      </c>
      <c r="C124" s="27" t="s">
        <v>64</v>
      </c>
      <c r="D124" s="3" t="s">
        <v>719</v>
      </c>
      <c r="E124" s="20" t="s">
        <v>660</v>
      </c>
      <c r="F124" s="3" t="s">
        <v>661</v>
      </c>
      <c r="G124" s="29" t="s">
        <v>13</v>
      </c>
      <c r="H124" s="19">
        <v>44012</v>
      </c>
      <c r="I124" s="3">
        <v>594</v>
      </c>
      <c r="J124" s="3" t="s">
        <v>58</v>
      </c>
      <c r="K124" s="429" t="s">
        <v>720</v>
      </c>
      <c r="L124" s="443"/>
      <c r="M124" s="432" t="s">
        <v>60</v>
      </c>
      <c r="N124" s="443"/>
      <c r="O124" s="33"/>
      <c r="P124" s="33"/>
      <c r="Q124" s="16" t="s">
        <v>75</v>
      </c>
      <c r="R124" s="16" t="s">
        <v>75</v>
      </c>
      <c r="S124" s="16" t="s">
        <v>68</v>
      </c>
      <c r="T124" s="16" t="s">
        <v>68</v>
      </c>
      <c r="U124" s="16" t="s">
        <v>68</v>
      </c>
      <c r="V124" s="16"/>
      <c r="W124" s="16" t="s">
        <v>68</v>
      </c>
      <c r="X124" s="16"/>
      <c r="Y124" s="16"/>
      <c r="Z124" s="16"/>
      <c r="AA124" s="16"/>
      <c r="AB124" s="16"/>
      <c r="AC124" s="16"/>
      <c r="AD124" s="276" t="s">
        <v>63</v>
      </c>
      <c r="AE124" s="382">
        <v>44854</v>
      </c>
      <c r="AF124" s="825">
        <v>45360</v>
      </c>
      <c r="AG124" s="1121" t="s">
        <v>684</v>
      </c>
      <c r="AH124" s="711">
        <v>45483</v>
      </c>
      <c r="AI124" s="382">
        <v>45209</v>
      </c>
      <c r="AJ124" s="1272" t="s">
        <v>63</v>
      </c>
      <c r="AK124" s="1373" t="s">
        <v>684</v>
      </c>
      <c r="AL124" s="187"/>
      <c r="AM124" s="1373" t="s">
        <v>684</v>
      </c>
    </row>
    <row r="125" spans="1:40" ht="22.8" hidden="1" x14ac:dyDescent="0.3">
      <c r="A125" s="28">
        <v>124</v>
      </c>
      <c r="B125" s="20">
        <v>37380</v>
      </c>
      <c r="C125" s="27" t="s">
        <v>54</v>
      </c>
      <c r="D125" s="3" t="s">
        <v>717</v>
      </c>
      <c r="E125" s="20" t="s">
        <v>660</v>
      </c>
      <c r="F125" s="3" t="s">
        <v>661</v>
      </c>
      <c r="G125" s="29" t="s">
        <v>13</v>
      </c>
      <c r="H125" s="19">
        <v>44012</v>
      </c>
      <c r="I125" s="3">
        <v>753</v>
      </c>
      <c r="J125" s="3" t="s">
        <v>58</v>
      </c>
      <c r="K125" s="429" t="s">
        <v>718</v>
      </c>
      <c r="L125" s="443"/>
      <c r="M125" s="432" t="s">
        <v>60</v>
      </c>
      <c r="N125" s="443"/>
      <c r="O125" s="33"/>
      <c r="P125" s="33"/>
      <c r="Q125" s="16" t="s">
        <v>75</v>
      </c>
      <c r="R125" s="16" t="s">
        <v>75</v>
      </c>
      <c r="S125" s="16" t="s">
        <v>62</v>
      </c>
      <c r="T125" s="16" t="s">
        <v>62</v>
      </c>
      <c r="U125" s="51" t="s">
        <v>62</v>
      </c>
      <c r="V125" s="16"/>
      <c r="W125" s="51" t="s">
        <v>62</v>
      </c>
      <c r="X125" s="16"/>
      <c r="Y125" s="16"/>
      <c r="Z125" s="16"/>
      <c r="AA125" s="16"/>
      <c r="AB125" s="16"/>
      <c r="AC125" s="16"/>
      <c r="AD125" s="276" t="s">
        <v>63</v>
      </c>
      <c r="AE125" s="58"/>
      <c r="AF125" s="58"/>
      <c r="AG125" s="1122" t="s">
        <v>684</v>
      </c>
      <c r="AH125" s="711">
        <v>45483</v>
      </c>
      <c r="AI125" s="382">
        <v>45209</v>
      </c>
      <c r="AJ125" s="1272" t="s">
        <v>63</v>
      </c>
      <c r="AK125" s="1373" t="s">
        <v>684</v>
      </c>
      <c r="AL125" s="187"/>
      <c r="AM125" s="1373" t="s">
        <v>684</v>
      </c>
    </row>
    <row r="126" spans="1:40" ht="22.8" hidden="1" x14ac:dyDescent="0.3">
      <c r="A126" s="28">
        <v>125</v>
      </c>
      <c r="B126" s="20">
        <v>37381</v>
      </c>
      <c r="C126" s="27" t="s">
        <v>64</v>
      </c>
      <c r="D126" s="20" t="s">
        <v>716</v>
      </c>
      <c r="E126" s="20" t="s">
        <v>660</v>
      </c>
      <c r="F126" s="3" t="s">
        <v>661</v>
      </c>
      <c r="G126" s="29" t="s">
        <v>13</v>
      </c>
      <c r="H126" s="19">
        <v>44012</v>
      </c>
      <c r="I126" s="3">
        <v>710</v>
      </c>
      <c r="J126" s="3" t="s">
        <v>58</v>
      </c>
      <c r="K126" s="429" t="s">
        <v>59</v>
      </c>
      <c r="L126" s="443">
        <v>44152</v>
      </c>
      <c r="M126" s="432" t="s">
        <v>60</v>
      </c>
      <c r="N126" s="443">
        <v>44152</v>
      </c>
      <c r="O126" s="33">
        <v>44276</v>
      </c>
      <c r="P126" s="33"/>
      <c r="Q126" s="16" t="s">
        <v>75</v>
      </c>
      <c r="R126" s="16" t="s">
        <v>75</v>
      </c>
      <c r="S126" s="16" t="s">
        <v>68</v>
      </c>
      <c r="T126" s="16" t="s">
        <v>68</v>
      </c>
      <c r="U126" s="16" t="s">
        <v>68</v>
      </c>
      <c r="V126" s="16"/>
      <c r="W126" s="16"/>
      <c r="X126" s="16"/>
      <c r="Y126" s="16"/>
      <c r="Z126" s="16"/>
      <c r="AA126" s="16"/>
      <c r="AB126" s="16"/>
      <c r="AC126" s="16"/>
      <c r="AD126" s="276" t="s">
        <v>63</v>
      </c>
      <c r="AE126" s="58"/>
      <c r="AF126" s="709">
        <v>373997</v>
      </c>
      <c r="AG126" s="711">
        <v>45483</v>
      </c>
      <c r="AH126" s="711">
        <v>45468</v>
      </c>
      <c r="AI126" s="382">
        <v>373997</v>
      </c>
      <c r="AJ126" s="1270">
        <v>373997</v>
      </c>
      <c r="AK126" s="1374" t="s">
        <v>715</v>
      </c>
      <c r="AL126" s="187"/>
      <c r="AM126" s="231">
        <v>45483</v>
      </c>
    </row>
    <row r="127" spans="1:40" ht="22.8" hidden="1" x14ac:dyDescent="0.3">
      <c r="A127" s="28">
        <v>126</v>
      </c>
      <c r="B127" s="20">
        <v>37381</v>
      </c>
      <c r="C127" s="27" t="s">
        <v>54</v>
      </c>
      <c r="D127" s="20" t="s">
        <v>713</v>
      </c>
      <c r="E127" s="20" t="s">
        <v>660</v>
      </c>
      <c r="F127" s="3" t="s">
        <v>661</v>
      </c>
      <c r="G127" s="29" t="s">
        <v>13</v>
      </c>
      <c r="H127" s="19">
        <v>44012</v>
      </c>
      <c r="I127" s="3">
        <v>758</v>
      </c>
      <c r="J127" s="3" t="s">
        <v>58</v>
      </c>
      <c r="K127" s="429" t="s">
        <v>59</v>
      </c>
      <c r="L127" s="443">
        <v>44152</v>
      </c>
      <c r="M127" s="432" t="s">
        <v>60</v>
      </c>
      <c r="N127" s="443">
        <v>44152</v>
      </c>
      <c r="O127" s="33">
        <v>44276</v>
      </c>
      <c r="P127" s="33"/>
      <c r="Q127" s="16" t="s">
        <v>75</v>
      </c>
      <c r="R127" s="16" t="s">
        <v>75</v>
      </c>
      <c r="S127" s="16" t="s">
        <v>62</v>
      </c>
      <c r="T127" s="16" t="s">
        <v>62</v>
      </c>
      <c r="U127" s="51" t="s">
        <v>62</v>
      </c>
      <c r="V127" s="16"/>
      <c r="W127" s="16"/>
      <c r="X127" s="16"/>
      <c r="Y127" s="16"/>
      <c r="Z127" s="16"/>
      <c r="AA127" s="16"/>
      <c r="AB127" s="24" t="s">
        <v>714</v>
      </c>
      <c r="AC127" s="16"/>
      <c r="AD127" s="276" t="s">
        <v>63</v>
      </c>
      <c r="AE127" s="58"/>
      <c r="AF127" s="709">
        <v>373997</v>
      </c>
      <c r="AG127" s="711">
        <v>45483</v>
      </c>
      <c r="AH127" s="711">
        <v>45468</v>
      </c>
      <c r="AI127" s="382">
        <v>373997</v>
      </c>
      <c r="AJ127" s="1270">
        <v>373997</v>
      </c>
      <c r="AK127" s="1374" t="s">
        <v>715</v>
      </c>
      <c r="AL127" s="187"/>
      <c r="AM127" s="231">
        <v>45483</v>
      </c>
    </row>
    <row r="128" spans="1:40" ht="14.4" hidden="1" x14ac:dyDescent="0.3">
      <c r="A128" s="28">
        <v>127</v>
      </c>
      <c r="B128" s="20">
        <v>37426</v>
      </c>
      <c r="C128" s="27" t="s">
        <v>64</v>
      </c>
      <c r="D128" s="20" t="s">
        <v>712</v>
      </c>
      <c r="E128" s="20" t="s">
        <v>660</v>
      </c>
      <c r="F128" s="3" t="s">
        <v>661</v>
      </c>
      <c r="G128" s="29" t="s">
        <v>13</v>
      </c>
      <c r="H128" s="19">
        <v>44062</v>
      </c>
      <c r="I128" s="3">
        <v>808</v>
      </c>
      <c r="J128" s="3" t="s">
        <v>58</v>
      </c>
      <c r="K128" s="432"/>
      <c r="L128" s="443"/>
      <c r="M128" s="432"/>
      <c r="N128" s="443"/>
      <c r="O128" s="33"/>
      <c r="P128" s="33"/>
      <c r="Q128" s="16" t="s">
        <v>75</v>
      </c>
      <c r="R128" s="16" t="s">
        <v>75</v>
      </c>
      <c r="S128" s="16" t="s">
        <v>68</v>
      </c>
      <c r="T128" s="16" t="s">
        <v>68</v>
      </c>
      <c r="U128" s="16"/>
      <c r="V128" s="16"/>
      <c r="W128" s="16"/>
      <c r="X128" s="16" t="s">
        <v>75</v>
      </c>
      <c r="Y128" s="16"/>
      <c r="Z128" s="16"/>
      <c r="AA128" s="16"/>
      <c r="AB128" s="16"/>
      <c r="AC128" s="16"/>
      <c r="AD128" s="276" t="s">
        <v>63</v>
      </c>
      <c r="AE128" s="58"/>
      <c r="AF128" s="709">
        <v>45302</v>
      </c>
      <c r="AG128" s="711">
        <v>45468</v>
      </c>
      <c r="AH128" s="1310" t="s">
        <v>706</v>
      </c>
      <c r="AI128" s="382">
        <v>45302</v>
      </c>
      <c r="AJ128" s="1270">
        <v>45302</v>
      </c>
      <c r="AK128" s="1375">
        <v>45468</v>
      </c>
      <c r="AL128" s="187"/>
      <c r="AM128" s="1373" t="s">
        <v>697</v>
      </c>
    </row>
    <row r="129" spans="1:40" ht="14.4" hidden="1" x14ac:dyDescent="0.3">
      <c r="A129" s="28">
        <v>128</v>
      </c>
      <c r="B129" s="20">
        <v>37426</v>
      </c>
      <c r="C129" s="27" t="s">
        <v>54</v>
      </c>
      <c r="D129" s="20" t="s">
        <v>711</v>
      </c>
      <c r="E129" s="20" t="s">
        <v>660</v>
      </c>
      <c r="F129" s="3" t="s">
        <v>661</v>
      </c>
      <c r="G129" s="29" t="s">
        <v>13</v>
      </c>
      <c r="H129" s="19">
        <v>44062</v>
      </c>
      <c r="I129" s="3">
        <v>809</v>
      </c>
      <c r="J129" s="3" t="s">
        <v>58</v>
      </c>
      <c r="K129" s="432"/>
      <c r="L129" s="443"/>
      <c r="M129" s="432"/>
      <c r="N129" s="443"/>
      <c r="O129" s="33"/>
      <c r="P129" s="33"/>
      <c r="Q129" s="16" t="s">
        <v>75</v>
      </c>
      <c r="R129" s="16" t="s">
        <v>75</v>
      </c>
      <c r="S129" s="16" t="s">
        <v>62</v>
      </c>
      <c r="T129" s="16" t="s">
        <v>62</v>
      </c>
      <c r="U129" s="51"/>
      <c r="V129" s="16"/>
      <c r="W129" s="16"/>
      <c r="X129" s="16" t="s">
        <v>75</v>
      </c>
      <c r="Y129" s="16"/>
      <c r="Z129" s="16"/>
      <c r="AA129" s="16"/>
      <c r="AB129" s="16"/>
      <c r="AC129" s="16"/>
      <c r="AD129" s="276" t="s">
        <v>63</v>
      </c>
      <c r="AE129" s="58"/>
      <c r="AF129" s="709">
        <v>45302</v>
      </c>
      <c r="AG129" s="711">
        <v>45468</v>
      </c>
      <c r="AH129" s="1311" t="s">
        <v>706</v>
      </c>
      <c r="AI129" s="382">
        <v>45302</v>
      </c>
      <c r="AJ129" s="1270">
        <v>45302</v>
      </c>
      <c r="AK129" s="1375">
        <v>45468</v>
      </c>
      <c r="AL129" s="187"/>
      <c r="AM129" s="1373" t="s">
        <v>697</v>
      </c>
    </row>
    <row r="130" spans="1:40" ht="22.8" hidden="1" x14ac:dyDescent="0.3">
      <c r="A130" s="28">
        <v>129</v>
      </c>
      <c r="B130" s="20">
        <v>37440</v>
      </c>
      <c r="C130" s="27" t="s">
        <v>64</v>
      </c>
      <c r="D130" s="20" t="s">
        <v>709</v>
      </c>
      <c r="E130" s="20" t="s">
        <v>660</v>
      </c>
      <c r="F130" s="3" t="s">
        <v>661</v>
      </c>
      <c r="G130" s="29" t="s">
        <v>13</v>
      </c>
      <c r="H130" s="19">
        <v>44077</v>
      </c>
      <c r="I130" s="3">
        <v>847</v>
      </c>
      <c r="J130" s="3" t="s">
        <v>58</v>
      </c>
      <c r="K130" s="429" t="s">
        <v>59</v>
      </c>
      <c r="L130" s="443">
        <v>44834</v>
      </c>
      <c r="M130" s="432" t="s">
        <v>60</v>
      </c>
      <c r="N130" s="443">
        <v>44834</v>
      </c>
      <c r="O130" s="33"/>
      <c r="P130" s="33"/>
      <c r="Q130" s="16" t="s">
        <v>75</v>
      </c>
      <c r="R130" s="16" t="s">
        <v>75</v>
      </c>
      <c r="S130" s="16" t="s">
        <v>68</v>
      </c>
      <c r="T130" s="16" t="s">
        <v>68</v>
      </c>
      <c r="U130" s="16" t="s">
        <v>68</v>
      </c>
      <c r="V130" s="16"/>
      <c r="W130" s="16"/>
      <c r="X130" s="16" t="s">
        <v>75</v>
      </c>
      <c r="Y130" s="16"/>
      <c r="Z130" s="16"/>
      <c r="AA130" s="16"/>
      <c r="AB130" s="16"/>
      <c r="AC130" s="16"/>
      <c r="AD130" s="16" t="s">
        <v>68</v>
      </c>
      <c r="AE130" s="16" t="s">
        <v>68</v>
      </c>
      <c r="AF130" s="58"/>
      <c r="AG130" s="1121" t="s">
        <v>706</v>
      </c>
      <c r="AH130" s="382">
        <v>45491</v>
      </c>
      <c r="AI130" s="382">
        <v>45209</v>
      </c>
      <c r="AJ130" s="1271" t="s">
        <v>63</v>
      </c>
      <c r="AK130" s="1374" t="s">
        <v>707</v>
      </c>
      <c r="AL130" s="187"/>
      <c r="AM130" s="1373" t="s">
        <v>708</v>
      </c>
    </row>
    <row r="131" spans="1:40" ht="22.8" hidden="1" x14ac:dyDescent="0.3">
      <c r="A131" s="28">
        <v>130</v>
      </c>
      <c r="B131" s="20">
        <v>37440</v>
      </c>
      <c r="C131" s="27" t="s">
        <v>54</v>
      </c>
      <c r="D131" s="20" t="s">
        <v>705</v>
      </c>
      <c r="E131" s="20" t="s">
        <v>660</v>
      </c>
      <c r="F131" s="3" t="s">
        <v>661</v>
      </c>
      <c r="G131" s="29" t="s">
        <v>13</v>
      </c>
      <c r="H131" s="19">
        <v>44077</v>
      </c>
      <c r="I131" s="3">
        <v>840</v>
      </c>
      <c r="J131" s="3" t="s">
        <v>58</v>
      </c>
      <c r="K131" s="429" t="s">
        <v>59</v>
      </c>
      <c r="L131" s="443">
        <v>44834</v>
      </c>
      <c r="M131" s="432" t="s">
        <v>60</v>
      </c>
      <c r="N131" s="443">
        <v>44834</v>
      </c>
      <c r="O131" s="33"/>
      <c r="P131" s="33"/>
      <c r="Q131" s="16" t="s">
        <v>75</v>
      </c>
      <c r="R131" s="16" t="s">
        <v>75</v>
      </c>
      <c r="S131" s="16" t="s">
        <v>62</v>
      </c>
      <c r="T131" s="16" t="s">
        <v>62</v>
      </c>
      <c r="U131" s="51" t="s">
        <v>62</v>
      </c>
      <c r="V131" s="16"/>
      <c r="W131" s="16"/>
      <c r="X131" s="16" t="s">
        <v>75</v>
      </c>
      <c r="Y131" s="16"/>
      <c r="Z131" s="16"/>
      <c r="AA131" s="16"/>
      <c r="AB131" s="16"/>
      <c r="AC131" s="16"/>
      <c r="AD131" s="16" t="s">
        <v>62</v>
      </c>
      <c r="AF131" s="58"/>
      <c r="AG131" s="1122" t="s">
        <v>706</v>
      </c>
      <c r="AH131" s="382">
        <v>45491</v>
      </c>
      <c r="AI131" s="382">
        <v>45209</v>
      </c>
      <c r="AJ131" s="1271" t="s">
        <v>121</v>
      </c>
      <c r="AK131" s="1374" t="s">
        <v>707</v>
      </c>
      <c r="AL131" s="187"/>
      <c r="AM131" s="1373" t="s">
        <v>708</v>
      </c>
    </row>
    <row r="132" spans="1:40" ht="22.8" hidden="1" x14ac:dyDescent="0.3">
      <c r="A132" s="28">
        <v>131</v>
      </c>
      <c r="B132" s="20">
        <v>37458</v>
      </c>
      <c r="C132" s="27" t="s">
        <v>64</v>
      </c>
      <c r="D132" s="20" t="s">
        <v>704</v>
      </c>
      <c r="E132" s="20" t="s">
        <v>660</v>
      </c>
      <c r="F132" s="3" t="s">
        <v>661</v>
      </c>
      <c r="G132" s="29" t="s">
        <v>13</v>
      </c>
      <c r="H132" s="19">
        <v>44133</v>
      </c>
      <c r="I132" s="3">
        <v>933</v>
      </c>
      <c r="J132" s="3" t="s">
        <v>58</v>
      </c>
      <c r="K132" s="429" t="s">
        <v>59</v>
      </c>
      <c r="L132" s="432" t="s">
        <v>75</v>
      </c>
      <c r="M132" s="432"/>
      <c r="N132" s="443"/>
      <c r="O132" s="33"/>
      <c r="P132" s="33"/>
      <c r="Q132" s="16" t="s">
        <v>75</v>
      </c>
      <c r="R132" s="16" t="s">
        <v>75</v>
      </c>
      <c r="S132" s="16" t="s">
        <v>68</v>
      </c>
      <c r="T132" s="16" t="s">
        <v>68</v>
      </c>
      <c r="U132" s="16"/>
      <c r="V132" s="16"/>
      <c r="W132" s="16"/>
      <c r="X132" s="16" t="s">
        <v>75</v>
      </c>
      <c r="Y132" s="16"/>
      <c r="Z132" s="16"/>
      <c r="AA132" s="16"/>
      <c r="AB132" s="16"/>
      <c r="AC132" s="16"/>
      <c r="AD132" s="16" t="s">
        <v>68</v>
      </c>
      <c r="AE132" s="58"/>
      <c r="AF132" s="58"/>
      <c r="AG132" s="382">
        <v>45491</v>
      </c>
      <c r="AH132" s="382">
        <v>45427</v>
      </c>
      <c r="AI132" s="382">
        <v>45244</v>
      </c>
      <c r="AJ132" s="1273">
        <v>45401</v>
      </c>
      <c r="AK132" s="1379">
        <v>45401</v>
      </c>
      <c r="AL132" s="187"/>
      <c r="AM132" s="1373" t="s">
        <v>703</v>
      </c>
    </row>
    <row r="133" spans="1:40" ht="22.8" hidden="1" x14ac:dyDescent="0.3">
      <c r="A133" s="28">
        <v>132</v>
      </c>
      <c r="B133" s="20">
        <v>37458</v>
      </c>
      <c r="C133" s="27" t="s">
        <v>54</v>
      </c>
      <c r="D133" s="20" t="s">
        <v>702</v>
      </c>
      <c r="E133" s="20" t="s">
        <v>660</v>
      </c>
      <c r="F133" s="3" t="s">
        <v>661</v>
      </c>
      <c r="G133" s="29" t="s">
        <v>13</v>
      </c>
      <c r="H133" s="19">
        <v>44133</v>
      </c>
      <c r="I133" s="3">
        <v>932</v>
      </c>
      <c r="J133" s="3" t="s">
        <v>58</v>
      </c>
      <c r="K133" s="429" t="s">
        <v>59</v>
      </c>
      <c r="L133" s="432" t="s">
        <v>75</v>
      </c>
      <c r="M133" s="432"/>
      <c r="N133" s="443"/>
      <c r="O133" s="33"/>
      <c r="P133" s="33"/>
      <c r="Q133" s="16" t="s">
        <v>75</v>
      </c>
      <c r="R133" s="16" t="s">
        <v>75</v>
      </c>
      <c r="S133" s="16" t="s">
        <v>62</v>
      </c>
      <c r="T133" s="16" t="s">
        <v>62</v>
      </c>
      <c r="U133" s="16"/>
      <c r="V133" s="16"/>
      <c r="W133" s="16"/>
      <c r="X133" s="16" t="s">
        <v>75</v>
      </c>
      <c r="Y133" s="16"/>
      <c r="Z133" s="16"/>
      <c r="AA133" s="16"/>
      <c r="AB133" s="16"/>
      <c r="AC133" s="16"/>
      <c r="AD133" s="16" t="s">
        <v>62</v>
      </c>
      <c r="AE133" s="58"/>
      <c r="AF133" s="58"/>
      <c r="AG133" s="382">
        <v>45491</v>
      </c>
      <c r="AH133" s="382">
        <v>45427</v>
      </c>
      <c r="AI133" s="382">
        <v>45244</v>
      </c>
      <c r="AJ133" s="1273">
        <v>45401</v>
      </c>
      <c r="AK133" s="1379">
        <v>45401</v>
      </c>
      <c r="AL133" s="187"/>
      <c r="AM133" s="1373" t="s">
        <v>703</v>
      </c>
    </row>
    <row r="134" spans="1:40" ht="22.8" hidden="1" x14ac:dyDescent="0.3">
      <c r="A134" s="28">
        <v>133</v>
      </c>
      <c r="B134" s="20">
        <v>37468</v>
      </c>
      <c r="C134" s="27" t="s">
        <v>64</v>
      </c>
      <c r="D134" s="20" t="s">
        <v>701</v>
      </c>
      <c r="E134" s="20" t="s">
        <v>660</v>
      </c>
      <c r="F134" s="3" t="s">
        <v>661</v>
      </c>
      <c r="G134" s="29" t="s">
        <v>13</v>
      </c>
      <c r="H134" s="19">
        <v>44134</v>
      </c>
      <c r="I134" s="3">
        <v>972</v>
      </c>
      <c r="J134" s="3" t="s">
        <v>58</v>
      </c>
      <c r="K134" s="429" t="s">
        <v>59</v>
      </c>
      <c r="L134" s="432" t="s">
        <v>75</v>
      </c>
      <c r="M134" s="432" t="s">
        <v>60</v>
      </c>
      <c r="N134" s="443">
        <v>44146</v>
      </c>
      <c r="O134" s="33">
        <v>44621</v>
      </c>
      <c r="P134" s="33"/>
      <c r="Q134" s="16" t="s">
        <v>75</v>
      </c>
      <c r="R134" s="16" t="s">
        <v>75</v>
      </c>
      <c r="S134" s="16" t="s">
        <v>68</v>
      </c>
      <c r="T134" s="16" t="s">
        <v>68</v>
      </c>
      <c r="U134" s="16" t="s">
        <v>68</v>
      </c>
      <c r="V134" s="16"/>
      <c r="W134" s="16"/>
      <c r="X134" s="16" t="s">
        <v>75</v>
      </c>
      <c r="Y134" s="16"/>
      <c r="Z134" s="16"/>
      <c r="AA134" s="16"/>
      <c r="AB134" s="16"/>
      <c r="AC134" s="16"/>
      <c r="AD134" s="276" t="s">
        <v>63</v>
      </c>
      <c r="AE134" s="58"/>
      <c r="AF134" s="58"/>
      <c r="AG134" s="382">
        <v>45427</v>
      </c>
      <c r="AH134" s="1310" t="s">
        <v>697</v>
      </c>
      <c r="AI134" s="382">
        <v>45280</v>
      </c>
      <c r="AJ134" s="1272" t="s">
        <v>63</v>
      </c>
      <c r="AK134" s="1382"/>
      <c r="AL134" s="187"/>
      <c r="AM134" s="187" t="s">
        <v>662</v>
      </c>
    </row>
    <row r="135" spans="1:40" ht="22.8" hidden="1" x14ac:dyDescent="0.3">
      <c r="A135" s="28">
        <v>134</v>
      </c>
      <c r="B135" s="20">
        <v>37468</v>
      </c>
      <c r="C135" s="27" t="s">
        <v>54</v>
      </c>
      <c r="D135" s="20" t="s">
        <v>700</v>
      </c>
      <c r="E135" s="20" t="s">
        <v>660</v>
      </c>
      <c r="F135" s="3" t="s">
        <v>661</v>
      </c>
      <c r="G135" s="29" t="s">
        <v>13</v>
      </c>
      <c r="H135" s="19">
        <v>44134</v>
      </c>
      <c r="I135" s="3">
        <v>973</v>
      </c>
      <c r="J135" s="3" t="s">
        <v>58</v>
      </c>
      <c r="K135" s="429" t="s">
        <v>59</v>
      </c>
      <c r="L135" s="432" t="s">
        <v>75</v>
      </c>
      <c r="M135" s="432" t="s">
        <v>60</v>
      </c>
      <c r="N135" s="443">
        <v>44146</v>
      </c>
      <c r="O135" s="33">
        <v>44621</v>
      </c>
      <c r="P135" s="33"/>
      <c r="Q135" s="16" t="s">
        <v>75</v>
      </c>
      <c r="R135" s="16" t="s">
        <v>75</v>
      </c>
      <c r="S135" s="16" t="s">
        <v>62</v>
      </c>
      <c r="T135" s="16" t="s">
        <v>62</v>
      </c>
      <c r="U135" s="51" t="s">
        <v>62</v>
      </c>
      <c r="V135" s="16"/>
      <c r="W135" s="16"/>
      <c r="X135" s="16" t="s">
        <v>75</v>
      </c>
      <c r="Y135" s="16"/>
      <c r="Z135" s="16"/>
      <c r="AA135" s="16"/>
      <c r="AB135" s="16"/>
      <c r="AC135" s="16"/>
      <c r="AD135" s="276" t="s">
        <v>63</v>
      </c>
      <c r="AE135" s="58"/>
      <c r="AF135" s="58"/>
      <c r="AG135" s="382">
        <v>45427</v>
      </c>
      <c r="AH135" s="1311" t="s">
        <v>697</v>
      </c>
      <c r="AI135" s="382">
        <v>45280</v>
      </c>
      <c r="AJ135" s="1272" t="s">
        <v>63</v>
      </c>
      <c r="AK135" s="1382"/>
      <c r="AL135" s="187"/>
      <c r="AM135" s="187" t="s">
        <v>662</v>
      </c>
    </row>
    <row r="136" spans="1:40" ht="22.8" hidden="1" x14ac:dyDescent="0.3">
      <c r="A136" s="28">
        <v>135</v>
      </c>
      <c r="B136" s="20">
        <v>37510</v>
      </c>
      <c r="C136" s="27" t="s">
        <v>64</v>
      </c>
      <c r="D136" s="3" t="s">
        <v>699</v>
      </c>
      <c r="E136" s="20" t="s">
        <v>660</v>
      </c>
      <c r="F136" s="3" t="s">
        <v>661</v>
      </c>
      <c r="G136" s="29" t="s">
        <v>13</v>
      </c>
      <c r="H136" s="19">
        <v>44192</v>
      </c>
      <c r="I136" s="3">
        <v>842</v>
      </c>
      <c r="J136" s="3" t="s">
        <v>58</v>
      </c>
      <c r="K136" s="429" t="s">
        <v>59</v>
      </c>
      <c r="L136" s="443" t="s">
        <v>63</v>
      </c>
      <c r="M136" s="452" t="s">
        <v>60</v>
      </c>
      <c r="N136" s="443" t="s">
        <v>63</v>
      </c>
      <c r="O136" s="33">
        <v>44597</v>
      </c>
      <c r="P136" s="33"/>
      <c r="Q136" s="16" t="s">
        <v>75</v>
      </c>
      <c r="R136" s="16" t="s">
        <v>75</v>
      </c>
      <c r="S136" s="16" t="s">
        <v>68</v>
      </c>
      <c r="T136" s="16" t="s">
        <v>68</v>
      </c>
      <c r="U136" s="16" t="s">
        <v>68</v>
      </c>
      <c r="V136" s="16"/>
      <c r="W136" s="16"/>
      <c r="X136" s="16" t="s">
        <v>75</v>
      </c>
      <c r="Y136" s="16"/>
      <c r="Z136" s="16"/>
      <c r="AA136" s="16"/>
      <c r="AB136" s="16"/>
      <c r="AC136" s="16"/>
      <c r="AD136" s="276" t="s">
        <v>63</v>
      </c>
      <c r="AE136" s="58"/>
      <c r="AF136" s="58"/>
      <c r="AG136" s="1121" t="s">
        <v>697</v>
      </c>
      <c r="AH136" s="382">
        <v>45466</v>
      </c>
      <c r="AI136" s="382">
        <v>45280</v>
      </c>
      <c r="AJ136" s="1272" t="s">
        <v>75</v>
      </c>
      <c r="AK136" s="1373" t="s">
        <v>698</v>
      </c>
      <c r="AL136" s="187"/>
      <c r="AM136" s="1373" t="s">
        <v>697</v>
      </c>
    </row>
    <row r="137" spans="1:40" ht="22.8" hidden="1" x14ac:dyDescent="0.3">
      <c r="A137" s="28">
        <v>136</v>
      </c>
      <c r="B137" s="20">
        <v>37510</v>
      </c>
      <c r="C137" s="27" t="s">
        <v>54</v>
      </c>
      <c r="D137" s="3" t="s">
        <v>696</v>
      </c>
      <c r="E137" s="20" t="s">
        <v>660</v>
      </c>
      <c r="F137" s="3" t="s">
        <v>661</v>
      </c>
      <c r="G137" s="29" t="s">
        <v>13</v>
      </c>
      <c r="H137" s="19">
        <v>44192</v>
      </c>
      <c r="I137" s="3">
        <v>947</v>
      </c>
      <c r="J137" s="3" t="s">
        <v>58</v>
      </c>
      <c r="K137" s="429" t="s">
        <v>59</v>
      </c>
      <c r="L137" s="432" t="s">
        <v>75</v>
      </c>
      <c r="M137" s="452" t="s">
        <v>60</v>
      </c>
      <c r="N137" s="443" t="s">
        <v>63</v>
      </c>
      <c r="O137" s="33">
        <v>44597</v>
      </c>
      <c r="P137" s="33"/>
      <c r="Q137" s="16" t="s">
        <v>75</v>
      </c>
      <c r="R137" s="16" t="s">
        <v>75</v>
      </c>
      <c r="S137" s="16" t="s">
        <v>62</v>
      </c>
      <c r="T137" s="16" t="s">
        <v>62</v>
      </c>
      <c r="U137" s="16" t="s">
        <v>62</v>
      </c>
      <c r="V137" s="16"/>
      <c r="W137" s="16"/>
      <c r="X137" s="16" t="s">
        <v>75</v>
      </c>
      <c r="Y137" s="16"/>
      <c r="Z137" s="16"/>
      <c r="AA137" s="16"/>
      <c r="AB137" s="16"/>
      <c r="AC137" s="16"/>
      <c r="AD137" s="276" t="s">
        <v>63</v>
      </c>
      <c r="AE137" s="58"/>
      <c r="AF137" s="58"/>
      <c r="AG137" s="1122" t="s">
        <v>697</v>
      </c>
      <c r="AH137" s="382">
        <v>45466</v>
      </c>
      <c r="AI137" s="382">
        <v>45280</v>
      </c>
      <c r="AJ137" s="1272" t="s">
        <v>75</v>
      </c>
      <c r="AK137" s="1373" t="s">
        <v>698</v>
      </c>
      <c r="AL137" s="187"/>
      <c r="AM137" s="1373" t="s">
        <v>697</v>
      </c>
    </row>
    <row r="138" spans="1:40" ht="22.8" hidden="1" x14ac:dyDescent="0.3">
      <c r="A138" s="28">
        <v>137</v>
      </c>
      <c r="B138" s="20">
        <v>37512</v>
      </c>
      <c r="C138" s="27" t="s">
        <v>64</v>
      </c>
      <c r="D138" s="20" t="s">
        <v>695</v>
      </c>
      <c r="E138" s="20" t="s">
        <v>660</v>
      </c>
      <c r="F138" s="3" t="s">
        <v>661</v>
      </c>
      <c r="G138" s="29" t="s">
        <v>13</v>
      </c>
      <c r="H138" s="19">
        <v>44195</v>
      </c>
      <c r="I138" s="3">
        <v>946</v>
      </c>
      <c r="J138" s="3" t="s">
        <v>58</v>
      </c>
      <c r="K138" s="429" t="s">
        <v>59</v>
      </c>
      <c r="L138" s="432" t="s">
        <v>75</v>
      </c>
      <c r="M138" s="452" t="s">
        <v>60</v>
      </c>
      <c r="N138" s="443" t="s">
        <v>63</v>
      </c>
      <c r="O138" s="33">
        <v>44606</v>
      </c>
      <c r="P138" s="33"/>
      <c r="Q138" s="16" t="s">
        <v>75</v>
      </c>
      <c r="R138" s="16" t="s">
        <v>75</v>
      </c>
      <c r="S138" s="16" t="s">
        <v>68</v>
      </c>
      <c r="T138" s="16" t="s">
        <v>68</v>
      </c>
      <c r="U138" s="16" t="s">
        <v>68</v>
      </c>
      <c r="V138" s="16"/>
      <c r="W138" s="16"/>
      <c r="X138" s="16" t="s">
        <v>75</v>
      </c>
      <c r="Y138" s="16"/>
      <c r="Z138" s="16"/>
      <c r="AA138" s="16"/>
      <c r="AB138" s="16"/>
      <c r="AC138" s="16"/>
      <c r="AD138" s="276" t="s">
        <v>63</v>
      </c>
      <c r="AE138" s="58"/>
      <c r="AF138" s="709">
        <v>45276</v>
      </c>
      <c r="AG138" s="382">
        <v>45466</v>
      </c>
      <c r="AH138" s="382">
        <v>45466</v>
      </c>
      <c r="AI138" s="382">
        <v>45276</v>
      </c>
      <c r="AJ138" s="1270">
        <v>45276</v>
      </c>
      <c r="AK138" s="1375">
        <v>45465</v>
      </c>
      <c r="AL138" s="187"/>
      <c r="AM138" s="1373" t="s">
        <v>694</v>
      </c>
    </row>
    <row r="139" spans="1:40" ht="22.8" hidden="1" x14ac:dyDescent="0.3">
      <c r="A139" s="28">
        <v>138</v>
      </c>
      <c r="B139" s="20">
        <v>37512</v>
      </c>
      <c r="C139" s="27" t="s">
        <v>54</v>
      </c>
      <c r="D139" s="20" t="s">
        <v>693</v>
      </c>
      <c r="E139" s="20" t="s">
        <v>660</v>
      </c>
      <c r="F139" s="3" t="s">
        <v>661</v>
      </c>
      <c r="G139" s="29" t="s">
        <v>13</v>
      </c>
      <c r="H139" s="19">
        <v>44195</v>
      </c>
      <c r="I139" s="3">
        <v>835</v>
      </c>
      <c r="J139" s="3" t="s">
        <v>58</v>
      </c>
      <c r="K139" s="429" t="s">
        <v>59</v>
      </c>
      <c r="L139" s="443" t="s">
        <v>63</v>
      </c>
      <c r="M139" s="452" t="s">
        <v>60</v>
      </c>
      <c r="N139" s="443" t="s">
        <v>63</v>
      </c>
      <c r="O139" s="33">
        <v>44606</v>
      </c>
      <c r="P139" s="33"/>
      <c r="Q139" s="16" t="s">
        <v>75</v>
      </c>
      <c r="R139" s="16" t="s">
        <v>75</v>
      </c>
      <c r="S139" s="16" t="s">
        <v>62</v>
      </c>
      <c r="T139" s="16" t="s">
        <v>62</v>
      </c>
      <c r="U139" s="16" t="s">
        <v>62</v>
      </c>
      <c r="V139" s="16"/>
      <c r="W139" s="16"/>
      <c r="X139" s="16" t="s">
        <v>75</v>
      </c>
      <c r="Y139" s="16"/>
      <c r="Z139" s="16"/>
      <c r="AA139" s="16"/>
      <c r="AB139" s="16"/>
      <c r="AC139" s="16"/>
      <c r="AD139" s="276" t="s">
        <v>63</v>
      </c>
      <c r="AE139" s="58"/>
      <c r="AF139" s="709">
        <v>45276</v>
      </c>
      <c r="AG139" s="382">
        <v>45466</v>
      </c>
      <c r="AH139" s="382">
        <v>45466</v>
      </c>
      <c r="AI139" s="382">
        <v>45276</v>
      </c>
      <c r="AJ139" s="1270">
        <v>45276</v>
      </c>
      <c r="AK139" s="1375">
        <v>45466</v>
      </c>
      <c r="AL139" s="187"/>
      <c r="AM139" s="1373" t="s">
        <v>694</v>
      </c>
    </row>
    <row r="140" spans="1:40" ht="22.8" hidden="1" x14ac:dyDescent="0.3">
      <c r="A140" s="28">
        <v>139</v>
      </c>
      <c r="B140" s="20">
        <v>39087</v>
      </c>
      <c r="C140" s="27" t="s">
        <v>64</v>
      </c>
      <c r="D140" s="3" t="s">
        <v>691</v>
      </c>
      <c r="E140" s="20" t="s">
        <v>660</v>
      </c>
      <c r="F140" s="3" t="s">
        <v>661</v>
      </c>
      <c r="G140" s="29" t="s">
        <v>13</v>
      </c>
      <c r="H140" s="19">
        <v>43697</v>
      </c>
      <c r="I140" s="3">
        <v>482</v>
      </c>
      <c r="J140" s="3" t="s">
        <v>58</v>
      </c>
      <c r="K140" s="429" t="s">
        <v>59</v>
      </c>
      <c r="L140" s="443">
        <v>44858</v>
      </c>
      <c r="M140" s="432" t="s">
        <v>60</v>
      </c>
      <c r="N140" s="443">
        <v>44838</v>
      </c>
      <c r="O140" s="33"/>
      <c r="P140" s="33"/>
      <c r="Q140" s="16"/>
      <c r="R140" s="16" t="s">
        <v>68</v>
      </c>
      <c r="S140" s="16" t="s">
        <v>68</v>
      </c>
      <c r="T140" s="16" t="s">
        <v>68</v>
      </c>
      <c r="U140" s="16" t="s">
        <v>68</v>
      </c>
      <c r="V140" s="16"/>
      <c r="W140" s="16" t="s">
        <v>68</v>
      </c>
      <c r="X140" s="16"/>
      <c r="Y140" s="16"/>
      <c r="Z140" s="16"/>
      <c r="AA140" s="16"/>
      <c r="AB140" s="24" t="s">
        <v>692</v>
      </c>
      <c r="AC140" s="16"/>
      <c r="AD140" s="276" t="s">
        <v>63</v>
      </c>
      <c r="AE140" s="58"/>
      <c r="AF140" s="709">
        <v>45294</v>
      </c>
      <c r="AG140" s="711">
        <v>45441</v>
      </c>
      <c r="AH140" s="711">
        <v>45441</v>
      </c>
      <c r="AI140" s="382">
        <v>45294</v>
      </c>
      <c r="AJ140" s="1270">
        <v>45294</v>
      </c>
      <c r="AK140" s="1378">
        <v>45294</v>
      </c>
      <c r="AL140" s="187"/>
      <c r="AM140" s="1265" t="s">
        <v>690</v>
      </c>
    </row>
    <row r="141" spans="1:40" ht="22.8" hidden="1" x14ac:dyDescent="0.3">
      <c r="A141" s="28">
        <v>140</v>
      </c>
      <c r="B141" s="20">
        <v>39087</v>
      </c>
      <c r="C141" s="27" t="s">
        <v>54</v>
      </c>
      <c r="D141" s="3" t="s">
        <v>687</v>
      </c>
      <c r="E141" s="20" t="s">
        <v>660</v>
      </c>
      <c r="F141" s="3" t="s">
        <v>661</v>
      </c>
      <c r="G141" s="29" t="s">
        <v>13</v>
      </c>
      <c r="H141" s="19">
        <v>43697</v>
      </c>
      <c r="I141" s="3">
        <v>489</v>
      </c>
      <c r="J141" s="3" t="s">
        <v>58</v>
      </c>
      <c r="K141" s="429" t="s">
        <v>59</v>
      </c>
      <c r="L141" s="443">
        <v>44858</v>
      </c>
      <c r="M141" s="432" t="s">
        <v>60</v>
      </c>
      <c r="N141" s="443">
        <v>44838</v>
      </c>
      <c r="O141" s="33"/>
      <c r="P141" s="33"/>
      <c r="Q141" s="16"/>
      <c r="R141" s="16" t="s">
        <v>62</v>
      </c>
      <c r="S141" s="16" t="s">
        <v>62</v>
      </c>
      <c r="T141" s="16" t="s">
        <v>62</v>
      </c>
      <c r="U141" s="51" t="s">
        <v>62</v>
      </c>
      <c r="V141" s="16"/>
      <c r="W141" s="16" t="s">
        <v>62</v>
      </c>
      <c r="X141" s="16"/>
      <c r="Y141" s="16"/>
      <c r="Z141" s="16"/>
      <c r="AA141" s="16"/>
      <c r="AB141" s="24" t="s">
        <v>688</v>
      </c>
      <c r="AC141" s="16"/>
      <c r="AD141" s="276" t="s">
        <v>63</v>
      </c>
      <c r="AE141" s="58" t="s">
        <v>604</v>
      </c>
      <c r="AF141" s="381">
        <v>45325</v>
      </c>
      <c r="AG141" s="711">
        <v>45441</v>
      </c>
      <c r="AH141" s="711">
        <v>45441</v>
      </c>
      <c r="AI141" s="382">
        <v>45335</v>
      </c>
      <c r="AJ141" s="1270">
        <v>45335</v>
      </c>
      <c r="AK141" s="1378">
        <v>45335</v>
      </c>
      <c r="AL141" s="187"/>
      <c r="AM141" s="1265" t="s">
        <v>690</v>
      </c>
    </row>
    <row r="142" spans="1:40" ht="22.8" hidden="1" x14ac:dyDescent="0.3">
      <c r="A142" s="28">
        <v>141</v>
      </c>
      <c r="B142" s="20">
        <v>39090</v>
      </c>
      <c r="C142" s="27" t="s">
        <v>64</v>
      </c>
      <c r="D142" s="3" t="s">
        <v>686</v>
      </c>
      <c r="E142" s="20" t="s">
        <v>660</v>
      </c>
      <c r="F142" s="3" t="s">
        <v>661</v>
      </c>
      <c r="G142" s="29" t="s">
        <v>13</v>
      </c>
      <c r="H142" s="19">
        <v>43710</v>
      </c>
      <c r="I142" s="3">
        <v>525</v>
      </c>
      <c r="J142" s="3" t="s">
        <v>58</v>
      </c>
      <c r="K142" s="429" t="s">
        <v>59</v>
      </c>
      <c r="L142" s="443">
        <v>44209</v>
      </c>
      <c r="M142" s="432" t="s">
        <v>60</v>
      </c>
      <c r="N142" s="443">
        <v>44209</v>
      </c>
      <c r="O142" s="33">
        <v>44295</v>
      </c>
      <c r="P142" s="33"/>
      <c r="Q142" s="16" t="s">
        <v>75</v>
      </c>
      <c r="R142" s="16" t="s">
        <v>75</v>
      </c>
      <c r="S142" s="16" t="s">
        <v>68</v>
      </c>
      <c r="T142" s="16" t="s">
        <v>68</v>
      </c>
      <c r="U142" s="16" t="s">
        <v>68</v>
      </c>
      <c r="V142" s="16"/>
      <c r="W142" s="16" t="s">
        <v>68</v>
      </c>
      <c r="X142" s="16"/>
      <c r="Y142" s="16"/>
      <c r="Z142" s="16"/>
      <c r="AA142" s="16"/>
      <c r="AB142" s="24" t="s">
        <v>121</v>
      </c>
      <c r="AC142" s="16"/>
      <c r="AD142" s="16" t="s">
        <v>68</v>
      </c>
      <c r="AE142" s="58"/>
      <c r="AF142" s="825">
        <v>45345</v>
      </c>
      <c r="AG142" s="1121" t="s">
        <v>684</v>
      </c>
      <c r="AH142" s="1310" t="s">
        <v>684</v>
      </c>
      <c r="AI142" s="382">
        <v>45345</v>
      </c>
      <c r="AJ142" s="1273">
        <v>45345</v>
      </c>
      <c r="AK142" s="1379">
        <v>45345</v>
      </c>
      <c r="AL142" s="187"/>
      <c r="AM142" s="1374" t="s">
        <v>685</v>
      </c>
      <c r="AN142" s="381"/>
    </row>
    <row r="143" spans="1:40" ht="22.8" hidden="1" x14ac:dyDescent="0.3">
      <c r="A143" s="28">
        <v>142</v>
      </c>
      <c r="B143" s="20">
        <v>39090</v>
      </c>
      <c r="C143" s="27" t="s">
        <v>54</v>
      </c>
      <c r="D143" s="3" t="s">
        <v>683</v>
      </c>
      <c r="E143" s="20" t="s">
        <v>660</v>
      </c>
      <c r="F143" s="3" t="s">
        <v>661</v>
      </c>
      <c r="G143" s="29" t="s">
        <v>13</v>
      </c>
      <c r="H143" s="19">
        <v>43710</v>
      </c>
      <c r="I143" s="3">
        <v>487</v>
      </c>
      <c r="J143" s="3" t="s">
        <v>58</v>
      </c>
      <c r="K143" s="429" t="s">
        <v>59</v>
      </c>
      <c r="L143" s="443">
        <v>44209</v>
      </c>
      <c r="M143" s="432" t="s">
        <v>60</v>
      </c>
      <c r="N143" s="443">
        <v>44209</v>
      </c>
      <c r="O143" s="33">
        <v>44295</v>
      </c>
      <c r="P143" s="33"/>
      <c r="Q143" s="16"/>
      <c r="R143" s="16" t="s">
        <v>75</v>
      </c>
      <c r="S143" s="16" t="s">
        <v>62</v>
      </c>
      <c r="T143" s="16" t="s">
        <v>62</v>
      </c>
      <c r="U143" s="51" t="s">
        <v>62</v>
      </c>
      <c r="V143" s="16"/>
      <c r="W143" s="51" t="s">
        <v>62</v>
      </c>
      <c r="X143" s="16"/>
      <c r="Y143" s="16"/>
      <c r="Z143" s="16"/>
      <c r="AA143" s="16"/>
      <c r="AB143" s="24" t="s">
        <v>121</v>
      </c>
      <c r="AC143" s="16"/>
      <c r="AD143" s="16" t="s">
        <v>62</v>
      </c>
      <c r="AE143" s="58"/>
      <c r="AF143" s="825">
        <v>45343</v>
      </c>
      <c r="AG143" s="1122" t="s">
        <v>684</v>
      </c>
      <c r="AH143" s="1311" t="s">
        <v>684</v>
      </c>
      <c r="AI143" s="382">
        <v>45343</v>
      </c>
      <c r="AJ143" s="1273">
        <v>45343</v>
      </c>
      <c r="AK143" s="1379">
        <v>45343</v>
      </c>
      <c r="AL143" s="187"/>
      <c r="AM143" s="1374" t="s">
        <v>685</v>
      </c>
    </row>
    <row r="144" spans="1:40" ht="22.8" hidden="1" x14ac:dyDescent="0.3">
      <c r="A144" s="28">
        <v>143</v>
      </c>
      <c r="B144" s="20">
        <v>30599</v>
      </c>
      <c r="C144" s="27" t="s">
        <v>64</v>
      </c>
      <c r="D144" s="12" t="s">
        <v>936</v>
      </c>
      <c r="E144" s="20" t="s">
        <v>862</v>
      </c>
      <c r="F144" s="29" t="s">
        <v>863</v>
      </c>
      <c r="G144" s="29" t="s">
        <v>13</v>
      </c>
      <c r="H144" s="19">
        <v>43112</v>
      </c>
      <c r="I144" s="3">
        <v>112</v>
      </c>
      <c r="J144" s="3" t="s">
        <v>58</v>
      </c>
      <c r="K144" s="429" t="s">
        <v>59</v>
      </c>
      <c r="L144" s="442">
        <v>44140</v>
      </c>
      <c r="M144" s="453" t="s">
        <v>871</v>
      </c>
      <c r="N144" s="442">
        <v>44709</v>
      </c>
      <c r="O144" s="733">
        <v>45751</v>
      </c>
      <c r="P144" s="735">
        <v>45751</v>
      </c>
      <c r="Q144" s="736"/>
      <c r="R144" s="736" t="s">
        <v>63</v>
      </c>
      <c r="S144" s="736"/>
      <c r="T144" s="736" t="s">
        <v>206</v>
      </c>
      <c r="U144" s="736"/>
      <c r="V144" s="736"/>
      <c r="W144" s="736"/>
      <c r="X144" s="736" t="s">
        <v>206</v>
      </c>
      <c r="Y144" s="736" t="s">
        <v>206</v>
      </c>
      <c r="Z144" s="42"/>
      <c r="AA144" s="42"/>
      <c r="AB144" s="723" t="s">
        <v>937</v>
      </c>
      <c r="AC144" s="720"/>
      <c r="AD144" s="737" t="s">
        <v>63</v>
      </c>
      <c r="AE144" s="728">
        <v>45267</v>
      </c>
      <c r="AF144" s="728">
        <v>45267</v>
      </c>
      <c r="AG144" s="725"/>
      <c r="AH144" s="1360">
        <v>45492</v>
      </c>
      <c r="AI144" s="728">
        <v>45272</v>
      </c>
      <c r="AJ144" s="725" t="s">
        <v>206</v>
      </c>
      <c r="AK144" s="1066">
        <v>45457</v>
      </c>
      <c r="AM144" s="1066">
        <v>45537</v>
      </c>
      <c r="AN144" s="381"/>
    </row>
    <row r="145" spans="1:40" ht="22.8" hidden="1" x14ac:dyDescent="0.3">
      <c r="A145" s="28">
        <v>144</v>
      </c>
      <c r="B145" s="20">
        <v>30599</v>
      </c>
      <c r="C145" s="27" t="s">
        <v>54</v>
      </c>
      <c r="D145" s="12" t="s">
        <v>938</v>
      </c>
      <c r="E145" s="20" t="s">
        <v>862</v>
      </c>
      <c r="F145" s="29" t="s">
        <v>863</v>
      </c>
      <c r="G145" s="29" t="s">
        <v>13</v>
      </c>
      <c r="H145" s="19">
        <v>43112</v>
      </c>
      <c r="I145" s="3">
        <v>115</v>
      </c>
      <c r="J145" s="3" t="s">
        <v>58</v>
      </c>
      <c r="K145" s="429" t="s">
        <v>59</v>
      </c>
      <c r="L145" s="442">
        <v>44140</v>
      </c>
      <c r="M145" s="453" t="s">
        <v>871</v>
      </c>
      <c r="N145" s="442">
        <v>44709</v>
      </c>
      <c r="O145" s="733">
        <v>45751</v>
      </c>
      <c r="P145" s="735">
        <v>45751</v>
      </c>
      <c r="Q145" s="736"/>
      <c r="R145" s="736" t="s">
        <v>63</v>
      </c>
      <c r="S145" s="736"/>
      <c r="T145" s="736" t="s">
        <v>206</v>
      </c>
      <c r="U145" s="736"/>
      <c r="V145" s="736"/>
      <c r="W145" s="736"/>
      <c r="X145" s="736" t="s">
        <v>206</v>
      </c>
      <c r="Y145" s="736" t="s">
        <v>206</v>
      </c>
      <c r="Z145" s="42"/>
      <c r="AA145" s="42"/>
      <c r="AB145" s="723" t="s">
        <v>939</v>
      </c>
      <c r="AC145" s="720"/>
      <c r="AD145" s="737" t="s">
        <v>63</v>
      </c>
      <c r="AE145" s="728">
        <v>45267</v>
      </c>
      <c r="AF145" s="728">
        <v>45267</v>
      </c>
      <c r="AG145" s="725"/>
      <c r="AH145" s="1360">
        <v>45492</v>
      </c>
      <c r="AI145" s="728">
        <v>45272</v>
      </c>
      <c r="AJ145" s="725" t="s">
        <v>206</v>
      </c>
      <c r="AK145" s="143">
        <v>45457</v>
      </c>
      <c r="AM145" s="1066">
        <v>45537</v>
      </c>
    </row>
    <row r="146" spans="1:40" ht="22.8" hidden="1" x14ac:dyDescent="0.3">
      <c r="A146" s="28">
        <v>145</v>
      </c>
      <c r="B146" s="20">
        <v>30604</v>
      </c>
      <c r="C146" s="27" t="s">
        <v>64</v>
      </c>
      <c r="D146" s="12" t="s">
        <v>940</v>
      </c>
      <c r="E146" s="20" t="s">
        <v>862</v>
      </c>
      <c r="F146" s="29" t="s">
        <v>863</v>
      </c>
      <c r="G146" s="29" t="s">
        <v>13</v>
      </c>
      <c r="H146" s="19">
        <v>43137</v>
      </c>
      <c r="I146" s="3">
        <v>152</v>
      </c>
      <c r="J146" s="3" t="s">
        <v>58</v>
      </c>
      <c r="K146" s="429" t="s">
        <v>59</v>
      </c>
      <c r="L146" s="442">
        <v>44238</v>
      </c>
      <c r="M146" s="453" t="s">
        <v>871</v>
      </c>
      <c r="N146" s="442">
        <v>44838</v>
      </c>
      <c r="O146" s="734">
        <v>45771</v>
      </c>
      <c r="P146" s="735">
        <v>45740</v>
      </c>
      <c r="Q146" s="736" t="s">
        <v>75</v>
      </c>
      <c r="R146" s="736" t="s">
        <v>68</v>
      </c>
      <c r="S146" s="736"/>
      <c r="T146" s="736" t="s">
        <v>68</v>
      </c>
      <c r="U146" s="736"/>
      <c r="V146" s="736" t="s">
        <v>206</v>
      </c>
      <c r="W146" s="736" t="s">
        <v>68</v>
      </c>
      <c r="X146" s="736" t="s">
        <v>63</v>
      </c>
      <c r="Y146" s="736" t="s">
        <v>206</v>
      </c>
      <c r="Z146" s="42"/>
      <c r="AA146" s="42"/>
      <c r="AB146" s="723" t="s">
        <v>941</v>
      </c>
      <c r="AC146" s="720"/>
      <c r="AD146" s="737" t="s">
        <v>616</v>
      </c>
      <c r="AE146" s="732">
        <v>45446</v>
      </c>
      <c r="AF146" s="1361">
        <v>45449</v>
      </c>
      <c r="AG146" s="725"/>
      <c r="AH146" s="1360">
        <v>45516</v>
      </c>
      <c r="AI146" s="732">
        <v>45446</v>
      </c>
      <c r="AJ146" s="1359" t="s">
        <v>206</v>
      </c>
      <c r="AK146" s="143">
        <v>45449</v>
      </c>
      <c r="AM146" s="143">
        <v>45530</v>
      </c>
      <c r="AN146" s="381"/>
    </row>
    <row r="147" spans="1:40" ht="22.8" hidden="1" x14ac:dyDescent="0.3">
      <c r="A147" s="28">
        <v>146</v>
      </c>
      <c r="B147" s="20">
        <v>30604</v>
      </c>
      <c r="C147" s="27" t="s">
        <v>54</v>
      </c>
      <c r="D147" s="12" t="s">
        <v>942</v>
      </c>
      <c r="E147" s="20" t="s">
        <v>862</v>
      </c>
      <c r="F147" s="29" t="s">
        <v>863</v>
      </c>
      <c r="G147" s="29" t="s">
        <v>13</v>
      </c>
      <c r="H147" s="19">
        <v>43137</v>
      </c>
      <c r="I147" s="3">
        <v>146</v>
      </c>
      <c r="J147" s="3" t="s">
        <v>58</v>
      </c>
      <c r="K147" s="429" t="s">
        <v>59</v>
      </c>
      <c r="L147" s="442">
        <v>44238</v>
      </c>
      <c r="M147" s="453" t="s">
        <v>871</v>
      </c>
      <c r="N147" s="442">
        <v>44838</v>
      </c>
      <c r="O147" s="734">
        <v>45771</v>
      </c>
      <c r="P147" s="735">
        <v>45740</v>
      </c>
      <c r="Q147" s="736" t="s">
        <v>75</v>
      </c>
      <c r="R147" s="736" t="s">
        <v>62</v>
      </c>
      <c r="S147" s="736"/>
      <c r="T147" s="736" t="s">
        <v>62</v>
      </c>
      <c r="U147" s="736"/>
      <c r="V147" s="736" t="s">
        <v>206</v>
      </c>
      <c r="W147" s="736" t="s">
        <v>62</v>
      </c>
      <c r="X147" s="736" t="s">
        <v>63</v>
      </c>
      <c r="Y147" s="736" t="s">
        <v>206</v>
      </c>
      <c r="Z147" s="42"/>
      <c r="AA147" s="42"/>
      <c r="AB147" s="723" t="s">
        <v>943</v>
      </c>
      <c r="AC147" s="720"/>
      <c r="AD147" s="737" t="s">
        <v>689</v>
      </c>
      <c r="AE147" s="732">
        <v>45446</v>
      </c>
      <c r="AF147" s="1361">
        <v>45449</v>
      </c>
      <c r="AG147" s="725"/>
      <c r="AH147" s="1360">
        <v>45516</v>
      </c>
      <c r="AI147" s="732">
        <v>45446</v>
      </c>
      <c r="AJ147" s="1359" t="s">
        <v>206</v>
      </c>
      <c r="AK147" s="143">
        <v>45449</v>
      </c>
      <c r="AM147" s="143">
        <v>45530</v>
      </c>
    </row>
    <row r="148" spans="1:40" ht="22.8" hidden="1" x14ac:dyDescent="0.3">
      <c r="A148" s="28">
        <v>147</v>
      </c>
      <c r="B148" s="1302">
        <v>30620</v>
      </c>
      <c r="C148" s="27" t="s">
        <v>64</v>
      </c>
      <c r="D148" s="12" t="s">
        <v>944</v>
      </c>
      <c r="E148" s="20" t="s">
        <v>862</v>
      </c>
      <c r="F148" s="29" t="s">
        <v>863</v>
      </c>
      <c r="G148" s="29" t="s">
        <v>13</v>
      </c>
      <c r="H148" s="19"/>
      <c r="I148" s="3"/>
      <c r="J148" s="3" t="s">
        <v>58</v>
      </c>
      <c r="K148" s="429" t="s">
        <v>720</v>
      </c>
      <c r="L148" s="442">
        <v>44174</v>
      </c>
      <c r="M148" s="432" t="s">
        <v>60</v>
      </c>
      <c r="N148" s="442">
        <v>44648</v>
      </c>
      <c r="O148" s="33">
        <v>44714</v>
      </c>
      <c r="P148" s="33"/>
      <c r="Q148" s="42"/>
      <c r="R148" s="42" t="s">
        <v>68</v>
      </c>
      <c r="S148" s="42"/>
      <c r="T148" s="42"/>
      <c r="U148" s="42"/>
      <c r="V148" s="42"/>
      <c r="W148" s="42"/>
      <c r="X148" s="42"/>
      <c r="Y148" s="42"/>
      <c r="Z148" s="42"/>
      <c r="AA148" s="42"/>
      <c r="AB148" s="24" t="s">
        <v>945</v>
      </c>
      <c r="AC148" s="16"/>
      <c r="AD148" s="32" t="s">
        <v>68</v>
      </c>
      <c r="AE148" s="58"/>
      <c r="AF148" s="58"/>
      <c r="AH148" s="1360">
        <v>45480</v>
      </c>
      <c r="AN148" s="381"/>
    </row>
    <row r="149" spans="1:40" ht="22.8" hidden="1" x14ac:dyDescent="0.3">
      <c r="A149" s="28">
        <v>148</v>
      </c>
      <c r="B149" s="1302">
        <v>30620</v>
      </c>
      <c r="C149" s="27" t="s">
        <v>54</v>
      </c>
      <c r="D149" s="20" t="s">
        <v>946</v>
      </c>
      <c r="E149" s="20" t="s">
        <v>862</v>
      </c>
      <c r="F149" s="29" t="s">
        <v>863</v>
      </c>
      <c r="G149" s="29" t="s">
        <v>13</v>
      </c>
      <c r="H149" s="19">
        <v>43203</v>
      </c>
      <c r="I149" s="3">
        <v>167</v>
      </c>
      <c r="J149" s="3" t="s">
        <v>58</v>
      </c>
      <c r="K149" s="429" t="s">
        <v>718</v>
      </c>
      <c r="L149" s="442">
        <v>44174</v>
      </c>
      <c r="M149" s="433" t="s">
        <v>60</v>
      </c>
      <c r="N149" s="442">
        <v>44648</v>
      </c>
      <c r="O149" s="33">
        <v>44714</v>
      </c>
      <c r="P149" s="33"/>
      <c r="Q149" s="42"/>
      <c r="R149" s="16" t="s">
        <v>62</v>
      </c>
      <c r="S149" s="42"/>
      <c r="T149" s="42"/>
      <c r="U149" s="42"/>
      <c r="V149" s="42"/>
      <c r="W149" s="42"/>
      <c r="X149" s="42"/>
      <c r="Y149" s="42"/>
      <c r="Z149" s="42"/>
      <c r="AA149" s="42"/>
      <c r="AB149" s="24" t="s">
        <v>947</v>
      </c>
      <c r="AC149" s="16"/>
      <c r="AD149" s="32" t="s">
        <v>62</v>
      </c>
      <c r="AE149" s="58"/>
      <c r="AF149" s="58"/>
      <c r="AH149" s="1360">
        <v>45480</v>
      </c>
    </row>
    <row r="150" spans="1:40" ht="22.8" hidden="1" x14ac:dyDescent="0.3">
      <c r="A150" s="28">
        <v>149</v>
      </c>
      <c r="B150" s="1302">
        <v>30753</v>
      </c>
      <c r="C150" s="27" t="s">
        <v>64</v>
      </c>
      <c r="D150" s="12" t="s">
        <v>948</v>
      </c>
      <c r="E150" s="20" t="s">
        <v>862</v>
      </c>
      <c r="F150" s="29" t="s">
        <v>863</v>
      </c>
      <c r="G150" s="29" t="s">
        <v>13</v>
      </c>
      <c r="H150" s="19">
        <v>43693</v>
      </c>
      <c r="I150" s="3">
        <v>378</v>
      </c>
      <c r="J150" s="3" t="s">
        <v>58</v>
      </c>
      <c r="K150" s="429" t="s">
        <v>59</v>
      </c>
      <c r="L150" s="442">
        <v>44042</v>
      </c>
      <c r="M150" s="453" t="s">
        <v>871</v>
      </c>
      <c r="N150" s="454">
        <v>44518</v>
      </c>
      <c r="O150" s="47">
        <v>44816</v>
      </c>
      <c r="P150" s="47"/>
      <c r="Q150" s="53"/>
      <c r="R150" s="42" t="s">
        <v>68</v>
      </c>
      <c r="S150" s="42"/>
      <c r="T150" s="283" t="s">
        <v>68</v>
      </c>
      <c r="U150" s="304"/>
      <c r="V150" s="302"/>
      <c r="W150" s="42" t="s">
        <v>68</v>
      </c>
      <c r="X150" s="42"/>
      <c r="Y150" s="42" t="s">
        <v>68</v>
      </c>
      <c r="Z150" s="42"/>
      <c r="AA150" s="42"/>
      <c r="AB150" s="16"/>
      <c r="AC150" s="16"/>
      <c r="AD150" s="42" t="s">
        <v>68</v>
      </c>
      <c r="AE150" s="58" t="s">
        <v>616</v>
      </c>
      <c r="AF150" s="58"/>
      <c r="AH150" s="1360">
        <v>45427</v>
      </c>
      <c r="AJ150" s="42" t="s">
        <v>68</v>
      </c>
      <c r="AN150" s="381"/>
    </row>
    <row r="151" spans="1:40" ht="22.8" hidden="1" x14ac:dyDescent="0.3">
      <c r="A151" s="28">
        <v>150</v>
      </c>
      <c r="B151" s="1302">
        <v>30753</v>
      </c>
      <c r="C151" s="27" t="s">
        <v>54</v>
      </c>
      <c r="D151" s="12" t="s">
        <v>949</v>
      </c>
      <c r="E151" s="20" t="s">
        <v>862</v>
      </c>
      <c r="F151" s="29" t="s">
        <v>863</v>
      </c>
      <c r="G151" s="29" t="s">
        <v>13</v>
      </c>
      <c r="H151" s="19">
        <v>43693</v>
      </c>
      <c r="I151" s="3">
        <v>379</v>
      </c>
      <c r="J151" s="3" t="s">
        <v>58</v>
      </c>
      <c r="K151" s="429" t="s">
        <v>59</v>
      </c>
      <c r="L151" s="442">
        <v>44042</v>
      </c>
      <c r="M151" s="453" t="s">
        <v>60</v>
      </c>
      <c r="N151" s="454">
        <v>44518</v>
      </c>
      <c r="O151" s="47">
        <v>44816</v>
      </c>
      <c r="P151" s="47"/>
      <c r="Q151" s="53"/>
      <c r="R151" s="42" t="s">
        <v>62</v>
      </c>
      <c r="S151" s="42"/>
      <c r="T151" s="283" t="s">
        <v>62</v>
      </c>
      <c r="U151" s="304"/>
      <c r="V151" s="302"/>
      <c r="W151" s="42" t="s">
        <v>62</v>
      </c>
      <c r="X151" s="42"/>
      <c r="Y151" s="42" t="s">
        <v>62</v>
      </c>
      <c r="Z151" s="42"/>
      <c r="AA151" s="42"/>
      <c r="AB151" s="16"/>
      <c r="AC151" s="16"/>
      <c r="AD151" s="42" t="s">
        <v>62</v>
      </c>
      <c r="AE151" s="58" t="s">
        <v>604</v>
      </c>
      <c r="AF151" s="58"/>
      <c r="AH151" s="1360">
        <v>45427</v>
      </c>
      <c r="AJ151" s="42" t="s">
        <v>62</v>
      </c>
    </row>
    <row r="152" spans="1:40" ht="22.8" hidden="1" x14ac:dyDescent="0.3">
      <c r="A152" s="28">
        <v>151</v>
      </c>
      <c r="B152" s="1302">
        <v>37030</v>
      </c>
      <c r="C152" s="27" t="s">
        <v>64</v>
      </c>
      <c r="D152" s="12" t="s">
        <v>950</v>
      </c>
      <c r="E152" s="20" t="s">
        <v>862</v>
      </c>
      <c r="F152" s="29" t="s">
        <v>863</v>
      </c>
      <c r="G152" s="29" t="s">
        <v>13</v>
      </c>
      <c r="H152" s="49">
        <v>43369</v>
      </c>
      <c r="I152" s="3">
        <v>198</v>
      </c>
      <c r="J152" s="3" t="s">
        <v>58</v>
      </c>
      <c r="K152" s="429" t="s">
        <v>59</v>
      </c>
      <c r="L152" s="454">
        <v>44205</v>
      </c>
      <c r="M152" s="455" t="s">
        <v>871</v>
      </c>
      <c r="N152" s="454">
        <v>44205</v>
      </c>
      <c r="O152" s="733">
        <v>45318</v>
      </c>
      <c r="P152" s="735">
        <v>45472</v>
      </c>
      <c r="Q152" s="736"/>
      <c r="R152" s="736" t="s">
        <v>68</v>
      </c>
      <c r="S152" s="736" t="s">
        <v>68</v>
      </c>
      <c r="T152" s="736" t="s">
        <v>68</v>
      </c>
      <c r="U152" s="738"/>
      <c r="V152" s="736"/>
      <c r="W152" s="736" t="s">
        <v>68</v>
      </c>
      <c r="X152" s="736" t="s">
        <v>206</v>
      </c>
      <c r="Y152" s="736" t="s">
        <v>206</v>
      </c>
      <c r="Z152" s="42"/>
      <c r="AA152" s="42"/>
      <c r="AB152" s="720"/>
      <c r="AC152" s="720"/>
      <c r="AD152" s="737" t="s">
        <v>710</v>
      </c>
      <c r="AE152" s="728">
        <v>45319</v>
      </c>
      <c r="AF152" s="728">
        <v>45319</v>
      </c>
      <c r="AG152" s="732">
        <v>45475</v>
      </c>
      <c r="AH152" s="1360">
        <v>45455</v>
      </c>
      <c r="AI152" s="728">
        <v>45319</v>
      </c>
      <c r="AJ152" s="725" t="s">
        <v>206</v>
      </c>
      <c r="AK152" s="1371">
        <v>45472</v>
      </c>
      <c r="AN152" s="381"/>
    </row>
    <row r="153" spans="1:40" ht="22.8" hidden="1" x14ac:dyDescent="0.3">
      <c r="A153" s="28">
        <v>152</v>
      </c>
      <c r="B153" s="1302">
        <v>37030</v>
      </c>
      <c r="C153" s="27" t="s">
        <v>54</v>
      </c>
      <c r="D153" s="12" t="s">
        <v>951</v>
      </c>
      <c r="E153" s="20" t="s">
        <v>862</v>
      </c>
      <c r="F153" s="29" t="s">
        <v>863</v>
      </c>
      <c r="G153" s="29" t="s">
        <v>13</v>
      </c>
      <c r="H153" s="49">
        <v>43369</v>
      </c>
      <c r="I153" s="3">
        <v>197</v>
      </c>
      <c r="J153" s="3" t="s">
        <v>58</v>
      </c>
      <c r="K153" s="429" t="s">
        <v>59</v>
      </c>
      <c r="L153" s="454">
        <v>44205</v>
      </c>
      <c r="M153" s="455" t="s">
        <v>871</v>
      </c>
      <c r="N153" s="454">
        <v>44205</v>
      </c>
      <c r="O153" s="733">
        <v>45318</v>
      </c>
      <c r="P153" s="735">
        <v>45472</v>
      </c>
      <c r="Q153" s="736"/>
      <c r="R153" s="736" t="s">
        <v>62</v>
      </c>
      <c r="S153" s="736"/>
      <c r="T153" s="736" t="s">
        <v>62</v>
      </c>
      <c r="U153" s="736"/>
      <c r="V153" s="736"/>
      <c r="W153" s="736" t="s">
        <v>62</v>
      </c>
      <c r="X153" s="736" t="s">
        <v>206</v>
      </c>
      <c r="Y153" s="736" t="s">
        <v>206</v>
      </c>
      <c r="Z153" s="42"/>
      <c r="AA153" s="42"/>
      <c r="AB153" s="720"/>
      <c r="AC153" s="720"/>
      <c r="AD153" s="737" t="s">
        <v>604</v>
      </c>
      <c r="AE153" s="728">
        <v>45319</v>
      </c>
      <c r="AF153" s="728">
        <v>45319</v>
      </c>
      <c r="AG153" s="732">
        <v>45475</v>
      </c>
      <c r="AH153" s="1360">
        <v>45455</v>
      </c>
      <c r="AI153" s="728">
        <v>45319</v>
      </c>
      <c r="AJ153" s="725" t="s">
        <v>206</v>
      </c>
      <c r="AK153" s="1371">
        <v>45472</v>
      </c>
    </row>
    <row r="154" spans="1:40" ht="22.8" hidden="1" x14ac:dyDescent="0.3">
      <c r="A154" s="28">
        <v>153</v>
      </c>
      <c r="B154" s="1302">
        <v>37257</v>
      </c>
      <c r="C154" s="27" t="s">
        <v>64</v>
      </c>
      <c r="D154" s="12" t="s">
        <v>952</v>
      </c>
      <c r="E154" s="20" t="s">
        <v>862</v>
      </c>
      <c r="F154" s="29" t="s">
        <v>863</v>
      </c>
      <c r="G154" s="29" t="s">
        <v>13</v>
      </c>
      <c r="H154" s="19">
        <v>43734</v>
      </c>
      <c r="I154" s="3">
        <v>640</v>
      </c>
      <c r="J154" s="3" t="s">
        <v>58</v>
      </c>
      <c r="K154" s="429" t="s">
        <v>59</v>
      </c>
      <c r="L154" s="442">
        <v>44085</v>
      </c>
      <c r="M154" s="456" t="s">
        <v>60</v>
      </c>
      <c r="N154" s="454">
        <v>44886</v>
      </c>
      <c r="O154" s="21">
        <v>45081</v>
      </c>
      <c r="P154" s="21"/>
      <c r="Q154" s="16" t="s">
        <v>75</v>
      </c>
      <c r="R154" s="16" t="s">
        <v>75</v>
      </c>
      <c r="S154" s="42"/>
      <c r="T154" s="42" t="s">
        <v>68</v>
      </c>
      <c r="U154" s="42"/>
      <c r="V154" s="42"/>
      <c r="W154" s="42"/>
      <c r="X154" s="42" t="s">
        <v>68</v>
      </c>
      <c r="Y154" s="42"/>
      <c r="Z154" s="42"/>
      <c r="AA154" s="42"/>
      <c r="AB154" s="16"/>
      <c r="AC154" s="16"/>
      <c r="AD154" s="283" t="s">
        <v>710</v>
      </c>
      <c r="AE154" s="32" t="s">
        <v>68</v>
      </c>
      <c r="AF154" s="32" t="s">
        <v>68</v>
      </c>
      <c r="AG154" s="382"/>
      <c r="AH154" s="1360">
        <v>45492</v>
      </c>
      <c r="AI154" s="382"/>
      <c r="AJ154" s="32" t="s">
        <v>68</v>
      </c>
      <c r="AK154" s="143"/>
    </row>
    <row r="155" spans="1:40" ht="22.8" hidden="1" x14ac:dyDescent="0.3">
      <c r="A155" s="28">
        <v>154</v>
      </c>
      <c r="B155" s="1302">
        <v>37257</v>
      </c>
      <c r="C155" s="27" t="s">
        <v>54</v>
      </c>
      <c r="D155" s="12" t="s">
        <v>953</v>
      </c>
      <c r="E155" s="20" t="s">
        <v>862</v>
      </c>
      <c r="F155" s="29" t="s">
        <v>863</v>
      </c>
      <c r="G155" s="29" t="s">
        <v>13</v>
      </c>
      <c r="H155" s="19">
        <v>43734</v>
      </c>
      <c r="I155" s="3">
        <v>641</v>
      </c>
      <c r="J155" s="3" t="s">
        <v>58</v>
      </c>
      <c r="K155" s="429" t="s">
        <v>59</v>
      </c>
      <c r="L155" s="442">
        <v>44085</v>
      </c>
      <c r="M155" s="456" t="s">
        <v>60</v>
      </c>
      <c r="N155" s="454">
        <v>44886</v>
      </c>
      <c r="O155" s="21">
        <v>45081</v>
      </c>
      <c r="P155" s="21"/>
      <c r="Q155" s="16" t="s">
        <v>75</v>
      </c>
      <c r="R155" s="16" t="s">
        <v>75</v>
      </c>
      <c r="S155" s="42"/>
      <c r="T155" s="42" t="s">
        <v>62</v>
      </c>
      <c r="U155" s="42"/>
      <c r="V155" s="42"/>
      <c r="W155" s="42"/>
      <c r="X155" s="42" t="s">
        <v>62</v>
      </c>
      <c r="Y155" s="42"/>
      <c r="Z155" s="42"/>
      <c r="AA155" s="42"/>
      <c r="AB155" s="16"/>
      <c r="AC155" s="16"/>
      <c r="AD155" s="283" t="s">
        <v>604</v>
      </c>
      <c r="AE155" s="32" t="s">
        <v>62</v>
      </c>
      <c r="AF155" s="32" t="s">
        <v>62</v>
      </c>
      <c r="AG155" s="382"/>
      <c r="AH155" s="1360">
        <v>45492</v>
      </c>
      <c r="AI155" s="382"/>
      <c r="AJ155" s="32" t="s">
        <v>62</v>
      </c>
      <c r="AK155" s="143"/>
    </row>
    <row r="156" spans="1:40" ht="22.8" hidden="1" x14ac:dyDescent="0.25">
      <c r="A156" s="28">
        <v>155</v>
      </c>
      <c r="B156" s="1302">
        <v>37369</v>
      </c>
      <c r="C156" s="27" t="s">
        <v>64</v>
      </c>
      <c r="D156" s="12" t="s">
        <v>954</v>
      </c>
      <c r="E156" s="20" t="s">
        <v>862</v>
      </c>
      <c r="F156" s="29" t="s">
        <v>863</v>
      </c>
      <c r="G156" s="29" t="s">
        <v>13</v>
      </c>
      <c r="H156" s="19">
        <v>43999</v>
      </c>
      <c r="I156" s="3">
        <v>730</v>
      </c>
      <c r="J156" s="3" t="s">
        <v>58</v>
      </c>
      <c r="K156" s="429" t="s">
        <v>59</v>
      </c>
      <c r="L156" s="443" t="s">
        <v>63</v>
      </c>
      <c r="M156" s="453" t="s">
        <v>722</v>
      </c>
      <c r="N156" s="454"/>
      <c r="O156" s="47">
        <v>44859</v>
      </c>
      <c r="P156" s="47"/>
      <c r="Q156" s="16" t="s">
        <v>75</v>
      </c>
      <c r="R156" s="16" t="s">
        <v>75</v>
      </c>
      <c r="S156" s="42"/>
      <c r="T156" s="42" t="s">
        <v>68</v>
      </c>
      <c r="U156" s="42"/>
      <c r="V156" s="42"/>
      <c r="W156" s="42" t="s">
        <v>68</v>
      </c>
      <c r="X156" s="42"/>
      <c r="Y156" s="42"/>
      <c r="Z156" s="42"/>
      <c r="AA156" s="42"/>
      <c r="AB156" s="16" t="s">
        <v>955</v>
      </c>
      <c r="AC156" s="16"/>
      <c r="AD156" s="283" t="s">
        <v>710</v>
      </c>
      <c r="AE156" s="32"/>
      <c r="AF156" s="32"/>
    </row>
    <row r="157" spans="1:40" ht="22.8" hidden="1" x14ac:dyDescent="0.25">
      <c r="A157" s="28">
        <v>156</v>
      </c>
      <c r="B157" s="1302">
        <v>37369</v>
      </c>
      <c r="C157" s="27" t="s">
        <v>54</v>
      </c>
      <c r="D157" s="12" t="s">
        <v>956</v>
      </c>
      <c r="E157" s="20" t="s">
        <v>862</v>
      </c>
      <c r="F157" s="29" t="s">
        <v>863</v>
      </c>
      <c r="G157" s="29" t="s">
        <v>13</v>
      </c>
      <c r="H157" s="19">
        <v>43999</v>
      </c>
      <c r="I157" s="3">
        <v>747</v>
      </c>
      <c r="J157" s="3" t="s">
        <v>58</v>
      </c>
      <c r="K157" s="429" t="s">
        <v>59</v>
      </c>
      <c r="L157" s="443" t="s">
        <v>63</v>
      </c>
      <c r="M157" s="453" t="s">
        <v>722</v>
      </c>
      <c r="N157" s="454"/>
      <c r="O157" s="47">
        <v>44859</v>
      </c>
      <c r="P157" s="47"/>
      <c r="Q157" s="16" t="s">
        <v>75</v>
      </c>
      <c r="R157" s="16" t="s">
        <v>75</v>
      </c>
      <c r="S157" s="42"/>
      <c r="T157" s="42" t="s">
        <v>62</v>
      </c>
      <c r="U157" s="42"/>
      <c r="V157" s="42"/>
      <c r="W157" s="42" t="s">
        <v>62</v>
      </c>
      <c r="X157" s="42"/>
      <c r="Y157" s="42"/>
      <c r="Z157" s="42"/>
      <c r="AA157" s="42"/>
      <c r="AB157" s="16" t="s">
        <v>957</v>
      </c>
      <c r="AC157" s="16"/>
      <c r="AD157" s="283" t="s">
        <v>958</v>
      </c>
      <c r="AE157" s="32"/>
      <c r="AF157" s="32"/>
    </row>
    <row r="158" spans="1:40" ht="22.8" hidden="1" x14ac:dyDescent="0.3">
      <c r="A158" s="28">
        <v>157</v>
      </c>
      <c r="B158" s="1302">
        <v>37416</v>
      </c>
      <c r="C158" s="27" t="s">
        <v>64</v>
      </c>
      <c r="D158" s="12" t="s">
        <v>959</v>
      </c>
      <c r="E158" s="20" t="s">
        <v>862</v>
      </c>
      <c r="F158" s="29" t="s">
        <v>863</v>
      </c>
      <c r="G158" s="29" t="s">
        <v>13</v>
      </c>
      <c r="H158" s="19">
        <v>44051</v>
      </c>
      <c r="I158" s="3">
        <v>717</v>
      </c>
      <c r="J158" s="3" t="s">
        <v>58</v>
      </c>
      <c r="K158" s="429" t="s">
        <v>59</v>
      </c>
      <c r="L158" s="442">
        <v>44088</v>
      </c>
      <c r="M158" s="453" t="s">
        <v>722</v>
      </c>
      <c r="N158" s="454">
        <v>44888</v>
      </c>
      <c r="O158" s="47">
        <v>45471</v>
      </c>
      <c r="P158" s="47">
        <v>45043</v>
      </c>
      <c r="Q158" s="720" t="s">
        <v>75</v>
      </c>
      <c r="R158" s="720" t="s">
        <v>75</v>
      </c>
      <c r="S158" s="736" t="s">
        <v>206</v>
      </c>
      <c r="T158" s="736" t="s">
        <v>68</v>
      </c>
      <c r="U158" s="736"/>
      <c r="V158" s="736" t="s">
        <v>206</v>
      </c>
      <c r="W158" s="736" t="s">
        <v>68</v>
      </c>
      <c r="X158" s="736" t="s">
        <v>206</v>
      </c>
      <c r="Y158" s="736" t="s">
        <v>206</v>
      </c>
      <c r="Z158" s="42"/>
      <c r="AA158" s="42"/>
      <c r="AB158" s="720"/>
      <c r="AC158" s="720"/>
      <c r="AD158" s="736" t="s">
        <v>68</v>
      </c>
      <c r="AE158" s="740">
        <v>45262</v>
      </c>
      <c r="AF158" s="740">
        <v>45262</v>
      </c>
      <c r="AG158" s="728"/>
      <c r="AH158" s="728">
        <v>45184</v>
      </c>
      <c r="AI158" s="728">
        <v>45262</v>
      </c>
      <c r="AJ158" s="725" t="s">
        <v>206</v>
      </c>
      <c r="AK158" s="1371">
        <v>45471</v>
      </c>
    </row>
    <row r="159" spans="1:40" ht="22.8" hidden="1" x14ac:dyDescent="0.3">
      <c r="A159" s="28">
        <v>158</v>
      </c>
      <c r="B159" s="1302">
        <v>37416</v>
      </c>
      <c r="C159" s="27" t="s">
        <v>54</v>
      </c>
      <c r="D159" s="12" t="s">
        <v>960</v>
      </c>
      <c r="E159" s="20" t="s">
        <v>862</v>
      </c>
      <c r="F159" s="29" t="s">
        <v>863</v>
      </c>
      <c r="G159" s="29" t="s">
        <v>13</v>
      </c>
      <c r="H159" s="19">
        <v>44051</v>
      </c>
      <c r="I159" s="3">
        <v>782</v>
      </c>
      <c r="J159" s="3" t="s">
        <v>58</v>
      </c>
      <c r="K159" s="429" t="s">
        <v>59</v>
      </c>
      <c r="L159" s="442">
        <v>44088</v>
      </c>
      <c r="M159" s="453" t="s">
        <v>722</v>
      </c>
      <c r="N159" s="454">
        <v>44888</v>
      </c>
      <c r="O159" s="47">
        <v>45471</v>
      </c>
      <c r="P159" s="47">
        <v>45043</v>
      </c>
      <c r="Q159" s="720" t="s">
        <v>75</v>
      </c>
      <c r="R159" s="720" t="s">
        <v>75</v>
      </c>
      <c r="S159" s="736" t="s">
        <v>206</v>
      </c>
      <c r="T159" s="736" t="s">
        <v>62</v>
      </c>
      <c r="U159" s="736"/>
      <c r="V159" s="736" t="s">
        <v>206</v>
      </c>
      <c r="W159" s="736" t="s">
        <v>62</v>
      </c>
      <c r="X159" s="720" t="s">
        <v>75</v>
      </c>
      <c r="Y159" s="736" t="s">
        <v>206</v>
      </c>
      <c r="Z159" s="42"/>
      <c r="AA159" s="42"/>
      <c r="AB159" s="720"/>
      <c r="AC159" s="720"/>
      <c r="AD159" s="736" t="s">
        <v>62</v>
      </c>
      <c r="AE159" s="740">
        <v>45262</v>
      </c>
      <c r="AF159" s="740">
        <v>45262</v>
      </c>
      <c r="AG159" s="728"/>
      <c r="AH159" s="728">
        <v>45184</v>
      </c>
      <c r="AI159" s="728">
        <v>45262</v>
      </c>
      <c r="AJ159" s="725" t="s">
        <v>206</v>
      </c>
      <c r="AK159" s="1371">
        <v>45471</v>
      </c>
    </row>
    <row r="160" spans="1:40" ht="22.8" hidden="1" x14ac:dyDescent="0.3">
      <c r="A160" s="28">
        <v>159</v>
      </c>
      <c r="B160" s="1302">
        <v>37418</v>
      </c>
      <c r="C160" s="27" t="s">
        <v>64</v>
      </c>
      <c r="D160" s="12" t="s">
        <v>961</v>
      </c>
      <c r="E160" s="20" t="s">
        <v>862</v>
      </c>
      <c r="F160" s="29" t="s">
        <v>863</v>
      </c>
      <c r="G160" s="29" t="s">
        <v>13</v>
      </c>
      <c r="H160" s="19">
        <v>44054</v>
      </c>
      <c r="I160" s="3">
        <v>831</v>
      </c>
      <c r="J160" s="3" t="s">
        <v>58</v>
      </c>
      <c r="K160" s="429" t="s">
        <v>59</v>
      </c>
      <c r="L160" s="442">
        <v>44092</v>
      </c>
      <c r="M160" s="453" t="s">
        <v>871</v>
      </c>
      <c r="N160" s="454">
        <v>44849</v>
      </c>
      <c r="O160" s="47">
        <v>45120</v>
      </c>
      <c r="P160" s="47">
        <v>45330</v>
      </c>
      <c r="Q160" s="720" t="s">
        <v>75</v>
      </c>
      <c r="R160" s="720" t="s">
        <v>75</v>
      </c>
      <c r="S160" s="736" t="s">
        <v>206</v>
      </c>
      <c r="T160" s="736" t="s">
        <v>68</v>
      </c>
      <c r="U160" s="736"/>
      <c r="V160" s="736" t="s">
        <v>206</v>
      </c>
      <c r="W160" s="736" t="s">
        <v>68</v>
      </c>
      <c r="X160" s="720" t="s">
        <v>75</v>
      </c>
      <c r="Y160" s="736" t="s">
        <v>206</v>
      </c>
      <c r="Z160" s="42"/>
      <c r="AA160" s="42"/>
      <c r="AB160" s="720"/>
      <c r="AC160" s="720"/>
      <c r="AD160" s="737" t="s">
        <v>962</v>
      </c>
      <c r="AE160" s="741">
        <v>45330</v>
      </c>
      <c r="AF160" s="741">
        <v>45330</v>
      </c>
      <c r="AG160" s="732"/>
      <c r="AH160" s="732">
        <v>45120</v>
      </c>
      <c r="AI160" s="732">
        <v>45330</v>
      </c>
      <c r="AJ160" s="732" t="s">
        <v>206</v>
      </c>
      <c r="AK160" s="1371"/>
    </row>
    <row r="161" spans="1:40" ht="22.8" hidden="1" x14ac:dyDescent="0.3">
      <c r="A161" s="28">
        <v>160</v>
      </c>
      <c r="B161" s="1302">
        <v>37418</v>
      </c>
      <c r="C161" s="27" t="s">
        <v>54</v>
      </c>
      <c r="D161" s="12" t="s">
        <v>963</v>
      </c>
      <c r="E161" s="20" t="s">
        <v>862</v>
      </c>
      <c r="F161" s="29" t="s">
        <v>863</v>
      </c>
      <c r="G161" s="29" t="s">
        <v>13</v>
      </c>
      <c r="H161" s="19">
        <v>44054</v>
      </c>
      <c r="I161" s="3">
        <v>783</v>
      </c>
      <c r="J161" s="3" t="s">
        <v>58</v>
      </c>
      <c r="K161" s="429" t="s">
        <v>59</v>
      </c>
      <c r="L161" s="442">
        <v>44092</v>
      </c>
      <c r="M161" s="453" t="s">
        <v>871</v>
      </c>
      <c r="N161" s="454">
        <v>44849</v>
      </c>
      <c r="O161" s="47">
        <v>45120</v>
      </c>
      <c r="P161" s="47">
        <v>44956</v>
      </c>
      <c r="Q161" s="720" t="s">
        <v>75</v>
      </c>
      <c r="R161" s="720" t="s">
        <v>75</v>
      </c>
      <c r="S161" s="736" t="s">
        <v>206</v>
      </c>
      <c r="T161" s="736" t="s">
        <v>62</v>
      </c>
      <c r="U161" s="736"/>
      <c r="V161" s="736" t="s">
        <v>206</v>
      </c>
      <c r="W161" s="736" t="s">
        <v>62</v>
      </c>
      <c r="X161" s="720" t="s">
        <v>75</v>
      </c>
      <c r="Y161" s="736" t="s">
        <v>206</v>
      </c>
      <c r="Z161" s="42"/>
      <c r="AA161" s="42"/>
      <c r="AB161" s="720"/>
      <c r="AC161" s="720"/>
      <c r="AD161" s="737" t="s">
        <v>689</v>
      </c>
      <c r="AE161" s="742">
        <v>45330</v>
      </c>
      <c r="AF161" s="742">
        <v>45330</v>
      </c>
      <c r="AG161" s="732"/>
      <c r="AH161" s="732">
        <v>45120</v>
      </c>
      <c r="AI161" s="732">
        <v>45330</v>
      </c>
      <c r="AJ161" s="732" t="s">
        <v>206</v>
      </c>
      <c r="AK161" s="1371"/>
    </row>
    <row r="162" spans="1:40" ht="22.8" hidden="1" x14ac:dyDescent="0.3">
      <c r="A162" s="28">
        <v>161</v>
      </c>
      <c r="B162" s="20">
        <v>37464</v>
      </c>
      <c r="C162" s="27" t="s">
        <v>64</v>
      </c>
      <c r="D162" s="12" t="s">
        <v>964</v>
      </c>
      <c r="E162" s="20" t="s">
        <v>862</v>
      </c>
      <c r="F162" s="29" t="s">
        <v>863</v>
      </c>
      <c r="G162" s="29" t="s">
        <v>13</v>
      </c>
      <c r="H162" s="19">
        <v>44158</v>
      </c>
      <c r="I162" s="3">
        <v>922</v>
      </c>
      <c r="J162" s="3" t="s">
        <v>58</v>
      </c>
      <c r="K162" s="429" t="s">
        <v>59</v>
      </c>
      <c r="L162" s="432" t="s">
        <v>75</v>
      </c>
      <c r="M162" s="453" t="s">
        <v>722</v>
      </c>
      <c r="N162" s="442">
        <v>44517</v>
      </c>
      <c r="O162" s="47">
        <v>45700</v>
      </c>
      <c r="P162" s="47">
        <v>45700</v>
      </c>
      <c r="Q162" s="720" t="s">
        <v>75</v>
      </c>
      <c r="R162" s="720" t="s">
        <v>75</v>
      </c>
      <c r="S162" s="736" t="s">
        <v>68</v>
      </c>
      <c r="T162" s="736" t="s">
        <v>206</v>
      </c>
      <c r="U162" s="736" t="s">
        <v>68</v>
      </c>
      <c r="V162" s="736" t="s">
        <v>206</v>
      </c>
      <c r="W162" s="736" t="s">
        <v>206</v>
      </c>
      <c r="X162" s="720" t="s">
        <v>75</v>
      </c>
      <c r="Y162" s="736" t="s">
        <v>206</v>
      </c>
      <c r="Z162" s="42"/>
      <c r="AA162" s="42"/>
      <c r="AB162" s="720"/>
      <c r="AC162" s="720"/>
      <c r="AD162" s="736" t="s">
        <v>68</v>
      </c>
      <c r="AE162" s="741">
        <v>45271</v>
      </c>
      <c r="AF162" s="721" t="s">
        <v>206</v>
      </c>
      <c r="AG162" s="732"/>
      <c r="AH162" s="732">
        <v>45271</v>
      </c>
      <c r="AI162" s="732">
        <v>45271</v>
      </c>
      <c r="AJ162" s="732" t="s">
        <v>206</v>
      </c>
      <c r="AK162" s="1371"/>
    </row>
    <row r="163" spans="1:40" ht="22.8" hidden="1" x14ac:dyDescent="0.3">
      <c r="A163" s="28">
        <v>162</v>
      </c>
      <c r="B163" s="20">
        <v>37464</v>
      </c>
      <c r="C163" s="27" t="s">
        <v>54</v>
      </c>
      <c r="D163" s="12" t="s">
        <v>965</v>
      </c>
      <c r="E163" s="20" t="s">
        <v>862</v>
      </c>
      <c r="F163" s="29" t="s">
        <v>863</v>
      </c>
      <c r="G163" s="29" t="s">
        <v>13</v>
      </c>
      <c r="H163" s="19">
        <v>44158</v>
      </c>
      <c r="I163" s="3">
        <v>923</v>
      </c>
      <c r="J163" s="3" t="s">
        <v>58</v>
      </c>
      <c r="K163" s="429" t="s">
        <v>59</v>
      </c>
      <c r="L163" s="432" t="s">
        <v>75</v>
      </c>
      <c r="M163" s="453" t="s">
        <v>722</v>
      </c>
      <c r="N163" s="442">
        <v>44517</v>
      </c>
      <c r="O163" s="47">
        <v>45700</v>
      </c>
      <c r="P163" s="47">
        <v>45700</v>
      </c>
      <c r="Q163" s="720" t="s">
        <v>75</v>
      </c>
      <c r="R163" s="720" t="s">
        <v>75</v>
      </c>
      <c r="S163" s="736" t="s">
        <v>62</v>
      </c>
      <c r="T163" s="736" t="s">
        <v>206</v>
      </c>
      <c r="U163" s="736" t="s">
        <v>62</v>
      </c>
      <c r="V163" s="736" t="s">
        <v>206</v>
      </c>
      <c r="W163" s="736" t="s">
        <v>206</v>
      </c>
      <c r="X163" s="720" t="s">
        <v>75</v>
      </c>
      <c r="Y163" s="736" t="s">
        <v>206</v>
      </c>
      <c r="Z163" s="42"/>
      <c r="AA163" s="42"/>
      <c r="AB163" s="720"/>
      <c r="AC163" s="720"/>
      <c r="AD163" s="736" t="s">
        <v>62</v>
      </c>
      <c r="AE163" s="741">
        <v>45271</v>
      </c>
      <c r="AF163" s="721" t="s">
        <v>206</v>
      </c>
      <c r="AG163" s="732"/>
      <c r="AH163" s="732">
        <v>45271</v>
      </c>
      <c r="AI163" s="732">
        <v>45271</v>
      </c>
      <c r="AJ163" s="732" t="s">
        <v>206</v>
      </c>
      <c r="AK163" s="1371"/>
    </row>
    <row r="164" spans="1:40" ht="22.8" hidden="1" x14ac:dyDescent="0.3">
      <c r="A164" s="28">
        <v>163</v>
      </c>
      <c r="B164" s="20">
        <v>39024</v>
      </c>
      <c r="C164" s="27" t="s">
        <v>64</v>
      </c>
      <c r="D164" s="12" t="s">
        <v>966</v>
      </c>
      <c r="E164" s="20" t="s">
        <v>862</v>
      </c>
      <c r="F164" s="29" t="s">
        <v>863</v>
      </c>
      <c r="G164" s="29" t="s">
        <v>13</v>
      </c>
      <c r="H164" s="19">
        <v>43482</v>
      </c>
      <c r="I164" s="3">
        <v>236</v>
      </c>
      <c r="J164" s="3" t="s">
        <v>58</v>
      </c>
      <c r="K164" s="429" t="s">
        <v>59</v>
      </c>
      <c r="L164" s="442">
        <v>44054</v>
      </c>
      <c r="M164" s="479" t="s">
        <v>871</v>
      </c>
      <c r="N164" s="454">
        <v>44887</v>
      </c>
      <c r="O164" s="47">
        <v>45736</v>
      </c>
      <c r="P164" s="47">
        <v>45736</v>
      </c>
      <c r="Q164" s="736"/>
      <c r="R164" s="736" t="s">
        <v>68</v>
      </c>
      <c r="S164" s="736"/>
      <c r="T164" s="736" t="s">
        <v>68</v>
      </c>
      <c r="U164" s="736"/>
      <c r="V164" s="736" t="s">
        <v>206</v>
      </c>
      <c r="W164" s="736" t="s">
        <v>68</v>
      </c>
      <c r="X164" s="736" t="s">
        <v>206</v>
      </c>
      <c r="Y164" s="736" t="s">
        <v>206</v>
      </c>
      <c r="Z164" s="42"/>
      <c r="AA164" s="42"/>
      <c r="AB164" s="720" t="s">
        <v>967</v>
      </c>
      <c r="AC164" s="720"/>
      <c r="AD164" s="737" t="s">
        <v>616</v>
      </c>
      <c r="AE164" s="741">
        <v>45322</v>
      </c>
      <c r="AF164" s="721" t="s">
        <v>206</v>
      </c>
      <c r="AG164" s="728"/>
      <c r="AH164" s="728">
        <v>44887</v>
      </c>
      <c r="AI164" s="725" t="s">
        <v>206</v>
      </c>
      <c r="AJ164" s="732" t="s">
        <v>206</v>
      </c>
      <c r="AK164" s="1371">
        <v>45423</v>
      </c>
    </row>
    <row r="165" spans="1:40" ht="22.8" hidden="1" x14ac:dyDescent="0.3">
      <c r="A165" s="28">
        <v>164</v>
      </c>
      <c r="B165" s="20">
        <v>39024</v>
      </c>
      <c r="C165" s="27" t="s">
        <v>54</v>
      </c>
      <c r="D165" s="12" t="s">
        <v>968</v>
      </c>
      <c r="E165" s="20" t="s">
        <v>862</v>
      </c>
      <c r="F165" s="29" t="s">
        <v>863</v>
      </c>
      <c r="G165" s="29" t="s">
        <v>13</v>
      </c>
      <c r="H165" s="19">
        <v>43482</v>
      </c>
      <c r="I165" s="3">
        <v>223</v>
      </c>
      <c r="J165" s="3" t="s">
        <v>58</v>
      </c>
      <c r="K165" s="429" t="s">
        <v>59</v>
      </c>
      <c r="L165" s="480">
        <v>44054</v>
      </c>
      <c r="M165" s="481" t="s">
        <v>871</v>
      </c>
      <c r="N165" s="477">
        <v>44887</v>
      </c>
      <c r="O165" s="47">
        <v>45736</v>
      </c>
      <c r="P165" s="47">
        <v>45736</v>
      </c>
      <c r="Q165" s="736"/>
      <c r="R165" s="736" t="s">
        <v>62</v>
      </c>
      <c r="S165" s="736"/>
      <c r="T165" s="736" t="s">
        <v>62</v>
      </c>
      <c r="U165" s="736"/>
      <c r="V165" s="736" t="s">
        <v>206</v>
      </c>
      <c r="W165" s="736" t="s">
        <v>62</v>
      </c>
      <c r="X165" s="736" t="s">
        <v>206</v>
      </c>
      <c r="Y165" s="736" t="s">
        <v>206</v>
      </c>
      <c r="Z165" s="42"/>
      <c r="AA165" s="42"/>
      <c r="AB165" s="720" t="s">
        <v>969</v>
      </c>
      <c r="AC165" s="720"/>
      <c r="AD165" s="737" t="s">
        <v>604</v>
      </c>
      <c r="AE165" s="741">
        <v>45322</v>
      </c>
      <c r="AF165" s="721" t="s">
        <v>206</v>
      </c>
      <c r="AG165" s="728"/>
      <c r="AH165" s="728">
        <v>44887</v>
      </c>
      <c r="AI165" s="725" t="s">
        <v>206</v>
      </c>
      <c r="AJ165" s="732" t="s">
        <v>206</v>
      </c>
      <c r="AK165" s="1371">
        <v>45422</v>
      </c>
    </row>
    <row r="166" spans="1:40" ht="22.8" hidden="1" x14ac:dyDescent="0.3">
      <c r="A166" s="28">
        <v>165</v>
      </c>
      <c r="B166" s="20">
        <v>39025</v>
      </c>
      <c r="C166" s="27" t="s">
        <v>64</v>
      </c>
      <c r="D166" s="12" t="s">
        <v>970</v>
      </c>
      <c r="E166" s="20" t="s">
        <v>862</v>
      </c>
      <c r="F166" s="29" t="s">
        <v>863</v>
      </c>
      <c r="G166" s="29" t="s">
        <v>13</v>
      </c>
      <c r="H166" s="19">
        <v>43484</v>
      </c>
      <c r="I166" s="3">
        <v>251</v>
      </c>
      <c r="J166" s="3" t="s">
        <v>58</v>
      </c>
      <c r="K166" s="429" t="s">
        <v>59</v>
      </c>
      <c r="L166" s="480">
        <v>44043</v>
      </c>
      <c r="M166" s="482" t="s">
        <v>60</v>
      </c>
      <c r="N166" s="477">
        <v>44891</v>
      </c>
      <c r="O166" s="47">
        <v>45735</v>
      </c>
      <c r="P166" s="47">
        <v>45735</v>
      </c>
      <c r="Q166" s="739" t="s">
        <v>75</v>
      </c>
      <c r="R166" s="736" t="s">
        <v>68</v>
      </c>
      <c r="S166" s="736" t="s">
        <v>206</v>
      </c>
      <c r="T166" s="736" t="s">
        <v>68</v>
      </c>
      <c r="U166" s="736"/>
      <c r="V166" s="736" t="s">
        <v>206</v>
      </c>
      <c r="W166" s="736" t="s">
        <v>68</v>
      </c>
      <c r="X166" s="736" t="s">
        <v>206</v>
      </c>
      <c r="Y166" s="736" t="s">
        <v>206</v>
      </c>
      <c r="Z166" s="42"/>
      <c r="AA166" s="42"/>
      <c r="AB166" s="723" t="s">
        <v>971</v>
      </c>
      <c r="AC166" s="720"/>
      <c r="AD166" s="736" t="s">
        <v>68</v>
      </c>
      <c r="AE166" s="721"/>
      <c r="AF166" s="721" t="s">
        <v>206</v>
      </c>
      <c r="AG166" s="732"/>
      <c r="AH166" s="732">
        <v>45345</v>
      </c>
      <c r="AI166" s="732" t="s">
        <v>206</v>
      </c>
      <c r="AJ166" s="732" t="s">
        <v>206</v>
      </c>
      <c r="AK166" s="1371">
        <v>45462</v>
      </c>
      <c r="AM166" s="143">
        <v>45462</v>
      </c>
      <c r="AN166" s="381"/>
    </row>
    <row r="167" spans="1:40" ht="22.8" hidden="1" x14ac:dyDescent="0.3">
      <c r="A167" s="28">
        <v>166</v>
      </c>
      <c r="B167" s="20">
        <v>39025</v>
      </c>
      <c r="C167" s="27" t="s">
        <v>54</v>
      </c>
      <c r="D167" s="12" t="s">
        <v>972</v>
      </c>
      <c r="E167" s="20" t="s">
        <v>862</v>
      </c>
      <c r="F167" s="29" t="s">
        <v>863</v>
      </c>
      <c r="G167" s="29" t="s">
        <v>13</v>
      </c>
      <c r="H167" s="19">
        <v>43484</v>
      </c>
      <c r="I167" s="3">
        <v>249</v>
      </c>
      <c r="J167" s="3" t="s">
        <v>58</v>
      </c>
      <c r="K167" s="429" t="s">
        <v>59</v>
      </c>
      <c r="L167" s="480">
        <v>44043</v>
      </c>
      <c r="M167" s="482" t="s">
        <v>60</v>
      </c>
      <c r="N167" s="477">
        <v>44891</v>
      </c>
      <c r="O167" s="47">
        <v>45735</v>
      </c>
      <c r="P167" s="47">
        <v>45735</v>
      </c>
      <c r="Q167" s="739" t="s">
        <v>75</v>
      </c>
      <c r="R167" s="736" t="s">
        <v>62</v>
      </c>
      <c r="S167" s="736" t="s">
        <v>206</v>
      </c>
      <c r="T167" s="736" t="s">
        <v>62</v>
      </c>
      <c r="U167" s="736"/>
      <c r="V167" s="736" t="s">
        <v>206</v>
      </c>
      <c r="W167" s="736" t="s">
        <v>62</v>
      </c>
      <c r="X167" s="736" t="s">
        <v>206</v>
      </c>
      <c r="Y167" s="736"/>
      <c r="Z167" s="42"/>
      <c r="AA167" s="42"/>
      <c r="AB167" s="720"/>
      <c r="AC167" s="720"/>
      <c r="AD167" s="736" t="s">
        <v>62</v>
      </c>
      <c r="AE167" s="741">
        <v>45248</v>
      </c>
      <c r="AF167" s="721" t="s">
        <v>206</v>
      </c>
      <c r="AG167" s="732"/>
      <c r="AH167" s="732">
        <v>45248</v>
      </c>
      <c r="AI167" s="732" t="s">
        <v>206</v>
      </c>
      <c r="AJ167" s="732" t="s">
        <v>206</v>
      </c>
      <c r="AK167" s="1371">
        <v>45463</v>
      </c>
      <c r="AM167" s="143">
        <v>45462</v>
      </c>
    </row>
    <row r="168" spans="1:40" ht="22.8" hidden="1" x14ac:dyDescent="0.25">
      <c r="A168" s="28">
        <v>167</v>
      </c>
      <c r="B168" s="1302">
        <v>39085</v>
      </c>
      <c r="C168" s="27" t="s">
        <v>64</v>
      </c>
      <c r="D168" s="12" t="s">
        <v>973</v>
      </c>
      <c r="E168" s="20" t="s">
        <v>862</v>
      </c>
      <c r="F168" s="29" t="s">
        <v>863</v>
      </c>
      <c r="G168" s="29" t="s">
        <v>13</v>
      </c>
      <c r="H168" s="19">
        <v>43697</v>
      </c>
      <c r="I168" s="3">
        <v>520</v>
      </c>
      <c r="J168" s="3" t="s">
        <v>58</v>
      </c>
      <c r="K168" s="429" t="s">
        <v>59</v>
      </c>
      <c r="L168" s="442">
        <v>44078</v>
      </c>
      <c r="M168" s="453" t="s">
        <v>871</v>
      </c>
      <c r="N168" s="454">
        <v>44157</v>
      </c>
      <c r="O168" s="47">
        <v>45019</v>
      </c>
      <c r="P168" s="47"/>
      <c r="Q168" s="16" t="s">
        <v>75</v>
      </c>
      <c r="R168" s="16" t="s">
        <v>68</v>
      </c>
      <c r="S168" s="42"/>
      <c r="T168" s="42" t="s">
        <v>68</v>
      </c>
      <c r="U168" s="42"/>
      <c r="V168" s="42"/>
      <c r="W168" s="42"/>
      <c r="X168" s="42"/>
      <c r="Y168" s="42" t="s">
        <v>68</v>
      </c>
      <c r="Z168" s="42"/>
      <c r="AA168" s="42"/>
      <c r="AB168" s="16"/>
      <c r="AC168" s="16"/>
      <c r="AD168" s="42" t="s">
        <v>68</v>
      </c>
      <c r="AE168" s="32"/>
      <c r="AF168" s="32"/>
      <c r="AG168" s="382"/>
      <c r="AH168" s="382">
        <v>44887</v>
      </c>
      <c r="AI168" s="382"/>
      <c r="AJ168" s="42" t="s">
        <v>68</v>
      </c>
      <c r="AK168" s="143"/>
      <c r="AN168" s="381"/>
    </row>
    <row r="169" spans="1:40" ht="22.8" hidden="1" x14ac:dyDescent="0.25">
      <c r="A169" s="28">
        <v>168</v>
      </c>
      <c r="B169" s="1302">
        <v>39085</v>
      </c>
      <c r="C169" s="27" t="s">
        <v>54</v>
      </c>
      <c r="D169" s="12" t="s">
        <v>974</v>
      </c>
      <c r="E169" s="20" t="s">
        <v>862</v>
      </c>
      <c r="F169" s="29" t="s">
        <v>863</v>
      </c>
      <c r="G169" s="29" t="s">
        <v>13</v>
      </c>
      <c r="H169" s="19">
        <v>43697</v>
      </c>
      <c r="I169" s="3">
        <v>522</v>
      </c>
      <c r="J169" s="3" t="s">
        <v>58</v>
      </c>
      <c r="K169" s="429" t="s">
        <v>59</v>
      </c>
      <c r="L169" s="442">
        <v>44078</v>
      </c>
      <c r="M169" s="453" t="s">
        <v>871</v>
      </c>
      <c r="N169" s="454">
        <v>44157</v>
      </c>
      <c r="O169" s="47">
        <v>45019</v>
      </c>
      <c r="P169" s="47"/>
      <c r="Q169" s="16" t="s">
        <v>75</v>
      </c>
      <c r="R169" s="16" t="s">
        <v>62</v>
      </c>
      <c r="S169" s="42"/>
      <c r="T169" s="42" t="s">
        <v>62</v>
      </c>
      <c r="U169" s="42"/>
      <c r="V169" s="42"/>
      <c r="W169" s="42"/>
      <c r="X169" s="42"/>
      <c r="Y169" s="42" t="s">
        <v>62</v>
      </c>
      <c r="Z169" s="42"/>
      <c r="AA169" s="42"/>
      <c r="AB169" s="24" t="s">
        <v>975</v>
      </c>
      <c r="AC169" s="16"/>
      <c r="AD169" s="42" t="s">
        <v>62</v>
      </c>
      <c r="AE169" s="32"/>
      <c r="AF169" s="32"/>
      <c r="AG169" s="382"/>
      <c r="AH169" s="382">
        <v>44887</v>
      </c>
      <c r="AI169" s="382"/>
      <c r="AJ169" s="42" t="s">
        <v>62</v>
      </c>
      <c r="AK169" s="143"/>
    </row>
    <row r="170" spans="1:40" ht="22.8" hidden="1" x14ac:dyDescent="0.3">
      <c r="A170" s="28">
        <v>169</v>
      </c>
      <c r="B170" s="51">
        <v>39183</v>
      </c>
      <c r="C170" s="27" t="s">
        <v>64</v>
      </c>
      <c r="D170" s="51" t="s">
        <v>976</v>
      </c>
      <c r="E170" s="20" t="s">
        <v>862</v>
      </c>
      <c r="F170" s="29" t="s">
        <v>863</v>
      </c>
      <c r="G170" s="29" t="s">
        <v>13</v>
      </c>
      <c r="H170" s="46">
        <v>44249</v>
      </c>
      <c r="I170" s="3" t="s">
        <v>977</v>
      </c>
      <c r="J170" s="3" t="s">
        <v>58</v>
      </c>
      <c r="K170" s="429" t="s">
        <v>59</v>
      </c>
      <c r="L170" s="432" t="s">
        <v>75</v>
      </c>
      <c r="M170" s="432" t="s">
        <v>60</v>
      </c>
      <c r="N170" s="452">
        <v>44852</v>
      </c>
      <c r="O170" s="734">
        <v>45734</v>
      </c>
      <c r="P170" s="734"/>
      <c r="Q170" s="739" t="s">
        <v>75</v>
      </c>
      <c r="R170" s="736" t="s">
        <v>206</v>
      </c>
      <c r="S170" s="720" t="s">
        <v>206</v>
      </c>
      <c r="T170" s="736" t="s">
        <v>206</v>
      </c>
      <c r="U170" s="736"/>
      <c r="V170" s="720" t="s">
        <v>206</v>
      </c>
      <c r="W170" s="720" t="s">
        <v>206</v>
      </c>
      <c r="X170" s="736" t="s">
        <v>206</v>
      </c>
      <c r="Y170" s="720" t="s">
        <v>206</v>
      </c>
      <c r="Z170" s="16"/>
      <c r="AA170" s="16"/>
      <c r="AB170" s="720"/>
      <c r="AC170" s="720"/>
      <c r="AD170" s="737" t="s">
        <v>63</v>
      </c>
      <c r="AE170" s="721" t="s">
        <v>206</v>
      </c>
      <c r="AF170" s="721" t="s">
        <v>206</v>
      </c>
      <c r="AG170" s="732"/>
      <c r="AH170" s="732">
        <v>45153</v>
      </c>
      <c r="AI170" s="725" t="s">
        <v>206</v>
      </c>
      <c r="AJ170" s="732" t="s">
        <v>206</v>
      </c>
      <c r="AK170" s="143">
        <v>45734</v>
      </c>
      <c r="AM170" s="143">
        <v>45551</v>
      </c>
      <c r="AN170" s="381"/>
    </row>
    <row r="171" spans="1:40" ht="14.4" hidden="1" x14ac:dyDescent="0.3">
      <c r="A171" s="28">
        <v>170</v>
      </c>
      <c r="B171" s="51">
        <v>39183</v>
      </c>
      <c r="C171" s="27" t="s">
        <v>54</v>
      </c>
      <c r="D171" s="51" t="s">
        <v>978</v>
      </c>
      <c r="E171" s="20" t="s">
        <v>862</v>
      </c>
      <c r="F171" s="29" t="s">
        <v>863</v>
      </c>
      <c r="G171" s="29" t="s">
        <v>13</v>
      </c>
      <c r="H171" s="46">
        <v>44249</v>
      </c>
      <c r="I171" s="3">
        <v>1071</v>
      </c>
      <c r="J171" s="3" t="s">
        <v>58</v>
      </c>
      <c r="K171" s="429"/>
      <c r="L171" s="432"/>
      <c r="M171" s="432"/>
      <c r="N171" s="452"/>
      <c r="O171" s="734">
        <v>45734</v>
      </c>
      <c r="P171" s="719"/>
      <c r="Q171" s="720" t="s">
        <v>75</v>
      </c>
      <c r="R171" s="720" t="s">
        <v>75</v>
      </c>
      <c r="S171" s="720" t="s">
        <v>206</v>
      </c>
      <c r="T171" s="720" t="s">
        <v>206</v>
      </c>
      <c r="U171" s="720"/>
      <c r="V171" s="720" t="s">
        <v>206</v>
      </c>
      <c r="W171" s="720" t="s">
        <v>206</v>
      </c>
      <c r="X171" s="720" t="s">
        <v>75</v>
      </c>
      <c r="Y171" s="720" t="s">
        <v>206</v>
      </c>
      <c r="Z171" s="16"/>
      <c r="AA171" s="16"/>
      <c r="AB171" s="720"/>
      <c r="AC171" s="720"/>
      <c r="AD171" s="727" t="s">
        <v>616</v>
      </c>
      <c r="AE171" s="721" t="s">
        <v>206</v>
      </c>
      <c r="AF171" s="721" t="s">
        <v>206</v>
      </c>
      <c r="AG171" s="732"/>
      <c r="AH171" s="732">
        <v>45153</v>
      </c>
      <c r="AI171" s="725" t="s">
        <v>206</v>
      </c>
      <c r="AJ171" s="732" t="s">
        <v>206</v>
      </c>
      <c r="AK171" s="143">
        <v>45734</v>
      </c>
      <c r="AM171" s="143">
        <v>45551</v>
      </c>
    </row>
    <row r="172" spans="1:40" ht="22.8" hidden="1" x14ac:dyDescent="0.3">
      <c r="A172" s="28">
        <v>171</v>
      </c>
      <c r="B172" s="51">
        <v>30670</v>
      </c>
      <c r="C172" s="27" t="s">
        <v>64</v>
      </c>
      <c r="D172" s="393" t="s">
        <v>979</v>
      </c>
      <c r="E172" s="20" t="s">
        <v>862</v>
      </c>
      <c r="F172" s="29" t="s">
        <v>863</v>
      </c>
      <c r="G172" s="29" t="s">
        <v>13</v>
      </c>
      <c r="H172" s="51"/>
      <c r="I172" s="3"/>
      <c r="J172" s="3"/>
      <c r="K172" s="429" t="s">
        <v>59</v>
      </c>
      <c r="L172" s="432" t="s">
        <v>206</v>
      </c>
      <c r="M172" s="432" t="s">
        <v>980</v>
      </c>
      <c r="N172" s="452" t="s">
        <v>63</v>
      </c>
      <c r="O172" s="106">
        <v>45728</v>
      </c>
      <c r="P172" s="106"/>
      <c r="Q172" s="105"/>
      <c r="R172" s="105" t="s">
        <v>68</v>
      </c>
      <c r="S172" s="105" t="s">
        <v>206</v>
      </c>
      <c r="T172" s="105" t="s">
        <v>206</v>
      </c>
      <c r="U172" s="105"/>
      <c r="V172" s="105" t="s">
        <v>206</v>
      </c>
      <c r="W172" s="105" t="s">
        <v>206</v>
      </c>
      <c r="X172" s="105" t="s">
        <v>206</v>
      </c>
      <c r="Y172" s="105" t="s">
        <v>206</v>
      </c>
      <c r="Z172" s="16"/>
      <c r="AA172" s="16"/>
      <c r="AB172" s="105"/>
      <c r="AC172" s="105"/>
      <c r="AD172" s="105" t="s">
        <v>981</v>
      </c>
      <c r="AE172" s="716">
        <v>45272</v>
      </c>
      <c r="AF172" s="715">
        <v>45272</v>
      </c>
      <c r="AG172" s="381"/>
      <c r="AH172" s="732">
        <v>45263</v>
      </c>
      <c r="AI172" s="381">
        <v>45272</v>
      </c>
      <c r="AJ172" s="382" t="s">
        <v>206</v>
      </c>
      <c r="AM172" s="143">
        <v>45544</v>
      </c>
      <c r="AN172" s="381"/>
    </row>
    <row r="173" spans="1:40" ht="22.8" hidden="1" x14ac:dyDescent="0.3">
      <c r="A173" s="28">
        <v>172</v>
      </c>
      <c r="B173" s="51">
        <v>30670</v>
      </c>
      <c r="C173" s="27" t="s">
        <v>54</v>
      </c>
      <c r="D173" s="394" t="s">
        <v>982</v>
      </c>
      <c r="E173" s="20" t="s">
        <v>862</v>
      </c>
      <c r="F173" s="29" t="s">
        <v>863</v>
      </c>
      <c r="G173" s="29" t="s">
        <v>13</v>
      </c>
      <c r="H173" s="51"/>
      <c r="I173" s="3"/>
      <c r="J173" s="3"/>
      <c r="K173" s="429" t="s">
        <v>59</v>
      </c>
      <c r="L173" s="432" t="s">
        <v>206</v>
      </c>
      <c r="M173" s="432" t="s">
        <v>983</v>
      </c>
      <c r="N173" s="452" t="s">
        <v>63</v>
      </c>
      <c r="O173" s="106">
        <v>45728</v>
      </c>
      <c r="P173" s="106"/>
      <c r="Q173" s="105"/>
      <c r="R173" s="105" t="s">
        <v>62</v>
      </c>
      <c r="S173" s="105" t="s">
        <v>206</v>
      </c>
      <c r="T173" s="105" t="s">
        <v>206</v>
      </c>
      <c r="U173" s="105"/>
      <c r="V173" s="105" t="s">
        <v>206</v>
      </c>
      <c r="W173" s="105" t="s">
        <v>206</v>
      </c>
      <c r="X173" s="105" t="s">
        <v>206</v>
      </c>
      <c r="Y173" s="105" t="s">
        <v>206</v>
      </c>
      <c r="Z173" s="16"/>
      <c r="AA173" s="16"/>
      <c r="AB173" s="105"/>
      <c r="AC173" s="105"/>
      <c r="AD173" s="105" t="s">
        <v>604</v>
      </c>
      <c r="AE173" s="716">
        <v>45272</v>
      </c>
      <c r="AF173" s="715">
        <v>45272</v>
      </c>
      <c r="AG173" s="381"/>
      <c r="AH173" s="732">
        <v>45263</v>
      </c>
      <c r="AI173" s="381">
        <v>45272</v>
      </c>
      <c r="AJ173" s="382" t="s">
        <v>206</v>
      </c>
      <c r="AM173" s="143">
        <v>45544</v>
      </c>
    </row>
    <row r="174" spans="1:40" ht="22.8" hidden="1" x14ac:dyDescent="0.25">
      <c r="A174" s="28">
        <v>173</v>
      </c>
      <c r="B174" s="455">
        <v>37186</v>
      </c>
      <c r="C174" s="27" t="s">
        <v>64</v>
      </c>
      <c r="D174" s="395" t="s">
        <v>984</v>
      </c>
      <c r="E174" s="20" t="s">
        <v>862</v>
      </c>
      <c r="F174" s="29" t="s">
        <v>863</v>
      </c>
      <c r="G174" s="29" t="s">
        <v>13</v>
      </c>
      <c r="H174" s="51"/>
      <c r="I174" s="3"/>
      <c r="J174" s="3"/>
      <c r="K174" s="429" t="s">
        <v>59</v>
      </c>
      <c r="L174" s="432" t="s">
        <v>206</v>
      </c>
      <c r="M174" s="432" t="s">
        <v>985</v>
      </c>
      <c r="N174" s="452" t="s">
        <v>63</v>
      </c>
      <c r="O174" s="33">
        <v>45161</v>
      </c>
      <c r="P174" s="33"/>
      <c r="Q174" s="16"/>
      <c r="R174" s="16" t="s">
        <v>121</v>
      </c>
      <c r="S174" s="16"/>
      <c r="T174" s="105" t="s">
        <v>68</v>
      </c>
      <c r="U174" s="16"/>
      <c r="V174" s="16"/>
      <c r="W174" s="16"/>
      <c r="X174" s="16"/>
      <c r="Y174" s="105" t="s">
        <v>68</v>
      </c>
      <c r="Z174" s="16"/>
      <c r="AA174" s="16"/>
      <c r="AB174" s="16"/>
      <c r="AC174" s="16"/>
      <c r="AD174" s="276" t="s">
        <v>68</v>
      </c>
      <c r="AE174" s="32"/>
      <c r="AF174" s="32"/>
      <c r="AH174" s="382">
        <v>45161</v>
      </c>
      <c r="AJ174" s="276" t="s">
        <v>68</v>
      </c>
    </row>
    <row r="175" spans="1:40" ht="22.8" hidden="1" x14ac:dyDescent="0.25">
      <c r="A175" s="28">
        <v>174</v>
      </c>
      <c r="B175" s="455">
        <v>37186</v>
      </c>
      <c r="C175" s="27" t="s">
        <v>54</v>
      </c>
      <c r="D175" s="395" t="s">
        <v>986</v>
      </c>
      <c r="E175" s="20" t="s">
        <v>862</v>
      </c>
      <c r="F175" s="29" t="s">
        <v>863</v>
      </c>
      <c r="G175" s="29" t="s">
        <v>13</v>
      </c>
      <c r="H175" s="51"/>
      <c r="I175" s="3"/>
      <c r="J175" s="3"/>
      <c r="K175" s="429" t="s">
        <v>59</v>
      </c>
      <c r="L175" s="432" t="s">
        <v>206</v>
      </c>
      <c r="M175" s="432" t="s">
        <v>987</v>
      </c>
      <c r="N175" s="452" t="s">
        <v>63</v>
      </c>
      <c r="O175" s="33">
        <v>45161</v>
      </c>
      <c r="P175" s="33"/>
      <c r="Q175" s="16"/>
      <c r="R175" s="16" t="s">
        <v>121</v>
      </c>
      <c r="S175" s="16"/>
      <c r="T175" s="105" t="s">
        <v>62</v>
      </c>
      <c r="U175" s="16"/>
      <c r="V175" s="16"/>
      <c r="W175" s="16"/>
      <c r="X175" s="16"/>
      <c r="Y175" s="105" t="s">
        <v>62</v>
      </c>
      <c r="Z175" s="16"/>
      <c r="AA175" s="16"/>
      <c r="AB175" s="16"/>
      <c r="AC175" s="16"/>
      <c r="AD175" s="276" t="s">
        <v>62</v>
      </c>
      <c r="AE175" s="32"/>
      <c r="AF175" s="32"/>
      <c r="AH175" s="382">
        <v>45161</v>
      </c>
      <c r="AJ175" s="276" t="s">
        <v>62</v>
      </c>
      <c r="AK175" s="186"/>
      <c r="AM175" s="186"/>
    </row>
    <row r="176" spans="1:40" ht="24" hidden="1" x14ac:dyDescent="0.3">
      <c r="A176" s="28">
        <v>175</v>
      </c>
      <c r="B176" s="415">
        <v>37542</v>
      </c>
      <c r="C176" s="261" t="s">
        <v>64</v>
      </c>
      <c r="D176" s="260" t="s">
        <v>988</v>
      </c>
      <c r="E176" s="260" t="s">
        <v>989</v>
      </c>
      <c r="F176" s="265" t="s">
        <v>933</v>
      </c>
      <c r="G176" s="260" t="s">
        <v>13</v>
      </c>
      <c r="H176" s="268">
        <v>44251</v>
      </c>
      <c r="I176" s="265">
        <v>908</v>
      </c>
      <c r="J176" s="265" t="s">
        <v>58</v>
      </c>
      <c r="K176" s="434" t="s">
        <v>59</v>
      </c>
      <c r="L176" s="458" t="s">
        <v>75</v>
      </c>
      <c r="M176" s="458" t="s">
        <v>60</v>
      </c>
      <c r="N176" s="483">
        <v>44670</v>
      </c>
      <c r="O176" s="938">
        <v>45391</v>
      </c>
      <c r="P176" s="802" t="s">
        <v>82</v>
      </c>
      <c r="Q176" s="802" t="s">
        <v>75</v>
      </c>
      <c r="R176" s="803" t="s">
        <v>75</v>
      </c>
      <c r="S176" s="802" t="s">
        <v>82</v>
      </c>
      <c r="T176" s="802" t="s">
        <v>990</v>
      </c>
      <c r="U176" s="802" t="s">
        <v>82</v>
      </c>
      <c r="V176" s="802" t="s">
        <v>991</v>
      </c>
      <c r="W176" s="802" t="s">
        <v>75</v>
      </c>
      <c r="X176" s="802" t="s">
        <v>82</v>
      </c>
      <c r="Y176" s="801" t="s">
        <v>82</v>
      </c>
      <c r="Z176" s="801" t="s">
        <v>82</v>
      </c>
      <c r="AA176" s="801" t="s">
        <v>82</v>
      </c>
      <c r="AB176" s="803"/>
      <c r="AC176" s="803"/>
      <c r="AD176" s="804" t="s">
        <v>68</v>
      </c>
      <c r="AE176" s="805"/>
      <c r="AF176" s="805" t="s">
        <v>68</v>
      </c>
      <c r="AG176" s="813">
        <v>45485</v>
      </c>
      <c r="AH176" s="806"/>
      <c r="AI176" s="808" t="s">
        <v>992</v>
      </c>
      <c r="AJ176" s="1274">
        <v>45272</v>
      </c>
      <c r="AK176" s="845">
        <v>45530</v>
      </c>
      <c r="AL176" s="187"/>
      <c r="AM176" s="187" t="s">
        <v>63</v>
      </c>
    </row>
    <row r="177" spans="1:41" ht="24" hidden="1" x14ac:dyDescent="0.3">
      <c r="A177" s="28">
        <v>176</v>
      </c>
      <c r="B177" s="415">
        <v>37542</v>
      </c>
      <c r="C177" s="261" t="s">
        <v>54</v>
      </c>
      <c r="D177" s="260" t="s">
        <v>993</v>
      </c>
      <c r="E177" s="260" t="s">
        <v>989</v>
      </c>
      <c r="F177" s="265" t="s">
        <v>933</v>
      </c>
      <c r="G177" s="260" t="s">
        <v>13</v>
      </c>
      <c r="H177" s="268">
        <v>44245</v>
      </c>
      <c r="I177" s="265">
        <v>934</v>
      </c>
      <c r="J177" s="265" t="s">
        <v>58</v>
      </c>
      <c r="K177" s="434" t="s">
        <v>59</v>
      </c>
      <c r="L177" s="458" t="s">
        <v>75</v>
      </c>
      <c r="M177" s="458" t="s">
        <v>60</v>
      </c>
      <c r="N177" s="483">
        <v>44670</v>
      </c>
      <c r="O177" s="938">
        <v>45391</v>
      </c>
      <c r="P177" s="802" t="s">
        <v>82</v>
      </c>
      <c r="Q177" s="802" t="s">
        <v>75</v>
      </c>
      <c r="R177" s="803" t="s">
        <v>75</v>
      </c>
      <c r="S177" s="802" t="s">
        <v>82</v>
      </c>
      <c r="T177" s="802" t="s">
        <v>994</v>
      </c>
      <c r="U177" s="802" t="s">
        <v>82</v>
      </c>
      <c r="V177" s="802" t="s">
        <v>995</v>
      </c>
      <c r="W177" s="802" t="s">
        <v>75</v>
      </c>
      <c r="X177" s="802" t="s">
        <v>82</v>
      </c>
      <c r="Y177" s="802" t="s">
        <v>82</v>
      </c>
      <c r="Z177" s="802" t="s">
        <v>82</v>
      </c>
      <c r="AA177" s="801" t="s">
        <v>82</v>
      </c>
      <c r="AB177" s="803"/>
      <c r="AC177" s="803"/>
      <c r="AD177" s="807" t="s">
        <v>689</v>
      </c>
      <c r="AE177" s="805"/>
      <c r="AF177" s="805" t="s">
        <v>996</v>
      </c>
      <c r="AG177" s="1362">
        <v>45485</v>
      </c>
      <c r="AH177" s="806"/>
      <c r="AI177" s="809" t="s">
        <v>997</v>
      </c>
      <c r="AJ177" s="1274">
        <v>45272</v>
      </c>
      <c r="AK177" s="845">
        <v>45531</v>
      </c>
      <c r="AL177" s="187"/>
      <c r="AM177" s="187" t="s">
        <v>63</v>
      </c>
    </row>
    <row r="178" spans="1:41" ht="22.8" hidden="1" x14ac:dyDescent="0.25">
      <c r="A178" s="28">
        <v>177</v>
      </c>
      <c r="B178" s="20">
        <v>37128</v>
      </c>
      <c r="C178" s="27" t="s">
        <v>64</v>
      </c>
      <c r="D178" s="24" t="s">
        <v>998</v>
      </c>
      <c r="E178" s="238" t="s">
        <v>805</v>
      </c>
      <c r="F178" s="29" t="s">
        <v>806</v>
      </c>
      <c r="G178" s="29" t="s">
        <v>13</v>
      </c>
      <c r="H178" s="49">
        <v>43551</v>
      </c>
      <c r="I178" s="3">
        <v>290</v>
      </c>
      <c r="J178" s="3" t="s">
        <v>58</v>
      </c>
      <c r="K178" s="429" t="s">
        <v>59</v>
      </c>
      <c r="L178" s="443">
        <v>44135</v>
      </c>
      <c r="M178" s="459" t="s">
        <v>999</v>
      </c>
      <c r="N178" s="442">
        <v>44235</v>
      </c>
      <c r="O178" s="33">
        <v>45303</v>
      </c>
      <c r="P178" s="33"/>
      <c r="Q178" s="16" t="s">
        <v>68</v>
      </c>
      <c r="R178" s="16" t="s">
        <v>68</v>
      </c>
      <c r="S178" s="16" t="s">
        <v>68</v>
      </c>
      <c r="T178" s="16" t="s">
        <v>68</v>
      </c>
      <c r="U178" s="16" t="s">
        <v>68</v>
      </c>
      <c r="V178" s="16"/>
      <c r="W178" s="16" t="s">
        <v>68</v>
      </c>
      <c r="X178" s="16" t="s">
        <v>68</v>
      </c>
      <c r="Y178" s="16"/>
      <c r="Z178" s="432"/>
      <c r="AA178" s="442">
        <v>44495</v>
      </c>
      <c r="AB178" s="16"/>
      <c r="AC178" s="16"/>
      <c r="AD178" s="276" t="s">
        <v>63</v>
      </c>
      <c r="AE178" s="32" t="s">
        <v>1000</v>
      </c>
      <c r="AF178" s="32" t="s">
        <v>616</v>
      </c>
      <c r="AG178" s="382">
        <v>45492</v>
      </c>
      <c r="AH178" s="382">
        <v>45303</v>
      </c>
      <c r="AI178" s="58" t="s">
        <v>876</v>
      </c>
      <c r="AJ178" s="58" t="s">
        <v>63</v>
      </c>
      <c r="AK178" s="1066">
        <v>45493</v>
      </c>
      <c r="AL178" s="1369">
        <v>45303</v>
      </c>
      <c r="AM178" s="1066">
        <v>45572</v>
      </c>
    </row>
    <row r="179" spans="1:41" ht="22.8" hidden="1" x14ac:dyDescent="0.25">
      <c r="A179" s="28">
        <v>178</v>
      </c>
      <c r="B179" s="20">
        <v>37128</v>
      </c>
      <c r="C179" s="27" t="s">
        <v>54</v>
      </c>
      <c r="D179" s="24" t="s">
        <v>1001</v>
      </c>
      <c r="E179" s="238" t="s">
        <v>805</v>
      </c>
      <c r="F179" s="29" t="s">
        <v>806</v>
      </c>
      <c r="G179" s="29" t="s">
        <v>13</v>
      </c>
      <c r="H179" s="49">
        <v>43551</v>
      </c>
      <c r="I179" s="3">
        <v>351</v>
      </c>
      <c r="J179" s="3" t="s">
        <v>58</v>
      </c>
      <c r="K179" s="429" t="s">
        <v>59</v>
      </c>
      <c r="L179" s="443">
        <v>44135</v>
      </c>
      <c r="M179" s="459" t="s">
        <v>999</v>
      </c>
      <c r="N179" s="442">
        <v>44235</v>
      </c>
      <c r="O179" s="33">
        <v>45303</v>
      </c>
      <c r="P179" s="33"/>
      <c r="Q179" s="16" t="s">
        <v>62</v>
      </c>
      <c r="R179" s="16" t="s">
        <v>62</v>
      </c>
      <c r="S179" s="16" t="s">
        <v>62</v>
      </c>
      <c r="T179" s="16" t="s">
        <v>62</v>
      </c>
      <c r="U179" s="16" t="s">
        <v>62</v>
      </c>
      <c r="V179" s="16"/>
      <c r="W179" s="16" t="s">
        <v>62</v>
      </c>
      <c r="X179" s="16" t="s">
        <v>62</v>
      </c>
      <c r="Y179" s="16"/>
      <c r="Z179" s="432"/>
      <c r="AA179" s="442">
        <v>44495</v>
      </c>
      <c r="AB179" s="16"/>
      <c r="AC179" s="16"/>
      <c r="AD179" s="276" t="s">
        <v>63</v>
      </c>
      <c r="AE179" s="32" t="s">
        <v>1000</v>
      </c>
      <c r="AF179" s="32" t="s">
        <v>604</v>
      </c>
      <c r="AG179" s="382">
        <v>45492</v>
      </c>
      <c r="AH179" s="382">
        <v>45303</v>
      </c>
      <c r="AI179" s="58" t="s">
        <v>876</v>
      </c>
      <c r="AJ179" s="58" t="s">
        <v>63</v>
      </c>
      <c r="AK179" s="143">
        <v>45398</v>
      </c>
      <c r="AL179" s="1369">
        <v>45303</v>
      </c>
      <c r="AM179" s="143">
        <v>45572</v>
      </c>
    </row>
    <row r="180" spans="1:41" ht="22.8" hidden="1" x14ac:dyDescent="0.25">
      <c r="A180" s="28">
        <v>179</v>
      </c>
      <c r="B180" s="20">
        <v>37175</v>
      </c>
      <c r="C180" s="27" t="s">
        <v>64</v>
      </c>
      <c r="D180" s="24" t="s">
        <v>1002</v>
      </c>
      <c r="E180" s="238" t="s">
        <v>805</v>
      </c>
      <c r="F180" s="29" t="s">
        <v>806</v>
      </c>
      <c r="G180" s="29" t="s">
        <v>13</v>
      </c>
      <c r="H180" s="19">
        <v>43603</v>
      </c>
      <c r="I180" s="3">
        <v>450</v>
      </c>
      <c r="J180" s="3" t="s">
        <v>58</v>
      </c>
      <c r="K180" s="429" t="s">
        <v>59</v>
      </c>
      <c r="L180" s="443">
        <v>44119</v>
      </c>
      <c r="M180" s="459" t="s">
        <v>60</v>
      </c>
      <c r="N180" s="445">
        <v>44189</v>
      </c>
      <c r="O180" s="33">
        <v>45127</v>
      </c>
      <c r="P180" s="33"/>
      <c r="Q180" s="16" t="s">
        <v>68</v>
      </c>
      <c r="R180" s="16" t="s">
        <v>68</v>
      </c>
      <c r="S180" s="16" t="s">
        <v>68</v>
      </c>
      <c r="T180" s="16" t="s">
        <v>68</v>
      </c>
      <c r="U180" s="16" t="s">
        <v>68</v>
      </c>
      <c r="V180" s="16"/>
      <c r="W180" s="16" t="s">
        <v>68</v>
      </c>
      <c r="X180" s="16" t="s">
        <v>68</v>
      </c>
      <c r="Y180" s="16"/>
      <c r="Z180" s="432"/>
      <c r="AA180" s="432"/>
      <c r="AB180" s="16"/>
      <c r="AC180" s="16"/>
      <c r="AD180" s="276" t="s">
        <v>68</v>
      </c>
      <c r="AE180" s="24" t="s">
        <v>63</v>
      </c>
      <c r="AF180" s="16" t="s">
        <v>68</v>
      </c>
      <c r="AG180" s="382">
        <v>45540</v>
      </c>
      <c r="AI180" s="58" t="s">
        <v>814</v>
      </c>
      <c r="AJ180" s="382">
        <v>45127</v>
      </c>
      <c r="AK180" s="143">
        <v>45541</v>
      </c>
      <c r="AM180" s="143">
        <v>45541</v>
      </c>
    </row>
    <row r="181" spans="1:41" ht="22.8" hidden="1" x14ac:dyDescent="0.25">
      <c r="A181" s="28">
        <v>180</v>
      </c>
      <c r="B181" s="20">
        <v>37175</v>
      </c>
      <c r="C181" s="27" t="s">
        <v>54</v>
      </c>
      <c r="D181" s="24" t="s">
        <v>1003</v>
      </c>
      <c r="E181" s="238" t="s">
        <v>805</v>
      </c>
      <c r="F181" s="29" t="s">
        <v>806</v>
      </c>
      <c r="G181" s="29" t="s">
        <v>13</v>
      </c>
      <c r="H181" s="19">
        <v>43603</v>
      </c>
      <c r="I181" s="3">
        <v>451</v>
      </c>
      <c r="J181" s="3" t="s">
        <v>58</v>
      </c>
      <c r="K181" s="429" t="s">
        <v>59</v>
      </c>
      <c r="L181" s="443">
        <v>44119</v>
      </c>
      <c r="M181" s="459" t="s">
        <v>60</v>
      </c>
      <c r="N181" s="445">
        <v>44189</v>
      </c>
      <c r="O181" s="33">
        <v>45127</v>
      </c>
      <c r="P181" s="33"/>
      <c r="Q181" s="37" t="s">
        <v>62</v>
      </c>
      <c r="R181" s="16" t="s">
        <v>62</v>
      </c>
      <c r="S181" s="37" t="s">
        <v>62</v>
      </c>
      <c r="T181" s="37" t="s">
        <v>62</v>
      </c>
      <c r="U181" s="37" t="s">
        <v>62</v>
      </c>
      <c r="V181" s="16"/>
      <c r="W181" s="37" t="s">
        <v>62</v>
      </c>
      <c r="X181" s="37" t="s">
        <v>62</v>
      </c>
      <c r="Y181" s="16"/>
      <c r="Z181" s="432"/>
      <c r="AA181" s="432"/>
      <c r="AB181" s="16"/>
      <c r="AC181" s="16"/>
      <c r="AD181" s="285" t="s">
        <v>62</v>
      </c>
      <c r="AE181" s="24" t="s">
        <v>63</v>
      </c>
      <c r="AF181" s="32" t="s">
        <v>62</v>
      </c>
      <c r="AG181" s="382">
        <v>45540</v>
      </c>
      <c r="AI181" s="58" t="s">
        <v>814</v>
      </c>
      <c r="AJ181" s="382">
        <v>45127</v>
      </c>
      <c r="AK181" s="235">
        <v>45541</v>
      </c>
      <c r="AM181" s="235">
        <v>45541</v>
      </c>
      <c r="AO181" t="s">
        <v>1004</v>
      </c>
    </row>
    <row r="182" spans="1:41" ht="22.8" hidden="1" x14ac:dyDescent="0.3">
      <c r="A182" s="28">
        <v>181</v>
      </c>
      <c r="B182" s="416">
        <v>37589</v>
      </c>
      <c r="C182" s="27" t="s">
        <v>64</v>
      </c>
      <c r="D182" s="20" t="s">
        <v>1005</v>
      </c>
      <c r="E182" s="260" t="s">
        <v>989</v>
      </c>
      <c r="F182" s="3" t="s">
        <v>933</v>
      </c>
      <c r="G182" s="3" t="s">
        <v>13</v>
      </c>
      <c r="H182" s="19">
        <v>44366</v>
      </c>
      <c r="I182" s="3">
        <v>944</v>
      </c>
      <c r="J182" s="3" t="s">
        <v>58</v>
      </c>
      <c r="K182" s="429" t="s">
        <v>59</v>
      </c>
      <c r="L182" s="432" t="s">
        <v>75</v>
      </c>
      <c r="M182" s="435" t="s">
        <v>60</v>
      </c>
      <c r="N182" s="461">
        <v>44609</v>
      </c>
      <c r="O182" s="938">
        <v>45391</v>
      </c>
      <c r="P182" s="810"/>
      <c r="Q182" s="803" t="s">
        <v>75</v>
      </c>
      <c r="R182" s="803" t="s">
        <v>75</v>
      </c>
      <c r="S182" s="810"/>
      <c r="T182" s="810" t="s">
        <v>710</v>
      </c>
      <c r="U182" s="810"/>
      <c r="V182" s="810" t="s">
        <v>68</v>
      </c>
      <c r="W182" s="811" t="s">
        <v>75</v>
      </c>
      <c r="X182" s="803" t="s">
        <v>75</v>
      </c>
      <c r="Y182" s="810"/>
      <c r="Z182" s="810"/>
      <c r="AA182" s="810"/>
      <c r="AB182" s="803"/>
      <c r="AC182" s="803"/>
      <c r="AD182" s="807" t="s">
        <v>1006</v>
      </c>
      <c r="AE182" s="805"/>
      <c r="AF182" s="805"/>
      <c r="AG182" s="813">
        <v>45473</v>
      </c>
      <c r="AH182" s="806"/>
      <c r="AI182" s="808">
        <v>45319</v>
      </c>
      <c r="AJ182" s="1274">
        <v>45319</v>
      </c>
      <c r="AK182" s="845">
        <v>45496</v>
      </c>
      <c r="AL182" s="187"/>
      <c r="AM182" s="187" t="s">
        <v>63</v>
      </c>
    </row>
    <row r="183" spans="1:41" ht="22.8" hidden="1" x14ac:dyDescent="0.3">
      <c r="A183" s="28">
        <v>182</v>
      </c>
      <c r="B183" s="416">
        <v>37589</v>
      </c>
      <c r="C183" s="27" t="s">
        <v>54</v>
      </c>
      <c r="D183" s="87" t="s">
        <v>1007</v>
      </c>
      <c r="E183" s="260" t="s">
        <v>989</v>
      </c>
      <c r="F183" s="3" t="s">
        <v>933</v>
      </c>
      <c r="G183" s="3" t="s">
        <v>13</v>
      </c>
      <c r="H183" s="19">
        <v>44366</v>
      </c>
      <c r="I183" s="3">
        <v>951</v>
      </c>
      <c r="J183" s="3" t="s">
        <v>58</v>
      </c>
      <c r="K183" s="429" t="s">
        <v>59</v>
      </c>
      <c r="L183" s="432" t="s">
        <v>75</v>
      </c>
      <c r="M183" s="435" t="s">
        <v>60</v>
      </c>
      <c r="N183" s="461">
        <v>44609</v>
      </c>
      <c r="O183" s="938">
        <v>45391</v>
      </c>
      <c r="P183" s="810"/>
      <c r="Q183" s="803" t="s">
        <v>75</v>
      </c>
      <c r="R183" s="803" t="s">
        <v>75</v>
      </c>
      <c r="S183" s="810"/>
      <c r="T183" s="810" t="s">
        <v>689</v>
      </c>
      <c r="U183" s="810"/>
      <c r="V183" s="810" t="s">
        <v>62</v>
      </c>
      <c r="W183" s="811" t="s">
        <v>75</v>
      </c>
      <c r="X183" s="803" t="s">
        <v>75</v>
      </c>
      <c r="Y183" s="810"/>
      <c r="Z183" s="810"/>
      <c r="AA183" s="810"/>
      <c r="AB183" s="803"/>
      <c r="AC183" s="803"/>
      <c r="AD183" s="807" t="s">
        <v>689</v>
      </c>
      <c r="AE183" s="805"/>
      <c r="AF183" s="805" t="s">
        <v>62</v>
      </c>
      <c r="AG183" s="813">
        <v>45473</v>
      </c>
      <c r="AH183" s="806"/>
      <c r="AI183" s="808">
        <v>45310</v>
      </c>
      <c r="AJ183" s="1274">
        <v>45310</v>
      </c>
      <c r="AK183" s="845">
        <v>45495</v>
      </c>
      <c r="AL183" s="187"/>
      <c r="AM183" s="187" t="s">
        <v>63</v>
      </c>
    </row>
    <row r="184" spans="1:41" ht="22.8" hidden="1" x14ac:dyDescent="0.3">
      <c r="A184" s="28">
        <v>183</v>
      </c>
      <c r="B184" s="416">
        <v>37590</v>
      </c>
      <c r="C184" s="17" t="s">
        <v>64</v>
      </c>
      <c r="D184" s="20" t="s">
        <v>1008</v>
      </c>
      <c r="E184" s="260" t="s">
        <v>989</v>
      </c>
      <c r="F184" s="3" t="s">
        <v>933</v>
      </c>
      <c r="G184" s="3" t="s">
        <v>13</v>
      </c>
      <c r="H184" s="52">
        <v>44341</v>
      </c>
      <c r="I184" s="3">
        <v>1031</v>
      </c>
      <c r="J184" s="3" t="s">
        <v>58</v>
      </c>
      <c r="K184" s="429" t="s">
        <v>59</v>
      </c>
      <c r="L184" s="432" t="s">
        <v>75</v>
      </c>
      <c r="M184" s="432" t="s">
        <v>60</v>
      </c>
      <c r="N184" s="432" t="s">
        <v>75</v>
      </c>
      <c r="O184" s="812">
        <v>45413</v>
      </c>
      <c r="P184" s="812"/>
      <c r="Q184" s="803" t="s">
        <v>75</v>
      </c>
      <c r="R184" s="803" t="s">
        <v>75</v>
      </c>
      <c r="S184" s="803"/>
      <c r="T184" s="811" t="s">
        <v>75</v>
      </c>
      <c r="U184" s="803"/>
      <c r="V184" s="803" t="s">
        <v>68</v>
      </c>
      <c r="W184" s="811" t="s">
        <v>75</v>
      </c>
      <c r="X184" s="803" t="s">
        <v>75</v>
      </c>
      <c r="Y184" s="803"/>
      <c r="Z184" s="803"/>
      <c r="AA184" s="803"/>
      <c r="AB184" s="803"/>
      <c r="AC184" s="803"/>
      <c r="AD184" s="804" t="s">
        <v>68</v>
      </c>
      <c r="AE184" s="805"/>
      <c r="AF184" s="813" t="s">
        <v>68</v>
      </c>
      <c r="AG184" s="813">
        <v>45499</v>
      </c>
      <c r="AH184" s="806"/>
      <c r="AI184" s="813" t="s">
        <v>1009</v>
      </c>
      <c r="AJ184" s="1275">
        <v>45269</v>
      </c>
      <c r="AK184" s="1383">
        <v>45511</v>
      </c>
      <c r="AL184" s="187"/>
      <c r="AM184" s="187" t="s">
        <v>63</v>
      </c>
    </row>
    <row r="185" spans="1:41" ht="22.8" hidden="1" x14ac:dyDescent="0.3">
      <c r="A185" s="28">
        <v>184</v>
      </c>
      <c r="B185" s="416">
        <v>37590</v>
      </c>
      <c r="C185" s="17" t="s">
        <v>54</v>
      </c>
      <c r="D185" s="20" t="s">
        <v>1010</v>
      </c>
      <c r="E185" s="260" t="s">
        <v>989</v>
      </c>
      <c r="F185" s="3" t="s">
        <v>933</v>
      </c>
      <c r="G185" s="3" t="s">
        <v>13</v>
      </c>
      <c r="H185" s="52">
        <v>44341</v>
      </c>
      <c r="I185" s="3">
        <v>1033</v>
      </c>
      <c r="J185" s="3" t="s">
        <v>58</v>
      </c>
      <c r="K185" s="429" t="s">
        <v>59</v>
      </c>
      <c r="L185" s="432" t="s">
        <v>75</v>
      </c>
      <c r="M185" s="432" t="s">
        <v>60</v>
      </c>
      <c r="N185" s="432" t="s">
        <v>75</v>
      </c>
      <c r="O185" s="812">
        <v>45413</v>
      </c>
      <c r="P185" s="812"/>
      <c r="Q185" s="803" t="s">
        <v>75</v>
      </c>
      <c r="R185" s="803" t="s">
        <v>75</v>
      </c>
      <c r="S185" s="803"/>
      <c r="T185" s="811" t="s">
        <v>75</v>
      </c>
      <c r="U185" s="803"/>
      <c r="V185" s="803" t="s">
        <v>62</v>
      </c>
      <c r="W185" s="811" t="s">
        <v>75</v>
      </c>
      <c r="X185" s="803" t="s">
        <v>75</v>
      </c>
      <c r="Y185" s="803"/>
      <c r="Z185" s="803"/>
      <c r="AA185" s="803"/>
      <c r="AB185" s="803"/>
      <c r="AC185" s="803"/>
      <c r="AD185" s="804" t="s">
        <v>62</v>
      </c>
      <c r="AE185" s="805"/>
      <c r="AF185" s="813" t="s">
        <v>62</v>
      </c>
      <c r="AG185" s="813">
        <v>45499</v>
      </c>
      <c r="AH185" s="806"/>
      <c r="AI185" s="813" t="s">
        <v>1011</v>
      </c>
      <c r="AJ185" s="1274">
        <v>45269</v>
      </c>
      <c r="AK185" s="1384">
        <v>45512</v>
      </c>
      <c r="AL185" s="187"/>
      <c r="AM185" s="187" t="s">
        <v>63</v>
      </c>
    </row>
    <row r="186" spans="1:41" ht="14.4" hidden="1" x14ac:dyDescent="0.3">
      <c r="A186" s="28">
        <v>185</v>
      </c>
      <c r="B186" s="55">
        <v>30643</v>
      </c>
      <c r="C186" s="55" t="s">
        <v>64</v>
      </c>
      <c r="D186" s="3" t="s">
        <v>1012</v>
      </c>
      <c r="E186" s="238" t="s">
        <v>805</v>
      </c>
      <c r="F186" s="3" t="s">
        <v>806</v>
      </c>
      <c r="G186" s="29" t="s">
        <v>13</v>
      </c>
      <c r="H186" s="49">
        <v>44656</v>
      </c>
      <c r="I186" s="3"/>
      <c r="J186" s="3" t="s">
        <v>58</v>
      </c>
      <c r="K186" s="432" t="s">
        <v>1013</v>
      </c>
      <c r="L186" s="443">
        <v>44652</v>
      </c>
      <c r="M186" s="432" t="s">
        <v>60</v>
      </c>
      <c r="N186" s="452">
        <v>44652</v>
      </c>
      <c r="O186" s="33">
        <v>45421</v>
      </c>
      <c r="P186" s="33"/>
      <c r="Q186" s="16" t="s">
        <v>68</v>
      </c>
      <c r="R186" s="16" t="s">
        <v>68</v>
      </c>
      <c r="S186" s="16" t="s">
        <v>68</v>
      </c>
      <c r="T186" s="16" t="s">
        <v>68</v>
      </c>
      <c r="U186" s="16" t="s">
        <v>68</v>
      </c>
      <c r="V186" s="16" t="s">
        <v>68</v>
      </c>
      <c r="W186" s="16" t="s">
        <v>68</v>
      </c>
      <c r="X186" s="16" t="s">
        <v>68</v>
      </c>
      <c r="Y186" s="16"/>
      <c r="Z186" s="432"/>
      <c r="AA186" s="432"/>
      <c r="AB186" s="16"/>
      <c r="AC186" s="16"/>
      <c r="AD186" s="276" t="s">
        <v>68</v>
      </c>
      <c r="AE186" s="32" t="s">
        <v>68</v>
      </c>
      <c r="AF186" s="32" t="s">
        <v>68</v>
      </c>
      <c r="AG186" s="382">
        <v>45527</v>
      </c>
      <c r="AI186" s="382">
        <v>45421</v>
      </c>
      <c r="AJ186" s="382">
        <v>45421</v>
      </c>
      <c r="AK186" s="1385">
        <v>45548</v>
      </c>
      <c r="AL186" s="1369">
        <v>45421</v>
      </c>
      <c r="AM186" s="1066">
        <v>45824</v>
      </c>
      <c r="AO186" t="s">
        <v>1004</v>
      </c>
    </row>
    <row r="187" spans="1:41" ht="14.4" hidden="1" x14ac:dyDescent="0.3">
      <c r="A187" s="28">
        <v>186</v>
      </c>
      <c r="B187" s="55">
        <v>30643</v>
      </c>
      <c r="C187" s="55" t="s">
        <v>54</v>
      </c>
      <c r="D187" s="3" t="s">
        <v>1014</v>
      </c>
      <c r="E187" s="238" t="s">
        <v>805</v>
      </c>
      <c r="F187" s="3" t="s">
        <v>806</v>
      </c>
      <c r="G187" s="29" t="s">
        <v>13</v>
      </c>
      <c r="H187" s="49">
        <v>44656</v>
      </c>
      <c r="I187" s="3"/>
      <c r="J187" s="3" t="s">
        <v>58</v>
      </c>
      <c r="K187" s="432" t="s">
        <v>1013</v>
      </c>
      <c r="L187" s="443">
        <v>44652</v>
      </c>
      <c r="M187" s="432" t="s">
        <v>60</v>
      </c>
      <c r="N187" s="452">
        <v>44652</v>
      </c>
      <c r="O187" s="33">
        <v>45421</v>
      </c>
      <c r="P187" s="33"/>
      <c r="Q187" s="16" t="s">
        <v>62</v>
      </c>
      <c r="R187" s="16" t="s">
        <v>62</v>
      </c>
      <c r="S187" s="16" t="s">
        <v>62</v>
      </c>
      <c r="T187" s="16" t="s">
        <v>62</v>
      </c>
      <c r="U187" s="16" t="s">
        <v>62</v>
      </c>
      <c r="V187" s="16" t="s">
        <v>62</v>
      </c>
      <c r="W187" s="16" t="s">
        <v>62</v>
      </c>
      <c r="X187" s="16" t="s">
        <v>62</v>
      </c>
      <c r="Y187" s="16"/>
      <c r="Z187" s="432"/>
      <c r="AA187" s="432"/>
      <c r="AB187" s="16"/>
      <c r="AC187" s="16"/>
      <c r="AD187" s="276" t="s">
        <v>62</v>
      </c>
      <c r="AE187" s="32" t="s">
        <v>62</v>
      </c>
      <c r="AF187" s="32" t="s">
        <v>62</v>
      </c>
      <c r="AG187" s="382">
        <v>45527</v>
      </c>
      <c r="AI187" s="382">
        <v>45421</v>
      </c>
      <c r="AJ187" s="382">
        <v>45421</v>
      </c>
      <c r="AK187" s="1386">
        <v>45549</v>
      </c>
      <c r="AL187" s="1369">
        <v>45421</v>
      </c>
      <c r="AM187" s="143">
        <v>45824</v>
      </c>
      <c r="AO187" t="s">
        <v>1004</v>
      </c>
    </row>
    <row r="188" spans="1:41" ht="14.4" hidden="1" x14ac:dyDescent="0.3">
      <c r="A188" s="28">
        <v>187</v>
      </c>
      <c r="B188" s="55">
        <v>30654</v>
      </c>
      <c r="C188" s="55" t="s">
        <v>64</v>
      </c>
      <c r="D188" s="3" t="s">
        <v>1015</v>
      </c>
      <c r="E188" s="238" t="s">
        <v>805</v>
      </c>
      <c r="F188" s="3" t="s">
        <v>806</v>
      </c>
      <c r="G188" s="29" t="s">
        <v>13</v>
      </c>
      <c r="H188" s="52">
        <v>44467</v>
      </c>
      <c r="I188" s="3"/>
      <c r="J188" s="3" t="s">
        <v>58</v>
      </c>
      <c r="K188" s="432" t="s">
        <v>1013</v>
      </c>
      <c r="L188" s="443">
        <v>44468</v>
      </c>
      <c r="M188" s="432" t="s">
        <v>60</v>
      </c>
      <c r="N188" s="452">
        <v>44468</v>
      </c>
      <c r="O188" s="33">
        <v>45540</v>
      </c>
      <c r="P188" s="33"/>
      <c r="Q188" s="16"/>
      <c r="R188" s="16"/>
      <c r="S188" s="16" t="s">
        <v>68</v>
      </c>
      <c r="T188" s="16" t="s">
        <v>68</v>
      </c>
      <c r="U188" s="16" t="s">
        <v>68</v>
      </c>
      <c r="V188" s="16"/>
      <c r="W188" s="16"/>
      <c r="X188" s="16" t="s">
        <v>68</v>
      </c>
      <c r="Y188" s="16"/>
      <c r="Z188" s="432"/>
      <c r="AA188" s="432"/>
      <c r="AB188" s="16"/>
      <c r="AC188" s="16"/>
      <c r="AD188" s="306" t="s">
        <v>710</v>
      </c>
      <c r="AE188" s="24" t="s">
        <v>63</v>
      </c>
      <c r="AF188" s="306" t="s">
        <v>710</v>
      </c>
      <c r="AG188" s="382">
        <v>45479</v>
      </c>
      <c r="AI188" s="58" t="s">
        <v>710</v>
      </c>
      <c r="AJ188" s="58" t="s">
        <v>616</v>
      </c>
      <c r="AK188" s="1387">
        <v>45500</v>
      </c>
      <c r="AL188" s="1369">
        <v>45341</v>
      </c>
      <c r="AM188" s="143">
        <v>45540</v>
      </c>
    </row>
    <row r="189" spans="1:41" ht="14.4" hidden="1" x14ac:dyDescent="0.3">
      <c r="A189" s="28">
        <v>188</v>
      </c>
      <c r="B189" s="55">
        <v>30654</v>
      </c>
      <c r="C189" s="55" t="s">
        <v>54</v>
      </c>
      <c r="D189" s="3" t="s">
        <v>1016</v>
      </c>
      <c r="E189" s="238" t="s">
        <v>805</v>
      </c>
      <c r="F189" s="3" t="s">
        <v>806</v>
      </c>
      <c r="G189" s="29" t="s">
        <v>13</v>
      </c>
      <c r="H189" s="52">
        <v>44467</v>
      </c>
      <c r="I189" s="3"/>
      <c r="J189" s="3" t="s">
        <v>58</v>
      </c>
      <c r="K189" s="432" t="s">
        <v>1013</v>
      </c>
      <c r="L189" s="443">
        <v>44468</v>
      </c>
      <c r="M189" s="432" t="s">
        <v>60</v>
      </c>
      <c r="N189" s="452">
        <v>44468</v>
      </c>
      <c r="O189" s="33">
        <v>45540</v>
      </c>
      <c r="P189" s="33"/>
      <c r="Q189" s="16"/>
      <c r="R189" s="16"/>
      <c r="S189" s="16" t="s">
        <v>62</v>
      </c>
      <c r="T189" s="16" t="s">
        <v>62</v>
      </c>
      <c r="U189" s="16" t="s">
        <v>62</v>
      </c>
      <c r="V189" s="16"/>
      <c r="W189" s="16"/>
      <c r="X189" s="16" t="s">
        <v>62</v>
      </c>
      <c r="Y189" s="16"/>
      <c r="Z189" s="432"/>
      <c r="AA189" s="432"/>
      <c r="AB189" s="16"/>
      <c r="AC189" s="16"/>
      <c r="AD189" s="306" t="s">
        <v>689</v>
      </c>
      <c r="AE189" s="24" t="s">
        <v>63</v>
      </c>
      <c r="AF189" s="306" t="s">
        <v>689</v>
      </c>
      <c r="AG189" s="382">
        <v>45479</v>
      </c>
      <c r="AI189" s="58" t="s">
        <v>689</v>
      </c>
      <c r="AJ189" s="58" t="s">
        <v>604</v>
      </c>
      <c r="AK189" s="1385">
        <v>45501</v>
      </c>
      <c r="AL189" s="1369">
        <v>45341</v>
      </c>
      <c r="AM189" s="143">
        <v>45540</v>
      </c>
    </row>
    <row r="190" spans="1:41" ht="22.8" hidden="1" x14ac:dyDescent="0.3">
      <c r="A190" s="28">
        <v>189</v>
      </c>
      <c r="B190" s="1169">
        <v>30663</v>
      </c>
      <c r="C190" s="1169" t="s">
        <v>54</v>
      </c>
      <c r="D190" s="1170" t="s">
        <v>1017</v>
      </c>
      <c r="E190" s="1171" t="s">
        <v>805</v>
      </c>
      <c r="F190" s="1170" t="s">
        <v>806</v>
      </c>
      <c r="G190" s="1172" t="s">
        <v>13</v>
      </c>
      <c r="H190" s="52">
        <v>44581</v>
      </c>
      <c r="I190" s="3"/>
      <c r="J190" s="3" t="s">
        <v>58</v>
      </c>
      <c r="K190" s="429" t="s">
        <v>59</v>
      </c>
      <c r="L190" s="443">
        <v>44511</v>
      </c>
      <c r="M190" s="432" t="s">
        <v>60</v>
      </c>
      <c r="N190" s="452" t="s">
        <v>75</v>
      </c>
      <c r="O190" s="33">
        <v>44585</v>
      </c>
      <c r="P190" s="33"/>
      <c r="Q190" s="16"/>
      <c r="R190" s="16"/>
      <c r="S190" s="16" t="s">
        <v>62</v>
      </c>
      <c r="T190" s="16" t="s">
        <v>62</v>
      </c>
      <c r="U190" s="16" t="s">
        <v>62</v>
      </c>
      <c r="V190" s="16"/>
      <c r="W190" s="16"/>
      <c r="X190" s="16" t="s">
        <v>62</v>
      </c>
      <c r="Y190" s="16"/>
      <c r="Z190" s="432"/>
      <c r="AA190" s="432"/>
      <c r="AB190" s="16"/>
      <c r="AC190" s="16"/>
      <c r="AD190" s="276" t="s">
        <v>62</v>
      </c>
      <c r="AE190" s="24" t="s">
        <v>63</v>
      </c>
      <c r="AF190" s="16" t="s">
        <v>63</v>
      </c>
      <c r="AG190" s="382"/>
      <c r="AI190" s="58" t="s">
        <v>814</v>
      </c>
      <c r="AK190" s="1388"/>
      <c r="AM190" s="24" t="s">
        <v>1018</v>
      </c>
    </row>
    <row r="191" spans="1:41" hidden="1" x14ac:dyDescent="0.25">
      <c r="A191" s="28">
        <v>190</v>
      </c>
      <c r="B191" s="55">
        <v>30675</v>
      </c>
      <c r="C191" s="55" t="s">
        <v>64</v>
      </c>
      <c r="D191" s="213" t="s">
        <v>1019</v>
      </c>
      <c r="E191" s="238" t="s">
        <v>805</v>
      </c>
      <c r="F191" s="3" t="s">
        <v>806</v>
      </c>
      <c r="G191" s="29" t="s">
        <v>13</v>
      </c>
      <c r="H191" s="52">
        <v>44459</v>
      </c>
      <c r="I191" s="3"/>
      <c r="J191" s="3" t="s">
        <v>58</v>
      </c>
      <c r="K191" s="432" t="s">
        <v>1013</v>
      </c>
      <c r="L191" s="443">
        <v>44459</v>
      </c>
      <c r="M191" s="432" t="s">
        <v>60</v>
      </c>
      <c r="N191" s="452">
        <v>44459</v>
      </c>
      <c r="O191" s="33">
        <v>44662</v>
      </c>
      <c r="P191" s="33"/>
      <c r="Q191" s="16"/>
      <c r="R191" s="16"/>
      <c r="S191" s="16" t="s">
        <v>68</v>
      </c>
      <c r="T191" s="16" t="s">
        <v>68</v>
      </c>
      <c r="U191" s="16" t="s">
        <v>68</v>
      </c>
      <c r="V191" s="16"/>
      <c r="W191" s="16"/>
      <c r="X191" s="16" t="s">
        <v>68</v>
      </c>
      <c r="Y191" s="16"/>
      <c r="Z191" s="432"/>
      <c r="AA191" s="432"/>
      <c r="AB191" s="16"/>
      <c r="AC191" s="16"/>
      <c r="AD191" s="276" t="s">
        <v>68</v>
      </c>
      <c r="AE191" s="24" t="s">
        <v>63</v>
      </c>
      <c r="AF191" s="30" t="s">
        <v>68</v>
      </c>
      <c r="AG191" s="382">
        <v>45524</v>
      </c>
      <c r="AI191" s="58" t="s">
        <v>814</v>
      </c>
      <c r="AJ191" s="382">
        <v>45562</v>
      </c>
      <c r="AK191" s="143">
        <v>45561</v>
      </c>
      <c r="AM191" s="143">
        <v>45562</v>
      </c>
    </row>
    <row r="192" spans="1:41" hidden="1" x14ac:dyDescent="0.25">
      <c r="A192" s="28">
        <v>191</v>
      </c>
      <c r="B192" s="55">
        <v>30675</v>
      </c>
      <c r="C192" s="55" t="s">
        <v>54</v>
      </c>
      <c r="D192" s="213" t="s">
        <v>1020</v>
      </c>
      <c r="E192" s="238" t="s">
        <v>805</v>
      </c>
      <c r="F192" s="3" t="s">
        <v>806</v>
      </c>
      <c r="G192" s="29" t="s">
        <v>13</v>
      </c>
      <c r="H192" s="52">
        <v>44459</v>
      </c>
      <c r="I192" s="3"/>
      <c r="J192" s="3" t="s">
        <v>58</v>
      </c>
      <c r="K192" s="432" t="s">
        <v>1013</v>
      </c>
      <c r="L192" s="443">
        <v>44459</v>
      </c>
      <c r="M192" s="432" t="s">
        <v>60</v>
      </c>
      <c r="N192" s="452">
        <v>44459</v>
      </c>
      <c r="O192" s="33">
        <v>44662</v>
      </c>
      <c r="P192" s="33"/>
      <c r="Q192" s="16"/>
      <c r="R192" s="16"/>
      <c r="S192" s="16" t="s">
        <v>62</v>
      </c>
      <c r="T192" s="16" t="s">
        <v>62</v>
      </c>
      <c r="U192" s="16" t="s">
        <v>62</v>
      </c>
      <c r="V192" s="16"/>
      <c r="W192" s="16"/>
      <c r="X192" s="16" t="s">
        <v>62</v>
      </c>
      <c r="Y192" s="16"/>
      <c r="Z192" s="432"/>
      <c r="AA192" s="432"/>
      <c r="AB192" s="16"/>
      <c r="AC192" s="16"/>
      <c r="AD192" s="276" t="s">
        <v>62</v>
      </c>
      <c r="AE192" s="24" t="s">
        <v>63</v>
      </c>
      <c r="AF192" s="30" t="s">
        <v>62</v>
      </c>
      <c r="AG192" s="382">
        <v>45524</v>
      </c>
      <c r="AI192" s="58" t="s">
        <v>814</v>
      </c>
      <c r="AJ192" s="382">
        <v>45562</v>
      </c>
      <c r="AK192" s="143">
        <v>45561</v>
      </c>
      <c r="AM192" s="143">
        <v>45562</v>
      </c>
    </row>
    <row r="193" spans="1:41" hidden="1" x14ac:dyDescent="0.25">
      <c r="A193" s="28">
        <v>192</v>
      </c>
      <c r="B193" s="55">
        <v>30684</v>
      </c>
      <c r="C193" s="55" t="s">
        <v>64</v>
      </c>
      <c r="D193" s="213" t="s">
        <v>1021</v>
      </c>
      <c r="E193" s="238" t="s">
        <v>805</v>
      </c>
      <c r="F193" s="3" t="s">
        <v>806</v>
      </c>
      <c r="G193" s="29" t="s">
        <v>13</v>
      </c>
      <c r="H193" s="52">
        <v>44448</v>
      </c>
      <c r="I193" s="3"/>
      <c r="J193" s="3" t="s">
        <v>58</v>
      </c>
      <c r="K193" s="432" t="s">
        <v>1013</v>
      </c>
      <c r="L193" s="443">
        <v>44448</v>
      </c>
      <c r="M193" s="432" t="s">
        <v>60</v>
      </c>
      <c r="N193" s="452">
        <v>44448</v>
      </c>
      <c r="O193" s="33">
        <v>45307</v>
      </c>
      <c r="P193" s="33"/>
      <c r="Q193" s="16"/>
      <c r="R193" s="16" t="s">
        <v>68</v>
      </c>
      <c r="S193" s="16" t="s">
        <v>68</v>
      </c>
      <c r="T193" s="16" t="s">
        <v>68</v>
      </c>
      <c r="U193" s="16" t="s">
        <v>68</v>
      </c>
      <c r="V193" s="16"/>
      <c r="W193" s="16" t="s">
        <v>68</v>
      </c>
      <c r="X193" s="16" t="s">
        <v>68</v>
      </c>
      <c r="Y193" s="16"/>
      <c r="Z193" s="432"/>
      <c r="AA193" s="432"/>
      <c r="AB193" s="16"/>
      <c r="AC193" s="16"/>
      <c r="AD193" s="306" t="s">
        <v>68</v>
      </c>
      <c r="AE193" s="306" t="s">
        <v>68</v>
      </c>
      <c r="AF193" s="306" t="s">
        <v>68</v>
      </c>
      <c r="AG193" s="382">
        <v>45559</v>
      </c>
      <c r="AI193" s="16" t="s">
        <v>68</v>
      </c>
      <c r="AJ193" s="16" t="s">
        <v>68</v>
      </c>
      <c r="AK193" s="16" t="s">
        <v>68</v>
      </c>
      <c r="AM193" s="143">
        <v>45524</v>
      </c>
      <c r="AO193" t="s">
        <v>1022</v>
      </c>
    </row>
    <row r="194" spans="1:41" hidden="1" x14ac:dyDescent="0.25">
      <c r="A194" s="28">
        <v>193</v>
      </c>
      <c r="B194" s="55">
        <v>30684</v>
      </c>
      <c r="C194" s="55" t="s">
        <v>54</v>
      </c>
      <c r="D194" s="213" t="s">
        <v>1023</v>
      </c>
      <c r="E194" s="238" t="s">
        <v>805</v>
      </c>
      <c r="F194" s="3" t="s">
        <v>806</v>
      </c>
      <c r="G194" s="29" t="s">
        <v>13</v>
      </c>
      <c r="H194" s="52">
        <v>44448</v>
      </c>
      <c r="I194" s="3"/>
      <c r="J194" s="3" t="s">
        <v>58</v>
      </c>
      <c r="K194" s="432" t="s">
        <v>1013</v>
      </c>
      <c r="L194" s="443">
        <v>44448</v>
      </c>
      <c r="M194" s="432" t="s">
        <v>60</v>
      </c>
      <c r="N194" s="452">
        <v>44448</v>
      </c>
      <c r="O194" s="33">
        <v>45307</v>
      </c>
      <c r="P194" s="33"/>
      <c r="Q194" s="16"/>
      <c r="R194" s="16" t="s">
        <v>62</v>
      </c>
      <c r="S194" s="16" t="s">
        <v>62</v>
      </c>
      <c r="T194" s="16" t="s">
        <v>62</v>
      </c>
      <c r="U194" s="16" t="s">
        <v>62</v>
      </c>
      <c r="V194" s="16"/>
      <c r="W194" s="16" t="s">
        <v>62</v>
      </c>
      <c r="X194" s="16" t="s">
        <v>62</v>
      </c>
      <c r="Y194" s="16"/>
      <c r="Z194" s="432"/>
      <c r="AA194" s="432"/>
      <c r="AB194" s="16"/>
      <c r="AC194" s="16"/>
      <c r="AD194" s="306" t="s">
        <v>62</v>
      </c>
      <c r="AE194" s="306" t="s">
        <v>62</v>
      </c>
      <c r="AF194" s="306" t="s">
        <v>62</v>
      </c>
      <c r="AG194" s="382">
        <v>45559</v>
      </c>
      <c r="AI194" s="16" t="s">
        <v>62</v>
      </c>
      <c r="AJ194" s="16" t="s">
        <v>62</v>
      </c>
      <c r="AK194" s="16" t="s">
        <v>62</v>
      </c>
      <c r="AM194" s="143">
        <v>45524</v>
      </c>
      <c r="AO194" t="s">
        <v>1022</v>
      </c>
    </row>
    <row r="195" spans="1:41" hidden="1" x14ac:dyDescent="0.25">
      <c r="A195" s="28">
        <v>194</v>
      </c>
      <c r="B195" s="55">
        <v>30704</v>
      </c>
      <c r="C195" s="55" t="s">
        <v>64</v>
      </c>
      <c r="D195" s="213" t="s">
        <v>1024</v>
      </c>
      <c r="E195" s="238" t="s">
        <v>805</v>
      </c>
      <c r="F195" s="3" t="s">
        <v>806</v>
      </c>
      <c r="G195" s="29" t="s">
        <v>13</v>
      </c>
      <c r="H195" s="52">
        <v>44590</v>
      </c>
      <c r="I195" s="3"/>
      <c r="J195" s="3" t="s">
        <v>58</v>
      </c>
      <c r="K195" s="432" t="s">
        <v>1013</v>
      </c>
      <c r="L195" s="443">
        <v>44509</v>
      </c>
      <c r="M195" s="432" t="s">
        <v>60</v>
      </c>
      <c r="N195" s="452" t="s">
        <v>75</v>
      </c>
      <c r="O195" s="33">
        <v>45478</v>
      </c>
      <c r="P195" s="33"/>
      <c r="Q195" s="16"/>
      <c r="R195" s="16" t="s">
        <v>68</v>
      </c>
      <c r="S195" s="16" t="s">
        <v>68</v>
      </c>
      <c r="T195" s="16" t="s">
        <v>68</v>
      </c>
      <c r="U195" s="16" t="s">
        <v>68</v>
      </c>
      <c r="V195" s="16"/>
      <c r="W195" s="16"/>
      <c r="X195" s="16" t="s">
        <v>68</v>
      </c>
      <c r="Y195" s="16"/>
      <c r="Z195" s="432"/>
      <c r="AA195" s="432"/>
      <c r="AB195" s="16"/>
      <c r="AC195" s="16"/>
      <c r="AD195" s="276" t="s">
        <v>68</v>
      </c>
      <c r="AE195" s="30" t="s">
        <v>68</v>
      </c>
      <c r="AF195" s="16" t="s">
        <v>68</v>
      </c>
      <c r="AG195" s="382">
        <v>45516</v>
      </c>
      <c r="AH195" s="58" t="s">
        <v>63</v>
      </c>
      <c r="AI195" s="16" t="s">
        <v>68</v>
      </c>
      <c r="AJ195" s="16" t="s">
        <v>68</v>
      </c>
      <c r="AK195" s="143">
        <v>45478</v>
      </c>
      <c r="AL195" s="16" t="s">
        <v>68</v>
      </c>
      <c r="AM195" s="143">
        <v>45478</v>
      </c>
    </row>
    <row r="196" spans="1:41" hidden="1" x14ac:dyDescent="0.25">
      <c r="A196" s="28">
        <v>195</v>
      </c>
      <c r="B196" s="236">
        <v>30704</v>
      </c>
      <c r="C196" s="236" t="s">
        <v>54</v>
      </c>
      <c r="D196" s="404" t="s">
        <v>1025</v>
      </c>
      <c r="E196" s="238" t="s">
        <v>805</v>
      </c>
      <c r="F196" s="115" t="s">
        <v>806</v>
      </c>
      <c r="G196" s="110" t="s">
        <v>13</v>
      </c>
      <c r="H196" s="405">
        <v>44590</v>
      </c>
      <c r="I196" s="115"/>
      <c r="J196" s="115" t="s">
        <v>58</v>
      </c>
      <c r="K196" s="446" t="s">
        <v>1013</v>
      </c>
      <c r="L196" s="447">
        <v>44509</v>
      </c>
      <c r="M196" s="446" t="s">
        <v>60</v>
      </c>
      <c r="N196" s="484" t="s">
        <v>75</v>
      </c>
      <c r="O196" s="406">
        <v>45478</v>
      </c>
      <c r="P196" s="406"/>
      <c r="Q196" s="117"/>
      <c r="R196" s="117" t="s">
        <v>62</v>
      </c>
      <c r="S196" s="117" t="s">
        <v>62</v>
      </c>
      <c r="T196" s="117" t="s">
        <v>62</v>
      </c>
      <c r="U196" s="117" t="s">
        <v>62</v>
      </c>
      <c r="V196" s="117"/>
      <c r="W196" s="117"/>
      <c r="X196" s="117" t="s">
        <v>62</v>
      </c>
      <c r="Y196" s="117"/>
      <c r="Z196" s="446"/>
      <c r="AA196" s="446"/>
      <c r="AB196" s="117"/>
      <c r="AC196" s="117"/>
      <c r="AD196" s="407" t="s">
        <v>62</v>
      </c>
      <c r="AE196" s="408" t="s">
        <v>62</v>
      </c>
      <c r="AF196" s="117" t="s">
        <v>62</v>
      </c>
      <c r="AG196" s="382">
        <v>45516</v>
      </c>
      <c r="AH196" s="58" t="s">
        <v>63</v>
      </c>
      <c r="AI196" s="117" t="s">
        <v>62</v>
      </c>
      <c r="AJ196" s="117" t="s">
        <v>62</v>
      </c>
      <c r="AK196" s="143">
        <v>45478</v>
      </c>
      <c r="AL196" s="117" t="s">
        <v>62</v>
      </c>
      <c r="AM196" s="143">
        <v>45478</v>
      </c>
      <c r="AN196" s="381"/>
    </row>
    <row r="197" spans="1:41" hidden="1" x14ac:dyDescent="0.25">
      <c r="A197" s="28">
        <v>196</v>
      </c>
      <c r="B197" s="104">
        <v>30705</v>
      </c>
      <c r="C197" s="104" t="s">
        <v>64</v>
      </c>
      <c r="D197" s="188" t="s">
        <v>1026</v>
      </c>
      <c r="E197" s="238" t="s">
        <v>805</v>
      </c>
      <c r="F197" s="103" t="s">
        <v>806</v>
      </c>
      <c r="G197" s="291" t="s">
        <v>13</v>
      </c>
      <c r="H197" s="118">
        <v>44469</v>
      </c>
      <c r="I197" s="103"/>
      <c r="J197" s="103" t="s">
        <v>58</v>
      </c>
      <c r="K197" s="438" t="s">
        <v>1013</v>
      </c>
      <c r="L197" s="471">
        <v>44478</v>
      </c>
      <c r="M197" s="438" t="s">
        <v>60</v>
      </c>
      <c r="N197" s="463">
        <v>44478</v>
      </c>
      <c r="O197" s="106">
        <v>45535</v>
      </c>
      <c r="P197" s="106"/>
      <c r="Q197" s="105"/>
      <c r="R197" s="105"/>
      <c r="S197" s="105" t="s">
        <v>68</v>
      </c>
      <c r="T197" s="105" t="s">
        <v>68</v>
      </c>
      <c r="U197" s="105" t="s">
        <v>68</v>
      </c>
      <c r="V197" s="105"/>
      <c r="W197" s="105"/>
      <c r="X197" s="105" t="s">
        <v>68</v>
      </c>
      <c r="Y197" s="105"/>
      <c r="Z197" s="438"/>
      <c r="AA197" s="438"/>
      <c r="AB197" s="105"/>
      <c r="AC197" s="105"/>
      <c r="AD197" s="105" t="s">
        <v>68</v>
      </c>
      <c r="AE197" s="24" t="s">
        <v>63</v>
      </c>
      <c r="AF197" s="58" t="s">
        <v>710</v>
      </c>
      <c r="AG197" s="382">
        <v>45475</v>
      </c>
      <c r="AI197" s="58" t="s">
        <v>814</v>
      </c>
      <c r="AJ197" s="105" t="s">
        <v>68</v>
      </c>
      <c r="AK197" s="143">
        <v>45446</v>
      </c>
      <c r="AM197" s="143">
        <v>45535</v>
      </c>
      <c r="AN197" s="381"/>
    </row>
    <row r="198" spans="1:41" hidden="1" x14ac:dyDescent="0.25">
      <c r="A198" s="28">
        <v>197</v>
      </c>
      <c r="B198" s="104">
        <v>30705</v>
      </c>
      <c r="C198" s="104" t="s">
        <v>54</v>
      </c>
      <c r="D198" s="188" t="s">
        <v>1027</v>
      </c>
      <c r="E198" s="238" t="s">
        <v>805</v>
      </c>
      <c r="F198" s="103" t="s">
        <v>806</v>
      </c>
      <c r="G198" s="291" t="s">
        <v>13</v>
      </c>
      <c r="H198" s="118">
        <v>44469</v>
      </c>
      <c r="I198" s="103"/>
      <c r="J198" s="103" t="s">
        <v>58</v>
      </c>
      <c r="K198" s="438" t="s">
        <v>1013</v>
      </c>
      <c r="L198" s="471">
        <v>44478</v>
      </c>
      <c r="M198" s="438" t="s">
        <v>60</v>
      </c>
      <c r="N198" s="463">
        <v>44478</v>
      </c>
      <c r="O198" s="106">
        <v>45535</v>
      </c>
      <c r="P198" s="106"/>
      <c r="Q198" s="105"/>
      <c r="R198" s="105"/>
      <c r="S198" s="105" t="s">
        <v>62</v>
      </c>
      <c r="T198" s="105" t="s">
        <v>62</v>
      </c>
      <c r="U198" s="105" t="s">
        <v>62</v>
      </c>
      <c r="V198" s="105"/>
      <c r="W198" s="105"/>
      <c r="X198" s="105" t="s">
        <v>62</v>
      </c>
      <c r="Y198" s="105"/>
      <c r="Z198" s="438"/>
      <c r="AA198" s="438"/>
      <c r="AB198" s="105"/>
      <c r="AC198" s="105"/>
      <c r="AD198" s="105" t="s">
        <v>62</v>
      </c>
      <c r="AE198" s="24" t="s">
        <v>63</v>
      </c>
      <c r="AF198" s="58" t="s">
        <v>689</v>
      </c>
      <c r="AG198" s="382">
        <v>45475</v>
      </c>
      <c r="AI198" s="58" t="s">
        <v>814</v>
      </c>
      <c r="AJ198" s="105" t="s">
        <v>62</v>
      </c>
      <c r="AK198" s="143">
        <v>45451</v>
      </c>
      <c r="AM198" s="143">
        <v>45535</v>
      </c>
    </row>
    <row r="199" spans="1:41" hidden="1" x14ac:dyDescent="0.25">
      <c r="A199" s="28">
        <v>198</v>
      </c>
      <c r="B199" s="191">
        <v>37124</v>
      </c>
      <c r="C199" s="573" t="s">
        <v>64</v>
      </c>
      <c r="D199" s="292" t="s">
        <v>1028</v>
      </c>
      <c r="E199" s="238" t="s">
        <v>805</v>
      </c>
      <c r="F199" s="195" t="s">
        <v>806</v>
      </c>
      <c r="G199" s="194" t="s">
        <v>13</v>
      </c>
      <c r="H199" s="194" t="s">
        <v>82</v>
      </c>
      <c r="I199" s="195" t="s">
        <v>82</v>
      </c>
      <c r="J199" s="196" t="s">
        <v>58</v>
      </c>
      <c r="K199" s="478" t="s">
        <v>680</v>
      </c>
      <c r="L199" s="485">
        <v>44476</v>
      </c>
      <c r="M199" s="478" t="s">
        <v>60</v>
      </c>
      <c r="N199" s="485">
        <v>44186</v>
      </c>
      <c r="O199" s="397">
        <v>45413</v>
      </c>
      <c r="P199" s="196" t="s">
        <v>82</v>
      </c>
      <c r="Q199" s="196" t="s">
        <v>68</v>
      </c>
      <c r="R199" s="196" t="s">
        <v>68</v>
      </c>
      <c r="S199" s="196" t="s">
        <v>68</v>
      </c>
      <c r="T199" s="196" t="s">
        <v>68</v>
      </c>
      <c r="U199" s="196" t="s">
        <v>68</v>
      </c>
      <c r="V199" s="196" t="s">
        <v>82</v>
      </c>
      <c r="W199" s="196" t="s">
        <v>82</v>
      </c>
      <c r="X199" s="196" t="s">
        <v>68</v>
      </c>
      <c r="Y199" s="198" t="s">
        <v>82</v>
      </c>
      <c r="Z199" s="559" t="s">
        <v>82</v>
      </c>
      <c r="AA199" s="560" t="s">
        <v>82</v>
      </c>
      <c r="AB199" s="105"/>
      <c r="AC199" s="105"/>
      <c r="AD199" s="198" t="s">
        <v>68</v>
      </c>
      <c r="AE199" s="24" t="s">
        <v>63</v>
      </c>
      <c r="AF199" s="273" t="s">
        <v>68</v>
      </c>
      <c r="AG199" s="382">
        <v>45478</v>
      </c>
      <c r="AH199" s="382">
        <v>45327</v>
      </c>
      <c r="AI199" s="273" t="s">
        <v>68</v>
      </c>
      <c r="AJ199" s="273" t="s">
        <v>68</v>
      </c>
      <c r="AK199" s="273" t="s">
        <v>68</v>
      </c>
      <c r="AL199" s="1369">
        <v>45413</v>
      </c>
      <c r="AM199" s="143">
        <v>45603</v>
      </c>
      <c r="AO199" s="658">
        <v>45511</v>
      </c>
    </row>
    <row r="200" spans="1:41" hidden="1" x14ac:dyDescent="0.25">
      <c r="A200" s="28">
        <v>199</v>
      </c>
      <c r="B200" s="1200">
        <v>37124</v>
      </c>
      <c r="C200" s="1201" t="s">
        <v>54</v>
      </c>
      <c r="D200" s="1202" t="s">
        <v>1029</v>
      </c>
      <c r="E200" s="1157" t="s">
        <v>805</v>
      </c>
      <c r="F200" s="1203" t="s">
        <v>806</v>
      </c>
      <c r="G200" s="1204" t="s">
        <v>13</v>
      </c>
      <c r="H200" s="1204" t="s">
        <v>82</v>
      </c>
      <c r="I200" s="1203" t="s">
        <v>82</v>
      </c>
      <c r="J200" s="1205" t="s">
        <v>58</v>
      </c>
      <c r="K200" s="1206" t="s">
        <v>680</v>
      </c>
      <c r="L200" s="1207">
        <v>44476</v>
      </c>
      <c r="M200" s="1206" t="s">
        <v>60</v>
      </c>
      <c r="N200" s="1207">
        <v>44186</v>
      </c>
      <c r="O200" s="1208">
        <v>45413</v>
      </c>
      <c r="P200" s="1205" t="s">
        <v>82</v>
      </c>
      <c r="Q200" s="1205" t="s">
        <v>62</v>
      </c>
      <c r="R200" s="1205" t="s">
        <v>62</v>
      </c>
      <c r="S200" s="1205" t="s">
        <v>62</v>
      </c>
      <c r="T200" s="1205" t="s">
        <v>62</v>
      </c>
      <c r="U200" s="1205" t="s">
        <v>62</v>
      </c>
      <c r="V200" s="1205" t="s">
        <v>1030</v>
      </c>
      <c r="W200" s="1205" t="s">
        <v>82</v>
      </c>
      <c r="X200" s="1205" t="s">
        <v>62</v>
      </c>
      <c r="Y200" s="1209" t="s">
        <v>82</v>
      </c>
      <c r="Z200" s="1210" t="s">
        <v>82</v>
      </c>
      <c r="AA200" s="1211" t="s">
        <v>82</v>
      </c>
      <c r="AB200" s="137"/>
      <c r="AC200" s="137"/>
      <c r="AD200" s="1209" t="s">
        <v>62</v>
      </c>
      <c r="AE200" s="1212" t="s">
        <v>62</v>
      </c>
      <c r="AF200" s="1213" t="s">
        <v>62</v>
      </c>
      <c r="AG200" s="616">
        <v>45478</v>
      </c>
      <c r="AH200" s="511" t="s">
        <v>63</v>
      </c>
      <c r="AI200" s="1213" t="s">
        <v>62</v>
      </c>
      <c r="AJ200" s="1213" t="s">
        <v>62</v>
      </c>
      <c r="AK200" s="1213" t="s">
        <v>62</v>
      </c>
      <c r="AL200" s="1369">
        <v>45413</v>
      </c>
      <c r="AM200" s="235">
        <v>45603</v>
      </c>
      <c r="AN200" s="381"/>
      <c r="AO200" s="658">
        <v>45511</v>
      </c>
    </row>
    <row r="201" spans="1:41" ht="15.6" hidden="1" x14ac:dyDescent="0.3">
      <c r="A201" s="1196">
        <v>200</v>
      </c>
      <c r="B201" s="104">
        <v>30651</v>
      </c>
      <c r="C201" s="104" t="s">
        <v>64</v>
      </c>
      <c r="D201" s="103" t="s">
        <v>1031</v>
      </c>
      <c r="E201" s="229" t="s">
        <v>828</v>
      </c>
      <c r="F201" s="103" t="s">
        <v>806</v>
      </c>
      <c r="G201" s="103" t="s">
        <v>13</v>
      </c>
      <c r="H201" s="188"/>
      <c r="I201" s="399"/>
      <c r="J201" s="192" t="s">
        <v>58</v>
      </c>
      <c r="K201" s="478" t="s">
        <v>680</v>
      </c>
      <c r="L201" s="486">
        <v>44511</v>
      </c>
      <c r="M201" s="478" t="s">
        <v>60</v>
      </c>
      <c r="N201" s="463" t="s">
        <v>75</v>
      </c>
      <c r="O201" s="400">
        <v>44669</v>
      </c>
      <c r="P201" s="195"/>
      <c r="Q201" s="196"/>
      <c r="R201" s="196"/>
      <c r="S201" s="397" t="s">
        <v>68</v>
      </c>
      <c r="T201" s="397" t="s">
        <v>68</v>
      </c>
      <c r="U201" s="397" t="s">
        <v>68</v>
      </c>
      <c r="V201" s="397" t="s">
        <v>68</v>
      </c>
      <c r="W201" s="196"/>
      <c r="X201" s="397" t="s">
        <v>68</v>
      </c>
      <c r="Y201" s="396" t="s">
        <v>68</v>
      </c>
      <c r="Z201" s="478"/>
      <c r="AA201" s="561"/>
      <c r="AB201" s="105"/>
      <c r="AC201" s="105"/>
      <c r="AD201" s="196" t="s">
        <v>68</v>
      </c>
      <c r="AE201" s="397" t="s">
        <v>68</v>
      </c>
      <c r="AF201" s="398" t="s">
        <v>68</v>
      </c>
      <c r="AG201" s="231">
        <v>45502</v>
      </c>
      <c r="AH201" s="231">
        <v>45502</v>
      </c>
      <c r="AI201" s="231">
        <v>45502</v>
      </c>
      <c r="AJ201" s="105" t="s">
        <v>68</v>
      </c>
      <c r="AK201" s="187" t="s">
        <v>1032</v>
      </c>
      <c r="AL201" s="187"/>
      <c r="AM201" s="187" t="s">
        <v>63</v>
      </c>
      <c r="AN201" s="381"/>
    </row>
    <row r="202" spans="1:41" hidden="1" x14ac:dyDescent="0.25">
      <c r="A202" s="1196">
        <v>201</v>
      </c>
      <c r="B202" s="104">
        <v>30651</v>
      </c>
      <c r="C202" s="104" t="s">
        <v>54</v>
      </c>
      <c r="D202" s="103" t="s">
        <v>1033</v>
      </c>
      <c r="E202" s="229" t="s">
        <v>828</v>
      </c>
      <c r="F202" s="103" t="s">
        <v>806</v>
      </c>
      <c r="G202" s="103" t="s">
        <v>13</v>
      </c>
      <c r="H202" s="188"/>
      <c r="I202" s="399"/>
      <c r="J202" s="192" t="s">
        <v>58</v>
      </c>
      <c r="K202" s="487" t="s">
        <v>680</v>
      </c>
      <c r="L202" s="486">
        <v>44511</v>
      </c>
      <c r="M202" s="478" t="s">
        <v>60</v>
      </c>
      <c r="N202" s="463" t="s">
        <v>75</v>
      </c>
      <c r="O202" s="400">
        <v>44669</v>
      </c>
      <c r="P202" s="195"/>
      <c r="Q202" s="196"/>
      <c r="R202" s="196"/>
      <c r="S202" s="196" t="s">
        <v>62</v>
      </c>
      <c r="T202" s="196" t="s">
        <v>62</v>
      </c>
      <c r="U202" s="196" t="s">
        <v>62</v>
      </c>
      <c r="V202" s="196" t="s">
        <v>62</v>
      </c>
      <c r="W202" s="196"/>
      <c r="X202" s="196" t="s">
        <v>62</v>
      </c>
      <c r="Y202" s="396" t="s">
        <v>68</v>
      </c>
      <c r="Z202" s="478"/>
      <c r="AA202" s="562"/>
      <c r="AB202" s="105"/>
      <c r="AC202" s="105"/>
      <c r="AD202" s="196" t="s">
        <v>62</v>
      </c>
      <c r="AE202" s="196" t="s">
        <v>62</v>
      </c>
      <c r="AF202" s="398" t="s">
        <v>62</v>
      </c>
      <c r="AG202" s="231">
        <v>45502</v>
      </c>
      <c r="AH202" s="231">
        <v>45502</v>
      </c>
      <c r="AI202" s="231">
        <v>45502</v>
      </c>
      <c r="AJ202" s="105" t="s">
        <v>62</v>
      </c>
      <c r="AK202" s="187" t="s">
        <v>1032</v>
      </c>
      <c r="AL202" s="187"/>
      <c r="AM202" s="187" t="s">
        <v>63</v>
      </c>
    </row>
    <row r="203" spans="1:41" hidden="1" x14ac:dyDescent="0.25">
      <c r="A203" s="28">
        <v>202</v>
      </c>
      <c r="B203" s="1098">
        <v>30652</v>
      </c>
      <c r="C203" s="1098" t="s">
        <v>64</v>
      </c>
      <c r="D203" s="781" t="s">
        <v>1034</v>
      </c>
      <c r="E203" s="780" t="s">
        <v>1035</v>
      </c>
      <c r="F203" s="781" t="s">
        <v>1036</v>
      </c>
      <c r="G203" s="781" t="s">
        <v>13</v>
      </c>
      <c r="H203" s="1224" t="s">
        <v>1037</v>
      </c>
      <c r="I203" s="1225"/>
      <c r="J203" s="1226" t="s">
        <v>58</v>
      </c>
      <c r="K203" s="1227" t="s">
        <v>680</v>
      </c>
      <c r="L203" s="1228">
        <v>44511</v>
      </c>
      <c r="M203" s="1227" t="s">
        <v>60</v>
      </c>
      <c r="N203" s="1229" t="s">
        <v>75</v>
      </c>
      <c r="O203" s="1230">
        <v>45287</v>
      </c>
      <c r="P203" s="1231"/>
      <c r="Q203" s="1232"/>
      <c r="R203" s="1232"/>
      <c r="S203" s="1233" t="s">
        <v>68</v>
      </c>
      <c r="T203" s="1233" t="s">
        <v>68</v>
      </c>
      <c r="U203" s="1233" t="s">
        <v>68</v>
      </c>
      <c r="V203" s="1233"/>
      <c r="W203" s="1232"/>
      <c r="X203" s="1233" t="s">
        <v>68</v>
      </c>
      <c r="Y203" s="1232"/>
      <c r="Z203" s="1227"/>
      <c r="AA203" s="1234"/>
      <c r="AB203" s="786"/>
      <c r="AC203" s="786"/>
      <c r="AD203" s="1235" t="s">
        <v>1038</v>
      </c>
      <c r="AE203" s="1236"/>
      <c r="AF203" s="1237" t="s">
        <v>68</v>
      </c>
      <c r="AG203" s="778">
        <v>45488</v>
      </c>
      <c r="AH203" s="1237" t="s">
        <v>68</v>
      </c>
      <c r="AI203" s="778"/>
      <c r="AJ203" s="1237" t="s">
        <v>68</v>
      </c>
      <c r="AK203" s="1237"/>
      <c r="AM203" s="242"/>
    </row>
    <row r="204" spans="1:41" ht="13.8" hidden="1" x14ac:dyDescent="0.3">
      <c r="A204" s="28">
        <v>203</v>
      </c>
      <c r="B204" s="135">
        <v>30652</v>
      </c>
      <c r="C204" s="135" t="s">
        <v>54</v>
      </c>
      <c r="D204" s="134" t="s">
        <v>1039</v>
      </c>
      <c r="E204" s="1013" t="s">
        <v>1035</v>
      </c>
      <c r="F204" s="134" t="s">
        <v>1036</v>
      </c>
      <c r="G204" s="134" t="s">
        <v>13</v>
      </c>
      <c r="H204" s="189" t="s">
        <v>1040</v>
      </c>
      <c r="I204" s="1214"/>
      <c r="J204" s="1215" t="s">
        <v>58</v>
      </c>
      <c r="K204" s="1216" t="s">
        <v>680</v>
      </c>
      <c r="L204" s="1217">
        <v>44511</v>
      </c>
      <c r="M204" s="1206" t="s">
        <v>60</v>
      </c>
      <c r="N204" s="1218" t="s">
        <v>75</v>
      </c>
      <c r="O204" s="1219">
        <v>45287</v>
      </c>
      <c r="P204" s="798"/>
      <c r="Q204" s="799"/>
      <c r="R204" s="799"/>
      <c r="S204" s="799" t="s">
        <v>62</v>
      </c>
      <c r="T204" s="799" t="s">
        <v>62</v>
      </c>
      <c r="U204" s="799" t="s">
        <v>62</v>
      </c>
      <c r="V204" s="799"/>
      <c r="W204" s="799"/>
      <c r="X204" s="799" t="s">
        <v>62</v>
      </c>
      <c r="Y204" s="799"/>
      <c r="Z204" s="1206"/>
      <c r="AA204" s="1220"/>
      <c r="AB204" s="137"/>
      <c r="AC204" s="137"/>
      <c r="AD204" s="1221" t="s">
        <v>1038</v>
      </c>
      <c r="AE204" s="137"/>
      <c r="AF204" s="763" t="s">
        <v>62</v>
      </c>
      <c r="AG204" s="616">
        <v>45488</v>
      </c>
      <c r="AH204" s="763" t="s">
        <v>62</v>
      </c>
      <c r="AI204" s="616"/>
      <c r="AJ204" s="763" t="s">
        <v>62</v>
      </c>
      <c r="AK204" s="763"/>
      <c r="AM204" s="186"/>
    </row>
    <row r="205" spans="1:41" hidden="1" x14ac:dyDescent="0.25">
      <c r="A205" s="1196">
        <v>204</v>
      </c>
      <c r="B205" s="104">
        <v>30661</v>
      </c>
      <c r="C205" s="104" t="s">
        <v>64</v>
      </c>
      <c r="D205" s="103" t="s">
        <v>1041</v>
      </c>
      <c r="E205" s="229" t="s">
        <v>828</v>
      </c>
      <c r="F205" s="103" t="s">
        <v>806</v>
      </c>
      <c r="G205" s="103" t="s">
        <v>13</v>
      </c>
      <c r="H205" s="188"/>
      <c r="I205" s="399"/>
      <c r="J205" s="192" t="s">
        <v>58</v>
      </c>
      <c r="K205" s="478" t="s">
        <v>680</v>
      </c>
      <c r="L205" s="486">
        <v>44511</v>
      </c>
      <c r="M205" s="478" t="s">
        <v>60</v>
      </c>
      <c r="N205" s="463" t="s">
        <v>75</v>
      </c>
      <c r="O205" s="400">
        <v>44585</v>
      </c>
      <c r="P205" s="195"/>
      <c r="Q205" s="196"/>
      <c r="R205" s="196"/>
      <c r="S205" s="397" t="s">
        <v>68</v>
      </c>
      <c r="T205" s="397" t="s">
        <v>68</v>
      </c>
      <c r="U205" s="397" t="s">
        <v>68</v>
      </c>
      <c r="V205" s="397" t="s">
        <v>68</v>
      </c>
      <c r="W205" s="196"/>
      <c r="X205" s="397" t="s">
        <v>68</v>
      </c>
      <c r="Y205" s="397" t="s">
        <v>68</v>
      </c>
      <c r="Z205" s="478"/>
      <c r="AA205" s="562"/>
      <c r="AB205" s="105"/>
      <c r="AC205" s="105"/>
      <c r="AD205" s="107" t="s">
        <v>75</v>
      </c>
      <c r="AE205" s="397" t="s">
        <v>68</v>
      </c>
      <c r="AF205" s="397" t="s">
        <v>68</v>
      </c>
      <c r="AG205" s="231">
        <v>45480</v>
      </c>
      <c r="AH205" s="187"/>
      <c r="AI205" s="187"/>
      <c r="AJ205" s="187"/>
      <c r="AK205" s="231">
        <v>45727</v>
      </c>
      <c r="AL205" s="187"/>
      <c r="AM205" s="187" t="s">
        <v>63</v>
      </c>
    </row>
    <row r="206" spans="1:41" ht="13.8" hidden="1" x14ac:dyDescent="0.3">
      <c r="A206" s="1196">
        <v>205</v>
      </c>
      <c r="B206" s="104">
        <v>30661</v>
      </c>
      <c r="C206" s="104" t="s">
        <v>54</v>
      </c>
      <c r="D206" s="103" t="s">
        <v>1042</v>
      </c>
      <c r="E206" s="229" t="s">
        <v>828</v>
      </c>
      <c r="F206" s="103" t="s">
        <v>806</v>
      </c>
      <c r="G206" s="103" t="s">
        <v>13</v>
      </c>
      <c r="H206" s="188"/>
      <c r="I206" s="399"/>
      <c r="J206" s="192" t="s">
        <v>58</v>
      </c>
      <c r="K206" s="487" t="s">
        <v>680</v>
      </c>
      <c r="L206" s="486">
        <v>44511</v>
      </c>
      <c r="M206" s="478" t="s">
        <v>60</v>
      </c>
      <c r="N206" s="463" t="s">
        <v>75</v>
      </c>
      <c r="O206" s="400">
        <v>44585</v>
      </c>
      <c r="P206" s="195"/>
      <c r="Q206" s="196"/>
      <c r="R206" s="196"/>
      <c r="S206" s="196" t="s">
        <v>62</v>
      </c>
      <c r="T206" s="196" t="s">
        <v>62</v>
      </c>
      <c r="U206" s="196" t="s">
        <v>62</v>
      </c>
      <c r="V206" s="196" t="s">
        <v>62</v>
      </c>
      <c r="W206" s="196"/>
      <c r="X206" s="196" t="s">
        <v>62</v>
      </c>
      <c r="Y206" s="196" t="s">
        <v>62</v>
      </c>
      <c r="Z206" s="478"/>
      <c r="AA206" s="563"/>
      <c r="AB206" s="105"/>
      <c r="AC206" s="105"/>
      <c r="AD206" s="107" t="s">
        <v>75</v>
      </c>
      <c r="AE206" s="196" t="s">
        <v>62</v>
      </c>
      <c r="AF206" s="196" t="s">
        <v>62</v>
      </c>
      <c r="AG206" s="231">
        <v>45480</v>
      </c>
      <c r="AH206" s="187"/>
      <c r="AI206" s="187"/>
      <c r="AJ206" s="187"/>
      <c r="AK206" s="231">
        <v>45727</v>
      </c>
      <c r="AL206" s="187"/>
      <c r="AM206" s="187" t="s">
        <v>63</v>
      </c>
      <c r="AN206" s="381"/>
    </row>
    <row r="207" spans="1:41" hidden="1" x14ac:dyDescent="0.25">
      <c r="A207" s="28">
        <v>206</v>
      </c>
      <c r="B207" s="1098">
        <v>30666</v>
      </c>
      <c r="C207" s="1098" t="s">
        <v>64</v>
      </c>
      <c r="D207" s="781" t="s">
        <v>1043</v>
      </c>
      <c r="E207" s="238" t="s">
        <v>805</v>
      </c>
      <c r="F207" s="781" t="s">
        <v>806</v>
      </c>
      <c r="G207" s="781" t="s">
        <v>13</v>
      </c>
      <c r="H207" s="1238">
        <v>44571</v>
      </c>
      <c r="I207" s="1225"/>
      <c r="J207" s="1226" t="s">
        <v>58</v>
      </c>
      <c r="K207" s="1227" t="s">
        <v>680</v>
      </c>
      <c r="L207" s="1228">
        <v>44511</v>
      </c>
      <c r="M207" s="1227" t="s">
        <v>60</v>
      </c>
      <c r="N207" s="1229" t="s">
        <v>75</v>
      </c>
      <c r="O207" s="1239">
        <v>45423</v>
      </c>
      <c r="P207" s="1240"/>
      <c r="Q207" s="1241" t="s">
        <v>68</v>
      </c>
      <c r="R207" s="1242" t="s">
        <v>68</v>
      </c>
      <c r="S207" s="1241" t="s">
        <v>68</v>
      </c>
      <c r="T207" s="1241" t="s">
        <v>68</v>
      </c>
      <c r="U207" s="1241" t="s">
        <v>68</v>
      </c>
      <c r="V207" s="1241"/>
      <c r="W207" s="1241" t="s">
        <v>68</v>
      </c>
      <c r="X207" s="1241" t="s">
        <v>68</v>
      </c>
      <c r="Y207" s="1242"/>
      <c r="Z207" s="1227"/>
      <c r="AA207" s="1234"/>
      <c r="AB207" s="786"/>
      <c r="AC207" s="786"/>
      <c r="AD207" s="1104" t="s">
        <v>75</v>
      </c>
      <c r="AE207" s="1243" t="s">
        <v>62</v>
      </c>
      <c r="AF207" s="274" t="s">
        <v>62</v>
      </c>
      <c r="AG207" s="778">
        <v>45522</v>
      </c>
      <c r="AH207" s="778">
        <v>45522</v>
      </c>
      <c r="AI207" s="778">
        <v>45423</v>
      </c>
      <c r="AJ207" s="778">
        <v>45423</v>
      </c>
      <c r="AK207" s="1066">
        <v>45520</v>
      </c>
      <c r="AL207" s="1066">
        <v>45423</v>
      </c>
      <c r="AM207" s="1066">
        <v>45605</v>
      </c>
      <c r="AN207" s="381"/>
      <c r="AO207" t="s">
        <v>877</v>
      </c>
    </row>
    <row r="208" spans="1:41" ht="13.8" hidden="1" x14ac:dyDescent="0.3">
      <c r="A208" s="28">
        <v>207</v>
      </c>
      <c r="B208" s="104">
        <v>30666</v>
      </c>
      <c r="C208" s="104" t="s">
        <v>54</v>
      </c>
      <c r="D208" s="103" t="s">
        <v>1044</v>
      </c>
      <c r="E208" s="238" t="s">
        <v>805</v>
      </c>
      <c r="F208" s="103" t="s">
        <v>806</v>
      </c>
      <c r="G208" s="103" t="s">
        <v>13</v>
      </c>
      <c r="H208" s="1149">
        <v>44571</v>
      </c>
      <c r="I208" s="399"/>
      <c r="J208" s="192" t="s">
        <v>58</v>
      </c>
      <c r="K208" s="487" t="s">
        <v>680</v>
      </c>
      <c r="L208" s="486">
        <v>44511</v>
      </c>
      <c r="M208" s="478" t="s">
        <v>60</v>
      </c>
      <c r="N208" s="463" t="s">
        <v>75</v>
      </c>
      <c r="O208" s="400">
        <v>45423</v>
      </c>
      <c r="P208" s="195"/>
      <c r="Q208" s="196" t="s">
        <v>62</v>
      </c>
      <c r="R208" s="196" t="s">
        <v>62</v>
      </c>
      <c r="S208" s="196" t="s">
        <v>62</v>
      </c>
      <c r="T208" s="196" t="s">
        <v>62</v>
      </c>
      <c r="U208" s="196" t="s">
        <v>62</v>
      </c>
      <c r="V208" s="196"/>
      <c r="W208" s="196" t="s">
        <v>62</v>
      </c>
      <c r="X208" s="196" t="s">
        <v>62</v>
      </c>
      <c r="Y208" s="196"/>
      <c r="Z208" s="478"/>
      <c r="AA208" s="563"/>
      <c r="AB208" s="105"/>
      <c r="AC208" s="105"/>
      <c r="AD208" s="107" t="s">
        <v>75</v>
      </c>
      <c r="AE208" s="24" t="s">
        <v>63</v>
      </c>
      <c r="AF208" s="141" t="s">
        <v>68</v>
      </c>
      <c r="AG208" s="382">
        <v>45522</v>
      </c>
      <c r="AH208" s="382">
        <v>45522</v>
      </c>
      <c r="AI208" s="382">
        <v>45423</v>
      </c>
      <c r="AJ208" s="382">
        <v>45423</v>
      </c>
      <c r="AK208" s="143">
        <v>45520</v>
      </c>
      <c r="AL208" s="143">
        <v>45423</v>
      </c>
      <c r="AM208" s="143">
        <v>45605</v>
      </c>
      <c r="AN208" s="381"/>
      <c r="AO208" t="s">
        <v>877</v>
      </c>
    </row>
    <row r="209" spans="1:41" ht="13.8" hidden="1" x14ac:dyDescent="0.3">
      <c r="A209" s="28">
        <v>208</v>
      </c>
      <c r="B209" s="104">
        <v>30732</v>
      </c>
      <c r="C209" s="104" t="s">
        <v>64</v>
      </c>
      <c r="D209" s="103" t="s">
        <v>1045</v>
      </c>
      <c r="E209" s="238" t="s">
        <v>805</v>
      </c>
      <c r="F209" s="103" t="s">
        <v>806</v>
      </c>
      <c r="G209" s="103" t="s">
        <v>13</v>
      </c>
      <c r="H209" s="1149">
        <v>44660</v>
      </c>
      <c r="I209" s="399"/>
      <c r="J209" s="192" t="s">
        <v>58</v>
      </c>
      <c r="K209" s="478" t="s">
        <v>680</v>
      </c>
      <c r="L209" s="486">
        <v>44478</v>
      </c>
      <c r="M209" s="478" t="s">
        <v>60</v>
      </c>
      <c r="N209" s="463" t="s">
        <v>75</v>
      </c>
      <c r="O209" s="400">
        <v>45317</v>
      </c>
      <c r="P209" s="195"/>
      <c r="Q209" s="196" t="s">
        <v>68</v>
      </c>
      <c r="R209" s="397" t="s">
        <v>68</v>
      </c>
      <c r="S209" s="397" t="s">
        <v>68</v>
      </c>
      <c r="T209" s="397" t="s">
        <v>68</v>
      </c>
      <c r="U209" s="397" t="s">
        <v>68</v>
      </c>
      <c r="V209" s="397"/>
      <c r="W209" s="397" t="s">
        <v>68</v>
      </c>
      <c r="X209" s="397" t="s">
        <v>68</v>
      </c>
      <c r="Y209" s="196"/>
      <c r="Z209" s="478"/>
      <c r="AA209" s="563"/>
      <c r="AB209" s="105"/>
      <c r="AC209" s="105"/>
      <c r="AD209" s="196" t="s">
        <v>616</v>
      </c>
      <c r="AE209" s="24" t="s">
        <v>63</v>
      </c>
      <c r="AF209" s="141" t="s">
        <v>68</v>
      </c>
      <c r="AG209" s="382">
        <v>45514</v>
      </c>
      <c r="AH209" s="382">
        <v>45317</v>
      </c>
      <c r="AI209" s="58" t="s">
        <v>1046</v>
      </c>
      <c r="AJ209" s="58" t="s">
        <v>991</v>
      </c>
      <c r="AK209" s="143">
        <v>45514</v>
      </c>
      <c r="AL209" s="1369">
        <v>45317</v>
      </c>
      <c r="AM209" s="143">
        <v>45608</v>
      </c>
      <c r="AN209" s="381"/>
    </row>
    <row r="210" spans="1:41" ht="13.8" hidden="1" x14ac:dyDescent="0.3">
      <c r="A210" s="28">
        <v>209</v>
      </c>
      <c r="B210" s="104">
        <v>30732</v>
      </c>
      <c r="C210" s="104" t="s">
        <v>54</v>
      </c>
      <c r="D210" s="103" t="s">
        <v>1047</v>
      </c>
      <c r="E210" s="238" t="s">
        <v>805</v>
      </c>
      <c r="F210" s="103" t="s">
        <v>806</v>
      </c>
      <c r="G210" s="103" t="s">
        <v>13</v>
      </c>
      <c r="H210" s="1149">
        <v>44660</v>
      </c>
      <c r="I210" s="399"/>
      <c r="J210" s="192" t="s">
        <v>58</v>
      </c>
      <c r="K210" s="487" t="s">
        <v>680</v>
      </c>
      <c r="L210" s="486">
        <v>44478</v>
      </c>
      <c r="M210" s="478" t="s">
        <v>60</v>
      </c>
      <c r="N210" s="463" t="s">
        <v>75</v>
      </c>
      <c r="O210" s="400">
        <v>45317</v>
      </c>
      <c r="P210" s="195"/>
      <c r="Q210" s="196" t="s">
        <v>62</v>
      </c>
      <c r="R210" s="196" t="s">
        <v>62</v>
      </c>
      <c r="S210" s="196" t="s">
        <v>62</v>
      </c>
      <c r="T210" s="196" t="s">
        <v>62</v>
      </c>
      <c r="U210" s="196" t="s">
        <v>62</v>
      </c>
      <c r="V210" s="196"/>
      <c r="W210" s="196" t="s">
        <v>62</v>
      </c>
      <c r="X210" s="196" t="s">
        <v>62</v>
      </c>
      <c r="Y210" s="196"/>
      <c r="Z210" s="478"/>
      <c r="AA210" s="564"/>
      <c r="AB210" s="105"/>
      <c r="AC210" s="105"/>
      <c r="AD210" s="196" t="s">
        <v>604</v>
      </c>
      <c r="AE210" s="24" t="s">
        <v>63</v>
      </c>
      <c r="AF210" s="141" t="s">
        <v>62</v>
      </c>
      <c r="AG210" s="382">
        <v>45514</v>
      </c>
      <c r="AH210" s="382">
        <v>45317</v>
      </c>
      <c r="AI210" s="58" t="s">
        <v>1048</v>
      </c>
      <c r="AJ210" s="58" t="s">
        <v>995</v>
      </c>
      <c r="AK210" s="235">
        <v>45514</v>
      </c>
      <c r="AL210" s="1369">
        <v>45317</v>
      </c>
      <c r="AM210" s="235">
        <v>45608</v>
      </c>
    </row>
    <row r="211" spans="1:41" ht="14.4" hidden="1" x14ac:dyDescent="0.3">
      <c r="A211" s="28">
        <v>210</v>
      </c>
      <c r="B211" s="417">
        <v>37543</v>
      </c>
      <c r="C211" s="104" t="s">
        <v>64</v>
      </c>
      <c r="D211" s="103" t="s">
        <v>1049</v>
      </c>
      <c r="E211" s="260" t="s">
        <v>989</v>
      </c>
      <c r="F211" s="3" t="s">
        <v>933</v>
      </c>
      <c r="G211" s="103" t="s">
        <v>13</v>
      </c>
      <c r="H211" s="188"/>
      <c r="I211" s="399"/>
      <c r="J211" s="192" t="s">
        <v>58</v>
      </c>
      <c r="K211" s="478" t="s">
        <v>680</v>
      </c>
      <c r="L211" s="486"/>
      <c r="M211" s="478" t="s">
        <v>60</v>
      </c>
      <c r="N211" s="486">
        <v>44613</v>
      </c>
      <c r="O211" s="814">
        <v>45463</v>
      </c>
      <c r="P211" s="815"/>
      <c r="Q211" s="811" t="s">
        <v>75</v>
      </c>
      <c r="R211" s="811" t="s">
        <v>75</v>
      </c>
      <c r="S211" s="816"/>
      <c r="T211" s="816"/>
      <c r="U211" s="816"/>
      <c r="V211" s="816" t="s">
        <v>1050</v>
      </c>
      <c r="W211" s="811" t="s">
        <v>75</v>
      </c>
      <c r="X211" s="816" t="s">
        <v>68</v>
      </c>
      <c r="Y211" s="817"/>
      <c r="Z211" s="817"/>
      <c r="AA211" s="818"/>
      <c r="AB211" s="819"/>
      <c r="AC211" s="819"/>
      <c r="AD211" s="804" t="s">
        <v>68</v>
      </c>
      <c r="AE211" s="820"/>
      <c r="AF211" s="821" t="s">
        <v>68</v>
      </c>
      <c r="AG211" s="813">
        <v>45465</v>
      </c>
      <c r="AH211" s="806"/>
      <c r="AI211" s="822">
        <v>45275</v>
      </c>
      <c r="AJ211" s="1275">
        <v>45237</v>
      </c>
      <c r="AK211" s="845">
        <v>45548</v>
      </c>
      <c r="AL211" s="187"/>
      <c r="AM211" s="187" t="s">
        <v>63</v>
      </c>
    </row>
    <row r="212" spans="1:41" ht="14.4" hidden="1" x14ac:dyDescent="0.3">
      <c r="A212" s="28">
        <v>211</v>
      </c>
      <c r="B212" s="417">
        <v>37543</v>
      </c>
      <c r="C212" s="104" t="s">
        <v>54</v>
      </c>
      <c r="D212" s="103" t="s">
        <v>1051</v>
      </c>
      <c r="E212" s="260" t="s">
        <v>989</v>
      </c>
      <c r="F212" s="3" t="s">
        <v>933</v>
      </c>
      <c r="G212" s="103" t="s">
        <v>13</v>
      </c>
      <c r="H212" s="188"/>
      <c r="I212" s="399"/>
      <c r="J212" s="192" t="s">
        <v>58</v>
      </c>
      <c r="K212" s="487" t="s">
        <v>680</v>
      </c>
      <c r="L212" s="486"/>
      <c r="M212" s="478" t="s">
        <v>60</v>
      </c>
      <c r="N212" s="486">
        <v>44613</v>
      </c>
      <c r="O212" s="814">
        <v>45463</v>
      </c>
      <c r="P212" s="815"/>
      <c r="Q212" s="811" t="s">
        <v>75</v>
      </c>
      <c r="R212" s="811" t="s">
        <v>75</v>
      </c>
      <c r="S212" s="817"/>
      <c r="T212" s="817"/>
      <c r="U212" s="817"/>
      <c r="V212" s="817" t="s">
        <v>1052</v>
      </c>
      <c r="W212" s="811" t="s">
        <v>75</v>
      </c>
      <c r="X212" s="817" t="s">
        <v>62</v>
      </c>
      <c r="Y212" s="817"/>
      <c r="Z212" s="817"/>
      <c r="AA212" s="823"/>
      <c r="AB212" s="819"/>
      <c r="AC212" s="819"/>
      <c r="AD212" s="804" t="s">
        <v>62</v>
      </c>
      <c r="AE212" s="820"/>
      <c r="AF212" s="821" t="s">
        <v>62</v>
      </c>
      <c r="AG212" s="813">
        <v>45465</v>
      </c>
      <c r="AH212" s="806"/>
      <c r="AI212" s="822">
        <v>45275</v>
      </c>
      <c r="AJ212" s="1275">
        <v>45237</v>
      </c>
      <c r="AK212" s="845">
        <v>45549</v>
      </c>
      <c r="AL212" s="187"/>
      <c r="AM212" s="187" t="s">
        <v>63</v>
      </c>
    </row>
    <row r="213" spans="1:41" ht="22.8" hidden="1" x14ac:dyDescent="0.25">
      <c r="A213" s="28">
        <v>212</v>
      </c>
      <c r="B213" s="229">
        <v>30210</v>
      </c>
      <c r="C213" s="109" t="s">
        <v>64</v>
      </c>
      <c r="D213" s="109" t="s">
        <v>1053</v>
      </c>
      <c r="E213" s="238" t="s">
        <v>805</v>
      </c>
      <c r="F213" s="291" t="s">
        <v>806</v>
      </c>
      <c r="G213" s="291" t="s">
        <v>13</v>
      </c>
      <c r="H213" s="230">
        <v>44688</v>
      </c>
      <c r="I213" s="103"/>
      <c r="J213" s="103" t="s">
        <v>58</v>
      </c>
      <c r="K213" s="436" t="s">
        <v>59</v>
      </c>
      <c r="L213" s="463">
        <v>44690</v>
      </c>
      <c r="M213" s="488" t="s">
        <v>60</v>
      </c>
      <c r="N213" s="463" t="s">
        <v>75</v>
      </c>
      <c r="O213" s="231">
        <v>45303</v>
      </c>
      <c r="P213" s="187"/>
      <c r="Q213" s="105"/>
      <c r="R213" s="105" t="s">
        <v>75</v>
      </c>
      <c r="S213" s="105" t="s">
        <v>68</v>
      </c>
      <c r="T213" s="105" t="s">
        <v>68</v>
      </c>
      <c r="U213" s="105" t="s">
        <v>68</v>
      </c>
      <c r="V213" s="187"/>
      <c r="W213" s="187"/>
      <c r="X213" s="105" t="s">
        <v>68</v>
      </c>
      <c r="Y213" s="105" t="s">
        <v>68</v>
      </c>
      <c r="Z213" s="460"/>
      <c r="AA213" s="460"/>
      <c r="AB213" s="105"/>
      <c r="AC213" s="105"/>
      <c r="AD213" s="187" t="s">
        <v>68</v>
      </c>
      <c r="AE213" s="24" t="s">
        <v>63</v>
      </c>
      <c r="AF213" s="105" t="s">
        <v>68</v>
      </c>
      <c r="AG213" s="382">
        <v>45532</v>
      </c>
      <c r="AH213" s="382">
        <v>45307</v>
      </c>
      <c r="AI213" s="105" t="s">
        <v>68</v>
      </c>
      <c r="AJ213" s="105" t="s">
        <v>68</v>
      </c>
      <c r="AK213" s="786" t="s">
        <v>68</v>
      </c>
      <c r="AL213" s="1369">
        <v>45303</v>
      </c>
      <c r="AM213" s="1066">
        <v>45535</v>
      </c>
      <c r="AO213" t="s">
        <v>1054</v>
      </c>
    </row>
    <row r="214" spans="1:41" ht="22.8" hidden="1" x14ac:dyDescent="0.25">
      <c r="A214" s="28">
        <v>213</v>
      </c>
      <c r="B214" s="229">
        <v>30210</v>
      </c>
      <c r="C214" s="109" t="s">
        <v>54</v>
      </c>
      <c r="D214" s="109" t="s">
        <v>1055</v>
      </c>
      <c r="E214" s="238" t="s">
        <v>805</v>
      </c>
      <c r="F214" s="291" t="s">
        <v>806</v>
      </c>
      <c r="G214" s="291" t="s">
        <v>13</v>
      </c>
      <c r="H214" s="230">
        <v>44688</v>
      </c>
      <c r="I214" s="103"/>
      <c r="J214" s="103" t="s">
        <v>58</v>
      </c>
      <c r="K214" s="436" t="s">
        <v>59</v>
      </c>
      <c r="L214" s="463">
        <v>44690</v>
      </c>
      <c r="M214" s="488" t="s">
        <v>60</v>
      </c>
      <c r="N214" s="463" t="s">
        <v>75</v>
      </c>
      <c r="O214" s="231">
        <v>45303</v>
      </c>
      <c r="P214" s="187"/>
      <c r="Q214" s="105"/>
      <c r="R214" s="105" t="s">
        <v>75</v>
      </c>
      <c r="S214" s="105" t="s">
        <v>62</v>
      </c>
      <c r="T214" s="105" t="s">
        <v>62</v>
      </c>
      <c r="U214" s="105" t="s">
        <v>62</v>
      </c>
      <c r="V214" s="187"/>
      <c r="W214" s="187"/>
      <c r="X214" s="105" t="s">
        <v>62</v>
      </c>
      <c r="Y214" s="105" t="s">
        <v>62</v>
      </c>
      <c r="Z214" s="460"/>
      <c r="AA214" s="460"/>
      <c r="AB214" s="105"/>
      <c r="AC214" s="105"/>
      <c r="AD214" s="187" t="s">
        <v>62</v>
      </c>
      <c r="AE214" s="24" t="s">
        <v>63</v>
      </c>
      <c r="AF214" s="105" t="s">
        <v>62</v>
      </c>
      <c r="AG214" s="382">
        <v>45532</v>
      </c>
      <c r="AH214" s="105" t="s">
        <v>62</v>
      </c>
      <c r="AI214" s="105" t="s">
        <v>62</v>
      </c>
      <c r="AJ214" s="105" t="s">
        <v>62</v>
      </c>
      <c r="AK214" s="137" t="s">
        <v>62</v>
      </c>
      <c r="AL214" s="1369">
        <v>45303</v>
      </c>
      <c r="AM214" s="235">
        <v>45535</v>
      </c>
      <c r="AO214" t="s">
        <v>1054</v>
      </c>
    </row>
    <row r="215" spans="1:41" ht="14.4" hidden="1" x14ac:dyDescent="0.3">
      <c r="A215" s="28">
        <v>214</v>
      </c>
      <c r="B215" s="229">
        <v>37134</v>
      </c>
      <c r="C215" s="227" t="s">
        <v>64</v>
      </c>
      <c r="D215" s="401" t="s">
        <v>682</v>
      </c>
      <c r="E215" s="229" t="s">
        <v>660</v>
      </c>
      <c r="F215" s="291" t="s">
        <v>661</v>
      </c>
      <c r="G215" s="291" t="s">
        <v>13</v>
      </c>
      <c r="H215" s="230"/>
      <c r="I215" s="103"/>
      <c r="J215" s="103" t="s">
        <v>58</v>
      </c>
      <c r="K215" s="489" t="s">
        <v>680</v>
      </c>
      <c r="L215" s="490">
        <v>44827</v>
      </c>
      <c r="M215" s="489" t="s">
        <v>60</v>
      </c>
      <c r="N215" s="438" t="s">
        <v>681</v>
      </c>
      <c r="O215" s="187"/>
      <c r="P215" s="187"/>
      <c r="Q215" s="105"/>
      <c r="R215" s="105" t="s">
        <v>75</v>
      </c>
      <c r="S215" s="16" t="s">
        <v>68</v>
      </c>
      <c r="T215" s="16" t="s">
        <v>68</v>
      </c>
      <c r="U215" s="105" t="s">
        <v>68</v>
      </c>
      <c r="V215" s="187"/>
      <c r="W215" s="105" t="s">
        <v>68</v>
      </c>
      <c r="X215" s="105" t="s">
        <v>75</v>
      </c>
      <c r="Y215" s="187"/>
      <c r="Z215" s="187"/>
      <c r="AA215" s="187"/>
      <c r="AB215" s="105"/>
      <c r="AC215" s="105"/>
      <c r="AD215" s="16" t="s">
        <v>68</v>
      </c>
      <c r="AE215" s="105"/>
      <c r="AF215" s="382"/>
      <c r="AG215" s="382">
        <v>45430</v>
      </c>
      <c r="AH215" s="382">
        <v>45430</v>
      </c>
      <c r="AI215" s="382">
        <v>45126</v>
      </c>
      <c r="AJ215" s="1271">
        <v>45126</v>
      </c>
      <c r="AK215" s="1376">
        <v>45126</v>
      </c>
      <c r="AL215" s="187"/>
      <c r="AM215" s="187" t="s">
        <v>662</v>
      </c>
    </row>
    <row r="216" spans="1:41" ht="14.4" hidden="1" x14ac:dyDescent="0.3">
      <c r="A216" s="28">
        <v>215</v>
      </c>
      <c r="B216" s="229">
        <v>37134</v>
      </c>
      <c r="C216" s="227" t="s">
        <v>54</v>
      </c>
      <c r="D216" s="401" t="s">
        <v>679</v>
      </c>
      <c r="E216" s="229" t="s">
        <v>660</v>
      </c>
      <c r="F216" s="291" t="s">
        <v>661</v>
      </c>
      <c r="G216" s="291" t="s">
        <v>13</v>
      </c>
      <c r="H216" s="230"/>
      <c r="I216" s="103"/>
      <c r="J216" s="103" t="s">
        <v>58</v>
      </c>
      <c r="K216" s="489" t="s">
        <v>680</v>
      </c>
      <c r="L216" s="490">
        <v>44827</v>
      </c>
      <c r="M216" s="489" t="s">
        <v>60</v>
      </c>
      <c r="N216" s="438" t="s">
        <v>681</v>
      </c>
      <c r="O216" s="187"/>
      <c r="P216" s="187"/>
      <c r="Q216" s="105"/>
      <c r="R216" s="16" t="s">
        <v>75</v>
      </c>
      <c r="S216" s="16" t="s">
        <v>62</v>
      </c>
      <c r="T216" s="16" t="s">
        <v>62</v>
      </c>
      <c r="U216" s="105" t="s">
        <v>62</v>
      </c>
      <c r="V216" s="187"/>
      <c r="W216" s="105" t="s">
        <v>62</v>
      </c>
      <c r="X216" s="105" t="s">
        <v>75</v>
      </c>
      <c r="Y216" s="187"/>
      <c r="Z216" s="187"/>
      <c r="AA216" s="187"/>
      <c r="AB216" s="105"/>
      <c r="AC216" s="105"/>
      <c r="AD216" s="16" t="s">
        <v>62</v>
      </c>
      <c r="AE216" s="105"/>
      <c r="AF216" s="382"/>
      <c r="AG216" s="382">
        <v>45430</v>
      </c>
      <c r="AH216" s="382">
        <v>45430</v>
      </c>
      <c r="AI216" s="382">
        <v>45126</v>
      </c>
      <c r="AJ216" s="1271">
        <v>45126</v>
      </c>
      <c r="AK216" s="1376">
        <v>45126</v>
      </c>
      <c r="AL216" s="187"/>
      <c r="AM216" s="187" t="s">
        <v>662</v>
      </c>
    </row>
    <row r="217" spans="1:41" hidden="1" x14ac:dyDescent="0.25">
      <c r="A217" s="28">
        <v>216</v>
      </c>
      <c r="B217" s="244">
        <v>30360</v>
      </c>
      <c r="C217" s="227" t="s">
        <v>64</v>
      </c>
      <c r="D217" s="402" t="s">
        <v>1056</v>
      </c>
      <c r="E217" s="20" t="s">
        <v>862</v>
      </c>
      <c r="F217" s="103" t="s">
        <v>863</v>
      </c>
      <c r="G217" s="103" t="s">
        <v>13</v>
      </c>
      <c r="H217" s="103"/>
      <c r="I217" s="103"/>
      <c r="J217" s="103"/>
      <c r="K217" s="438"/>
      <c r="L217" s="471"/>
      <c r="M217" s="438"/>
      <c r="N217" s="438"/>
      <c r="O217" s="106">
        <v>45276</v>
      </c>
      <c r="P217" s="106"/>
      <c r="Q217" s="105"/>
      <c r="R217" s="105" t="s">
        <v>68</v>
      </c>
      <c r="S217" s="105"/>
      <c r="T217" s="105" t="s">
        <v>206</v>
      </c>
      <c r="U217" s="105"/>
      <c r="V217" s="105" t="s">
        <v>206</v>
      </c>
      <c r="W217" s="105" t="s">
        <v>206</v>
      </c>
      <c r="X217" s="105" t="s">
        <v>206</v>
      </c>
      <c r="Y217" s="105" t="s">
        <v>206</v>
      </c>
      <c r="Z217" s="105"/>
      <c r="AA217" s="105"/>
      <c r="AB217" s="105"/>
      <c r="AC217" s="105"/>
      <c r="AD217" s="105" t="s">
        <v>981</v>
      </c>
      <c r="AE217" s="716">
        <v>45272</v>
      </c>
      <c r="AF217" s="715">
        <v>45272</v>
      </c>
      <c r="AG217" s="381"/>
      <c r="AH217" s="381">
        <v>45184</v>
      </c>
      <c r="AI217" s="381">
        <v>45272</v>
      </c>
      <c r="AJ217" s="382" t="s">
        <v>206</v>
      </c>
      <c r="AK217" s="242"/>
      <c r="AM217" s="242"/>
    </row>
    <row r="218" spans="1:41" hidden="1" x14ac:dyDescent="0.25">
      <c r="A218" s="28">
        <v>217</v>
      </c>
      <c r="B218" s="244">
        <v>30360</v>
      </c>
      <c r="C218" s="227" t="s">
        <v>54</v>
      </c>
      <c r="D218" s="403" t="s">
        <v>1057</v>
      </c>
      <c r="E218" s="20" t="s">
        <v>862</v>
      </c>
      <c r="F218" s="103" t="s">
        <v>863</v>
      </c>
      <c r="G218" s="103" t="s">
        <v>13</v>
      </c>
      <c r="H218" s="103"/>
      <c r="I218" s="103"/>
      <c r="J218" s="103"/>
      <c r="K218" s="438"/>
      <c r="L218" s="471"/>
      <c r="M218" s="438"/>
      <c r="N218" s="438"/>
      <c r="O218" s="106">
        <v>45276</v>
      </c>
      <c r="P218" s="106"/>
      <c r="Q218" s="105"/>
      <c r="R218" s="105" t="s">
        <v>62</v>
      </c>
      <c r="S218" s="105"/>
      <c r="T218" s="105" t="s">
        <v>206</v>
      </c>
      <c r="U218" s="105"/>
      <c r="V218" s="105" t="s">
        <v>206</v>
      </c>
      <c r="W218" s="105" t="s">
        <v>206</v>
      </c>
      <c r="X218" s="105" t="s">
        <v>206</v>
      </c>
      <c r="Y218" s="105" t="s">
        <v>206</v>
      </c>
      <c r="Z218" s="105"/>
      <c r="AA218" s="105"/>
      <c r="AB218" s="105"/>
      <c r="AC218" s="105"/>
      <c r="AD218" s="105" t="s">
        <v>604</v>
      </c>
      <c r="AE218" s="716">
        <v>45272</v>
      </c>
      <c r="AF218" s="715">
        <v>45272</v>
      </c>
      <c r="AG218" s="381"/>
      <c r="AH218" s="381">
        <v>45184</v>
      </c>
      <c r="AI218" s="381">
        <v>45272</v>
      </c>
      <c r="AJ218" s="382" t="s">
        <v>206</v>
      </c>
    </row>
    <row r="219" spans="1:41" hidden="1" x14ac:dyDescent="0.25">
      <c r="A219" s="28">
        <v>218</v>
      </c>
      <c r="B219" s="244">
        <v>30650</v>
      </c>
      <c r="C219" s="227" t="s">
        <v>64</v>
      </c>
      <c r="D219" s="403" t="s">
        <v>1058</v>
      </c>
      <c r="E219" s="20" t="s">
        <v>862</v>
      </c>
      <c r="F219" s="103" t="s">
        <v>863</v>
      </c>
      <c r="G219" s="103" t="s">
        <v>13</v>
      </c>
      <c r="H219" s="103"/>
      <c r="I219" s="103"/>
      <c r="J219" s="103"/>
      <c r="K219" s="438"/>
      <c r="L219" s="471"/>
      <c r="M219" s="438"/>
      <c r="N219" s="438"/>
      <c r="O219" s="106">
        <v>45698</v>
      </c>
      <c r="P219" s="106"/>
      <c r="Q219" s="105"/>
      <c r="R219" s="105" t="s">
        <v>68</v>
      </c>
      <c r="S219" s="105" t="s">
        <v>206</v>
      </c>
      <c r="T219" s="105" t="s">
        <v>206</v>
      </c>
      <c r="U219" s="105"/>
      <c r="V219" s="105" t="s">
        <v>206</v>
      </c>
      <c r="W219" s="105" t="s">
        <v>206</v>
      </c>
      <c r="X219" s="105" t="s">
        <v>206</v>
      </c>
      <c r="Y219" s="105" t="s">
        <v>206</v>
      </c>
      <c r="Z219" s="105"/>
      <c r="AA219" s="105"/>
      <c r="AB219" s="105"/>
      <c r="AC219" s="105"/>
      <c r="AD219" s="105" t="s">
        <v>206</v>
      </c>
      <c r="AE219" s="716">
        <v>45268</v>
      </c>
      <c r="AF219" s="277" t="s">
        <v>206</v>
      </c>
      <c r="AG219" s="381">
        <v>45471</v>
      </c>
      <c r="AH219" s="381">
        <v>45092</v>
      </c>
      <c r="AI219" s="381">
        <v>45268</v>
      </c>
      <c r="AJ219" s="382" t="s">
        <v>206</v>
      </c>
      <c r="AM219" s="143">
        <v>45586</v>
      </c>
    </row>
    <row r="220" spans="1:41" hidden="1" x14ac:dyDescent="0.25">
      <c r="A220" s="28">
        <v>219</v>
      </c>
      <c r="B220" s="244">
        <v>30650</v>
      </c>
      <c r="C220" s="227" t="s">
        <v>54</v>
      </c>
      <c r="D220" s="403" t="s">
        <v>1059</v>
      </c>
      <c r="E220" s="20" t="s">
        <v>862</v>
      </c>
      <c r="F220" s="103" t="s">
        <v>863</v>
      </c>
      <c r="G220" s="103" t="s">
        <v>13</v>
      </c>
      <c r="H220" s="103"/>
      <c r="I220" s="103"/>
      <c r="J220" s="103"/>
      <c r="K220" s="438"/>
      <c r="L220" s="471"/>
      <c r="M220" s="438"/>
      <c r="N220" s="438"/>
      <c r="O220" s="106">
        <v>45698</v>
      </c>
      <c r="P220" s="106"/>
      <c r="Q220" s="105"/>
      <c r="R220" s="105" t="s">
        <v>62</v>
      </c>
      <c r="S220" s="105" t="s">
        <v>206</v>
      </c>
      <c r="T220" s="105" t="s">
        <v>206</v>
      </c>
      <c r="U220" s="105"/>
      <c r="V220" s="105" t="s">
        <v>206</v>
      </c>
      <c r="W220" s="105" t="s">
        <v>206</v>
      </c>
      <c r="X220" s="105" t="s">
        <v>206</v>
      </c>
      <c r="Y220" s="105" t="s">
        <v>206</v>
      </c>
      <c r="Z220" s="105"/>
      <c r="AA220" s="105"/>
      <c r="AB220" s="105"/>
      <c r="AC220" s="105"/>
      <c r="AD220" s="105" t="s">
        <v>206</v>
      </c>
      <c r="AE220" s="716">
        <v>45268</v>
      </c>
      <c r="AF220" s="277" t="s">
        <v>206</v>
      </c>
      <c r="AG220" s="381">
        <v>45471</v>
      </c>
      <c r="AH220" s="381">
        <v>45092</v>
      </c>
      <c r="AI220" s="381">
        <v>45268</v>
      </c>
      <c r="AJ220" s="382" t="s">
        <v>206</v>
      </c>
      <c r="AM220" s="143">
        <v>45586</v>
      </c>
    </row>
    <row r="221" spans="1:41" hidden="1" x14ac:dyDescent="0.25">
      <c r="A221" s="28">
        <v>220</v>
      </c>
      <c r="B221" s="244">
        <v>30376</v>
      </c>
      <c r="C221" s="227" t="s">
        <v>64</v>
      </c>
      <c r="D221" s="403" t="s">
        <v>1060</v>
      </c>
      <c r="E221" s="20" t="s">
        <v>862</v>
      </c>
      <c r="F221" s="103" t="s">
        <v>863</v>
      </c>
      <c r="G221" s="103" t="s">
        <v>13</v>
      </c>
      <c r="H221" s="103"/>
      <c r="I221" s="103"/>
      <c r="J221" s="103"/>
      <c r="K221" s="438"/>
      <c r="L221" s="471"/>
      <c r="M221" s="438"/>
      <c r="N221" s="438"/>
      <c r="O221" s="106">
        <v>45665</v>
      </c>
      <c r="P221" s="106">
        <v>45665</v>
      </c>
      <c r="Q221" s="105"/>
      <c r="R221" s="105" t="s">
        <v>68</v>
      </c>
      <c r="S221" s="105" t="s">
        <v>206</v>
      </c>
      <c r="T221" s="105" t="s">
        <v>206</v>
      </c>
      <c r="U221" s="105"/>
      <c r="V221" s="105" t="s">
        <v>206</v>
      </c>
      <c r="W221" s="105" t="s">
        <v>206</v>
      </c>
      <c r="X221" s="105" t="s">
        <v>206</v>
      </c>
      <c r="Y221" s="105" t="s">
        <v>206</v>
      </c>
      <c r="Z221" s="105"/>
      <c r="AA221" s="105"/>
      <c r="AB221" s="105"/>
      <c r="AC221" s="105"/>
      <c r="AD221" s="105" t="s">
        <v>981</v>
      </c>
      <c r="AE221" s="716">
        <v>45269</v>
      </c>
      <c r="AF221" s="277" t="s">
        <v>206</v>
      </c>
      <c r="AG221" s="381">
        <v>45477</v>
      </c>
      <c r="AH221" s="381">
        <v>45153</v>
      </c>
      <c r="AI221" s="381">
        <v>45269</v>
      </c>
      <c r="AJ221" s="382" t="s">
        <v>206</v>
      </c>
      <c r="AK221" s="143">
        <v>45665</v>
      </c>
      <c r="AM221" s="143">
        <v>45559</v>
      </c>
    </row>
    <row r="222" spans="1:41" hidden="1" x14ac:dyDescent="0.25">
      <c r="A222" s="28">
        <v>221</v>
      </c>
      <c r="B222" s="244">
        <v>30376</v>
      </c>
      <c r="C222" s="227" t="s">
        <v>54</v>
      </c>
      <c r="D222" s="403" t="s">
        <v>1061</v>
      </c>
      <c r="E222" s="20" t="s">
        <v>862</v>
      </c>
      <c r="F222" s="103" t="s">
        <v>863</v>
      </c>
      <c r="G222" s="103" t="s">
        <v>13</v>
      </c>
      <c r="H222" s="103"/>
      <c r="I222" s="103"/>
      <c r="J222" s="103"/>
      <c r="K222" s="438"/>
      <c r="L222" s="471"/>
      <c r="M222" s="438"/>
      <c r="N222" s="438"/>
      <c r="O222" s="106">
        <v>45665</v>
      </c>
      <c r="P222" s="106">
        <v>45665</v>
      </c>
      <c r="Q222" s="105"/>
      <c r="R222" s="105" t="s">
        <v>62</v>
      </c>
      <c r="S222" s="105" t="s">
        <v>206</v>
      </c>
      <c r="T222" s="105" t="s">
        <v>206</v>
      </c>
      <c r="U222" s="105"/>
      <c r="V222" s="105" t="s">
        <v>206</v>
      </c>
      <c r="W222" s="105" t="s">
        <v>206</v>
      </c>
      <c r="X222" s="105" t="s">
        <v>206</v>
      </c>
      <c r="Y222" s="105" t="s">
        <v>206</v>
      </c>
      <c r="Z222" s="105"/>
      <c r="AA222" s="105"/>
      <c r="AB222" s="105"/>
      <c r="AC222" s="105"/>
      <c r="AD222" s="105" t="s">
        <v>604</v>
      </c>
      <c r="AE222" s="716">
        <v>45269</v>
      </c>
      <c r="AF222" s="277" t="s">
        <v>206</v>
      </c>
      <c r="AG222" s="381">
        <v>45477</v>
      </c>
      <c r="AH222" s="381">
        <v>45153</v>
      </c>
      <c r="AI222" s="381">
        <v>45269</v>
      </c>
      <c r="AJ222" s="382" t="s">
        <v>206</v>
      </c>
      <c r="AK222" s="143">
        <v>45665</v>
      </c>
      <c r="AM222" s="143">
        <v>45559</v>
      </c>
    </row>
    <row r="223" spans="1:41" hidden="1" x14ac:dyDescent="0.25">
      <c r="A223" s="28">
        <v>222</v>
      </c>
      <c r="B223" s="244">
        <v>30361</v>
      </c>
      <c r="C223" s="227" t="s">
        <v>64</v>
      </c>
      <c r="D223" s="403" t="s">
        <v>1062</v>
      </c>
      <c r="E223" s="20" t="s">
        <v>862</v>
      </c>
      <c r="F223" s="103" t="s">
        <v>863</v>
      </c>
      <c r="G223" s="103" t="s">
        <v>13</v>
      </c>
      <c r="H223" s="103"/>
      <c r="I223" s="103"/>
      <c r="J223" s="103"/>
      <c r="K223" s="438"/>
      <c r="L223" s="471"/>
      <c r="M223" s="438"/>
      <c r="N223" s="438"/>
      <c r="O223" s="106">
        <v>45712</v>
      </c>
      <c r="P223" s="106">
        <v>45712</v>
      </c>
      <c r="Q223" s="105"/>
      <c r="R223" s="105" t="s">
        <v>68</v>
      </c>
      <c r="S223" s="105" t="s">
        <v>206</v>
      </c>
      <c r="T223" s="105" t="s">
        <v>206</v>
      </c>
      <c r="U223" s="105"/>
      <c r="V223" s="105" t="s">
        <v>206</v>
      </c>
      <c r="W223" s="105" t="s">
        <v>206</v>
      </c>
      <c r="X223" s="105" t="s">
        <v>206</v>
      </c>
      <c r="Y223" s="105" t="s">
        <v>206</v>
      </c>
      <c r="Z223" s="105"/>
      <c r="AA223" s="105"/>
      <c r="AB223" s="105"/>
      <c r="AC223" s="105"/>
      <c r="AD223" s="105" t="s">
        <v>981</v>
      </c>
      <c r="AE223" s="716">
        <v>45144</v>
      </c>
      <c r="AF223" s="277" t="s">
        <v>206</v>
      </c>
      <c r="AG223" s="381"/>
      <c r="AH223" s="381">
        <v>45144</v>
      </c>
      <c r="AJ223" s="382" t="s">
        <v>206</v>
      </c>
      <c r="AM223" s="143">
        <v>45524</v>
      </c>
    </row>
    <row r="224" spans="1:41" hidden="1" x14ac:dyDescent="0.25">
      <c r="A224" s="28">
        <v>223</v>
      </c>
      <c r="B224" s="244">
        <v>30361</v>
      </c>
      <c r="C224" s="227" t="s">
        <v>54</v>
      </c>
      <c r="D224" s="403" t="s">
        <v>1063</v>
      </c>
      <c r="E224" s="20" t="s">
        <v>862</v>
      </c>
      <c r="F224" s="103" t="s">
        <v>863</v>
      </c>
      <c r="G224" s="103" t="s">
        <v>13</v>
      </c>
      <c r="H224" s="103"/>
      <c r="I224" s="103"/>
      <c r="J224" s="103"/>
      <c r="K224" s="438"/>
      <c r="L224" s="471"/>
      <c r="M224" s="438"/>
      <c r="N224" s="438"/>
      <c r="O224" s="106">
        <v>45712</v>
      </c>
      <c r="P224" s="106">
        <v>45712</v>
      </c>
      <c r="Q224" s="105"/>
      <c r="R224" s="105" t="s">
        <v>62</v>
      </c>
      <c r="S224" s="105" t="s">
        <v>206</v>
      </c>
      <c r="T224" s="105" t="s">
        <v>206</v>
      </c>
      <c r="U224" s="105"/>
      <c r="V224" s="105" t="s">
        <v>206</v>
      </c>
      <c r="W224" s="105" t="s">
        <v>206</v>
      </c>
      <c r="X224" s="105" t="s">
        <v>206</v>
      </c>
      <c r="Y224" s="105" t="s">
        <v>206</v>
      </c>
      <c r="Z224" s="105"/>
      <c r="AA224" s="105"/>
      <c r="AB224" s="105"/>
      <c r="AC224" s="105"/>
      <c r="AD224" s="105" t="s">
        <v>604</v>
      </c>
      <c r="AE224" s="716">
        <v>45144</v>
      </c>
      <c r="AF224" s="277" t="s">
        <v>206</v>
      </c>
      <c r="AH224" s="381">
        <v>45144</v>
      </c>
      <c r="AJ224" s="382" t="s">
        <v>206</v>
      </c>
      <c r="AM224" s="143">
        <v>45524</v>
      </c>
    </row>
    <row r="225" spans="1:41" hidden="1" x14ac:dyDescent="0.25">
      <c r="A225" s="28">
        <v>224</v>
      </c>
      <c r="B225" s="244">
        <v>30377</v>
      </c>
      <c r="C225" s="227" t="s">
        <v>64</v>
      </c>
      <c r="D225" s="403" t="s">
        <v>1064</v>
      </c>
      <c r="E225" s="20" t="s">
        <v>862</v>
      </c>
      <c r="F225" s="103" t="s">
        <v>863</v>
      </c>
      <c r="G225" s="103" t="s">
        <v>13</v>
      </c>
      <c r="H225" s="103"/>
      <c r="I225" s="103"/>
      <c r="J225" s="103"/>
      <c r="K225" s="438"/>
      <c r="L225" s="471"/>
      <c r="M225" s="438"/>
      <c r="N225" s="438"/>
      <c r="O225" s="106">
        <v>45708</v>
      </c>
      <c r="P225" s="106">
        <v>45708</v>
      </c>
      <c r="Q225" s="105"/>
      <c r="R225" s="105" t="s">
        <v>68</v>
      </c>
      <c r="S225" s="105" t="s">
        <v>206</v>
      </c>
      <c r="T225" s="105" t="s">
        <v>206</v>
      </c>
      <c r="U225" s="105"/>
      <c r="V225" s="105" t="s">
        <v>206</v>
      </c>
      <c r="W225" s="105" t="s">
        <v>206</v>
      </c>
      <c r="X225" s="105" t="s">
        <v>206</v>
      </c>
      <c r="Y225" s="105" t="s">
        <v>206</v>
      </c>
      <c r="Z225" s="105"/>
      <c r="AA225" s="105"/>
      <c r="AB225" s="105"/>
      <c r="AC225" s="105"/>
      <c r="AD225" s="105" t="s">
        <v>981</v>
      </c>
      <c r="AE225" s="105" t="s">
        <v>206</v>
      </c>
      <c r="AF225" s="277" t="s">
        <v>206</v>
      </c>
      <c r="AG225" s="381"/>
      <c r="AH225" s="381">
        <v>45192</v>
      </c>
      <c r="AI225" s="58" t="s">
        <v>206</v>
      </c>
      <c r="AJ225" s="382" t="s">
        <v>206</v>
      </c>
      <c r="AM225" s="143">
        <v>45591</v>
      </c>
    </row>
    <row r="226" spans="1:41" hidden="1" x14ac:dyDescent="0.25">
      <c r="A226" s="28">
        <v>225</v>
      </c>
      <c r="B226" s="244">
        <v>30377</v>
      </c>
      <c r="C226" s="227" t="s">
        <v>54</v>
      </c>
      <c r="D226" s="403" t="s">
        <v>1065</v>
      </c>
      <c r="E226" s="111" t="s">
        <v>862</v>
      </c>
      <c r="F226" s="134" t="s">
        <v>863</v>
      </c>
      <c r="G226" s="134" t="s">
        <v>13</v>
      </c>
      <c r="H226" s="134"/>
      <c r="I226" s="134"/>
      <c r="J226" s="134"/>
      <c r="K226" s="439"/>
      <c r="L226" s="472"/>
      <c r="M226" s="439"/>
      <c r="N226" s="439"/>
      <c r="O226" s="106">
        <v>45708</v>
      </c>
      <c r="P226" s="106">
        <v>45708</v>
      </c>
      <c r="Q226" s="137"/>
      <c r="R226" s="137" t="s">
        <v>62</v>
      </c>
      <c r="S226" s="137" t="s">
        <v>206</v>
      </c>
      <c r="T226" s="137" t="s">
        <v>206</v>
      </c>
      <c r="U226" s="137"/>
      <c r="V226" s="137" t="s">
        <v>206</v>
      </c>
      <c r="W226" s="137" t="s">
        <v>206</v>
      </c>
      <c r="X226" s="137" t="s">
        <v>206</v>
      </c>
      <c r="Y226" s="137" t="s">
        <v>206</v>
      </c>
      <c r="Z226" s="105"/>
      <c r="AA226" s="105"/>
      <c r="AB226" s="137"/>
      <c r="AC226" s="137"/>
      <c r="AD226" s="137" t="s">
        <v>604</v>
      </c>
      <c r="AE226" s="137" t="s">
        <v>206</v>
      </c>
      <c r="AF226" s="763" t="s">
        <v>206</v>
      </c>
      <c r="AG226" s="773"/>
      <c r="AH226" s="773">
        <v>45192</v>
      </c>
      <c r="AI226" s="511" t="s">
        <v>206</v>
      </c>
      <c r="AJ226" s="616" t="s">
        <v>206</v>
      </c>
      <c r="AK226" s="186"/>
      <c r="AM226" s="143">
        <v>45591</v>
      </c>
    </row>
    <row r="227" spans="1:41" ht="13.8" hidden="1" x14ac:dyDescent="0.25">
      <c r="A227" s="28">
        <v>226</v>
      </c>
      <c r="B227" s="416">
        <v>37596</v>
      </c>
      <c r="C227" s="17" t="s">
        <v>64</v>
      </c>
      <c r="D227" s="759" t="s">
        <v>1066</v>
      </c>
      <c r="E227" s="17" t="s">
        <v>932</v>
      </c>
      <c r="F227" s="3" t="s">
        <v>933</v>
      </c>
      <c r="G227" s="3" t="s">
        <v>13</v>
      </c>
      <c r="H227" s="52"/>
      <c r="I227" s="3"/>
      <c r="J227" s="3" t="s">
        <v>58</v>
      </c>
      <c r="K227" s="429"/>
      <c r="L227" s="432" t="s">
        <v>75</v>
      </c>
      <c r="M227" s="432" t="s">
        <v>60</v>
      </c>
      <c r="N227" s="432" t="s">
        <v>75</v>
      </c>
      <c r="O227" s="33"/>
      <c r="P227" s="33"/>
      <c r="Q227" s="16" t="s">
        <v>75</v>
      </c>
      <c r="R227" s="16" t="s">
        <v>75</v>
      </c>
      <c r="S227" s="16"/>
      <c r="T227" s="16"/>
      <c r="U227" s="32" t="s">
        <v>68</v>
      </c>
      <c r="V227" s="16" t="s">
        <v>75</v>
      </c>
      <c r="W227" s="16" t="s">
        <v>68</v>
      </c>
      <c r="X227" s="16" t="s">
        <v>75</v>
      </c>
      <c r="Y227" s="16"/>
      <c r="Z227" s="277"/>
      <c r="AA227" s="276"/>
      <c r="AB227" s="16"/>
      <c r="AC227" s="16"/>
      <c r="AD227" s="793" t="s">
        <v>75</v>
      </c>
      <c r="AE227" s="792" t="s">
        <v>869</v>
      </c>
      <c r="AF227" s="796" t="s">
        <v>75</v>
      </c>
      <c r="AG227" s="790"/>
      <c r="AH227" s="790">
        <v>45336</v>
      </c>
      <c r="AI227" s="790">
        <v>45336</v>
      </c>
      <c r="AJ227" s="1268" t="s">
        <v>206</v>
      </c>
      <c r="AK227" s="231"/>
      <c r="AL227" s="187"/>
      <c r="AM227" s="187" t="s">
        <v>1067</v>
      </c>
    </row>
    <row r="228" spans="1:41" ht="13.8" hidden="1" x14ac:dyDescent="0.25">
      <c r="A228" s="28">
        <v>227</v>
      </c>
      <c r="B228" s="416">
        <v>37596</v>
      </c>
      <c r="C228" s="17" t="s">
        <v>54</v>
      </c>
      <c r="D228" s="759" t="s">
        <v>1068</v>
      </c>
      <c r="E228" s="17" t="s">
        <v>932</v>
      </c>
      <c r="F228" s="3" t="s">
        <v>933</v>
      </c>
      <c r="G228" s="3" t="s">
        <v>13</v>
      </c>
      <c r="H228" s="52"/>
      <c r="I228" s="3"/>
      <c r="J228" s="3" t="s">
        <v>58</v>
      </c>
      <c r="K228" s="429"/>
      <c r="L228" s="432" t="s">
        <v>75</v>
      </c>
      <c r="M228" s="432" t="s">
        <v>60</v>
      </c>
      <c r="N228" s="432" t="s">
        <v>75</v>
      </c>
      <c r="O228" s="33"/>
      <c r="P228" s="33"/>
      <c r="Q228" s="16" t="s">
        <v>75</v>
      </c>
      <c r="R228" s="16" t="s">
        <v>75</v>
      </c>
      <c r="S228" s="16"/>
      <c r="T228" s="16"/>
      <c r="U228" s="32" t="s">
        <v>62</v>
      </c>
      <c r="V228" s="16" t="s">
        <v>75</v>
      </c>
      <c r="W228" s="16" t="s">
        <v>62</v>
      </c>
      <c r="X228" s="16" t="s">
        <v>75</v>
      </c>
      <c r="Y228" s="16"/>
      <c r="Z228" s="277"/>
      <c r="AA228" s="276"/>
      <c r="AB228" s="16"/>
      <c r="AC228" s="16"/>
      <c r="AD228" s="793" t="s">
        <v>75</v>
      </c>
      <c r="AE228" s="792" t="s">
        <v>869</v>
      </c>
      <c r="AF228" s="796" t="s">
        <v>75</v>
      </c>
      <c r="AG228" s="790"/>
      <c r="AH228" s="790">
        <v>45336</v>
      </c>
      <c r="AI228" s="790">
        <v>45336</v>
      </c>
      <c r="AJ228" s="1268" t="s">
        <v>206</v>
      </c>
      <c r="AK228" s="231"/>
      <c r="AL228" s="187"/>
      <c r="AM228" s="187" t="s">
        <v>1067</v>
      </c>
    </row>
    <row r="229" spans="1:41" ht="14.4" hidden="1" x14ac:dyDescent="0.25">
      <c r="A229" s="28">
        <v>228</v>
      </c>
      <c r="B229" s="509">
        <v>37597</v>
      </c>
      <c r="C229" s="510" t="s">
        <v>64</v>
      </c>
      <c r="D229" s="760" t="s">
        <v>1069</v>
      </c>
      <c r="E229" s="17" t="s">
        <v>932</v>
      </c>
      <c r="F229" s="3" t="s">
        <v>933</v>
      </c>
      <c r="G229" s="3" t="s">
        <v>13</v>
      </c>
      <c r="H229" s="52"/>
      <c r="I229" s="3"/>
      <c r="J229" s="3" t="s">
        <v>58</v>
      </c>
      <c r="K229" s="429"/>
      <c r="L229" s="432" t="s">
        <v>75</v>
      </c>
      <c r="M229" s="432" t="s">
        <v>60</v>
      </c>
      <c r="N229" s="432" t="s">
        <v>75</v>
      </c>
      <c r="O229" s="33"/>
      <c r="P229" s="33"/>
      <c r="Q229" s="16" t="s">
        <v>75</v>
      </c>
      <c r="R229" s="16" t="s">
        <v>75</v>
      </c>
      <c r="S229" s="16"/>
      <c r="T229" s="16" t="s">
        <v>68</v>
      </c>
      <c r="U229" s="32" t="s">
        <v>68</v>
      </c>
      <c r="V229" s="615" t="s">
        <v>75</v>
      </c>
      <c r="W229" s="16" t="s">
        <v>68</v>
      </c>
      <c r="X229" s="16" t="s">
        <v>75</v>
      </c>
      <c r="Y229" s="16"/>
      <c r="Z229" s="763"/>
      <c r="AA229" s="407"/>
      <c r="AB229" s="16"/>
      <c r="AC229" s="16"/>
      <c r="AD229" s="793" t="s">
        <v>75</v>
      </c>
      <c r="AE229" s="792" t="s">
        <v>869</v>
      </c>
      <c r="AF229" s="796" t="s">
        <v>75</v>
      </c>
      <c r="AG229" s="915">
        <v>45469</v>
      </c>
      <c r="AH229" s="790">
        <v>45139</v>
      </c>
      <c r="AI229" s="790">
        <v>45323</v>
      </c>
      <c r="AJ229" s="1268" t="s">
        <v>206</v>
      </c>
      <c r="AK229" s="187"/>
      <c r="AL229" s="187"/>
      <c r="AM229" s="187" t="s">
        <v>1070</v>
      </c>
    </row>
    <row r="230" spans="1:41" ht="14.4" hidden="1" x14ac:dyDescent="0.25">
      <c r="A230" s="28">
        <v>229</v>
      </c>
      <c r="B230" s="506">
        <v>37597</v>
      </c>
      <c r="C230" s="244" t="s">
        <v>54</v>
      </c>
      <c r="D230" s="761" t="s">
        <v>1071</v>
      </c>
      <c r="E230" s="17" t="s">
        <v>932</v>
      </c>
      <c r="F230" s="3" t="s">
        <v>933</v>
      </c>
      <c r="G230" s="3" t="s">
        <v>13</v>
      </c>
      <c r="H230" s="52"/>
      <c r="I230" s="3"/>
      <c r="J230" s="3" t="s">
        <v>58</v>
      </c>
      <c r="K230" s="429"/>
      <c r="L230" s="432" t="s">
        <v>75</v>
      </c>
      <c r="M230" s="432" t="s">
        <v>60</v>
      </c>
      <c r="N230" s="432" t="s">
        <v>75</v>
      </c>
      <c r="O230" s="33"/>
      <c r="P230" s="33"/>
      <c r="Q230" s="16" t="s">
        <v>75</v>
      </c>
      <c r="R230" s="16" t="s">
        <v>75</v>
      </c>
      <c r="S230" s="16"/>
      <c r="T230" s="16" t="s">
        <v>62</v>
      </c>
      <c r="U230" s="32" t="s">
        <v>62</v>
      </c>
      <c r="V230" s="615" t="s">
        <v>75</v>
      </c>
      <c r="W230" s="16" t="s">
        <v>62</v>
      </c>
      <c r="X230" s="16" t="s">
        <v>75</v>
      </c>
      <c r="Y230" s="16"/>
      <c r="Z230" s="764"/>
      <c r="AA230" s="288"/>
      <c r="AB230" s="16"/>
      <c r="AC230" s="16"/>
      <c r="AD230" s="793" t="s">
        <v>75</v>
      </c>
      <c r="AE230" s="792" t="s">
        <v>869</v>
      </c>
      <c r="AF230" s="796" t="s">
        <v>75</v>
      </c>
      <c r="AG230" s="915">
        <v>45469</v>
      </c>
      <c r="AH230" s="790">
        <v>45139</v>
      </c>
      <c r="AI230" s="790">
        <v>45323</v>
      </c>
      <c r="AJ230" s="1268" t="s">
        <v>206</v>
      </c>
      <c r="AK230" s="187"/>
      <c r="AL230" s="187"/>
      <c r="AM230" s="187" t="s">
        <v>1070</v>
      </c>
    </row>
    <row r="231" spans="1:41" ht="13.8" hidden="1" x14ac:dyDescent="0.25">
      <c r="A231" s="28">
        <v>230</v>
      </c>
      <c r="B231" s="506">
        <v>39216</v>
      </c>
      <c r="C231" s="244" t="s">
        <v>64</v>
      </c>
      <c r="D231" s="229" t="s">
        <v>1072</v>
      </c>
      <c r="E231" s="260" t="s">
        <v>989</v>
      </c>
      <c r="F231" s="781" t="s">
        <v>933</v>
      </c>
      <c r="G231" s="781" t="s">
        <v>13</v>
      </c>
      <c r="H231" s="782"/>
      <c r="I231" s="781"/>
      <c r="J231" s="781" t="s">
        <v>58</v>
      </c>
      <c r="K231" s="783"/>
      <c r="L231" s="784" t="s">
        <v>75</v>
      </c>
      <c r="M231" s="784" t="s">
        <v>60</v>
      </c>
      <c r="N231" s="784" t="s">
        <v>75</v>
      </c>
      <c r="O231" s="785">
        <v>45465</v>
      </c>
      <c r="P231" s="785"/>
      <c r="Q231" s="786" t="s">
        <v>75</v>
      </c>
      <c r="R231" s="786" t="s">
        <v>75</v>
      </c>
      <c r="S231" s="786"/>
      <c r="T231" s="787" t="s">
        <v>68</v>
      </c>
      <c r="U231" s="142" t="s">
        <v>68</v>
      </c>
      <c r="V231" s="142" t="s">
        <v>68</v>
      </c>
      <c r="W231" s="786"/>
      <c r="X231" s="786" t="s">
        <v>75</v>
      </c>
      <c r="Y231" s="786"/>
      <c r="Z231" s="105"/>
      <c r="AA231" s="105"/>
      <c r="AB231" s="786"/>
      <c r="AC231" s="786"/>
      <c r="AD231" s="786"/>
      <c r="AE231" s="786"/>
      <c r="AF231" s="821" t="s">
        <v>68</v>
      </c>
      <c r="AG231" s="788">
        <v>45465</v>
      </c>
      <c r="AH231" s="788"/>
      <c r="AI231" s="788">
        <v>45465</v>
      </c>
      <c r="AJ231" s="1276" t="s">
        <v>63</v>
      </c>
      <c r="AK231" s="231">
        <v>45500</v>
      </c>
      <c r="AL231" s="187"/>
      <c r="AM231" s="187" t="s">
        <v>63</v>
      </c>
    </row>
    <row r="232" spans="1:41" ht="13.8" hidden="1" x14ac:dyDescent="0.25">
      <c r="A232" s="28">
        <v>231</v>
      </c>
      <c r="B232" s="506">
        <v>39216</v>
      </c>
      <c r="C232" s="244" t="s">
        <v>54</v>
      </c>
      <c r="D232" s="229" t="s">
        <v>1073</v>
      </c>
      <c r="E232" s="260" t="s">
        <v>989</v>
      </c>
      <c r="F232" s="103" t="s">
        <v>933</v>
      </c>
      <c r="G232" s="103" t="s">
        <v>13</v>
      </c>
      <c r="H232" s="118"/>
      <c r="I232" s="103"/>
      <c r="J232" s="103" t="s">
        <v>58</v>
      </c>
      <c r="K232" s="436"/>
      <c r="L232" s="438" t="s">
        <v>75</v>
      </c>
      <c r="M232" s="438" t="s">
        <v>60</v>
      </c>
      <c r="N232" s="438" t="s">
        <v>75</v>
      </c>
      <c r="O232" s="785">
        <v>45465</v>
      </c>
      <c r="P232" s="106"/>
      <c r="Q232" s="105" t="s">
        <v>75</v>
      </c>
      <c r="R232" s="105" t="s">
        <v>75</v>
      </c>
      <c r="S232" s="105"/>
      <c r="T232" s="105" t="s">
        <v>62</v>
      </c>
      <c r="U232" s="32" t="s">
        <v>62</v>
      </c>
      <c r="V232" s="32" t="s">
        <v>62</v>
      </c>
      <c r="W232" s="105"/>
      <c r="X232" s="105" t="s">
        <v>75</v>
      </c>
      <c r="Y232" s="105"/>
      <c r="Z232" s="105"/>
      <c r="AA232" s="105"/>
      <c r="AB232" s="105"/>
      <c r="AC232" s="105"/>
      <c r="AD232" s="105"/>
      <c r="AE232" s="105"/>
      <c r="AF232" s="821" t="s">
        <v>62</v>
      </c>
      <c r="AG232" s="788">
        <v>45465</v>
      </c>
      <c r="AH232" s="508"/>
      <c r="AI232" s="788">
        <v>45465</v>
      </c>
      <c r="AJ232" s="1277" t="s">
        <v>63</v>
      </c>
      <c r="AK232" s="231">
        <v>45501</v>
      </c>
      <c r="AL232" s="187"/>
      <c r="AM232" s="187" t="s">
        <v>63</v>
      </c>
    </row>
    <row r="233" spans="1:41" hidden="1" x14ac:dyDescent="0.25">
      <c r="A233" s="28">
        <v>232</v>
      </c>
      <c r="B233" s="244">
        <v>30380</v>
      </c>
      <c r="C233" s="244" t="s">
        <v>64</v>
      </c>
      <c r="D233" s="103" t="s">
        <v>1074</v>
      </c>
      <c r="E233" s="238" t="s">
        <v>805</v>
      </c>
      <c r="F233" s="103" t="s">
        <v>806</v>
      </c>
      <c r="G233" s="103" t="s">
        <v>13</v>
      </c>
      <c r="H233" s="118">
        <v>45012</v>
      </c>
      <c r="I233" s="103"/>
      <c r="J233" s="103" t="s">
        <v>58</v>
      </c>
      <c r="K233" s="438"/>
      <c r="L233" s="471"/>
      <c r="M233" s="438"/>
      <c r="N233" s="438"/>
      <c r="O233" s="106">
        <v>45337</v>
      </c>
      <c r="P233" s="106"/>
      <c r="Q233" s="105"/>
      <c r="R233" s="105"/>
      <c r="S233" s="105"/>
      <c r="T233" s="105"/>
      <c r="U233" s="105"/>
      <c r="V233" s="105"/>
      <c r="W233" s="105"/>
      <c r="X233" s="105"/>
      <c r="Y233" s="105"/>
      <c r="Z233" s="438"/>
      <c r="AA233" s="438"/>
      <c r="AB233" s="105"/>
      <c r="AC233" s="105"/>
      <c r="AD233" s="105" t="s">
        <v>1006</v>
      </c>
      <c r="AE233" s="105" t="s">
        <v>1006</v>
      </c>
      <c r="AF233" s="105" t="s">
        <v>710</v>
      </c>
      <c r="AG233" s="107">
        <v>45520</v>
      </c>
      <c r="AH233" s="105" t="s">
        <v>710</v>
      </c>
      <c r="AI233" s="105" t="s">
        <v>710</v>
      </c>
      <c r="AJ233" s="105" t="s">
        <v>710</v>
      </c>
      <c r="AK233" s="1243"/>
      <c r="AL233" s="23" t="s">
        <v>1075</v>
      </c>
      <c r="AM233" s="1066">
        <v>45797</v>
      </c>
    </row>
    <row r="234" spans="1:41" hidden="1" x14ac:dyDescent="0.25">
      <c r="A234" s="28">
        <v>233</v>
      </c>
      <c r="B234" s="244">
        <v>30380</v>
      </c>
      <c r="C234" s="244" t="s">
        <v>54</v>
      </c>
      <c r="D234" s="103" t="s">
        <v>1076</v>
      </c>
      <c r="E234" s="238" t="s">
        <v>805</v>
      </c>
      <c r="F234" s="103" t="s">
        <v>806</v>
      </c>
      <c r="G234" s="103" t="s">
        <v>13</v>
      </c>
      <c r="H234" s="118">
        <v>45012</v>
      </c>
      <c r="I234" s="103"/>
      <c r="J234" s="103" t="s">
        <v>58</v>
      </c>
      <c r="K234" s="438"/>
      <c r="L234" s="471"/>
      <c r="M234" s="438"/>
      <c r="N234" s="438"/>
      <c r="O234" s="106">
        <v>45337</v>
      </c>
      <c r="P234" s="106"/>
      <c r="Q234" s="105"/>
      <c r="R234" s="105"/>
      <c r="S234" s="105"/>
      <c r="T234" s="105"/>
      <c r="U234" s="105"/>
      <c r="V234" s="105"/>
      <c r="W234" s="105"/>
      <c r="X234" s="105"/>
      <c r="Y234" s="105"/>
      <c r="Z234" s="438"/>
      <c r="AA234" s="438"/>
      <c r="AB234" s="105"/>
      <c r="AC234" s="105"/>
      <c r="AD234" s="105" t="s">
        <v>689</v>
      </c>
      <c r="AE234" s="105" t="s">
        <v>689</v>
      </c>
      <c r="AF234" s="105" t="s">
        <v>689</v>
      </c>
      <c r="AG234" s="107">
        <v>45520</v>
      </c>
      <c r="AH234" s="105" t="s">
        <v>689</v>
      </c>
      <c r="AI234" s="105" t="s">
        <v>689</v>
      </c>
      <c r="AJ234" s="105" t="s">
        <v>689</v>
      </c>
      <c r="AK234" s="187"/>
      <c r="AL234" s="23" t="s">
        <v>1075</v>
      </c>
      <c r="AM234" s="143">
        <v>45797</v>
      </c>
    </row>
    <row r="235" spans="1:41" hidden="1" x14ac:dyDescent="0.25">
      <c r="A235" s="28">
        <v>234</v>
      </c>
      <c r="B235" s="244">
        <v>30279</v>
      </c>
      <c r="C235" s="244" t="s">
        <v>64</v>
      </c>
      <c r="D235" s="103" t="s">
        <v>1077</v>
      </c>
      <c r="E235" s="238" t="s">
        <v>805</v>
      </c>
      <c r="F235" s="103" t="s">
        <v>806</v>
      </c>
      <c r="G235" s="103" t="s">
        <v>13</v>
      </c>
      <c r="H235" s="118">
        <v>44978</v>
      </c>
      <c r="I235" s="103"/>
      <c r="J235" s="103" t="s">
        <v>58</v>
      </c>
      <c r="K235" s="438"/>
      <c r="L235" s="471"/>
      <c r="M235" s="438"/>
      <c r="N235" s="438"/>
      <c r="O235" s="106"/>
      <c r="P235" s="106"/>
      <c r="Q235" s="105"/>
      <c r="R235" s="105" t="s">
        <v>1000</v>
      </c>
      <c r="S235" s="105" t="s">
        <v>1000</v>
      </c>
      <c r="T235" s="105" t="s">
        <v>1000</v>
      </c>
      <c r="U235" s="105" t="s">
        <v>1000</v>
      </c>
      <c r="V235" s="105"/>
      <c r="W235" s="105"/>
      <c r="X235" s="105"/>
      <c r="Y235" s="105"/>
      <c r="Z235" s="438"/>
      <c r="AA235" s="438"/>
      <c r="AB235" s="105"/>
      <c r="AC235" s="105"/>
      <c r="AD235" s="16" t="s">
        <v>68</v>
      </c>
      <c r="AE235" s="24" t="s">
        <v>63</v>
      </c>
      <c r="AF235" s="16" t="s">
        <v>68</v>
      </c>
      <c r="AG235" s="508">
        <v>45494</v>
      </c>
      <c r="AH235" s="507"/>
      <c r="AI235" s="16" t="s">
        <v>68</v>
      </c>
      <c r="AJ235" s="16" t="s">
        <v>68</v>
      </c>
      <c r="AK235" s="231">
        <v>45470</v>
      </c>
      <c r="AM235" s="143">
        <v>45558</v>
      </c>
    </row>
    <row r="236" spans="1:41" hidden="1" x14ac:dyDescent="0.25">
      <c r="A236" s="28">
        <v>235</v>
      </c>
      <c r="B236" s="244">
        <v>30279</v>
      </c>
      <c r="C236" s="244" t="s">
        <v>54</v>
      </c>
      <c r="D236" s="403" t="s">
        <v>1078</v>
      </c>
      <c r="E236" s="238" t="s">
        <v>805</v>
      </c>
      <c r="F236" s="103" t="s">
        <v>806</v>
      </c>
      <c r="G236" s="103" t="s">
        <v>13</v>
      </c>
      <c r="H236" s="118">
        <v>44978</v>
      </c>
      <c r="I236" s="103"/>
      <c r="J236" s="103" t="s">
        <v>58</v>
      </c>
      <c r="K236" s="438"/>
      <c r="L236" s="471"/>
      <c r="M236" s="438"/>
      <c r="N236" s="438"/>
      <c r="O236" s="106"/>
      <c r="P236" s="106"/>
      <c r="Q236" s="105"/>
      <c r="R236" s="105" t="s">
        <v>1000</v>
      </c>
      <c r="S236" s="105" t="s">
        <v>1000</v>
      </c>
      <c r="T236" s="105" t="s">
        <v>1000</v>
      </c>
      <c r="U236" s="105" t="s">
        <v>1000</v>
      </c>
      <c r="V236" s="105"/>
      <c r="W236" s="105"/>
      <c r="X236" s="105"/>
      <c r="Y236" s="105"/>
      <c r="Z236" s="438"/>
      <c r="AA236" s="438"/>
      <c r="AB236" s="105"/>
      <c r="AC236" s="105"/>
      <c r="AD236" s="117" t="s">
        <v>62</v>
      </c>
      <c r="AE236" s="24" t="s">
        <v>63</v>
      </c>
      <c r="AF236" s="117" t="s">
        <v>62</v>
      </c>
      <c r="AG236" s="508">
        <v>45494</v>
      </c>
      <c r="AH236" s="507"/>
      <c r="AI236" s="117" t="s">
        <v>62</v>
      </c>
      <c r="AJ236" s="117" t="s">
        <v>62</v>
      </c>
      <c r="AK236" s="231">
        <v>45470</v>
      </c>
      <c r="AM236" s="143">
        <v>45558</v>
      </c>
    </row>
    <row r="237" spans="1:41" x14ac:dyDescent="0.25">
      <c r="A237" s="28">
        <v>236</v>
      </c>
      <c r="B237" s="244">
        <v>30214</v>
      </c>
      <c r="C237" s="244" t="s">
        <v>64</v>
      </c>
      <c r="D237" s="103" t="s">
        <v>1079</v>
      </c>
      <c r="E237" s="238" t="s">
        <v>805</v>
      </c>
      <c r="F237" s="103" t="s">
        <v>806</v>
      </c>
      <c r="G237" s="103" t="s">
        <v>13</v>
      </c>
      <c r="H237" s="118">
        <v>45012</v>
      </c>
      <c r="I237" s="103"/>
      <c r="J237" s="103" t="s">
        <v>58</v>
      </c>
      <c r="K237" s="438"/>
      <c r="L237" s="471"/>
      <c r="M237" s="438"/>
      <c r="N237" s="438"/>
      <c r="O237" s="106">
        <v>45159</v>
      </c>
      <c r="P237" s="106"/>
      <c r="Q237" s="105"/>
      <c r="R237" s="105" t="s">
        <v>1000</v>
      </c>
      <c r="S237" s="105"/>
      <c r="T237" s="105"/>
      <c r="U237" s="105"/>
      <c r="V237" s="105"/>
      <c r="W237" s="105"/>
      <c r="X237" s="105" t="s">
        <v>1000</v>
      </c>
      <c r="Y237" s="105"/>
      <c r="Z237" s="438"/>
      <c r="AA237" s="438"/>
      <c r="AB237" s="105"/>
      <c r="AC237" s="105"/>
      <c r="AD237" s="105" t="s">
        <v>1000</v>
      </c>
      <c r="AE237" s="105" t="s">
        <v>68</v>
      </c>
      <c r="AF237" s="105" t="s">
        <v>1000</v>
      </c>
      <c r="AG237" s="508">
        <v>45552</v>
      </c>
      <c r="AH237" s="508">
        <v>45552</v>
      </c>
      <c r="AI237" s="58" t="s">
        <v>814</v>
      </c>
      <c r="AJ237" s="508">
        <v>45063</v>
      </c>
      <c r="AK237" s="231">
        <v>45552</v>
      </c>
      <c r="AM237" s="143">
        <v>45611</v>
      </c>
      <c r="AO237" t="s">
        <v>1080</v>
      </c>
    </row>
    <row r="238" spans="1:41" x14ac:dyDescent="0.25">
      <c r="A238" s="28">
        <v>237</v>
      </c>
      <c r="B238" s="244">
        <v>30214</v>
      </c>
      <c r="C238" s="244" t="s">
        <v>54</v>
      </c>
      <c r="D238" s="103" t="s">
        <v>1081</v>
      </c>
      <c r="E238" s="238" t="s">
        <v>805</v>
      </c>
      <c r="F238" s="103" t="s">
        <v>806</v>
      </c>
      <c r="G238" s="103" t="s">
        <v>13</v>
      </c>
      <c r="H238" s="118">
        <v>45012</v>
      </c>
      <c r="I238" s="103"/>
      <c r="J238" s="103" t="s">
        <v>58</v>
      </c>
      <c r="K238" s="438"/>
      <c r="L238" s="471"/>
      <c r="M238" s="438"/>
      <c r="N238" s="438"/>
      <c r="O238" s="106">
        <v>45159</v>
      </c>
      <c r="P238" s="106"/>
      <c r="Q238" s="105"/>
      <c r="R238" s="105" t="s">
        <v>1000</v>
      </c>
      <c r="S238" s="105"/>
      <c r="T238" s="105"/>
      <c r="U238" s="105"/>
      <c r="V238" s="105"/>
      <c r="W238" s="105"/>
      <c r="X238" s="105" t="s">
        <v>1000</v>
      </c>
      <c r="Y238" s="105"/>
      <c r="Z238" s="438"/>
      <c r="AA238" s="438"/>
      <c r="AB238" s="105"/>
      <c r="AC238" s="105"/>
      <c r="AD238" s="105" t="s">
        <v>1000</v>
      </c>
      <c r="AE238" s="105" t="s">
        <v>604</v>
      </c>
      <c r="AF238" s="105" t="s">
        <v>1000</v>
      </c>
      <c r="AG238" s="508">
        <v>45552</v>
      </c>
      <c r="AH238" s="508">
        <v>45552</v>
      </c>
      <c r="AI238" s="58" t="s">
        <v>814</v>
      </c>
      <c r="AJ238" s="508">
        <v>45063</v>
      </c>
      <c r="AK238" s="231">
        <v>45552</v>
      </c>
      <c r="AM238" s="143">
        <v>45611</v>
      </c>
      <c r="AO238" t="s">
        <v>1082</v>
      </c>
    </row>
    <row r="239" spans="1:41" hidden="1" x14ac:dyDescent="0.25">
      <c r="A239" s="28">
        <v>238</v>
      </c>
      <c r="B239" s="244">
        <v>30218</v>
      </c>
      <c r="C239" s="244" t="s">
        <v>64</v>
      </c>
      <c r="D239" s="103" t="s">
        <v>678</v>
      </c>
      <c r="E239" s="238" t="s">
        <v>805</v>
      </c>
      <c r="F239" s="103" t="s">
        <v>806</v>
      </c>
      <c r="G239" s="103" t="s">
        <v>13</v>
      </c>
      <c r="H239" s="118">
        <v>44930</v>
      </c>
      <c r="I239" s="103"/>
      <c r="J239" s="103" t="s">
        <v>58</v>
      </c>
      <c r="K239" s="438"/>
      <c r="L239" s="471"/>
      <c r="M239" s="438"/>
      <c r="N239" s="438"/>
      <c r="O239" s="106">
        <v>45478</v>
      </c>
      <c r="P239" s="106"/>
      <c r="Q239" s="105"/>
      <c r="R239" s="105" t="s">
        <v>1083</v>
      </c>
      <c r="S239" s="105" t="s">
        <v>1083</v>
      </c>
      <c r="T239" s="105" t="s">
        <v>1083</v>
      </c>
      <c r="U239" s="105" t="s">
        <v>1083</v>
      </c>
      <c r="V239" s="105"/>
      <c r="W239" s="105"/>
      <c r="X239" s="105" t="s">
        <v>1083</v>
      </c>
      <c r="Y239" s="105"/>
      <c r="Z239" s="438"/>
      <c r="AA239" s="438"/>
      <c r="AB239" s="105"/>
      <c r="AC239" s="105"/>
      <c r="AD239" s="105" t="s">
        <v>1083</v>
      </c>
      <c r="AE239" s="105" t="s">
        <v>662</v>
      </c>
      <c r="AF239" s="105" t="s">
        <v>1083</v>
      </c>
      <c r="AG239" s="508">
        <v>45479</v>
      </c>
      <c r="AH239" s="507"/>
      <c r="AI239" s="508">
        <v>45170</v>
      </c>
      <c r="AJ239" s="507" t="s">
        <v>1084</v>
      </c>
      <c r="AK239" s="187"/>
      <c r="AM239" s="143">
        <v>45570</v>
      </c>
    </row>
    <row r="240" spans="1:41" hidden="1" x14ac:dyDescent="0.25">
      <c r="A240" s="28">
        <v>239</v>
      </c>
      <c r="B240" s="244">
        <v>30218</v>
      </c>
      <c r="C240" s="244" t="s">
        <v>54</v>
      </c>
      <c r="D240" s="103" t="s">
        <v>678</v>
      </c>
      <c r="E240" s="238" t="s">
        <v>805</v>
      </c>
      <c r="F240" s="103" t="s">
        <v>806</v>
      </c>
      <c r="G240" s="103" t="s">
        <v>13</v>
      </c>
      <c r="H240" s="118">
        <v>44930</v>
      </c>
      <c r="I240" s="103"/>
      <c r="J240" s="103" t="s">
        <v>58</v>
      </c>
      <c r="K240" s="438"/>
      <c r="L240" s="471"/>
      <c r="M240" s="438"/>
      <c r="N240" s="438"/>
      <c r="O240" s="106">
        <v>45478</v>
      </c>
      <c r="P240" s="106"/>
      <c r="Q240" s="105"/>
      <c r="R240" s="105" t="s">
        <v>1000</v>
      </c>
      <c r="S240" s="105" t="s">
        <v>1000</v>
      </c>
      <c r="T240" s="105" t="s">
        <v>1000</v>
      </c>
      <c r="U240" s="105" t="s">
        <v>1000</v>
      </c>
      <c r="V240" s="105"/>
      <c r="W240" s="105"/>
      <c r="X240" s="105" t="s">
        <v>1000</v>
      </c>
      <c r="Y240" s="105"/>
      <c r="Z240" s="438"/>
      <c r="AA240" s="438"/>
      <c r="AB240" s="105"/>
      <c r="AC240" s="105"/>
      <c r="AD240" s="105" t="s">
        <v>1000</v>
      </c>
      <c r="AE240" s="105" t="s">
        <v>662</v>
      </c>
      <c r="AF240" s="105" t="s">
        <v>1000</v>
      </c>
      <c r="AG240" s="508">
        <v>45479</v>
      </c>
      <c r="AH240" s="507"/>
      <c r="AI240" s="508">
        <v>45170</v>
      </c>
      <c r="AJ240" s="507" t="s">
        <v>995</v>
      </c>
      <c r="AK240" s="187"/>
      <c r="AM240" s="143">
        <v>45570</v>
      </c>
    </row>
    <row r="241" spans="1:39" hidden="1" x14ac:dyDescent="0.25">
      <c r="A241" s="28">
        <v>240</v>
      </c>
      <c r="B241" s="512">
        <v>30598</v>
      </c>
      <c r="C241" s="244" t="s">
        <v>64</v>
      </c>
      <c r="D241" s="2" t="s">
        <v>1085</v>
      </c>
      <c r="E241" s="238" t="s">
        <v>805</v>
      </c>
      <c r="F241" s="103" t="s">
        <v>806</v>
      </c>
      <c r="G241" s="103" t="s">
        <v>13</v>
      </c>
      <c r="H241" s="647">
        <v>43050</v>
      </c>
      <c r="J241" s="103" t="s">
        <v>58</v>
      </c>
      <c r="O241" s="68">
        <v>45076</v>
      </c>
      <c r="R241" s="187" t="s">
        <v>1084</v>
      </c>
      <c r="W241" s="187" t="s">
        <v>1084</v>
      </c>
      <c r="AD241" s="187" t="s">
        <v>1084</v>
      </c>
      <c r="AE241" s="187" t="s">
        <v>1084</v>
      </c>
      <c r="AF241" s="187" t="s">
        <v>1084</v>
      </c>
      <c r="AG241" s="231">
        <v>45485</v>
      </c>
      <c r="AH241" s="187" t="s">
        <v>1084</v>
      </c>
      <c r="AI241" s="58" t="s">
        <v>814</v>
      </c>
      <c r="AJ241" s="187" t="s">
        <v>1084</v>
      </c>
      <c r="AK241" s="231">
        <v>45495</v>
      </c>
      <c r="AM241" s="143">
        <v>45538</v>
      </c>
    </row>
    <row r="242" spans="1:39" hidden="1" x14ac:dyDescent="0.25">
      <c r="A242" s="28">
        <v>241</v>
      </c>
      <c r="B242" s="512">
        <v>30598</v>
      </c>
      <c r="C242" s="244" t="s">
        <v>54</v>
      </c>
      <c r="D242" s="2" t="s">
        <v>1086</v>
      </c>
      <c r="E242" s="238" t="s">
        <v>805</v>
      </c>
      <c r="F242" s="103" t="s">
        <v>806</v>
      </c>
      <c r="G242" s="103" t="s">
        <v>13</v>
      </c>
      <c r="H242" s="647">
        <v>43050</v>
      </c>
      <c r="J242" s="103" t="s">
        <v>58</v>
      </c>
      <c r="R242" s="187" t="s">
        <v>995</v>
      </c>
      <c r="W242" s="187" t="s">
        <v>995</v>
      </c>
      <c r="AD242" s="187" t="s">
        <v>995</v>
      </c>
      <c r="AE242" s="187" t="s">
        <v>995</v>
      </c>
      <c r="AF242" s="187" t="s">
        <v>995</v>
      </c>
      <c r="AG242" s="231">
        <v>45485</v>
      </c>
      <c r="AH242" s="187" t="s">
        <v>995</v>
      </c>
      <c r="AI242" s="58" t="s">
        <v>814</v>
      </c>
      <c r="AJ242" s="187" t="s">
        <v>995</v>
      </c>
      <c r="AK242" s="231">
        <v>45495</v>
      </c>
      <c r="AM242" s="143">
        <v>45538</v>
      </c>
    </row>
    <row r="243" spans="1:39" ht="22.8" hidden="1" x14ac:dyDescent="0.25">
      <c r="A243" s="28">
        <v>242</v>
      </c>
      <c r="B243" s="20">
        <v>30548</v>
      </c>
      <c r="C243" s="27" t="s">
        <v>64</v>
      </c>
      <c r="D243" s="17" t="s">
        <v>1087</v>
      </c>
      <c r="E243" s="238" t="s">
        <v>805</v>
      </c>
      <c r="F243" s="103" t="s">
        <v>806</v>
      </c>
      <c r="G243" s="103" t="s">
        <v>13</v>
      </c>
      <c r="H243" s="19">
        <v>42884</v>
      </c>
      <c r="I243" s="3">
        <v>80</v>
      </c>
      <c r="J243" s="3" t="s">
        <v>58</v>
      </c>
      <c r="K243" s="37" t="s">
        <v>59</v>
      </c>
      <c r="L243" s="38">
        <v>44061</v>
      </c>
      <c r="M243" s="16" t="s">
        <v>60</v>
      </c>
      <c r="N243" s="33">
        <v>44175</v>
      </c>
      <c r="O243" s="33">
        <v>45483</v>
      </c>
      <c r="P243" s="33">
        <v>44769</v>
      </c>
      <c r="Q243" s="16"/>
      <c r="R243" s="16" t="s">
        <v>63</v>
      </c>
      <c r="S243" s="16"/>
      <c r="T243" s="16"/>
      <c r="U243" s="16"/>
      <c r="V243" s="33">
        <v>44769</v>
      </c>
      <c r="W243" s="33">
        <v>44769</v>
      </c>
      <c r="X243" s="16"/>
      <c r="Y243" s="16"/>
      <c r="Z243" s="432"/>
      <c r="AA243" s="432"/>
      <c r="AB243" s="24"/>
      <c r="AC243" s="24"/>
      <c r="AD243" s="282">
        <v>44599</v>
      </c>
      <c r="AE243" s="24" t="s">
        <v>63</v>
      </c>
      <c r="AF243" s="365" t="s">
        <v>63</v>
      </c>
      <c r="AG243" s="58" t="s">
        <v>63</v>
      </c>
      <c r="AH243" s="58" t="s">
        <v>63</v>
      </c>
      <c r="AI243" s="58" t="s">
        <v>814</v>
      </c>
      <c r="AJ243" s="58" t="s">
        <v>1088</v>
      </c>
      <c r="AK243" s="143">
        <v>45483</v>
      </c>
      <c r="AM243" s="143">
        <v>45589</v>
      </c>
    </row>
    <row r="244" spans="1:39" ht="22.8" hidden="1" x14ac:dyDescent="0.25">
      <c r="A244" s="28">
        <v>243</v>
      </c>
      <c r="B244" s="20">
        <v>30548</v>
      </c>
      <c r="C244" s="27" t="s">
        <v>54</v>
      </c>
      <c r="D244" s="17" t="s">
        <v>1089</v>
      </c>
      <c r="E244" s="238" t="s">
        <v>805</v>
      </c>
      <c r="F244" s="103" t="s">
        <v>806</v>
      </c>
      <c r="G244" s="103" t="s">
        <v>13</v>
      </c>
      <c r="H244" s="19">
        <v>42884</v>
      </c>
      <c r="I244" s="3">
        <v>78</v>
      </c>
      <c r="J244" s="3" t="s">
        <v>58</v>
      </c>
      <c r="K244" s="37" t="s">
        <v>59</v>
      </c>
      <c r="L244" s="38">
        <v>44061</v>
      </c>
      <c r="M244" s="16" t="s">
        <v>60</v>
      </c>
      <c r="N244" s="33">
        <v>44175</v>
      </c>
      <c r="O244" s="33">
        <v>45483</v>
      </c>
      <c r="P244" s="33">
        <v>44769</v>
      </c>
      <c r="Q244" s="16"/>
      <c r="R244" s="16" t="s">
        <v>63</v>
      </c>
      <c r="S244" s="16"/>
      <c r="T244" s="16"/>
      <c r="U244" s="16"/>
      <c r="V244" s="33">
        <v>44769</v>
      </c>
      <c r="W244" s="33">
        <v>44769</v>
      </c>
      <c r="X244" s="16"/>
      <c r="Y244" s="16"/>
      <c r="Z244" s="432"/>
      <c r="AA244" s="432"/>
      <c r="AB244" s="24"/>
      <c r="AC244" s="24"/>
      <c r="AD244" s="282">
        <v>44599</v>
      </c>
      <c r="AE244" s="24" t="s">
        <v>63</v>
      </c>
      <c r="AF244" s="365" t="s">
        <v>662</v>
      </c>
      <c r="AG244" s="58" t="s">
        <v>63</v>
      </c>
      <c r="AH244" s="58" t="s">
        <v>63</v>
      </c>
      <c r="AI244" s="58" t="s">
        <v>814</v>
      </c>
      <c r="AJ244" s="58" t="s">
        <v>689</v>
      </c>
      <c r="AK244" s="143">
        <v>45483</v>
      </c>
      <c r="AM244" s="143">
        <v>45589</v>
      </c>
    </row>
    <row r="245" spans="1:39" ht="22.8" hidden="1" x14ac:dyDescent="0.25">
      <c r="A245" s="28">
        <v>244</v>
      </c>
      <c r="B245" s="111">
        <v>30536</v>
      </c>
      <c r="C245" s="112" t="s">
        <v>64</v>
      </c>
      <c r="D245" s="510" t="s">
        <v>1090</v>
      </c>
      <c r="E245" s="1157" t="s">
        <v>805</v>
      </c>
      <c r="F245" s="134" t="s">
        <v>806</v>
      </c>
      <c r="G245" s="134" t="s">
        <v>13</v>
      </c>
      <c r="H245" s="114">
        <v>42831</v>
      </c>
      <c r="I245" s="115">
        <v>66</v>
      </c>
      <c r="J245" s="115" t="s">
        <v>58</v>
      </c>
      <c r="K245" s="116" t="s">
        <v>59</v>
      </c>
      <c r="L245" s="406">
        <v>44059</v>
      </c>
      <c r="M245" s="117" t="s">
        <v>60</v>
      </c>
      <c r="N245" s="406">
        <v>44226</v>
      </c>
      <c r="O245" s="406"/>
      <c r="P245" s="406">
        <v>44717</v>
      </c>
      <c r="Q245" s="117" t="s">
        <v>62</v>
      </c>
      <c r="R245" s="117" t="s">
        <v>62</v>
      </c>
      <c r="S245" s="117"/>
      <c r="T245" s="117"/>
      <c r="U245" s="117"/>
      <c r="V245" s="406">
        <v>44717</v>
      </c>
      <c r="W245" s="406">
        <v>44717</v>
      </c>
      <c r="X245" s="117"/>
      <c r="Y245" s="117"/>
      <c r="Z245" s="446"/>
      <c r="AA245" s="446"/>
      <c r="AB245" s="186"/>
      <c r="AC245" s="186"/>
      <c r="AD245" s="774">
        <v>44692</v>
      </c>
      <c r="AE245" s="24" t="s">
        <v>63</v>
      </c>
      <c r="AF245" s="775" t="s">
        <v>662</v>
      </c>
      <c r="AG245" s="616">
        <v>45472</v>
      </c>
      <c r="AH245" s="616">
        <v>45472</v>
      </c>
      <c r="AI245" s="511" t="s">
        <v>814</v>
      </c>
      <c r="AJ245" s="511" t="s">
        <v>63</v>
      </c>
      <c r="AK245" s="235">
        <v>45472</v>
      </c>
      <c r="AL245" s="1369">
        <v>45472</v>
      </c>
      <c r="AM245" s="24" t="s">
        <v>1018</v>
      </c>
    </row>
    <row r="246" spans="1:39" ht="22.8" hidden="1" x14ac:dyDescent="0.25">
      <c r="A246" s="28">
        <v>245</v>
      </c>
      <c r="B246" s="229">
        <v>30536</v>
      </c>
      <c r="C246" s="227" t="s">
        <v>54</v>
      </c>
      <c r="D246" s="244" t="s">
        <v>1091</v>
      </c>
      <c r="E246" s="229" t="s">
        <v>805</v>
      </c>
      <c r="F246" s="103" t="s">
        <v>806</v>
      </c>
      <c r="G246" s="103" t="s">
        <v>13</v>
      </c>
      <c r="H246" s="230">
        <v>42831</v>
      </c>
      <c r="I246" s="103">
        <v>67</v>
      </c>
      <c r="J246" s="103" t="s">
        <v>58</v>
      </c>
      <c r="K246" s="108" t="s">
        <v>59</v>
      </c>
      <c r="L246" s="106">
        <v>44059</v>
      </c>
      <c r="M246" s="105" t="s">
        <v>60</v>
      </c>
      <c r="N246" s="106">
        <v>44226</v>
      </c>
      <c r="O246" s="106"/>
      <c r="P246" s="106">
        <v>44717</v>
      </c>
      <c r="Q246" s="105" t="s">
        <v>68</v>
      </c>
      <c r="R246" s="105" t="s">
        <v>68</v>
      </c>
      <c r="S246" s="105"/>
      <c r="T246" s="105"/>
      <c r="U246" s="105"/>
      <c r="V246" s="106">
        <v>44717</v>
      </c>
      <c r="W246" s="106">
        <v>44717</v>
      </c>
      <c r="X246" s="105"/>
      <c r="Y246" s="105"/>
      <c r="Z246" s="438"/>
      <c r="AA246" s="438"/>
      <c r="AB246" s="187"/>
      <c r="AC246" s="187"/>
      <c r="AD246" s="1168">
        <v>44692</v>
      </c>
      <c r="AE246" s="24" t="s">
        <v>63</v>
      </c>
      <c r="AF246" s="507" t="s">
        <v>662</v>
      </c>
      <c r="AG246" s="508">
        <v>45472</v>
      </c>
      <c r="AH246" s="508">
        <v>45472</v>
      </c>
      <c r="AI246" s="507" t="s">
        <v>814</v>
      </c>
      <c r="AJ246" s="507" t="s">
        <v>63</v>
      </c>
      <c r="AK246" s="1258">
        <v>45472</v>
      </c>
      <c r="AL246" s="1258">
        <v>45472</v>
      </c>
      <c r="AM246" s="1389"/>
    </row>
    <row r="247" spans="1:39" ht="14.4" hidden="1" x14ac:dyDescent="0.25">
      <c r="A247" s="28">
        <v>246</v>
      </c>
      <c r="B247" s="1159">
        <v>39225</v>
      </c>
      <c r="C247" s="263" t="s">
        <v>64</v>
      </c>
      <c r="D247" s="1160" t="s">
        <v>1092</v>
      </c>
      <c r="E247" s="238" t="s">
        <v>1093</v>
      </c>
      <c r="F247" s="258" t="s">
        <v>933</v>
      </c>
      <c r="G247" s="258" t="s">
        <v>13</v>
      </c>
      <c r="H247" s="239"/>
      <c r="I247" s="239"/>
      <c r="J247" s="1161" t="s">
        <v>58</v>
      </c>
      <c r="K247" s="462"/>
      <c r="L247" s="776"/>
      <c r="M247" s="462"/>
      <c r="N247" s="462"/>
      <c r="O247" s="900"/>
      <c r="P247" s="900"/>
      <c r="Q247" s="241"/>
      <c r="R247" s="917" t="s">
        <v>75</v>
      </c>
      <c r="S247" s="241"/>
      <c r="T247" s="917" t="s">
        <v>75</v>
      </c>
      <c r="U247" s="142" t="s">
        <v>68</v>
      </c>
      <c r="V247" s="917" t="s">
        <v>75</v>
      </c>
      <c r="W247" s="917" t="s">
        <v>75</v>
      </c>
      <c r="X247" s="917" t="s">
        <v>75</v>
      </c>
      <c r="Y247" s="241"/>
      <c r="AB247" s="241"/>
      <c r="AC247" s="241"/>
      <c r="AD247" s="1162" t="s">
        <v>75</v>
      </c>
      <c r="AE247" s="1163"/>
      <c r="AF247" s="1164" t="s">
        <v>75</v>
      </c>
      <c r="AG247" s="1165">
        <v>45469</v>
      </c>
      <c r="AH247" s="1166"/>
      <c r="AI247" s="1167">
        <v>45270</v>
      </c>
      <c r="AJ247" s="1278" t="s">
        <v>206</v>
      </c>
      <c r="AK247" s="1265"/>
      <c r="AL247" s="187"/>
      <c r="AM247" s="187" t="s">
        <v>1094</v>
      </c>
    </row>
    <row r="248" spans="1:39" ht="14.4" hidden="1" x14ac:dyDescent="0.25">
      <c r="A248" s="28">
        <v>247</v>
      </c>
      <c r="B248" s="617">
        <v>39225</v>
      </c>
      <c r="C248" s="17" t="s">
        <v>54</v>
      </c>
      <c r="D248" s="762" t="s">
        <v>1095</v>
      </c>
      <c r="E248" s="20" t="s">
        <v>1093</v>
      </c>
      <c r="F248" s="29" t="s">
        <v>933</v>
      </c>
      <c r="G248" s="29" t="s">
        <v>13</v>
      </c>
      <c r="H248" s="3"/>
      <c r="I248" s="3"/>
      <c r="J248" s="619" t="s">
        <v>58</v>
      </c>
      <c r="K248" s="432"/>
      <c r="L248" s="443"/>
      <c r="M248" s="432"/>
      <c r="N248" s="432"/>
      <c r="O248" s="33"/>
      <c r="P248" s="33"/>
      <c r="Q248" s="16"/>
      <c r="R248" s="615" t="s">
        <v>75</v>
      </c>
      <c r="S248" s="16"/>
      <c r="T248" s="615" t="s">
        <v>75</v>
      </c>
      <c r="U248" s="32" t="s">
        <v>62</v>
      </c>
      <c r="V248" s="615" t="s">
        <v>75</v>
      </c>
      <c r="W248" s="615" t="s">
        <v>75</v>
      </c>
      <c r="X248" s="615" t="s">
        <v>75</v>
      </c>
      <c r="Y248" s="16"/>
      <c r="AB248" s="16"/>
      <c r="AC248" s="16"/>
      <c r="AD248" s="793" t="s">
        <v>75</v>
      </c>
      <c r="AE248" s="792"/>
      <c r="AF248" s="796" t="s">
        <v>75</v>
      </c>
      <c r="AG248" s="915">
        <v>45469</v>
      </c>
      <c r="AH248" s="795"/>
      <c r="AI248" s="790">
        <v>45270</v>
      </c>
      <c r="AJ248" s="1268" t="s">
        <v>206</v>
      </c>
      <c r="AK248" s="1265"/>
      <c r="AL248" s="187"/>
      <c r="AM248" s="187" t="s">
        <v>1094</v>
      </c>
    </row>
    <row r="249" spans="1:39" ht="13.8" hidden="1" x14ac:dyDescent="0.25">
      <c r="A249" s="28">
        <v>248</v>
      </c>
      <c r="B249" s="617">
        <v>39223</v>
      </c>
      <c r="C249" s="17" t="s">
        <v>64</v>
      </c>
      <c r="D249" s="762" t="s">
        <v>1096</v>
      </c>
      <c r="E249" s="20" t="s">
        <v>1093</v>
      </c>
      <c r="F249" s="29" t="s">
        <v>933</v>
      </c>
      <c r="G249" s="29" t="s">
        <v>13</v>
      </c>
      <c r="H249" s="3"/>
      <c r="I249" s="3"/>
      <c r="J249" s="619" t="s">
        <v>58</v>
      </c>
      <c r="K249" s="432"/>
      <c r="L249" s="443"/>
      <c r="M249" s="432"/>
      <c r="N249" s="432"/>
      <c r="O249" s="33"/>
      <c r="P249" s="33"/>
      <c r="Q249" s="16"/>
      <c r="R249" s="615" t="s">
        <v>75</v>
      </c>
      <c r="S249" s="16"/>
      <c r="T249" s="615" t="s">
        <v>75</v>
      </c>
      <c r="U249" s="32" t="s">
        <v>68</v>
      </c>
      <c r="V249" s="615" t="s">
        <v>75</v>
      </c>
      <c r="W249" s="615" t="s">
        <v>75</v>
      </c>
      <c r="X249" s="615" t="s">
        <v>75</v>
      </c>
      <c r="Y249" s="16"/>
      <c r="AB249" s="16"/>
      <c r="AC249" s="16"/>
      <c r="AD249" s="793" t="s">
        <v>75</v>
      </c>
      <c r="AE249" s="792"/>
      <c r="AF249" s="796" t="s">
        <v>75</v>
      </c>
      <c r="AG249" s="790">
        <v>45470</v>
      </c>
      <c r="AH249" s="795"/>
      <c r="AI249" s="790">
        <v>45278</v>
      </c>
      <c r="AJ249" s="1268" t="s">
        <v>206</v>
      </c>
      <c r="AK249" s="1265"/>
      <c r="AL249" s="187"/>
      <c r="AM249" s="187" t="s">
        <v>1097</v>
      </c>
    </row>
    <row r="250" spans="1:39" ht="13.8" hidden="1" x14ac:dyDescent="0.25">
      <c r="A250" s="28">
        <v>249</v>
      </c>
      <c r="B250" s="617">
        <v>39223</v>
      </c>
      <c r="C250" s="17" t="s">
        <v>54</v>
      </c>
      <c r="D250" s="762" t="s">
        <v>1098</v>
      </c>
      <c r="E250" s="20" t="s">
        <v>1093</v>
      </c>
      <c r="F250" s="29" t="s">
        <v>933</v>
      </c>
      <c r="G250" s="29" t="s">
        <v>13</v>
      </c>
      <c r="H250" s="3"/>
      <c r="I250" s="3"/>
      <c r="J250" s="619" t="s">
        <v>58</v>
      </c>
      <c r="K250" s="432"/>
      <c r="L250" s="443"/>
      <c r="M250" s="432"/>
      <c r="N250" s="432"/>
      <c r="O250" s="33"/>
      <c r="P250" s="33"/>
      <c r="Q250" s="16"/>
      <c r="R250" s="615" t="s">
        <v>75</v>
      </c>
      <c r="S250" s="16"/>
      <c r="T250" s="615" t="s">
        <v>75</v>
      </c>
      <c r="U250" s="32" t="s">
        <v>62</v>
      </c>
      <c r="V250" s="615" t="s">
        <v>75</v>
      </c>
      <c r="W250" s="615" t="s">
        <v>75</v>
      </c>
      <c r="X250" s="615" t="s">
        <v>75</v>
      </c>
      <c r="Y250" s="16"/>
      <c r="AB250" s="16"/>
      <c r="AC250" s="16"/>
      <c r="AD250" s="793" t="s">
        <v>75</v>
      </c>
      <c r="AE250" s="792"/>
      <c r="AF250" s="796" t="s">
        <v>75</v>
      </c>
      <c r="AG250" s="790">
        <v>45470</v>
      </c>
      <c r="AH250" s="795"/>
      <c r="AI250" s="790">
        <v>45278</v>
      </c>
      <c r="AJ250" s="1268" t="s">
        <v>206</v>
      </c>
      <c r="AK250" s="1265"/>
      <c r="AL250" s="187"/>
      <c r="AM250" s="187" t="s">
        <v>1097</v>
      </c>
    </row>
    <row r="251" spans="1:39" ht="13.8" hidden="1" x14ac:dyDescent="0.25">
      <c r="A251" s="28">
        <v>250</v>
      </c>
      <c r="B251" s="617">
        <v>39249</v>
      </c>
      <c r="C251" s="17" t="s">
        <v>64</v>
      </c>
      <c r="D251" s="762" t="s">
        <v>1099</v>
      </c>
      <c r="E251" s="20" t="s">
        <v>989</v>
      </c>
      <c r="F251" s="29" t="s">
        <v>933</v>
      </c>
      <c r="G251" s="29" t="s">
        <v>13</v>
      </c>
      <c r="H251" s="3"/>
      <c r="I251" s="3"/>
      <c r="J251" s="619" t="s">
        <v>58</v>
      </c>
      <c r="K251" s="432"/>
      <c r="L251" s="443"/>
      <c r="M251" s="432"/>
      <c r="N251" s="432"/>
      <c r="O251" s="33"/>
      <c r="P251" s="33"/>
      <c r="Q251" s="16"/>
      <c r="R251" s="615" t="s">
        <v>75</v>
      </c>
      <c r="S251" s="16"/>
      <c r="T251" s="615" t="s">
        <v>68</v>
      </c>
      <c r="U251" s="32" t="s">
        <v>68</v>
      </c>
      <c r="V251" s="615" t="s">
        <v>75</v>
      </c>
      <c r="W251" s="16" t="s">
        <v>68</v>
      </c>
      <c r="X251" s="615" t="s">
        <v>75</v>
      </c>
      <c r="Y251" s="16"/>
      <c r="AB251" s="16"/>
      <c r="AC251" s="16"/>
      <c r="AD251" s="793" t="s">
        <v>75</v>
      </c>
      <c r="AE251" s="793" t="s">
        <v>75</v>
      </c>
      <c r="AF251" s="796" t="s">
        <v>75</v>
      </c>
      <c r="AG251" s="790">
        <v>45490</v>
      </c>
      <c r="AH251" s="790">
        <v>45284</v>
      </c>
      <c r="AI251" s="790">
        <v>45284</v>
      </c>
      <c r="AJ251" s="1268" t="s">
        <v>206</v>
      </c>
      <c r="AK251" s="1265"/>
      <c r="AL251" s="187"/>
      <c r="AM251" s="187" t="s">
        <v>63</v>
      </c>
    </row>
    <row r="252" spans="1:39" ht="13.8" hidden="1" x14ac:dyDescent="0.25">
      <c r="A252" s="28">
        <v>251</v>
      </c>
      <c r="B252" s="617">
        <v>39249</v>
      </c>
      <c r="C252" s="17" t="s">
        <v>54</v>
      </c>
      <c r="D252" s="762" t="s">
        <v>1100</v>
      </c>
      <c r="E252" s="20" t="s">
        <v>989</v>
      </c>
      <c r="F252" s="29" t="s">
        <v>933</v>
      </c>
      <c r="G252" s="29" t="s">
        <v>13</v>
      </c>
      <c r="H252" s="3"/>
      <c r="I252" s="3"/>
      <c r="J252" s="619" t="s">
        <v>58</v>
      </c>
      <c r="K252" s="432"/>
      <c r="L252" s="443"/>
      <c r="M252" s="432"/>
      <c r="N252" s="432"/>
      <c r="O252" s="33"/>
      <c r="P252" s="33"/>
      <c r="Q252" s="16"/>
      <c r="R252" s="615" t="s">
        <v>75</v>
      </c>
      <c r="S252" s="16"/>
      <c r="T252" s="615" t="s">
        <v>62</v>
      </c>
      <c r="U252" s="32" t="s">
        <v>62</v>
      </c>
      <c r="V252" s="615" t="s">
        <v>75</v>
      </c>
      <c r="W252" s="16" t="s">
        <v>62</v>
      </c>
      <c r="X252" s="615" t="s">
        <v>75</v>
      </c>
      <c r="Y252" s="16"/>
      <c r="AB252" s="16"/>
      <c r="AC252" s="16"/>
      <c r="AD252" s="793" t="s">
        <v>75</v>
      </c>
      <c r="AE252" s="793" t="s">
        <v>75</v>
      </c>
      <c r="AF252" s="796" t="s">
        <v>75</v>
      </c>
      <c r="AG252" s="790">
        <v>45490</v>
      </c>
      <c r="AH252" s="790">
        <v>45284</v>
      </c>
      <c r="AI252" s="790">
        <v>45284</v>
      </c>
      <c r="AJ252" s="1268" t="s">
        <v>206</v>
      </c>
      <c r="AK252" s="1265"/>
      <c r="AL252" s="187"/>
      <c r="AM252" s="187" t="s">
        <v>63</v>
      </c>
    </row>
    <row r="253" spans="1:39" ht="13.8" hidden="1" x14ac:dyDescent="0.25">
      <c r="A253" s="28">
        <v>252</v>
      </c>
      <c r="B253" s="617">
        <v>37430</v>
      </c>
      <c r="C253" s="17" t="s">
        <v>64</v>
      </c>
      <c r="D253" s="762" t="s">
        <v>1101</v>
      </c>
      <c r="E253" s="20" t="s">
        <v>1093</v>
      </c>
      <c r="F253" s="29" t="s">
        <v>1102</v>
      </c>
      <c r="G253" s="29" t="s">
        <v>13</v>
      </c>
      <c r="H253" s="3"/>
      <c r="I253" s="3"/>
      <c r="J253" s="619" t="s">
        <v>58</v>
      </c>
      <c r="K253" s="432"/>
      <c r="L253" s="443"/>
      <c r="M253" s="432"/>
      <c r="N253" s="432"/>
      <c r="O253" s="33"/>
      <c r="P253" s="33"/>
      <c r="Q253" s="16"/>
      <c r="R253" s="31" t="s">
        <v>1103</v>
      </c>
      <c r="S253" s="16"/>
      <c r="T253" s="31" t="s">
        <v>1103</v>
      </c>
      <c r="U253" s="32" t="s">
        <v>68</v>
      </c>
      <c r="V253" s="31" t="s">
        <v>1103</v>
      </c>
      <c r="W253" s="32"/>
      <c r="X253" s="31" t="s">
        <v>1103</v>
      </c>
      <c r="Y253" s="16"/>
      <c r="AA253" s="276" t="s">
        <v>68</v>
      </c>
      <c r="AB253" s="16"/>
      <c r="AC253" s="16"/>
      <c r="AD253" s="794" t="s">
        <v>68</v>
      </c>
      <c r="AE253" s="792"/>
      <c r="AF253" s="796" t="s">
        <v>75</v>
      </c>
      <c r="AG253" s="797">
        <v>45464</v>
      </c>
      <c r="AH253" s="797" t="s">
        <v>1104</v>
      </c>
      <c r="AI253" s="790">
        <v>45345</v>
      </c>
      <c r="AJ253" s="1268" t="s">
        <v>206</v>
      </c>
      <c r="AK253" s="1266">
        <v>45462</v>
      </c>
      <c r="AL253" s="187"/>
      <c r="AM253" s="187" t="s">
        <v>1105</v>
      </c>
    </row>
    <row r="254" spans="1:39" ht="13.8" hidden="1" x14ac:dyDescent="0.25">
      <c r="A254" s="28">
        <v>253</v>
      </c>
      <c r="B254" s="617">
        <v>37430</v>
      </c>
      <c r="C254" s="17" t="s">
        <v>54</v>
      </c>
      <c r="D254" s="762" t="s">
        <v>1106</v>
      </c>
      <c r="E254" s="20" t="s">
        <v>1093</v>
      </c>
      <c r="F254" s="29" t="s">
        <v>1102</v>
      </c>
      <c r="G254" s="29" t="s">
        <v>13</v>
      </c>
      <c r="H254" s="3"/>
      <c r="I254" s="3"/>
      <c r="J254" s="619" t="s">
        <v>58</v>
      </c>
      <c r="K254" s="432"/>
      <c r="L254" s="443"/>
      <c r="M254" s="432"/>
      <c r="N254" s="432"/>
      <c r="O254" s="33"/>
      <c r="P254" s="33"/>
      <c r="Q254" s="16"/>
      <c r="R254" s="31" t="s">
        <v>1103</v>
      </c>
      <c r="S254" s="16"/>
      <c r="T254" s="31" t="s">
        <v>1103</v>
      </c>
      <c r="U254" s="32" t="s">
        <v>62</v>
      </c>
      <c r="V254" s="31" t="s">
        <v>1103</v>
      </c>
      <c r="W254" s="32"/>
      <c r="X254" s="31" t="s">
        <v>1103</v>
      </c>
      <c r="Y254" s="16"/>
      <c r="AA254" s="276" t="s">
        <v>62</v>
      </c>
      <c r="AB254" s="16"/>
      <c r="AC254" s="16"/>
      <c r="AD254" s="794" t="s">
        <v>62</v>
      </c>
      <c r="AE254" s="792"/>
      <c r="AF254" s="796" t="s">
        <v>75</v>
      </c>
      <c r="AG254" s="797">
        <v>45464</v>
      </c>
      <c r="AH254" s="797" t="s">
        <v>1104</v>
      </c>
      <c r="AI254" s="790">
        <v>45345</v>
      </c>
      <c r="AJ254" s="1268" t="s">
        <v>206</v>
      </c>
      <c r="AK254" s="1266">
        <v>45462</v>
      </c>
      <c r="AL254" s="187"/>
      <c r="AM254" s="187" t="s">
        <v>1105</v>
      </c>
    </row>
    <row r="255" spans="1:39" ht="13.8" hidden="1" x14ac:dyDescent="0.25">
      <c r="A255" s="28">
        <v>254</v>
      </c>
      <c r="B255" s="618">
        <v>37612</v>
      </c>
      <c r="C255" s="17" t="s">
        <v>64</v>
      </c>
      <c r="D255" s="762" t="s">
        <v>1107</v>
      </c>
      <c r="E255" s="20" t="s">
        <v>1093</v>
      </c>
      <c r="F255" s="29" t="s">
        <v>933</v>
      </c>
      <c r="G255" s="29" t="s">
        <v>13</v>
      </c>
      <c r="H255" s="3"/>
      <c r="I255" s="3"/>
      <c r="J255" s="619" t="s">
        <v>58</v>
      </c>
      <c r="K255" s="432"/>
      <c r="L255" s="443"/>
      <c r="M255" s="432"/>
      <c r="N255" s="432"/>
      <c r="O255" s="33"/>
      <c r="P255" s="33"/>
      <c r="Q255" s="16"/>
      <c r="R255" s="615" t="s">
        <v>75</v>
      </c>
      <c r="S255" s="16"/>
      <c r="T255" s="31" t="s">
        <v>1103</v>
      </c>
      <c r="U255" s="32" t="s">
        <v>68</v>
      </c>
      <c r="V255" s="31" t="s">
        <v>1103</v>
      </c>
      <c r="W255" s="16" t="s">
        <v>68</v>
      </c>
      <c r="X255" s="31" t="s">
        <v>1103</v>
      </c>
      <c r="Y255" s="16"/>
      <c r="AB255" s="16"/>
      <c r="AC255" s="16"/>
      <c r="AD255" s="793" t="s">
        <v>75</v>
      </c>
      <c r="AE255" s="793" t="s">
        <v>75</v>
      </c>
      <c r="AF255" s="796" t="s">
        <v>75</v>
      </c>
      <c r="AG255" s="790"/>
      <c r="AH255" s="790">
        <v>45245</v>
      </c>
      <c r="AI255" s="790">
        <v>45261</v>
      </c>
      <c r="AJ255" s="1268" t="s">
        <v>206</v>
      </c>
      <c r="AK255" s="1265"/>
      <c r="AL255" s="187"/>
      <c r="AM255" s="187" t="s">
        <v>1108</v>
      </c>
    </row>
    <row r="256" spans="1:39" ht="13.8" hidden="1" x14ac:dyDescent="0.25">
      <c r="A256" s="28">
        <v>255</v>
      </c>
      <c r="B256" s="618">
        <v>37612</v>
      </c>
      <c r="C256" s="17" t="s">
        <v>54</v>
      </c>
      <c r="D256" s="762" t="s">
        <v>1109</v>
      </c>
      <c r="E256" s="20" t="s">
        <v>1093</v>
      </c>
      <c r="F256" s="29" t="s">
        <v>933</v>
      </c>
      <c r="G256" s="29" t="s">
        <v>13</v>
      </c>
      <c r="H256" s="3"/>
      <c r="I256" s="3"/>
      <c r="J256" s="619" t="s">
        <v>58</v>
      </c>
      <c r="K256" s="432"/>
      <c r="L256" s="443"/>
      <c r="M256" s="432"/>
      <c r="N256" s="432"/>
      <c r="O256" s="33"/>
      <c r="P256" s="33"/>
      <c r="Q256" s="16"/>
      <c r="R256" s="615" t="s">
        <v>75</v>
      </c>
      <c r="S256" s="16"/>
      <c r="T256" s="31" t="s">
        <v>1103</v>
      </c>
      <c r="U256" s="32" t="s">
        <v>62</v>
      </c>
      <c r="V256" s="31" t="s">
        <v>1103</v>
      </c>
      <c r="W256" s="16" t="s">
        <v>62</v>
      </c>
      <c r="X256" s="31" t="s">
        <v>1103</v>
      </c>
      <c r="Y256" s="16"/>
      <c r="AB256" s="16"/>
      <c r="AC256" s="16"/>
      <c r="AD256" s="793" t="s">
        <v>75</v>
      </c>
      <c r="AE256" s="793" t="s">
        <v>75</v>
      </c>
      <c r="AF256" s="796" t="s">
        <v>75</v>
      </c>
      <c r="AG256" s="790"/>
      <c r="AH256" s="790">
        <v>45245</v>
      </c>
      <c r="AI256" s="790">
        <v>45261</v>
      </c>
      <c r="AJ256" s="1268" t="s">
        <v>206</v>
      </c>
      <c r="AK256" s="1265"/>
      <c r="AL256" s="187"/>
      <c r="AM256" s="187" t="s">
        <v>1108</v>
      </c>
    </row>
    <row r="257" spans="1:39" ht="13.8" hidden="1" x14ac:dyDescent="0.25">
      <c r="A257" s="28">
        <v>256</v>
      </c>
      <c r="B257" s="618">
        <v>37613</v>
      </c>
      <c r="C257" s="17" t="s">
        <v>64</v>
      </c>
      <c r="D257" s="762" t="s">
        <v>1110</v>
      </c>
      <c r="E257" s="20" t="s">
        <v>1093</v>
      </c>
      <c r="F257" s="29" t="s">
        <v>933</v>
      </c>
      <c r="G257" s="29" t="s">
        <v>13</v>
      </c>
      <c r="H257" s="3"/>
      <c r="I257" s="3"/>
      <c r="J257" s="619" t="s">
        <v>58</v>
      </c>
      <c r="K257" s="432"/>
      <c r="L257" s="443"/>
      <c r="M257" s="432"/>
      <c r="N257" s="432"/>
      <c r="O257" s="33"/>
      <c r="P257" s="33"/>
      <c r="Q257" s="16"/>
      <c r="R257" s="615" t="s">
        <v>75</v>
      </c>
      <c r="S257" s="16"/>
      <c r="T257" s="31" t="s">
        <v>1103</v>
      </c>
      <c r="U257" s="32" t="s">
        <v>68</v>
      </c>
      <c r="V257" s="31" t="s">
        <v>1103</v>
      </c>
      <c r="W257" s="16" t="s">
        <v>68</v>
      </c>
      <c r="X257" s="31" t="s">
        <v>1103</v>
      </c>
      <c r="Y257" s="16"/>
      <c r="AB257" s="16"/>
      <c r="AC257" s="16"/>
      <c r="AD257" s="793" t="s">
        <v>75</v>
      </c>
      <c r="AE257" s="793" t="s">
        <v>75</v>
      </c>
      <c r="AF257" s="796" t="s">
        <v>75</v>
      </c>
      <c r="AG257" s="790">
        <v>45471</v>
      </c>
      <c r="AH257" s="790">
        <v>45296</v>
      </c>
      <c r="AI257" s="790">
        <v>45296</v>
      </c>
      <c r="AJ257" s="1268" t="s">
        <v>206</v>
      </c>
      <c r="AK257" s="1265"/>
      <c r="AL257" s="187"/>
      <c r="AM257" s="187" t="s">
        <v>1111</v>
      </c>
    </row>
    <row r="258" spans="1:39" ht="13.8" hidden="1" x14ac:dyDescent="0.25">
      <c r="A258" s="28">
        <v>257</v>
      </c>
      <c r="B258" s="618">
        <v>37613</v>
      </c>
      <c r="C258" s="17" t="s">
        <v>54</v>
      </c>
      <c r="D258" s="762" t="s">
        <v>1112</v>
      </c>
      <c r="E258" s="20" t="s">
        <v>1093</v>
      </c>
      <c r="F258" s="29" t="s">
        <v>933</v>
      </c>
      <c r="G258" s="29" t="s">
        <v>13</v>
      </c>
      <c r="H258" s="3"/>
      <c r="I258" s="3"/>
      <c r="J258" s="619" t="s">
        <v>58</v>
      </c>
      <c r="K258" s="432"/>
      <c r="L258" s="443"/>
      <c r="M258" s="432"/>
      <c r="N258" s="432"/>
      <c r="O258" s="33"/>
      <c r="P258" s="33"/>
      <c r="Q258" s="16"/>
      <c r="R258" s="615" t="s">
        <v>75</v>
      </c>
      <c r="S258" s="16"/>
      <c r="T258" s="31" t="s">
        <v>1103</v>
      </c>
      <c r="U258" s="32" t="s">
        <v>62</v>
      </c>
      <c r="V258" s="31" t="s">
        <v>1103</v>
      </c>
      <c r="W258" s="16" t="s">
        <v>62</v>
      </c>
      <c r="X258" s="31" t="s">
        <v>1103</v>
      </c>
      <c r="Y258" s="16"/>
      <c r="AB258" s="16"/>
      <c r="AC258" s="16"/>
      <c r="AD258" s="793" t="s">
        <v>75</v>
      </c>
      <c r="AE258" s="793" t="s">
        <v>75</v>
      </c>
      <c r="AF258" s="796" t="s">
        <v>75</v>
      </c>
      <c r="AG258" s="790">
        <v>45471</v>
      </c>
      <c r="AH258" s="790">
        <v>45296</v>
      </c>
      <c r="AI258" s="790">
        <v>45296</v>
      </c>
      <c r="AJ258" s="1268" t="s">
        <v>206</v>
      </c>
      <c r="AK258" s="1265"/>
      <c r="AL258" s="187"/>
      <c r="AM258" s="187" t="s">
        <v>1111</v>
      </c>
    </row>
    <row r="259" spans="1:39" hidden="1" x14ac:dyDescent="0.25">
      <c r="A259" s="28">
        <v>258</v>
      </c>
      <c r="B259" s="576">
        <v>30589</v>
      </c>
      <c r="C259" s="577" t="s">
        <v>64</v>
      </c>
      <c r="D259" s="578" t="s">
        <v>1113</v>
      </c>
      <c r="E259" s="238" t="s">
        <v>862</v>
      </c>
      <c r="F259" s="578" t="s">
        <v>1114</v>
      </c>
      <c r="G259" s="578" t="s">
        <v>13</v>
      </c>
      <c r="H259" s="579">
        <v>43004</v>
      </c>
      <c r="I259" s="580">
        <v>92</v>
      </c>
      <c r="J259" s="581" t="s">
        <v>58</v>
      </c>
      <c r="K259" s="582" t="s">
        <v>680</v>
      </c>
      <c r="L259" s="583">
        <v>44718</v>
      </c>
      <c r="M259" s="582" t="s">
        <v>60</v>
      </c>
      <c r="N259" s="583">
        <v>44718</v>
      </c>
      <c r="O259" s="743" t="s">
        <v>1115</v>
      </c>
      <c r="P259" s="584">
        <v>44718</v>
      </c>
      <c r="Q259" s="581"/>
      <c r="R259" s="581" t="s">
        <v>68</v>
      </c>
      <c r="S259" s="581" t="s">
        <v>68</v>
      </c>
      <c r="T259" s="581" t="s">
        <v>68</v>
      </c>
      <c r="U259" s="581" t="s">
        <v>68</v>
      </c>
      <c r="V259" s="581"/>
      <c r="W259" s="581"/>
      <c r="X259" s="585" t="s">
        <v>1030</v>
      </c>
      <c r="Y259" s="581"/>
      <c r="Z259" s="491"/>
      <c r="AA259" s="552"/>
      <c r="AB259" s="581"/>
      <c r="AC259" s="581"/>
      <c r="AD259" s="584">
        <v>44718</v>
      </c>
      <c r="AE259" s="586">
        <v>45320</v>
      </c>
      <c r="AF259" s="586" t="s">
        <v>63</v>
      </c>
      <c r="AG259" s="789"/>
      <c r="AH259" s="778">
        <v>45423</v>
      </c>
      <c r="AI259" s="649" t="s">
        <v>63</v>
      </c>
      <c r="AJ259" s="242" t="s">
        <v>1116</v>
      </c>
      <c r="AK259" s="1066">
        <v>45509</v>
      </c>
      <c r="AM259" s="1066">
        <v>45616</v>
      </c>
    </row>
    <row r="260" spans="1:39" hidden="1" x14ac:dyDescent="0.25">
      <c r="A260" s="28">
        <v>259</v>
      </c>
      <c r="B260" s="339">
        <v>30589</v>
      </c>
      <c r="C260" s="340" t="s">
        <v>54</v>
      </c>
      <c r="D260" s="341" t="s">
        <v>1117</v>
      </c>
      <c r="E260" s="20" t="s">
        <v>862</v>
      </c>
      <c r="F260" s="335" t="s">
        <v>863</v>
      </c>
      <c r="G260" s="335" t="s">
        <v>13</v>
      </c>
      <c r="H260" s="342">
        <v>43004</v>
      </c>
      <c r="I260" s="314">
        <v>93</v>
      </c>
      <c r="J260" s="310" t="s">
        <v>58</v>
      </c>
      <c r="K260" s="491" t="s">
        <v>680</v>
      </c>
      <c r="L260" s="495">
        <v>44718</v>
      </c>
      <c r="M260" s="491" t="s">
        <v>60</v>
      </c>
      <c r="N260" s="495">
        <v>44718</v>
      </c>
      <c r="O260" s="743" t="s">
        <v>1115</v>
      </c>
      <c r="P260" s="343">
        <v>44718</v>
      </c>
      <c r="Q260" s="310"/>
      <c r="R260" s="310" t="s">
        <v>62</v>
      </c>
      <c r="S260" s="310" t="s">
        <v>62</v>
      </c>
      <c r="T260" s="310" t="s">
        <v>62</v>
      </c>
      <c r="U260" s="310" t="s">
        <v>62</v>
      </c>
      <c r="V260" s="310"/>
      <c r="W260" s="310"/>
      <c r="X260" s="338" t="s">
        <v>1030</v>
      </c>
      <c r="Y260" s="310"/>
      <c r="Z260" s="491"/>
      <c r="AA260" s="552"/>
      <c r="AB260" s="310"/>
      <c r="AC260" s="310"/>
      <c r="AD260" s="343">
        <v>44718</v>
      </c>
      <c r="AE260" s="344">
        <v>45320</v>
      </c>
      <c r="AF260" s="344" t="s">
        <v>63</v>
      </c>
      <c r="AG260" s="381"/>
      <c r="AH260" s="778">
        <v>45423</v>
      </c>
      <c r="AI260" s="58" t="s">
        <v>63</v>
      </c>
      <c r="AJ260" s="24" t="s">
        <v>1116</v>
      </c>
      <c r="AK260" s="143">
        <v>45509</v>
      </c>
      <c r="AM260" s="1066">
        <v>45616</v>
      </c>
    </row>
    <row r="261" spans="1:39" hidden="1" x14ac:dyDescent="0.25">
      <c r="A261" s="28">
        <v>260</v>
      </c>
      <c r="B261" s="339">
        <v>30590</v>
      </c>
      <c r="C261" s="340" t="s">
        <v>64</v>
      </c>
      <c r="D261" s="341" t="s">
        <v>1118</v>
      </c>
      <c r="E261" s="20" t="s">
        <v>862</v>
      </c>
      <c r="F261" s="335" t="s">
        <v>863</v>
      </c>
      <c r="G261" s="335" t="s">
        <v>13</v>
      </c>
      <c r="H261" s="342">
        <v>43024</v>
      </c>
      <c r="I261" s="314">
        <v>138</v>
      </c>
      <c r="J261" s="310" t="s">
        <v>58</v>
      </c>
      <c r="K261" s="491" t="s">
        <v>680</v>
      </c>
      <c r="L261" s="496">
        <v>44463</v>
      </c>
      <c r="M261" s="491" t="s">
        <v>60</v>
      </c>
      <c r="N261" s="496">
        <v>44463</v>
      </c>
      <c r="O261" s="743" t="s">
        <v>1115</v>
      </c>
      <c r="P261" s="343">
        <v>45682</v>
      </c>
      <c r="Q261" s="310"/>
      <c r="R261" s="310" t="s">
        <v>68</v>
      </c>
      <c r="S261" s="310" t="s">
        <v>68</v>
      </c>
      <c r="T261" s="310" t="s">
        <v>68</v>
      </c>
      <c r="U261" s="310" t="s">
        <v>68</v>
      </c>
      <c r="V261" s="310"/>
      <c r="W261" s="310"/>
      <c r="X261" s="338" t="s">
        <v>1030</v>
      </c>
      <c r="Y261" s="310"/>
      <c r="Z261" s="491"/>
      <c r="AA261" s="552"/>
      <c r="AB261" s="310"/>
      <c r="AC261" s="310"/>
      <c r="AD261" s="343">
        <v>44790</v>
      </c>
      <c r="AE261" s="314" t="s">
        <v>206</v>
      </c>
      <c r="AF261" s="343">
        <v>44790</v>
      </c>
      <c r="AH261" s="382">
        <v>45395</v>
      </c>
      <c r="AI261" s="381">
        <v>45385</v>
      </c>
      <c r="AJ261" s="24" t="s">
        <v>1116</v>
      </c>
      <c r="AK261" s="143">
        <v>45390</v>
      </c>
      <c r="AM261" s="143">
        <v>45646</v>
      </c>
    </row>
    <row r="262" spans="1:39" hidden="1" x14ac:dyDescent="0.25">
      <c r="A262" s="28">
        <v>261</v>
      </c>
      <c r="B262" s="339">
        <v>30590</v>
      </c>
      <c r="C262" s="340" t="s">
        <v>54</v>
      </c>
      <c r="D262" s="341" t="s">
        <v>1119</v>
      </c>
      <c r="E262" s="20" t="s">
        <v>862</v>
      </c>
      <c r="F262" s="335" t="s">
        <v>863</v>
      </c>
      <c r="G262" s="335" t="s">
        <v>13</v>
      </c>
      <c r="H262" s="342">
        <v>43024</v>
      </c>
      <c r="I262" s="314">
        <v>140</v>
      </c>
      <c r="J262" s="310" t="s">
        <v>58</v>
      </c>
      <c r="K262" s="491" t="s">
        <v>680</v>
      </c>
      <c r="L262" s="496">
        <v>44463</v>
      </c>
      <c r="M262" s="491" t="s">
        <v>60</v>
      </c>
      <c r="N262" s="496">
        <v>44463</v>
      </c>
      <c r="O262" s="743" t="s">
        <v>1115</v>
      </c>
      <c r="P262" s="343">
        <v>45682</v>
      </c>
      <c r="Q262" s="310"/>
      <c r="R262" s="310" t="s">
        <v>62</v>
      </c>
      <c r="S262" s="310" t="s">
        <v>62</v>
      </c>
      <c r="T262" s="310" t="s">
        <v>62</v>
      </c>
      <c r="U262" s="310" t="s">
        <v>62</v>
      </c>
      <c r="V262" s="310"/>
      <c r="W262" s="310"/>
      <c r="X262" s="338" t="s">
        <v>1030</v>
      </c>
      <c r="Y262" s="310"/>
      <c r="Z262" s="491"/>
      <c r="AA262" s="552"/>
      <c r="AB262" s="310"/>
      <c r="AC262" s="310"/>
      <c r="AD262" s="343">
        <v>44790</v>
      </c>
      <c r="AE262" s="314" t="s">
        <v>206</v>
      </c>
      <c r="AF262" s="343">
        <v>44790</v>
      </c>
      <c r="AH262" s="382">
        <v>45395</v>
      </c>
      <c r="AI262" s="381">
        <v>45385</v>
      </c>
      <c r="AJ262" s="24" t="s">
        <v>1116</v>
      </c>
      <c r="AK262" s="143">
        <v>45391</v>
      </c>
      <c r="AM262" s="143">
        <v>45646</v>
      </c>
    </row>
    <row r="263" spans="1:39" hidden="1" x14ac:dyDescent="0.25">
      <c r="A263" s="28">
        <v>262</v>
      </c>
      <c r="B263" s="339">
        <v>30591</v>
      </c>
      <c r="C263" s="340" t="s">
        <v>64</v>
      </c>
      <c r="D263" s="341" t="s">
        <v>1120</v>
      </c>
      <c r="E263" s="20" t="s">
        <v>862</v>
      </c>
      <c r="F263" s="335" t="s">
        <v>863</v>
      </c>
      <c r="G263" s="335" t="s">
        <v>13</v>
      </c>
      <c r="H263" s="342">
        <v>43041</v>
      </c>
      <c r="I263" s="314">
        <v>135</v>
      </c>
      <c r="J263" s="310" t="s">
        <v>58</v>
      </c>
      <c r="K263" s="491" t="s">
        <v>680</v>
      </c>
      <c r="L263" s="496">
        <v>44466</v>
      </c>
      <c r="M263" s="491" t="s">
        <v>60</v>
      </c>
      <c r="N263" s="496">
        <v>44466</v>
      </c>
      <c r="O263" s="743" t="s">
        <v>1115</v>
      </c>
      <c r="P263" s="520">
        <v>45693</v>
      </c>
      <c r="Q263" s="310"/>
      <c r="R263" s="310" t="s">
        <v>68</v>
      </c>
      <c r="S263" s="310" t="s">
        <v>68</v>
      </c>
      <c r="T263" s="310" t="s">
        <v>68</v>
      </c>
      <c r="U263" s="310" t="s">
        <v>68</v>
      </c>
      <c r="V263" s="310"/>
      <c r="W263" s="310"/>
      <c r="X263" s="338" t="s">
        <v>1030</v>
      </c>
      <c r="Y263" s="310"/>
      <c r="Z263" s="491"/>
      <c r="AA263" s="552"/>
      <c r="AB263" s="310"/>
      <c r="AC263" s="310"/>
      <c r="AD263" s="343">
        <v>44706</v>
      </c>
      <c r="AE263" s="314"/>
      <c r="AF263" s="344">
        <v>44706</v>
      </c>
      <c r="AJ263" s="24" t="s">
        <v>1116</v>
      </c>
      <c r="AK263" s="143">
        <v>45479</v>
      </c>
      <c r="AM263" s="143">
        <v>45581</v>
      </c>
    </row>
    <row r="264" spans="1:39" hidden="1" x14ac:dyDescent="0.25">
      <c r="A264" s="28">
        <v>263</v>
      </c>
      <c r="B264" s="339">
        <v>30591</v>
      </c>
      <c r="C264" s="340" t="s">
        <v>54</v>
      </c>
      <c r="D264" s="341" t="s">
        <v>1121</v>
      </c>
      <c r="E264" s="20" t="s">
        <v>862</v>
      </c>
      <c r="F264" s="335" t="s">
        <v>863</v>
      </c>
      <c r="G264" s="335" t="s">
        <v>13</v>
      </c>
      <c r="H264" s="342">
        <v>43041</v>
      </c>
      <c r="I264" s="314">
        <v>134</v>
      </c>
      <c r="J264" s="310" t="s">
        <v>58</v>
      </c>
      <c r="K264" s="491" t="s">
        <v>680</v>
      </c>
      <c r="L264" s="496">
        <v>44466</v>
      </c>
      <c r="M264" s="491" t="s">
        <v>60</v>
      </c>
      <c r="N264" s="496">
        <v>44466</v>
      </c>
      <c r="O264" s="743" t="s">
        <v>1115</v>
      </c>
      <c r="P264" s="520">
        <v>45693</v>
      </c>
      <c r="Q264" s="310"/>
      <c r="R264" s="310" t="s">
        <v>62</v>
      </c>
      <c r="S264" s="310" t="s">
        <v>62</v>
      </c>
      <c r="T264" s="310" t="s">
        <v>62</v>
      </c>
      <c r="U264" s="310" t="s">
        <v>62</v>
      </c>
      <c r="V264" s="310"/>
      <c r="W264" s="310"/>
      <c r="X264" s="338" t="s">
        <v>1030</v>
      </c>
      <c r="Y264" s="310"/>
      <c r="Z264" s="491"/>
      <c r="AA264" s="552"/>
      <c r="AB264" s="310"/>
      <c r="AC264" s="310"/>
      <c r="AD264" s="343">
        <v>44706</v>
      </c>
      <c r="AE264" s="314"/>
      <c r="AF264" s="344">
        <v>44706</v>
      </c>
      <c r="AJ264" s="24" t="s">
        <v>1116</v>
      </c>
      <c r="AK264" s="143">
        <v>45479</v>
      </c>
      <c r="AM264" s="143">
        <v>45581</v>
      </c>
    </row>
    <row r="265" spans="1:39" hidden="1" x14ac:dyDescent="0.25">
      <c r="A265" s="28">
        <v>264</v>
      </c>
      <c r="B265" s="339">
        <v>30608</v>
      </c>
      <c r="C265" s="340" t="s">
        <v>64</v>
      </c>
      <c r="D265" s="341" t="s">
        <v>1122</v>
      </c>
      <c r="E265" s="20" t="s">
        <v>862</v>
      </c>
      <c r="F265" s="335" t="s">
        <v>863</v>
      </c>
      <c r="G265" s="335" t="s">
        <v>13</v>
      </c>
      <c r="H265" s="342">
        <v>43061</v>
      </c>
      <c r="I265" s="314">
        <v>147</v>
      </c>
      <c r="J265" s="310" t="s">
        <v>58</v>
      </c>
      <c r="K265" s="491" t="s">
        <v>680</v>
      </c>
      <c r="L265" s="495">
        <v>44266</v>
      </c>
      <c r="M265" s="491" t="s">
        <v>60</v>
      </c>
      <c r="N265" s="496">
        <v>44723</v>
      </c>
      <c r="O265" s="743">
        <v>45705</v>
      </c>
      <c r="P265" s="520">
        <v>45705</v>
      </c>
      <c r="Q265" s="310"/>
      <c r="R265" s="310" t="s">
        <v>68</v>
      </c>
      <c r="S265" s="310"/>
      <c r="T265" s="310" t="s">
        <v>68</v>
      </c>
      <c r="U265" s="310" t="s">
        <v>68</v>
      </c>
      <c r="V265" s="310"/>
      <c r="W265" s="310" t="s">
        <v>63</v>
      </c>
      <c r="X265" s="338" t="s">
        <v>1030</v>
      </c>
      <c r="Y265" s="310" t="s">
        <v>206</v>
      </c>
      <c r="Z265" s="491"/>
      <c r="AA265" s="552"/>
      <c r="AB265" s="310" t="s">
        <v>1123</v>
      </c>
      <c r="AC265" s="310"/>
      <c r="AD265" s="314" t="s">
        <v>63</v>
      </c>
      <c r="AE265" s="344">
        <v>45343</v>
      </c>
      <c r="AF265" s="314" t="s">
        <v>206</v>
      </c>
      <c r="AG265" s="381"/>
      <c r="AH265" s="381">
        <v>45341</v>
      </c>
      <c r="AJ265" s="24" t="s">
        <v>1116</v>
      </c>
      <c r="AK265" s="143">
        <v>45514</v>
      </c>
      <c r="AM265" s="143">
        <v>45560</v>
      </c>
    </row>
    <row r="266" spans="1:39" hidden="1" x14ac:dyDescent="0.25">
      <c r="A266" s="28">
        <v>265</v>
      </c>
      <c r="B266" s="339">
        <v>30608</v>
      </c>
      <c r="C266" s="340" t="s">
        <v>54</v>
      </c>
      <c r="D266" s="341" t="s">
        <v>1124</v>
      </c>
      <c r="E266" s="20" t="s">
        <v>862</v>
      </c>
      <c r="F266" s="335" t="s">
        <v>863</v>
      </c>
      <c r="G266" s="335" t="s">
        <v>13</v>
      </c>
      <c r="H266" s="342">
        <v>43061</v>
      </c>
      <c r="I266" s="314">
        <v>153</v>
      </c>
      <c r="J266" s="310" t="s">
        <v>58</v>
      </c>
      <c r="K266" s="491" t="s">
        <v>680</v>
      </c>
      <c r="L266" s="495">
        <v>44266</v>
      </c>
      <c r="M266" s="491" t="s">
        <v>60</v>
      </c>
      <c r="N266" s="496">
        <v>44723</v>
      </c>
      <c r="O266" s="743">
        <v>45705</v>
      </c>
      <c r="P266" s="520">
        <v>45705</v>
      </c>
      <c r="Q266" s="310"/>
      <c r="R266" s="310" t="s">
        <v>62</v>
      </c>
      <c r="S266" s="310"/>
      <c r="T266" s="310" t="s">
        <v>62</v>
      </c>
      <c r="U266" s="310" t="s">
        <v>62</v>
      </c>
      <c r="V266" s="310"/>
      <c r="W266" s="310" t="s">
        <v>63</v>
      </c>
      <c r="X266" s="338" t="s">
        <v>1030</v>
      </c>
      <c r="Y266" s="310" t="s">
        <v>206</v>
      </c>
      <c r="Z266" s="491"/>
      <c r="AA266" s="552"/>
      <c r="AB266" s="310" t="s">
        <v>1125</v>
      </c>
      <c r="AC266" s="310"/>
      <c r="AD266" s="314" t="s">
        <v>63</v>
      </c>
      <c r="AE266" s="344">
        <v>45343</v>
      </c>
      <c r="AF266" s="314" t="s">
        <v>206</v>
      </c>
      <c r="AG266" s="381"/>
      <c r="AH266" s="381">
        <v>45341</v>
      </c>
      <c r="AJ266" s="24" t="s">
        <v>1116</v>
      </c>
      <c r="AK266" s="143">
        <v>45514</v>
      </c>
      <c r="AM266" s="143">
        <v>45560</v>
      </c>
    </row>
    <row r="267" spans="1:39" hidden="1" x14ac:dyDescent="0.25">
      <c r="A267" s="28">
        <v>266</v>
      </c>
      <c r="B267" s="339">
        <v>30739</v>
      </c>
      <c r="C267" s="340" t="s">
        <v>64</v>
      </c>
      <c r="D267" s="341" t="s">
        <v>1126</v>
      </c>
      <c r="E267" s="20" t="s">
        <v>862</v>
      </c>
      <c r="F267" s="335" t="s">
        <v>863</v>
      </c>
      <c r="G267" s="335" t="s">
        <v>13</v>
      </c>
      <c r="H267" s="342">
        <v>44819</v>
      </c>
      <c r="I267" s="314"/>
      <c r="J267" s="310" t="s">
        <v>58</v>
      </c>
      <c r="K267" s="491" t="s">
        <v>680</v>
      </c>
      <c r="L267" s="495" t="s">
        <v>1127</v>
      </c>
      <c r="M267" s="491" t="s">
        <v>60</v>
      </c>
      <c r="N267" s="495" t="s">
        <v>1127</v>
      </c>
      <c r="O267" s="743">
        <v>45771</v>
      </c>
      <c r="P267" s="520">
        <v>45771</v>
      </c>
      <c r="Q267" s="310"/>
      <c r="R267" s="343" t="s">
        <v>1127</v>
      </c>
      <c r="S267" s="309"/>
      <c r="T267" s="309">
        <v>44814</v>
      </c>
      <c r="U267" s="309">
        <v>44814</v>
      </c>
      <c r="V267" s="310"/>
      <c r="W267" s="310"/>
      <c r="X267" s="338" t="s">
        <v>1030</v>
      </c>
      <c r="Y267" s="310"/>
      <c r="Z267" s="491"/>
      <c r="AA267" s="552"/>
      <c r="AB267" s="310"/>
      <c r="AC267" s="310"/>
      <c r="AD267" s="343" t="s">
        <v>1127</v>
      </c>
      <c r="AE267" s="314"/>
      <c r="AF267" s="314"/>
      <c r="AJ267" s="24" t="s">
        <v>1116</v>
      </c>
    </row>
    <row r="268" spans="1:39" hidden="1" x14ac:dyDescent="0.25">
      <c r="A268" s="28">
        <v>267</v>
      </c>
      <c r="B268" s="339">
        <v>30739</v>
      </c>
      <c r="C268" s="340" t="s">
        <v>54</v>
      </c>
      <c r="D268" s="341" t="s">
        <v>1128</v>
      </c>
      <c r="E268" s="20" t="s">
        <v>862</v>
      </c>
      <c r="F268" s="335" t="s">
        <v>863</v>
      </c>
      <c r="G268" s="335" t="s">
        <v>13</v>
      </c>
      <c r="H268" s="342">
        <v>44819</v>
      </c>
      <c r="I268" s="314"/>
      <c r="J268" s="310" t="s">
        <v>58</v>
      </c>
      <c r="K268" s="491" t="s">
        <v>680</v>
      </c>
      <c r="L268" s="495" t="s">
        <v>1127</v>
      </c>
      <c r="M268" s="491" t="s">
        <v>60</v>
      </c>
      <c r="N268" s="495" t="s">
        <v>1127</v>
      </c>
      <c r="O268" s="743">
        <v>45771</v>
      </c>
      <c r="P268" s="520">
        <v>45771</v>
      </c>
      <c r="Q268" s="310"/>
      <c r="R268" s="343" t="s">
        <v>1127</v>
      </c>
      <c r="S268" s="309"/>
      <c r="T268" s="309">
        <v>44814</v>
      </c>
      <c r="U268" s="309">
        <v>44814</v>
      </c>
      <c r="V268" s="310"/>
      <c r="W268" s="310"/>
      <c r="X268" s="338" t="s">
        <v>1030</v>
      </c>
      <c r="Y268" s="310"/>
      <c r="Z268" s="491"/>
      <c r="AA268" s="552"/>
      <c r="AB268" s="310"/>
      <c r="AC268" s="310"/>
      <c r="AD268" s="343" t="s">
        <v>1127</v>
      </c>
      <c r="AE268" s="314"/>
      <c r="AF268" s="343" t="s">
        <v>1127</v>
      </c>
      <c r="AJ268" s="24" t="s">
        <v>1116</v>
      </c>
    </row>
    <row r="269" spans="1:39" hidden="1" x14ac:dyDescent="0.25">
      <c r="A269" s="28">
        <v>268</v>
      </c>
      <c r="B269" s="623">
        <v>30428</v>
      </c>
      <c r="C269" s="624" t="s">
        <v>677</v>
      </c>
      <c r="D269" s="625" t="s">
        <v>1129</v>
      </c>
      <c r="E269" s="20" t="s">
        <v>862</v>
      </c>
      <c r="F269" s="626" t="s">
        <v>863</v>
      </c>
      <c r="G269" s="134" t="s">
        <v>13</v>
      </c>
      <c r="H269" s="627"/>
      <c r="I269" s="3"/>
      <c r="J269" s="3"/>
      <c r="K269" s="432"/>
      <c r="L269" s="443"/>
      <c r="M269" s="432"/>
      <c r="N269" s="432"/>
      <c r="O269" s="106">
        <v>45672</v>
      </c>
      <c r="P269" s="106"/>
      <c r="Q269" s="105"/>
      <c r="R269" s="105" t="s">
        <v>68</v>
      </c>
      <c r="S269" s="105" t="s">
        <v>206</v>
      </c>
      <c r="T269" s="105" t="s">
        <v>206</v>
      </c>
      <c r="U269" s="105"/>
      <c r="V269" s="105" t="s">
        <v>206</v>
      </c>
      <c r="W269" s="105" t="s">
        <v>206</v>
      </c>
      <c r="X269" s="105" t="s">
        <v>206</v>
      </c>
      <c r="Y269" s="105" t="s">
        <v>206</v>
      </c>
      <c r="Z269" s="432"/>
      <c r="AA269" s="432"/>
      <c r="AB269" s="105"/>
      <c r="AC269" s="105"/>
      <c r="AD269" s="105" t="s">
        <v>206</v>
      </c>
      <c r="AE269" s="716">
        <v>45279</v>
      </c>
      <c r="AF269" s="271" t="s">
        <v>206</v>
      </c>
      <c r="AG269" s="381"/>
      <c r="AH269" s="381" t="s">
        <v>206</v>
      </c>
      <c r="AI269" s="58" t="s">
        <v>206</v>
      </c>
      <c r="AJ269" s="382" t="s">
        <v>206</v>
      </c>
      <c r="AM269" s="143">
        <v>45530</v>
      </c>
    </row>
    <row r="270" spans="1:39" hidden="1" x14ac:dyDescent="0.25">
      <c r="A270" s="28">
        <v>269</v>
      </c>
      <c r="B270" s="623">
        <v>30428</v>
      </c>
      <c r="C270" s="624" t="s">
        <v>677</v>
      </c>
      <c r="D270" s="625" t="s">
        <v>1130</v>
      </c>
      <c r="E270" s="20" t="s">
        <v>862</v>
      </c>
      <c r="F270" s="626" t="s">
        <v>863</v>
      </c>
      <c r="G270" s="134" t="s">
        <v>13</v>
      </c>
      <c r="H270" s="627"/>
      <c r="I270" s="3"/>
      <c r="J270" s="3"/>
      <c r="K270" s="432"/>
      <c r="L270" s="443"/>
      <c r="M270" s="432"/>
      <c r="N270" s="432"/>
      <c r="O270" s="106">
        <v>45672</v>
      </c>
      <c r="P270" s="106"/>
      <c r="Q270" s="105"/>
      <c r="R270" s="105" t="s">
        <v>62</v>
      </c>
      <c r="S270" s="105" t="s">
        <v>206</v>
      </c>
      <c r="T270" s="105" t="s">
        <v>206</v>
      </c>
      <c r="U270" s="105"/>
      <c r="V270" s="105" t="s">
        <v>206</v>
      </c>
      <c r="W270" s="105" t="s">
        <v>206</v>
      </c>
      <c r="X270" s="105" t="s">
        <v>206</v>
      </c>
      <c r="Y270" s="105" t="s">
        <v>206</v>
      </c>
      <c r="Z270" s="432"/>
      <c r="AA270" s="432"/>
      <c r="AB270" s="105"/>
      <c r="AC270" s="105"/>
      <c r="AD270" s="105" t="s">
        <v>206</v>
      </c>
      <c r="AE270" s="716">
        <v>45279</v>
      </c>
      <c r="AF270" s="271" t="s">
        <v>206</v>
      </c>
      <c r="AG270" s="381"/>
      <c r="AH270" s="381" t="s">
        <v>206</v>
      </c>
      <c r="AI270" s="58" t="s">
        <v>206</v>
      </c>
      <c r="AJ270" s="382" t="s">
        <v>206</v>
      </c>
      <c r="AM270" s="143">
        <v>45530</v>
      </c>
    </row>
    <row r="271" spans="1:39" hidden="1" x14ac:dyDescent="0.25">
      <c r="A271" s="28">
        <v>270</v>
      </c>
      <c r="B271" s="623">
        <v>30343</v>
      </c>
      <c r="C271" s="624" t="s">
        <v>674</v>
      </c>
      <c r="D271" s="628" t="s">
        <v>1131</v>
      </c>
      <c r="E271" s="20" t="s">
        <v>862</v>
      </c>
      <c r="F271" s="626" t="s">
        <v>863</v>
      </c>
      <c r="G271" s="134" t="s">
        <v>13</v>
      </c>
      <c r="H271" s="1317">
        <v>45011</v>
      </c>
      <c r="I271" s="3"/>
      <c r="J271" s="3" t="s">
        <v>58</v>
      </c>
      <c r="K271" s="432"/>
      <c r="L271" s="443"/>
      <c r="M271" s="432"/>
      <c r="N271" s="432"/>
      <c r="O271" s="106">
        <v>45681</v>
      </c>
      <c r="P271" s="106">
        <v>45681</v>
      </c>
      <c r="Q271" s="105"/>
      <c r="R271" s="105" t="s">
        <v>68</v>
      </c>
      <c r="S271" s="105" t="s">
        <v>206</v>
      </c>
      <c r="T271" s="105" t="s">
        <v>206</v>
      </c>
      <c r="U271" s="105"/>
      <c r="V271" s="105" t="s">
        <v>206</v>
      </c>
      <c r="W271" s="105" t="s">
        <v>206</v>
      </c>
      <c r="X271" s="105" t="s">
        <v>206</v>
      </c>
      <c r="Y271" s="105" t="s">
        <v>206</v>
      </c>
      <c r="Z271" s="432"/>
      <c r="AA271" s="432"/>
      <c r="AB271" s="105"/>
      <c r="AC271" s="105"/>
      <c r="AD271" s="105" t="s">
        <v>206</v>
      </c>
      <c r="AE271" s="105" t="s">
        <v>206</v>
      </c>
      <c r="AF271" s="271" t="s">
        <v>206</v>
      </c>
      <c r="AG271" s="381"/>
      <c r="AH271" s="381">
        <v>45070</v>
      </c>
      <c r="AI271" s="381">
        <v>45284</v>
      </c>
      <c r="AJ271" s="382" t="s">
        <v>206</v>
      </c>
      <c r="AM271" s="143">
        <v>45528</v>
      </c>
    </row>
    <row r="272" spans="1:39" hidden="1" x14ac:dyDescent="0.25">
      <c r="A272" s="28">
        <v>271</v>
      </c>
      <c r="B272" s="623">
        <v>30343</v>
      </c>
      <c r="C272" s="624" t="s">
        <v>677</v>
      </c>
      <c r="D272" s="628" t="s">
        <v>1132</v>
      </c>
      <c r="E272" s="20" t="s">
        <v>862</v>
      </c>
      <c r="F272" s="626" t="s">
        <v>863</v>
      </c>
      <c r="G272" s="134" t="s">
        <v>13</v>
      </c>
      <c r="H272" s="1317">
        <v>45011</v>
      </c>
      <c r="I272" s="3"/>
      <c r="J272" s="3" t="s">
        <v>58</v>
      </c>
      <c r="K272" s="432"/>
      <c r="L272" s="443"/>
      <c r="M272" s="432"/>
      <c r="N272" s="432"/>
      <c r="O272" s="106">
        <v>45681</v>
      </c>
      <c r="P272" s="106">
        <v>45681</v>
      </c>
      <c r="Q272" s="105"/>
      <c r="R272" s="105" t="s">
        <v>62</v>
      </c>
      <c r="S272" s="105" t="s">
        <v>206</v>
      </c>
      <c r="T272" s="105" t="s">
        <v>206</v>
      </c>
      <c r="U272" s="105"/>
      <c r="V272" s="105" t="s">
        <v>206</v>
      </c>
      <c r="W272" s="105" t="s">
        <v>206</v>
      </c>
      <c r="X272" s="105" t="s">
        <v>206</v>
      </c>
      <c r="Y272" s="105" t="s">
        <v>206</v>
      </c>
      <c r="Z272" s="432"/>
      <c r="AA272" s="432"/>
      <c r="AB272" s="105"/>
      <c r="AC272" s="105"/>
      <c r="AD272" s="105" t="s">
        <v>206</v>
      </c>
      <c r="AE272" s="105" t="s">
        <v>206</v>
      </c>
      <c r="AF272" s="271" t="s">
        <v>206</v>
      </c>
      <c r="AG272" s="381"/>
      <c r="AH272" s="381">
        <v>45070</v>
      </c>
      <c r="AI272" s="381">
        <v>45284</v>
      </c>
      <c r="AJ272" s="382" t="s">
        <v>206</v>
      </c>
      <c r="AM272" s="143">
        <v>45528</v>
      </c>
    </row>
    <row r="273" spans="1:44" hidden="1" x14ac:dyDescent="0.25">
      <c r="A273" s="28">
        <v>272</v>
      </c>
      <c r="B273" s="629">
        <v>30336</v>
      </c>
      <c r="C273" s="624" t="s">
        <v>674</v>
      </c>
      <c r="D273" s="625" t="s">
        <v>1133</v>
      </c>
      <c r="E273" s="20" t="s">
        <v>862</v>
      </c>
      <c r="F273" s="626" t="s">
        <v>863</v>
      </c>
      <c r="G273" s="134" t="s">
        <v>13</v>
      </c>
      <c r="H273" s="1317"/>
      <c r="I273" s="3"/>
      <c r="J273" s="3" t="s">
        <v>58</v>
      </c>
      <c r="K273" s="432"/>
      <c r="L273" s="443"/>
      <c r="M273" s="432"/>
      <c r="N273" s="432"/>
      <c r="O273" s="106">
        <v>45741</v>
      </c>
      <c r="P273" s="106">
        <v>45741</v>
      </c>
      <c r="Q273" s="105"/>
      <c r="R273" s="105" t="s">
        <v>68</v>
      </c>
      <c r="S273" s="105" t="s">
        <v>206</v>
      </c>
      <c r="T273" s="105" t="s">
        <v>206</v>
      </c>
      <c r="U273" s="105"/>
      <c r="V273" s="105" t="s">
        <v>206</v>
      </c>
      <c r="W273" s="105" t="s">
        <v>206</v>
      </c>
      <c r="X273" s="105" t="s">
        <v>206</v>
      </c>
      <c r="Y273" s="105" t="s">
        <v>206</v>
      </c>
      <c r="Z273" s="432"/>
      <c r="AA273" s="432"/>
      <c r="AB273" s="105"/>
      <c r="AC273" s="105"/>
      <c r="AD273" s="105" t="s">
        <v>206</v>
      </c>
      <c r="AE273" s="105" t="s">
        <v>206</v>
      </c>
      <c r="AF273" s="271" t="s">
        <v>206</v>
      </c>
      <c r="AG273" s="381"/>
      <c r="AH273" s="381"/>
      <c r="AI273" s="58" t="s">
        <v>206</v>
      </c>
      <c r="AJ273" s="382" t="s">
        <v>206</v>
      </c>
      <c r="AM273" s="143">
        <v>45624</v>
      </c>
    </row>
    <row r="274" spans="1:44" hidden="1" x14ac:dyDescent="0.25">
      <c r="A274" s="28">
        <v>273</v>
      </c>
      <c r="B274" s="629">
        <v>30336</v>
      </c>
      <c r="C274" s="624" t="s">
        <v>677</v>
      </c>
      <c r="D274" s="625" t="s">
        <v>1134</v>
      </c>
      <c r="E274" s="20" t="s">
        <v>862</v>
      </c>
      <c r="F274" s="626" t="s">
        <v>863</v>
      </c>
      <c r="G274" s="134" t="s">
        <v>13</v>
      </c>
      <c r="H274" s="627"/>
      <c r="I274" s="3"/>
      <c r="J274" s="3"/>
      <c r="K274" s="432"/>
      <c r="L274" s="443"/>
      <c r="M274" s="432"/>
      <c r="N274" s="432"/>
      <c r="O274" s="106">
        <v>45741</v>
      </c>
      <c r="P274" s="106">
        <v>45741</v>
      </c>
      <c r="Q274" s="105"/>
      <c r="R274" s="105" t="s">
        <v>62</v>
      </c>
      <c r="S274" s="105" t="s">
        <v>206</v>
      </c>
      <c r="T274" s="105" t="s">
        <v>206</v>
      </c>
      <c r="U274" s="105"/>
      <c r="V274" s="105" t="s">
        <v>206</v>
      </c>
      <c r="W274" s="105" t="s">
        <v>206</v>
      </c>
      <c r="X274" s="105" t="s">
        <v>206</v>
      </c>
      <c r="Y274" s="105" t="s">
        <v>206</v>
      </c>
      <c r="Z274" s="432"/>
      <c r="AA274" s="432"/>
      <c r="AB274" s="105"/>
      <c r="AC274" s="105"/>
      <c r="AD274" s="105" t="s">
        <v>206</v>
      </c>
      <c r="AE274" s="105" t="s">
        <v>206</v>
      </c>
      <c r="AF274" s="271" t="s">
        <v>206</v>
      </c>
      <c r="AG274" s="381"/>
      <c r="AH274" s="381"/>
      <c r="AI274" s="58" t="s">
        <v>206</v>
      </c>
      <c r="AJ274" s="382" t="s">
        <v>206</v>
      </c>
      <c r="AM274" s="143">
        <v>45624</v>
      </c>
    </row>
    <row r="275" spans="1:44" hidden="1" x14ac:dyDescent="0.25">
      <c r="A275" s="28">
        <v>274</v>
      </c>
      <c r="B275" s="629">
        <v>30396</v>
      </c>
      <c r="C275" s="624" t="s">
        <v>674</v>
      </c>
      <c r="D275" s="625" t="s">
        <v>1135</v>
      </c>
      <c r="E275" s="20" t="s">
        <v>862</v>
      </c>
      <c r="F275" s="626" t="s">
        <v>863</v>
      </c>
      <c r="G275" s="134" t="s">
        <v>13</v>
      </c>
      <c r="H275" s="627"/>
      <c r="I275" s="3"/>
      <c r="J275" s="3"/>
      <c r="K275" s="432"/>
      <c r="L275" s="443"/>
      <c r="M275" s="432"/>
      <c r="N275" s="432"/>
      <c r="O275" s="106"/>
      <c r="P275" s="106"/>
      <c r="Q275" s="105"/>
      <c r="R275" s="105" t="s">
        <v>68</v>
      </c>
      <c r="S275" s="105" t="s">
        <v>206</v>
      </c>
      <c r="T275" s="105" t="s">
        <v>206</v>
      </c>
      <c r="U275" s="105"/>
      <c r="V275" s="105" t="s">
        <v>206</v>
      </c>
      <c r="W275" s="105" t="s">
        <v>206</v>
      </c>
      <c r="X275" s="105" t="s">
        <v>206</v>
      </c>
      <c r="Y275" s="105" t="s">
        <v>206</v>
      </c>
      <c r="Z275" s="432"/>
      <c r="AA275" s="432"/>
      <c r="AB275" s="105"/>
      <c r="AC275" s="105"/>
      <c r="AD275" s="105" t="s">
        <v>206</v>
      </c>
      <c r="AE275" s="105" t="s">
        <v>206</v>
      </c>
      <c r="AF275" s="271" t="s">
        <v>206</v>
      </c>
      <c r="AG275" s="381"/>
      <c r="AH275" s="381" t="s">
        <v>206</v>
      </c>
      <c r="AI275" s="58" t="s">
        <v>206</v>
      </c>
      <c r="AJ275" s="382" t="s">
        <v>206</v>
      </c>
      <c r="AM275" s="143">
        <v>45619</v>
      </c>
    </row>
    <row r="276" spans="1:44" hidden="1" x14ac:dyDescent="0.25">
      <c r="A276" s="28">
        <v>275</v>
      </c>
      <c r="B276" s="629">
        <v>30396</v>
      </c>
      <c r="C276" s="624" t="s">
        <v>677</v>
      </c>
      <c r="D276" s="625" t="s">
        <v>1136</v>
      </c>
      <c r="E276" s="20" t="s">
        <v>862</v>
      </c>
      <c r="F276" s="626" t="s">
        <v>863</v>
      </c>
      <c r="G276" s="134" t="s">
        <v>13</v>
      </c>
      <c r="H276" s="627"/>
      <c r="I276" s="3"/>
      <c r="J276" s="3"/>
      <c r="K276" s="432"/>
      <c r="L276" s="443"/>
      <c r="M276" s="432"/>
      <c r="N276" s="432"/>
      <c r="O276" s="106"/>
      <c r="P276" s="106"/>
      <c r="Q276" s="105"/>
      <c r="R276" s="105" t="s">
        <v>62</v>
      </c>
      <c r="S276" s="105" t="s">
        <v>206</v>
      </c>
      <c r="T276" s="105" t="s">
        <v>206</v>
      </c>
      <c r="U276" s="105"/>
      <c r="V276" s="105" t="s">
        <v>206</v>
      </c>
      <c r="W276" s="105" t="s">
        <v>206</v>
      </c>
      <c r="X276" s="105" t="s">
        <v>206</v>
      </c>
      <c r="Y276" s="105" t="s">
        <v>206</v>
      </c>
      <c r="Z276" s="432"/>
      <c r="AA276" s="432"/>
      <c r="AB276" s="105"/>
      <c r="AC276" s="105"/>
      <c r="AD276" s="105" t="s">
        <v>206</v>
      </c>
      <c r="AE276" s="105" t="s">
        <v>206</v>
      </c>
      <c r="AF276" s="271" t="s">
        <v>206</v>
      </c>
      <c r="AG276" s="381"/>
      <c r="AH276" s="381" t="s">
        <v>206</v>
      </c>
      <c r="AI276" s="58" t="s">
        <v>206</v>
      </c>
      <c r="AJ276" s="382" t="s">
        <v>206</v>
      </c>
      <c r="AM276" s="143">
        <v>45619</v>
      </c>
    </row>
    <row r="277" spans="1:44" hidden="1" x14ac:dyDescent="0.25">
      <c r="A277" s="28">
        <v>276</v>
      </c>
      <c r="B277" s="629">
        <v>30520</v>
      </c>
      <c r="C277" s="624" t="s">
        <v>674</v>
      </c>
      <c r="D277" s="625" t="s">
        <v>1137</v>
      </c>
      <c r="E277" s="20" t="s">
        <v>862</v>
      </c>
      <c r="F277" s="626" t="s">
        <v>863</v>
      </c>
      <c r="G277" s="134" t="s">
        <v>13</v>
      </c>
      <c r="H277" s="627"/>
      <c r="I277" s="3"/>
      <c r="J277" s="3"/>
      <c r="K277" s="432"/>
      <c r="L277" s="443"/>
      <c r="M277" s="432"/>
      <c r="N277" s="432"/>
      <c r="O277" s="106">
        <v>45688</v>
      </c>
      <c r="P277" s="106"/>
      <c r="Q277" s="105"/>
      <c r="R277" s="105" t="s">
        <v>68</v>
      </c>
      <c r="S277" s="105" t="s">
        <v>206</v>
      </c>
      <c r="T277" s="105" t="s">
        <v>206</v>
      </c>
      <c r="U277" s="105"/>
      <c r="V277" s="105" t="s">
        <v>206</v>
      </c>
      <c r="W277" s="105"/>
      <c r="X277" s="105" t="s">
        <v>206</v>
      </c>
      <c r="Y277" s="105" t="s">
        <v>206</v>
      </c>
      <c r="Z277" s="432"/>
      <c r="AA277" s="432"/>
      <c r="AB277" s="105"/>
      <c r="AC277" s="105"/>
      <c r="AD277" s="105" t="s">
        <v>206</v>
      </c>
      <c r="AE277" s="105" t="s">
        <v>206</v>
      </c>
      <c r="AF277" s="271" t="s">
        <v>206</v>
      </c>
      <c r="AG277" s="381"/>
      <c r="AH277" s="381" t="s">
        <v>206</v>
      </c>
      <c r="AI277" s="58" t="s">
        <v>206</v>
      </c>
      <c r="AJ277" s="382" t="s">
        <v>206</v>
      </c>
      <c r="AM277" s="143">
        <v>45555</v>
      </c>
    </row>
    <row r="278" spans="1:44" hidden="1" x14ac:dyDescent="0.25">
      <c r="A278" s="28">
        <v>277</v>
      </c>
      <c r="B278" s="629">
        <v>30520</v>
      </c>
      <c r="C278" s="624" t="s">
        <v>677</v>
      </c>
      <c r="D278" s="625" t="s">
        <v>1138</v>
      </c>
      <c r="E278" s="20" t="s">
        <v>862</v>
      </c>
      <c r="F278" s="626" t="s">
        <v>863</v>
      </c>
      <c r="G278" s="134" t="s">
        <v>13</v>
      </c>
      <c r="H278" s="627"/>
      <c r="I278" s="3"/>
      <c r="J278" s="3"/>
      <c r="K278" s="432"/>
      <c r="L278" s="443"/>
      <c r="M278" s="432"/>
      <c r="N278" s="432"/>
      <c r="O278" s="106">
        <v>45395</v>
      </c>
      <c r="P278" s="106"/>
      <c r="Q278" s="105"/>
      <c r="R278" s="105" t="s">
        <v>62</v>
      </c>
      <c r="S278" s="105" t="s">
        <v>206</v>
      </c>
      <c r="T278" s="105" t="s">
        <v>206</v>
      </c>
      <c r="U278" s="105"/>
      <c r="V278" s="105" t="s">
        <v>206</v>
      </c>
      <c r="W278" s="105"/>
      <c r="X278" s="105" t="s">
        <v>206</v>
      </c>
      <c r="Y278" s="105" t="s">
        <v>206</v>
      </c>
      <c r="Z278" s="432"/>
      <c r="AA278" s="432"/>
      <c r="AB278" s="105"/>
      <c r="AC278" s="105"/>
      <c r="AD278" s="105" t="s">
        <v>206</v>
      </c>
      <c r="AE278" s="105" t="s">
        <v>206</v>
      </c>
      <c r="AF278" s="271" t="s">
        <v>206</v>
      </c>
      <c r="AG278" s="381"/>
      <c r="AH278" s="381" t="s">
        <v>206</v>
      </c>
      <c r="AI278" s="58" t="s">
        <v>206</v>
      </c>
      <c r="AJ278" s="382" t="s">
        <v>206</v>
      </c>
      <c r="AM278" s="143">
        <v>45555</v>
      </c>
    </row>
    <row r="279" spans="1:44" hidden="1" x14ac:dyDescent="0.25">
      <c r="A279" s="28">
        <v>278</v>
      </c>
      <c r="B279" s="630">
        <v>30356</v>
      </c>
      <c r="C279" s="624" t="s">
        <v>674</v>
      </c>
      <c r="D279" s="625" t="s">
        <v>1139</v>
      </c>
      <c r="E279" s="20" t="s">
        <v>862</v>
      </c>
      <c r="F279" s="626" t="s">
        <v>863</v>
      </c>
      <c r="G279" s="134" t="s">
        <v>13</v>
      </c>
      <c r="H279" s="627"/>
      <c r="I279" s="3"/>
      <c r="J279" s="3"/>
      <c r="K279" s="432"/>
      <c r="L279" s="443"/>
      <c r="M279" s="432"/>
      <c r="N279" s="432"/>
      <c r="O279" s="106">
        <v>45663</v>
      </c>
      <c r="P279" s="106">
        <v>45663</v>
      </c>
      <c r="Q279" s="105"/>
      <c r="R279" s="105" t="s">
        <v>68</v>
      </c>
      <c r="S279" s="105"/>
      <c r="T279" s="105" t="s">
        <v>206</v>
      </c>
      <c r="U279" s="105"/>
      <c r="V279" s="716">
        <v>45332</v>
      </c>
      <c r="W279" s="716">
        <v>45334</v>
      </c>
      <c r="X279" s="105" t="s">
        <v>206</v>
      </c>
      <c r="Y279" s="105" t="s">
        <v>206</v>
      </c>
      <c r="Z279" s="432"/>
      <c r="AA279" s="432"/>
      <c r="AB279" s="105"/>
      <c r="AC279" s="105"/>
      <c r="AD279" s="105" t="s">
        <v>206</v>
      </c>
      <c r="AE279" s="716">
        <v>45334</v>
      </c>
      <c r="AF279" s="271" t="s">
        <v>206</v>
      </c>
      <c r="AG279" s="381">
        <v>45465</v>
      </c>
      <c r="AH279" s="381"/>
      <c r="AI279" s="381">
        <v>45331</v>
      </c>
      <c r="AJ279" s="382" t="s">
        <v>206</v>
      </c>
      <c r="AM279" s="143">
        <v>45540</v>
      </c>
    </row>
    <row r="280" spans="1:44" hidden="1" x14ac:dyDescent="0.25">
      <c r="A280" s="28">
        <v>279</v>
      </c>
      <c r="B280" s="630">
        <v>30356</v>
      </c>
      <c r="C280" s="624" t="s">
        <v>677</v>
      </c>
      <c r="D280" s="625" t="s">
        <v>1140</v>
      </c>
      <c r="E280" s="20" t="s">
        <v>862</v>
      </c>
      <c r="F280" s="626" t="s">
        <v>863</v>
      </c>
      <c r="G280" s="134" t="s">
        <v>13</v>
      </c>
      <c r="H280" s="627"/>
      <c r="I280" s="3"/>
      <c r="J280" s="3"/>
      <c r="K280" s="432"/>
      <c r="L280" s="443"/>
      <c r="M280" s="432"/>
      <c r="N280" s="432"/>
      <c r="O280" s="106">
        <v>45663</v>
      </c>
      <c r="P280" s="106">
        <v>45663</v>
      </c>
      <c r="Q280" s="105"/>
      <c r="R280" s="105" t="s">
        <v>62</v>
      </c>
      <c r="S280" s="105"/>
      <c r="T280" s="105" t="s">
        <v>206</v>
      </c>
      <c r="U280" s="105"/>
      <c r="V280" s="716">
        <v>45332</v>
      </c>
      <c r="W280" s="716">
        <v>45334</v>
      </c>
      <c r="X280" s="105" t="s">
        <v>206</v>
      </c>
      <c r="Y280" s="105" t="s">
        <v>206</v>
      </c>
      <c r="Z280" s="432"/>
      <c r="AA280" s="432"/>
      <c r="AB280" s="105"/>
      <c r="AC280" s="105"/>
      <c r="AD280" s="105" t="s">
        <v>206</v>
      </c>
      <c r="AE280" s="716">
        <v>45334</v>
      </c>
      <c r="AF280" s="271" t="s">
        <v>206</v>
      </c>
      <c r="AG280" s="381">
        <v>45465</v>
      </c>
      <c r="AH280" s="381">
        <v>45339</v>
      </c>
      <c r="AI280" s="381">
        <v>45331</v>
      </c>
      <c r="AJ280" s="382" t="s">
        <v>206</v>
      </c>
      <c r="AM280" s="143">
        <v>45540</v>
      </c>
    </row>
    <row r="281" spans="1:44" hidden="1" x14ac:dyDescent="0.25">
      <c r="A281" s="28">
        <v>280</v>
      </c>
      <c r="B281" s="631">
        <v>30721</v>
      </c>
      <c r="C281" s="624" t="s">
        <v>677</v>
      </c>
      <c r="D281" s="625" t="s">
        <v>1141</v>
      </c>
      <c r="E281" s="20" t="s">
        <v>862</v>
      </c>
      <c r="F281" s="626" t="s">
        <v>863</v>
      </c>
      <c r="G281" s="134" t="s">
        <v>13</v>
      </c>
      <c r="H281" s="627"/>
      <c r="I281" s="3"/>
      <c r="J281" s="3"/>
      <c r="K281" s="432"/>
      <c r="L281" s="443"/>
      <c r="M281" s="432"/>
      <c r="N281" s="432"/>
      <c r="O281" s="106">
        <v>45728</v>
      </c>
      <c r="P281" s="106">
        <v>45728</v>
      </c>
      <c r="Q281" s="105"/>
      <c r="R281" s="105" t="s">
        <v>68</v>
      </c>
      <c r="S281" s="716">
        <v>45301</v>
      </c>
      <c r="T281" s="105" t="s">
        <v>206</v>
      </c>
      <c r="U281" s="105"/>
      <c r="V281" s="105" t="s">
        <v>206</v>
      </c>
      <c r="W281" s="105" t="s">
        <v>206</v>
      </c>
      <c r="X281" s="105" t="s">
        <v>206</v>
      </c>
      <c r="Y281" s="105" t="s">
        <v>206</v>
      </c>
      <c r="Z281" s="432"/>
      <c r="AA281" s="432"/>
      <c r="AB281" s="105"/>
      <c r="AC281" s="105"/>
      <c r="AD281" s="105" t="s">
        <v>206</v>
      </c>
      <c r="AE281" s="105" t="s">
        <v>206</v>
      </c>
      <c r="AF281" s="271" t="s">
        <v>206</v>
      </c>
      <c r="AG281" s="381"/>
      <c r="AH281" s="381" t="s">
        <v>206</v>
      </c>
      <c r="AI281" s="58" t="s">
        <v>206</v>
      </c>
      <c r="AJ281" s="382" t="s">
        <v>206</v>
      </c>
      <c r="AM281" s="143">
        <v>45614</v>
      </c>
    </row>
    <row r="282" spans="1:44" hidden="1" x14ac:dyDescent="0.25">
      <c r="A282" s="28">
        <v>281</v>
      </c>
      <c r="B282" s="631">
        <v>30721</v>
      </c>
      <c r="C282" s="624" t="s">
        <v>674</v>
      </c>
      <c r="D282" s="625" t="s">
        <v>1142</v>
      </c>
      <c r="E282" s="20" t="s">
        <v>862</v>
      </c>
      <c r="F282" s="626" t="s">
        <v>863</v>
      </c>
      <c r="G282" s="134" t="s">
        <v>13</v>
      </c>
      <c r="H282" s="627"/>
      <c r="I282" s="3"/>
      <c r="J282" s="3"/>
      <c r="K282" s="432"/>
      <c r="L282" s="443"/>
      <c r="M282" s="432"/>
      <c r="N282" s="432"/>
      <c r="O282" s="106">
        <v>45728</v>
      </c>
      <c r="P282" s="106">
        <v>45728</v>
      </c>
      <c r="Q282" s="105"/>
      <c r="R282" s="105" t="s">
        <v>62</v>
      </c>
      <c r="S282" s="716">
        <v>45301</v>
      </c>
      <c r="T282" s="105" t="s">
        <v>206</v>
      </c>
      <c r="U282" s="105"/>
      <c r="V282" s="105" t="s">
        <v>206</v>
      </c>
      <c r="W282" s="105" t="s">
        <v>206</v>
      </c>
      <c r="X282" s="105" t="s">
        <v>206</v>
      </c>
      <c r="Y282" s="105" t="s">
        <v>206</v>
      </c>
      <c r="Z282" s="432"/>
      <c r="AA282" s="432"/>
      <c r="AB282" s="105"/>
      <c r="AC282" s="105"/>
      <c r="AD282" s="105" t="s">
        <v>206</v>
      </c>
      <c r="AE282" s="105" t="s">
        <v>206</v>
      </c>
      <c r="AF282" s="271" t="s">
        <v>206</v>
      </c>
      <c r="AG282" s="381"/>
      <c r="AH282" s="381" t="s">
        <v>206</v>
      </c>
      <c r="AI282" s="58" t="s">
        <v>206</v>
      </c>
      <c r="AJ282" s="382" t="s">
        <v>206</v>
      </c>
      <c r="AM282" s="143">
        <v>45614</v>
      </c>
    </row>
    <row r="283" spans="1:44" hidden="1" x14ac:dyDescent="0.25">
      <c r="A283" s="28">
        <v>282</v>
      </c>
      <c r="B283" s="629">
        <v>30373</v>
      </c>
      <c r="C283" s="624" t="s">
        <v>677</v>
      </c>
      <c r="D283" s="625"/>
      <c r="E283" s="20" t="s">
        <v>862</v>
      </c>
      <c r="F283" s="626" t="s">
        <v>863</v>
      </c>
      <c r="G283" s="134" t="s">
        <v>13</v>
      </c>
      <c r="H283" s="627"/>
      <c r="I283" s="3"/>
      <c r="J283" s="3"/>
      <c r="K283" s="432"/>
      <c r="L283" s="443"/>
      <c r="M283" s="432"/>
      <c r="N283" s="432"/>
      <c r="O283" s="106">
        <v>45740</v>
      </c>
      <c r="P283" s="106"/>
      <c r="Q283" s="105"/>
      <c r="R283" s="105" t="s">
        <v>68</v>
      </c>
      <c r="S283" s="716">
        <v>45297</v>
      </c>
      <c r="T283" s="105" t="s">
        <v>206</v>
      </c>
      <c r="U283" s="105"/>
      <c r="V283" s="716">
        <v>45297</v>
      </c>
      <c r="W283" s="716">
        <v>45297</v>
      </c>
      <c r="X283" s="716">
        <v>45297</v>
      </c>
      <c r="Y283" s="716">
        <v>45297</v>
      </c>
      <c r="Z283" s="432"/>
      <c r="AA283" s="432"/>
      <c r="AB283" s="105"/>
      <c r="AC283" s="105"/>
      <c r="AD283" s="105" t="s">
        <v>206</v>
      </c>
      <c r="AE283" s="105" t="s">
        <v>206</v>
      </c>
      <c r="AF283" s="275">
        <v>45297</v>
      </c>
      <c r="AG283" s="381"/>
      <c r="AH283" s="381">
        <v>45297</v>
      </c>
      <c r="AI283" s="381">
        <v>45297</v>
      </c>
      <c r="AJ283" s="382" t="s">
        <v>206</v>
      </c>
      <c r="AM283" s="143">
        <v>45579</v>
      </c>
    </row>
    <row r="284" spans="1:44" hidden="1" x14ac:dyDescent="0.25">
      <c r="A284" s="28">
        <v>283</v>
      </c>
      <c r="B284" s="629">
        <v>30373</v>
      </c>
      <c r="C284" s="624" t="s">
        <v>674</v>
      </c>
      <c r="D284" s="625"/>
      <c r="E284" s="20" t="s">
        <v>862</v>
      </c>
      <c r="F284" s="626" t="s">
        <v>863</v>
      </c>
      <c r="G284" s="134" t="s">
        <v>13</v>
      </c>
      <c r="H284" s="627"/>
      <c r="I284" s="3"/>
      <c r="J284" s="3"/>
      <c r="K284" s="432"/>
      <c r="L284" s="443"/>
      <c r="M284" s="432"/>
      <c r="N284" s="432"/>
      <c r="O284" s="106">
        <v>45740</v>
      </c>
      <c r="P284" s="106"/>
      <c r="Q284" s="105"/>
      <c r="R284" s="105" t="s">
        <v>62</v>
      </c>
      <c r="S284" s="716">
        <v>45297</v>
      </c>
      <c r="T284" s="105" t="s">
        <v>206</v>
      </c>
      <c r="U284" s="105"/>
      <c r="V284" s="716">
        <v>45297</v>
      </c>
      <c r="W284" s="716">
        <v>45297</v>
      </c>
      <c r="X284" s="716">
        <v>45297</v>
      </c>
      <c r="Y284" s="716">
        <v>45297</v>
      </c>
      <c r="Z284" s="432"/>
      <c r="AA284" s="432"/>
      <c r="AB284" s="105"/>
      <c r="AC284" s="105"/>
      <c r="AD284" s="105" t="s">
        <v>206</v>
      </c>
      <c r="AE284" s="105" t="s">
        <v>206</v>
      </c>
      <c r="AF284" s="275">
        <v>45297</v>
      </c>
      <c r="AG284" s="381"/>
      <c r="AH284" s="381">
        <v>45297</v>
      </c>
      <c r="AI284" s="381">
        <v>45297</v>
      </c>
      <c r="AJ284" s="382" t="s">
        <v>206</v>
      </c>
      <c r="AM284" s="143">
        <v>45579</v>
      </c>
    </row>
    <row r="285" spans="1:44" hidden="1" x14ac:dyDescent="0.25">
      <c r="A285" s="28">
        <v>284</v>
      </c>
      <c r="B285" s="632">
        <v>30721</v>
      </c>
      <c r="C285" s="624" t="s">
        <v>677</v>
      </c>
      <c r="D285" s="633"/>
      <c r="E285" s="20" t="s">
        <v>862</v>
      </c>
      <c r="F285" s="626" t="s">
        <v>863</v>
      </c>
      <c r="G285" s="134" t="s">
        <v>13</v>
      </c>
      <c r="H285" s="634"/>
      <c r="I285" s="3"/>
      <c r="J285" s="3"/>
      <c r="K285" s="432"/>
      <c r="L285" s="443"/>
      <c r="M285" s="432"/>
      <c r="N285" s="432"/>
      <c r="O285" s="48">
        <v>45728</v>
      </c>
      <c r="P285" s="48">
        <v>45728</v>
      </c>
      <c r="Q285" s="16"/>
      <c r="R285" s="32"/>
      <c r="S285" s="16"/>
      <c r="T285" s="32"/>
      <c r="U285" s="16"/>
      <c r="V285" s="16"/>
      <c r="W285" s="16"/>
      <c r="X285" s="16"/>
      <c r="Y285" s="32" t="s">
        <v>68</v>
      </c>
      <c r="Z285" s="432"/>
      <c r="AA285" s="432"/>
      <c r="AB285" s="16"/>
      <c r="AC285" s="16"/>
      <c r="AD285" s="32" t="s">
        <v>68</v>
      </c>
      <c r="AJ285" s="58" t="s">
        <v>68</v>
      </c>
      <c r="AM285" s="143">
        <v>45614</v>
      </c>
    </row>
    <row r="286" spans="1:44" hidden="1" x14ac:dyDescent="0.25">
      <c r="A286" s="28">
        <v>285</v>
      </c>
      <c r="B286" s="632">
        <v>30721</v>
      </c>
      <c r="C286" s="624" t="s">
        <v>674</v>
      </c>
      <c r="D286" s="633"/>
      <c r="E286" s="20" t="s">
        <v>862</v>
      </c>
      <c r="F286" s="626" t="s">
        <v>863</v>
      </c>
      <c r="G286" s="134" t="s">
        <v>13</v>
      </c>
      <c r="H286" s="634"/>
      <c r="I286" s="3"/>
      <c r="J286" s="3"/>
      <c r="K286" s="432"/>
      <c r="L286" s="443"/>
      <c r="M286" s="432"/>
      <c r="N286" s="432"/>
      <c r="O286" s="48">
        <v>45728</v>
      </c>
      <c r="P286" s="48">
        <v>45728</v>
      </c>
      <c r="Q286" s="16"/>
      <c r="R286" s="32"/>
      <c r="S286" s="16"/>
      <c r="T286" s="32"/>
      <c r="U286" s="16"/>
      <c r="V286" s="16"/>
      <c r="W286" s="16"/>
      <c r="X286" s="16"/>
      <c r="Y286" s="32" t="s">
        <v>62</v>
      </c>
      <c r="Z286" s="432"/>
      <c r="AA286" s="432"/>
      <c r="AB286" s="16"/>
      <c r="AC286" s="16"/>
      <c r="AD286" s="32" t="s">
        <v>62</v>
      </c>
      <c r="AJ286" s="58" t="s">
        <v>62</v>
      </c>
      <c r="AM286" s="143">
        <v>45614</v>
      </c>
    </row>
    <row r="287" spans="1:44" hidden="1" x14ac:dyDescent="0.25">
      <c r="A287" s="28">
        <v>286</v>
      </c>
      <c r="B287" s="632">
        <v>30397</v>
      </c>
      <c r="C287" s="635" t="s">
        <v>677</v>
      </c>
      <c r="D287" s="636" t="s">
        <v>1143</v>
      </c>
      <c r="E287" s="20" t="s">
        <v>862</v>
      </c>
      <c r="F287" s="626" t="s">
        <v>863</v>
      </c>
      <c r="G287" s="134" t="s">
        <v>13</v>
      </c>
      <c r="H287" s="3"/>
      <c r="I287" s="3"/>
      <c r="J287" s="3"/>
      <c r="K287" s="432"/>
      <c r="L287" s="443"/>
      <c r="M287" s="432"/>
      <c r="N287" s="432"/>
      <c r="O287" s="33">
        <v>45715</v>
      </c>
      <c r="P287" s="33"/>
      <c r="Q287" s="16"/>
      <c r="R287" s="105" t="s">
        <v>68</v>
      </c>
      <c r="S287" s="16"/>
      <c r="T287" s="105" t="s">
        <v>206</v>
      </c>
      <c r="U287" s="16"/>
      <c r="V287" s="105" t="s">
        <v>206</v>
      </c>
      <c r="W287" s="105" t="s">
        <v>206</v>
      </c>
      <c r="X287" s="105" t="s">
        <v>206</v>
      </c>
      <c r="Y287" s="32" t="s">
        <v>68</v>
      </c>
      <c r="Z287" s="432"/>
      <c r="AA287" s="432"/>
      <c r="AB287" s="16"/>
      <c r="AC287" s="16"/>
      <c r="AD287" s="32" t="s">
        <v>68</v>
      </c>
      <c r="AE287" s="105" t="s">
        <v>206</v>
      </c>
      <c r="AF287" s="105" t="s">
        <v>206</v>
      </c>
      <c r="AG287" s="382">
        <v>45472</v>
      </c>
      <c r="AH287" s="382">
        <v>45406</v>
      </c>
      <c r="AI287" s="58" t="s">
        <v>206</v>
      </c>
      <c r="AJ287" s="32" t="s">
        <v>68</v>
      </c>
      <c r="AM287" s="143">
        <v>45304</v>
      </c>
      <c r="AR287" t="s">
        <v>1144</v>
      </c>
    </row>
    <row r="288" spans="1:44" hidden="1" x14ac:dyDescent="0.25">
      <c r="A288" s="28">
        <v>287</v>
      </c>
      <c r="B288" s="632">
        <v>30397</v>
      </c>
      <c r="C288" s="635" t="s">
        <v>674</v>
      </c>
      <c r="D288" s="636" t="s">
        <v>1145</v>
      </c>
      <c r="E288" s="20" t="s">
        <v>862</v>
      </c>
      <c r="F288" s="626" t="s">
        <v>863</v>
      </c>
      <c r="G288" s="134" t="s">
        <v>13</v>
      </c>
      <c r="H288" s="3"/>
      <c r="I288" s="3"/>
      <c r="J288" s="3"/>
      <c r="K288" s="432"/>
      <c r="L288" s="443"/>
      <c r="M288" s="432"/>
      <c r="N288" s="432"/>
      <c r="O288" s="33">
        <v>45715</v>
      </c>
      <c r="P288" s="33"/>
      <c r="Q288" s="16"/>
      <c r="R288" s="105" t="s">
        <v>62</v>
      </c>
      <c r="S288" s="16"/>
      <c r="T288" s="105" t="s">
        <v>206</v>
      </c>
      <c r="U288" s="16"/>
      <c r="V288" s="105" t="s">
        <v>206</v>
      </c>
      <c r="W288" s="105" t="s">
        <v>206</v>
      </c>
      <c r="X288" s="105" t="s">
        <v>206</v>
      </c>
      <c r="Y288" s="44" t="s">
        <v>62</v>
      </c>
      <c r="Z288" s="432"/>
      <c r="AA288" s="432"/>
      <c r="AB288" s="16"/>
      <c r="AC288" s="16"/>
      <c r="AD288" s="44" t="s">
        <v>62</v>
      </c>
      <c r="AE288" s="105" t="s">
        <v>206</v>
      </c>
      <c r="AF288" s="105" t="s">
        <v>206</v>
      </c>
      <c r="AG288" s="382">
        <v>45472</v>
      </c>
      <c r="AH288" s="382">
        <v>45406</v>
      </c>
      <c r="AI288" s="58" t="s">
        <v>206</v>
      </c>
      <c r="AJ288" s="44" t="s">
        <v>62</v>
      </c>
      <c r="AM288" s="143">
        <v>45304</v>
      </c>
      <c r="AR288" t="s">
        <v>1144</v>
      </c>
    </row>
    <row r="289" spans="1:44" hidden="1" x14ac:dyDescent="0.25">
      <c r="A289" s="28">
        <v>288</v>
      </c>
      <c r="B289" s="632">
        <v>30451</v>
      </c>
      <c r="C289" s="635" t="s">
        <v>677</v>
      </c>
      <c r="D289" s="636" t="s">
        <v>1146</v>
      </c>
      <c r="E289" s="20" t="s">
        <v>862</v>
      </c>
      <c r="F289" s="626" t="s">
        <v>863</v>
      </c>
      <c r="G289" s="134" t="s">
        <v>13</v>
      </c>
      <c r="H289" s="3"/>
      <c r="I289" s="3"/>
      <c r="J289" s="3"/>
      <c r="K289" s="432"/>
      <c r="L289" s="443"/>
      <c r="M289" s="432"/>
      <c r="N289" s="432"/>
      <c r="O289" s="106">
        <v>45710</v>
      </c>
      <c r="P289" s="106"/>
      <c r="Q289" s="105"/>
      <c r="R289" s="105" t="s">
        <v>68</v>
      </c>
      <c r="S289" s="105"/>
      <c r="T289" s="105" t="s">
        <v>206</v>
      </c>
      <c r="U289" s="105"/>
      <c r="V289" s="105" t="s">
        <v>206</v>
      </c>
      <c r="W289" s="105" t="s">
        <v>206</v>
      </c>
      <c r="X289" s="105" t="s">
        <v>206</v>
      </c>
      <c r="Y289" s="105" t="s">
        <v>206</v>
      </c>
      <c r="Z289" s="432"/>
      <c r="AA289" s="432"/>
      <c r="AB289" s="105"/>
      <c r="AC289" s="105"/>
      <c r="AD289" s="105" t="s">
        <v>206</v>
      </c>
      <c r="AE289" s="105" t="s">
        <v>206</v>
      </c>
      <c r="AF289" s="271" t="s">
        <v>206</v>
      </c>
      <c r="AG289" s="381"/>
      <c r="AH289" s="381" t="s">
        <v>206</v>
      </c>
      <c r="AI289" s="58" t="s">
        <v>206</v>
      </c>
      <c r="AJ289" s="382" t="s">
        <v>206</v>
      </c>
      <c r="AM289" s="143">
        <v>45551</v>
      </c>
    </row>
    <row r="290" spans="1:44" hidden="1" x14ac:dyDescent="0.25">
      <c r="A290" s="28">
        <v>289</v>
      </c>
      <c r="B290" s="632">
        <v>30451</v>
      </c>
      <c r="C290" s="635" t="s">
        <v>674</v>
      </c>
      <c r="D290" s="636" t="s">
        <v>1147</v>
      </c>
      <c r="E290" s="20" t="s">
        <v>862</v>
      </c>
      <c r="F290" s="626" t="s">
        <v>863</v>
      </c>
      <c r="G290" s="134" t="s">
        <v>13</v>
      </c>
      <c r="H290" s="3"/>
      <c r="I290" s="3"/>
      <c r="J290" s="3"/>
      <c r="K290" s="432"/>
      <c r="L290" s="443"/>
      <c r="M290" s="432"/>
      <c r="N290" s="432"/>
      <c r="O290" s="106">
        <v>45710</v>
      </c>
      <c r="P290" s="106"/>
      <c r="Q290" s="105"/>
      <c r="R290" s="105" t="s">
        <v>62</v>
      </c>
      <c r="S290" s="105"/>
      <c r="T290" s="105" t="s">
        <v>206</v>
      </c>
      <c r="U290" s="105"/>
      <c r="V290" s="105" t="s">
        <v>206</v>
      </c>
      <c r="W290" s="105" t="s">
        <v>206</v>
      </c>
      <c r="X290" s="105" t="s">
        <v>206</v>
      </c>
      <c r="Y290" s="105" t="s">
        <v>206</v>
      </c>
      <c r="Z290" s="432"/>
      <c r="AA290" s="432"/>
      <c r="AB290" s="105"/>
      <c r="AC290" s="105"/>
      <c r="AD290" s="105" t="s">
        <v>206</v>
      </c>
      <c r="AE290" s="105" t="s">
        <v>206</v>
      </c>
      <c r="AF290" s="271" t="s">
        <v>206</v>
      </c>
      <c r="AG290" s="381"/>
      <c r="AH290" s="381" t="s">
        <v>206</v>
      </c>
      <c r="AI290" s="58" t="s">
        <v>206</v>
      </c>
      <c r="AJ290" s="382" t="s">
        <v>206</v>
      </c>
      <c r="AM290" s="143">
        <v>45551</v>
      </c>
    </row>
    <row r="291" spans="1:44" hidden="1" x14ac:dyDescent="0.25">
      <c r="A291" s="28">
        <v>290</v>
      </c>
      <c r="B291" s="632">
        <v>30456</v>
      </c>
      <c r="C291" s="635" t="s">
        <v>677</v>
      </c>
      <c r="D291" s="636" t="s">
        <v>1148</v>
      </c>
      <c r="E291" s="20" t="s">
        <v>862</v>
      </c>
      <c r="F291" s="626" t="s">
        <v>863</v>
      </c>
      <c r="G291" s="134" t="s">
        <v>13</v>
      </c>
      <c r="H291" s="3"/>
      <c r="I291" s="3"/>
      <c r="J291" s="3"/>
      <c r="K291" s="432"/>
      <c r="L291" s="443"/>
      <c r="M291" s="432"/>
      <c r="N291" s="432"/>
      <c r="O291" s="33">
        <v>45665</v>
      </c>
      <c r="P291" s="33"/>
      <c r="Q291" s="16"/>
      <c r="R291" s="16"/>
      <c r="S291" s="16"/>
      <c r="T291" s="16"/>
      <c r="U291" s="16"/>
      <c r="V291" s="16"/>
      <c r="W291" s="16"/>
      <c r="X291" s="16"/>
      <c r="Y291" s="30" t="s">
        <v>68</v>
      </c>
      <c r="Z291" s="432"/>
      <c r="AA291" s="432"/>
      <c r="AB291" s="16"/>
      <c r="AC291" s="16"/>
      <c r="AD291" s="30" t="s">
        <v>68</v>
      </c>
      <c r="AJ291" s="30" t="s">
        <v>68</v>
      </c>
      <c r="AM291" s="143">
        <v>45554</v>
      </c>
      <c r="AR291" t="s">
        <v>1144</v>
      </c>
    </row>
    <row r="292" spans="1:44" hidden="1" x14ac:dyDescent="0.25">
      <c r="A292" s="28">
        <v>291</v>
      </c>
      <c r="B292" s="632">
        <v>30456</v>
      </c>
      <c r="C292" s="635" t="s">
        <v>674</v>
      </c>
      <c r="D292" s="636" t="s">
        <v>1149</v>
      </c>
      <c r="E292" s="20" t="s">
        <v>862</v>
      </c>
      <c r="F292" s="626" t="s">
        <v>863</v>
      </c>
      <c r="G292" s="134" t="s">
        <v>13</v>
      </c>
      <c r="H292" s="3"/>
      <c r="I292" s="3"/>
      <c r="J292" s="3"/>
      <c r="K292" s="432"/>
      <c r="L292" s="443"/>
      <c r="M292" s="432"/>
      <c r="N292" s="432"/>
      <c r="O292" s="33">
        <v>45665</v>
      </c>
      <c r="P292" s="33"/>
      <c r="Q292" s="16"/>
      <c r="R292" s="16"/>
      <c r="S292" s="16"/>
      <c r="T292" s="16"/>
      <c r="U292" s="16"/>
      <c r="V292" s="16"/>
      <c r="W292" s="16"/>
      <c r="X292" s="16"/>
      <c r="Y292" s="30" t="s">
        <v>62</v>
      </c>
      <c r="Z292" s="432"/>
      <c r="AA292" s="432"/>
      <c r="AB292" s="16"/>
      <c r="AC292" s="16"/>
      <c r="AD292" s="30" t="s">
        <v>62</v>
      </c>
      <c r="AJ292" s="30" t="s">
        <v>62</v>
      </c>
      <c r="AM292" s="143">
        <v>45554</v>
      </c>
      <c r="AR292" t="s">
        <v>1144</v>
      </c>
    </row>
    <row r="293" spans="1:44" hidden="1" x14ac:dyDescent="0.25">
      <c r="A293" s="28">
        <v>292</v>
      </c>
      <c r="B293" s="632">
        <v>30442</v>
      </c>
      <c r="C293" s="635" t="s">
        <v>677</v>
      </c>
      <c r="D293" s="636" t="s">
        <v>1150</v>
      </c>
      <c r="E293" s="20" t="s">
        <v>862</v>
      </c>
      <c r="F293" s="626" t="s">
        <v>863</v>
      </c>
      <c r="G293" s="134" t="s">
        <v>13</v>
      </c>
      <c r="H293" s="3"/>
      <c r="I293" s="3"/>
      <c r="J293" s="3"/>
      <c r="K293" s="432"/>
      <c r="L293" s="443"/>
      <c r="M293" s="432"/>
      <c r="N293" s="432"/>
      <c r="O293" s="33"/>
      <c r="P293" s="33"/>
      <c r="Q293" s="16"/>
      <c r="R293" s="16"/>
      <c r="S293" s="16"/>
      <c r="T293" s="16"/>
      <c r="U293" s="16"/>
      <c r="V293" s="16"/>
      <c r="W293" s="16"/>
      <c r="X293" s="16"/>
      <c r="Y293" s="16" t="s">
        <v>68</v>
      </c>
      <c r="Z293" s="432"/>
      <c r="AA293" s="432"/>
      <c r="AB293" s="16"/>
      <c r="AC293" s="16"/>
      <c r="AD293" s="32" t="s">
        <v>68</v>
      </c>
      <c r="AJ293" s="32" t="s">
        <v>68</v>
      </c>
      <c r="AR293" t="s">
        <v>1144</v>
      </c>
    </row>
    <row r="294" spans="1:44" hidden="1" x14ac:dyDescent="0.25">
      <c r="A294" s="28">
        <v>293</v>
      </c>
      <c r="B294" s="632">
        <v>30460</v>
      </c>
      <c r="C294" s="635" t="s">
        <v>674</v>
      </c>
      <c r="D294" s="636" t="s">
        <v>1151</v>
      </c>
      <c r="E294" s="20" t="s">
        <v>862</v>
      </c>
      <c r="F294" s="626" t="s">
        <v>863</v>
      </c>
      <c r="G294" s="134" t="s">
        <v>13</v>
      </c>
      <c r="H294" s="3"/>
      <c r="I294" s="3"/>
      <c r="J294" s="3"/>
      <c r="K294" s="432"/>
      <c r="L294" s="443"/>
      <c r="M294" s="432"/>
      <c r="N294" s="432"/>
      <c r="O294" s="33">
        <v>45594</v>
      </c>
      <c r="P294" s="33">
        <v>45642</v>
      </c>
      <c r="Q294" s="16"/>
      <c r="R294" s="16"/>
      <c r="S294" s="16"/>
      <c r="T294" s="16"/>
      <c r="U294" s="16"/>
      <c r="V294" s="16"/>
      <c r="W294" s="16"/>
      <c r="X294" s="16"/>
      <c r="Y294" s="16" t="s">
        <v>62</v>
      </c>
      <c r="Z294" s="432"/>
      <c r="AA294" s="432"/>
      <c r="AB294" s="16"/>
      <c r="AC294" s="16"/>
      <c r="AD294" s="32" t="s">
        <v>62</v>
      </c>
      <c r="AJ294" s="32" t="s">
        <v>62</v>
      </c>
      <c r="AM294" s="143">
        <v>45589</v>
      </c>
      <c r="AR294" t="s">
        <v>1144</v>
      </c>
    </row>
    <row r="295" spans="1:44" hidden="1" x14ac:dyDescent="0.25">
      <c r="A295" s="28">
        <v>294</v>
      </c>
      <c r="B295" s="637">
        <v>30519</v>
      </c>
      <c r="C295" s="638" t="s">
        <v>677</v>
      </c>
      <c r="D295" s="636" t="s">
        <v>1152</v>
      </c>
      <c r="E295" s="20" t="s">
        <v>862</v>
      </c>
      <c r="F295" s="626" t="s">
        <v>863</v>
      </c>
      <c r="G295" s="134" t="s">
        <v>13</v>
      </c>
      <c r="H295" s="3"/>
      <c r="I295" s="3"/>
      <c r="J295" s="3"/>
      <c r="K295" s="432"/>
      <c r="L295" s="443"/>
      <c r="M295" s="432"/>
      <c r="N295" s="432"/>
      <c r="O295" s="33">
        <v>45670</v>
      </c>
      <c r="P295" s="33"/>
      <c r="Q295" s="16"/>
      <c r="R295" s="16"/>
      <c r="S295" s="16"/>
      <c r="T295" s="16"/>
      <c r="U295" s="16"/>
      <c r="V295" s="16"/>
      <c r="W295" s="16"/>
      <c r="X295" s="16"/>
      <c r="Y295" s="16" t="s">
        <v>68</v>
      </c>
      <c r="Z295" s="432"/>
      <c r="AA295" s="432"/>
      <c r="AB295" s="16"/>
      <c r="AC295" s="16"/>
      <c r="AD295" s="16" t="s">
        <v>68</v>
      </c>
      <c r="AJ295" s="16" t="s">
        <v>68</v>
      </c>
      <c r="AR295" t="s">
        <v>1144</v>
      </c>
    </row>
    <row r="296" spans="1:44" hidden="1" x14ac:dyDescent="0.25">
      <c r="A296" s="28">
        <v>295</v>
      </c>
      <c r="B296" s="637">
        <v>30519</v>
      </c>
      <c r="C296" s="639" t="s">
        <v>674</v>
      </c>
      <c r="D296" s="636" t="s">
        <v>1153</v>
      </c>
      <c r="E296" s="20" t="s">
        <v>862</v>
      </c>
      <c r="F296" s="626" t="s">
        <v>863</v>
      </c>
      <c r="G296" s="134" t="s">
        <v>13</v>
      </c>
      <c r="H296" s="3"/>
      <c r="I296" s="3"/>
      <c r="J296" s="3"/>
      <c r="K296" s="432"/>
      <c r="L296" s="443"/>
      <c r="M296" s="432"/>
      <c r="N296" s="432"/>
      <c r="O296" s="33">
        <v>45670</v>
      </c>
      <c r="P296" s="33"/>
      <c r="Q296" s="16"/>
      <c r="R296" s="16"/>
      <c r="S296" s="16"/>
      <c r="T296" s="16"/>
      <c r="U296" s="16"/>
      <c r="V296" s="16"/>
      <c r="W296" s="16"/>
      <c r="X296" s="16"/>
      <c r="Y296" s="16" t="s">
        <v>62</v>
      </c>
      <c r="Z296" s="432"/>
      <c r="AA296" s="432"/>
      <c r="AB296" s="16"/>
      <c r="AC296" s="16"/>
      <c r="AD296" s="16" t="s">
        <v>62</v>
      </c>
      <c r="AJ296" s="16" t="s">
        <v>62</v>
      </c>
      <c r="AR296" t="s">
        <v>1144</v>
      </c>
    </row>
    <row r="297" spans="1:44" hidden="1" x14ac:dyDescent="0.25">
      <c r="A297" s="28">
        <v>296</v>
      </c>
      <c r="B297" s="640">
        <v>30352</v>
      </c>
      <c r="C297" s="641" t="s">
        <v>677</v>
      </c>
      <c r="D297" s="642" t="s">
        <v>1154</v>
      </c>
      <c r="E297" s="20" t="s">
        <v>862</v>
      </c>
      <c r="F297" s="626" t="s">
        <v>863</v>
      </c>
      <c r="G297" s="134" t="s">
        <v>13</v>
      </c>
      <c r="H297" s="3"/>
      <c r="I297" s="3"/>
      <c r="J297" s="3"/>
      <c r="K297" s="432"/>
      <c r="L297" s="443"/>
      <c r="M297" s="432"/>
      <c r="N297" s="432"/>
      <c r="O297" s="33">
        <v>45678</v>
      </c>
      <c r="P297" s="33"/>
      <c r="Q297" s="16"/>
      <c r="R297" s="16"/>
      <c r="S297" s="16"/>
      <c r="T297" s="16"/>
      <c r="U297" s="16"/>
      <c r="V297" s="16"/>
      <c r="W297" s="16"/>
      <c r="X297" s="16"/>
      <c r="Y297" s="16" t="s">
        <v>68</v>
      </c>
      <c r="Z297" s="432"/>
      <c r="AA297" s="432"/>
      <c r="AB297" s="16"/>
      <c r="AC297" s="16"/>
      <c r="AD297" s="16" t="s">
        <v>68</v>
      </c>
      <c r="AJ297" s="16" t="s">
        <v>68</v>
      </c>
      <c r="AM297" s="143">
        <v>45525</v>
      </c>
      <c r="AR297" t="s">
        <v>1144</v>
      </c>
    </row>
    <row r="298" spans="1:44" hidden="1" x14ac:dyDescent="0.25">
      <c r="A298" s="1251">
        <v>297</v>
      </c>
      <c r="B298" s="1252">
        <v>30352</v>
      </c>
      <c r="C298" s="1253" t="s">
        <v>674</v>
      </c>
      <c r="D298" s="1254" t="s">
        <v>1155</v>
      </c>
      <c r="E298" s="111" t="s">
        <v>862</v>
      </c>
      <c r="F298" s="1255" t="s">
        <v>863</v>
      </c>
      <c r="G298" s="134" t="s">
        <v>13</v>
      </c>
      <c r="H298" s="115"/>
      <c r="I298" s="115"/>
      <c r="J298" s="115"/>
      <c r="K298" s="446"/>
      <c r="L298" s="447"/>
      <c r="M298" s="432"/>
      <c r="N298" s="432"/>
      <c r="O298" s="33">
        <v>45678</v>
      </c>
      <c r="P298" s="406"/>
      <c r="Q298" s="117"/>
      <c r="R298" s="117"/>
      <c r="S298" s="117"/>
      <c r="T298" s="117"/>
      <c r="U298" s="117"/>
      <c r="V298" s="117"/>
      <c r="W298" s="117"/>
      <c r="X298" s="117"/>
      <c r="Y298" s="117" t="s">
        <v>62</v>
      </c>
      <c r="Z298" s="446"/>
      <c r="AA298" s="446"/>
      <c r="AB298" s="117"/>
      <c r="AC298" s="117"/>
      <c r="AD298" s="117" t="s">
        <v>62</v>
      </c>
      <c r="AE298" s="117"/>
      <c r="AF298" s="117"/>
      <c r="AG298" s="511"/>
      <c r="AH298" s="511"/>
      <c r="AI298" s="511"/>
      <c r="AJ298" s="117" t="s">
        <v>62</v>
      </c>
      <c r="AK298" s="186"/>
      <c r="AM298" s="143">
        <v>45525</v>
      </c>
      <c r="AR298" t="s">
        <v>1144</v>
      </c>
    </row>
    <row r="299" spans="1:44" ht="14.4" hidden="1" x14ac:dyDescent="0.3">
      <c r="A299" s="1248">
        <v>298</v>
      </c>
      <c r="B299" s="104">
        <v>39213</v>
      </c>
      <c r="C299" s="103" t="s">
        <v>677</v>
      </c>
      <c r="D299" s="103" t="s">
        <v>678</v>
      </c>
      <c r="E299" s="229" t="s">
        <v>660</v>
      </c>
      <c r="F299" s="291" t="s">
        <v>661</v>
      </c>
      <c r="G299" s="291" t="s">
        <v>13</v>
      </c>
      <c r="H299" s="118">
        <v>44915</v>
      </c>
      <c r="I299" s="103"/>
      <c r="J299" s="103" t="s">
        <v>58</v>
      </c>
      <c r="K299" s="438"/>
      <c r="L299" s="471"/>
      <c r="O299" s="106">
        <v>45468</v>
      </c>
      <c r="P299" s="106"/>
      <c r="Q299" s="1249" t="s">
        <v>68</v>
      </c>
      <c r="R299" s="1249" t="s">
        <v>68</v>
      </c>
      <c r="S299" s="16" t="s">
        <v>68</v>
      </c>
      <c r="T299" s="16" t="s">
        <v>68</v>
      </c>
      <c r="U299" s="105"/>
      <c r="V299" s="105"/>
      <c r="W299" s="1249" t="s">
        <v>68</v>
      </c>
      <c r="X299" s="105"/>
      <c r="Y299" s="105"/>
      <c r="Z299" s="438"/>
      <c r="AA299" s="438"/>
      <c r="AB299" s="105"/>
      <c r="AC299" s="105"/>
      <c r="AD299" s="16" t="s">
        <v>68</v>
      </c>
      <c r="AE299" s="105"/>
      <c r="AF299" s="1249" t="s">
        <v>68</v>
      </c>
      <c r="AG299" s="1250">
        <v>45492</v>
      </c>
      <c r="AH299" s="1360">
        <v>45492</v>
      </c>
      <c r="AI299" s="382">
        <v>45323</v>
      </c>
      <c r="AJ299" s="1279" t="s">
        <v>68</v>
      </c>
      <c r="AK299" s="187"/>
      <c r="AL299" s="187" t="s">
        <v>676</v>
      </c>
      <c r="AM299" s="187" t="s">
        <v>662</v>
      </c>
    </row>
    <row r="300" spans="1:44" ht="14.4" hidden="1" x14ac:dyDescent="0.3">
      <c r="A300" s="1248">
        <v>299</v>
      </c>
      <c r="B300" s="104">
        <v>39213</v>
      </c>
      <c r="C300" s="103" t="s">
        <v>674</v>
      </c>
      <c r="D300" s="103" t="s">
        <v>675</v>
      </c>
      <c r="E300" s="229" t="s">
        <v>660</v>
      </c>
      <c r="F300" s="291" t="s">
        <v>661</v>
      </c>
      <c r="G300" s="291" t="s">
        <v>13</v>
      </c>
      <c r="H300" s="118">
        <v>44915</v>
      </c>
      <c r="I300" s="103"/>
      <c r="J300" s="103" t="s">
        <v>58</v>
      </c>
      <c r="K300" s="438"/>
      <c r="L300" s="471"/>
      <c r="O300" s="106">
        <v>45468</v>
      </c>
      <c r="P300" s="106"/>
      <c r="Q300" s="1249" t="s">
        <v>62</v>
      </c>
      <c r="R300" s="1249" t="s">
        <v>62</v>
      </c>
      <c r="S300" s="16" t="s">
        <v>62</v>
      </c>
      <c r="T300" s="16" t="s">
        <v>62</v>
      </c>
      <c r="U300" s="105"/>
      <c r="V300" s="105"/>
      <c r="W300" s="1249" t="s">
        <v>62</v>
      </c>
      <c r="X300" s="105"/>
      <c r="Y300" s="105"/>
      <c r="Z300" s="438"/>
      <c r="AA300" s="438"/>
      <c r="AB300" s="105"/>
      <c r="AC300" s="105"/>
      <c r="AD300" s="16" t="s">
        <v>62</v>
      </c>
      <c r="AE300" s="105"/>
      <c r="AF300" s="1249" t="s">
        <v>62</v>
      </c>
      <c r="AG300" s="1250">
        <v>45492</v>
      </c>
      <c r="AH300" s="1360">
        <v>45492</v>
      </c>
      <c r="AI300" s="382">
        <v>45324</v>
      </c>
      <c r="AJ300" s="1279" t="s">
        <v>62</v>
      </c>
      <c r="AK300" s="187"/>
      <c r="AL300" s="187" t="s">
        <v>676</v>
      </c>
      <c r="AM300" s="187" t="s">
        <v>662</v>
      </c>
    </row>
    <row r="301" spans="1:44" ht="14.4" hidden="1" x14ac:dyDescent="0.3">
      <c r="A301" s="1259">
        <v>300</v>
      </c>
      <c r="B301" s="72">
        <v>37601</v>
      </c>
      <c r="C301" s="72" t="s">
        <v>64</v>
      </c>
      <c r="D301" s="1260" t="s">
        <v>1156</v>
      </c>
      <c r="E301" s="1260" t="s">
        <v>1035</v>
      </c>
      <c r="F301" s="1261" t="s">
        <v>661</v>
      </c>
      <c r="G301" s="1261" t="s">
        <v>13</v>
      </c>
      <c r="H301" s="1262">
        <v>44995</v>
      </c>
      <c r="J301" s="781" t="s">
        <v>58</v>
      </c>
      <c r="O301" s="1363">
        <v>45474</v>
      </c>
      <c r="P301" s="1364"/>
      <c r="Q301" s="1364"/>
      <c r="R301" s="1364" t="s">
        <v>68</v>
      </c>
      <c r="S301" s="1364" t="s">
        <v>68</v>
      </c>
      <c r="T301" s="1364"/>
      <c r="U301" s="1364"/>
      <c r="V301" s="1363">
        <v>45474</v>
      </c>
      <c r="W301" s="1363">
        <v>45474</v>
      </c>
      <c r="X301" s="1263" t="s">
        <v>68</v>
      </c>
      <c r="Y301" s="1364" t="s">
        <v>1157</v>
      </c>
      <c r="AD301" s="1263" t="s">
        <v>68</v>
      </c>
      <c r="AE301" s="241"/>
      <c r="AF301" s="1263" t="s">
        <v>68</v>
      </c>
      <c r="AG301" s="778">
        <v>45482</v>
      </c>
      <c r="AH301" s="1360">
        <v>45516</v>
      </c>
      <c r="AI301" s="1263" t="s">
        <v>68</v>
      </c>
      <c r="AJ301" s="1264" t="s">
        <v>68</v>
      </c>
      <c r="AK301" s="1263" t="s">
        <v>68</v>
      </c>
      <c r="AM301" s="242"/>
    </row>
    <row r="302" spans="1:44" ht="14.4" hidden="1" x14ac:dyDescent="0.3">
      <c r="A302" s="28">
        <v>301</v>
      </c>
      <c r="B302" s="72">
        <v>37601</v>
      </c>
      <c r="C302" s="72" t="s">
        <v>54</v>
      </c>
      <c r="D302" s="650" t="s">
        <v>1158</v>
      </c>
      <c r="E302" s="650" t="s">
        <v>1035</v>
      </c>
      <c r="F302" s="291" t="s">
        <v>661</v>
      </c>
      <c r="G302" s="291" t="s">
        <v>13</v>
      </c>
      <c r="H302" s="651">
        <v>44995</v>
      </c>
      <c r="J302" s="103" t="s">
        <v>58</v>
      </c>
      <c r="O302" s="1365">
        <v>45474</v>
      </c>
      <c r="P302" s="1366"/>
      <c r="Q302" s="1366"/>
      <c r="R302" s="1366" t="s">
        <v>62</v>
      </c>
      <c r="S302" s="1366" t="s">
        <v>62</v>
      </c>
      <c r="T302" s="1366"/>
      <c r="U302" s="1366"/>
      <c r="V302" s="1365">
        <v>45474</v>
      </c>
      <c r="W302" s="1365">
        <v>45474</v>
      </c>
      <c r="X302" s="828" t="s">
        <v>62</v>
      </c>
      <c r="Y302" s="1366" t="s">
        <v>1157</v>
      </c>
      <c r="AD302" s="828" t="s">
        <v>62</v>
      </c>
      <c r="AF302" s="828" t="s">
        <v>62</v>
      </c>
      <c r="AG302" s="382">
        <v>45482</v>
      </c>
      <c r="AH302" s="1360">
        <v>45516</v>
      </c>
      <c r="AI302" s="828" t="s">
        <v>62</v>
      </c>
      <c r="AJ302" s="652" t="s">
        <v>62</v>
      </c>
      <c r="AK302" s="828" t="s">
        <v>62</v>
      </c>
    </row>
    <row r="303" spans="1:44" ht="14.4" hidden="1" x14ac:dyDescent="0.3">
      <c r="A303" s="28">
        <v>302</v>
      </c>
      <c r="B303" s="650">
        <v>37603</v>
      </c>
      <c r="C303" s="650" t="s">
        <v>64</v>
      </c>
      <c r="D303" s="650" t="s">
        <v>1159</v>
      </c>
      <c r="E303" s="650" t="s">
        <v>1035</v>
      </c>
      <c r="F303" s="291" t="s">
        <v>661</v>
      </c>
      <c r="G303" s="291" t="s">
        <v>13</v>
      </c>
      <c r="H303" s="651">
        <v>45008</v>
      </c>
      <c r="I303" s="650"/>
      <c r="J303" s="103" t="s">
        <v>58</v>
      </c>
      <c r="K303" s="650"/>
      <c r="L303" s="650"/>
      <c r="M303" s="650"/>
      <c r="N303" s="650"/>
      <c r="O303" s="1365">
        <v>45462</v>
      </c>
      <c r="P303" s="1366"/>
      <c r="Q303" s="1366"/>
      <c r="R303" s="1366" t="s">
        <v>68</v>
      </c>
      <c r="S303" s="1366" t="s">
        <v>68</v>
      </c>
      <c r="T303" s="1366"/>
      <c r="U303" s="1366"/>
      <c r="V303" s="1365">
        <v>45259</v>
      </c>
      <c r="W303" s="1365">
        <v>45467</v>
      </c>
      <c r="X303" s="828" t="s">
        <v>68</v>
      </c>
      <c r="Y303" s="1366" t="s">
        <v>1157</v>
      </c>
      <c r="Z303" s="650"/>
      <c r="AA303" s="650"/>
      <c r="AB303" s="650"/>
      <c r="AC303" s="650"/>
      <c r="AD303" s="828" t="s">
        <v>68</v>
      </c>
      <c r="AE303" s="650"/>
      <c r="AF303" s="828" t="s">
        <v>68</v>
      </c>
      <c r="AG303" s="651">
        <v>45467</v>
      </c>
      <c r="AH303" s="828" t="s">
        <v>68</v>
      </c>
      <c r="AI303" s="828" t="s">
        <v>68</v>
      </c>
      <c r="AJ303" s="652" t="s">
        <v>68</v>
      </c>
      <c r="AK303" s="828" t="s">
        <v>68</v>
      </c>
    </row>
    <row r="304" spans="1:44" ht="14.4" hidden="1" x14ac:dyDescent="0.3">
      <c r="A304" s="28">
        <v>303</v>
      </c>
      <c r="B304" s="650">
        <v>37603</v>
      </c>
      <c r="C304" s="650" t="s">
        <v>54</v>
      </c>
      <c r="D304" s="650" t="s">
        <v>1160</v>
      </c>
      <c r="E304" s="650" t="s">
        <v>1035</v>
      </c>
      <c r="F304" s="291" t="s">
        <v>661</v>
      </c>
      <c r="G304" s="291" t="s">
        <v>13</v>
      </c>
      <c r="H304" s="651">
        <v>45008</v>
      </c>
      <c r="I304" s="650"/>
      <c r="J304" s="103" t="s">
        <v>58</v>
      </c>
      <c r="K304" s="650"/>
      <c r="L304" s="650"/>
      <c r="M304" s="650"/>
      <c r="N304" s="650"/>
      <c r="O304" s="1365">
        <v>45462</v>
      </c>
      <c r="P304" s="1366"/>
      <c r="Q304" s="1366"/>
      <c r="R304" s="1366" t="s">
        <v>62</v>
      </c>
      <c r="S304" s="1366" t="s">
        <v>62</v>
      </c>
      <c r="T304" s="1366"/>
      <c r="U304" s="1366"/>
      <c r="V304" s="1365">
        <v>45259</v>
      </c>
      <c r="W304" s="1365">
        <v>45467</v>
      </c>
      <c r="X304" s="828" t="s">
        <v>62</v>
      </c>
      <c r="Y304" s="1366" t="s">
        <v>1157</v>
      </c>
      <c r="Z304" s="650"/>
      <c r="AA304" s="650"/>
      <c r="AB304" s="650"/>
      <c r="AC304" s="650"/>
      <c r="AD304" s="828" t="s">
        <v>62</v>
      </c>
      <c r="AE304" s="650"/>
      <c r="AF304" s="828" t="s">
        <v>62</v>
      </c>
      <c r="AG304" s="651">
        <v>45467</v>
      </c>
      <c r="AH304" s="828" t="s">
        <v>62</v>
      </c>
      <c r="AI304" s="828" t="s">
        <v>62</v>
      </c>
      <c r="AJ304" s="652" t="s">
        <v>62</v>
      </c>
      <c r="AK304" s="828" t="s">
        <v>62</v>
      </c>
    </row>
    <row r="305" spans="1:39" ht="14.4" hidden="1" x14ac:dyDescent="0.3">
      <c r="A305" s="28">
        <v>304</v>
      </c>
      <c r="B305" s="650">
        <v>37604</v>
      </c>
      <c r="C305" s="650" t="s">
        <v>64</v>
      </c>
      <c r="D305" s="650" t="s">
        <v>1161</v>
      </c>
      <c r="E305" s="650" t="s">
        <v>1035</v>
      </c>
      <c r="F305" s="291" t="s">
        <v>661</v>
      </c>
      <c r="G305" s="291" t="s">
        <v>13</v>
      </c>
      <c r="H305" s="651">
        <v>45008</v>
      </c>
      <c r="I305" s="650"/>
      <c r="J305" s="103" t="s">
        <v>58</v>
      </c>
      <c r="K305" s="650"/>
      <c r="L305" s="650"/>
      <c r="M305" s="650"/>
      <c r="N305" s="650"/>
      <c r="O305" s="1365">
        <v>45428</v>
      </c>
      <c r="P305" s="1366"/>
      <c r="Q305" s="1366"/>
      <c r="R305" s="1366" t="s">
        <v>68</v>
      </c>
      <c r="S305" s="1366" t="s">
        <v>68</v>
      </c>
      <c r="T305" s="1366"/>
      <c r="U305" s="1366"/>
      <c r="V305" s="1365">
        <v>45263</v>
      </c>
      <c r="W305" s="1366"/>
      <c r="X305" s="828" t="s">
        <v>68</v>
      </c>
      <c r="Y305" s="1366" t="s">
        <v>1157</v>
      </c>
      <c r="Z305" s="650"/>
      <c r="AA305" s="650"/>
      <c r="AB305" s="650"/>
      <c r="AC305" s="650"/>
      <c r="AD305" s="828" t="s">
        <v>68</v>
      </c>
      <c r="AE305" s="650"/>
      <c r="AF305" s="828" t="s">
        <v>68</v>
      </c>
      <c r="AG305" s="650"/>
      <c r="AH305" s="828" t="s">
        <v>68</v>
      </c>
      <c r="AI305" s="828" t="s">
        <v>68</v>
      </c>
      <c r="AJ305" s="652" t="s">
        <v>68</v>
      </c>
      <c r="AK305" s="828" t="s">
        <v>68</v>
      </c>
    </row>
    <row r="306" spans="1:39" ht="14.4" hidden="1" x14ac:dyDescent="0.3">
      <c r="A306" s="28">
        <v>305</v>
      </c>
      <c r="B306" s="650">
        <v>37604</v>
      </c>
      <c r="C306" s="650" t="s">
        <v>54</v>
      </c>
      <c r="D306" s="650" t="s">
        <v>1162</v>
      </c>
      <c r="E306" s="650" t="s">
        <v>1035</v>
      </c>
      <c r="F306" s="291" t="s">
        <v>661</v>
      </c>
      <c r="G306" s="291" t="s">
        <v>13</v>
      </c>
      <c r="H306" s="651">
        <v>45008</v>
      </c>
      <c r="I306" s="650"/>
      <c r="J306" s="103" t="s">
        <v>58</v>
      </c>
      <c r="K306" s="650"/>
      <c r="L306" s="650"/>
      <c r="M306" s="650"/>
      <c r="N306" s="650"/>
      <c r="O306" s="1365">
        <v>45428</v>
      </c>
      <c r="P306" s="1366"/>
      <c r="Q306" s="1366"/>
      <c r="R306" s="1366" t="s">
        <v>62</v>
      </c>
      <c r="S306" s="1366" t="s">
        <v>62</v>
      </c>
      <c r="T306" s="1366"/>
      <c r="U306" s="1366"/>
      <c r="V306" s="1365">
        <v>45263</v>
      </c>
      <c r="W306" s="1366"/>
      <c r="X306" s="828" t="s">
        <v>62</v>
      </c>
      <c r="Y306" s="1366" t="s">
        <v>1157</v>
      </c>
      <c r="Z306" s="650"/>
      <c r="AA306" s="650"/>
      <c r="AB306" s="650"/>
      <c r="AC306" s="650"/>
      <c r="AD306" s="828" t="s">
        <v>62</v>
      </c>
      <c r="AE306" s="650"/>
      <c r="AF306" s="828" t="s">
        <v>62</v>
      </c>
      <c r="AG306" s="650"/>
      <c r="AH306" s="828" t="s">
        <v>62</v>
      </c>
      <c r="AI306" s="828" t="s">
        <v>62</v>
      </c>
      <c r="AJ306" s="652" t="s">
        <v>62</v>
      </c>
      <c r="AK306" s="828" t="s">
        <v>62</v>
      </c>
    </row>
    <row r="307" spans="1:39" ht="14.4" hidden="1" x14ac:dyDescent="0.3">
      <c r="A307" s="28">
        <v>306</v>
      </c>
      <c r="B307" s="650">
        <v>37620</v>
      </c>
      <c r="C307" s="650" t="s">
        <v>64</v>
      </c>
      <c r="D307" s="650" t="s">
        <v>1163</v>
      </c>
      <c r="E307" s="650" t="s">
        <v>1035</v>
      </c>
      <c r="F307" s="291" t="s">
        <v>661</v>
      </c>
      <c r="G307" s="291" t="s">
        <v>13</v>
      </c>
      <c r="H307" s="650"/>
      <c r="I307" s="650"/>
      <c r="J307" s="103" t="s">
        <v>58</v>
      </c>
      <c r="K307" s="650"/>
      <c r="L307" s="650"/>
      <c r="M307" s="650"/>
      <c r="N307" s="650"/>
      <c r="O307" s="1365">
        <v>45419</v>
      </c>
      <c r="P307" s="1366"/>
      <c r="Q307" s="1366"/>
      <c r="R307" s="828" t="s">
        <v>68</v>
      </c>
      <c r="S307" s="1366" t="s">
        <v>68</v>
      </c>
      <c r="T307" s="828" t="s">
        <v>68</v>
      </c>
      <c r="U307" s="1366"/>
      <c r="V307" s="828" t="s">
        <v>68</v>
      </c>
      <c r="W307" s="1365">
        <v>45470</v>
      </c>
      <c r="X307" s="828" t="s">
        <v>68</v>
      </c>
      <c r="Y307" s="1366" t="s">
        <v>1157</v>
      </c>
      <c r="Z307" s="650"/>
      <c r="AA307" s="650"/>
      <c r="AB307" s="650"/>
      <c r="AC307" s="650"/>
      <c r="AD307" s="828" t="s">
        <v>68</v>
      </c>
      <c r="AE307" s="650"/>
      <c r="AF307" s="828" t="s">
        <v>68</v>
      </c>
      <c r="AG307" s="1367">
        <v>45470</v>
      </c>
      <c r="AH307" s="828" t="s">
        <v>68</v>
      </c>
      <c r="AI307" s="828" t="s">
        <v>68</v>
      </c>
      <c r="AJ307" s="828" t="s">
        <v>68</v>
      </c>
      <c r="AK307" s="828" t="s">
        <v>68</v>
      </c>
      <c r="AM307" s="24" t="s">
        <v>1164</v>
      </c>
    </row>
    <row r="308" spans="1:39" ht="28.8" hidden="1" x14ac:dyDescent="0.3">
      <c r="A308" s="28">
        <v>307</v>
      </c>
      <c r="B308" s="650">
        <v>37620</v>
      </c>
      <c r="C308" s="650" t="s">
        <v>54</v>
      </c>
      <c r="D308" s="650" t="s">
        <v>1165</v>
      </c>
      <c r="E308" s="650" t="s">
        <v>1035</v>
      </c>
      <c r="F308" s="291" t="s">
        <v>661</v>
      </c>
      <c r="G308" s="291" t="s">
        <v>13</v>
      </c>
      <c r="H308" s="650"/>
      <c r="I308" s="650"/>
      <c r="J308" s="103" t="s">
        <v>58</v>
      </c>
      <c r="K308" s="650"/>
      <c r="L308" s="650"/>
      <c r="M308" s="650"/>
      <c r="N308" s="650"/>
      <c r="O308" s="1365">
        <v>45419</v>
      </c>
      <c r="P308" s="1366"/>
      <c r="Q308" s="1366"/>
      <c r="R308" s="828" t="s">
        <v>62</v>
      </c>
      <c r="S308" s="1366" t="s">
        <v>62</v>
      </c>
      <c r="T308" s="829" t="s">
        <v>1166</v>
      </c>
      <c r="U308" s="1366"/>
      <c r="V308" s="828" t="s">
        <v>62</v>
      </c>
      <c r="W308" s="1365">
        <v>45470</v>
      </c>
      <c r="X308" s="828" t="s">
        <v>68</v>
      </c>
      <c r="Y308" s="1366" t="s">
        <v>1157</v>
      </c>
      <c r="Z308" s="650"/>
      <c r="AA308" s="650"/>
      <c r="AB308" s="650"/>
      <c r="AC308" s="650"/>
      <c r="AD308" s="829" t="s">
        <v>1166</v>
      </c>
      <c r="AE308" s="650"/>
      <c r="AF308" s="829" t="s">
        <v>1166</v>
      </c>
      <c r="AG308" s="1367">
        <v>45470</v>
      </c>
      <c r="AH308" s="828" t="s">
        <v>62</v>
      </c>
      <c r="AI308" s="828" t="s">
        <v>62</v>
      </c>
      <c r="AJ308" s="828" t="s">
        <v>62</v>
      </c>
      <c r="AK308" s="828" t="s">
        <v>62</v>
      </c>
    </row>
    <row r="309" spans="1:39" ht="14.4" hidden="1" x14ac:dyDescent="0.3">
      <c r="A309" s="28">
        <v>308</v>
      </c>
      <c r="B309" s="650">
        <v>39242</v>
      </c>
      <c r="C309" s="650" t="s">
        <v>64</v>
      </c>
      <c r="D309" s="650" t="s">
        <v>1167</v>
      </c>
      <c r="E309" s="650" t="s">
        <v>1035</v>
      </c>
      <c r="F309" s="291" t="s">
        <v>661</v>
      </c>
      <c r="G309" s="291" t="s">
        <v>13</v>
      </c>
      <c r="H309" s="651">
        <v>45046</v>
      </c>
      <c r="I309" s="650"/>
      <c r="J309" s="103" t="s">
        <v>58</v>
      </c>
      <c r="K309" s="650"/>
      <c r="L309" s="650"/>
      <c r="M309" s="650"/>
      <c r="N309" s="650"/>
      <c r="O309" s="1365">
        <v>45460</v>
      </c>
      <c r="P309" s="1366"/>
      <c r="Q309" s="1366"/>
      <c r="R309" s="828" t="s">
        <v>68</v>
      </c>
      <c r="S309" s="1366" t="s">
        <v>68</v>
      </c>
      <c r="T309" s="828" t="s">
        <v>68</v>
      </c>
      <c r="U309" s="1366"/>
      <c r="V309" s="828" t="s">
        <v>68</v>
      </c>
      <c r="W309" s="1366"/>
      <c r="X309" s="828" t="s">
        <v>68</v>
      </c>
      <c r="Y309" s="1366" t="s">
        <v>1157</v>
      </c>
      <c r="Z309" s="650"/>
      <c r="AA309" s="650"/>
      <c r="AB309" s="650"/>
      <c r="AC309" s="650"/>
      <c r="AD309" s="828" t="s">
        <v>68</v>
      </c>
      <c r="AE309" s="650"/>
      <c r="AF309" s="828" t="s">
        <v>68</v>
      </c>
      <c r="AG309" s="650"/>
      <c r="AH309" s="828" t="s">
        <v>68</v>
      </c>
      <c r="AI309" s="828" t="s">
        <v>68</v>
      </c>
      <c r="AJ309" s="828" t="s">
        <v>68</v>
      </c>
      <c r="AK309" s="828" t="s">
        <v>68</v>
      </c>
    </row>
    <row r="310" spans="1:39" ht="14.4" hidden="1" x14ac:dyDescent="0.3">
      <c r="A310" s="28">
        <v>309</v>
      </c>
      <c r="B310" s="650">
        <v>39242</v>
      </c>
      <c r="C310" s="650" t="s">
        <v>54</v>
      </c>
      <c r="D310" s="650" t="s">
        <v>1168</v>
      </c>
      <c r="E310" s="650" t="s">
        <v>1035</v>
      </c>
      <c r="F310" s="291" t="s">
        <v>661</v>
      </c>
      <c r="G310" s="291" t="s">
        <v>13</v>
      </c>
      <c r="H310" s="651">
        <v>45046</v>
      </c>
      <c r="I310" s="650"/>
      <c r="J310" s="103" t="s">
        <v>58</v>
      </c>
      <c r="K310" s="650"/>
      <c r="L310" s="650"/>
      <c r="M310" s="650"/>
      <c r="N310" s="650"/>
      <c r="O310" s="1365">
        <v>45460</v>
      </c>
      <c r="P310" s="1366"/>
      <c r="Q310" s="1366"/>
      <c r="R310" s="828" t="s">
        <v>62</v>
      </c>
      <c r="S310" s="1366" t="s">
        <v>62</v>
      </c>
      <c r="T310" s="828" t="s">
        <v>62</v>
      </c>
      <c r="U310" s="1366"/>
      <c r="V310" s="828" t="s">
        <v>62</v>
      </c>
      <c r="W310" s="1366"/>
      <c r="X310" s="828" t="s">
        <v>62</v>
      </c>
      <c r="Y310" s="1366" t="s">
        <v>1157</v>
      </c>
      <c r="Z310" s="650"/>
      <c r="AA310" s="650"/>
      <c r="AB310" s="650"/>
      <c r="AC310" s="650"/>
      <c r="AD310" s="828" t="s">
        <v>62</v>
      </c>
      <c r="AE310" s="650"/>
      <c r="AF310" s="828" t="s">
        <v>62</v>
      </c>
      <c r="AG310" s="650"/>
      <c r="AH310" s="828" t="s">
        <v>62</v>
      </c>
      <c r="AI310" s="828" t="s">
        <v>62</v>
      </c>
      <c r="AJ310" s="828" t="s">
        <v>62</v>
      </c>
      <c r="AK310" s="828" t="s">
        <v>62</v>
      </c>
      <c r="AM310" s="24" t="s">
        <v>1169</v>
      </c>
    </row>
    <row r="311" spans="1:39" ht="14.4" hidden="1" x14ac:dyDescent="0.3">
      <c r="A311" s="28">
        <v>310</v>
      </c>
      <c r="B311" s="650">
        <v>39227</v>
      </c>
      <c r="C311" s="650" t="s">
        <v>64</v>
      </c>
      <c r="D311" s="650" t="s">
        <v>1170</v>
      </c>
      <c r="E311" s="650" t="s">
        <v>1035</v>
      </c>
      <c r="F311" s="291" t="s">
        <v>661</v>
      </c>
      <c r="G311" s="291" t="s">
        <v>13</v>
      </c>
      <c r="H311" s="651">
        <v>44949</v>
      </c>
      <c r="I311" s="650"/>
      <c r="J311" s="103" t="s">
        <v>58</v>
      </c>
      <c r="K311" s="650"/>
      <c r="L311" s="650"/>
      <c r="M311" s="650"/>
      <c r="N311" s="650"/>
      <c r="O311" s="1365">
        <v>45467</v>
      </c>
      <c r="P311" s="1366"/>
      <c r="Q311" s="1366"/>
      <c r="R311" s="1366" t="s">
        <v>68</v>
      </c>
      <c r="S311" s="1366" t="s">
        <v>68</v>
      </c>
      <c r="T311" s="1366" t="s">
        <v>68</v>
      </c>
      <c r="U311" s="1366"/>
      <c r="V311" s="1365">
        <v>45206</v>
      </c>
      <c r="W311" s="1365">
        <v>45474</v>
      </c>
      <c r="X311" s="828" t="s">
        <v>68</v>
      </c>
      <c r="Y311" s="1366" t="s">
        <v>1157</v>
      </c>
      <c r="Z311" s="650"/>
      <c r="AA311" s="650"/>
      <c r="AB311" s="650"/>
      <c r="AC311" s="650"/>
      <c r="AD311" s="828" t="s">
        <v>68</v>
      </c>
      <c r="AE311" s="650"/>
      <c r="AF311" s="828" t="s">
        <v>68</v>
      </c>
      <c r="AG311" s="651">
        <v>45474</v>
      </c>
      <c r="AH311" s="828" t="s">
        <v>68</v>
      </c>
      <c r="AI311" s="828" t="s">
        <v>68</v>
      </c>
      <c r="AJ311" s="652" t="s">
        <v>68</v>
      </c>
      <c r="AK311" s="828" t="s">
        <v>68</v>
      </c>
    </row>
    <row r="312" spans="1:39" ht="14.4" hidden="1" x14ac:dyDescent="0.3">
      <c r="A312" s="28">
        <v>311</v>
      </c>
      <c r="B312" s="650">
        <v>39227</v>
      </c>
      <c r="C312" s="650" t="s">
        <v>54</v>
      </c>
      <c r="D312" s="650" t="s">
        <v>1171</v>
      </c>
      <c r="E312" s="650" t="s">
        <v>1035</v>
      </c>
      <c r="F312" s="291" t="s">
        <v>661</v>
      </c>
      <c r="G312" s="291" t="s">
        <v>13</v>
      </c>
      <c r="H312" s="651">
        <v>44949</v>
      </c>
      <c r="I312" s="650"/>
      <c r="J312" s="103" t="s">
        <v>58</v>
      </c>
      <c r="K312" s="650"/>
      <c r="L312" s="650"/>
      <c r="M312" s="650"/>
      <c r="N312" s="650"/>
      <c r="O312" s="1365">
        <v>45467</v>
      </c>
      <c r="P312" s="1366"/>
      <c r="Q312" s="1366"/>
      <c r="R312" s="1366" t="s">
        <v>62</v>
      </c>
      <c r="S312" s="1366" t="s">
        <v>62</v>
      </c>
      <c r="T312" s="1366" t="s">
        <v>62</v>
      </c>
      <c r="U312" s="1366"/>
      <c r="V312" s="1365">
        <v>45206</v>
      </c>
      <c r="W312" s="1365">
        <v>45474</v>
      </c>
      <c r="X312" s="828" t="s">
        <v>62</v>
      </c>
      <c r="Y312" s="1366" t="s">
        <v>1157</v>
      </c>
      <c r="Z312" s="650"/>
      <c r="AA312" s="650"/>
      <c r="AB312" s="650"/>
      <c r="AC312" s="650"/>
      <c r="AD312" s="828" t="s">
        <v>62</v>
      </c>
      <c r="AE312" s="650"/>
      <c r="AF312" s="828" t="s">
        <v>62</v>
      </c>
      <c r="AG312" s="651">
        <v>45474</v>
      </c>
      <c r="AH312" s="828" t="s">
        <v>62</v>
      </c>
      <c r="AI312" s="828" t="s">
        <v>62</v>
      </c>
      <c r="AJ312" s="652" t="s">
        <v>62</v>
      </c>
      <c r="AK312" s="828" t="s">
        <v>62</v>
      </c>
    </row>
    <row r="313" spans="1:39" ht="14.4" hidden="1" x14ac:dyDescent="0.3">
      <c r="A313" s="28">
        <v>312</v>
      </c>
      <c r="B313" s="650">
        <v>30652</v>
      </c>
      <c r="C313" s="650" t="s">
        <v>64</v>
      </c>
      <c r="D313" s="650" t="s">
        <v>1034</v>
      </c>
      <c r="E313" s="650" t="s">
        <v>1035</v>
      </c>
      <c r="F313" s="291" t="s">
        <v>661</v>
      </c>
      <c r="G313" s="291" t="s">
        <v>13</v>
      </c>
      <c r="H313" s="651">
        <v>44557</v>
      </c>
      <c r="I313" s="650"/>
      <c r="J313" s="103" t="s">
        <v>58</v>
      </c>
      <c r="K313" s="650"/>
      <c r="L313" s="650"/>
      <c r="M313" s="650"/>
      <c r="N313" s="650"/>
      <c r="O313" s="1365">
        <v>45452</v>
      </c>
      <c r="P313" s="1366"/>
      <c r="Q313" s="1366"/>
      <c r="R313" s="1366" t="s">
        <v>68</v>
      </c>
      <c r="S313" s="1366" t="s">
        <v>68</v>
      </c>
      <c r="T313" s="828" t="s">
        <v>68</v>
      </c>
      <c r="U313" s="828" t="s">
        <v>68</v>
      </c>
      <c r="V313" s="1365">
        <v>45287</v>
      </c>
      <c r="W313" s="1365">
        <v>45452</v>
      </c>
      <c r="X313" s="828" t="s">
        <v>68</v>
      </c>
      <c r="Y313" s="828" t="s">
        <v>1157</v>
      </c>
      <c r="Z313" s="650"/>
      <c r="AA313" s="650"/>
      <c r="AB313" s="650"/>
      <c r="AC313" s="650"/>
      <c r="AD313" s="800" t="s">
        <v>1038</v>
      </c>
      <c r="AE313" s="650"/>
      <c r="AF313" s="828" t="s">
        <v>68</v>
      </c>
      <c r="AG313" s="652"/>
      <c r="AH313" s="828" t="s">
        <v>68</v>
      </c>
      <c r="AI313" s="828" t="s">
        <v>68</v>
      </c>
      <c r="AJ313" s="652" t="s">
        <v>68</v>
      </c>
      <c r="AK313" s="828" t="s">
        <v>68</v>
      </c>
    </row>
    <row r="314" spans="1:39" ht="14.4" hidden="1" x14ac:dyDescent="0.3">
      <c r="A314" s="28">
        <v>313</v>
      </c>
      <c r="B314" s="650">
        <v>30652</v>
      </c>
      <c r="C314" s="650" t="s">
        <v>54</v>
      </c>
      <c r="D314" s="650" t="s">
        <v>1039</v>
      </c>
      <c r="E314" s="650" t="s">
        <v>1035</v>
      </c>
      <c r="F314" s="291" t="s">
        <v>661</v>
      </c>
      <c r="G314" s="291" t="s">
        <v>13</v>
      </c>
      <c r="H314" s="651">
        <v>44557</v>
      </c>
      <c r="I314" s="650"/>
      <c r="J314" s="103" t="s">
        <v>58</v>
      </c>
      <c r="K314" s="650"/>
      <c r="L314" s="650"/>
      <c r="M314" s="650"/>
      <c r="N314" s="650"/>
      <c r="O314" s="1365">
        <v>45452</v>
      </c>
      <c r="P314" s="1366"/>
      <c r="Q314" s="1366"/>
      <c r="R314" s="1366" t="s">
        <v>62</v>
      </c>
      <c r="S314" s="1366" t="s">
        <v>62</v>
      </c>
      <c r="T314" s="828" t="s">
        <v>68</v>
      </c>
      <c r="U314" s="828" t="s">
        <v>62</v>
      </c>
      <c r="V314" s="1365">
        <v>45287</v>
      </c>
      <c r="W314" s="1365">
        <v>45452</v>
      </c>
      <c r="X314" s="828" t="s">
        <v>62</v>
      </c>
      <c r="Y314" s="828" t="s">
        <v>1157</v>
      </c>
      <c r="Z314" s="650"/>
      <c r="AA314" s="650"/>
      <c r="AB314" s="650"/>
      <c r="AC314" s="650"/>
      <c r="AD314" s="800" t="s">
        <v>1038</v>
      </c>
      <c r="AE314" s="650"/>
      <c r="AF314" s="828" t="s">
        <v>62</v>
      </c>
      <c r="AG314" s="652"/>
      <c r="AH314" s="828" t="s">
        <v>62</v>
      </c>
      <c r="AI314" s="828" t="s">
        <v>62</v>
      </c>
      <c r="AJ314" s="652" t="s">
        <v>62</v>
      </c>
      <c r="AK314" s="1282" t="s">
        <v>62</v>
      </c>
      <c r="AM314" s="186"/>
    </row>
    <row r="315" spans="1:39" hidden="1" x14ac:dyDescent="0.25">
      <c r="A315" s="28">
        <v>314</v>
      </c>
      <c r="B315" s="72">
        <v>37700</v>
      </c>
      <c r="C315" s="931" t="s">
        <v>64</v>
      </c>
      <c r="D315" s="932" t="s">
        <v>1172</v>
      </c>
      <c r="E315" s="72" t="s">
        <v>932</v>
      </c>
      <c r="F315" s="291" t="s">
        <v>661</v>
      </c>
      <c r="G315" s="291" t="s">
        <v>13</v>
      </c>
      <c r="J315" s="103" t="s">
        <v>58</v>
      </c>
      <c r="R315" s="933" t="s">
        <v>75</v>
      </c>
      <c r="T315" s="933" t="s">
        <v>75</v>
      </c>
      <c r="X315" s="933" t="s">
        <v>75</v>
      </c>
      <c r="AD315" s="933" t="s">
        <v>75</v>
      </c>
      <c r="AE315" s="933" t="s">
        <v>75</v>
      </c>
      <c r="AF315" s="933" t="s">
        <v>75</v>
      </c>
      <c r="AG315" s="978">
        <v>45497</v>
      </c>
      <c r="AH315" s="934"/>
      <c r="AI315" s="935" t="s">
        <v>75</v>
      </c>
      <c r="AJ315" s="1280" t="s">
        <v>75</v>
      </c>
      <c r="AK315" s="1267"/>
      <c r="AL315" s="187"/>
      <c r="AM315" s="187" t="s">
        <v>662</v>
      </c>
    </row>
    <row r="316" spans="1:39" hidden="1" x14ac:dyDescent="0.25">
      <c r="A316" s="28">
        <v>315</v>
      </c>
      <c r="B316" s="55">
        <v>37700</v>
      </c>
      <c r="C316" s="936" t="s">
        <v>54</v>
      </c>
      <c r="D316" s="793" t="s">
        <v>1173</v>
      </c>
      <c r="E316" s="55" t="s">
        <v>932</v>
      </c>
      <c r="F316" s="291" t="s">
        <v>661</v>
      </c>
      <c r="G316" s="291" t="s">
        <v>13</v>
      </c>
      <c r="H316" s="3"/>
      <c r="I316" s="3"/>
      <c r="J316" s="103" t="s">
        <v>58</v>
      </c>
      <c r="K316" s="432"/>
      <c r="L316" s="443"/>
      <c r="M316" s="432"/>
      <c r="N316" s="432"/>
      <c r="O316" s="33"/>
      <c r="P316" s="33"/>
      <c r="Q316" s="16"/>
      <c r="R316" s="793" t="s">
        <v>75</v>
      </c>
      <c r="S316" s="16"/>
      <c r="T316" s="793" t="s">
        <v>75</v>
      </c>
      <c r="U316" s="16"/>
      <c r="V316" s="16"/>
      <c r="W316" s="16"/>
      <c r="X316" s="793" t="s">
        <v>75</v>
      </c>
      <c r="Y316" s="16"/>
      <c r="Z316" s="432"/>
      <c r="AA316" s="432"/>
      <c r="AB316" s="16"/>
      <c r="AC316" s="16"/>
      <c r="AD316" s="793" t="s">
        <v>75</v>
      </c>
      <c r="AE316" s="793" t="s">
        <v>75</v>
      </c>
      <c r="AF316" s="793" t="s">
        <v>75</v>
      </c>
      <c r="AG316" s="978">
        <v>45497</v>
      </c>
      <c r="AI316" s="793" t="s">
        <v>75</v>
      </c>
      <c r="AJ316" s="1281" t="s">
        <v>75</v>
      </c>
      <c r="AK316" s="1267"/>
      <c r="AL316" s="187"/>
      <c r="AM316" s="187" t="s">
        <v>662</v>
      </c>
    </row>
    <row r="317" spans="1:39" hidden="1" x14ac:dyDescent="0.25">
      <c r="A317" s="28">
        <v>316</v>
      </c>
      <c r="B317" s="930">
        <v>30722</v>
      </c>
      <c r="C317" s="27" t="s">
        <v>64</v>
      </c>
      <c r="D317" s="126"/>
      <c r="E317" s="20" t="s">
        <v>862</v>
      </c>
      <c r="F317" s="291" t="s">
        <v>661</v>
      </c>
      <c r="G317" s="291" t="s">
        <v>13</v>
      </c>
      <c r="H317" s="3"/>
      <c r="I317" s="3"/>
      <c r="J317" s="103" t="s">
        <v>58</v>
      </c>
      <c r="K317" s="432"/>
      <c r="L317" s="443"/>
      <c r="M317" s="432"/>
      <c r="N317" s="432"/>
      <c r="O317" s="33">
        <v>45696</v>
      </c>
      <c r="P317" s="33">
        <v>45696</v>
      </c>
      <c r="Q317" s="16"/>
      <c r="R317" s="16" t="s">
        <v>68</v>
      </c>
      <c r="S317" s="16" t="s">
        <v>206</v>
      </c>
      <c r="T317" s="16" t="s">
        <v>206</v>
      </c>
      <c r="U317" s="16"/>
      <c r="V317" s="16" t="s">
        <v>206</v>
      </c>
      <c r="W317" s="16" t="s">
        <v>206</v>
      </c>
      <c r="X317" s="16" t="s">
        <v>206</v>
      </c>
      <c r="Y317" s="16" t="s">
        <v>206</v>
      </c>
      <c r="Z317" s="432"/>
      <c r="AA317" s="432"/>
      <c r="AB317" s="16"/>
      <c r="AC317" s="16"/>
      <c r="AD317" s="16" t="s">
        <v>206</v>
      </c>
      <c r="AE317" s="16" t="s">
        <v>206</v>
      </c>
      <c r="AF317" s="16" t="s">
        <v>206</v>
      </c>
      <c r="AG317" s="382">
        <v>45476</v>
      </c>
      <c r="AH317" s="381" t="s">
        <v>206</v>
      </c>
      <c r="AI317" s="382">
        <v>45301</v>
      </c>
      <c r="AJ317" s="58" t="s">
        <v>63</v>
      </c>
      <c r="AK317" s="242"/>
      <c r="AL317" s="242"/>
      <c r="AM317" s="1066">
        <v>45527</v>
      </c>
    </row>
    <row r="318" spans="1:39" hidden="1" x14ac:dyDescent="0.25">
      <c r="A318" s="28">
        <v>317</v>
      </c>
      <c r="B318" s="930">
        <v>30722</v>
      </c>
      <c r="C318" s="27" t="s">
        <v>54</v>
      </c>
      <c r="D318" s="126"/>
      <c r="E318" s="20" t="s">
        <v>862</v>
      </c>
      <c r="F318" s="291" t="s">
        <v>661</v>
      </c>
      <c r="G318" s="291" t="s">
        <v>13</v>
      </c>
      <c r="H318" s="3"/>
      <c r="I318" s="3"/>
      <c r="J318" s="103" t="s">
        <v>58</v>
      </c>
      <c r="K318" s="432"/>
      <c r="L318" s="443"/>
      <c r="M318" s="432"/>
      <c r="N318" s="432"/>
      <c r="O318" s="33">
        <v>45696</v>
      </c>
      <c r="P318" s="33">
        <v>45696</v>
      </c>
      <c r="Q318" s="16"/>
      <c r="R318" s="16" t="s">
        <v>62</v>
      </c>
      <c r="S318" s="16" t="s">
        <v>206</v>
      </c>
      <c r="T318" s="16" t="s">
        <v>206</v>
      </c>
      <c r="U318" s="16"/>
      <c r="V318" s="16" t="s">
        <v>206</v>
      </c>
      <c r="W318" s="16" t="s">
        <v>206</v>
      </c>
      <c r="X318" s="16" t="s">
        <v>206</v>
      </c>
      <c r="Y318" s="16" t="s">
        <v>206</v>
      </c>
      <c r="Z318" s="432"/>
      <c r="AA318" s="432"/>
      <c r="AB318" s="16"/>
      <c r="AC318" s="16"/>
      <c r="AD318" s="16" t="s">
        <v>206</v>
      </c>
      <c r="AE318" s="16" t="s">
        <v>206</v>
      </c>
      <c r="AF318" s="16" t="s">
        <v>206</v>
      </c>
      <c r="AG318" s="382">
        <v>45476</v>
      </c>
      <c r="AH318" s="381" t="s">
        <v>206</v>
      </c>
      <c r="AI318" s="382">
        <v>45301</v>
      </c>
      <c r="AJ318" s="58" t="s">
        <v>63</v>
      </c>
      <c r="AL318" s="24"/>
      <c r="AM318" s="1066">
        <v>45527</v>
      </c>
    </row>
    <row r="319" spans="1:39" hidden="1" x14ac:dyDescent="0.25">
      <c r="A319" s="28">
        <v>318</v>
      </c>
      <c r="B319" s="929">
        <v>39251</v>
      </c>
      <c r="C319" s="27" t="s">
        <v>64</v>
      </c>
      <c r="D319" s="126"/>
      <c r="E319" s="20" t="s">
        <v>862</v>
      </c>
      <c r="F319" s="291" t="s">
        <v>661</v>
      </c>
      <c r="G319" s="291" t="s">
        <v>13</v>
      </c>
      <c r="H319" s="3"/>
      <c r="I319" s="3"/>
      <c r="J319" s="103" t="s">
        <v>58</v>
      </c>
      <c r="K319" s="432"/>
      <c r="L319" s="443"/>
      <c r="M319" s="432"/>
      <c r="N319" s="432"/>
      <c r="O319" s="33">
        <v>45701</v>
      </c>
      <c r="P319" s="33"/>
      <c r="Q319" s="16"/>
      <c r="R319" s="16" t="s">
        <v>68</v>
      </c>
      <c r="S319" s="16" t="s">
        <v>206</v>
      </c>
      <c r="T319" s="16" t="s">
        <v>206</v>
      </c>
      <c r="U319" s="16" t="s">
        <v>206</v>
      </c>
      <c r="V319" s="16"/>
      <c r="W319" s="16"/>
      <c r="X319" s="16" t="s">
        <v>206</v>
      </c>
      <c r="Y319" s="16" t="s">
        <v>206</v>
      </c>
      <c r="Z319" s="432"/>
      <c r="AA319" s="432"/>
      <c r="AB319" s="16"/>
      <c r="AC319" s="16"/>
      <c r="AD319" s="16" t="s">
        <v>206</v>
      </c>
      <c r="AE319" s="16" t="s">
        <v>206</v>
      </c>
      <c r="AF319" s="16" t="s">
        <v>206</v>
      </c>
      <c r="AH319" s="381" t="s">
        <v>206</v>
      </c>
      <c r="AJ319" s="382" t="s">
        <v>206</v>
      </c>
      <c r="AL319" s="24"/>
      <c r="AM319" s="143">
        <v>45579</v>
      </c>
    </row>
    <row r="320" spans="1:39" hidden="1" x14ac:dyDescent="0.25">
      <c r="A320" s="28">
        <v>319</v>
      </c>
      <c r="B320" s="929">
        <v>39251</v>
      </c>
      <c r="C320" s="27" t="s">
        <v>54</v>
      </c>
      <c r="D320" s="126"/>
      <c r="E320" s="20" t="s">
        <v>862</v>
      </c>
      <c r="F320" s="291" t="s">
        <v>661</v>
      </c>
      <c r="G320" s="291" t="s">
        <v>13</v>
      </c>
      <c r="H320" s="3"/>
      <c r="I320" s="3"/>
      <c r="J320" s="103" t="s">
        <v>58</v>
      </c>
      <c r="K320" s="432"/>
      <c r="L320" s="443"/>
      <c r="M320" s="432"/>
      <c r="N320" s="432"/>
      <c r="O320" s="33">
        <v>45701</v>
      </c>
      <c r="P320" s="33"/>
      <c r="Q320" s="16"/>
      <c r="R320" s="16" t="s">
        <v>62</v>
      </c>
      <c r="S320" s="16" t="s">
        <v>206</v>
      </c>
      <c r="T320" s="16" t="s">
        <v>206</v>
      </c>
      <c r="U320" s="16" t="s">
        <v>206</v>
      </c>
      <c r="V320" s="16"/>
      <c r="W320" s="16"/>
      <c r="X320" s="16" t="s">
        <v>206</v>
      </c>
      <c r="Y320" s="16" t="s">
        <v>206</v>
      </c>
      <c r="Z320" s="432"/>
      <c r="AA320" s="432"/>
      <c r="AB320" s="16"/>
      <c r="AC320" s="16"/>
      <c r="AD320" s="16" t="s">
        <v>206</v>
      </c>
      <c r="AE320" s="16" t="s">
        <v>206</v>
      </c>
      <c r="AF320" s="16" t="s">
        <v>206</v>
      </c>
      <c r="AH320" s="381" t="s">
        <v>206</v>
      </c>
      <c r="AJ320" s="382" t="s">
        <v>206</v>
      </c>
      <c r="AL320" s="24"/>
      <c r="AM320" s="143">
        <v>45579</v>
      </c>
    </row>
    <row r="321" spans="1:41" hidden="1" x14ac:dyDescent="0.25">
      <c r="A321" s="28">
        <v>320</v>
      </c>
      <c r="B321" s="929">
        <v>39252</v>
      </c>
      <c r="C321" s="27" t="s">
        <v>64</v>
      </c>
      <c r="D321" s="126"/>
      <c r="E321" s="20" t="s">
        <v>862</v>
      </c>
      <c r="F321" s="291" t="s">
        <v>661</v>
      </c>
      <c r="G321" s="291" t="s">
        <v>13</v>
      </c>
      <c r="H321" s="3"/>
      <c r="I321" s="3"/>
      <c r="J321" s="103" t="s">
        <v>58</v>
      </c>
      <c r="K321" s="432"/>
      <c r="L321" s="443"/>
      <c r="M321" s="432"/>
      <c r="N321" s="432"/>
      <c r="O321" s="33">
        <v>45720</v>
      </c>
      <c r="P321" s="33">
        <v>45713</v>
      </c>
      <c r="Q321" s="16"/>
      <c r="R321" s="16" t="s">
        <v>68</v>
      </c>
      <c r="S321" s="16" t="s">
        <v>206</v>
      </c>
      <c r="T321" s="16" t="s">
        <v>206</v>
      </c>
      <c r="U321" s="16" t="s">
        <v>206</v>
      </c>
      <c r="V321" s="16" t="s">
        <v>206</v>
      </c>
      <c r="W321" s="16" t="s">
        <v>206</v>
      </c>
      <c r="X321" s="16" t="s">
        <v>206</v>
      </c>
      <c r="Y321" s="16" t="s">
        <v>206</v>
      </c>
      <c r="Z321" s="432"/>
      <c r="AA321" s="432"/>
      <c r="AB321" s="16"/>
      <c r="AC321" s="16"/>
      <c r="AD321" s="16" t="s">
        <v>206</v>
      </c>
      <c r="AE321" s="16" t="s">
        <v>206</v>
      </c>
      <c r="AF321" s="16" t="s">
        <v>206</v>
      </c>
      <c r="AH321" s="381" t="s">
        <v>206</v>
      </c>
      <c r="AI321" s="58" t="s">
        <v>206</v>
      </c>
      <c r="AJ321" s="382" t="s">
        <v>206</v>
      </c>
      <c r="AL321" s="24"/>
      <c r="AM321" s="143">
        <v>45520</v>
      </c>
    </row>
    <row r="322" spans="1:41" hidden="1" x14ac:dyDescent="0.25">
      <c r="A322" s="28">
        <v>321</v>
      </c>
      <c r="B322" s="929">
        <v>39252</v>
      </c>
      <c r="C322" s="27" t="s">
        <v>54</v>
      </c>
      <c r="D322" s="126"/>
      <c r="E322" s="20" t="s">
        <v>862</v>
      </c>
      <c r="F322" s="291" t="s">
        <v>661</v>
      </c>
      <c r="G322" s="291" t="s">
        <v>13</v>
      </c>
      <c r="H322" s="3"/>
      <c r="I322" s="3"/>
      <c r="J322" s="103" t="s">
        <v>58</v>
      </c>
      <c r="K322" s="432"/>
      <c r="L322" s="443"/>
      <c r="M322" s="432"/>
      <c r="N322" s="432"/>
      <c r="O322" s="33">
        <v>45720</v>
      </c>
      <c r="P322" s="68">
        <v>45713</v>
      </c>
      <c r="Q322" s="16"/>
      <c r="R322" s="16" t="s">
        <v>62</v>
      </c>
      <c r="S322" s="16" t="s">
        <v>206</v>
      </c>
      <c r="T322" s="16" t="s">
        <v>206</v>
      </c>
      <c r="U322" s="16" t="s">
        <v>206</v>
      </c>
      <c r="V322" s="16" t="s">
        <v>206</v>
      </c>
      <c r="W322" s="16" t="s">
        <v>206</v>
      </c>
      <c r="X322" s="16" t="s">
        <v>206</v>
      </c>
      <c r="Y322" s="16" t="s">
        <v>206</v>
      </c>
      <c r="Z322" s="432"/>
      <c r="AA322" s="432"/>
      <c r="AB322" s="16"/>
      <c r="AC322" s="16"/>
      <c r="AD322" s="16" t="s">
        <v>206</v>
      </c>
      <c r="AE322" s="16" t="s">
        <v>206</v>
      </c>
      <c r="AF322" s="16" t="s">
        <v>206</v>
      </c>
      <c r="AH322" s="381" t="s">
        <v>206</v>
      </c>
      <c r="AI322" s="58" t="s">
        <v>206</v>
      </c>
      <c r="AJ322" s="382" t="s">
        <v>206</v>
      </c>
      <c r="AL322" s="24"/>
      <c r="AM322" s="143">
        <v>45520</v>
      </c>
    </row>
    <row r="323" spans="1:41" ht="14.4" hidden="1" x14ac:dyDescent="0.3">
      <c r="A323" s="28">
        <v>322</v>
      </c>
      <c r="B323" s="929">
        <v>39253</v>
      </c>
      <c r="C323" s="27" t="s">
        <v>64</v>
      </c>
      <c r="D323" s="126"/>
      <c r="E323" s="20" t="s">
        <v>862</v>
      </c>
      <c r="F323" s="291" t="s">
        <v>661</v>
      </c>
      <c r="G323" s="291" t="s">
        <v>13</v>
      </c>
      <c r="H323" s="3"/>
      <c r="I323" s="3"/>
      <c r="J323" s="103" t="s">
        <v>58</v>
      </c>
      <c r="K323" s="432"/>
      <c r="L323" s="443"/>
      <c r="M323" s="432"/>
      <c r="N323" s="432"/>
      <c r="O323" s="33">
        <v>45720</v>
      </c>
      <c r="P323" s="33"/>
      <c r="Q323" s="16"/>
      <c r="R323" s="16" t="s">
        <v>68</v>
      </c>
      <c r="S323" s="16" t="s">
        <v>206</v>
      </c>
      <c r="T323" s="16" t="s">
        <v>206</v>
      </c>
      <c r="U323" s="16" t="s">
        <v>206</v>
      </c>
      <c r="V323" s="16"/>
      <c r="W323" s="16"/>
      <c r="X323" s="16" t="s">
        <v>206</v>
      </c>
      <c r="Y323" s="16" t="s">
        <v>206</v>
      </c>
      <c r="Z323" s="432"/>
      <c r="AA323" s="432"/>
      <c r="AB323" s="16"/>
      <c r="AC323" s="16"/>
      <c r="AD323" s="16" t="s">
        <v>206</v>
      </c>
      <c r="AE323" s="16" t="s">
        <v>206</v>
      </c>
      <c r="AF323" s="16" t="s">
        <v>206</v>
      </c>
      <c r="AG323" s="381" t="s">
        <v>1174</v>
      </c>
      <c r="AH323" s="381" t="s">
        <v>206</v>
      </c>
      <c r="AI323" s="58" t="s">
        <v>206</v>
      </c>
      <c r="AJ323" s="382" t="s">
        <v>206</v>
      </c>
      <c r="AL323" s="24"/>
      <c r="AM323" s="143">
        <v>45561</v>
      </c>
    </row>
    <row r="324" spans="1:41" ht="14.4" hidden="1" x14ac:dyDescent="0.3">
      <c r="A324" s="28">
        <v>323</v>
      </c>
      <c r="B324" s="929">
        <v>39253</v>
      </c>
      <c r="C324" s="27" t="s">
        <v>54</v>
      </c>
      <c r="D324" s="126"/>
      <c r="E324" s="20" t="s">
        <v>862</v>
      </c>
      <c r="F324" s="291" t="s">
        <v>661</v>
      </c>
      <c r="G324" s="291" t="s">
        <v>13</v>
      </c>
      <c r="H324" s="3"/>
      <c r="I324" s="3"/>
      <c r="J324" s="103" t="s">
        <v>58</v>
      </c>
      <c r="K324" s="432"/>
      <c r="L324" s="443"/>
      <c r="M324" s="432"/>
      <c r="N324" s="432"/>
      <c r="O324" s="33">
        <v>45720</v>
      </c>
      <c r="P324" s="33"/>
      <c r="Q324" s="16"/>
      <c r="R324" s="16" t="s">
        <v>62</v>
      </c>
      <c r="S324" s="16" t="s">
        <v>206</v>
      </c>
      <c r="T324" s="16" t="s">
        <v>206</v>
      </c>
      <c r="U324" s="16" t="s">
        <v>206</v>
      </c>
      <c r="V324" s="16"/>
      <c r="W324" s="16"/>
      <c r="X324" s="16" t="s">
        <v>206</v>
      </c>
      <c r="Y324" s="16" t="s">
        <v>206</v>
      </c>
      <c r="Z324" s="432"/>
      <c r="AA324" s="432"/>
      <c r="AB324" s="16"/>
      <c r="AC324" s="16"/>
      <c r="AD324" s="16" t="s">
        <v>206</v>
      </c>
      <c r="AE324" s="16" t="s">
        <v>206</v>
      </c>
      <c r="AF324" s="16" t="s">
        <v>206</v>
      </c>
      <c r="AG324" s="381" t="s">
        <v>1175</v>
      </c>
      <c r="AH324" s="381" t="s">
        <v>206</v>
      </c>
      <c r="AI324" s="58" t="s">
        <v>206</v>
      </c>
      <c r="AJ324" s="382" t="s">
        <v>206</v>
      </c>
      <c r="AL324" s="24"/>
      <c r="AM324" s="143">
        <v>45561</v>
      </c>
    </row>
    <row r="325" spans="1:41" hidden="1" x14ac:dyDescent="0.25">
      <c r="A325" s="28">
        <v>324</v>
      </c>
      <c r="B325" s="937">
        <v>30351</v>
      </c>
      <c r="C325" s="340" t="s">
        <v>64</v>
      </c>
      <c r="D325" s="341"/>
      <c r="E325" s="20" t="s">
        <v>862</v>
      </c>
      <c r="F325" s="291" t="s">
        <v>661</v>
      </c>
      <c r="G325" s="291" t="s">
        <v>13</v>
      </c>
      <c r="H325" s="3"/>
      <c r="I325" s="3"/>
      <c r="J325" s="103" t="s">
        <v>58</v>
      </c>
      <c r="K325" s="432"/>
      <c r="L325" s="443"/>
      <c r="M325" s="432"/>
      <c r="N325" s="432"/>
      <c r="O325" s="343">
        <v>45686</v>
      </c>
      <c r="P325" s="314"/>
      <c r="Q325" s="310"/>
      <c r="R325" s="343" t="s">
        <v>121</v>
      </c>
      <c r="S325" s="309"/>
      <c r="T325" s="309"/>
      <c r="U325" s="309"/>
      <c r="V325" s="309"/>
      <c r="W325" s="309" t="s">
        <v>206</v>
      </c>
      <c r="X325" s="309"/>
      <c r="Y325" s="309"/>
      <c r="Z325" s="432"/>
      <c r="AA325" s="432"/>
      <c r="AB325" s="16"/>
      <c r="AC325" s="16"/>
      <c r="AD325" s="309" t="s">
        <v>206</v>
      </c>
      <c r="AE325" s="309" t="s">
        <v>206</v>
      </c>
      <c r="AF325" s="309" t="s">
        <v>206</v>
      </c>
      <c r="AL325" s="24"/>
      <c r="AM325" s="143">
        <v>45589</v>
      </c>
    </row>
    <row r="326" spans="1:41" hidden="1" x14ac:dyDescent="0.25">
      <c r="A326" s="28">
        <v>325</v>
      </c>
      <c r="B326" s="1222">
        <v>30351</v>
      </c>
      <c r="C326" s="856" t="s">
        <v>54</v>
      </c>
      <c r="D326" s="857"/>
      <c r="E326" s="111" t="s">
        <v>862</v>
      </c>
      <c r="F326" s="291" t="s">
        <v>661</v>
      </c>
      <c r="G326" s="291" t="s">
        <v>13</v>
      </c>
      <c r="H326" s="115"/>
      <c r="I326" s="115"/>
      <c r="J326" s="103" t="s">
        <v>58</v>
      </c>
      <c r="K326" s="446"/>
      <c r="L326" s="447"/>
      <c r="M326" s="446"/>
      <c r="N326" s="446"/>
      <c r="O326" s="343">
        <v>45686</v>
      </c>
      <c r="P326" s="511"/>
      <c r="Q326" s="511"/>
      <c r="R326" s="865" t="s">
        <v>121</v>
      </c>
      <c r="S326" s="511"/>
      <c r="T326" s="511"/>
      <c r="U326" s="511"/>
      <c r="V326" s="511"/>
      <c r="W326" s="939" t="s">
        <v>206</v>
      </c>
      <c r="X326" s="511"/>
      <c r="Y326" s="511"/>
      <c r="Z326" s="446"/>
      <c r="AA326" s="446"/>
      <c r="AB326" s="117"/>
      <c r="AC326" s="117"/>
      <c r="AD326" s="939" t="s">
        <v>206</v>
      </c>
      <c r="AE326" s="939" t="s">
        <v>206</v>
      </c>
      <c r="AF326" s="939" t="s">
        <v>206</v>
      </c>
      <c r="AG326" s="511"/>
      <c r="AH326" s="511"/>
      <c r="AI326" s="511"/>
      <c r="AJ326" s="511"/>
      <c r="AK326" s="186"/>
      <c r="AL326" s="186"/>
      <c r="AM326" s="143">
        <v>45589</v>
      </c>
    </row>
    <row r="327" spans="1:41" hidden="1" x14ac:dyDescent="0.25">
      <c r="A327" s="28">
        <v>326</v>
      </c>
      <c r="B327" s="1244">
        <v>30414</v>
      </c>
      <c r="C327" s="104" t="s">
        <v>677</v>
      </c>
      <c r="D327" s="103" t="s">
        <v>1176</v>
      </c>
      <c r="E327" s="229" t="s">
        <v>828</v>
      </c>
      <c r="F327" s="291" t="s">
        <v>661</v>
      </c>
      <c r="G327" s="291" t="s">
        <v>13</v>
      </c>
      <c r="H327" s="118">
        <v>45204</v>
      </c>
      <c r="I327" s="103"/>
      <c r="J327" s="103" t="s">
        <v>58</v>
      </c>
      <c r="K327" s="438"/>
      <c r="L327" s="471"/>
      <c r="M327" s="438"/>
      <c r="N327" s="438"/>
      <c r="O327" s="106"/>
      <c r="P327" s="106"/>
      <c r="Q327" s="105"/>
      <c r="R327" s="105"/>
      <c r="S327" s="105"/>
      <c r="T327" s="105"/>
      <c r="U327" s="105"/>
      <c r="V327" s="105"/>
      <c r="W327" s="105"/>
      <c r="X327" s="105"/>
      <c r="Y327" s="105"/>
      <c r="Z327" s="438"/>
      <c r="AA327" s="438"/>
      <c r="AB327" s="105"/>
      <c r="AC327" s="105"/>
      <c r="AD327" s="105"/>
      <c r="AE327" s="105"/>
      <c r="AF327" s="397" t="s">
        <v>68</v>
      </c>
      <c r="AG327" s="231">
        <v>45499</v>
      </c>
      <c r="AH327" s="231">
        <v>45499</v>
      </c>
      <c r="AI327" s="187" t="s">
        <v>63</v>
      </c>
      <c r="AJ327" s="187" t="s">
        <v>63</v>
      </c>
      <c r="AK327" s="187"/>
      <c r="AL327" s="187"/>
      <c r="AM327" s="187" t="s">
        <v>63</v>
      </c>
    </row>
    <row r="328" spans="1:41" hidden="1" x14ac:dyDescent="0.25">
      <c r="A328" s="28">
        <v>327</v>
      </c>
      <c r="B328" s="1256">
        <v>30414</v>
      </c>
      <c r="C328" s="135" t="s">
        <v>674</v>
      </c>
      <c r="D328" s="134" t="s">
        <v>1177</v>
      </c>
      <c r="E328" s="974" t="s">
        <v>828</v>
      </c>
      <c r="F328" s="291" t="s">
        <v>661</v>
      </c>
      <c r="G328" s="291" t="s">
        <v>13</v>
      </c>
      <c r="H328" s="118">
        <v>45204</v>
      </c>
      <c r="I328" s="103"/>
      <c r="J328" s="103" t="s">
        <v>58</v>
      </c>
      <c r="K328" s="438"/>
      <c r="L328" s="471"/>
      <c r="M328" s="438"/>
      <c r="N328" s="438"/>
      <c r="O328" s="106"/>
      <c r="P328" s="106"/>
      <c r="Q328" s="105"/>
      <c r="R328" s="105"/>
      <c r="S328" s="105"/>
      <c r="T328" s="105"/>
      <c r="U328" s="105"/>
      <c r="V328" s="105"/>
      <c r="W328" s="105"/>
      <c r="X328" s="105"/>
      <c r="Y328" s="105"/>
      <c r="Z328" s="438"/>
      <c r="AA328" s="438"/>
      <c r="AB328" s="105"/>
      <c r="AC328" s="105"/>
      <c r="AD328" s="105"/>
      <c r="AE328" s="105"/>
      <c r="AF328" s="196" t="s">
        <v>62</v>
      </c>
      <c r="AG328" s="231">
        <v>45499</v>
      </c>
      <c r="AH328" s="231">
        <v>45499</v>
      </c>
      <c r="AI328" s="187" t="s">
        <v>63</v>
      </c>
      <c r="AJ328" s="187" t="s">
        <v>63</v>
      </c>
      <c r="AK328" s="187"/>
      <c r="AL328" s="187"/>
      <c r="AM328" s="187" t="s">
        <v>63</v>
      </c>
    </row>
    <row r="329" spans="1:41" hidden="1" x14ac:dyDescent="0.25">
      <c r="A329" s="1196">
        <v>328</v>
      </c>
      <c r="B329" s="104">
        <v>37718</v>
      </c>
      <c r="C329" s="104" t="s">
        <v>677</v>
      </c>
      <c r="D329" s="103" t="s">
        <v>1178</v>
      </c>
      <c r="E329" s="104" t="s">
        <v>1035</v>
      </c>
      <c r="F329" s="1283" t="s">
        <v>661</v>
      </c>
      <c r="G329" s="291" t="s">
        <v>13</v>
      </c>
      <c r="J329" s="103" t="s">
        <v>58</v>
      </c>
      <c r="AE329" s="241"/>
      <c r="AF329" s="241"/>
      <c r="AG329" s="788">
        <v>45493</v>
      </c>
      <c r="AH329" s="649"/>
      <c r="AI329" s="649" t="s">
        <v>63</v>
      </c>
      <c r="AJ329" s="649"/>
      <c r="AK329" s="242"/>
      <c r="AM329" s="242"/>
    </row>
    <row r="330" spans="1:41" hidden="1" x14ac:dyDescent="0.25">
      <c r="A330" s="1196">
        <v>329</v>
      </c>
      <c r="B330" s="104">
        <v>37718</v>
      </c>
      <c r="C330" s="104" t="s">
        <v>674</v>
      </c>
      <c r="D330" s="103" t="s">
        <v>1179</v>
      </c>
      <c r="E330" s="104" t="s">
        <v>1035</v>
      </c>
      <c r="F330" s="1283" t="s">
        <v>661</v>
      </c>
      <c r="G330" s="291" t="s">
        <v>13</v>
      </c>
      <c r="J330" s="103" t="s">
        <v>58</v>
      </c>
      <c r="AE330" s="117"/>
      <c r="AF330" s="117"/>
      <c r="AG330" s="1158">
        <v>45493</v>
      </c>
      <c r="AH330" s="511"/>
      <c r="AI330" s="58" t="s">
        <v>63</v>
      </c>
      <c r="AJ330" s="511"/>
      <c r="AK330" s="186"/>
    </row>
    <row r="331" spans="1:41" hidden="1" x14ac:dyDescent="0.25">
      <c r="A331" s="28">
        <v>330</v>
      </c>
      <c r="B331" s="1098">
        <v>30431</v>
      </c>
      <c r="C331" s="1098" t="s">
        <v>677</v>
      </c>
      <c r="D331" s="781" t="s">
        <v>1180</v>
      </c>
      <c r="E331" s="1096" t="s">
        <v>805</v>
      </c>
      <c r="F331" s="291" t="s">
        <v>661</v>
      </c>
      <c r="G331" s="291" t="s">
        <v>13</v>
      </c>
      <c r="H331" s="103"/>
      <c r="I331" s="103"/>
      <c r="J331" s="103" t="s">
        <v>58</v>
      </c>
      <c r="K331" s="438"/>
      <c r="L331" s="471"/>
      <c r="M331" s="438"/>
      <c r="N331" s="438"/>
      <c r="O331" s="106"/>
      <c r="P331" s="106"/>
      <c r="Q331" s="105" t="s">
        <v>1000</v>
      </c>
      <c r="R331" s="105" t="s">
        <v>1000</v>
      </c>
      <c r="S331" s="105"/>
      <c r="T331" s="105"/>
      <c r="U331" s="105"/>
      <c r="V331" s="105"/>
      <c r="W331" s="105"/>
      <c r="X331" s="105"/>
      <c r="Y331" s="105"/>
      <c r="Z331" s="438"/>
      <c r="AA331" s="438"/>
      <c r="AB331" s="105"/>
      <c r="AC331" s="105"/>
      <c r="AD331" s="105" t="s">
        <v>63</v>
      </c>
      <c r="AE331" s="396" t="s">
        <v>1000</v>
      </c>
      <c r="AF331" s="105" t="s">
        <v>1000</v>
      </c>
      <c r="AG331" s="508">
        <v>45524</v>
      </c>
      <c r="AH331" s="507"/>
      <c r="AI331" s="508">
        <v>45524</v>
      </c>
      <c r="AJ331" s="508">
        <v>45524</v>
      </c>
      <c r="AK331" s="187"/>
      <c r="AL331" s="187"/>
      <c r="AM331" s="279"/>
    </row>
    <row r="332" spans="1:41" hidden="1" x14ac:dyDescent="0.25">
      <c r="A332" s="28">
        <v>331</v>
      </c>
      <c r="B332" s="104">
        <v>30431</v>
      </c>
      <c r="C332" s="104" t="s">
        <v>674</v>
      </c>
      <c r="D332" s="103" t="s">
        <v>1181</v>
      </c>
      <c r="E332" s="229" t="s">
        <v>805</v>
      </c>
      <c r="F332" s="291" t="s">
        <v>661</v>
      </c>
      <c r="G332" s="291" t="s">
        <v>13</v>
      </c>
      <c r="H332" s="103"/>
      <c r="I332" s="103"/>
      <c r="J332" s="103" t="s">
        <v>58</v>
      </c>
      <c r="K332" s="438"/>
      <c r="L332" s="471"/>
      <c r="M332" s="438"/>
      <c r="N332" s="438"/>
      <c r="O332" s="106"/>
      <c r="P332" s="106"/>
      <c r="Q332" s="105" t="s">
        <v>1000</v>
      </c>
      <c r="R332" s="105" t="s">
        <v>1000</v>
      </c>
      <c r="S332" s="105"/>
      <c r="T332" s="105"/>
      <c r="U332" s="105"/>
      <c r="V332" s="105"/>
      <c r="W332" s="105"/>
      <c r="X332" s="105"/>
      <c r="Y332" s="105"/>
      <c r="Z332" s="438"/>
      <c r="AA332" s="438"/>
      <c r="AB332" s="105"/>
      <c r="AC332" s="105"/>
      <c r="AD332" s="105" t="s">
        <v>63</v>
      </c>
      <c r="AE332" s="396" t="s">
        <v>1000</v>
      </c>
      <c r="AF332" s="105" t="s">
        <v>1083</v>
      </c>
      <c r="AG332" s="508">
        <v>45524</v>
      </c>
      <c r="AH332" s="507"/>
      <c r="AI332" s="508">
        <v>45524</v>
      </c>
      <c r="AJ332" s="508">
        <v>45524</v>
      </c>
      <c r="AK332" s="187"/>
      <c r="AL332" s="187"/>
      <c r="AM332" s="279"/>
    </row>
    <row r="333" spans="1:41" hidden="1" x14ac:dyDescent="0.25">
      <c r="A333" s="28">
        <v>332</v>
      </c>
      <c r="B333" s="104">
        <v>30381</v>
      </c>
      <c r="C333" s="104" t="s">
        <v>677</v>
      </c>
      <c r="D333" s="103" t="s">
        <v>1182</v>
      </c>
      <c r="E333" s="229" t="s">
        <v>805</v>
      </c>
      <c r="F333" s="291" t="s">
        <v>661</v>
      </c>
      <c r="G333" s="291" t="s">
        <v>13</v>
      </c>
      <c r="H333" s="118">
        <v>45109</v>
      </c>
      <c r="I333" s="103"/>
      <c r="J333" s="103" t="s">
        <v>58</v>
      </c>
      <c r="K333" s="438"/>
      <c r="L333" s="471"/>
      <c r="M333" s="438"/>
      <c r="N333" s="438"/>
      <c r="O333" s="106"/>
      <c r="P333" s="106"/>
      <c r="Q333" s="105" t="s">
        <v>1000</v>
      </c>
      <c r="R333" s="105" t="s">
        <v>1000</v>
      </c>
      <c r="S333" s="105" t="s">
        <v>1000</v>
      </c>
      <c r="T333" s="105" t="s">
        <v>1000</v>
      </c>
      <c r="U333" s="105" t="s">
        <v>1000</v>
      </c>
      <c r="V333" s="105" t="s">
        <v>1000</v>
      </c>
      <c r="W333" s="105" t="s">
        <v>1000</v>
      </c>
      <c r="X333" s="105" t="s">
        <v>1000</v>
      </c>
      <c r="Y333" s="105" t="s">
        <v>1000</v>
      </c>
      <c r="Z333" s="105"/>
      <c r="AA333" s="105"/>
      <c r="AB333" s="105"/>
      <c r="AC333" s="105"/>
      <c r="AD333" s="105" t="s">
        <v>1000</v>
      </c>
      <c r="AE333" s="105" t="s">
        <v>1000</v>
      </c>
      <c r="AF333" s="105" t="s">
        <v>1000</v>
      </c>
      <c r="AG333" s="107">
        <v>45520</v>
      </c>
      <c r="AH333" s="105"/>
      <c r="AI333" s="107">
        <v>45315</v>
      </c>
      <c r="AJ333" s="105" t="s">
        <v>1116</v>
      </c>
      <c r="AK333" s="105"/>
      <c r="AL333" s="105"/>
      <c r="AM333" s="1111">
        <v>45539</v>
      </c>
    </row>
    <row r="334" spans="1:41" hidden="1" x14ac:dyDescent="0.25">
      <c r="A334" s="28">
        <v>333</v>
      </c>
      <c r="B334" s="104">
        <v>30381</v>
      </c>
      <c r="C334" s="104" t="s">
        <v>674</v>
      </c>
      <c r="D334" s="103" t="s">
        <v>1183</v>
      </c>
      <c r="E334" s="229" t="s">
        <v>805</v>
      </c>
      <c r="F334" s="291" t="s">
        <v>661</v>
      </c>
      <c r="G334" s="291" t="s">
        <v>13</v>
      </c>
      <c r="H334" s="118">
        <v>45109</v>
      </c>
      <c r="I334" s="103"/>
      <c r="J334" s="103" t="s">
        <v>58</v>
      </c>
      <c r="K334" s="438"/>
      <c r="L334" s="471"/>
      <c r="M334" s="438"/>
      <c r="N334" s="438"/>
      <c r="O334" s="106"/>
      <c r="P334" s="106"/>
      <c r="Q334" s="105" t="s">
        <v>1000</v>
      </c>
      <c r="R334" s="105" t="s">
        <v>1000</v>
      </c>
      <c r="S334" s="105" t="s">
        <v>1000</v>
      </c>
      <c r="T334" s="105" t="s">
        <v>1000</v>
      </c>
      <c r="U334" s="105" t="s">
        <v>1000</v>
      </c>
      <c r="V334" s="105" t="s">
        <v>1000</v>
      </c>
      <c r="W334" s="105" t="s">
        <v>1000</v>
      </c>
      <c r="X334" s="105" t="s">
        <v>1000</v>
      </c>
      <c r="Y334" s="105" t="s">
        <v>1000</v>
      </c>
      <c r="Z334" s="105"/>
      <c r="AA334" s="105"/>
      <c r="AB334" s="105"/>
      <c r="AC334" s="105"/>
      <c r="AD334" s="105" t="s">
        <v>1000</v>
      </c>
      <c r="AE334" s="105" t="s">
        <v>1000</v>
      </c>
      <c r="AF334" s="105" t="s">
        <v>1000</v>
      </c>
      <c r="AG334" s="107">
        <v>45520</v>
      </c>
      <c r="AH334" s="105"/>
      <c r="AI334" s="107">
        <v>45315</v>
      </c>
      <c r="AJ334" s="105" t="s">
        <v>1116</v>
      </c>
      <c r="AK334" s="105"/>
      <c r="AL334" s="105"/>
      <c r="AM334" s="1111">
        <v>45539</v>
      </c>
    </row>
    <row r="335" spans="1:41" hidden="1" x14ac:dyDescent="0.25">
      <c r="A335" s="28">
        <v>334</v>
      </c>
      <c r="B335" s="104">
        <v>37239</v>
      </c>
      <c r="C335" s="104" t="s">
        <v>677</v>
      </c>
      <c r="D335" s="103" t="s">
        <v>1184</v>
      </c>
      <c r="E335" s="229" t="s">
        <v>805</v>
      </c>
      <c r="F335" s="291" t="s">
        <v>661</v>
      </c>
      <c r="G335" s="291" t="s">
        <v>13</v>
      </c>
      <c r="H335" s="118">
        <v>44662</v>
      </c>
      <c r="I335" s="103"/>
      <c r="J335" s="103" t="s">
        <v>58</v>
      </c>
      <c r="K335" s="438"/>
      <c r="L335" s="471"/>
      <c r="M335" s="438"/>
      <c r="N335" s="438"/>
      <c r="O335" s="106"/>
      <c r="P335" s="106"/>
      <c r="Q335" s="105"/>
      <c r="R335" s="105"/>
      <c r="S335" s="105"/>
      <c r="T335" s="105"/>
      <c r="U335" s="105"/>
      <c r="V335" s="105"/>
      <c r="W335" s="105"/>
      <c r="X335" s="105"/>
      <c r="Y335" s="105"/>
      <c r="Z335" s="438"/>
      <c r="AA335" s="438"/>
      <c r="AB335" s="105"/>
      <c r="AC335" s="105"/>
      <c r="AD335" s="105" t="s">
        <v>63</v>
      </c>
      <c r="AE335" s="24" t="s">
        <v>63</v>
      </c>
      <c r="AF335" s="105" t="s">
        <v>63</v>
      </c>
      <c r="AG335" s="508">
        <v>45611</v>
      </c>
      <c r="AH335" s="507"/>
      <c r="AI335" s="507"/>
      <c r="AJ335" s="507"/>
      <c r="AK335" s="231">
        <v>45527</v>
      </c>
      <c r="AL335" s="187"/>
      <c r="AM335" s="279"/>
      <c r="AO335" t="s">
        <v>877</v>
      </c>
    </row>
    <row r="336" spans="1:41" hidden="1" x14ac:dyDescent="0.25">
      <c r="A336" s="28">
        <v>335</v>
      </c>
      <c r="B336" s="104">
        <v>37239</v>
      </c>
      <c r="C336" s="104" t="s">
        <v>674</v>
      </c>
      <c r="D336" s="103" t="s">
        <v>1185</v>
      </c>
      <c r="E336" s="229" t="s">
        <v>805</v>
      </c>
      <c r="F336" s="291" t="s">
        <v>661</v>
      </c>
      <c r="G336" s="291" t="s">
        <v>13</v>
      </c>
      <c r="H336" s="118">
        <v>44662</v>
      </c>
      <c r="I336" s="103"/>
      <c r="J336" s="103" t="s">
        <v>58</v>
      </c>
      <c r="K336" s="438"/>
      <c r="L336" s="471"/>
      <c r="M336" s="438"/>
      <c r="N336" s="438"/>
      <c r="O336" s="106"/>
      <c r="P336" s="106"/>
      <c r="Q336" s="105"/>
      <c r="R336" s="105"/>
      <c r="S336" s="105"/>
      <c r="T336" s="105"/>
      <c r="U336" s="105"/>
      <c r="V336" s="105"/>
      <c r="W336" s="105"/>
      <c r="X336" s="105"/>
      <c r="Y336" s="105"/>
      <c r="Z336" s="438"/>
      <c r="AA336" s="438"/>
      <c r="AB336" s="105"/>
      <c r="AC336" s="105"/>
      <c r="AD336" s="105" t="s">
        <v>63</v>
      </c>
      <c r="AE336" s="24" t="s">
        <v>63</v>
      </c>
      <c r="AF336" s="105" t="s">
        <v>63</v>
      </c>
      <c r="AG336" s="508">
        <v>45611</v>
      </c>
      <c r="AH336" s="507"/>
      <c r="AI336" s="507"/>
      <c r="AJ336" s="507"/>
      <c r="AK336" s="231">
        <v>45527</v>
      </c>
      <c r="AL336" s="187"/>
      <c r="AM336" s="279"/>
      <c r="AO336" t="s">
        <v>877</v>
      </c>
    </row>
    <row r="337" spans="1:39" hidden="1" x14ac:dyDescent="0.25">
      <c r="A337" s="28">
        <v>336</v>
      </c>
      <c r="B337" s="104">
        <v>37736</v>
      </c>
      <c r="C337" s="104" t="s">
        <v>677</v>
      </c>
      <c r="D337" s="103" t="s">
        <v>1186</v>
      </c>
      <c r="E337" s="229" t="s">
        <v>805</v>
      </c>
      <c r="F337" s="291" t="s">
        <v>661</v>
      </c>
      <c r="G337" s="291" t="s">
        <v>13</v>
      </c>
      <c r="H337" s="103"/>
      <c r="I337" s="103"/>
      <c r="J337" s="103" t="s">
        <v>58</v>
      </c>
      <c r="K337" s="438"/>
      <c r="L337" s="471"/>
      <c r="M337" s="438"/>
      <c r="N337" s="438"/>
      <c r="O337" s="106"/>
      <c r="P337" s="106"/>
      <c r="Q337" s="105" t="s">
        <v>1000</v>
      </c>
      <c r="R337" s="105" t="s">
        <v>1000</v>
      </c>
      <c r="S337" s="105"/>
      <c r="T337" s="105"/>
      <c r="U337" s="105"/>
      <c r="V337" s="105"/>
      <c r="W337" s="105"/>
      <c r="X337" s="105"/>
      <c r="Y337" s="105"/>
      <c r="Z337" s="438"/>
      <c r="AA337" s="438"/>
      <c r="AB337" s="105"/>
      <c r="AC337" s="105"/>
      <c r="AD337" s="105" t="s">
        <v>63</v>
      </c>
      <c r="AE337" s="396" t="s">
        <v>1000</v>
      </c>
      <c r="AF337" s="105" t="s">
        <v>1103</v>
      </c>
      <c r="AG337" s="508">
        <v>45547</v>
      </c>
      <c r="AH337" s="507"/>
      <c r="AI337" s="507"/>
      <c r="AJ337" s="507" t="s">
        <v>63</v>
      </c>
      <c r="AK337" s="187"/>
      <c r="AL337" s="187"/>
      <c r="AM337" s="279"/>
    </row>
    <row r="338" spans="1:39" hidden="1" x14ac:dyDescent="0.25">
      <c r="A338" s="28">
        <v>337</v>
      </c>
      <c r="B338" s="104">
        <v>37736</v>
      </c>
      <c r="C338" s="104" t="s">
        <v>674</v>
      </c>
      <c r="D338" s="103" t="s">
        <v>1187</v>
      </c>
      <c r="E338" s="229" t="s">
        <v>805</v>
      </c>
      <c r="F338" s="291" t="s">
        <v>661</v>
      </c>
      <c r="G338" s="291" t="s">
        <v>13</v>
      </c>
      <c r="H338" s="103"/>
      <c r="I338" s="103"/>
      <c r="J338" s="103" t="s">
        <v>58</v>
      </c>
      <c r="K338" s="438"/>
      <c r="L338" s="471"/>
      <c r="M338" s="438"/>
      <c r="N338" s="438"/>
      <c r="O338" s="106"/>
      <c r="P338" s="106"/>
      <c r="Q338" s="105" t="s">
        <v>1000</v>
      </c>
      <c r="R338" s="105" t="s">
        <v>1000</v>
      </c>
      <c r="S338" s="105"/>
      <c r="T338" s="105"/>
      <c r="U338" s="105"/>
      <c r="V338" s="105"/>
      <c r="W338" s="105"/>
      <c r="X338" s="105"/>
      <c r="Y338" s="105"/>
      <c r="Z338" s="438"/>
      <c r="AA338" s="438"/>
      <c r="AB338" s="105"/>
      <c r="AC338" s="105"/>
      <c r="AD338" s="105" t="s">
        <v>63</v>
      </c>
      <c r="AE338" s="396" t="s">
        <v>1000</v>
      </c>
      <c r="AF338" s="105" t="s">
        <v>1000</v>
      </c>
      <c r="AG338" s="508">
        <v>45547</v>
      </c>
      <c r="AH338" s="507"/>
      <c r="AI338" s="507"/>
      <c r="AJ338" s="507" t="s">
        <v>63</v>
      </c>
      <c r="AK338" s="187"/>
      <c r="AL338" s="187"/>
      <c r="AM338" s="279"/>
    </row>
    <row r="339" spans="1:39" hidden="1" x14ac:dyDescent="0.25">
      <c r="A339" s="28">
        <v>338</v>
      </c>
      <c r="B339" s="104">
        <v>30384</v>
      </c>
      <c r="C339" s="104" t="s">
        <v>677</v>
      </c>
      <c r="D339" s="103" t="s">
        <v>1188</v>
      </c>
      <c r="E339" s="229" t="s">
        <v>805</v>
      </c>
      <c r="F339" s="291" t="s">
        <v>661</v>
      </c>
      <c r="G339" s="291" t="s">
        <v>13</v>
      </c>
      <c r="H339" s="118">
        <v>45148</v>
      </c>
      <c r="I339" s="103"/>
      <c r="J339" s="103" t="s">
        <v>58</v>
      </c>
      <c r="K339" s="438"/>
      <c r="L339" s="471"/>
      <c r="M339" s="438"/>
      <c r="N339" s="438"/>
      <c r="O339" s="106"/>
      <c r="P339" s="106"/>
      <c r="Q339" s="105" t="s">
        <v>1000</v>
      </c>
      <c r="R339" s="105" t="s">
        <v>1000</v>
      </c>
      <c r="S339" s="105"/>
      <c r="T339" s="105"/>
      <c r="U339" s="105"/>
      <c r="V339" s="105"/>
      <c r="W339" s="105"/>
      <c r="X339" s="105"/>
      <c r="Y339" s="105"/>
      <c r="Z339" s="438"/>
      <c r="AA339" s="438"/>
      <c r="AB339" s="105"/>
      <c r="AC339" s="105"/>
      <c r="AD339" s="105" t="s">
        <v>63</v>
      </c>
      <c r="AE339" s="396" t="s">
        <v>1000</v>
      </c>
      <c r="AF339" s="105" t="s">
        <v>1000</v>
      </c>
      <c r="AG339" s="507"/>
      <c r="AH339" s="507"/>
      <c r="AI339" s="507"/>
      <c r="AJ339" s="507" t="s">
        <v>63</v>
      </c>
      <c r="AK339" s="187"/>
      <c r="AL339" s="187"/>
      <c r="AM339" s="279"/>
    </row>
    <row r="340" spans="1:39" hidden="1" x14ac:dyDescent="0.25">
      <c r="A340" s="28">
        <v>339</v>
      </c>
      <c r="B340" s="104">
        <v>30384</v>
      </c>
      <c r="C340" s="104" t="s">
        <v>674</v>
      </c>
      <c r="D340" s="103" t="s">
        <v>1189</v>
      </c>
      <c r="E340" s="229" t="s">
        <v>805</v>
      </c>
      <c r="F340" s="291" t="s">
        <v>661</v>
      </c>
      <c r="G340" s="291" t="s">
        <v>13</v>
      </c>
      <c r="H340" s="118">
        <v>45148</v>
      </c>
      <c r="I340" s="103"/>
      <c r="J340" s="103" t="s">
        <v>58</v>
      </c>
      <c r="K340" s="438"/>
      <c r="L340" s="471"/>
      <c r="M340" s="438"/>
      <c r="N340" s="438"/>
      <c r="O340" s="106"/>
      <c r="P340" s="106"/>
      <c r="Q340" s="105" t="s">
        <v>1000</v>
      </c>
      <c r="R340" s="105" t="s">
        <v>1000</v>
      </c>
      <c r="S340" s="105"/>
      <c r="T340" s="105"/>
      <c r="U340" s="105"/>
      <c r="V340" s="105"/>
      <c r="W340" s="105"/>
      <c r="X340" s="105"/>
      <c r="Y340" s="105"/>
      <c r="Z340" s="438"/>
      <c r="AA340" s="438"/>
      <c r="AB340" s="105"/>
      <c r="AC340" s="105"/>
      <c r="AD340" s="105" t="s">
        <v>63</v>
      </c>
      <c r="AE340" s="396" t="s">
        <v>1000</v>
      </c>
      <c r="AF340" s="105" t="s">
        <v>1000</v>
      </c>
      <c r="AG340" s="507"/>
      <c r="AH340" s="507"/>
      <c r="AI340" s="507"/>
      <c r="AJ340" s="507" t="s">
        <v>63</v>
      </c>
      <c r="AK340" s="187"/>
      <c r="AL340" s="187"/>
      <c r="AM340" s="279"/>
    </row>
    <row r="341" spans="1:39" hidden="1" x14ac:dyDescent="0.25">
      <c r="A341" s="28">
        <v>340</v>
      </c>
      <c r="B341" s="104">
        <v>30228</v>
      </c>
      <c r="C341" s="104" t="s">
        <v>677</v>
      </c>
      <c r="D341" s="103" t="s">
        <v>1190</v>
      </c>
      <c r="E341" s="229" t="s">
        <v>805</v>
      </c>
      <c r="F341" s="291" t="s">
        <v>661</v>
      </c>
      <c r="G341" s="291" t="s">
        <v>13</v>
      </c>
      <c r="H341" s="103"/>
      <c r="I341" s="103"/>
      <c r="J341" s="103" t="s">
        <v>58</v>
      </c>
      <c r="K341" s="438"/>
      <c r="L341" s="471"/>
      <c r="M341" s="438"/>
      <c r="N341" s="438"/>
      <c r="O341" s="106"/>
      <c r="P341" s="106"/>
      <c r="Q341" s="105" t="s">
        <v>1000</v>
      </c>
      <c r="R341" s="105" t="s">
        <v>1000</v>
      </c>
      <c r="S341" s="105"/>
      <c r="T341" s="105"/>
      <c r="U341" s="105"/>
      <c r="V341" s="105"/>
      <c r="W341" s="105"/>
      <c r="X341" s="105"/>
      <c r="Y341" s="105"/>
      <c r="Z341" s="438"/>
      <c r="AA341" s="438"/>
      <c r="AB341" s="105"/>
      <c r="AC341" s="105"/>
      <c r="AD341" s="105" t="s">
        <v>63</v>
      </c>
      <c r="AE341" s="396" t="s">
        <v>1000</v>
      </c>
      <c r="AF341" s="105" t="s">
        <v>1000</v>
      </c>
      <c r="AG341" s="507"/>
      <c r="AH341" s="507"/>
      <c r="AI341" s="507"/>
      <c r="AJ341" s="507" t="s">
        <v>63</v>
      </c>
      <c r="AK341" s="187"/>
      <c r="AL341" s="187"/>
      <c r="AM341" s="279"/>
    </row>
    <row r="342" spans="1:39" hidden="1" x14ac:dyDescent="0.25">
      <c r="A342" s="28">
        <v>341</v>
      </c>
      <c r="B342" s="104">
        <v>30228</v>
      </c>
      <c r="C342" s="104" t="s">
        <v>674</v>
      </c>
      <c r="D342" s="103" t="s">
        <v>1191</v>
      </c>
      <c r="E342" s="229" t="s">
        <v>805</v>
      </c>
      <c r="F342" s="291" t="s">
        <v>661</v>
      </c>
      <c r="G342" s="291" t="s">
        <v>13</v>
      </c>
      <c r="H342" s="103"/>
      <c r="I342" s="103"/>
      <c r="J342" s="103" t="s">
        <v>58</v>
      </c>
      <c r="K342" s="438"/>
      <c r="L342" s="471"/>
      <c r="M342" s="438"/>
      <c r="N342" s="438"/>
      <c r="O342" s="106"/>
      <c r="P342" s="106"/>
      <c r="Q342" s="105" t="s">
        <v>1000</v>
      </c>
      <c r="R342" s="105" t="s">
        <v>1000</v>
      </c>
      <c r="S342" s="105"/>
      <c r="T342" s="105"/>
      <c r="U342" s="105"/>
      <c r="V342" s="105"/>
      <c r="W342" s="105"/>
      <c r="X342" s="105"/>
      <c r="Y342" s="105"/>
      <c r="Z342" s="438"/>
      <c r="AA342" s="438"/>
      <c r="AB342" s="105"/>
      <c r="AC342" s="105"/>
      <c r="AD342" s="105" t="s">
        <v>63</v>
      </c>
      <c r="AE342" s="396" t="s">
        <v>1000</v>
      </c>
      <c r="AF342" s="105" t="s">
        <v>1000</v>
      </c>
      <c r="AG342" s="507"/>
      <c r="AH342" s="507"/>
      <c r="AI342" s="507"/>
      <c r="AJ342" s="507" t="s">
        <v>63</v>
      </c>
      <c r="AK342" s="187"/>
      <c r="AL342" s="187"/>
      <c r="AM342" s="279"/>
    </row>
    <row r="343" spans="1:39" hidden="1" x14ac:dyDescent="0.25">
      <c r="A343" s="28">
        <v>342</v>
      </c>
      <c r="B343" s="104">
        <v>30244</v>
      </c>
      <c r="C343" s="104" t="s">
        <v>677</v>
      </c>
      <c r="D343" s="103" t="s">
        <v>1192</v>
      </c>
      <c r="E343" s="229" t="s">
        <v>805</v>
      </c>
      <c r="F343" s="291" t="s">
        <v>661</v>
      </c>
      <c r="G343" s="291" t="s">
        <v>13</v>
      </c>
      <c r="H343" s="103"/>
      <c r="I343" s="103"/>
      <c r="J343" s="103" t="s">
        <v>58</v>
      </c>
      <c r="K343" s="438"/>
      <c r="L343" s="471"/>
      <c r="M343" s="438"/>
      <c r="N343" s="438"/>
      <c r="O343" s="106"/>
      <c r="P343" s="106"/>
      <c r="Q343" s="105" t="s">
        <v>1000</v>
      </c>
      <c r="R343" s="105" t="s">
        <v>1000</v>
      </c>
      <c r="S343" s="105"/>
      <c r="T343" s="105"/>
      <c r="U343" s="105"/>
      <c r="V343" s="105"/>
      <c r="W343" s="105"/>
      <c r="X343" s="105"/>
      <c r="Y343" s="105"/>
      <c r="Z343" s="438"/>
      <c r="AA343" s="438"/>
      <c r="AB343" s="105"/>
      <c r="AC343" s="105"/>
      <c r="AD343" s="105" t="s">
        <v>63</v>
      </c>
      <c r="AE343" s="396" t="s">
        <v>1000</v>
      </c>
      <c r="AF343" s="105" t="s">
        <v>1000</v>
      </c>
      <c r="AG343" s="507"/>
      <c r="AH343" s="507"/>
      <c r="AI343" s="507"/>
      <c r="AJ343" s="507" t="s">
        <v>63</v>
      </c>
      <c r="AK343" s="187"/>
      <c r="AL343" s="187"/>
      <c r="AM343" s="279"/>
    </row>
    <row r="344" spans="1:39" hidden="1" x14ac:dyDescent="0.25">
      <c r="A344" s="28">
        <v>343</v>
      </c>
      <c r="B344" s="104">
        <v>30244</v>
      </c>
      <c r="C344" s="104" t="s">
        <v>674</v>
      </c>
      <c r="D344" s="103" t="s">
        <v>1193</v>
      </c>
      <c r="E344" s="229" t="s">
        <v>805</v>
      </c>
      <c r="F344" s="291" t="s">
        <v>661</v>
      </c>
      <c r="G344" s="291" t="s">
        <v>13</v>
      </c>
      <c r="H344" s="103"/>
      <c r="I344" s="103"/>
      <c r="J344" s="103" t="s">
        <v>58</v>
      </c>
      <c r="K344" s="438"/>
      <c r="L344" s="471"/>
      <c r="M344" s="438"/>
      <c r="N344" s="438"/>
      <c r="O344" s="106"/>
      <c r="P344" s="106"/>
      <c r="Q344" s="105" t="s">
        <v>1000</v>
      </c>
      <c r="R344" s="105" t="s">
        <v>1000</v>
      </c>
      <c r="S344" s="105"/>
      <c r="T344" s="105"/>
      <c r="U344" s="105"/>
      <c r="V344" s="105"/>
      <c r="W344" s="105"/>
      <c r="X344" s="105"/>
      <c r="Y344" s="105"/>
      <c r="Z344" s="438"/>
      <c r="AA344" s="438"/>
      <c r="AB344" s="105"/>
      <c r="AC344" s="105"/>
      <c r="AD344" s="105" t="s">
        <v>63</v>
      </c>
      <c r="AE344" s="396" t="s">
        <v>1000</v>
      </c>
      <c r="AF344" s="105" t="s">
        <v>1000</v>
      </c>
      <c r="AG344" s="507"/>
      <c r="AH344" s="507"/>
      <c r="AI344" s="507"/>
      <c r="AJ344" s="507" t="s">
        <v>63</v>
      </c>
      <c r="AK344" s="187"/>
      <c r="AL344" s="187"/>
      <c r="AM344" s="279"/>
    </row>
    <row r="345" spans="1:39" hidden="1" x14ac:dyDescent="0.25">
      <c r="A345" s="28">
        <v>344</v>
      </c>
      <c r="B345" s="104">
        <v>30233</v>
      </c>
      <c r="C345" s="104" t="s">
        <v>677</v>
      </c>
      <c r="D345" s="103" t="s">
        <v>1194</v>
      </c>
      <c r="E345" s="229" t="s">
        <v>805</v>
      </c>
      <c r="F345" s="291" t="s">
        <v>661</v>
      </c>
      <c r="G345" s="291" t="s">
        <v>13</v>
      </c>
      <c r="H345" s="103"/>
      <c r="I345" s="103"/>
      <c r="J345" s="103" t="s">
        <v>58</v>
      </c>
      <c r="K345" s="438"/>
      <c r="L345" s="471"/>
      <c r="M345" s="438"/>
      <c r="N345" s="438"/>
      <c r="O345" s="106"/>
      <c r="P345" s="106"/>
      <c r="Q345" s="105" t="s">
        <v>1000</v>
      </c>
      <c r="R345" s="105" t="s">
        <v>1000</v>
      </c>
      <c r="S345" s="105"/>
      <c r="T345" s="105"/>
      <c r="U345" s="105"/>
      <c r="V345" s="105"/>
      <c r="W345" s="105"/>
      <c r="X345" s="105"/>
      <c r="Y345" s="105"/>
      <c r="Z345" s="438"/>
      <c r="AA345" s="438"/>
      <c r="AB345" s="105"/>
      <c r="AC345" s="105"/>
      <c r="AD345" s="105" t="s">
        <v>63</v>
      </c>
      <c r="AE345" s="396" t="s">
        <v>1000</v>
      </c>
      <c r="AF345" s="105" t="s">
        <v>1000</v>
      </c>
      <c r="AG345" s="507"/>
      <c r="AH345" s="507"/>
      <c r="AI345" s="507"/>
      <c r="AJ345" s="507" t="s">
        <v>63</v>
      </c>
      <c r="AK345" s="187"/>
      <c r="AL345" s="187"/>
      <c r="AM345" s="279"/>
    </row>
    <row r="346" spans="1:39" hidden="1" x14ac:dyDescent="0.25">
      <c r="A346" s="28">
        <v>345</v>
      </c>
      <c r="B346" s="104">
        <v>30233</v>
      </c>
      <c r="C346" s="104" t="s">
        <v>674</v>
      </c>
      <c r="D346" s="103" t="s">
        <v>1195</v>
      </c>
      <c r="E346" s="229" t="s">
        <v>805</v>
      </c>
      <c r="F346" s="291" t="s">
        <v>661</v>
      </c>
      <c r="G346" s="291" t="s">
        <v>13</v>
      </c>
      <c r="H346" s="103"/>
      <c r="I346" s="103"/>
      <c r="J346" s="103" t="s">
        <v>58</v>
      </c>
      <c r="K346" s="438"/>
      <c r="L346" s="471"/>
      <c r="M346" s="438"/>
      <c r="N346" s="438"/>
      <c r="O346" s="106"/>
      <c r="P346" s="106"/>
      <c r="Q346" s="105" t="s">
        <v>1000</v>
      </c>
      <c r="R346" s="105" t="s">
        <v>1000</v>
      </c>
      <c r="S346" s="105"/>
      <c r="T346" s="105"/>
      <c r="U346" s="105"/>
      <c r="V346" s="105"/>
      <c r="W346" s="105"/>
      <c r="X346" s="105"/>
      <c r="Y346" s="105"/>
      <c r="Z346" s="438"/>
      <c r="AA346" s="438"/>
      <c r="AB346" s="105"/>
      <c r="AC346" s="105"/>
      <c r="AD346" s="105" t="s">
        <v>63</v>
      </c>
      <c r="AE346" s="396" t="s">
        <v>1000</v>
      </c>
      <c r="AF346" s="105" t="s">
        <v>1000</v>
      </c>
      <c r="AG346" s="507"/>
      <c r="AH346" s="507"/>
      <c r="AI346" s="507"/>
      <c r="AJ346" s="507" t="s">
        <v>63</v>
      </c>
      <c r="AK346" s="187"/>
      <c r="AL346" s="187"/>
      <c r="AM346" s="279"/>
    </row>
    <row r="347" spans="1:39" hidden="1" x14ac:dyDescent="0.25">
      <c r="A347" s="28">
        <v>346</v>
      </c>
      <c r="B347" s="1244">
        <v>30227</v>
      </c>
      <c r="C347" s="104" t="s">
        <v>677</v>
      </c>
      <c r="D347" s="103" t="s">
        <v>1196</v>
      </c>
      <c r="E347" s="229" t="s">
        <v>828</v>
      </c>
      <c r="F347" s="291" t="s">
        <v>661</v>
      </c>
      <c r="G347" s="291" t="s">
        <v>13</v>
      </c>
      <c r="H347" s="103"/>
      <c r="I347" s="103"/>
      <c r="J347" s="103" t="s">
        <v>58</v>
      </c>
      <c r="K347" s="438"/>
      <c r="L347" s="471"/>
      <c r="M347" s="438"/>
      <c r="N347" s="438"/>
      <c r="O347" s="106"/>
      <c r="P347" s="106"/>
      <c r="Q347" s="105"/>
      <c r="R347" s="105"/>
      <c r="S347" s="105"/>
      <c r="T347" s="105"/>
      <c r="U347" s="105"/>
      <c r="V347" s="105"/>
      <c r="W347" s="105"/>
      <c r="X347" s="105"/>
      <c r="Y347" s="105"/>
      <c r="Z347" s="438"/>
      <c r="AA347" s="438"/>
      <c r="AB347" s="105"/>
      <c r="AC347" s="105"/>
      <c r="AD347" s="105"/>
      <c r="AE347" s="105"/>
      <c r="AF347" s="397" t="s">
        <v>68</v>
      </c>
      <c r="AG347" s="187" t="s">
        <v>63</v>
      </c>
      <c r="AH347" s="187" t="s">
        <v>63</v>
      </c>
      <c r="AI347" s="187" t="s">
        <v>63</v>
      </c>
      <c r="AJ347" s="187" t="s">
        <v>63</v>
      </c>
      <c r="AK347" s="187"/>
      <c r="AL347" s="187"/>
      <c r="AM347" s="187" t="s">
        <v>63</v>
      </c>
    </row>
    <row r="348" spans="1:39" hidden="1" x14ac:dyDescent="0.25">
      <c r="A348" s="28">
        <v>347</v>
      </c>
      <c r="B348" s="1244">
        <v>30227</v>
      </c>
      <c r="C348" s="104" t="s">
        <v>674</v>
      </c>
      <c r="D348" s="103" t="s">
        <v>1197</v>
      </c>
      <c r="E348" s="229" t="s">
        <v>828</v>
      </c>
      <c r="F348" s="291" t="s">
        <v>661</v>
      </c>
      <c r="G348" s="291" t="s">
        <v>13</v>
      </c>
      <c r="H348" s="103"/>
      <c r="I348" s="103"/>
      <c r="J348" s="103" t="s">
        <v>58</v>
      </c>
      <c r="K348" s="438"/>
      <c r="L348" s="471"/>
      <c r="M348" s="438"/>
      <c r="N348" s="438"/>
      <c r="O348" s="106"/>
      <c r="P348" s="106"/>
      <c r="Q348" s="105"/>
      <c r="R348" s="105"/>
      <c r="S348" s="105"/>
      <c r="T348" s="105"/>
      <c r="U348" s="105"/>
      <c r="V348" s="105"/>
      <c r="W348" s="105"/>
      <c r="X348" s="105"/>
      <c r="Y348" s="105"/>
      <c r="Z348" s="438"/>
      <c r="AA348" s="438"/>
      <c r="AB348" s="105"/>
      <c r="AC348" s="105"/>
      <c r="AD348" s="105"/>
      <c r="AE348" s="105"/>
      <c r="AF348" s="196" t="s">
        <v>62</v>
      </c>
      <c r="AG348" s="187" t="s">
        <v>63</v>
      </c>
      <c r="AH348" s="187" t="s">
        <v>63</v>
      </c>
      <c r="AI348" s="187" t="s">
        <v>63</v>
      </c>
      <c r="AJ348" s="187" t="s">
        <v>63</v>
      </c>
      <c r="AK348" s="187"/>
      <c r="AL348" s="187"/>
      <c r="AM348" s="187" t="s">
        <v>63</v>
      </c>
    </row>
    <row r="349" spans="1:39" hidden="1" x14ac:dyDescent="0.25">
      <c r="A349" s="28">
        <v>348</v>
      </c>
      <c r="B349" s="1244">
        <v>39332</v>
      </c>
      <c r="C349" s="104" t="s">
        <v>677</v>
      </c>
      <c r="D349" s="103"/>
      <c r="E349" s="229" t="s">
        <v>828</v>
      </c>
      <c r="F349" s="291" t="s">
        <v>661</v>
      </c>
      <c r="G349" s="291" t="s">
        <v>13</v>
      </c>
      <c r="H349" s="103"/>
      <c r="I349" s="103"/>
      <c r="J349" s="103" t="s">
        <v>58</v>
      </c>
      <c r="K349" s="438"/>
      <c r="L349" s="471"/>
      <c r="M349" s="438"/>
      <c r="N349" s="438"/>
      <c r="O349" s="106"/>
      <c r="P349" s="106"/>
      <c r="Q349" s="105"/>
      <c r="R349" s="105"/>
      <c r="S349" s="105"/>
      <c r="T349" s="105"/>
      <c r="U349" s="105"/>
      <c r="V349" s="105"/>
      <c r="W349" s="105"/>
      <c r="X349" s="105"/>
      <c r="Y349" s="105"/>
      <c r="Z349" s="438"/>
      <c r="AA349" s="438"/>
      <c r="AB349" s="105"/>
      <c r="AC349" s="105"/>
      <c r="AD349" s="105"/>
      <c r="AE349" s="105"/>
      <c r="AF349" s="397" t="s">
        <v>68</v>
      </c>
      <c r="AG349" s="187"/>
      <c r="AH349" s="187"/>
      <c r="AI349" s="187"/>
      <c r="AJ349" s="187"/>
      <c r="AK349" s="187"/>
      <c r="AL349" s="187"/>
      <c r="AM349" s="187" t="s">
        <v>63</v>
      </c>
    </row>
    <row r="350" spans="1:39" hidden="1" x14ac:dyDescent="0.25">
      <c r="A350" s="28">
        <v>349</v>
      </c>
      <c r="B350" s="1244">
        <v>39332</v>
      </c>
      <c r="C350" s="104" t="s">
        <v>674</v>
      </c>
      <c r="D350" s="103"/>
      <c r="E350" s="229" t="s">
        <v>828</v>
      </c>
      <c r="F350" s="291" t="s">
        <v>661</v>
      </c>
      <c r="G350" s="291" t="s">
        <v>13</v>
      </c>
      <c r="H350" s="103"/>
      <c r="I350" s="103"/>
      <c r="J350" s="103" t="s">
        <v>58</v>
      </c>
      <c r="K350" s="438"/>
      <c r="L350" s="471"/>
      <c r="M350" s="438"/>
      <c r="N350" s="438"/>
      <c r="O350" s="106"/>
      <c r="P350" s="106"/>
      <c r="Q350" s="105"/>
      <c r="R350" s="105"/>
      <c r="S350" s="105"/>
      <c r="T350" s="105"/>
      <c r="U350" s="105"/>
      <c r="V350" s="105"/>
      <c r="W350" s="105"/>
      <c r="X350" s="105"/>
      <c r="Y350" s="105"/>
      <c r="Z350" s="438"/>
      <c r="AA350" s="438"/>
      <c r="AB350" s="105"/>
      <c r="AC350" s="105"/>
      <c r="AD350" s="105"/>
      <c r="AE350" s="105"/>
      <c r="AF350" s="196" t="s">
        <v>62</v>
      </c>
      <c r="AG350" s="187"/>
      <c r="AH350" s="187"/>
      <c r="AI350" s="187"/>
      <c r="AJ350" s="187"/>
      <c r="AK350" s="187"/>
      <c r="AL350" s="187"/>
      <c r="AM350" s="187" t="s">
        <v>63</v>
      </c>
    </row>
    <row r="351" spans="1:39" hidden="1" x14ac:dyDescent="0.25">
      <c r="A351" s="28">
        <v>350</v>
      </c>
      <c r="B351" s="1244">
        <v>30815</v>
      </c>
      <c r="C351" s="104" t="s">
        <v>677</v>
      </c>
      <c r="D351" s="103" t="s">
        <v>1198</v>
      </c>
      <c r="E351" s="229" t="s">
        <v>828</v>
      </c>
      <c r="F351" s="291" t="s">
        <v>661</v>
      </c>
      <c r="G351" s="291" t="s">
        <v>13</v>
      </c>
      <c r="H351" s="118">
        <v>45328</v>
      </c>
      <c r="I351" s="103"/>
      <c r="J351" s="103" t="s">
        <v>58</v>
      </c>
      <c r="K351" s="438"/>
      <c r="L351" s="471"/>
      <c r="M351" s="438"/>
      <c r="N351" s="438"/>
      <c r="O351" s="106" t="s">
        <v>63</v>
      </c>
      <c r="P351" s="106" t="s">
        <v>63</v>
      </c>
      <c r="Q351" s="106" t="s">
        <v>63</v>
      </c>
      <c r="R351" s="106" t="s">
        <v>63</v>
      </c>
      <c r="S351" s="106" t="s">
        <v>63</v>
      </c>
      <c r="T351" s="106" t="s">
        <v>63</v>
      </c>
      <c r="U351" s="106" t="s">
        <v>63</v>
      </c>
      <c r="V351" s="106" t="s">
        <v>63</v>
      </c>
      <c r="W351" s="106" t="s">
        <v>63</v>
      </c>
      <c r="X351" s="106" t="s">
        <v>63</v>
      </c>
      <c r="Y351" s="106" t="s">
        <v>63</v>
      </c>
      <c r="Z351" s="438"/>
      <c r="AA351" s="438"/>
      <c r="AB351" s="106"/>
      <c r="AC351" s="106"/>
      <c r="AD351" s="106" t="s">
        <v>63</v>
      </c>
      <c r="AE351" s="106" t="s">
        <v>63</v>
      </c>
      <c r="AF351" s="397" t="s">
        <v>68</v>
      </c>
      <c r="AG351" s="231">
        <v>45694</v>
      </c>
      <c r="AH351" s="231">
        <v>45694</v>
      </c>
      <c r="AI351" s="231">
        <v>45694</v>
      </c>
      <c r="AJ351" s="187" t="s">
        <v>63</v>
      </c>
      <c r="AK351" s="187" t="s">
        <v>1199</v>
      </c>
      <c r="AL351" s="187" t="s">
        <v>1200</v>
      </c>
      <c r="AM351" s="231">
        <v>45815</v>
      </c>
    </row>
    <row r="352" spans="1:39" hidden="1" x14ac:dyDescent="0.25">
      <c r="A352" s="28">
        <v>351</v>
      </c>
      <c r="B352" s="1244">
        <v>30815</v>
      </c>
      <c r="C352" s="104" t="s">
        <v>674</v>
      </c>
      <c r="D352" s="103" t="s">
        <v>1201</v>
      </c>
      <c r="E352" s="229" t="s">
        <v>828</v>
      </c>
      <c r="F352" s="291" t="s">
        <v>661</v>
      </c>
      <c r="G352" s="291" t="s">
        <v>13</v>
      </c>
      <c r="H352" s="118">
        <v>45328</v>
      </c>
      <c r="I352" s="103"/>
      <c r="J352" s="103" t="s">
        <v>58</v>
      </c>
      <c r="K352" s="438"/>
      <c r="L352" s="471"/>
      <c r="M352" s="438"/>
      <c r="N352" s="438"/>
      <c r="O352" s="106" t="s">
        <v>63</v>
      </c>
      <c r="P352" s="106" t="s">
        <v>63</v>
      </c>
      <c r="Q352" s="106" t="s">
        <v>63</v>
      </c>
      <c r="R352" s="106" t="s">
        <v>63</v>
      </c>
      <c r="S352" s="106" t="s">
        <v>63</v>
      </c>
      <c r="T352" s="106" t="s">
        <v>63</v>
      </c>
      <c r="U352" s="106" t="s">
        <v>63</v>
      </c>
      <c r="V352" s="106" t="s">
        <v>63</v>
      </c>
      <c r="W352" s="106" t="s">
        <v>63</v>
      </c>
      <c r="X352" s="106" t="s">
        <v>63</v>
      </c>
      <c r="Y352" s="106" t="s">
        <v>63</v>
      </c>
      <c r="Z352" s="438"/>
      <c r="AA352" s="438"/>
      <c r="AB352" s="106"/>
      <c r="AC352" s="106"/>
      <c r="AD352" s="106" t="s">
        <v>63</v>
      </c>
      <c r="AE352" s="106" t="s">
        <v>63</v>
      </c>
      <c r="AF352" s="196" t="s">
        <v>62</v>
      </c>
      <c r="AG352" s="231">
        <v>45694</v>
      </c>
      <c r="AH352" s="231">
        <v>45694</v>
      </c>
      <c r="AI352" s="231">
        <v>45694</v>
      </c>
      <c r="AJ352" s="187" t="s">
        <v>63</v>
      </c>
      <c r="AK352" s="187" t="s">
        <v>1199</v>
      </c>
      <c r="AL352" s="187" t="s">
        <v>1200</v>
      </c>
      <c r="AM352" s="231">
        <v>45815</v>
      </c>
    </row>
    <row r="353" spans="1:42" hidden="1" x14ac:dyDescent="0.25">
      <c r="A353" s="28">
        <v>352</v>
      </c>
      <c r="B353" s="1244">
        <v>39361</v>
      </c>
      <c r="C353" s="104" t="s">
        <v>677</v>
      </c>
      <c r="D353" s="103" t="s">
        <v>1202</v>
      </c>
      <c r="E353" s="229" t="s">
        <v>828</v>
      </c>
      <c r="F353" s="291" t="s">
        <v>661</v>
      </c>
      <c r="G353" s="291" t="s">
        <v>13</v>
      </c>
      <c r="H353" s="103"/>
      <c r="I353" s="103"/>
      <c r="J353" s="103" t="s">
        <v>58</v>
      </c>
      <c r="K353" s="438"/>
      <c r="L353" s="471"/>
      <c r="M353" s="438"/>
      <c r="N353" s="438"/>
      <c r="O353" s="106"/>
      <c r="P353" s="106"/>
      <c r="Q353" s="105"/>
      <c r="R353" s="105"/>
      <c r="S353" s="105"/>
      <c r="T353" s="105"/>
      <c r="U353" s="105"/>
      <c r="V353" s="105"/>
      <c r="W353" s="105"/>
      <c r="X353" s="105"/>
      <c r="Y353" s="105"/>
      <c r="Z353" s="438"/>
      <c r="AA353" s="438"/>
      <c r="AB353" s="105"/>
      <c r="AC353" s="105"/>
      <c r="AD353" s="105"/>
      <c r="AE353" s="105"/>
      <c r="AF353" s="397" t="s">
        <v>68</v>
      </c>
      <c r="AG353" s="231">
        <v>45555</v>
      </c>
      <c r="AH353" s="231">
        <v>45555</v>
      </c>
      <c r="AI353" s="231">
        <v>45555</v>
      </c>
      <c r="AJ353" s="187" t="s">
        <v>63</v>
      </c>
      <c r="AK353" s="187"/>
      <c r="AL353" s="187"/>
      <c r="AM353" s="187" t="s">
        <v>63</v>
      </c>
    </row>
    <row r="354" spans="1:42" hidden="1" x14ac:dyDescent="0.25">
      <c r="A354" s="28">
        <v>353</v>
      </c>
      <c r="B354" s="1244">
        <v>39361</v>
      </c>
      <c r="C354" s="104" t="s">
        <v>674</v>
      </c>
      <c r="D354" s="103" t="s">
        <v>1203</v>
      </c>
      <c r="E354" s="229" t="s">
        <v>828</v>
      </c>
      <c r="F354" s="291" t="s">
        <v>661</v>
      </c>
      <c r="G354" s="291" t="s">
        <v>13</v>
      </c>
      <c r="H354" s="103"/>
      <c r="I354" s="103"/>
      <c r="J354" s="103" t="s">
        <v>58</v>
      </c>
      <c r="K354" s="438"/>
      <c r="L354" s="471"/>
      <c r="M354" s="438"/>
      <c r="N354" s="438"/>
      <c r="O354" s="106"/>
      <c r="P354" s="106"/>
      <c r="Q354" s="105"/>
      <c r="R354" s="105"/>
      <c r="S354" s="105"/>
      <c r="T354" s="105"/>
      <c r="U354" s="105"/>
      <c r="V354" s="105"/>
      <c r="W354" s="105"/>
      <c r="X354" s="105"/>
      <c r="Y354" s="105"/>
      <c r="Z354" s="438"/>
      <c r="AA354" s="438"/>
      <c r="AB354" s="105"/>
      <c r="AC354" s="105"/>
      <c r="AD354" s="105"/>
      <c r="AE354" s="105"/>
      <c r="AF354" s="196" t="s">
        <v>62</v>
      </c>
      <c r="AG354" s="231">
        <v>45555</v>
      </c>
      <c r="AH354" s="231">
        <v>45555</v>
      </c>
      <c r="AI354" s="231">
        <v>45555</v>
      </c>
      <c r="AJ354" s="187" t="s">
        <v>63</v>
      </c>
      <c r="AK354" s="187"/>
      <c r="AL354" s="187"/>
      <c r="AM354" s="187" t="s">
        <v>63</v>
      </c>
    </row>
    <row r="355" spans="1:42" hidden="1" x14ac:dyDescent="0.25">
      <c r="A355" s="28">
        <v>354</v>
      </c>
      <c r="B355" s="1244">
        <v>39358</v>
      </c>
      <c r="C355" s="104" t="s">
        <v>677</v>
      </c>
      <c r="D355" s="103" t="s">
        <v>1204</v>
      </c>
      <c r="E355" s="229" t="s">
        <v>828</v>
      </c>
      <c r="F355" s="291" t="s">
        <v>661</v>
      </c>
      <c r="G355" s="291" t="s">
        <v>13</v>
      </c>
      <c r="H355" s="103"/>
      <c r="I355" s="103"/>
      <c r="J355" s="103" t="s">
        <v>58</v>
      </c>
      <c r="K355" s="438"/>
      <c r="L355" s="471"/>
      <c r="M355" s="438"/>
      <c r="N355" s="438"/>
      <c r="O355" s="106"/>
      <c r="P355" s="106"/>
      <c r="Q355" s="105"/>
      <c r="R355" s="105"/>
      <c r="S355" s="105"/>
      <c r="T355" s="105"/>
      <c r="U355" s="105"/>
      <c r="V355" s="105"/>
      <c r="W355" s="105"/>
      <c r="X355" s="105"/>
      <c r="Y355" s="105"/>
      <c r="Z355" s="438"/>
      <c r="AA355" s="438"/>
      <c r="AB355" s="105"/>
      <c r="AC355" s="105"/>
      <c r="AD355" s="105"/>
      <c r="AE355" s="105"/>
      <c r="AF355" s="397" t="s">
        <v>68</v>
      </c>
      <c r="AG355" s="231">
        <v>45545</v>
      </c>
      <c r="AH355" s="231">
        <v>45545</v>
      </c>
      <c r="AI355" s="231">
        <v>45545</v>
      </c>
      <c r="AJ355" s="187" t="s">
        <v>63</v>
      </c>
      <c r="AK355" s="187"/>
      <c r="AL355" s="187"/>
      <c r="AM355" s="187" t="s">
        <v>63</v>
      </c>
    </row>
    <row r="356" spans="1:42" hidden="1" x14ac:dyDescent="0.25">
      <c r="A356" s="1251">
        <v>355</v>
      </c>
      <c r="B356" s="1256">
        <v>39358</v>
      </c>
      <c r="C356" s="135" t="s">
        <v>674</v>
      </c>
      <c r="D356" s="134" t="s">
        <v>1205</v>
      </c>
      <c r="E356" s="974" t="s">
        <v>828</v>
      </c>
      <c r="F356" s="1257" t="s">
        <v>661</v>
      </c>
      <c r="G356" s="1257" t="s">
        <v>13</v>
      </c>
      <c r="H356" s="134"/>
      <c r="I356" s="134"/>
      <c r="J356" s="134" t="s">
        <v>58</v>
      </c>
      <c r="K356" s="439"/>
      <c r="L356" s="472"/>
      <c r="M356" s="438"/>
      <c r="N356" s="438"/>
      <c r="O356" s="138"/>
      <c r="P356" s="138"/>
      <c r="Q356" s="137"/>
      <c r="R356" s="137"/>
      <c r="S356" s="137"/>
      <c r="T356" s="137"/>
      <c r="U356" s="137"/>
      <c r="V356" s="137"/>
      <c r="W356" s="137"/>
      <c r="X356" s="137"/>
      <c r="Y356" s="137"/>
      <c r="Z356" s="439"/>
      <c r="AA356" s="439"/>
      <c r="AB356" s="137"/>
      <c r="AC356" s="137"/>
      <c r="AD356" s="137"/>
      <c r="AE356" s="137"/>
      <c r="AF356" s="1205" t="s">
        <v>62</v>
      </c>
      <c r="AG356" s="1258">
        <v>45545</v>
      </c>
      <c r="AH356" s="1258">
        <v>45545</v>
      </c>
      <c r="AI356" s="1258">
        <v>45545</v>
      </c>
      <c r="AJ356" s="190" t="s">
        <v>63</v>
      </c>
      <c r="AK356" s="190"/>
      <c r="AL356" s="190"/>
      <c r="AM356" s="190" t="s">
        <v>63</v>
      </c>
    </row>
    <row r="357" spans="1:42" ht="14.4" hidden="1" x14ac:dyDescent="0.3">
      <c r="A357" s="28">
        <v>356</v>
      </c>
      <c r="B357" s="229">
        <v>39217</v>
      </c>
      <c r="C357" s="227" t="s">
        <v>64</v>
      </c>
      <c r="D357" s="229" t="s">
        <v>673</v>
      </c>
      <c r="E357" s="229" t="s">
        <v>660</v>
      </c>
      <c r="F357" s="291" t="s">
        <v>661</v>
      </c>
      <c r="G357" s="291" t="s">
        <v>13</v>
      </c>
      <c r="H357" s="1246">
        <v>44921</v>
      </c>
      <c r="I357" s="103"/>
      <c r="J357" s="103" t="s">
        <v>58</v>
      </c>
      <c r="K357" s="438"/>
      <c r="L357" s="471"/>
      <c r="O357" s="106"/>
      <c r="P357" s="106"/>
      <c r="Q357" s="105"/>
      <c r="R357" s="16" t="s">
        <v>75</v>
      </c>
      <c r="S357" s="16" t="s">
        <v>68</v>
      </c>
      <c r="T357" s="16" t="s">
        <v>68</v>
      </c>
      <c r="U357" s="105"/>
      <c r="V357" s="105"/>
      <c r="W357" s="105"/>
      <c r="X357" s="105"/>
      <c r="Y357" s="105"/>
      <c r="Z357" s="438"/>
      <c r="AA357" s="438"/>
      <c r="AB357" s="105"/>
      <c r="AC357" s="105"/>
      <c r="AD357" s="16" t="s">
        <v>68</v>
      </c>
      <c r="AE357" s="105"/>
      <c r="AF357" s="105"/>
      <c r="AG357" s="1360">
        <v>45516</v>
      </c>
      <c r="AH357" s="1360">
        <v>45516</v>
      </c>
      <c r="AI357" s="382" t="s">
        <v>75</v>
      </c>
      <c r="AJ357" s="16" t="s">
        <v>75</v>
      </c>
      <c r="AK357" s="187"/>
      <c r="AL357" s="187"/>
      <c r="AM357" s="187" t="s">
        <v>662</v>
      </c>
    </row>
    <row r="358" spans="1:42" ht="14.4" hidden="1" x14ac:dyDescent="0.3">
      <c r="A358" s="28">
        <v>357</v>
      </c>
      <c r="B358" s="229">
        <v>39217</v>
      </c>
      <c r="C358" s="227" t="s">
        <v>54</v>
      </c>
      <c r="D358" s="229" t="s">
        <v>672</v>
      </c>
      <c r="E358" s="229" t="s">
        <v>660</v>
      </c>
      <c r="F358" s="291" t="s">
        <v>661</v>
      </c>
      <c r="G358" s="291" t="s">
        <v>13</v>
      </c>
      <c r="H358" s="1246">
        <v>44921</v>
      </c>
      <c r="I358" s="103"/>
      <c r="J358" s="103" t="s">
        <v>58</v>
      </c>
      <c r="K358" s="438"/>
      <c r="L358" s="471"/>
      <c r="O358" s="106"/>
      <c r="P358" s="106"/>
      <c r="Q358" s="105"/>
      <c r="R358" s="16" t="s">
        <v>75</v>
      </c>
      <c r="S358" s="16" t="s">
        <v>62</v>
      </c>
      <c r="T358" s="16" t="s">
        <v>62</v>
      </c>
      <c r="U358" s="105"/>
      <c r="V358" s="105"/>
      <c r="W358" s="105"/>
      <c r="X358" s="105"/>
      <c r="Y358" s="105"/>
      <c r="Z358" s="438"/>
      <c r="AA358" s="438"/>
      <c r="AB358" s="105"/>
      <c r="AC358" s="105"/>
      <c r="AD358" s="16" t="s">
        <v>62</v>
      </c>
      <c r="AE358" s="105"/>
      <c r="AF358" s="105"/>
      <c r="AG358" s="1360">
        <v>45516</v>
      </c>
      <c r="AH358" s="1360">
        <v>45516</v>
      </c>
      <c r="AI358" s="382" t="s">
        <v>75</v>
      </c>
      <c r="AJ358" s="16" t="s">
        <v>75</v>
      </c>
      <c r="AK358" s="187"/>
      <c r="AL358" s="187"/>
      <c r="AM358" s="187" t="s">
        <v>662</v>
      </c>
    </row>
    <row r="359" spans="1:42" ht="14.4" hidden="1" x14ac:dyDescent="0.3">
      <c r="A359" s="28">
        <v>358</v>
      </c>
      <c r="B359" s="229">
        <v>37621</v>
      </c>
      <c r="C359" s="227" t="s">
        <v>64</v>
      </c>
      <c r="D359" s="1245" t="s">
        <v>671</v>
      </c>
      <c r="E359" s="229" t="s">
        <v>660</v>
      </c>
      <c r="F359" s="291" t="s">
        <v>661</v>
      </c>
      <c r="G359" s="291" t="s">
        <v>13</v>
      </c>
      <c r="H359" s="1247">
        <v>45218</v>
      </c>
      <c r="I359" s="103"/>
      <c r="J359" s="103" t="s">
        <v>58</v>
      </c>
      <c r="K359" s="438"/>
      <c r="L359" s="471"/>
      <c r="O359" s="106"/>
      <c r="P359" s="106"/>
      <c r="Q359" s="105"/>
      <c r="R359" s="16" t="s">
        <v>75</v>
      </c>
      <c r="S359" s="16" t="s">
        <v>68</v>
      </c>
      <c r="T359" s="16" t="s">
        <v>68</v>
      </c>
      <c r="U359" s="105"/>
      <c r="V359" s="105"/>
      <c r="W359" s="105"/>
      <c r="X359" s="105"/>
      <c r="Y359" s="105"/>
      <c r="Z359" s="438"/>
      <c r="AA359" s="438"/>
      <c r="AB359" s="105"/>
      <c r="AC359" s="105"/>
      <c r="AD359" s="16" t="s">
        <v>68</v>
      </c>
      <c r="AE359" s="105"/>
      <c r="AF359" s="1368" t="s">
        <v>68</v>
      </c>
      <c r="AG359" s="1360">
        <v>45480</v>
      </c>
      <c r="AH359" s="1360">
        <v>45480</v>
      </c>
      <c r="AI359" s="382">
        <v>45325</v>
      </c>
      <c r="AJ359" s="1119" t="s">
        <v>670</v>
      </c>
      <c r="AK359" s="187"/>
      <c r="AL359" s="187"/>
      <c r="AM359" s="1374" t="s">
        <v>670</v>
      </c>
    </row>
    <row r="360" spans="1:42" ht="14.4" hidden="1" x14ac:dyDescent="0.3">
      <c r="A360" s="1251">
        <v>359</v>
      </c>
      <c r="B360" s="229">
        <v>37621</v>
      </c>
      <c r="C360" s="227" t="s">
        <v>54</v>
      </c>
      <c r="D360" s="1245" t="s">
        <v>669</v>
      </c>
      <c r="E360" s="229" t="s">
        <v>660</v>
      </c>
      <c r="F360" s="291" t="s">
        <v>661</v>
      </c>
      <c r="G360" s="291" t="s">
        <v>13</v>
      </c>
      <c r="H360" s="1247">
        <v>45218</v>
      </c>
      <c r="I360" s="103"/>
      <c r="J360" s="103" t="s">
        <v>58</v>
      </c>
      <c r="K360" s="438"/>
      <c r="L360" s="471"/>
      <c r="O360" s="106"/>
      <c r="P360" s="106"/>
      <c r="Q360" s="105"/>
      <c r="R360" s="16" t="s">
        <v>75</v>
      </c>
      <c r="S360" s="16" t="s">
        <v>62</v>
      </c>
      <c r="T360" s="16" t="s">
        <v>62</v>
      </c>
      <c r="U360" s="105"/>
      <c r="V360" s="105"/>
      <c r="W360" s="105"/>
      <c r="X360" s="105"/>
      <c r="Y360" s="105"/>
      <c r="Z360" s="438"/>
      <c r="AA360" s="438"/>
      <c r="AB360" s="105"/>
      <c r="AC360" s="105"/>
      <c r="AD360" s="16" t="s">
        <v>62</v>
      </c>
      <c r="AE360" s="105"/>
      <c r="AF360" s="1368" t="s">
        <v>62</v>
      </c>
      <c r="AG360" s="1360">
        <v>45480</v>
      </c>
      <c r="AH360" s="1360">
        <v>45480</v>
      </c>
      <c r="AI360" s="382">
        <v>45325</v>
      </c>
      <c r="AJ360" s="1119" t="s">
        <v>670</v>
      </c>
      <c r="AK360" s="187"/>
      <c r="AL360" s="187"/>
      <c r="AM360" s="1374" t="s">
        <v>670</v>
      </c>
    </row>
    <row r="361" spans="1:42" ht="14.4" hidden="1" x14ac:dyDescent="0.3">
      <c r="A361" s="28">
        <v>360</v>
      </c>
      <c r="B361" s="229">
        <v>37622</v>
      </c>
      <c r="C361" s="227" t="s">
        <v>64</v>
      </c>
      <c r="D361" s="1245" t="s">
        <v>668</v>
      </c>
      <c r="E361" s="229" t="s">
        <v>660</v>
      </c>
      <c r="F361" s="291" t="s">
        <v>661</v>
      </c>
      <c r="G361" s="291" t="s">
        <v>13</v>
      </c>
      <c r="H361" s="1247">
        <v>45219</v>
      </c>
      <c r="I361" s="103"/>
      <c r="J361" s="103" t="s">
        <v>58</v>
      </c>
      <c r="K361" s="438"/>
      <c r="L361" s="471"/>
      <c r="O361" s="106"/>
      <c r="P361" s="106"/>
      <c r="Q361" s="105"/>
      <c r="R361" s="16" t="s">
        <v>75</v>
      </c>
      <c r="S361" s="16" t="s">
        <v>68</v>
      </c>
      <c r="T361" s="16" t="s">
        <v>68</v>
      </c>
      <c r="U361" s="105"/>
      <c r="V361" s="105"/>
      <c r="W361" s="105"/>
      <c r="X361" s="105"/>
      <c r="Y361" s="105"/>
      <c r="Z361" s="438"/>
      <c r="AA361" s="438"/>
      <c r="AB361" s="105"/>
      <c r="AC361" s="105"/>
      <c r="AD361" s="16" t="s">
        <v>68</v>
      </c>
      <c r="AE361" s="105"/>
      <c r="AF361" s="1368" t="s">
        <v>68</v>
      </c>
      <c r="AG361" s="1360">
        <v>45427</v>
      </c>
      <c r="AH361" s="1360">
        <v>45427</v>
      </c>
      <c r="AI361" s="382">
        <v>45392</v>
      </c>
      <c r="AJ361" s="507" t="s">
        <v>662</v>
      </c>
      <c r="AK361" s="187"/>
      <c r="AL361" s="187"/>
      <c r="AM361" s="187" t="s">
        <v>662</v>
      </c>
    </row>
    <row r="362" spans="1:42" ht="14.4" hidden="1" x14ac:dyDescent="0.3">
      <c r="A362" s="28">
        <v>361</v>
      </c>
      <c r="B362" s="229">
        <v>37622</v>
      </c>
      <c r="C362" s="227" t="s">
        <v>54</v>
      </c>
      <c r="D362" s="1245" t="s">
        <v>667</v>
      </c>
      <c r="E362" s="229" t="s">
        <v>660</v>
      </c>
      <c r="F362" s="291" t="s">
        <v>661</v>
      </c>
      <c r="G362" s="291" t="s">
        <v>13</v>
      </c>
      <c r="H362" s="1247">
        <v>45219</v>
      </c>
      <c r="I362" s="103"/>
      <c r="J362" s="103" t="s">
        <v>58</v>
      </c>
      <c r="K362" s="438"/>
      <c r="L362" s="471"/>
      <c r="O362" s="106"/>
      <c r="P362" s="106"/>
      <c r="Q362" s="105"/>
      <c r="R362" s="16" t="s">
        <v>75</v>
      </c>
      <c r="S362" s="16" t="s">
        <v>62</v>
      </c>
      <c r="T362" s="16" t="s">
        <v>62</v>
      </c>
      <c r="U362" s="105"/>
      <c r="V362" s="105"/>
      <c r="W362" s="105"/>
      <c r="X362" s="105"/>
      <c r="Y362" s="105"/>
      <c r="Z362" s="438"/>
      <c r="AA362" s="438"/>
      <c r="AB362" s="105"/>
      <c r="AC362" s="105"/>
      <c r="AD362" s="16" t="s">
        <v>62</v>
      </c>
      <c r="AE362" s="105"/>
      <c r="AF362" s="1368" t="s">
        <v>62</v>
      </c>
      <c r="AG362" s="1360">
        <v>45427</v>
      </c>
      <c r="AH362" s="1360">
        <v>45427</v>
      </c>
      <c r="AI362" s="382">
        <v>45392</v>
      </c>
      <c r="AJ362" s="507" t="s">
        <v>662</v>
      </c>
      <c r="AK362" s="187"/>
      <c r="AL362" s="187"/>
      <c r="AM362" s="187" t="s">
        <v>662</v>
      </c>
    </row>
    <row r="363" spans="1:42" ht="14.4" hidden="1" x14ac:dyDescent="0.3">
      <c r="A363" s="28">
        <v>362</v>
      </c>
      <c r="B363" s="229">
        <v>39241</v>
      </c>
      <c r="C363" s="227" t="s">
        <v>64</v>
      </c>
      <c r="D363" s="229" t="s">
        <v>666</v>
      </c>
      <c r="E363" s="229" t="s">
        <v>660</v>
      </c>
      <c r="F363" s="291" t="s">
        <v>661</v>
      </c>
      <c r="G363" s="291" t="s">
        <v>13</v>
      </c>
      <c r="H363" s="230">
        <v>45026</v>
      </c>
      <c r="I363" s="103"/>
      <c r="J363" s="103" t="s">
        <v>58</v>
      </c>
      <c r="K363" s="438"/>
      <c r="L363" s="471"/>
      <c r="O363" s="106"/>
      <c r="P363" s="106"/>
      <c r="Q363" s="105"/>
      <c r="R363" s="16" t="s">
        <v>75</v>
      </c>
      <c r="S363" s="16" t="s">
        <v>68</v>
      </c>
      <c r="T363" s="16" t="s">
        <v>68</v>
      </c>
      <c r="U363" s="105"/>
      <c r="V363" s="105"/>
      <c r="W363" s="105"/>
      <c r="X363" s="105"/>
      <c r="Y363" s="105"/>
      <c r="Z363" s="438"/>
      <c r="AA363" s="438"/>
      <c r="AB363" s="105"/>
      <c r="AC363" s="105"/>
      <c r="AD363" s="16" t="s">
        <v>68</v>
      </c>
      <c r="AE363" s="105"/>
      <c r="AF363" s="1368" t="s">
        <v>68</v>
      </c>
      <c r="AG363" s="1360">
        <v>45455</v>
      </c>
      <c r="AH363" s="1360">
        <v>45455</v>
      </c>
      <c r="AI363" s="382" t="s">
        <v>75</v>
      </c>
      <c r="AJ363" s="16" t="s">
        <v>75</v>
      </c>
      <c r="AK363" s="187"/>
      <c r="AL363" s="187"/>
      <c r="AM363" s="1374" t="s">
        <v>665</v>
      </c>
    </row>
    <row r="364" spans="1:42" ht="14.4" hidden="1" x14ac:dyDescent="0.3">
      <c r="A364" s="1251">
        <v>363</v>
      </c>
      <c r="B364" s="229">
        <v>39241</v>
      </c>
      <c r="C364" s="227" t="s">
        <v>54</v>
      </c>
      <c r="D364" s="229" t="s">
        <v>664</v>
      </c>
      <c r="E364" s="229" t="s">
        <v>660</v>
      </c>
      <c r="F364" s="291" t="s">
        <v>661</v>
      </c>
      <c r="G364" s="291" t="s">
        <v>13</v>
      </c>
      <c r="H364" s="118">
        <v>45026</v>
      </c>
      <c r="I364" s="103"/>
      <c r="J364" s="103" t="s">
        <v>58</v>
      </c>
      <c r="K364" s="438"/>
      <c r="L364" s="471"/>
      <c r="O364" s="106"/>
      <c r="P364" s="106"/>
      <c r="Q364" s="105"/>
      <c r="R364" s="16" t="s">
        <v>75</v>
      </c>
      <c r="S364" s="16" t="s">
        <v>62</v>
      </c>
      <c r="T364" s="16" t="s">
        <v>62</v>
      </c>
      <c r="U364" s="105"/>
      <c r="V364" s="105"/>
      <c r="W364" s="105"/>
      <c r="X364" s="105"/>
      <c r="Y364" s="105"/>
      <c r="Z364" s="438"/>
      <c r="AA364" s="438"/>
      <c r="AB364" s="105"/>
      <c r="AC364" s="105"/>
      <c r="AD364" s="16" t="s">
        <v>62</v>
      </c>
      <c r="AE364" s="105"/>
      <c r="AF364" s="1368" t="s">
        <v>62</v>
      </c>
      <c r="AG364" s="1360">
        <v>45455</v>
      </c>
      <c r="AH364" s="1360">
        <v>45455</v>
      </c>
      <c r="AI364" s="382" t="s">
        <v>75</v>
      </c>
      <c r="AJ364" s="16" t="s">
        <v>75</v>
      </c>
      <c r="AK364" s="187"/>
      <c r="AL364" s="187"/>
      <c r="AM364" s="1374" t="s">
        <v>665</v>
      </c>
    </row>
    <row r="365" spans="1:42" ht="14.4" hidden="1" x14ac:dyDescent="0.3">
      <c r="A365" s="28">
        <v>364</v>
      </c>
      <c r="B365" s="229">
        <v>37701</v>
      </c>
      <c r="C365" s="227" t="s">
        <v>64</v>
      </c>
      <c r="D365" s="229" t="s">
        <v>663</v>
      </c>
      <c r="E365" s="229" t="s">
        <v>660</v>
      </c>
      <c r="F365" s="291" t="s">
        <v>661</v>
      </c>
      <c r="G365" s="291" t="s">
        <v>13</v>
      </c>
      <c r="H365" s="1247">
        <v>45390</v>
      </c>
      <c r="I365" s="103"/>
      <c r="J365" s="103" t="s">
        <v>58</v>
      </c>
      <c r="K365" s="438"/>
      <c r="L365" s="471"/>
      <c r="O365" s="106"/>
      <c r="P365" s="106"/>
      <c r="Q365" s="105"/>
      <c r="R365" s="16" t="s">
        <v>75</v>
      </c>
      <c r="S365" s="16" t="s">
        <v>68</v>
      </c>
      <c r="T365" s="16" t="s">
        <v>68</v>
      </c>
      <c r="U365" s="105"/>
      <c r="V365" s="105"/>
      <c r="W365" s="105"/>
      <c r="X365" s="105"/>
      <c r="Y365" s="105"/>
      <c r="Z365" s="438"/>
      <c r="AA365" s="438"/>
      <c r="AB365" s="105"/>
      <c r="AC365" s="105"/>
      <c r="AD365" s="16" t="s">
        <v>68</v>
      </c>
      <c r="AE365" s="105"/>
      <c r="AF365" s="1368" t="s">
        <v>68</v>
      </c>
      <c r="AG365" s="1360">
        <v>45492</v>
      </c>
      <c r="AH365" s="1360">
        <v>45492</v>
      </c>
      <c r="AI365" s="382" t="s">
        <v>75</v>
      </c>
      <c r="AJ365" s="16" t="s">
        <v>75</v>
      </c>
      <c r="AK365" s="187"/>
      <c r="AL365" s="187"/>
      <c r="AM365" s="187" t="s">
        <v>662</v>
      </c>
    </row>
    <row r="366" spans="1:42" ht="14.4" hidden="1" x14ac:dyDescent="0.3">
      <c r="A366" s="28">
        <v>365</v>
      </c>
      <c r="B366" s="229">
        <v>37701</v>
      </c>
      <c r="C366" s="227" t="s">
        <v>54</v>
      </c>
      <c r="D366" s="103" t="s">
        <v>659</v>
      </c>
      <c r="E366" s="229" t="s">
        <v>660</v>
      </c>
      <c r="F366" s="291" t="s">
        <v>661</v>
      </c>
      <c r="G366" s="291" t="s">
        <v>13</v>
      </c>
      <c r="H366" s="1247">
        <v>45390</v>
      </c>
      <c r="I366" s="103"/>
      <c r="J366" s="103" t="s">
        <v>58</v>
      </c>
      <c r="K366" s="438"/>
      <c r="L366" s="471"/>
      <c r="O366" s="106"/>
      <c r="P366" s="106"/>
      <c r="Q366" s="105"/>
      <c r="R366" s="16" t="s">
        <v>75</v>
      </c>
      <c r="S366" s="16" t="s">
        <v>62</v>
      </c>
      <c r="T366" s="16" t="s">
        <v>62</v>
      </c>
      <c r="U366" s="105"/>
      <c r="V366" s="105"/>
      <c r="W366" s="105"/>
      <c r="X366" s="105"/>
      <c r="Y366" s="105"/>
      <c r="Z366" s="438"/>
      <c r="AA366" s="438"/>
      <c r="AB366" s="105"/>
      <c r="AC366" s="105"/>
      <c r="AD366" s="16" t="s">
        <v>62</v>
      </c>
      <c r="AE366" s="105"/>
      <c r="AF366" s="1368" t="s">
        <v>62</v>
      </c>
      <c r="AG366" s="1360">
        <v>45492</v>
      </c>
      <c r="AH366" s="1360">
        <v>45492</v>
      </c>
      <c r="AI366" s="382" t="s">
        <v>75</v>
      </c>
      <c r="AJ366" s="16" t="s">
        <v>75</v>
      </c>
      <c r="AK366" s="187"/>
      <c r="AL366" s="187"/>
      <c r="AM366" s="187" t="s">
        <v>662</v>
      </c>
    </row>
    <row r="367" spans="1:42" hidden="1" x14ac:dyDescent="0.25">
      <c r="A367" s="2">
        <v>336</v>
      </c>
      <c r="B367" s="72">
        <v>39023</v>
      </c>
      <c r="C367" s="72" t="s">
        <v>677</v>
      </c>
      <c r="D367" s="2" t="s">
        <v>906</v>
      </c>
      <c r="E367" s="72" t="s">
        <v>1206</v>
      </c>
      <c r="F367" s="2" t="s">
        <v>863</v>
      </c>
      <c r="G367" s="2" t="s">
        <v>13</v>
      </c>
      <c r="H367" s="647">
        <v>43480</v>
      </c>
      <c r="I367" s="2">
        <v>237</v>
      </c>
      <c r="J367" s="2" t="s">
        <v>58</v>
      </c>
      <c r="O367" s="68">
        <v>45731</v>
      </c>
      <c r="P367" s="68">
        <v>45731</v>
      </c>
      <c r="Q367" s="61" t="s">
        <v>75</v>
      </c>
      <c r="R367" s="61" t="s">
        <v>1207</v>
      </c>
      <c r="S367" s="61" t="s">
        <v>206</v>
      </c>
      <c r="T367" s="61" t="s">
        <v>1207</v>
      </c>
      <c r="U367" s="61" t="s">
        <v>1207</v>
      </c>
      <c r="W367" s="61" t="s">
        <v>206</v>
      </c>
      <c r="X367" s="61" t="s">
        <v>75</v>
      </c>
      <c r="Y367" s="61" t="s">
        <v>206</v>
      </c>
      <c r="AB367" s="61" t="s">
        <v>1208</v>
      </c>
      <c r="AD367" s="61" t="s">
        <v>68</v>
      </c>
      <c r="AE367" s="241" t="s">
        <v>63</v>
      </c>
      <c r="AF367" s="241" t="s">
        <v>63</v>
      </c>
      <c r="AG367" s="778">
        <v>45277</v>
      </c>
      <c r="AH367" s="649" t="s">
        <v>1209</v>
      </c>
      <c r="AI367" s="778">
        <v>45275</v>
      </c>
      <c r="AJ367" s="649"/>
      <c r="AK367" s="1066">
        <v>45454</v>
      </c>
      <c r="AM367" s="242"/>
    </row>
    <row r="368" spans="1:42" ht="15.6" hidden="1" x14ac:dyDescent="0.25">
      <c r="A368" s="1416">
        <v>298</v>
      </c>
      <c r="B368" s="1418">
        <v>39023</v>
      </c>
      <c r="C368" s="1318" t="s">
        <v>64</v>
      </c>
      <c r="D368" s="1319" t="s">
        <v>906</v>
      </c>
      <c r="E368" s="1320" t="s">
        <v>1206</v>
      </c>
      <c r="F368" s="1321" t="s">
        <v>863</v>
      </c>
      <c r="G368" s="1321" t="s">
        <v>13</v>
      </c>
      <c r="H368" s="1322">
        <v>43480</v>
      </c>
      <c r="I368" s="1323">
        <v>237</v>
      </c>
      <c r="J368" s="1323" t="s">
        <v>58</v>
      </c>
      <c r="K368" s="1324"/>
      <c r="L368" s="1312">
        <v>45638</v>
      </c>
      <c r="M368" s="1313" t="s">
        <v>75</v>
      </c>
      <c r="N368" s="1313" t="s">
        <v>68</v>
      </c>
      <c r="O368" s="1324">
        <v>45731</v>
      </c>
      <c r="P368" s="1324">
        <v>45731</v>
      </c>
      <c r="Q368" s="1331" t="s">
        <v>75</v>
      </c>
      <c r="R368" s="1331" t="s">
        <v>68</v>
      </c>
      <c r="S368" s="1331" t="s">
        <v>63</v>
      </c>
      <c r="T368" s="1331" t="s">
        <v>68</v>
      </c>
      <c r="U368" s="1331" t="s">
        <v>68</v>
      </c>
      <c r="V368" s="1331" t="s">
        <v>63</v>
      </c>
      <c r="W368" s="1331" t="s">
        <v>63</v>
      </c>
      <c r="X368" s="1331" t="s">
        <v>75</v>
      </c>
      <c r="Y368" s="1331" t="s">
        <v>206</v>
      </c>
      <c r="Z368" s="1331"/>
      <c r="AA368" s="1331"/>
      <c r="AB368" s="1332">
        <v>45164</v>
      </c>
      <c r="AC368" s="1333"/>
      <c r="AD368" s="1334" t="s">
        <v>616</v>
      </c>
      <c r="AE368" s="1335">
        <v>45275</v>
      </c>
      <c r="AF368" s="1323" t="s">
        <v>206</v>
      </c>
      <c r="AG368" s="1335">
        <v>45277</v>
      </c>
      <c r="AH368" s="1336" t="s">
        <v>1210</v>
      </c>
      <c r="AI368" s="1335">
        <v>45275</v>
      </c>
      <c r="AJ368" s="1335">
        <v>45537</v>
      </c>
      <c r="AK368" s="1323" t="s">
        <v>206</v>
      </c>
      <c r="AL368" s="1335">
        <v>45454</v>
      </c>
      <c r="AM368" s="1337"/>
      <c r="AO368" s="1338">
        <v>45451</v>
      </c>
      <c r="AP368" s="1339"/>
    </row>
    <row r="369" spans="1:44" ht="15.6" hidden="1" x14ac:dyDescent="0.25">
      <c r="A369" s="1417"/>
      <c r="B369" s="1419"/>
      <c r="C369" s="1325" t="s">
        <v>54</v>
      </c>
      <c r="D369" s="1319" t="s">
        <v>908</v>
      </c>
      <c r="E369" s="1326" t="s">
        <v>1206</v>
      </c>
      <c r="F369" s="1327" t="s">
        <v>863</v>
      </c>
      <c r="G369" s="1327" t="s">
        <v>13</v>
      </c>
      <c r="H369" s="1328">
        <v>43480</v>
      </c>
      <c r="I369" s="1329">
        <v>224</v>
      </c>
      <c r="J369" s="1329" t="s">
        <v>58</v>
      </c>
      <c r="K369" s="1324"/>
      <c r="L369" s="1312">
        <v>45638</v>
      </c>
      <c r="M369" s="1313" t="s">
        <v>75</v>
      </c>
      <c r="N369" s="1314" t="s">
        <v>62</v>
      </c>
      <c r="O369" s="1324">
        <v>45731</v>
      </c>
      <c r="P369" s="1324">
        <v>45731</v>
      </c>
      <c r="Q369" s="1331" t="s">
        <v>75</v>
      </c>
      <c r="R369" s="1340" t="s">
        <v>62</v>
      </c>
      <c r="S369" s="1331" t="s">
        <v>63</v>
      </c>
      <c r="T369" s="1340" t="s">
        <v>62</v>
      </c>
      <c r="U369" s="1340" t="s">
        <v>62</v>
      </c>
      <c r="V369" s="1340" t="s">
        <v>63</v>
      </c>
      <c r="W369" s="1340" t="s">
        <v>63</v>
      </c>
      <c r="X369" s="1340" t="s">
        <v>75</v>
      </c>
      <c r="Y369" s="1340" t="s">
        <v>206</v>
      </c>
      <c r="Z369" s="1340"/>
      <c r="AA369" s="1340"/>
      <c r="AB369" s="1341"/>
      <c r="AC369" s="1341"/>
      <c r="AD369" s="1342" t="s">
        <v>689</v>
      </c>
      <c r="AE369" s="1335">
        <v>45276</v>
      </c>
      <c r="AF369" s="1329" t="s">
        <v>206</v>
      </c>
      <c r="AG369" s="1335">
        <v>45277</v>
      </c>
      <c r="AH369" s="1343" t="s">
        <v>1210</v>
      </c>
      <c r="AI369" s="1335">
        <v>45275</v>
      </c>
      <c r="AJ369" s="1335">
        <v>45537</v>
      </c>
      <c r="AK369" s="1329" t="s">
        <v>206</v>
      </c>
      <c r="AL369" s="1335">
        <v>45454</v>
      </c>
      <c r="AM369" s="1344"/>
      <c r="AO369" s="1338">
        <v>45451</v>
      </c>
      <c r="AP369" s="1339"/>
    </row>
    <row r="370" spans="1:44" ht="15.6" hidden="1" x14ac:dyDescent="0.25">
      <c r="A370" s="1358">
        <v>299</v>
      </c>
      <c r="B370" s="1420">
        <v>39075</v>
      </c>
      <c r="C370" s="1325" t="s">
        <v>64</v>
      </c>
      <c r="D370" s="1319" t="s">
        <v>923</v>
      </c>
      <c r="E370" s="1326" t="s">
        <v>1206</v>
      </c>
      <c r="F370" s="1327" t="s">
        <v>863</v>
      </c>
      <c r="G370" s="1327" t="s">
        <v>13</v>
      </c>
      <c r="H370" s="1328">
        <v>43676</v>
      </c>
      <c r="I370" s="1329">
        <v>332</v>
      </c>
      <c r="J370" s="1329" t="s">
        <v>58</v>
      </c>
      <c r="K370" s="1330"/>
      <c r="O370" s="337">
        <v>45737</v>
      </c>
      <c r="P370" s="337">
        <v>45737</v>
      </c>
      <c r="Q370" s="1345" t="s">
        <v>75</v>
      </c>
      <c r="R370" s="1346" t="s">
        <v>68</v>
      </c>
      <c r="S370" s="1345" t="s">
        <v>63</v>
      </c>
      <c r="T370" s="1346" t="s">
        <v>68</v>
      </c>
      <c r="U370" s="1346" t="s">
        <v>68</v>
      </c>
      <c r="V370" s="1346" t="s">
        <v>63</v>
      </c>
      <c r="W370" s="1346" t="s">
        <v>68</v>
      </c>
      <c r="X370" s="1346" t="s">
        <v>68</v>
      </c>
      <c r="Y370" s="1346" t="s">
        <v>206</v>
      </c>
      <c r="Z370" s="1346"/>
      <c r="AA370" s="1346"/>
      <c r="AB370" s="534"/>
      <c r="AC370" s="534"/>
      <c r="AD370" s="1346" t="s">
        <v>68</v>
      </c>
      <c r="AE370" s="535">
        <v>45244</v>
      </c>
      <c r="AF370" s="525" t="s">
        <v>206</v>
      </c>
      <c r="AG370" s="535">
        <v>45118</v>
      </c>
      <c r="AH370" s="535">
        <v>45468</v>
      </c>
      <c r="AI370" s="535">
        <v>45241</v>
      </c>
      <c r="AJ370" s="535">
        <v>45468</v>
      </c>
      <c r="AK370" s="525" t="s">
        <v>206</v>
      </c>
      <c r="AL370" s="535">
        <v>45357</v>
      </c>
      <c r="AM370" s="330"/>
      <c r="AO370" s="337">
        <v>45644</v>
      </c>
      <c r="AP370" s="1347"/>
    </row>
    <row r="371" spans="1:44" ht="15.6" hidden="1" x14ac:dyDescent="0.25">
      <c r="A371" s="1358"/>
      <c r="B371" s="1419"/>
      <c r="C371" s="1325" t="s">
        <v>54</v>
      </c>
      <c r="D371" s="1319" t="s">
        <v>924</v>
      </c>
      <c r="E371" s="1326" t="s">
        <v>1206</v>
      </c>
      <c r="F371" s="1327" t="s">
        <v>863</v>
      </c>
      <c r="G371" s="1327" t="s">
        <v>13</v>
      </c>
      <c r="H371" s="1328">
        <v>43676</v>
      </c>
      <c r="I371" s="1329">
        <v>342</v>
      </c>
      <c r="J371" s="1329" t="s">
        <v>58</v>
      </c>
      <c r="K371" s="1330"/>
      <c r="O371" s="337">
        <v>45737</v>
      </c>
      <c r="P371" s="337">
        <v>45737</v>
      </c>
      <c r="Q371" s="1345" t="s">
        <v>75</v>
      </c>
      <c r="R371" s="534" t="s">
        <v>62</v>
      </c>
      <c r="S371" s="1345" t="s">
        <v>63</v>
      </c>
      <c r="T371" s="534" t="s">
        <v>62</v>
      </c>
      <c r="U371" s="1348" t="s">
        <v>62</v>
      </c>
      <c r="V371" s="1349" t="s">
        <v>63</v>
      </c>
      <c r="W371" s="1348" t="s">
        <v>62</v>
      </c>
      <c r="X371" s="1348" t="s">
        <v>62</v>
      </c>
      <c r="Y371" s="1348" t="s">
        <v>206</v>
      </c>
      <c r="Z371" s="1348"/>
      <c r="AA371" s="1348"/>
      <c r="AB371" s="534" t="s">
        <v>1211</v>
      </c>
      <c r="AC371" s="534"/>
      <c r="AD371" s="1348" t="s">
        <v>62</v>
      </c>
      <c r="AE371" s="535">
        <v>45244</v>
      </c>
      <c r="AF371" s="525" t="s">
        <v>206</v>
      </c>
      <c r="AG371" s="535">
        <v>45118</v>
      </c>
      <c r="AH371" s="535">
        <v>45468</v>
      </c>
      <c r="AI371" s="535">
        <v>45241</v>
      </c>
      <c r="AJ371" s="535">
        <v>45468</v>
      </c>
      <c r="AK371" s="525" t="s">
        <v>206</v>
      </c>
      <c r="AL371" s="535">
        <v>45358</v>
      </c>
      <c r="AM371" s="330"/>
      <c r="AO371" s="337">
        <v>45644</v>
      </c>
      <c r="AP371" s="1347"/>
    </row>
    <row r="372" spans="1:44" ht="15.6" hidden="1" x14ac:dyDescent="0.25">
      <c r="A372" s="1421">
        <v>300</v>
      </c>
      <c r="B372" s="1423">
        <v>39141</v>
      </c>
      <c r="C372" s="27" t="s">
        <v>64</v>
      </c>
      <c r="D372" s="20" t="s">
        <v>925</v>
      </c>
      <c r="E372" s="20" t="s">
        <v>1206</v>
      </c>
      <c r="F372" s="29" t="s">
        <v>863</v>
      </c>
      <c r="G372" s="29" t="s">
        <v>13</v>
      </c>
      <c r="H372" s="19">
        <v>43994</v>
      </c>
      <c r="I372" s="3">
        <v>768</v>
      </c>
      <c r="J372" s="3" t="s">
        <v>58</v>
      </c>
      <c r="O372" s="47">
        <v>45782</v>
      </c>
      <c r="P372" s="47"/>
      <c r="Q372" s="16" t="s">
        <v>75</v>
      </c>
      <c r="R372" s="16" t="s">
        <v>75</v>
      </c>
      <c r="S372" s="51" t="s">
        <v>63</v>
      </c>
      <c r="T372" s="42" t="s">
        <v>68</v>
      </c>
      <c r="U372" s="42" t="s">
        <v>68</v>
      </c>
      <c r="V372" s="51" t="s">
        <v>63</v>
      </c>
      <c r="W372" s="51" t="s">
        <v>68</v>
      </c>
      <c r="X372" s="51" t="s">
        <v>68</v>
      </c>
      <c r="Y372" s="51" t="s">
        <v>206</v>
      </c>
      <c r="Z372" s="51"/>
      <c r="AA372" s="51"/>
      <c r="AB372" s="16"/>
      <c r="AC372" s="16"/>
      <c r="AD372" s="1132" t="s">
        <v>63</v>
      </c>
      <c r="AE372" s="3" t="s">
        <v>206</v>
      </c>
      <c r="AF372" s="3" t="s">
        <v>206</v>
      </c>
      <c r="AG372" s="52">
        <v>45150</v>
      </c>
      <c r="AH372" s="52">
        <v>45478</v>
      </c>
      <c r="AI372" s="3" t="s">
        <v>206</v>
      </c>
      <c r="AJ372" s="52">
        <v>45470</v>
      </c>
      <c r="AK372" s="3" t="s">
        <v>206</v>
      </c>
      <c r="AL372" s="52">
        <v>45474</v>
      </c>
      <c r="AM372" s="621"/>
      <c r="AO372" s="621"/>
      <c r="AP372" s="1315"/>
    </row>
    <row r="373" spans="1:44" ht="15.6" hidden="1" x14ac:dyDescent="0.25">
      <c r="A373" s="1422"/>
      <c r="B373" s="1424"/>
      <c r="C373" s="27" t="s">
        <v>54</v>
      </c>
      <c r="D373" s="20" t="s">
        <v>926</v>
      </c>
      <c r="E373" s="20" t="s">
        <v>1206</v>
      </c>
      <c r="F373" s="29" t="s">
        <v>863</v>
      </c>
      <c r="G373" s="29" t="s">
        <v>13</v>
      </c>
      <c r="H373" s="19">
        <v>43994</v>
      </c>
      <c r="I373" s="3">
        <v>769</v>
      </c>
      <c r="J373" s="3" t="s">
        <v>58</v>
      </c>
      <c r="O373" s="47">
        <v>45782</v>
      </c>
      <c r="P373" s="47"/>
      <c r="Q373" s="16" t="s">
        <v>75</v>
      </c>
      <c r="R373" s="16" t="s">
        <v>75</v>
      </c>
      <c r="S373" s="51" t="s">
        <v>63</v>
      </c>
      <c r="T373" s="42" t="s">
        <v>62</v>
      </c>
      <c r="U373" s="42" t="s">
        <v>62</v>
      </c>
      <c r="V373" s="51" t="s">
        <v>63</v>
      </c>
      <c r="W373" s="51" t="s">
        <v>62</v>
      </c>
      <c r="X373" s="51" t="s">
        <v>62</v>
      </c>
      <c r="Y373" s="51" t="s">
        <v>206</v>
      </c>
      <c r="Z373" s="51"/>
      <c r="AA373" s="51"/>
      <c r="AB373" s="16"/>
      <c r="AC373" s="16"/>
      <c r="AD373" s="1132" t="s">
        <v>63</v>
      </c>
      <c r="AE373" s="3" t="s">
        <v>206</v>
      </c>
      <c r="AF373" s="3" t="s">
        <v>206</v>
      </c>
      <c r="AG373" s="52">
        <v>45150</v>
      </c>
      <c r="AH373" s="52">
        <v>45478</v>
      </c>
      <c r="AI373" s="3" t="s">
        <v>206</v>
      </c>
      <c r="AJ373" s="52">
        <v>45470</v>
      </c>
      <c r="AK373" s="3" t="s">
        <v>206</v>
      </c>
      <c r="AL373" s="52">
        <v>45474</v>
      </c>
      <c r="AM373" s="621"/>
      <c r="AO373" s="621"/>
      <c r="AP373" s="1315"/>
    </row>
    <row r="374" spans="1:44" ht="15.6" hidden="1" x14ac:dyDescent="0.25">
      <c r="A374" s="1421">
        <v>301</v>
      </c>
      <c r="B374" s="1423">
        <v>39142</v>
      </c>
      <c r="C374" s="27" t="s">
        <v>64</v>
      </c>
      <c r="D374" s="20" t="s">
        <v>927</v>
      </c>
      <c r="E374" s="20" t="s">
        <v>1206</v>
      </c>
      <c r="F374" s="29" t="s">
        <v>863</v>
      </c>
      <c r="G374" s="29" t="s">
        <v>13</v>
      </c>
      <c r="H374" s="19">
        <v>44004</v>
      </c>
      <c r="I374" s="3">
        <v>774</v>
      </c>
      <c r="J374" s="3" t="s">
        <v>58</v>
      </c>
      <c r="O374" s="47">
        <v>45794</v>
      </c>
      <c r="P374" s="47"/>
      <c r="Q374" s="16" t="s">
        <v>75</v>
      </c>
      <c r="R374" s="16" t="s">
        <v>75</v>
      </c>
      <c r="S374" s="51" t="s">
        <v>63</v>
      </c>
      <c r="T374" s="42" t="s">
        <v>68</v>
      </c>
      <c r="U374" s="42" t="s">
        <v>68</v>
      </c>
      <c r="V374" s="51" t="s">
        <v>63</v>
      </c>
      <c r="W374" s="51" t="s">
        <v>68</v>
      </c>
      <c r="X374" s="51" t="s">
        <v>206</v>
      </c>
      <c r="Y374" s="51" t="s">
        <v>206</v>
      </c>
      <c r="Z374" s="51"/>
      <c r="AA374" s="51"/>
      <c r="AB374" s="16"/>
      <c r="AC374" s="16"/>
      <c r="AD374" s="1132" t="s">
        <v>928</v>
      </c>
      <c r="AE374" s="3" t="s">
        <v>206</v>
      </c>
      <c r="AF374" s="52">
        <v>45274</v>
      </c>
      <c r="AG374" s="52">
        <v>45129</v>
      </c>
      <c r="AH374" s="52">
        <v>45537</v>
      </c>
      <c r="AI374" s="52" t="s">
        <v>206</v>
      </c>
      <c r="AJ374" s="52">
        <v>45546</v>
      </c>
      <c r="AK374" s="52" t="s">
        <v>206</v>
      </c>
      <c r="AL374" s="52">
        <v>45547</v>
      </c>
      <c r="AM374" s="621"/>
      <c r="AO374" s="621"/>
      <c r="AP374" s="1315"/>
    </row>
    <row r="375" spans="1:44" ht="15.6" hidden="1" x14ac:dyDescent="0.25">
      <c r="A375" s="1422"/>
      <c r="B375" s="1424"/>
      <c r="C375" s="27" t="s">
        <v>54</v>
      </c>
      <c r="D375" s="20" t="s">
        <v>929</v>
      </c>
      <c r="E375" s="20" t="s">
        <v>1206</v>
      </c>
      <c r="F375" s="29" t="s">
        <v>863</v>
      </c>
      <c r="G375" s="29" t="s">
        <v>13</v>
      </c>
      <c r="H375" s="19">
        <v>44004</v>
      </c>
      <c r="I375" s="3">
        <v>771</v>
      </c>
      <c r="J375" s="3" t="s">
        <v>58</v>
      </c>
      <c r="O375" s="47">
        <v>45794</v>
      </c>
      <c r="P375" s="47"/>
      <c r="Q375" s="16" t="s">
        <v>75</v>
      </c>
      <c r="R375" s="16" t="s">
        <v>75</v>
      </c>
      <c r="S375" s="51" t="s">
        <v>63</v>
      </c>
      <c r="T375" s="42" t="s">
        <v>62</v>
      </c>
      <c r="U375" s="42" t="s">
        <v>62</v>
      </c>
      <c r="V375" s="51" t="s">
        <v>63</v>
      </c>
      <c r="W375" s="51" t="s">
        <v>62</v>
      </c>
      <c r="X375" s="51" t="s">
        <v>206</v>
      </c>
      <c r="Y375" s="51" t="s">
        <v>206</v>
      </c>
      <c r="Z375" s="51"/>
      <c r="AA375" s="51"/>
      <c r="AB375" s="16"/>
      <c r="AC375" s="16"/>
      <c r="AD375" s="1132" t="s">
        <v>930</v>
      </c>
      <c r="AE375" s="3" t="s">
        <v>206</v>
      </c>
      <c r="AF375" s="52">
        <v>45274</v>
      </c>
      <c r="AG375" s="52">
        <v>45129</v>
      </c>
      <c r="AH375" s="52">
        <v>45537</v>
      </c>
      <c r="AI375" s="52" t="s">
        <v>206</v>
      </c>
      <c r="AJ375" s="52">
        <v>45546</v>
      </c>
      <c r="AK375" s="52" t="s">
        <v>206</v>
      </c>
      <c r="AL375" s="52">
        <v>45547</v>
      </c>
      <c r="AM375" s="621"/>
      <c r="AO375" s="621"/>
      <c r="AP375" s="1315"/>
    </row>
    <row r="376" spans="1:44" ht="15.6" hidden="1" x14ac:dyDescent="0.25">
      <c r="A376" s="1425">
        <v>302</v>
      </c>
      <c r="B376" s="1427">
        <v>30599</v>
      </c>
      <c r="C376" s="1357" t="s">
        <v>64</v>
      </c>
      <c r="D376" s="581" t="s">
        <v>936</v>
      </c>
      <c r="E376" s="1350" t="s">
        <v>1206</v>
      </c>
      <c r="F376" s="527" t="s">
        <v>863</v>
      </c>
      <c r="G376" s="527" t="s">
        <v>13</v>
      </c>
      <c r="H376" s="1351">
        <v>43112</v>
      </c>
      <c r="I376" s="525">
        <v>112</v>
      </c>
      <c r="J376" s="525" t="s">
        <v>58</v>
      </c>
      <c r="K376" s="1330"/>
      <c r="O376" s="337">
        <v>45751</v>
      </c>
      <c r="P376" s="337">
        <v>45751</v>
      </c>
      <c r="Q376" s="1346" t="s">
        <v>75</v>
      </c>
      <c r="R376" s="1346" t="s">
        <v>63</v>
      </c>
      <c r="S376" s="1346" t="s">
        <v>63</v>
      </c>
      <c r="T376" s="1346" t="s">
        <v>206</v>
      </c>
      <c r="U376" s="1346" t="s">
        <v>63</v>
      </c>
      <c r="V376" s="357" t="s">
        <v>63</v>
      </c>
      <c r="W376" s="1346" t="s">
        <v>68</v>
      </c>
      <c r="X376" s="1346" t="s">
        <v>206</v>
      </c>
      <c r="Y376" s="1346" t="s">
        <v>206</v>
      </c>
      <c r="Z376" s="1346"/>
      <c r="AA376" s="1346"/>
      <c r="AB376" s="525" t="s">
        <v>937</v>
      </c>
      <c r="AC376" s="534"/>
      <c r="AD376" s="1352" t="s">
        <v>63</v>
      </c>
      <c r="AE376" s="535">
        <v>45267</v>
      </c>
      <c r="AF376" s="535">
        <v>45267</v>
      </c>
      <c r="AG376" s="535">
        <v>45267</v>
      </c>
      <c r="AH376" s="609" t="s">
        <v>1210</v>
      </c>
      <c r="AI376" s="535">
        <v>45272</v>
      </c>
      <c r="AJ376" s="535">
        <v>45537</v>
      </c>
      <c r="AK376" s="525" t="s">
        <v>206</v>
      </c>
      <c r="AL376" s="535">
        <v>45457</v>
      </c>
      <c r="AM376" s="330"/>
      <c r="AO376" s="337">
        <v>45514</v>
      </c>
      <c r="AP376" s="1347"/>
    </row>
    <row r="377" spans="1:44" ht="15.6" hidden="1" x14ac:dyDescent="0.25">
      <c r="A377" s="1426"/>
      <c r="B377" s="1428"/>
      <c r="C377" s="1357" t="s">
        <v>54</v>
      </c>
      <c r="D377" s="581" t="s">
        <v>938</v>
      </c>
      <c r="E377" s="1350" t="s">
        <v>1206</v>
      </c>
      <c r="F377" s="527" t="s">
        <v>863</v>
      </c>
      <c r="G377" s="527" t="s">
        <v>13</v>
      </c>
      <c r="H377" s="1351">
        <v>43112</v>
      </c>
      <c r="I377" s="525">
        <v>115</v>
      </c>
      <c r="J377" s="525" t="s">
        <v>58</v>
      </c>
      <c r="K377" s="1330"/>
      <c r="O377" s="337">
        <v>45751</v>
      </c>
      <c r="P377" s="337">
        <v>45751</v>
      </c>
      <c r="Q377" s="1346" t="s">
        <v>75</v>
      </c>
      <c r="R377" s="1346" t="s">
        <v>63</v>
      </c>
      <c r="S377" s="1346" t="s">
        <v>63</v>
      </c>
      <c r="T377" s="1346" t="s">
        <v>206</v>
      </c>
      <c r="U377" s="1346" t="s">
        <v>63</v>
      </c>
      <c r="V377" s="357" t="s">
        <v>63</v>
      </c>
      <c r="W377" s="1346" t="s">
        <v>62</v>
      </c>
      <c r="X377" s="1346" t="s">
        <v>206</v>
      </c>
      <c r="Y377" s="1346" t="s">
        <v>206</v>
      </c>
      <c r="Z377" s="1346"/>
      <c r="AA377" s="1346"/>
      <c r="AB377" s="525" t="s">
        <v>939</v>
      </c>
      <c r="AC377" s="534"/>
      <c r="AD377" s="1352" t="s">
        <v>63</v>
      </c>
      <c r="AE377" s="535">
        <v>45267</v>
      </c>
      <c r="AF377" s="535">
        <v>45267</v>
      </c>
      <c r="AG377" s="535">
        <v>45267</v>
      </c>
      <c r="AH377" s="609" t="s">
        <v>1210</v>
      </c>
      <c r="AI377" s="535">
        <v>45272</v>
      </c>
      <c r="AJ377" s="535">
        <v>45537</v>
      </c>
      <c r="AK377" s="525" t="s">
        <v>206</v>
      </c>
      <c r="AL377" s="535">
        <v>45457</v>
      </c>
      <c r="AM377" s="330"/>
      <c r="AO377" s="337">
        <v>45514</v>
      </c>
      <c r="AP377" s="1347"/>
    </row>
    <row r="378" spans="1:44" ht="15.6" hidden="1" x14ac:dyDescent="0.25">
      <c r="A378" s="1425">
        <v>303</v>
      </c>
      <c r="B378" s="1427">
        <v>30604</v>
      </c>
      <c r="C378" s="1357" t="s">
        <v>64</v>
      </c>
      <c r="D378" s="581" t="s">
        <v>940</v>
      </c>
      <c r="E378" s="1350" t="s">
        <v>1206</v>
      </c>
      <c r="F378" s="527" t="s">
        <v>863</v>
      </c>
      <c r="G378" s="527" t="s">
        <v>13</v>
      </c>
      <c r="H378" s="1351">
        <v>43137</v>
      </c>
      <c r="I378" s="525">
        <v>152</v>
      </c>
      <c r="J378" s="525" t="s">
        <v>58</v>
      </c>
      <c r="K378" s="1330"/>
      <c r="O378" s="337">
        <v>45740</v>
      </c>
      <c r="P378" s="337">
        <v>45771</v>
      </c>
      <c r="Q378" s="1346" t="s">
        <v>75</v>
      </c>
      <c r="R378" s="1346" t="s">
        <v>68</v>
      </c>
      <c r="S378" s="1346" t="s">
        <v>63</v>
      </c>
      <c r="T378" s="1346" t="s">
        <v>68</v>
      </c>
      <c r="U378" s="1346" t="s">
        <v>63</v>
      </c>
      <c r="V378" s="357" t="s">
        <v>63</v>
      </c>
      <c r="W378" s="1346" t="s">
        <v>68</v>
      </c>
      <c r="X378" s="1346" t="s">
        <v>206</v>
      </c>
      <c r="Y378" s="1346" t="s">
        <v>206</v>
      </c>
      <c r="Z378" s="1346"/>
      <c r="AA378" s="1346"/>
      <c r="AB378" s="525" t="s">
        <v>941</v>
      </c>
      <c r="AC378" s="534"/>
      <c r="AD378" s="1352" t="s">
        <v>616</v>
      </c>
      <c r="AE378" s="535">
        <v>45446</v>
      </c>
      <c r="AF378" s="535">
        <v>45449</v>
      </c>
      <c r="AG378" s="525" t="s">
        <v>206</v>
      </c>
      <c r="AH378" s="535">
        <v>45512</v>
      </c>
      <c r="AI378" s="535">
        <v>45446</v>
      </c>
      <c r="AJ378" s="535">
        <v>45530</v>
      </c>
      <c r="AK378" s="525" t="s">
        <v>206</v>
      </c>
      <c r="AL378" s="535">
        <v>45449</v>
      </c>
      <c r="AM378" s="330"/>
      <c r="AO378" s="337">
        <v>45640</v>
      </c>
      <c r="AP378" s="1347"/>
    </row>
    <row r="379" spans="1:44" ht="15.6" hidden="1" x14ac:dyDescent="0.25">
      <c r="A379" s="1426"/>
      <c r="B379" s="1428"/>
      <c r="C379" s="1357" t="s">
        <v>54</v>
      </c>
      <c r="D379" s="581" t="s">
        <v>942</v>
      </c>
      <c r="E379" s="1350" t="s">
        <v>1206</v>
      </c>
      <c r="F379" s="527" t="s">
        <v>863</v>
      </c>
      <c r="G379" s="527" t="s">
        <v>13</v>
      </c>
      <c r="H379" s="1351">
        <v>43137</v>
      </c>
      <c r="I379" s="525">
        <v>146</v>
      </c>
      <c r="J379" s="525" t="s">
        <v>58</v>
      </c>
      <c r="K379" s="1330"/>
      <c r="O379" s="337">
        <v>45740</v>
      </c>
      <c r="P379" s="337">
        <v>45771</v>
      </c>
      <c r="Q379" s="1346" t="s">
        <v>75</v>
      </c>
      <c r="R379" s="1346" t="s">
        <v>62</v>
      </c>
      <c r="S379" s="1346" t="s">
        <v>63</v>
      </c>
      <c r="T379" s="1346" t="s">
        <v>62</v>
      </c>
      <c r="U379" s="1346" t="s">
        <v>63</v>
      </c>
      <c r="V379" s="357" t="s">
        <v>63</v>
      </c>
      <c r="W379" s="1346" t="s">
        <v>62</v>
      </c>
      <c r="X379" s="1346" t="s">
        <v>206</v>
      </c>
      <c r="Y379" s="1346" t="s">
        <v>206</v>
      </c>
      <c r="Z379" s="1346"/>
      <c r="AA379" s="1346"/>
      <c r="AB379" s="525" t="s">
        <v>943</v>
      </c>
      <c r="AC379" s="534"/>
      <c r="AD379" s="1352" t="s">
        <v>689</v>
      </c>
      <c r="AE379" s="535">
        <v>45446</v>
      </c>
      <c r="AF379" s="535">
        <v>45449</v>
      </c>
      <c r="AG379" s="525" t="s">
        <v>206</v>
      </c>
      <c r="AH379" s="535">
        <v>45512</v>
      </c>
      <c r="AI379" s="535">
        <v>45446</v>
      </c>
      <c r="AJ379" s="535">
        <v>45530</v>
      </c>
      <c r="AK379" s="525" t="s">
        <v>206</v>
      </c>
      <c r="AL379" s="535">
        <v>45449</v>
      </c>
      <c r="AM379" s="330"/>
      <c r="AO379" s="337">
        <v>45640</v>
      </c>
      <c r="AP379" s="1347"/>
    </row>
    <row r="380" spans="1:44" ht="15.6" hidden="1" x14ac:dyDescent="0.25">
      <c r="A380" s="1425">
        <v>304</v>
      </c>
      <c r="B380" s="1427">
        <v>37464</v>
      </c>
      <c r="C380" s="1357" t="s">
        <v>64</v>
      </c>
      <c r="D380" s="20" t="s">
        <v>964</v>
      </c>
      <c r="E380" s="20" t="s">
        <v>1206</v>
      </c>
      <c r="F380" s="29" t="s">
        <v>863</v>
      </c>
      <c r="G380" s="29" t="s">
        <v>13</v>
      </c>
      <c r="H380" s="19">
        <v>44158</v>
      </c>
      <c r="I380" s="3">
        <v>922</v>
      </c>
      <c r="J380" s="3" t="s">
        <v>58</v>
      </c>
      <c r="O380" s="47">
        <v>45700</v>
      </c>
      <c r="P380" s="47">
        <v>45700</v>
      </c>
      <c r="Q380" s="16" t="s">
        <v>75</v>
      </c>
      <c r="R380" s="16" t="s">
        <v>75</v>
      </c>
      <c r="S380" s="42" t="s">
        <v>63</v>
      </c>
      <c r="T380" s="42" t="s">
        <v>206</v>
      </c>
      <c r="U380" s="42" t="s">
        <v>68</v>
      </c>
      <c r="V380" s="51" t="s">
        <v>63</v>
      </c>
      <c r="W380" s="42" t="s">
        <v>63</v>
      </c>
      <c r="X380" s="16" t="s">
        <v>75</v>
      </c>
      <c r="Y380" s="42" t="s">
        <v>206</v>
      </c>
      <c r="Z380" s="42"/>
      <c r="AA380" s="42"/>
      <c r="AB380" s="16"/>
      <c r="AC380" s="16"/>
      <c r="AD380" s="42" t="s">
        <v>68</v>
      </c>
      <c r="AE380" s="52">
        <v>45271</v>
      </c>
      <c r="AF380" s="42" t="s">
        <v>206</v>
      </c>
      <c r="AG380" s="52">
        <v>45271</v>
      </c>
      <c r="AH380" s="52">
        <v>45510</v>
      </c>
      <c r="AI380" s="52">
        <v>45271</v>
      </c>
      <c r="AJ380" s="52">
        <v>45604</v>
      </c>
      <c r="AK380" s="52" t="s">
        <v>206</v>
      </c>
      <c r="AL380" s="52">
        <v>45507</v>
      </c>
      <c r="AM380" s="621"/>
      <c r="AO380" s="84"/>
      <c r="AP380" s="1291"/>
    </row>
    <row r="381" spans="1:44" ht="15.6" hidden="1" x14ac:dyDescent="0.25">
      <c r="A381" s="1426"/>
      <c r="B381" s="1428"/>
      <c r="C381" s="1357" t="s">
        <v>54</v>
      </c>
      <c r="D381" s="20" t="s">
        <v>965</v>
      </c>
      <c r="E381" s="20" t="s">
        <v>1206</v>
      </c>
      <c r="F381" s="29" t="s">
        <v>863</v>
      </c>
      <c r="G381" s="29" t="s">
        <v>13</v>
      </c>
      <c r="H381" s="19">
        <v>44158</v>
      </c>
      <c r="I381" s="3">
        <v>923</v>
      </c>
      <c r="J381" s="3" t="s">
        <v>58</v>
      </c>
      <c r="O381" s="47">
        <v>45700</v>
      </c>
      <c r="P381" s="47">
        <v>45700</v>
      </c>
      <c r="Q381" s="16" t="s">
        <v>75</v>
      </c>
      <c r="R381" s="16" t="s">
        <v>75</v>
      </c>
      <c r="S381" s="42" t="s">
        <v>63</v>
      </c>
      <c r="T381" s="42" t="s">
        <v>206</v>
      </c>
      <c r="U381" s="42" t="s">
        <v>62</v>
      </c>
      <c r="V381" s="51" t="s">
        <v>63</v>
      </c>
      <c r="W381" s="42" t="s">
        <v>63</v>
      </c>
      <c r="X381" s="16" t="s">
        <v>75</v>
      </c>
      <c r="Y381" s="42" t="s">
        <v>206</v>
      </c>
      <c r="Z381" s="42"/>
      <c r="AA381" s="42"/>
      <c r="AB381" s="16"/>
      <c r="AC381" s="16"/>
      <c r="AD381" s="42" t="s">
        <v>62</v>
      </c>
      <c r="AE381" s="52">
        <v>45271</v>
      </c>
      <c r="AF381" s="42" t="s">
        <v>206</v>
      </c>
      <c r="AG381" s="52">
        <v>45510</v>
      </c>
      <c r="AH381" s="52">
        <v>45510</v>
      </c>
      <c r="AI381" s="52">
        <v>45271</v>
      </c>
      <c r="AJ381" s="52">
        <v>45604</v>
      </c>
      <c r="AK381" s="52" t="s">
        <v>206</v>
      </c>
      <c r="AL381" s="52">
        <v>45507</v>
      </c>
      <c r="AM381" s="621"/>
      <c r="AO381" s="621"/>
      <c r="AP381" s="1315"/>
    </row>
    <row r="382" spans="1:44" ht="15.6" hidden="1" x14ac:dyDescent="0.25">
      <c r="A382" s="1425">
        <v>305</v>
      </c>
      <c r="B382" s="1427">
        <v>39024</v>
      </c>
      <c r="C382" s="1357" t="s">
        <v>64</v>
      </c>
      <c r="D382" s="581" t="s">
        <v>966</v>
      </c>
      <c r="E382" s="1350" t="s">
        <v>1206</v>
      </c>
      <c r="F382" s="527" t="s">
        <v>863</v>
      </c>
      <c r="G382" s="527" t="s">
        <v>13</v>
      </c>
      <c r="H382" s="1351">
        <v>43482</v>
      </c>
      <c r="I382" s="525">
        <v>236</v>
      </c>
      <c r="J382" s="525" t="s">
        <v>58</v>
      </c>
      <c r="K382" s="1330"/>
      <c r="O382" s="1353">
        <v>45736</v>
      </c>
      <c r="P382" s="1353">
        <v>45736</v>
      </c>
      <c r="Q382" s="1346" t="s">
        <v>75</v>
      </c>
      <c r="R382" s="1346" t="s">
        <v>68</v>
      </c>
      <c r="S382" s="1346" t="s">
        <v>63</v>
      </c>
      <c r="T382" s="1346" t="s">
        <v>68</v>
      </c>
      <c r="U382" s="1346" t="s">
        <v>63</v>
      </c>
      <c r="V382" s="357" t="s">
        <v>63</v>
      </c>
      <c r="W382" s="1346" t="s">
        <v>68</v>
      </c>
      <c r="X382" s="1346" t="s">
        <v>206</v>
      </c>
      <c r="Y382" s="1346" t="s">
        <v>206</v>
      </c>
      <c r="Z382" s="1346"/>
      <c r="AA382" s="1346"/>
      <c r="AB382" s="534" t="s">
        <v>967</v>
      </c>
      <c r="AC382" s="534"/>
      <c r="AD382" s="1352" t="s">
        <v>616</v>
      </c>
      <c r="AE382" s="535">
        <v>45322</v>
      </c>
      <c r="AF382" s="1346" t="s">
        <v>206</v>
      </c>
      <c r="AG382" s="535">
        <v>44887</v>
      </c>
      <c r="AH382" s="535">
        <v>45517</v>
      </c>
      <c r="AI382" s="525" t="s">
        <v>206</v>
      </c>
      <c r="AJ382" s="535">
        <v>45516</v>
      </c>
      <c r="AK382" s="535" t="s">
        <v>206</v>
      </c>
      <c r="AL382" s="535">
        <v>45423</v>
      </c>
      <c r="AM382" s="330"/>
      <c r="AO382" s="535">
        <v>45646</v>
      </c>
      <c r="AP382" s="1354"/>
      <c r="AQ382" s="2"/>
      <c r="AR382" s="2"/>
    </row>
    <row r="383" spans="1:44" ht="15.6" hidden="1" x14ac:dyDescent="0.25">
      <c r="A383" s="1426"/>
      <c r="B383" s="1428"/>
      <c r="C383" s="1357" t="s">
        <v>54</v>
      </c>
      <c r="D383" s="581" t="s">
        <v>968</v>
      </c>
      <c r="E383" s="1350" t="s">
        <v>1206</v>
      </c>
      <c r="F383" s="527" t="s">
        <v>863</v>
      </c>
      <c r="G383" s="527" t="s">
        <v>13</v>
      </c>
      <c r="H383" s="1351">
        <v>43482</v>
      </c>
      <c r="I383" s="525">
        <v>223</v>
      </c>
      <c r="J383" s="525" t="s">
        <v>58</v>
      </c>
      <c r="K383" s="1330"/>
      <c r="O383" s="1353">
        <v>45736</v>
      </c>
      <c r="P383" s="1353">
        <v>45736</v>
      </c>
      <c r="Q383" s="1346" t="s">
        <v>75</v>
      </c>
      <c r="R383" s="1346" t="s">
        <v>62</v>
      </c>
      <c r="S383" s="1346" t="s">
        <v>63</v>
      </c>
      <c r="T383" s="1346" t="s">
        <v>62</v>
      </c>
      <c r="U383" s="1346" t="s">
        <v>63</v>
      </c>
      <c r="V383" s="357" t="s">
        <v>63</v>
      </c>
      <c r="W383" s="1346" t="s">
        <v>62</v>
      </c>
      <c r="X383" s="1346" t="s">
        <v>206</v>
      </c>
      <c r="Y383" s="1346" t="s">
        <v>206</v>
      </c>
      <c r="Z383" s="1346"/>
      <c r="AA383" s="1346"/>
      <c r="AB383" s="534" t="s">
        <v>969</v>
      </c>
      <c r="AC383" s="534"/>
      <c r="AD383" s="1352" t="s">
        <v>604</v>
      </c>
      <c r="AE383" s="535">
        <v>45322</v>
      </c>
      <c r="AF383" s="1346" t="s">
        <v>206</v>
      </c>
      <c r="AG383" s="535">
        <v>44887</v>
      </c>
      <c r="AH383" s="535">
        <v>45517</v>
      </c>
      <c r="AI383" s="525" t="s">
        <v>206</v>
      </c>
      <c r="AJ383" s="535">
        <v>45516</v>
      </c>
      <c r="AK383" s="535" t="s">
        <v>206</v>
      </c>
      <c r="AL383" s="535">
        <v>45423</v>
      </c>
      <c r="AM383" s="330"/>
      <c r="AO383" s="535">
        <v>45646</v>
      </c>
      <c r="AP383" s="1354"/>
      <c r="AQ383" s="2"/>
      <c r="AR383" s="2"/>
    </row>
    <row r="384" spans="1:44" ht="15.6" hidden="1" x14ac:dyDescent="0.25">
      <c r="A384" s="1425">
        <v>306</v>
      </c>
      <c r="B384" s="1427">
        <v>39025</v>
      </c>
      <c r="C384" s="1357" t="s">
        <v>64</v>
      </c>
      <c r="D384" s="581" t="s">
        <v>970</v>
      </c>
      <c r="E384" s="1350" t="s">
        <v>1206</v>
      </c>
      <c r="F384" s="527" t="s">
        <v>863</v>
      </c>
      <c r="G384" s="527" t="s">
        <v>13</v>
      </c>
      <c r="H384" s="1351">
        <v>43484</v>
      </c>
      <c r="I384" s="525">
        <v>251</v>
      </c>
      <c r="J384" s="525" t="s">
        <v>58</v>
      </c>
      <c r="K384" s="1330"/>
      <c r="O384" s="1353">
        <v>45735</v>
      </c>
      <c r="P384" s="1353">
        <v>45735</v>
      </c>
      <c r="Q384" s="1355" t="s">
        <v>75</v>
      </c>
      <c r="R384" s="1346" t="s">
        <v>68</v>
      </c>
      <c r="S384" s="1346" t="s">
        <v>63</v>
      </c>
      <c r="T384" s="1346" t="s">
        <v>68</v>
      </c>
      <c r="U384" s="1346" t="s">
        <v>63</v>
      </c>
      <c r="V384" s="357" t="s">
        <v>63</v>
      </c>
      <c r="W384" s="1346" t="s">
        <v>68</v>
      </c>
      <c r="X384" s="1346" t="s">
        <v>206</v>
      </c>
      <c r="Y384" s="1346" t="s">
        <v>206</v>
      </c>
      <c r="Z384" s="1346"/>
      <c r="AA384" s="1346"/>
      <c r="AB384" s="525" t="s">
        <v>971</v>
      </c>
      <c r="AC384" s="534"/>
      <c r="AD384" s="1346" t="s">
        <v>68</v>
      </c>
      <c r="AE384" s="535">
        <v>45248</v>
      </c>
      <c r="AF384" s="1346" t="s">
        <v>206</v>
      </c>
      <c r="AG384" s="535">
        <v>45345</v>
      </c>
      <c r="AH384" s="535">
        <v>45479</v>
      </c>
      <c r="AI384" s="535" t="s">
        <v>206</v>
      </c>
      <c r="AJ384" s="535">
        <v>45462</v>
      </c>
      <c r="AK384" s="535" t="s">
        <v>206</v>
      </c>
      <c r="AL384" s="535">
        <v>45462</v>
      </c>
      <c r="AM384" s="330"/>
      <c r="AO384" s="1353">
        <v>45559</v>
      </c>
      <c r="AP384" s="1356"/>
    </row>
    <row r="385" spans="1:42" ht="15.6" hidden="1" x14ac:dyDescent="0.25">
      <c r="A385" s="1426"/>
      <c r="B385" s="1428"/>
      <c r="C385" s="1357" t="s">
        <v>54</v>
      </c>
      <c r="D385" s="581" t="s">
        <v>972</v>
      </c>
      <c r="E385" s="1350" t="s">
        <v>1206</v>
      </c>
      <c r="F385" s="527" t="s">
        <v>863</v>
      </c>
      <c r="G385" s="527" t="s">
        <v>13</v>
      </c>
      <c r="H385" s="1351">
        <v>43484</v>
      </c>
      <c r="I385" s="525">
        <v>249</v>
      </c>
      <c r="J385" s="525" t="s">
        <v>58</v>
      </c>
      <c r="K385" s="1330"/>
      <c r="O385" s="1353">
        <v>45735</v>
      </c>
      <c r="P385" s="1353">
        <v>45735</v>
      </c>
      <c r="Q385" s="1355" t="s">
        <v>75</v>
      </c>
      <c r="R385" s="1346" t="s">
        <v>62</v>
      </c>
      <c r="S385" s="1346" t="s">
        <v>63</v>
      </c>
      <c r="T385" s="1346" t="s">
        <v>62</v>
      </c>
      <c r="U385" s="1346" t="s">
        <v>63</v>
      </c>
      <c r="V385" s="357" t="s">
        <v>63</v>
      </c>
      <c r="W385" s="1346" t="s">
        <v>62</v>
      </c>
      <c r="X385" s="1346" t="s">
        <v>206</v>
      </c>
      <c r="Y385" s="1346" t="s">
        <v>206</v>
      </c>
      <c r="Z385" s="1346"/>
      <c r="AA385" s="1346"/>
      <c r="AB385" s="534"/>
      <c r="AC385" s="534"/>
      <c r="AD385" s="1346" t="s">
        <v>62</v>
      </c>
      <c r="AE385" s="535">
        <v>45248</v>
      </c>
      <c r="AF385" s="1346" t="s">
        <v>206</v>
      </c>
      <c r="AG385" s="535">
        <v>45248</v>
      </c>
      <c r="AH385" s="535">
        <v>45479</v>
      </c>
      <c r="AI385" s="535" t="s">
        <v>206</v>
      </c>
      <c r="AJ385" s="535">
        <v>45462</v>
      </c>
      <c r="AK385" s="535" t="s">
        <v>206</v>
      </c>
      <c r="AL385" s="535">
        <v>45463</v>
      </c>
      <c r="AM385" s="330"/>
      <c r="AO385" s="1353">
        <v>45559</v>
      </c>
      <c r="AP385" s="1356"/>
    </row>
    <row r="386" spans="1:42" ht="15.6" hidden="1" x14ac:dyDescent="0.25">
      <c r="A386" s="1421">
        <v>307</v>
      </c>
      <c r="B386" s="1423">
        <v>39183</v>
      </c>
      <c r="C386" s="27" t="s">
        <v>64</v>
      </c>
      <c r="D386" s="20" t="s">
        <v>978</v>
      </c>
      <c r="E386" s="20" t="s">
        <v>1206</v>
      </c>
      <c r="F386" s="29" t="s">
        <v>863</v>
      </c>
      <c r="G386" s="29" t="s">
        <v>13</v>
      </c>
      <c r="H386" s="19">
        <v>44266</v>
      </c>
      <c r="I386" s="3">
        <v>1071</v>
      </c>
      <c r="J386" s="3" t="s">
        <v>58</v>
      </c>
      <c r="O386" s="47">
        <v>45734</v>
      </c>
      <c r="P386" s="47"/>
      <c r="Q386" s="53" t="s">
        <v>75</v>
      </c>
      <c r="R386" s="42" t="s">
        <v>206</v>
      </c>
      <c r="S386" s="16" t="s">
        <v>63</v>
      </c>
      <c r="T386" s="42" t="s">
        <v>206</v>
      </c>
      <c r="U386" s="42" t="s">
        <v>63</v>
      </c>
      <c r="V386" s="51" t="s">
        <v>63</v>
      </c>
      <c r="W386" s="16" t="s">
        <v>63</v>
      </c>
      <c r="X386" s="42" t="s">
        <v>206</v>
      </c>
      <c r="Y386" s="16" t="s">
        <v>206</v>
      </c>
      <c r="Z386" s="42"/>
      <c r="AA386" s="42"/>
      <c r="AB386" s="16"/>
      <c r="AC386" s="16"/>
      <c r="AD386" s="283" t="s">
        <v>63</v>
      </c>
      <c r="AE386" s="42" t="s">
        <v>206</v>
      </c>
      <c r="AF386" s="42" t="s">
        <v>206</v>
      </c>
      <c r="AG386" s="52">
        <v>45153</v>
      </c>
      <c r="AH386" s="52">
        <v>45531</v>
      </c>
      <c r="AI386" s="3" t="s">
        <v>206</v>
      </c>
      <c r="AJ386" s="52">
        <v>45551</v>
      </c>
      <c r="AK386" s="52" t="s">
        <v>206</v>
      </c>
      <c r="AL386" s="535">
        <v>45734</v>
      </c>
      <c r="AM386" s="621"/>
      <c r="AO386" s="621"/>
      <c r="AP386" s="1315"/>
    </row>
    <row r="387" spans="1:42" ht="15.6" hidden="1" x14ac:dyDescent="0.25">
      <c r="A387" s="1422"/>
      <c r="B387" s="1424"/>
      <c r="C387" s="27" t="s">
        <v>54</v>
      </c>
      <c r="D387" s="20" t="s">
        <v>976</v>
      </c>
      <c r="E387" s="20" t="s">
        <v>1206</v>
      </c>
      <c r="F387" s="29" t="s">
        <v>863</v>
      </c>
      <c r="G387" s="29" t="s">
        <v>13</v>
      </c>
      <c r="H387" s="19">
        <v>44266</v>
      </c>
      <c r="I387" s="3" t="s">
        <v>977</v>
      </c>
      <c r="J387" s="3" t="s">
        <v>58</v>
      </c>
      <c r="O387" s="33">
        <v>45734</v>
      </c>
      <c r="P387" s="33"/>
      <c r="Q387" s="16" t="s">
        <v>75</v>
      </c>
      <c r="R387" s="16" t="s">
        <v>75</v>
      </c>
      <c r="S387" s="16" t="s">
        <v>63</v>
      </c>
      <c r="T387" s="16" t="s">
        <v>206</v>
      </c>
      <c r="U387" s="16" t="s">
        <v>63</v>
      </c>
      <c r="V387" s="51" t="s">
        <v>63</v>
      </c>
      <c r="W387" s="16" t="s">
        <v>63</v>
      </c>
      <c r="X387" s="16" t="s">
        <v>75</v>
      </c>
      <c r="Y387" s="16" t="s">
        <v>206</v>
      </c>
      <c r="Z387" s="16"/>
      <c r="AA387" s="16"/>
      <c r="AB387" s="16"/>
      <c r="AC387" s="16"/>
      <c r="AD387" s="276" t="s">
        <v>616</v>
      </c>
      <c r="AE387" s="42" t="s">
        <v>206</v>
      </c>
      <c r="AF387" s="42" t="s">
        <v>206</v>
      </c>
      <c r="AG387" s="52">
        <v>45153</v>
      </c>
      <c r="AH387" s="52">
        <v>45531</v>
      </c>
      <c r="AI387" s="3" t="s">
        <v>206</v>
      </c>
      <c r="AJ387" s="52">
        <v>45551</v>
      </c>
      <c r="AK387" s="52" t="s">
        <v>206</v>
      </c>
      <c r="AL387" s="535">
        <v>45734</v>
      </c>
      <c r="AM387" s="621"/>
      <c r="AO387" s="621"/>
      <c r="AP387" s="1315"/>
    </row>
    <row r="388" spans="1:42" ht="15.6" hidden="1" x14ac:dyDescent="0.25">
      <c r="A388" s="1421">
        <v>308</v>
      </c>
      <c r="B388" s="1431">
        <v>30670</v>
      </c>
      <c r="C388" s="27" t="s">
        <v>64</v>
      </c>
      <c r="D388" s="20" t="s">
        <v>979</v>
      </c>
      <c r="E388" s="20" t="s">
        <v>1206</v>
      </c>
      <c r="F388" s="29" t="s">
        <v>863</v>
      </c>
      <c r="G388" s="29" t="s">
        <v>13</v>
      </c>
      <c r="H388" s="1316">
        <v>44586</v>
      </c>
      <c r="I388" s="525"/>
      <c r="J388" s="993" t="s">
        <v>58</v>
      </c>
      <c r="O388" s="33">
        <v>45666</v>
      </c>
      <c r="P388" s="33"/>
      <c r="Q388" s="16" t="s">
        <v>75</v>
      </c>
      <c r="R388" s="16" t="s">
        <v>121</v>
      </c>
      <c r="S388" s="16" t="s">
        <v>63</v>
      </c>
      <c r="T388" s="16" t="s">
        <v>206</v>
      </c>
      <c r="U388" s="16" t="s">
        <v>63</v>
      </c>
      <c r="V388" s="51" t="s">
        <v>63</v>
      </c>
      <c r="W388" s="16" t="s">
        <v>63</v>
      </c>
      <c r="X388" s="16" t="s">
        <v>206</v>
      </c>
      <c r="Y388" s="16" t="s">
        <v>206</v>
      </c>
      <c r="Z388" s="16"/>
      <c r="AA388" s="16"/>
      <c r="AB388" s="16"/>
      <c r="AC388" s="16"/>
      <c r="AD388" s="276" t="s">
        <v>68</v>
      </c>
      <c r="AE388" s="52">
        <v>45232</v>
      </c>
      <c r="AF388" s="42" t="s">
        <v>206</v>
      </c>
      <c r="AG388" s="52">
        <v>45263</v>
      </c>
      <c r="AH388" s="84" t="s">
        <v>1212</v>
      </c>
      <c r="AI388" s="3" t="s">
        <v>206</v>
      </c>
      <c r="AJ388" s="52">
        <v>45544</v>
      </c>
      <c r="AK388" s="52" t="s">
        <v>206</v>
      </c>
      <c r="AL388" s="535"/>
      <c r="AM388" s="621"/>
      <c r="AO388" s="621"/>
      <c r="AP388" s="1315"/>
    </row>
    <row r="389" spans="1:42" ht="15.6" hidden="1" x14ac:dyDescent="0.25">
      <c r="A389" s="1422"/>
      <c r="B389" s="1432"/>
      <c r="C389" s="27" t="s">
        <v>54</v>
      </c>
      <c r="D389" s="20" t="s">
        <v>982</v>
      </c>
      <c r="E389" s="20" t="s">
        <v>1206</v>
      </c>
      <c r="F389" s="29" t="s">
        <v>863</v>
      </c>
      <c r="G389" s="29" t="s">
        <v>13</v>
      </c>
      <c r="H389" s="1316">
        <v>44586</v>
      </c>
      <c r="I389" s="525"/>
      <c r="J389" s="525" t="s">
        <v>58</v>
      </c>
      <c r="O389" s="33">
        <v>45666</v>
      </c>
      <c r="P389" s="33"/>
      <c r="Q389" s="16" t="s">
        <v>75</v>
      </c>
      <c r="R389" s="16" t="s">
        <v>121</v>
      </c>
      <c r="S389" s="16" t="s">
        <v>63</v>
      </c>
      <c r="T389" s="16" t="s">
        <v>206</v>
      </c>
      <c r="U389" s="16" t="s">
        <v>63</v>
      </c>
      <c r="V389" s="51" t="s">
        <v>63</v>
      </c>
      <c r="W389" s="16" t="s">
        <v>63</v>
      </c>
      <c r="X389" s="16" t="s">
        <v>206</v>
      </c>
      <c r="Y389" s="16" t="s">
        <v>206</v>
      </c>
      <c r="Z389" s="16"/>
      <c r="AA389" s="16"/>
      <c r="AB389" s="16"/>
      <c r="AC389" s="16"/>
      <c r="AD389" s="276" t="s">
        <v>62</v>
      </c>
      <c r="AE389" s="52">
        <v>45232</v>
      </c>
      <c r="AF389" s="42" t="s">
        <v>206</v>
      </c>
      <c r="AG389" s="52">
        <v>45263</v>
      </c>
      <c r="AH389" s="84" t="s">
        <v>1212</v>
      </c>
      <c r="AI389" s="3" t="s">
        <v>206</v>
      </c>
      <c r="AJ389" s="52">
        <v>45544</v>
      </c>
      <c r="AK389" s="52" t="s">
        <v>206</v>
      </c>
      <c r="AL389" s="535"/>
      <c r="AM389" s="621"/>
      <c r="AO389" s="621"/>
      <c r="AP389" s="1315"/>
    </row>
    <row r="390" spans="1:42" ht="15.6" hidden="1" x14ac:dyDescent="0.25">
      <c r="A390" s="1421">
        <v>309</v>
      </c>
      <c r="B390" s="1429">
        <v>30650</v>
      </c>
      <c r="C390" s="227" t="s">
        <v>64</v>
      </c>
      <c r="D390" s="20" t="s">
        <v>1058</v>
      </c>
      <c r="E390" s="20" t="s">
        <v>1206</v>
      </c>
      <c r="F390" s="103" t="s">
        <v>863</v>
      </c>
      <c r="G390" s="103" t="s">
        <v>13</v>
      </c>
      <c r="H390" s="1316">
        <v>44829</v>
      </c>
      <c r="I390" s="848"/>
      <c r="J390" s="525" t="s">
        <v>58</v>
      </c>
      <c r="O390" s="106">
        <v>45698</v>
      </c>
      <c r="P390" s="106"/>
      <c r="Q390" s="105" t="s">
        <v>75</v>
      </c>
      <c r="R390" s="105" t="s">
        <v>68</v>
      </c>
      <c r="S390" s="105" t="s">
        <v>63</v>
      </c>
      <c r="T390" s="105" t="s">
        <v>206</v>
      </c>
      <c r="U390" s="105" t="s">
        <v>63</v>
      </c>
      <c r="V390" s="51" t="s">
        <v>63</v>
      </c>
      <c r="W390" s="105" t="s">
        <v>63</v>
      </c>
      <c r="X390" s="105" t="s">
        <v>206</v>
      </c>
      <c r="Y390" s="105" t="s">
        <v>206</v>
      </c>
      <c r="Z390" s="105"/>
      <c r="AA390" s="105"/>
      <c r="AB390" s="105"/>
      <c r="AC390" s="105"/>
      <c r="AD390" s="105" t="s">
        <v>206</v>
      </c>
      <c r="AE390" s="52">
        <v>45268</v>
      </c>
      <c r="AF390" s="277" t="s">
        <v>206</v>
      </c>
      <c r="AG390" s="52">
        <v>45092</v>
      </c>
      <c r="AH390" s="52">
        <v>45471</v>
      </c>
      <c r="AI390" s="52">
        <v>45268</v>
      </c>
      <c r="AJ390" s="52">
        <v>45586</v>
      </c>
      <c r="AK390" s="52" t="s">
        <v>206</v>
      </c>
      <c r="AL390" s="535"/>
      <c r="AM390" s="621"/>
      <c r="AO390" s="621"/>
      <c r="AP390" s="1315"/>
    </row>
    <row r="391" spans="1:42" ht="15.6" hidden="1" x14ac:dyDescent="0.25">
      <c r="A391" s="1422"/>
      <c r="B391" s="1430"/>
      <c r="C391" s="227" t="s">
        <v>54</v>
      </c>
      <c r="D391" s="20" t="s">
        <v>1059</v>
      </c>
      <c r="E391" s="20" t="s">
        <v>1206</v>
      </c>
      <c r="F391" s="103" t="s">
        <v>863</v>
      </c>
      <c r="G391" s="103" t="s">
        <v>13</v>
      </c>
      <c r="H391" s="1316">
        <v>44829</v>
      </c>
      <c r="I391" s="848"/>
      <c r="J391" s="525" t="s">
        <v>58</v>
      </c>
      <c r="O391" s="106">
        <v>45698</v>
      </c>
      <c r="P391" s="106"/>
      <c r="Q391" s="105" t="s">
        <v>75</v>
      </c>
      <c r="R391" s="105" t="s">
        <v>62</v>
      </c>
      <c r="S391" s="105" t="s">
        <v>63</v>
      </c>
      <c r="T391" s="105" t="s">
        <v>206</v>
      </c>
      <c r="U391" s="105" t="s">
        <v>63</v>
      </c>
      <c r="V391" s="51" t="s">
        <v>63</v>
      </c>
      <c r="W391" s="105" t="s">
        <v>63</v>
      </c>
      <c r="X391" s="105" t="s">
        <v>206</v>
      </c>
      <c r="Y391" s="105" t="s">
        <v>206</v>
      </c>
      <c r="Z391" s="105"/>
      <c r="AA391" s="105"/>
      <c r="AB391" s="105"/>
      <c r="AC391" s="105"/>
      <c r="AD391" s="105" t="s">
        <v>206</v>
      </c>
      <c r="AE391" s="52">
        <v>45268</v>
      </c>
      <c r="AF391" s="277" t="s">
        <v>206</v>
      </c>
      <c r="AG391" s="52">
        <v>45092</v>
      </c>
      <c r="AH391" s="52">
        <v>45471</v>
      </c>
      <c r="AI391" s="52">
        <v>45268</v>
      </c>
      <c r="AJ391" s="52">
        <v>45586</v>
      </c>
      <c r="AK391" s="52" t="s">
        <v>206</v>
      </c>
      <c r="AL391" s="535"/>
      <c r="AM391" s="621"/>
      <c r="AO391" s="621"/>
      <c r="AP391" s="1315"/>
    </row>
    <row r="392" spans="1:42" ht="15.6" hidden="1" x14ac:dyDescent="0.25">
      <c r="A392" s="1421">
        <v>310</v>
      </c>
      <c r="B392" s="1429">
        <v>30376</v>
      </c>
      <c r="C392" s="227" t="s">
        <v>64</v>
      </c>
      <c r="D392" s="20" t="s">
        <v>1060</v>
      </c>
      <c r="E392" s="20" t="s">
        <v>1206</v>
      </c>
      <c r="F392" s="103" t="s">
        <v>863</v>
      </c>
      <c r="G392" s="103" t="s">
        <v>13</v>
      </c>
      <c r="H392" s="1316">
        <v>44890</v>
      </c>
      <c r="I392" s="103"/>
      <c r="J392" s="3" t="s">
        <v>58</v>
      </c>
      <c r="O392" s="106">
        <v>45665</v>
      </c>
      <c r="P392" s="106">
        <v>45665</v>
      </c>
      <c r="Q392" s="105" t="s">
        <v>75</v>
      </c>
      <c r="R392" s="105" t="s">
        <v>68</v>
      </c>
      <c r="S392" s="105" t="s">
        <v>63</v>
      </c>
      <c r="T392" s="105" t="s">
        <v>206</v>
      </c>
      <c r="U392" s="105" t="s">
        <v>63</v>
      </c>
      <c r="V392" s="51" t="s">
        <v>63</v>
      </c>
      <c r="W392" s="105" t="s">
        <v>63</v>
      </c>
      <c r="X392" s="105" t="s">
        <v>206</v>
      </c>
      <c r="Y392" s="105" t="s">
        <v>206</v>
      </c>
      <c r="Z392" s="105"/>
      <c r="AA392" s="105"/>
      <c r="AB392" s="105"/>
      <c r="AC392" s="105"/>
      <c r="AD392" s="105" t="s">
        <v>981</v>
      </c>
      <c r="AE392" s="52">
        <v>45269</v>
      </c>
      <c r="AF392" s="277" t="s">
        <v>206</v>
      </c>
      <c r="AG392" s="52">
        <v>45153</v>
      </c>
      <c r="AH392" s="52">
        <v>45477</v>
      </c>
      <c r="AI392" s="52">
        <v>45269</v>
      </c>
      <c r="AJ392" s="52">
        <v>45559</v>
      </c>
      <c r="AK392" s="52" t="s">
        <v>206</v>
      </c>
      <c r="AL392" s="535">
        <v>45665</v>
      </c>
      <c r="AM392" s="621"/>
      <c r="AO392" s="621"/>
      <c r="AP392" s="1315"/>
    </row>
    <row r="393" spans="1:42" ht="15.6" hidden="1" x14ac:dyDescent="0.25">
      <c r="A393" s="1422"/>
      <c r="B393" s="1430"/>
      <c r="C393" s="227" t="s">
        <v>54</v>
      </c>
      <c r="D393" s="20" t="s">
        <v>1061</v>
      </c>
      <c r="E393" s="20" t="s">
        <v>1206</v>
      </c>
      <c r="F393" s="103" t="s">
        <v>863</v>
      </c>
      <c r="G393" s="103" t="s">
        <v>13</v>
      </c>
      <c r="H393" s="1316">
        <v>44890</v>
      </c>
      <c r="I393" s="103"/>
      <c r="J393" s="3" t="s">
        <v>58</v>
      </c>
      <c r="O393" s="106">
        <v>45665</v>
      </c>
      <c r="P393" s="106">
        <v>45665</v>
      </c>
      <c r="Q393" s="105" t="s">
        <v>75</v>
      </c>
      <c r="R393" s="105" t="s">
        <v>62</v>
      </c>
      <c r="S393" s="105" t="s">
        <v>63</v>
      </c>
      <c r="T393" s="105" t="s">
        <v>206</v>
      </c>
      <c r="U393" s="105" t="s">
        <v>63</v>
      </c>
      <c r="V393" s="51" t="s">
        <v>63</v>
      </c>
      <c r="W393" s="105" t="s">
        <v>63</v>
      </c>
      <c r="X393" s="105" t="s">
        <v>206</v>
      </c>
      <c r="Y393" s="105" t="s">
        <v>206</v>
      </c>
      <c r="Z393" s="105"/>
      <c r="AA393" s="105"/>
      <c r="AB393" s="105"/>
      <c r="AC393" s="105"/>
      <c r="AD393" s="105" t="s">
        <v>604</v>
      </c>
      <c r="AE393" s="52">
        <v>45269</v>
      </c>
      <c r="AF393" s="277" t="s">
        <v>206</v>
      </c>
      <c r="AG393" s="52">
        <v>45153</v>
      </c>
      <c r="AH393" s="52">
        <v>45477</v>
      </c>
      <c r="AI393" s="52">
        <v>45269</v>
      </c>
      <c r="AJ393" s="52">
        <v>45559</v>
      </c>
      <c r="AK393" s="52" t="s">
        <v>206</v>
      </c>
      <c r="AL393" s="535">
        <v>45665</v>
      </c>
      <c r="AM393" s="621"/>
      <c r="AO393" s="621"/>
      <c r="AP393" s="1315"/>
    </row>
    <row r="394" spans="1:42" hidden="1" x14ac:dyDescent="0.25">
      <c r="A394" s="1411">
        <v>311</v>
      </c>
      <c r="B394" s="1412">
        <v>30234</v>
      </c>
      <c r="C394" s="329" t="s">
        <v>64</v>
      </c>
      <c r="D394" s="20" t="s">
        <v>1213</v>
      </c>
      <c r="E394" s="20" t="s">
        <v>1206</v>
      </c>
      <c r="F394" s="345" t="s">
        <v>863</v>
      </c>
      <c r="G394" s="345" t="s">
        <v>13</v>
      </c>
      <c r="H394" s="342">
        <v>45580</v>
      </c>
      <c r="I394" s="1150"/>
      <c r="J394" s="525" t="s">
        <v>58</v>
      </c>
      <c r="K394" s="865">
        <v>45693</v>
      </c>
      <c r="O394" s="1391">
        <v>45693</v>
      </c>
      <c r="P394" s="3" t="s">
        <v>1214</v>
      </c>
      <c r="Q394" s="343" t="s">
        <v>75</v>
      </c>
      <c r="R394" s="3" t="s">
        <v>63</v>
      </c>
      <c r="S394" s="3" t="s">
        <v>1214</v>
      </c>
      <c r="T394" s="3" t="s">
        <v>63</v>
      </c>
      <c r="U394" s="3" t="s">
        <v>63</v>
      </c>
      <c r="V394" s="3" t="s">
        <v>63</v>
      </c>
      <c r="W394" s="3" t="s">
        <v>1215</v>
      </c>
      <c r="X394" s="3" t="s">
        <v>206</v>
      </c>
      <c r="Y394" s="1150"/>
      <c r="Z394" s="1150"/>
      <c r="AA394" s="3"/>
      <c r="AB394" s="1150"/>
      <c r="AC394" s="3" t="s">
        <v>63</v>
      </c>
      <c r="AD394" s="3" t="s">
        <v>63</v>
      </c>
      <c r="AE394" s="3" t="s">
        <v>206</v>
      </c>
      <c r="AF394" s="52">
        <v>45580</v>
      </c>
      <c r="AG394" s="52">
        <v>45580</v>
      </c>
      <c r="AH394" s="3" t="s">
        <v>206</v>
      </c>
      <c r="AI394" s="52">
        <v>45570</v>
      </c>
      <c r="AJ394" s="3" t="s">
        <v>1116</v>
      </c>
      <c r="AK394" s="3"/>
      <c r="AL394" s="3"/>
      <c r="AM394" s="3"/>
    </row>
    <row r="395" spans="1:42" hidden="1" x14ac:dyDescent="0.25">
      <c r="A395" s="1411"/>
      <c r="B395" s="1413"/>
      <c r="C395" s="329" t="s">
        <v>54</v>
      </c>
      <c r="D395" s="20" t="s">
        <v>1216</v>
      </c>
      <c r="E395" s="20" t="s">
        <v>1206</v>
      </c>
      <c r="F395" s="345" t="s">
        <v>863</v>
      </c>
      <c r="G395" s="345" t="s">
        <v>13</v>
      </c>
      <c r="H395" s="342">
        <v>45580</v>
      </c>
      <c r="I395" s="1150"/>
      <c r="J395" s="525" t="s">
        <v>58</v>
      </c>
      <c r="K395" s="343">
        <v>45693</v>
      </c>
      <c r="O395" s="68">
        <v>45693</v>
      </c>
      <c r="P395" s="3" t="s">
        <v>1214</v>
      </c>
      <c r="Q395" s="343" t="s">
        <v>75</v>
      </c>
      <c r="R395" s="3" t="s">
        <v>63</v>
      </c>
      <c r="S395" s="3" t="s">
        <v>1214</v>
      </c>
      <c r="T395" s="3" t="s">
        <v>63</v>
      </c>
      <c r="U395" s="3" t="s">
        <v>63</v>
      </c>
      <c r="V395" s="3" t="s">
        <v>63</v>
      </c>
      <c r="W395" s="310" t="s">
        <v>75</v>
      </c>
      <c r="X395" s="3" t="s">
        <v>206</v>
      </c>
      <c r="Y395" s="1150"/>
      <c r="Z395" s="1150"/>
      <c r="AA395" s="3"/>
      <c r="AB395" s="1150"/>
      <c r="AC395" s="3" t="s">
        <v>63</v>
      </c>
      <c r="AD395" s="3" t="s">
        <v>63</v>
      </c>
      <c r="AE395" s="3" t="s">
        <v>206</v>
      </c>
      <c r="AF395" s="52">
        <v>45580</v>
      </c>
      <c r="AG395" s="52">
        <v>45580</v>
      </c>
      <c r="AH395" s="3" t="s">
        <v>206</v>
      </c>
      <c r="AI395" s="52">
        <v>45570</v>
      </c>
      <c r="AJ395" s="3" t="s">
        <v>1116</v>
      </c>
      <c r="AK395" s="3"/>
      <c r="AL395" s="3"/>
      <c r="AM395" s="3"/>
    </row>
    <row r="396" spans="1:42" hidden="1" x14ac:dyDescent="0.25">
      <c r="A396" s="1411">
        <v>312</v>
      </c>
      <c r="B396" s="1414">
        <v>30440</v>
      </c>
      <c r="C396" s="329" t="s">
        <v>64</v>
      </c>
      <c r="D396" s="3" t="s">
        <v>1217</v>
      </c>
      <c r="E396" s="20" t="s">
        <v>1206</v>
      </c>
      <c r="F396" s="345" t="s">
        <v>863</v>
      </c>
      <c r="G396" s="345" t="s">
        <v>13</v>
      </c>
      <c r="H396" s="52">
        <v>45685</v>
      </c>
      <c r="I396" s="3"/>
      <c r="J396" s="525" t="s">
        <v>58</v>
      </c>
      <c r="K396" s="3"/>
      <c r="O396" s="3" t="s">
        <v>1218</v>
      </c>
      <c r="P396" s="3" t="s">
        <v>1214</v>
      </c>
      <c r="Q396" s="343" t="s">
        <v>75</v>
      </c>
      <c r="R396" s="3" t="s">
        <v>63</v>
      </c>
      <c r="S396" s="3" t="s">
        <v>1214</v>
      </c>
      <c r="T396" s="3" t="s">
        <v>63</v>
      </c>
      <c r="U396" s="3" t="s">
        <v>63</v>
      </c>
      <c r="V396" s="3" t="s">
        <v>75</v>
      </c>
      <c r="W396" s="310" t="s">
        <v>75</v>
      </c>
      <c r="X396" s="3" t="s">
        <v>206</v>
      </c>
      <c r="Y396" s="3"/>
      <c r="Z396" s="3"/>
      <c r="AA396" s="3" t="s">
        <v>91</v>
      </c>
      <c r="AB396" s="3"/>
      <c r="AC396" s="3" t="s">
        <v>63</v>
      </c>
      <c r="AD396" s="3" t="s">
        <v>75</v>
      </c>
      <c r="AE396" s="3" t="s">
        <v>1219</v>
      </c>
      <c r="AF396" s="3"/>
      <c r="AG396" s="52">
        <v>45682</v>
      </c>
      <c r="AH396" s="3" t="s">
        <v>206</v>
      </c>
      <c r="AI396" s="3"/>
      <c r="AJ396" s="3"/>
      <c r="AK396" s="3"/>
      <c r="AL396" s="3"/>
      <c r="AM396" s="3"/>
    </row>
    <row r="397" spans="1:42" hidden="1" x14ac:dyDescent="0.25">
      <c r="A397" s="1411"/>
      <c r="B397" s="1415"/>
      <c r="C397" s="329" t="s">
        <v>54</v>
      </c>
      <c r="D397" s="3" t="s">
        <v>1220</v>
      </c>
      <c r="E397" s="20" t="s">
        <v>1206</v>
      </c>
      <c r="F397" s="345" t="s">
        <v>863</v>
      </c>
      <c r="G397" s="345" t="s">
        <v>13</v>
      </c>
      <c r="H397" s="52">
        <v>45685</v>
      </c>
      <c r="I397" s="3"/>
      <c r="J397" s="525" t="s">
        <v>58</v>
      </c>
      <c r="K397" s="3"/>
      <c r="O397" s="3" t="s">
        <v>1218</v>
      </c>
      <c r="P397" s="3" t="s">
        <v>1214</v>
      </c>
      <c r="Q397" s="343" t="s">
        <v>75</v>
      </c>
      <c r="R397" s="3" t="s">
        <v>63</v>
      </c>
      <c r="S397" s="3" t="s">
        <v>1214</v>
      </c>
      <c r="T397" s="3" t="s">
        <v>63</v>
      </c>
      <c r="U397" s="3" t="s">
        <v>63</v>
      </c>
      <c r="V397" s="3" t="s">
        <v>75</v>
      </c>
      <c r="W397" s="310" t="s">
        <v>75</v>
      </c>
      <c r="X397" s="3" t="s">
        <v>206</v>
      </c>
      <c r="Y397" s="3"/>
      <c r="Z397" s="3"/>
      <c r="AA397" s="3" t="s">
        <v>91</v>
      </c>
      <c r="AB397" s="3"/>
      <c r="AC397" s="3" t="s">
        <v>63</v>
      </c>
      <c r="AD397" s="3" t="s">
        <v>75</v>
      </c>
      <c r="AE397" s="3" t="s">
        <v>1219</v>
      </c>
      <c r="AF397" s="3"/>
      <c r="AG397" s="52">
        <v>45682</v>
      </c>
      <c r="AH397" s="3" t="s">
        <v>206</v>
      </c>
      <c r="AI397" s="3"/>
      <c r="AJ397" s="3"/>
      <c r="AK397" s="3"/>
      <c r="AL397" s="3"/>
      <c r="AM397" s="3"/>
    </row>
    <row r="398" spans="1:42" hidden="1" x14ac:dyDescent="0.25">
      <c r="A398" s="2">
        <v>313</v>
      </c>
      <c r="B398" s="1414">
        <v>30339</v>
      </c>
      <c r="C398" s="329" t="s">
        <v>64</v>
      </c>
      <c r="D398" s="3" t="s">
        <v>1221</v>
      </c>
      <c r="E398" s="20" t="s">
        <v>1206</v>
      </c>
      <c r="F398" s="345" t="s">
        <v>863</v>
      </c>
      <c r="G398" s="345" t="s">
        <v>13</v>
      </c>
      <c r="H398" s="52">
        <v>45696</v>
      </c>
      <c r="I398" s="3"/>
      <c r="J398" s="525" t="s">
        <v>58</v>
      </c>
      <c r="O398" s="3" t="s">
        <v>1218</v>
      </c>
      <c r="P398" s="3" t="s">
        <v>1214</v>
      </c>
      <c r="Q398" s="343" t="s">
        <v>75</v>
      </c>
      <c r="R398" s="3" t="s">
        <v>63</v>
      </c>
      <c r="S398" s="3" t="s">
        <v>1214</v>
      </c>
      <c r="T398" s="3" t="s">
        <v>63</v>
      </c>
      <c r="U398" s="3" t="s">
        <v>63</v>
      </c>
      <c r="V398" s="3" t="s">
        <v>75</v>
      </c>
      <c r="W398" s="310" t="s">
        <v>75</v>
      </c>
      <c r="X398" s="3" t="s">
        <v>206</v>
      </c>
      <c r="Y398" s="3"/>
      <c r="Z398" s="3"/>
      <c r="AA398" s="3" t="s">
        <v>91</v>
      </c>
      <c r="AB398" s="3"/>
      <c r="AC398" s="3" t="s">
        <v>63</v>
      </c>
      <c r="AD398" s="3" t="s">
        <v>75</v>
      </c>
      <c r="AE398" s="3" t="s">
        <v>1219</v>
      </c>
      <c r="AF398" s="3"/>
      <c r="AG398" s="52">
        <v>45695</v>
      </c>
      <c r="AH398" s="3" t="s">
        <v>206</v>
      </c>
      <c r="AI398" s="3"/>
      <c r="AJ398" s="3"/>
      <c r="AK398" s="3"/>
      <c r="AL398" s="3"/>
      <c r="AM398" s="3"/>
    </row>
    <row r="399" spans="1:42" hidden="1" x14ac:dyDescent="0.25">
      <c r="B399" s="1415"/>
      <c r="C399" s="329" t="s">
        <v>54</v>
      </c>
      <c r="D399" s="3" t="s">
        <v>1222</v>
      </c>
      <c r="E399" s="20" t="s">
        <v>1206</v>
      </c>
      <c r="F399" s="345" t="s">
        <v>863</v>
      </c>
      <c r="G399" s="345" t="s">
        <v>13</v>
      </c>
      <c r="H399" s="52">
        <v>45696</v>
      </c>
      <c r="I399" s="3"/>
      <c r="J399" s="525" t="s">
        <v>58</v>
      </c>
      <c r="O399" s="3" t="s">
        <v>1218</v>
      </c>
      <c r="P399" s="3" t="s">
        <v>1214</v>
      </c>
      <c r="Q399" s="343" t="s">
        <v>75</v>
      </c>
      <c r="R399" s="3" t="s">
        <v>63</v>
      </c>
      <c r="S399" s="3" t="s">
        <v>1214</v>
      </c>
      <c r="T399" s="3" t="s">
        <v>63</v>
      </c>
      <c r="U399" s="3" t="s">
        <v>63</v>
      </c>
      <c r="V399" s="3" t="s">
        <v>75</v>
      </c>
      <c r="W399" s="310" t="s">
        <v>75</v>
      </c>
      <c r="X399" s="3" t="s">
        <v>206</v>
      </c>
      <c r="Y399" s="3"/>
      <c r="Z399" s="3"/>
      <c r="AA399" s="3" t="s">
        <v>91</v>
      </c>
      <c r="AB399" s="3"/>
      <c r="AC399" s="3" t="s">
        <v>63</v>
      </c>
      <c r="AD399" s="3" t="s">
        <v>75</v>
      </c>
      <c r="AE399" s="3" t="s">
        <v>1219</v>
      </c>
      <c r="AF399" s="3"/>
      <c r="AG399" s="52">
        <v>45695</v>
      </c>
      <c r="AH399" s="3" t="s">
        <v>206</v>
      </c>
      <c r="AI399" s="3"/>
      <c r="AJ399" s="3"/>
      <c r="AK399" s="3"/>
      <c r="AL399" s="3"/>
      <c r="AM399" s="3"/>
    </row>
    <row r="400" spans="1:42" hidden="1" x14ac:dyDescent="0.25">
      <c r="A400" s="2">
        <v>314</v>
      </c>
      <c r="B400" s="1402">
        <v>39471</v>
      </c>
      <c r="C400" s="72" t="s">
        <v>64</v>
      </c>
      <c r="D400" s="3" t="s">
        <v>1223</v>
      </c>
      <c r="E400" s="3" t="s">
        <v>1224</v>
      </c>
      <c r="F400" s="2" t="s">
        <v>806</v>
      </c>
      <c r="G400" s="2" t="s">
        <v>13</v>
      </c>
      <c r="H400" s="647">
        <v>45825</v>
      </c>
      <c r="J400" s="2" t="s">
        <v>58</v>
      </c>
      <c r="O400" s="68" t="s">
        <v>1225</v>
      </c>
      <c r="P400" s="68" t="s">
        <v>1226</v>
      </c>
      <c r="Q400" s="61" t="s">
        <v>75</v>
      </c>
      <c r="R400" s="61" t="s">
        <v>75</v>
      </c>
      <c r="S400" s="61" t="s">
        <v>1226</v>
      </c>
      <c r="T400" s="61" t="s">
        <v>75</v>
      </c>
      <c r="U400" s="61" t="s">
        <v>121</v>
      </c>
      <c r="V400" s="61" t="s">
        <v>662</v>
      </c>
      <c r="W400" s="61" t="s">
        <v>1227</v>
      </c>
      <c r="X400" s="61" t="s">
        <v>1228</v>
      </c>
      <c r="Y400" s="61" t="s">
        <v>662</v>
      </c>
      <c r="AD400" s="61" t="s">
        <v>1227</v>
      </c>
      <c r="AE400" s="16" t="s">
        <v>1227</v>
      </c>
      <c r="AF400" s="16" t="s">
        <v>1228</v>
      </c>
      <c r="AG400" s="382">
        <v>45826</v>
      </c>
      <c r="AH400" s="382">
        <v>45826</v>
      </c>
      <c r="AI400" s="382">
        <v>45826</v>
      </c>
      <c r="AJ400" s="382">
        <v>45826</v>
      </c>
      <c r="AK400" s="24" t="s">
        <v>1225</v>
      </c>
      <c r="AL400" s="23" t="s">
        <v>1229</v>
      </c>
      <c r="AM400" s="143">
        <v>45826</v>
      </c>
    </row>
    <row r="401" spans="2:39" hidden="1" x14ac:dyDescent="0.25">
      <c r="B401" s="1402">
        <v>39471</v>
      </c>
      <c r="C401" s="72" t="s">
        <v>54</v>
      </c>
      <c r="D401" s="2" t="s">
        <v>1230</v>
      </c>
      <c r="E401" s="3" t="s">
        <v>1224</v>
      </c>
      <c r="F401" s="2" t="s">
        <v>806</v>
      </c>
      <c r="G401" s="2" t="s">
        <v>13</v>
      </c>
      <c r="H401" s="647">
        <v>45825</v>
      </c>
      <c r="J401" s="2" t="s">
        <v>58</v>
      </c>
      <c r="O401" s="68" t="s">
        <v>1225</v>
      </c>
      <c r="P401" s="68" t="s">
        <v>1226</v>
      </c>
      <c r="Q401" s="61" t="s">
        <v>75</v>
      </c>
      <c r="R401" s="61" t="s">
        <v>75</v>
      </c>
      <c r="S401" s="61" t="s">
        <v>1226</v>
      </c>
      <c r="T401" s="61" t="s">
        <v>75</v>
      </c>
      <c r="U401" s="61" t="s">
        <v>121</v>
      </c>
      <c r="V401" s="61" t="s">
        <v>662</v>
      </c>
      <c r="W401" s="61" t="s">
        <v>1227</v>
      </c>
      <c r="X401" s="61" t="s">
        <v>1228</v>
      </c>
      <c r="Y401" s="61" t="s">
        <v>662</v>
      </c>
      <c r="AD401" s="61" t="s">
        <v>1227</v>
      </c>
      <c r="AE401" s="16" t="s">
        <v>1227</v>
      </c>
      <c r="AF401" s="16" t="s">
        <v>1228</v>
      </c>
      <c r="AG401" s="382">
        <v>45826</v>
      </c>
      <c r="AH401" s="382">
        <v>45826</v>
      </c>
      <c r="AI401" s="382">
        <v>45826</v>
      </c>
      <c r="AJ401" s="382">
        <v>45826</v>
      </c>
      <c r="AK401" s="24" t="s">
        <v>1225</v>
      </c>
      <c r="AL401" s="23" t="s">
        <v>1229</v>
      </c>
      <c r="AM401" s="143">
        <v>45826</v>
      </c>
    </row>
  </sheetData>
  <autoFilter ref="A1:AR401" xr:uid="{46F9B4D5-C1B8-4D79-A352-D7ECFAE297F9}">
    <filterColumn colId="1">
      <filters>
        <filter val="30214"/>
      </filters>
    </filterColumn>
  </autoFilter>
  <mergeCells count="30">
    <mergeCell ref="A392:A393"/>
    <mergeCell ref="B392:B393"/>
    <mergeCell ref="A386:A387"/>
    <mergeCell ref="B386:B387"/>
    <mergeCell ref="A388:A389"/>
    <mergeCell ref="B388:B389"/>
    <mergeCell ref="A390:A391"/>
    <mergeCell ref="B390:B391"/>
    <mergeCell ref="A380:A381"/>
    <mergeCell ref="B380:B381"/>
    <mergeCell ref="A382:A383"/>
    <mergeCell ref="B382:B383"/>
    <mergeCell ref="A384:A385"/>
    <mergeCell ref="B384:B385"/>
    <mergeCell ref="A374:A375"/>
    <mergeCell ref="B374:B375"/>
    <mergeCell ref="A376:A377"/>
    <mergeCell ref="B376:B377"/>
    <mergeCell ref="A378:A379"/>
    <mergeCell ref="B378:B379"/>
    <mergeCell ref="A368:A369"/>
    <mergeCell ref="B368:B369"/>
    <mergeCell ref="B370:B371"/>
    <mergeCell ref="A372:A373"/>
    <mergeCell ref="B372:B373"/>
    <mergeCell ref="A394:A395"/>
    <mergeCell ref="B394:B395"/>
    <mergeCell ref="A396:A397"/>
    <mergeCell ref="B396:B397"/>
    <mergeCell ref="B398:B399"/>
  </mergeCells>
  <conditionalFormatting sqref="B2:B35 B44:B49 B58:B216">
    <cfRule type="duplicateValues" dxfId="1377" priority="9586"/>
  </conditionalFormatting>
  <conditionalFormatting sqref="B2:B35 B44:B49">
    <cfRule type="duplicateValues" dxfId="1376" priority="9536"/>
  </conditionalFormatting>
  <conditionalFormatting sqref="B61">
    <cfRule type="duplicateValues" dxfId="1375" priority="321"/>
  </conditionalFormatting>
  <conditionalFormatting sqref="B62:B65 B58:B60">
    <cfRule type="duplicateValues" dxfId="1374" priority="322"/>
  </conditionalFormatting>
  <conditionalFormatting sqref="B66:B70 B76:B94 B96:B153">
    <cfRule type="duplicateValues" dxfId="1373" priority="9503"/>
  </conditionalFormatting>
  <conditionalFormatting sqref="B71:B75">
    <cfRule type="duplicateValues" dxfId="1372" priority="319"/>
  </conditionalFormatting>
  <conditionalFormatting sqref="B95">
    <cfRule type="duplicateValues" dxfId="1371" priority="315"/>
  </conditionalFormatting>
  <conditionalFormatting sqref="B154:B176">
    <cfRule type="duplicateValues" dxfId="1370" priority="9497"/>
  </conditionalFormatting>
  <conditionalFormatting sqref="B177:B216">
    <cfRule type="duplicateValues" dxfId="1369" priority="9589"/>
  </conditionalFormatting>
  <conditionalFormatting sqref="B227:B232">
    <cfRule type="duplicateValues" dxfId="1368" priority="116"/>
    <cfRule type="duplicateValues" dxfId="1367" priority="115"/>
  </conditionalFormatting>
  <conditionalFormatting sqref="B243:B244">
    <cfRule type="duplicateValues" dxfId="1366" priority="112"/>
    <cfRule type="duplicateValues" dxfId="1365" priority="113"/>
  </conditionalFormatting>
  <conditionalFormatting sqref="B245:B246">
    <cfRule type="duplicateValues" dxfId="1364" priority="110"/>
    <cfRule type="duplicateValues" dxfId="1363" priority="109"/>
  </conditionalFormatting>
  <conditionalFormatting sqref="B247:B258">
    <cfRule type="duplicateValues" dxfId="1362" priority="108"/>
    <cfRule type="duplicateValues" dxfId="1361" priority="107"/>
  </conditionalFormatting>
  <conditionalFormatting sqref="B259:B268">
    <cfRule type="duplicateValues" dxfId="1360" priority="73"/>
    <cfRule type="duplicateValues" dxfId="1359" priority="72"/>
  </conditionalFormatting>
  <conditionalFormatting sqref="B269:B276">
    <cfRule type="duplicateValues" dxfId="1358" priority="9525"/>
  </conditionalFormatting>
  <conditionalFormatting sqref="B277:B284">
    <cfRule type="duplicateValues" dxfId="1357" priority="55"/>
  </conditionalFormatting>
  <conditionalFormatting sqref="B285:B286">
    <cfRule type="duplicateValues" dxfId="1356" priority="52"/>
  </conditionalFormatting>
  <conditionalFormatting sqref="B287:B288 B293:B298">
    <cfRule type="duplicateValues" dxfId="1355" priority="9526"/>
  </conditionalFormatting>
  <conditionalFormatting sqref="B289:B292">
    <cfRule type="duplicateValues" dxfId="1354" priority="50" stopIfTrue="1"/>
  </conditionalFormatting>
  <conditionalFormatting sqref="B317">
    <cfRule type="duplicateValues" dxfId="1353" priority="38"/>
  </conditionalFormatting>
  <conditionalFormatting sqref="B319:B324">
    <cfRule type="duplicateValues" dxfId="1352" priority="37"/>
  </conditionalFormatting>
  <conditionalFormatting sqref="B357:B366">
    <cfRule type="duplicateValues" dxfId="1351" priority="9642"/>
    <cfRule type="duplicateValues" dxfId="1350" priority="9650"/>
    <cfRule type="duplicateValues" dxfId="1349" priority="9649"/>
    <cfRule type="duplicateValues" dxfId="1348" priority="9648"/>
    <cfRule type="duplicateValues" dxfId="1347" priority="9647"/>
  </conditionalFormatting>
  <conditionalFormatting sqref="B372">
    <cfRule type="duplicateValues" dxfId="1346" priority="24"/>
    <cfRule type="duplicateValues" dxfId="1345" priority="25"/>
  </conditionalFormatting>
  <conditionalFormatting sqref="B374">
    <cfRule type="duplicateValues" dxfId="1344" priority="22"/>
    <cfRule type="duplicateValues" dxfId="1343" priority="23"/>
  </conditionalFormatting>
  <conditionalFormatting sqref="B376">
    <cfRule type="duplicateValues" dxfId="1342" priority="21"/>
    <cfRule type="duplicateValues" dxfId="1341" priority="20"/>
  </conditionalFormatting>
  <conditionalFormatting sqref="B378">
    <cfRule type="duplicateValues" dxfId="1340" priority="18"/>
    <cfRule type="duplicateValues" dxfId="1339" priority="17"/>
  </conditionalFormatting>
  <conditionalFormatting sqref="B380">
    <cfRule type="duplicateValues" dxfId="1338" priority="13"/>
    <cfRule type="duplicateValues" dxfId="1337" priority="14"/>
  </conditionalFormatting>
  <conditionalFormatting sqref="B382">
    <cfRule type="duplicateValues" dxfId="1336" priority="11"/>
    <cfRule type="duplicateValues" dxfId="1335" priority="12"/>
  </conditionalFormatting>
  <conditionalFormatting sqref="B384">
    <cfRule type="duplicateValues" dxfId="1334" priority="8"/>
    <cfRule type="duplicateValues" dxfId="1333" priority="9"/>
  </conditionalFormatting>
  <conditionalFormatting sqref="B386">
    <cfRule type="duplicateValues" dxfId="1332" priority="5"/>
    <cfRule type="duplicateValues" dxfId="1331" priority="6"/>
  </conditionalFormatting>
  <conditionalFormatting sqref="B388">
    <cfRule type="duplicateValues" dxfId="1330" priority="3"/>
    <cfRule type="duplicateValues" dxfId="1329" priority="4"/>
  </conditionalFormatting>
  <conditionalFormatting sqref="B390">
    <cfRule type="duplicateValues" dxfId="1328" priority="2"/>
  </conditionalFormatting>
  <conditionalFormatting sqref="B392">
    <cfRule type="duplicateValues" dxfId="1327" priority="1"/>
  </conditionalFormatting>
  <conditionalFormatting sqref="B301:C316 B217:B226 B233:B242 B299:B300 B327:C356 B367:C367 B369:C371 C368 B400:C1048576">
    <cfRule type="duplicateValues" dxfId="1326" priority="9490"/>
  </conditionalFormatting>
  <conditionalFormatting sqref="C299">
    <cfRule type="duplicateValues" dxfId="1325" priority="42"/>
  </conditionalFormatting>
  <conditionalFormatting sqref="C300">
    <cfRule type="duplicateValues" dxfId="1324" priority="41"/>
  </conditionalFormatting>
  <conditionalFormatting sqref="D2:D3">
    <cfRule type="duplicateValues" dxfId="1323" priority="413"/>
  </conditionalFormatting>
  <conditionalFormatting sqref="D4:D5">
    <cfRule type="duplicateValues" dxfId="1322" priority="412"/>
  </conditionalFormatting>
  <conditionalFormatting sqref="D6:D7">
    <cfRule type="duplicateValues" dxfId="1321" priority="411"/>
  </conditionalFormatting>
  <conditionalFormatting sqref="D8">
    <cfRule type="duplicateValues" dxfId="1320" priority="410"/>
  </conditionalFormatting>
  <conditionalFormatting sqref="D9">
    <cfRule type="duplicateValues" dxfId="1319" priority="9468"/>
  </conditionalFormatting>
  <conditionalFormatting sqref="D10:D11">
    <cfRule type="duplicateValues" dxfId="1318" priority="120"/>
  </conditionalFormatting>
  <conditionalFormatting sqref="D12">
    <cfRule type="duplicateValues" dxfId="1317" priority="407"/>
  </conditionalFormatting>
  <conditionalFormatting sqref="D13:D14">
    <cfRule type="duplicateValues" dxfId="1316" priority="406"/>
  </conditionalFormatting>
  <conditionalFormatting sqref="D15:D16">
    <cfRule type="duplicateValues" dxfId="1315" priority="405"/>
  </conditionalFormatting>
  <conditionalFormatting sqref="D17:D18">
    <cfRule type="duplicateValues" dxfId="1314" priority="404"/>
  </conditionalFormatting>
  <conditionalFormatting sqref="D19:D20">
    <cfRule type="duplicateValues" dxfId="1313" priority="403"/>
  </conditionalFormatting>
  <conditionalFormatting sqref="D21">
    <cfRule type="duplicateValues" dxfId="1312" priority="402"/>
  </conditionalFormatting>
  <conditionalFormatting sqref="D22">
    <cfRule type="duplicateValues" dxfId="1311" priority="401"/>
  </conditionalFormatting>
  <conditionalFormatting sqref="D23:D24">
    <cfRule type="duplicateValues" dxfId="1310" priority="400"/>
  </conditionalFormatting>
  <conditionalFormatting sqref="D25:D26">
    <cfRule type="duplicateValues" dxfId="1309" priority="399"/>
  </conditionalFormatting>
  <conditionalFormatting sqref="D28">
    <cfRule type="duplicateValues" dxfId="1308" priority="477"/>
  </conditionalFormatting>
  <conditionalFormatting sqref="D28:D29">
    <cfRule type="duplicateValues" dxfId="1307" priority="478"/>
  </conditionalFormatting>
  <conditionalFormatting sqref="D29">
    <cfRule type="duplicateValues" dxfId="1306" priority="476"/>
  </conditionalFormatting>
  <conditionalFormatting sqref="D30">
    <cfRule type="duplicateValues" dxfId="1305" priority="474"/>
  </conditionalFormatting>
  <conditionalFormatting sqref="D30:D31">
    <cfRule type="duplicateValues" dxfId="1304" priority="475"/>
  </conditionalFormatting>
  <conditionalFormatting sqref="D31">
    <cfRule type="duplicateValues" dxfId="1303" priority="473"/>
  </conditionalFormatting>
  <conditionalFormatting sqref="D32">
    <cfRule type="duplicateValues" dxfId="1302" priority="471"/>
  </conditionalFormatting>
  <conditionalFormatting sqref="D32:D33">
    <cfRule type="duplicateValues" dxfId="1301" priority="472"/>
  </conditionalFormatting>
  <conditionalFormatting sqref="D33">
    <cfRule type="duplicateValues" dxfId="1300" priority="470"/>
  </conditionalFormatting>
  <conditionalFormatting sqref="D41">
    <cfRule type="duplicateValues" dxfId="1299" priority="398"/>
  </conditionalFormatting>
  <conditionalFormatting sqref="D54">
    <cfRule type="duplicateValues" dxfId="1298" priority="459"/>
  </conditionalFormatting>
  <conditionalFormatting sqref="D54:D55">
    <cfRule type="duplicateValues" dxfId="1297" priority="460"/>
  </conditionalFormatting>
  <conditionalFormatting sqref="D55">
    <cfRule type="duplicateValues" dxfId="1296" priority="458"/>
  </conditionalFormatting>
  <conditionalFormatting sqref="D62">
    <cfRule type="duplicateValues" dxfId="1295" priority="457"/>
  </conditionalFormatting>
  <conditionalFormatting sqref="D63">
    <cfRule type="duplicateValues" dxfId="1294" priority="456"/>
  </conditionalFormatting>
  <conditionalFormatting sqref="D70">
    <cfRule type="duplicateValues" dxfId="1293" priority="454"/>
  </conditionalFormatting>
  <conditionalFormatting sqref="D71">
    <cfRule type="duplicateValues" dxfId="1292" priority="455"/>
  </conditionalFormatting>
  <conditionalFormatting sqref="D74:D75">
    <cfRule type="duplicateValues" dxfId="1291" priority="397"/>
  </conditionalFormatting>
  <conditionalFormatting sqref="D77">
    <cfRule type="duplicateValues" dxfId="1290" priority="396"/>
  </conditionalFormatting>
  <conditionalFormatting sqref="D78">
    <cfRule type="duplicateValues" dxfId="1289" priority="395"/>
  </conditionalFormatting>
  <conditionalFormatting sqref="D92">
    <cfRule type="duplicateValues" dxfId="1288" priority="394"/>
  </conditionalFormatting>
  <conditionalFormatting sqref="D93">
    <cfRule type="duplicateValues" dxfId="1287" priority="393"/>
  </conditionalFormatting>
  <conditionalFormatting sqref="D98">
    <cfRule type="duplicateValues" dxfId="1286" priority="390"/>
  </conditionalFormatting>
  <conditionalFormatting sqref="D103:D104">
    <cfRule type="duplicateValues" dxfId="1285" priority="417"/>
  </conditionalFormatting>
  <conditionalFormatting sqref="D105 D107">
    <cfRule type="duplicateValues" dxfId="1284" priority="416"/>
  </conditionalFormatting>
  <conditionalFormatting sqref="D106">
    <cfRule type="duplicateValues" dxfId="1283" priority="389"/>
  </conditionalFormatting>
  <conditionalFormatting sqref="D122:D123">
    <cfRule type="duplicateValues" dxfId="1282" priority="388"/>
  </conditionalFormatting>
  <conditionalFormatting sqref="D130">
    <cfRule type="duplicateValues" dxfId="1281" priority="481"/>
  </conditionalFormatting>
  <conditionalFormatting sqref="D130:D131">
    <cfRule type="duplicateValues" dxfId="1280" priority="480"/>
  </conditionalFormatting>
  <conditionalFormatting sqref="D131">
    <cfRule type="duplicateValues" dxfId="1279" priority="482"/>
  </conditionalFormatting>
  <conditionalFormatting sqref="D134">
    <cfRule type="duplicateValues" dxfId="1278" priority="387"/>
  </conditionalFormatting>
  <conditionalFormatting sqref="D146">
    <cfRule type="duplicateValues" dxfId="1277" priority="386"/>
  </conditionalFormatting>
  <conditionalFormatting sqref="D148">
    <cfRule type="duplicateValues" dxfId="1276" priority="9509"/>
  </conditionalFormatting>
  <conditionalFormatting sqref="D180:D182">
    <cfRule type="duplicateValues" dxfId="1275" priority="485"/>
  </conditionalFormatting>
  <conditionalFormatting sqref="D183:D185">
    <cfRule type="duplicateValues" dxfId="1274" priority="9489"/>
  </conditionalFormatting>
  <conditionalFormatting sqref="D202">
    <cfRule type="duplicateValues" dxfId="1273" priority="383"/>
  </conditionalFormatting>
  <conditionalFormatting sqref="D227:D232">
    <cfRule type="duplicateValues" dxfId="1272" priority="114"/>
  </conditionalFormatting>
  <conditionalFormatting sqref="D245">
    <cfRule type="duplicateValues" dxfId="1271" priority="111"/>
  </conditionalFormatting>
  <conditionalFormatting sqref="D259:D260">
    <cfRule type="duplicateValues" dxfId="1270" priority="71"/>
  </conditionalFormatting>
  <conditionalFormatting sqref="D262">
    <cfRule type="duplicateValues" dxfId="1269" priority="64"/>
  </conditionalFormatting>
  <conditionalFormatting sqref="D262:D263">
    <cfRule type="duplicateValues" dxfId="1268" priority="63"/>
  </conditionalFormatting>
  <conditionalFormatting sqref="D263">
    <cfRule type="duplicateValues" dxfId="1267" priority="65"/>
  </conditionalFormatting>
  <conditionalFormatting sqref="D264">
    <cfRule type="duplicateValues" dxfId="1266" priority="67"/>
  </conditionalFormatting>
  <conditionalFormatting sqref="D264:D265">
    <cfRule type="duplicateValues" dxfId="1265" priority="66"/>
  </conditionalFormatting>
  <conditionalFormatting sqref="D265">
    <cfRule type="duplicateValues" dxfId="1264" priority="68"/>
  </conditionalFormatting>
  <conditionalFormatting sqref="D266 D268">
    <cfRule type="duplicateValues" dxfId="1263" priority="69"/>
    <cfRule type="duplicateValues" dxfId="1262" priority="70"/>
  </conditionalFormatting>
  <conditionalFormatting sqref="D267">
    <cfRule type="duplicateValues" dxfId="1261" priority="61"/>
    <cfRule type="duplicateValues" dxfId="1260" priority="62"/>
  </conditionalFormatting>
  <conditionalFormatting sqref="D275">
    <cfRule type="duplicateValues" dxfId="1259" priority="57"/>
  </conditionalFormatting>
  <conditionalFormatting sqref="D275:D276">
    <cfRule type="duplicateValues" dxfId="1258" priority="58"/>
  </conditionalFormatting>
  <conditionalFormatting sqref="D276">
    <cfRule type="duplicateValues" dxfId="1257" priority="56"/>
  </conditionalFormatting>
  <conditionalFormatting sqref="D281">
    <cfRule type="duplicateValues" dxfId="1256" priority="54"/>
  </conditionalFormatting>
  <conditionalFormatting sqref="D282">
    <cfRule type="duplicateValues" dxfId="1255" priority="53"/>
  </conditionalFormatting>
  <conditionalFormatting sqref="D287">
    <cfRule type="duplicateValues" dxfId="1254" priority="46"/>
  </conditionalFormatting>
  <conditionalFormatting sqref="D288">
    <cfRule type="duplicateValues" dxfId="1253" priority="47"/>
  </conditionalFormatting>
  <conditionalFormatting sqref="D291:D292">
    <cfRule type="duplicateValues" dxfId="1252" priority="45"/>
  </conditionalFormatting>
  <conditionalFormatting sqref="D294">
    <cfRule type="duplicateValues" dxfId="1251" priority="44"/>
  </conditionalFormatting>
  <conditionalFormatting sqref="D295">
    <cfRule type="duplicateValues" dxfId="1250" priority="43"/>
  </conditionalFormatting>
  <conditionalFormatting sqref="D325:D326">
    <cfRule type="duplicateValues" dxfId="1249" priority="36"/>
    <cfRule type="duplicateValues" dxfId="1248" priority="35"/>
  </conditionalFormatting>
  <conditionalFormatting sqref="D357">
    <cfRule type="duplicateValues" dxfId="1247" priority="27"/>
  </conditionalFormatting>
  <conditionalFormatting sqref="D358">
    <cfRule type="duplicateValues" dxfId="1246" priority="26"/>
  </conditionalFormatting>
  <conditionalFormatting sqref="D376:D377">
    <cfRule type="duplicateValues" dxfId="1245" priority="19"/>
  </conditionalFormatting>
  <conditionalFormatting sqref="D378">
    <cfRule type="duplicateValues" dxfId="1244" priority="15"/>
  </conditionalFormatting>
  <conditionalFormatting sqref="D378:D379">
    <cfRule type="duplicateValues" dxfId="1243" priority="16"/>
  </conditionalFormatting>
  <conditionalFormatting sqref="D382:D383">
    <cfRule type="duplicateValues" dxfId="1242" priority="10"/>
  </conditionalFormatting>
  <conditionalFormatting sqref="D384:D385">
    <cfRule type="duplicateValues" dxfId="1241" priority="7"/>
  </conditionalFormatting>
  <dataValidations count="2">
    <dataValidation type="list" allowBlank="1" showInputMessage="1" showErrorMessage="1" sqref="AF162:AF163 S213:S214 X179:X185 Y180:AA185 AJ34:AK37 AE40:AF41 R287:R290 AD357:AD366 AD2:AD37 Q191:R212 AD191:AD202 S191:S210 AD142:AD143 T191:U211 AK199:AK200 W247:W258 AE22 W144:X144 T170:T171 Y70:Y75 AE120 AF227:AF228 AJ203:AK204 AF199:AF214 AL14:AL15 AE46:AF47 AH214 AD177 AA253:AA254 AF34:AF35 Q60:U61 W60:AA61 Q2:AA59 AI199:AI200 AH16:AI17 AK14 AD130:AE131 R176:R177 Q180:W185 W191:W212 Q227:AA232 AD227:AD232 R247:R252 AF235:AF236 R255:R258 X247:X252 AD247:AD254 AI213:AK214 AI193:AK194 W72:W75 AD148:AD149 Y174:Y175 R170:R173 AI235:AJ236 T174:T175 AL195:AL196 AL22:AL23 AF10:AF25 R217:R226 AK16:AK17 AI195:AJ196 AL58:AL61 R269:R284 Q166:Q167 S166:S167 V166:V167 X166:X167 AF166:AF167 AJ8:AJ19 AE14:AE18 V76:V77 T247:V252 U253:U258 V191:V210 X191:X210 R76:R79 AJ32:AJ33 AJ22:AJ25 AH203:AH204 AI22:AI23 AF231:AF232 AD235:AD236 R134:R135 AD120:AD121 AJ197:AJ202 Y191:AA212 AH44:AH45 R317:R324 AF191:AF196 AI46:AJ47 AD40:AD47 AD50:AD61 AF58:AF59 AK58:AK59 AI58:AI60 R390:R393 AJ58:AJ61 AF347:AF356 AE182:AE185 AF327:AF328 Q213:Q216 R213:R215 T124:T143 T76:U79 T80:T121 T213:AA216 T299:T300 T357:T366 AD132:AD133 AD209:AD216 AD299:AD300 AD180:AD185 AF180:AF185 AE193:AE196 AE200:AE207 AE211:AE212 AE215:AE216 W372:W375 AL18:AL19" xr:uid="{7953596F-0253-47C2-BD32-4B260B9307B2}">
      <formula1>"Conv-A DONE,Conv-B DONE"</formula1>
    </dataValidation>
    <dataValidation type="list" allowBlank="1" showInputMessage="1" showErrorMessage="1" sqref="J1:J1048576" xr:uid="{D435F84B-BF04-4F2C-804B-EE7D26EE75BE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CE01-5DAF-45E6-A51C-0B33CED3E834}">
  <dimension ref="A3:V14"/>
  <sheetViews>
    <sheetView topLeftCell="K1" workbookViewId="0">
      <selection activeCell="Q6" sqref="Q6"/>
    </sheetView>
  </sheetViews>
  <sheetFormatPr defaultColWidth="19.5546875" defaultRowHeight="13.2" x14ac:dyDescent="0.25"/>
  <cols>
    <col min="1" max="1" width="15.5546875" bestFit="1" customWidth="1"/>
    <col min="2" max="2" width="4.33203125" bestFit="1" customWidth="1"/>
    <col min="3" max="3" width="7.44140625" bestFit="1" customWidth="1"/>
    <col min="4" max="4" width="9.6640625" bestFit="1" customWidth="1"/>
    <col min="5" max="5" width="23.88671875" bestFit="1" customWidth="1"/>
    <col min="6" max="6" width="21.5546875" bestFit="1" customWidth="1"/>
    <col min="7" max="7" width="9.88671875" bestFit="1" customWidth="1"/>
    <col min="8" max="8" width="8.21875" bestFit="1" customWidth="1"/>
    <col min="9" max="9" width="16.44140625" bestFit="1" customWidth="1"/>
    <col min="10" max="10" width="9.5546875" bestFit="1" customWidth="1"/>
    <col min="11" max="11" width="36.109375" bestFit="1" customWidth="1"/>
    <col min="12" max="12" width="5.44140625" bestFit="1" customWidth="1"/>
    <col min="13" max="13" width="7.5546875" bestFit="1" customWidth="1"/>
    <col min="14" max="14" width="5.33203125" bestFit="1" customWidth="1"/>
    <col min="15" max="15" width="8.88671875" bestFit="1" customWidth="1"/>
    <col min="16" max="16" width="22.44140625" bestFit="1" customWidth="1"/>
    <col min="17" max="17" width="23.21875" bestFit="1" customWidth="1"/>
    <col min="18" max="18" width="24.21875" bestFit="1" customWidth="1"/>
    <col min="19" max="19" width="8.5546875" bestFit="1" customWidth="1"/>
    <col min="20" max="20" width="11.33203125" bestFit="1" customWidth="1"/>
    <col min="21" max="21" width="45.33203125" bestFit="1" customWidth="1"/>
  </cols>
  <sheetData>
    <row r="3" spans="1:22" s="18" customFormat="1" ht="12.75" customHeight="1" x14ac:dyDescent="0.25">
      <c r="A3" s="643" t="s">
        <v>472</v>
      </c>
      <c r="B3" s="18" t="s">
        <v>473</v>
      </c>
      <c r="C3" s="18" t="s">
        <v>474</v>
      </c>
      <c r="D3" s="18" t="s">
        <v>475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487</v>
      </c>
      <c r="Q3" s="18" t="s">
        <v>488</v>
      </c>
      <c r="R3" s="18" t="s">
        <v>489</v>
      </c>
      <c r="S3" s="18" t="s">
        <v>490</v>
      </c>
      <c r="T3" s="18" t="s">
        <v>491</v>
      </c>
      <c r="U3" s="3" t="s">
        <v>1231</v>
      </c>
    </row>
    <row r="4" spans="1:22" s="3" customFormat="1" x14ac:dyDescent="0.25">
      <c r="A4" s="3" t="s">
        <v>1035</v>
      </c>
      <c r="B4" s="1448">
        <v>18</v>
      </c>
      <c r="C4" s="1448">
        <v>2</v>
      </c>
      <c r="D4" s="1448">
        <v>2</v>
      </c>
      <c r="E4" s="1448"/>
      <c r="F4" s="1448">
        <v>14</v>
      </c>
      <c r="G4" s="1448">
        <v>16</v>
      </c>
      <c r="H4" s="1448">
        <v>10</v>
      </c>
      <c r="I4" s="1448">
        <v>4</v>
      </c>
      <c r="J4" s="1448">
        <v>14</v>
      </c>
      <c r="K4" s="1448">
        <v>10</v>
      </c>
      <c r="L4" s="1448"/>
      <c r="M4" s="1448">
        <v>16</v>
      </c>
      <c r="N4" s="1448"/>
      <c r="O4" s="1448">
        <v>16</v>
      </c>
      <c r="P4" s="1448">
        <v>16</v>
      </c>
      <c r="Q4" s="1448">
        <v>16</v>
      </c>
      <c r="R4" s="1448">
        <v>12</v>
      </c>
      <c r="S4" s="1448">
        <v>14</v>
      </c>
      <c r="T4" s="1448"/>
      <c r="U4" s="1448">
        <v>2</v>
      </c>
    </row>
    <row r="5" spans="1:22" s="3" customFormat="1" x14ac:dyDescent="0.25">
      <c r="A5" s="3" t="s">
        <v>989</v>
      </c>
      <c r="B5" s="1448">
        <v>12</v>
      </c>
      <c r="C5" s="1448">
        <v>8</v>
      </c>
      <c r="D5" s="1448">
        <v>10</v>
      </c>
      <c r="E5" s="1448">
        <v>10</v>
      </c>
      <c r="F5" s="1448">
        <v>12</v>
      </c>
      <c r="G5" s="1448">
        <v>2</v>
      </c>
      <c r="H5" s="1448">
        <v>10</v>
      </c>
      <c r="I5" s="1448">
        <v>6</v>
      </c>
      <c r="J5" s="1448">
        <v>12</v>
      </c>
      <c r="K5" s="1448">
        <v>10</v>
      </c>
      <c r="L5" s="1448"/>
      <c r="M5" s="1448">
        <v>10</v>
      </c>
      <c r="N5" s="1448">
        <v>2</v>
      </c>
      <c r="O5" s="1448">
        <v>11</v>
      </c>
      <c r="P5" s="1448">
        <v>2</v>
      </c>
      <c r="Q5" s="1448">
        <v>12</v>
      </c>
      <c r="R5" s="1448">
        <v>12</v>
      </c>
      <c r="S5" s="1448">
        <v>10</v>
      </c>
      <c r="T5" s="1448"/>
      <c r="U5" s="1448">
        <v>12</v>
      </c>
      <c r="V5" s="3" t="s">
        <v>1232</v>
      </c>
    </row>
    <row r="6" spans="1:22" s="3" customFormat="1" x14ac:dyDescent="0.25">
      <c r="A6" s="3" t="s">
        <v>805</v>
      </c>
      <c r="B6" s="1448">
        <v>103</v>
      </c>
      <c r="C6" s="1448">
        <v>77</v>
      </c>
      <c r="D6" s="1448">
        <v>77</v>
      </c>
      <c r="E6" s="1448">
        <v>48</v>
      </c>
      <c r="F6" s="1448">
        <v>92</v>
      </c>
      <c r="G6" s="1448">
        <v>77</v>
      </c>
      <c r="H6" s="1448">
        <v>79</v>
      </c>
      <c r="I6" s="1448">
        <v>71</v>
      </c>
      <c r="J6" s="1448">
        <v>12</v>
      </c>
      <c r="K6" s="1448">
        <v>62</v>
      </c>
      <c r="L6" s="1448">
        <v>15</v>
      </c>
      <c r="M6" s="1448">
        <v>103</v>
      </c>
      <c r="N6" s="1448">
        <v>103</v>
      </c>
      <c r="O6" s="1448">
        <v>103</v>
      </c>
      <c r="P6" s="1448">
        <v>36</v>
      </c>
      <c r="Q6" s="1448">
        <v>91</v>
      </c>
      <c r="R6" s="1448">
        <v>94</v>
      </c>
      <c r="S6" s="1448">
        <v>84</v>
      </c>
      <c r="T6" s="1448">
        <v>62</v>
      </c>
      <c r="U6" s="1448">
        <v>88</v>
      </c>
    </row>
    <row r="7" spans="1:22" s="3" customFormat="1" x14ac:dyDescent="0.25">
      <c r="A7" s="3" t="s">
        <v>1224</v>
      </c>
      <c r="B7" s="1448">
        <v>2</v>
      </c>
      <c r="C7" s="1448"/>
      <c r="D7" s="1448"/>
      <c r="E7" s="1448">
        <v>2</v>
      </c>
      <c r="F7" s="1448">
        <v>2</v>
      </c>
      <c r="G7" s="1448">
        <v>2</v>
      </c>
      <c r="H7" s="1448">
        <v>2</v>
      </c>
      <c r="I7" s="1448">
        <v>2</v>
      </c>
      <c r="J7" s="1448">
        <v>2</v>
      </c>
      <c r="K7" s="1448">
        <v>2</v>
      </c>
      <c r="L7" s="1448"/>
      <c r="M7" s="1448">
        <v>2</v>
      </c>
      <c r="N7" s="1448">
        <v>2</v>
      </c>
      <c r="O7" s="1448">
        <v>2</v>
      </c>
      <c r="P7" s="1448">
        <v>2</v>
      </c>
      <c r="Q7" s="1448">
        <v>2</v>
      </c>
      <c r="R7" s="1448">
        <v>2</v>
      </c>
      <c r="S7" s="1448">
        <v>2</v>
      </c>
      <c r="T7" s="1448">
        <v>2</v>
      </c>
      <c r="U7" s="1448">
        <v>2</v>
      </c>
    </row>
    <row r="8" spans="1:22" s="58" customFormat="1" x14ac:dyDescent="0.25">
      <c r="A8" s="3" t="s">
        <v>932</v>
      </c>
      <c r="B8" s="1448">
        <v>18</v>
      </c>
      <c r="C8" s="1448">
        <v>4</v>
      </c>
      <c r="D8" s="1448">
        <v>6</v>
      </c>
      <c r="E8" s="1448">
        <v>6</v>
      </c>
      <c r="F8" s="1448">
        <v>18</v>
      </c>
      <c r="G8" s="1448"/>
      <c r="H8" s="1448">
        <v>16</v>
      </c>
      <c r="I8" s="1448">
        <v>16</v>
      </c>
      <c r="J8" s="1448">
        <v>16</v>
      </c>
      <c r="K8" s="1448">
        <v>12</v>
      </c>
      <c r="L8" s="1448"/>
      <c r="M8" s="1448">
        <v>18</v>
      </c>
      <c r="N8" s="1448">
        <v>12</v>
      </c>
      <c r="O8" s="1448">
        <v>18</v>
      </c>
      <c r="P8" s="1448">
        <v>12</v>
      </c>
      <c r="Q8" s="1448">
        <v>18</v>
      </c>
      <c r="R8" s="1448">
        <v>12</v>
      </c>
      <c r="S8" s="1448">
        <v>4</v>
      </c>
      <c r="T8" s="1448"/>
      <c r="U8" s="1448">
        <v>18</v>
      </c>
    </row>
    <row r="9" spans="1:22" s="58" customFormat="1" x14ac:dyDescent="0.25">
      <c r="A9" s="3" t="s">
        <v>660</v>
      </c>
      <c r="B9" s="1448">
        <v>78</v>
      </c>
      <c r="C9" s="1448">
        <v>62</v>
      </c>
      <c r="D9" s="1448">
        <v>56</v>
      </c>
      <c r="E9" s="1448">
        <v>29</v>
      </c>
      <c r="F9" s="1448">
        <v>78</v>
      </c>
      <c r="G9" s="1448">
        <v>78</v>
      </c>
      <c r="H9" s="1448">
        <v>78</v>
      </c>
      <c r="I9" s="1448">
        <v>62</v>
      </c>
      <c r="J9" s="1448">
        <v>5</v>
      </c>
      <c r="K9" s="1448">
        <v>40</v>
      </c>
      <c r="L9" s="1448">
        <v>28</v>
      </c>
      <c r="M9" s="1448">
        <v>78</v>
      </c>
      <c r="N9" s="1448">
        <v>11</v>
      </c>
      <c r="O9" s="1448">
        <v>55</v>
      </c>
      <c r="P9" s="1448">
        <v>78</v>
      </c>
      <c r="Q9" s="1448">
        <v>78</v>
      </c>
      <c r="R9" s="1448">
        <v>78</v>
      </c>
      <c r="S9" s="1448">
        <v>64</v>
      </c>
      <c r="T9" s="1448">
        <v>2</v>
      </c>
      <c r="U9" s="1448">
        <v>78</v>
      </c>
    </row>
    <row r="10" spans="1:22" s="58" customFormat="1" x14ac:dyDescent="0.25">
      <c r="A10" s="3" t="s">
        <v>828</v>
      </c>
      <c r="B10" s="1448">
        <v>18</v>
      </c>
      <c r="C10" s="1448">
        <v>6</v>
      </c>
      <c r="D10" s="1448">
        <v>4</v>
      </c>
      <c r="E10" s="1448">
        <v>2</v>
      </c>
      <c r="F10" s="1448">
        <v>4</v>
      </c>
      <c r="G10" s="1448">
        <v>8</v>
      </c>
      <c r="H10" s="1448">
        <v>8</v>
      </c>
      <c r="I10" s="1448">
        <v>8</v>
      </c>
      <c r="J10" s="1448">
        <v>8</v>
      </c>
      <c r="K10" s="1448">
        <v>2</v>
      </c>
      <c r="L10" s="1448"/>
      <c r="M10" s="1448">
        <v>8</v>
      </c>
      <c r="N10" s="1448">
        <v>8</v>
      </c>
      <c r="O10" s="1448">
        <v>18</v>
      </c>
      <c r="P10" s="1448">
        <v>14</v>
      </c>
      <c r="Q10" s="1448">
        <v>14</v>
      </c>
      <c r="R10" s="1448">
        <v>16</v>
      </c>
      <c r="S10" s="1448">
        <v>8</v>
      </c>
      <c r="T10" s="1448">
        <v>2</v>
      </c>
      <c r="U10" s="1448">
        <v>18</v>
      </c>
    </row>
    <row r="11" spans="1:22" s="58" customFormat="1" x14ac:dyDescent="0.25">
      <c r="A11" s="3" t="s">
        <v>1206</v>
      </c>
      <c r="B11" s="1448">
        <v>17</v>
      </c>
      <c r="C11" s="1448">
        <v>2</v>
      </c>
      <c r="D11" s="1448">
        <v>2</v>
      </c>
      <c r="E11" s="1448">
        <v>33</v>
      </c>
      <c r="F11" s="1448">
        <v>33</v>
      </c>
      <c r="G11" s="1448">
        <v>33</v>
      </c>
      <c r="H11" s="1448">
        <v>33</v>
      </c>
      <c r="I11" s="1448">
        <v>33</v>
      </c>
      <c r="J11" s="1448">
        <v>32</v>
      </c>
      <c r="K11" s="1448">
        <v>33</v>
      </c>
      <c r="L11" s="1448">
        <v>10</v>
      </c>
      <c r="M11" s="1448">
        <v>33</v>
      </c>
      <c r="N11" s="1448">
        <v>33</v>
      </c>
      <c r="O11" s="1448">
        <v>29</v>
      </c>
      <c r="P11" s="1448">
        <v>33</v>
      </c>
      <c r="Q11" s="1448">
        <v>29</v>
      </c>
      <c r="R11" s="1448">
        <v>33</v>
      </c>
      <c r="S11" s="1448">
        <v>27</v>
      </c>
      <c r="T11" s="1448">
        <v>22</v>
      </c>
      <c r="U11" s="1448"/>
    </row>
    <row r="12" spans="1:22" s="58" customFormat="1" x14ac:dyDescent="0.25">
      <c r="A12" s="3" t="s">
        <v>862</v>
      </c>
      <c r="B12" s="1448">
        <v>116</v>
      </c>
      <c r="C12" s="1448">
        <v>65</v>
      </c>
      <c r="D12" s="1448">
        <v>63</v>
      </c>
      <c r="E12" s="1448">
        <v>34</v>
      </c>
      <c r="F12" s="1448">
        <v>106</v>
      </c>
      <c r="G12" s="1448">
        <v>70</v>
      </c>
      <c r="H12" s="1448">
        <v>102</v>
      </c>
      <c r="I12" s="1448">
        <v>39</v>
      </c>
      <c r="J12" s="1448">
        <v>68</v>
      </c>
      <c r="K12" s="1448">
        <v>76</v>
      </c>
      <c r="L12" s="1448">
        <v>20</v>
      </c>
      <c r="M12" s="1448">
        <v>116</v>
      </c>
      <c r="N12" s="1448">
        <v>87</v>
      </c>
      <c r="O12" s="1448">
        <v>89</v>
      </c>
      <c r="P12" s="1448">
        <v>89</v>
      </c>
      <c r="Q12" s="1448">
        <v>76</v>
      </c>
      <c r="R12" s="1448">
        <v>20</v>
      </c>
      <c r="S12" s="1448">
        <v>34</v>
      </c>
      <c r="T12" s="1448"/>
      <c r="U12" s="1448">
        <v>73</v>
      </c>
    </row>
    <row r="13" spans="1:22" x14ac:dyDescent="0.25">
      <c r="A13" s="3" t="s">
        <v>493</v>
      </c>
      <c r="B13" s="1448"/>
      <c r="C13" s="1448"/>
      <c r="D13" s="1448">
        <v>2</v>
      </c>
      <c r="E13" s="1448"/>
      <c r="F13" s="1448"/>
      <c r="G13" s="1448"/>
      <c r="H13" s="1448"/>
      <c r="I13" s="1448"/>
      <c r="J13" s="1448"/>
      <c r="K13" s="1448"/>
      <c r="L13" s="1448"/>
      <c r="M13" s="1448"/>
      <c r="N13" s="1448"/>
      <c r="O13" s="1448"/>
      <c r="P13" s="1448">
        <v>2</v>
      </c>
      <c r="Q13" s="1448"/>
      <c r="R13" s="1448"/>
      <c r="S13" s="1448"/>
      <c r="T13" s="1448"/>
      <c r="U13" s="1448"/>
    </row>
    <row r="14" spans="1:22" x14ac:dyDescent="0.25">
      <c r="A14" s="3" t="s">
        <v>494</v>
      </c>
      <c r="B14" s="1448">
        <v>382</v>
      </c>
      <c r="C14" s="1448">
        <v>226</v>
      </c>
      <c r="D14" s="1448">
        <v>222</v>
      </c>
      <c r="E14" s="1448">
        <v>164</v>
      </c>
      <c r="F14" s="1448">
        <v>359</v>
      </c>
      <c r="G14" s="1448">
        <v>286</v>
      </c>
      <c r="H14" s="1448">
        <v>338</v>
      </c>
      <c r="I14" s="1448">
        <v>241</v>
      </c>
      <c r="J14" s="1448">
        <v>169</v>
      </c>
      <c r="K14" s="1448">
        <v>247</v>
      </c>
      <c r="L14" s="1448">
        <v>73</v>
      </c>
      <c r="M14" s="1448">
        <v>384</v>
      </c>
      <c r="N14" s="1448">
        <v>258</v>
      </c>
      <c r="O14" s="1448">
        <v>341</v>
      </c>
      <c r="P14" s="1448">
        <v>284</v>
      </c>
      <c r="Q14" s="1448">
        <v>336</v>
      </c>
      <c r="R14" s="1448">
        <v>279</v>
      </c>
      <c r="S14" s="1448">
        <v>247</v>
      </c>
      <c r="T14" s="1448">
        <v>90</v>
      </c>
      <c r="U14" s="1448">
        <v>291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1AD1-B4A1-407D-8FBD-6A6312E6FF47}">
  <dimension ref="A1:AH79"/>
  <sheetViews>
    <sheetView workbookViewId="0">
      <pane xSplit="9" ySplit="1" topLeftCell="AC2" activePane="bottomRight" state="frozen"/>
      <selection pane="topRight" activeCell="J1" sqref="J1"/>
      <selection pane="bottomLeft" activeCell="A2" sqref="A2"/>
      <selection pane="bottomRight" activeCell="F1" sqref="F1"/>
    </sheetView>
  </sheetViews>
  <sheetFormatPr defaultRowHeight="13.2" x14ac:dyDescent="0.25"/>
  <cols>
    <col min="4" max="4" width="15.5546875" bestFit="1" customWidth="1"/>
    <col min="8" max="8" width="9.44140625" bestFit="1" customWidth="1"/>
    <col min="11" max="11" width="9.5546875" customWidth="1"/>
    <col min="12" max="12" width="11.44140625" customWidth="1"/>
    <col min="13" max="13" width="10.5546875" bestFit="1" customWidth="1"/>
    <col min="14" max="14" width="12.44140625" bestFit="1" customWidth="1"/>
    <col min="16" max="17" width="12.44140625" bestFit="1" customWidth="1"/>
    <col min="19" max="19" width="11.44140625" bestFit="1" customWidth="1"/>
    <col min="20" max="20" width="11.5546875" bestFit="1" customWidth="1"/>
    <col min="23" max="23" width="8.5546875" bestFit="1" customWidth="1"/>
    <col min="24" max="24" width="11.44140625" bestFit="1" customWidth="1"/>
    <col min="25" max="25" width="11.44140625" customWidth="1"/>
    <col min="26" max="26" width="9.5546875" bestFit="1" customWidth="1"/>
    <col min="27" max="29" width="11.44140625" customWidth="1"/>
    <col min="30" max="30" width="12.44140625" customWidth="1"/>
    <col min="32" max="32" width="9.44140625" bestFit="1" customWidth="1"/>
    <col min="34" max="34" width="13" customWidth="1"/>
  </cols>
  <sheetData>
    <row r="1" spans="1:34" ht="124.2" thickBot="1" x14ac:dyDescent="0.3">
      <c r="A1" s="1123" t="s">
        <v>18</v>
      </c>
      <c r="B1" s="1124" t="s">
        <v>19</v>
      </c>
      <c r="C1" s="1124" t="s">
        <v>20</v>
      </c>
      <c r="D1" s="1124" t="s">
        <v>21</v>
      </c>
      <c r="E1" s="1124" t="s">
        <v>22</v>
      </c>
      <c r="F1" s="1124" t="s">
        <v>23</v>
      </c>
      <c r="G1" s="1124" t="s">
        <v>0</v>
      </c>
      <c r="H1" s="1124" t="s">
        <v>24</v>
      </c>
      <c r="I1" s="1124" t="s">
        <v>25</v>
      </c>
      <c r="J1" s="1124" t="s">
        <v>26</v>
      </c>
      <c r="K1" s="1124" t="s">
        <v>518</v>
      </c>
      <c r="L1" s="1124" t="s">
        <v>519</v>
      </c>
      <c r="M1" s="1124" t="s">
        <v>33</v>
      </c>
      <c r="N1" s="1124" t="s">
        <v>34</v>
      </c>
      <c r="O1" s="1124" t="s">
        <v>35</v>
      </c>
      <c r="P1" s="1124" t="s">
        <v>36</v>
      </c>
      <c r="Q1" s="1124" t="s">
        <v>37</v>
      </c>
      <c r="R1" s="1124" t="s">
        <v>38</v>
      </c>
      <c r="S1" s="1124" t="s">
        <v>39</v>
      </c>
      <c r="T1" s="1124" t="s">
        <v>40</v>
      </c>
      <c r="U1" s="1123" t="s">
        <v>41</v>
      </c>
      <c r="V1" s="1124" t="s">
        <v>44</v>
      </c>
      <c r="W1" s="1124" t="s">
        <v>45</v>
      </c>
      <c r="X1" s="1124" t="s">
        <v>46</v>
      </c>
      <c r="Y1" s="1124" t="s">
        <v>47</v>
      </c>
      <c r="Z1" s="1124" t="s">
        <v>48</v>
      </c>
      <c r="AA1" s="1124" t="s">
        <v>194</v>
      </c>
      <c r="AB1" s="1124" t="s">
        <v>1233</v>
      </c>
      <c r="AC1" s="1123" t="s">
        <v>195</v>
      </c>
      <c r="AD1" s="1124" t="s">
        <v>1234</v>
      </c>
      <c r="AE1" s="1124" t="s">
        <v>196</v>
      </c>
      <c r="AF1" s="1124" t="s">
        <v>53</v>
      </c>
      <c r="AG1" s="1124" t="s">
        <v>1235</v>
      </c>
      <c r="AH1" s="1124" t="s">
        <v>197</v>
      </c>
    </row>
    <row r="2" spans="1:34" ht="22.8" x14ac:dyDescent="0.25">
      <c r="A2" s="1421">
        <v>1</v>
      </c>
      <c r="B2" s="1433">
        <v>39023</v>
      </c>
      <c r="C2" s="1125" t="s">
        <v>64</v>
      </c>
      <c r="D2" s="1126" t="s">
        <v>906</v>
      </c>
      <c r="E2" s="238" t="s">
        <v>1206</v>
      </c>
      <c r="F2" s="258" t="s">
        <v>863</v>
      </c>
      <c r="G2" s="258" t="s">
        <v>13</v>
      </c>
      <c r="H2" s="672">
        <v>43480</v>
      </c>
      <c r="I2" s="239">
        <v>237</v>
      </c>
      <c r="J2" s="239" t="s">
        <v>58</v>
      </c>
      <c r="K2" s="1127">
        <v>45381</v>
      </c>
      <c r="L2" s="1127">
        <v>44987</v>
      </c>
      <c r="M2" s="1128"/>
      <c r="N2" s="1128" t="s">
        <v>68</v>
      </c>
      <c r="O2" s="1128" t="s">
        <v>68</v>
      </c>
      <c r="P2" s="1128" t="s">
        <v>68</v>
      </c>
      <c r="Q2" s="1128" t="s">
        <v>68</v>
      </c>
      <c r="R2" s="1128" t="s">
        <v>206</v>
      </c>
      <c r="S2" s="1128" t="s">
        <v>206</v>
      </c>
      <c r="T2" s="1128" t="s">
        <v>75</v>
      </c>
      <c r="U2" s="1128" t="s">
        <v>206</v>
      </c>
      <c r="V2" s="901">
        <v>45164</v>
      </c>
      <c r="W2" s="241"/>
      <c r="X2" s="1129" t="s">
        <v>616</v>
      </c>
      <c r="Y2" s="644">
        <v>45275</v>
      </c>
      <c r="Z2" s="239" t="s">
        <v>206</v>
      </c>
      <c r="AA2" s="644">
        <v>45277</v>
      </c>
      <c r="AB2" s="644" t="s">
        <v>1210</v>
      </c>
      <c r="AC2" s="644">
        <v>45275</v>
      </c>
      <c r="AD2" s="644">
        <v>45537</v>
      </c>
      <c r="AE2" s="239" t="s">
        <v>206</v>
      </c>
      <c r="AF2" s="644">
        <v>45454</v>
      </c>
      <c r="AG2" s="1130"/>
      <c r="AH2" s="1130"/>
    </row>
    <row r="3" spans="1:34" ht="22.8" x14ac:dyDescent="0.25">
      <c r="A3" s="1422"/>
      <c r="B3" s="1434"/>
      <c r="C3" s="27" t="s">
        <v>54</v>
      </c>
      <c r="D3" s="1131" t="s">
        <v>908</v>
      </c>
      <c r="E3" s="20" t="s">
        <v>1206</v>
      </c>
      <c r="F3" s="29" t="s">
        <v>863</v>
      </c>
      <c r="G3" s="29" t="s">
        <v>13</v>
      </c>
      <c r="H3" s="19">
        <v>43480</v>
      </c>
      <c r="I3" s="3">
        <v>224</v>
      </c>
      <c r="J3" s="3" t="s">
        <v>58</v>
      </c>
      <c r="K3" s="47">
        <v>45381</v>
      </c>
      <c r="L3" s="47">
        <v>44987</v>
      </c>
      <c r="M3" s="42"/>
      <c r="N3" s="42" t="s">
        <v>62</v>
      </c>
      <c r="O3" s="42" t="s">
        <v>62</v>
      </c>
      <c r="P3" s="42" t="s">
        <v>62</v>
      </c>
      <c r="Q3" s="42" t="s">
        <v>62</v>
      </c>
      <c r="R3" s="42" t="s">
        <v>206</v>
      </c>
      <c r="S3" s="42" t="s">
        <v>206</v>
      </c>
      <c r="T3" s="42" t="s">
        <v>75</v>
      </c>
      <c r="U3" s="42" t="s">
        <v>206</v>
      </c>
      <c r="V3" s="16"/>
      <c r="W3" s="16"/>
      <c r="X3" s="283" t="s">
        <v>689</v>
      </c>
      <c r="Y3" s="84">
        <v>45276</v>
      </c>
      <c r="Z3" s="3" t="s">
        <v>206</v>
      </c>
      <c r="AA3" s="84">
        <v>45277</v>
      </c>
      <c r="AB3" s="84" t="s">
        <v>1210</v>
      </c>
      <c r="AC3" s="84">
        <v>45275</v>
      </c>
      <c r="AD3" s="84">
        <v>45537</v>
      </c>
      <c r="AE3" s="3" t="s">
        <v>206</v>
      </c>
      <c r="AF3" s="84">
        <v>45454</v>
      </c>
      <c r="AG3" s="621"/>
      <c r="AH3" s="621"/>
    </row>
    <row r="4" spans="1:34" ht="15.6" x14ac:dyDescent="0.25">
      <c r="A4" s="1421">
        <v>2</v>
      </c>
      <c r="B4" s="1423">
        <v>39075</v>
      </c>
      <c r="C4" s="27" t="s">
        <v>64</v>
      </c>
      <c r="D4" s="1131" t="s">
        <v>923</v>
      </c>
      <c r="E4" s="20" t="s">
        <v>1206</v>
      </c>
      <c r="F4" s="29" t="s">
        <v>863</v>
      </c>
      <c r="G4" s="29" t="s">
        <v>13</v>
      </c>
      <c r="H4" s="19">
        <v>43676</v>
      </c>
      <c r="I4" s="3">
        <v>332</v>
      </c>
      <c r="J4" s="3" t="s">
        <v>58</v>
      </c>
      <c r="K4" s="21">
        <v>45316</v>
      </c>
      <c r="L4" s="21">
        <v>45217</v>
      </c>
      <c r="M4" s="42"/>
      <c r="N4" s="42" t="s">
        <v>68</v>
      </c>
      <c r="O4" s="42" t="s">
        <v>206</v>
      </c>
      <c r="P4" s="42" t="s">
        <v>68</v>
      </c>
      <c r="Q4" s="42" t="s">
        <v>68</v>
      </c>
      <c r="R4" s="42" t="s">
        <v>206</v>
      </c>
      <c r="S4" s="42" t="s">
        <v>68</v>
      </c>
      <c r="T4" s="42" t="s">
        <v>68</v>
      </c>
      <c r="U4" s="42" t="s">
        <v>206</v>
      </c>
      <c r="V4" s="16"/>
      <c r="W4" s="16"/>
      <c r="X4" s="42" t="s">
        <v>68</v>
      </c>
      <c r="Y4" s="84">
        <v>45244</v>
      </c>
      <c r="Z4" s="3" t="s">
        <v>206</v>
      </c>
      <c r="AA4" s="84">
        <v>45118</v>
      </c>
      <c r="AB4" s="84">
        <v>45468</v>
      </c>
      <c r="AC4" s="84">
        <v>45241</v>
      </c>
      <c r="AD4" s="84">
        <v>45468</v>
      </c>
      <c r="AE4" s="3" t="s">
        <v>206</v>
      </c>
      <c r="AF4" s="84">
        <v>45357</v>
      </c>
      <c r="AG4" s="621"/>
      <c r="AH4" s="621"/>
    </row>
    <row r="5" spans="1:34" ht="15.6" x14ac:dyDescent="0.25">
      <c r="A5" s="1422"/>
      <c r="B5" s="1424"/>
      <c r="C5" s="27" t="s">
        <v>54</v>
      </c>
      <c r="D5" s="20" t="s">
        <v>924</v>
      </c>
      <c r="E5" s="20" t="s">
        <v>1206</v>
      </c>
      <c r="F5" s="29" t="s">
        <v>863</v>
      </c>
      <c r="G5" s="29" t="s">
        <v>13</v>
      </c>
      <c r="H5" s="19">
        <v>43676</v>
      </c>
      <c r="I5" s="3">
        <v>342</v>
      </c>
      <c r="J5" s="3" t="s">
        <v>58</v>
      </c>
      <c r="K5" s="45">
        <v>45316</v>
      </c>
      <c r="L5" s="45">
        <v>45217</v>
      </c>
      <c r="M5" s="44"/>
      <c r="N5" s="16" t="s">
        <v>62</v>
      </c>
      <c r="O5" s="44" t="s">
        <v>206</v>
      </c>
      <c r="P5" s="16" t="s">
        <v>62</v>
      </c>
      <c r="Q5" s="44" t="s">
        <v>62</v>
      </c>
      <c r="R5" s="50" t="s">
        <v>206</v>
      </c>
      <c r="S5" s="44" t="s">
        <v>62</v>
      </c>
      <c r="T5" s="44" t="s">
        <v>62</v>
      </c>
      <c r="U5" s="44" t="s">
        <v>206</v>
      </c>
      <c r="V5" s="16" t="s">
        <v>1211</v>
      </c>
      <c r="W5" s="16"/>
      <c r="X5" s="44" t="s">
        <v>62</v>
      </c>
      <c r="Y5" s="84">
        <v>45244</v>
      </c>
      <c r="Z5" s="3" t="s">
        <v>206</v>
      </c>
      <c r="AA5" s="84">
        <v>45118</v>
      </c>
      <c r="AB5" s="84">
        <v>45468</v>
      </c>
      <c r="AC5" s="84">
        <v>45241</v>
      </c>
      <c r="AD5" s="84">
        <v>45468</v>
      </c>
      <c r="AE5" s="3" t="s">
        <v>206</v>
      </c>
      <c r="AF5" s="84">
        <v>45358</v>
      </c>
      <c r="AG5" s="621"/>
      <c r="AH5" s="621"/>
    </row>
    <row r="6" spans="1:34" ht="15.6" x14ac:dyDescent="0.25">
      <c r="A6" s="1421">
        <v>3</v>
      </c>
      <c r="B6" s="1423">
        <v>39141</v>
      </c>
      <c r="C6" s="27" t="s">
        <v>64</v>
      </c>
      <c r="D6" s="1131" t="s">
        <v>925</v>
      </c>
      <c r="E6" s="20" t="s">
        <v>1206</v>
      </c>
      <c r="F6" s="29" t="s">
        <v>863</v>
      </c>
      <c r="G6" s="29" t="s">
        <v>13</v>
      </c>
      <c r="H6" s="19">
        <v>43994</v>
      </c>
      <c r="I6" s="3">
        <v>768</v>
      </c>
      <c r="J6" s="3" t="s">
        <v>58</v>
      </c>
      <c r="K6" s="47">
        <v>45474</v>
      </c>
      <c r="L6" s="47"/>
      <c r="M6" s="16" t="s">
        <v>75</v>
      </c>
      <c r="N6" s="16" t="s">
        <v>75</v>
      </c>
      <c r="O6" s="51" t="s">
        <v>206</v>
      </c>
      <c r="P6" s="42" t="s">
        <v>68</v>
      </c>
      <c r="Q6" s="42" t="s">
        <v>68</v>
      </c>
      <c r="R6" s="51" t="s">
        <v>206</v>
      </c>
      <c r="S6" s="51" t="s">
        <v>68</v>
      </c>
      <c r="T6" s="51" t="s">
        <v>68</v>
      </c>
      <c r="U6" s="51" t="s">
        <v>206</v>
      </c>
      <c r="V6" s="16"/>
      <c r="W6" s="16"/>
      <c r="X6" s="1132" t="s">
        <v>63</v>
      </c>
      <c r="Y6" s="3" t="s">
        <v>206</v>
      </c>
      <c r="Z6" s="3" t="s">
        <v>206</v>
      </c>
      <c r="AA6" s="84">
        <v>45150</v>
      </c>
      <c r="AB6" s="84">
        <v>45478</v>
      </c>
      <c r="AC6" s="3" t="s">
        <v>206</v>
      </c>
      <c r="AD6" s="84">
        <v>45470</v>
      </c>
      <c r="AE6" s="3" t="s">
        <v>206</v>
      </c>
      <c r="AF6" s="84">
        <v>45474</v>
      </c>
      <c r="AG6" s="621"/>
      <c r="AH6" s="621"/>
    </row>
    <row r="7" spans="1:34" ht="15.6" x14ac:dyDescent="0.25">
      <c r="A7" s="1422"/>
      <c r="B7" s="1424"/>
      <c r="C7" s="27" t="s">
        <v>54</v>
      </c>
      <c r="D7" s="1131" t="s">
        <v>926</v>
      </c>
      <c r="E7" s="20" t="s">
        <v>1206</v>
      </c>
      <c r="F7" s="29" t="s">
        <v>863</v>
      </c>
      <c r="G7" s="29" t="s">
        <v>13</v>
      </c>
      <c r="H7" s="19">
        <v>43994</v>
      </c>
      <c r="I7" s="3">
        <v>769</v>
      </c>
      <c r="J7" s="3" t="s">
        <v>58</v>
      </c>
      <c r="K7" s="47">
        <v>45474</v>
      </c>
      <c r="L7" s="47"/>
      <c r="M7" s="16" t="s">
        <v>75</v>
      </c>
      <c r="N7" s="16" t="s">
        <v>75</v>
      </c>
      <c r="O7" s="51" t="s">
        <v>206</v>
      </c>
      <c r="P7" s="42" t="s">
        <v>62</v>
      </c>
      <c r="Q7" s="42" t="s">
        <v>62</v>
      </c>
      <c r="R7" s="51" t="s">
        <v>206</v>
      </c>
      <c r="S7" s="51" t="s">
        <v>62</v>
      </c>
      <c r="T7" s="51" t="s">
        <v>62</v>
      </c>
      <c r="U7" s="51" t="s">
        <v>206</v>
      </c>
      <c r="V7" s="16"/>
      <c r="W7" s="16"/>
      <c r="X7" s="1132" t="s">
        <v>63</v>
      </c>
      <c r="Y7" s="3" t="s">
        <v>206</v>
      </c>
      <c r="Z7" s="3" t="s">
        <v>206</v>
      </c>
      <c r="AA7" s="84">
        <v>45150</v>
      </c>
      <c r="AB7" s="84">
        <v>45478</v>
      </c>
      <c r="AC7" s="3" t="s">
        <v>206</v>
      </c>
      <c r="AD7" s="84">
        <v>45470</v>
      </c>
      <c r="AE7" s="3" t="s">
        <v>206</v>
      </c>
      <c r="AF7" s="84">
        <v>45474</v>
      </c>
      <c r="AG7" s="621"/>
      <c r="AH7" s="621"/>
    </row>
    <row r="8" spans="1:34" ht="15.6" x14ac:dyDescent="0.25">
      <c r="A8" s="1421">
        <v>4</v>
      </c>
      <c r="B8" s="1423">
        <v>39142</v>
      </c>
      <c r="C8" s="27" t="s">
        <v>64</v>
      </c>
      <c r="D8" s="1131" t="s">
        <v>927</v>
      </c>
      <c r="E8" s="20" t="s">
        <v>1206</v>
      </c>
      <c r="F8" s="29" t="s">
        <v>1236</v>
      </c>
      <c r="G8" s="29" t="s">
        <v>13</v>
      </c>
      <c r="H8" s="19">
        <v>44004</v>
      </c>
      <c r="I8" s="3">
        <v>774</v>
      </c>
      <c r="J8" s="3" t="s">
        <v>58</v>
      </c>
      <c r="K8" s="47">
        <v>45441</v>
      </c>
      <c r="L8" s="47"/>
      <c r="M8" s="16" t="s">
        <v>75</v>
      </c>
      <c r="N8" s="16" t="s">
        <v>75</v>
      </c>
      <c r="O8" s="51" t="s">
        <v>206</v>
      </c>
      <c r="P8" s="42" t="s">
        <v>68</v>
      </c>
      <c r="Q8" s="42" t="s">
        <v>68</v>
      </c>
      <c r="R8" s="51" t="s">
        <v>206</v>
      </c>
      <c r="S8" s="51" t="s">
        <v>68</v>
      </c>
      <c r="T8" s="51" t="s">
        <v>206</v>
      </c>
      <c r="U8" s="51" t="s">
        <v>206</v>
      </c>
      <c r="V8" s="16"/>
      <c r="W8" s="16"/>
      <c r="X8" s="1132" t="s">
        <v>928</v>
      </c>
      <c r="Y8" s="3" t="s">
        <v>206</v>
      </c>
      <c r="Z8" s="84">
        <v>45274</v>
      </c>
      <c r="AA8" s="52">
        <v>45129</v>
      </c>
      <c r="AB8" s="52">
        <v>45537</v>
      </c>
      <c r="AC8" s="52" t="s">
        <v>206</v>
      </c>
      <c r="AD8" s="52">
        <v>45546</v>
      </c>
      <c r="AE8" s="52" t="s">
        <v>206</v>
      </c>
      <c r="AF8" s="52">
        <v>45547</v>
      </c>
      <c r="AG8" s="621"/>
      <c r="AH8" s="621"/>
    </row>
    <row r="9" spans="1:34" ht="15.6" x14ac:dyDescent="0.25">
      <c r="A9" s="1422"/>
      <c r="B9" s="1424"/>
      <c r="C9" s="27" t="s">
        <v>54</v>
      </c>
      <c r="D9" s="1131" t="s">
        <v>929</v>
      </c>
      <c r="E9" s="20" t="s">
        <v>1206</v>
      </c>
      <c r="F9" s="29" t="s">
        <v>863</v>
      </c>
      <c r="G9" s="29" t="s">
        <v>13</v>
      </c>
      <c r="H9" s="19">
        <v>44004</v>
      </c>
      <c r="I9" s="3">
        <v>771</v>
      </c>
      <c r="J9" s="3" t="s">
        <v>58</v>
      </c>
      <c r="K9" s="47">
        <v>45441</v>
      </c>
      <c r="L9" s="47"/>
      <c r="M9" s="16" t="s">
        <v>75</v>
      </c>
      <c r="N9" s="16" t="s">
        <v>75</v>
      </c>
      <c r="O9" s="51" t="s">
        <v>206</v>
      </c>
      <c r="P9" s="42" t="s">
        <v>62</v>
      </c>
      <c r="Q9" s="42" t="s">
        <v>62</v>
      </c>
      <c r="R9" s="51" t="s">
        <v>206</v>
      </c>
      <c r="S9" s="51" t="s">
        <v>62</v>
      </c>
      <c r="T9" s="51" t="s">
        <v>206</v>
      </c>
      <c r="U9" s="51" t="s">
        <v>206</v>
      </c>
      <c r="V9" s="16"/>
      <c r="W9" s="16"/>
      <c r="X9" s="1132" t="s">
        <v>930</v>
      </c>
      <c r="Y9" s="3" t="s">
        <v>206</v>
      </c>
      <c r="Z9" s="84">
        <v>45274</v>
      </c>
      <c r="AA9" s="52">
        <v>45129</v>
      </c>
      <c r="AB9" s="52">
        <v>45537</v>
      </c>
      <c r="AC9" s="52" t="s">
        <v>206</v>
      </c>
      <c r="AD9" s="52">
        <v>45546</v>
      </c>
      <c r="AE9" s="52" t="s">
        <v>206</v>
      </c>
      <c r="AF9" s="52">
        <v>45547</v>
      </c>
      <c r="AG9" s="621"/>
      <c r="AH9" s="621"/>
    </row>
    <row r="10" spans="1:34" ht="15.6" x14ac:dyDescent="0.25">
      <c r="A10" s="1421">
        <v>5</v>
      </c>
      <c r="B10" s="1435">
        <v>30599</v>
      </c>
      <c r="C10" s="27" t="s">
        <v>64</v>
      </c>
      <c r="D10" s="1131" t="s">
        <v>936</v>
      </c>
      <c r="E10" s="20" t="s">
        <v>1206</v>
      </c>
      <c r="F10" s="29" t="s">
        <v>863</v>
      </c>
      <c r="G10" s="29" t="s">
        <v>13</v>
      </c>
      <c r="H10" s="19">
        <v>43112</v>
      </c>
      <c r="I10" s="3">
        <v>112</v>
      </c>
      <c r="J10" s="3" t="s">
        <v>58</v>
      </c>
      <c r="K10" s="21"/>
      <c r="L10" s="337">
        <v>45422</v>
      </c>
      <c r="M10" s="42"/>
      <c r="N10" s="42" t="s">
        <v>63</v>
      </c>
      <c r="O10" s="42"/>
      <c r="P10" s="42" t="s">
        <v>206</v>
      </c>
      <c r="Q10" s="42"/>
      <c r="R10" s="51" t="s">
        <v>206</v>
      </c>
      <c r="S10" s="42" t="s">
        <v>68</v>
      </c>
      <c r="T10" s="42" t="s">
        <v>206</v>
      </c>
      <c r="U10" s="42" t="s">
        <v>206</v>
      </c>
      <c r="V10" s="3" t="s">
        <v>937</v>
      </c>
      <c r="W10" s="16"/>
      <c r="X10" s="283" t="s">
        <v>63</v>
      </c>
      <c r="Y10" s="84">
        <v>45267</v>
      </c>
      <c r="Z10" s="84">
        <v>45267</v>
      </c>
      <c r="AA10" s="84">
        <v>45267</v>
      </c>
      <c r="AB10" s="84" t="s">
        <v>1210</v>
      </c>
      <c r="AC10" s="84">
        <v>45272</v>
      </c>
      <c r="AD10" s="84">
        <v>45537</v>
      </c>
      <c r="AE10" s="3" t="s">
        <v>206</v>
      </c>
      <c r="AF10" s="84">
        <v>45457</v>
      </c>
      <c r="AG10" s="621"/>
      <c r="AH10" s="621"/>
    </row>
    <row r="11" spans="1:34" ht="15.6" x14ac:dyDescent="0.25">
      <c r="A11" s="1422"/>
      <c r="B11" s="1434"/>
      <c r="C11" s="27" t="s">
        <v>54</v>
      </c>
      <c r="D11" s="1131" t="s">
        <v>938</v>
      </c>
      <c r="E11" s="20" t="s">
        <v>1206</v>
      </c>
      <c r="F11" s="29" t="s">
        <v>863</v>
      </c>
      <c r="G11" s="29" t="s">
        <v>13</v>
      </c>
      <c r="H11" s="19">
        <v>43112</v>
      </c>
      <c r="I11" s="3">
        <v>115</v>
      </c>
      <c r="J11" s="3" t="s">
        <v>58</v>
      </c>
      <c r="K11" s="21"/>
      <c r="L11" s="337">
        <v>45422</v>
      </c>
      <c r="M11" s="42"/>
      <c r="N11" s="42" t="s">
        <v>63</v>
      </c>
      <c r="O11" s="42"/>
      <c r="P11" s="42" t="s">
        <v>206</v>
      </c>
      <c r="Q11" s="42"/>
      <c r="R11" s="51" t="s">
        <v>206</v>
      </c>
      <c r="S11" s="42" t="s">
        <v>62</v>
      </c>
      <c r="T11" s="42" t="s">
        <v>206</v>
      </c>
      <c r="U11" s="42" t="s">
        <v>206</v>
      </c>
      <c r="V11" s="3" t="s">
        <v>939</v>
      </c>
      <c r="W11" s="16"/>
      <c r="X11" s="283" t="s">
        <v>63</v>
      </c>
      <c r="Y11" s="84">
        <v>45267</v>
      </c>
      <c r="Z11" s="84">
        <v>45267</v>
      </c>
      <c r="AA11" s="84">
        <v>45267</v>
      </c>
      <c r="AB11" s="84" t="s">
        <v>1210</v>
      </c>
      <c r="AC11" s="84">
        <v>45272</v>
      </c>
      <c r="AD11" s="84">
        <v>45537</v>
      </c>
      <c r="AE11" s="3" t="s">
        <v>206</v>
      </c>
      <c r="AF11" s="84">
        <v>45457</v>
      </c>
      <c r="AG11" s="621"/>
      <c r="AH11" s="621"/>
    </row>
    <row r="12" spans="1:34" ht="15.6" x14ac:dyDescent="0.25">
      <c r="A12" s="1421">
        <v>6</v>
      </c>
      <c r="B12" s="1435">
        <v>30604</v>
      </c>
      <c r="C12" s="27" t="s">
        <v>64</v>
      </c>
      <c r="D12" s="1131" t="s">
        <v>940</v>
      </c>
      <c r="E12" s="20" t="s">
        <v>1206</v>
      </c>
      <c r="F12" s="29" t="s">
        <v>863</v>
      </c>
      <c r="G12" s="29" t="s">
        <v>13</v>
      </c>
      <c r="H12" s="19">
        <v>43137</v>
      </c>
      <c r="I12" s="3">
        <v>152</v>
      </c>
      <c r="J12" s="3" t="s">
        <v>58</v>
      </c>
      <c r="K12" s="47">
        <v>44838</v>
      </c>
      <c r="L12" s="1133">
        <v>45446</v>
      </c>
      <c r="M12" s="42" t="s">
        <v>75</v>
      </c>
      <c r="N12" s="42" t="s">
        <v>68</v>
      </c>
      <c r="O12" s="42"/>
      <c r="P12" s="42" t="s">
        <v>68</v>
      </c>
      <c r="Q12" s="42"/>
      <c r="R12" s="51" t="s">
        <v>206</v>
      </c>
      <c r="S12" s="42" t="s">
        <v>68</v>
      </c>
      <c r="T12" s="42" t="s">
        <v>206</v>
      </c>
      <c r="U12" s="42" t="s">
        <v>206</v>
      </c>
      <c r="V12" s="3" t="s">
        <v>941</v>
      </c>
      <c r="W12" s="16"/>
      <c r="X12" s="283" t="s">
        <v>616</v>
      </c>
      <c r="Y12" s="84">
        <v>45446</v>
      </c>
      <c r="Z12" s="84">
        <v>45449</v>
      </c>
      <c r="AA12" s="3" t="s">
        <v>206</v>
      </c>
      <c r="AB12" s="84">
        <v>45512</v>
      </c>
      <c r="AC12" s="84">
        <v>45446</v>
      </c>
      <c r="AD12" s="84">
        <v>45530</v>
      </c>
      <c r="AE12" s="3" t="s">
        <v>206</v>
      </c>
      <c r="AF12" s="84">
        <v>45449</v>
      </c>
      <c r="AG12" s="621"/>
      <c r="AH12" s="1134">
        <v>45446</v>
      </c>
    </row>
    <row r="13" spans="1:34" ht="15.6" x14ac:dyDescent="0.25">
      <c r="A13" s="1422"/>
      <c r="B13" s="1434"/>
      <c r="C13" s="27" t="s">
        <v>54</v>
      </c>
      <c r="D13" s="1131" t="s">
        <v>942</v>
      </c>
      <c r="E13" s="20" t="s">
        <v>1206</v>
      </c>
      <c r="F13" s="29" t="s">
        <v>863</v>
      </c>
      <c r="G13" s="29" t="s">
        <v>13</v>
      </c>
      <c r="H13" s="19">
        <v>43137</v>
      </c>
      <c r="I13" s="3">
        <v>146</v>
      </c>
      <c r="J13" s="3" t="s">
        <v>58</v>
      </c>
      <c r="K13" s="47">
        <v>44838</v>
      </c>
      <c r="L13" s="1133">
        <v>45446</v>
      </c>
      <c r="M13" s="42" t="s">
        <v>75</v>
      </c>
      <c r="N13" s="42" t="s">
        <v>62</v>
      </c>
      <c r="O13" s="42"/>
      <c r="P13" s="42" t="s">
        <v>62</v>
      </c>
      <c r="Q13" s="42"/>
      <c r="R13" s="51" t="s">
        <v>206</v>
      </c>
      <c r="S13" s="42" t="s">
        <v>62</v>
      </c>
      <c r="T13" s="42" t="s">
        <v>206</v>
      </c>
      <c r="U13" s="42" t="s">
        <v>206</v>
      </c>
      <c r="V13" s="3" t="s">
        <v>943</v>
      </c>
      <c r="W13" s="16"/>
      <c r="X13" s="283" t="s">
        <v>689</v>
      </c>
      <c r="Y13" s="84">
        <v>45446</v>
      </c>
      <c r="Z13" s="84">
        <v>45449</v>
      </c>
      <c r="AA13" s="3" t="s">
        <v>206</v>
      </c>
      <c r="AB13" s="84">
        <v>45512</v>
      </c>
      <c r="AC13" s="84">
        <v>45446</v>
      </c>
      <c r="AD13" s="84">
        <v>45530</v>
      </c>
      <c r="AE13" s="3" t="s">
        <v>206</v>
      </c>
      <c r="AF13" s="84">
        <v>45449</v>
      </c>
      <c r="AG13" s="621"/>
      <c r="AH13" s="1134">
        <v>45449</v>
      </c>
    </row>
    <row r="14" spans="1:34" ht="22.8" x14ac:dyDescent="0.25">
      <c r="A14" s="1421">
        <v>7</v>
      </c>
      <c r="B14" s="1423">
        <v>37464</v>
      </c>
      <c r="C14" s="27" t="s">
        <v>64</v>
      </c>
      <c r="D14" s="1131" t="s">
        <v>964</v>
      </c>
      <c r="E14" s="20" t="s">
        <v>1206</v>
      </c>
      <c r="F14" s="29" t="s">
        <v>863</v>
      </c>
      <c r="G14" s="29" t="s">
        <v>13</v>
      </c>
      <c r="H14" s="19">
        <v>44158</v>
      </c>
      <c r="I14" s="3">
        <v>922</v>
      </c>
      <c r="J14" s="3" t="s">
        <v>58</v>
      </c>
      <c r="K14" s="47">
        <v>45405</v>
      </c>
      <c r="L14" s="47">
        <v>45017</v>
      </c>
      <c r="M14" s="16" t="s">
        <v>75</v>
      </c>
      <c r="N14" s="16" t="s">
        <v>75</v>
      </c>
      <c r="O14" s="42" t="s">
        <v>68</v>
      </c>
      <c r="P14" s="42" t="s">
        <v>206</v>
      </c>
      <c r="Q14" s="42" t="s">
        <v>68</v>
      </c>
      <c r="R14" s="51" t="s">
        <v>206</v>
      </c>
      <c r="S14" s="42" t="s">
        <v>206</v>
      </c>
      <c r="T14" s="16" t="s">
        <v>75</v>
      </c>
      <c r="U14" s="42" t="s">
        <v>206</v>
      </c>
      <c r="V14" s="16"/>
      <c r="W14" s="16"/>
      <c r="X14" s="42" t="s">
        <v>68</v>
      </c>
      <c r="Y14" s="1135">
        <v>45271</v>
      </c>
      <c r="Z14" s="42" t="s">
        <v>206</v>
      </c>
      <c r="AA14" s="52">
        <v>45271</v>
      </c>
      <c r="AB14" s="52">
        <v>45510</v>
      </c>
      <c r="AC14" s="52">
        <v>45271</v>
      </c>
      <c r="AD14" s="52"/>
      <c r="AE14" s="52" t="s">
        <v>206</v>
      </c>
      <c r="AF14" s="52">
        <v>45507</v>
      </c>
      <c r="AG14" s="621"/>
      <c r="AH14" s="621"/>
    </row>
    <row r="15" spans="1:34" ht="22.8" x14ac:dyDescent="0.25">
      <c r="A15" s="1422"/>
      <c r="B15" s="1424"/>
      <c r="C15" s="27" t="s">
        <v>54</v>
      </c>
      <c r="D15" s="1131" t="s">
        <v>965</v>
      </c>
      <c r="E15" s="20" t="s">
        <v>1206</v>
      </c>
      <c r="F15" s="29" t="s">
        <v>863</v>
      </c>
      <c r="G15" s="29" t="s">
        <v>13</v>
      </c>
      <c r="H15" s="19">
        <v>44158</v>
      </c>
      <c r="I15" s="3">
        <v>923</v>
      </c>
      <c r="J15" s="3" t="s">
        <v>58</v>
      </c>
      <c r="K15" s="47">
        <v>45405</v>
      </c>
      <c r="L15" s="47">
        <v>45017</v>
      </c>
      <c r="M15" s="16" t="s">
        <v>75</v>
      </c>
      <c r="N15" s="16" t="s">
        <v>75</v>
      </c>
      <c r="O15" s="42" t="s">
        <v>62</v>
      </c>
      <c r="P15" s="42" t="s">
        <v>206</v>
      </c>
      <c r="Q15" s="42" t="s">
        <v>62</v>
      </c>
      <c r="R15" s="51" t="s">
        <v>206</v>
      </c>
      <c r="S15" s="42" t="s">
        <v>206</v>
      </c>
      <c r="T15" s="16" t="s">
        <v>75</v>
      </c>
      <c r="U15" s="42" t="s">
        <v>206</v>
      </c>
      <c r="V15" s="16"/>
      <c r="W15" s="16"/>
      <c r="X15" s="42" t="s">
        <v>62</v>
      </c>
      <c r="Y15" s="1135">
        <v>45271</v>
      </c>
      <c r="Z15" s="42" t="s">
        <v>206</v>
      </c>
      <c r="AA15" s="52">
        <v>45510</v>
      </c>
      <c r="AB15" s="52">
        <v>45510</v>
      </c>
      <c r="AC15" s="52">
        <v>45271</v>
      </c>
      <c r="AD15" s="52"/>
      <c r="AE15" s="52" t="s">
        <v>206</v>
      </c>
      <c r="AF15" s="52">
        <v>45507</v>
      </c>
      <c r="AG15" s="621"/>
      <c r="AH15" s="621"/>
    </row>
    <row r="16" spans="1:34" ht="15.6" x14ac:dyDescent="0.25">
      <c r="A16" s="1421">
        <v>8</v>
      </c>
      <c r="B16" s="1435">
        <v>39024</v>
      </c>
      <c r="C16" s="27" t="s">
        <v>64</v>
      </c>
      <c r="D16" s="1131" t="s">
        <v>966</v>
      </c>
      <c r="E16" s="20" t="s">
        <v>1206</v>
      </c>
      <c r="F16" s="29" t="s">
        <v>863</v>
      </c>
      <c r="G16" s="29" t="s">
        <v>13</v>
      </c>
      <c r="H16" s="19">
        <v>43482</v>
      </c>
      <c r="I16" s="3">
        <v>236</v>
      </c>
      <c r="J16" s="3" t="s">
        <v>58</v>
      </c>
      <c r="K16" s="47">
        <v>44950</v>
      </c>
      <c r="L16" s="47">
        <v>45054</v>
      </c>
      <c r="M16" s="42"/>
      <c r="N16" s="42" t="s">
        <v>68</v>
      </c>
      <c r="O16" s="42"/>
      <c r="P16" s="42" t="s">
        <v>68</v>
      </c>
      <c r="Q16" s="42"/>
      <c r="R16" s="51" t="s">
        <v>206</v>
      </c>
      <c r="S16" s="42" t="s">
        <v>68</v>
      </c>
      <c r="T16" s="42" t="s">
        <v>206</v>
      </c>
      <c r="U16" s="42" t="s">
        <v>206</v>
      </c>
      <c r="V16" s="16" t="s">
        <v>967</v>
      </c>
      <c r="W16" s="16"/>
      <c r="X16" s="283" t="s">
        <v>616</v>
      </c>
      <c r="Y16" s="1135">
        <v>45322</v>
      </c>
      <c r="Z16" s="42" t="s">
        <v>206</v>
      </c>
      <c r="AA16" s="84">
        <v>44887</v>
      </c>
      <c r="AB16" s="84">
        <v>45517</v>
      </c>
      <c r="AC16" s="3" t="s">
        <v>206</v>
      </c>
      <c r="AD16" s="84">
        <v>45516</v>
      </c>
      <c r="AE16" s="52" t="s">
        <v>206</v>
      </c>
      <c r="AF16" s="84">
        <v>45423</v>
      </c>
      <c r="AG16" s="621"/>
      <c r="AH16" s="621"/>
    </row>
    <row r="17" spans="1:34" ht="15.6" x14ac:dyDescent="0.25">
      <c r="A17" s="1422"/>
      <c r="B17" s="1434"/>
      <c r="C17" s="27" t="s">
        <v>54</v>
      </c>
      <c r="D17" s="1131" t="s">
        <v>968</v>
      </c>
      <c r="E17" s="20" t="s">
        <v>1206</v>
      </c>
      <c r="F17" s="29" t="s">
        <v>863</v>
      </c>
      <c r="G17" s="29" t="s">
        <v>13</v>
      </c>
      <c r="H17" s="19">
        <v>43482</v>
      </c>
      <c r="I17" s="3">
        <v>223</v>
      </c>
      <c r="J17" s="3" t="s">
        <v>58</v>
      </c>
      <c r="K17" s="47">
        <v>44950</v>
      </c>
      <c r="L17" s="47">
        <v>45054</v>
      </c>
      <c r="M17" s="42"/>
      <c r="N17" s="42" t="s">
        <v>62</v>
      </c>
      <c r="O17" s="42"/>
      <c r="P17" s="42" t="s">
        <v>62</v>
      </c>
      <c r="Q17" s="42"/>
      <c r="R17" s="51" t="s">
        <v>206</v>
      </c>
      <c r="S17" s="42" t="s">
        <v>62</v>
      </c>
      <c r="T17" s="42" t="s">
        <v>206</v>
      </c>
      <c r="U17" s="42" t="s">
        <v>206</v>
      </c>
      <c r="V17" s="16" t="s">
        <v>969</v>
      </c>
      <c r="W17" s="16"/>
      <c r="X17" s="283" t="s">
        <v>604</v>
      </c>
      <c r="Y17" s="1135">
        <v>45322</v>
      </c>
      <c r="Z17" s="42" t="s">
        <v>206</v>
      </c>
      <c r="AA17" s="84">
        <v>44887</v>
      </c>
      <c r="AB17" s="84">
        <v>45517</v>
      </c>
      <c r="AC17" s="3" t="s">
        <v>206</v>
      </c>
      <c r="AD17" s="84">
        <v>45516</v>
      </c>
      <c r="AE17" s="52" t="s">
        <v>206</v>
      </c>
      <c r="AF17" s="84">
        <v>45422</v>
      </c>
      <c r="AG17" s="621"/>
      <c r="AH17" s="621"/>
    </row>
    <row r="18" spans="1:34" ht="15.6" x14ac:dyDescent="0.25">
      <c r="A18" s="1421">
        <v>9</v>
      </c>
      <c r="B18" s="1435">
        <v>39025</v>
      </c>
      <c r="C18" s="27" t="s">
        <v>64</v>
      </c>
      <c r="D18" s="1131" t="s">
        <v>970</v>
      </c>
      <c r="E18" s="20" t="s">
        <v>1206</v>
      </c>
      <c r="F18" s="29" t="s">
        <v>863</v>
      </c>
      <c r="G18" s="29" t="s">
        <v>13</v>
      </c>
      <c r="H18" s="19">
        <v>43484</v>
      </c>
      <c r="I18" s="3">
        <v>251</v>
      </c>
      <c r="J18" s="3" t="s">
        <v>58</v>
      </c>
      <c r="K18" s="47">
        <v>45146</v>
      </c>
      <c r="L18" s="47">
        <v>45042</v>
      </c>
      <c r="M18" s="53" t="s">
        <v>75</v>
      </c>
      <c r="N18" s="42" t="s">
        <v>68</v>
      </c>
      <c r="O18" s="42" t="s">
        <v>206</v>
      </c>
      <c r="P18" s="42" t="s">
        <v>68</v>
      </c>
      <c r="Q18" s="42"/>
      <c r="R18" s="51" t="s">
        <v>206</v>
      </c>
      <c r="S18" s="42" t="s">
        <v>68</v>
      </c>
      <c r="T18" s="42" t="s">
        <v>206</v>
      </c>
      <c r="U18" s="42" t="s">
        <v>206</v>
      </c>
      <c r="V18" s="3" t="s">
        <v>971</v>
      </c>
      <c r="W18" s="16"/>
      <c r="X18" s="42" t="s">
        <v>68</v>
      </c>
      <c r="Y18" s="42"/>
      <c r="Z18" s="42" t="s">
        <v>206</v>
      </c>
      <c r="AA18" s="52">
        <v>45345</v>
      </c>
      <c r="AB18" s="52">
        <v>45479</v>
      </c>
      <c r="AC18" s="52" t="s">
        <v>206</v>
      </c>
      <c r="AD18" s="52">
        <v>45462</v>
      </c>
      <c r="AE18" s="52" t="s">
        <v>206</v>
      </c>
      <c r="AF18" s="52">
        <v>45462</v>
      </c>
      <c r="AG18" s="621"/>
      <c r="AH18" s="621"/>
    </row>
    <row r="19" spans="1:34" ht="15.6" x14ac:dyDescent="0.25">
      <c r="A19" s="1422"/>
      <c r="B19" s="1434"/>
      <c r="C19" s="27" t="s">
        <v>54</v>
      </c>
      <c r="D19" s="1131" t="s">
        <v>972</v>
      </c>
      <c r="E19" s="20" t="s">
        <v>1206</v>
      </c>
      <c r="F19" s="29" t="s">
        <v>863</v>
      </c>
      <c r="G19" s="29" t="s">
        <v>13</v>
      </c>
      <c r="H19" s="19">
        <v>43484</v>
      </c>
      <c r="I19" s="3">
        <v>249</v>
      </c>
      <c r="J19" s="3" t="s">
        <v>58</v>
      </c>
      <c r="K19" s="47">
        <v>45146</v>
      </c>
      <c r="L19" s="47">
        <v>45042</v>
      </c>
      <c r="M19" s="53" t="s">
        <v>75</v>
      </c>
      <c r="N19" s="42" t="s">
        <v>62</v>
      </c>
      <c r="O19" s="42" t="s">
        <v>206</v>
      </c>
      <c r="P19" s="42" t="s">
        <v>62</v>
      </c>
      <c r="Q19" s="42"/>
      <c r="R19" s="51" t="s">
        <v>206</v>
      </c>
      <c r="S19" s="42" t="s">
        <v>62</v>
      </c>
      <c r="T19" s="42" t="s">
        <v>206</v>
      </c>
      <c r="U19" s="42"/>
      <c r="V19" s="16"/>
      <c r="W19" s="16"/>
      <c r="X19" s="42" t="s">
        <v>62</v>
      </c>
      <c r="Y19" s="1135">
        <v>45248</v>
      </c>
      <c r="Z19" s="42" t="s">
        <v>206</v>
      </c>
      <c r="AA19" s="52">
        <v>45248</v>
      </c>
      <c r="AB19" s="52">
        <v>45479</v>
      </c>
      <c r="AC19" s="52" t="s">
        <v>206</v>
      </c>
      <c r="AD19" s="52">
        <v>45462</v>
      </c>
      <c r="AE19" s="52" t="s">
        <v>206</v>
      </c>
      <c r="AF19" s="52">
        <v>45463</v>
      </c>
      <c r="AG19" s="621"/>
      <c r="AH19" s="621"/>
    </row>
    <row r="20" spans="1:34" ht="15.6" x14ac:dyDescent="0.25">
      <c r="A20" s="1421">
        <v>10</v>
      </c>
      <c r="B20" s="1423">
        <v>39183</v>
      </c>
      <c r="C20" s="27" t="s">
        <v>64</v>
      </c>
      <c r="D20" s="51" t="s">
        <v>976</v>
      </c>
      <c r="E20" s="20" t="s">
        <v>1206</v>
      </c>
      <c r="F20" s="29" t="s">
        <v>863</v>
      </c>
      <c r="G20" s="29" t="s">
        <v>13</v>
      </c>
      <c r="H20" s="19"/>
      <c r="I20" s="3"/>
      <c r="J20" s="3" t="s">
        <v>58</v>
      </c>
      <c r="K20" s="47">
        <v>45451</v>
      </c>
      <c r="L20" s="47"/>
      <c r="M20" s="53" t="s">
        <v>75</v>
      </c>
      <c r="N20" s="42" t="s">
        <v>206</v>
      </c>
      <c r="O20" s="16" t="s">
        <v>206</v>
      </c>
      <c r="P20" s="42" t="s">
        <v>206</v>
      </c>
      <c r="Q20" s="42"/>
      <c r="R20" s="51" t="s">
        <v>206</v>
      </c>
      <c r="S20" s="16" t="s">
        <v>206</v>
      </c>
      <c r="T20" s="42" t="s">
        <v>206</v>
      </c>
      <c r="U20" s="16" t="s">
        <v>206</v>
      </c>
      <c r="V20" s="16"/>
      <c r="W20" s="16"/>
      <c r="X20" s="283" t="s">
        <v>63</v>
      </c>
      <c r="Y20" s="42" t="s">
        <v>206</v>
      </c>
      <c r="Z20" s="42" t="s">
        <v>206</v>
      </c>
      <c r="AA20" s="52">
        <v>45153</v>
      </c>
      <c r="AB20" s="52">
        <v>45531</v>
      </c>
      <c r="AC20" s="3" t="s">
        <v>206</v>
      </c>
      <c r="AD20" s="84">
        <v>45551</v>
      </c>
      <c r="AE20" s="52" t="s">
        <v>206</v>
      </c>
      <c r="AF20" s="52"/>
      <c r="AG20" s="621"/>
      <c r="AH20" s="621"/>
    </row>
    <row r="21" spans="1:34" ht="15.6" x14ac:dyDescent="0.25">
      <c r="A21" s="1422"/>
      <c r="B21" s="1424"/>
      <c r="C21" s="27" t="s">
        <v>54</v>
      </c>
      <c r="D21" s="51" t="s">
        <v>976</v>
      </c>
      <c r="E21" s="20" t="s">
        <v>1206</v>
      </c>
      <c r="F21" s="29" t="s">
        <v>863</v>
      </c>
      <c r="G21" s="29" t="s">
        <v>13</v>
      </c>
      <c r="H21" s="51"/>
      <c r="I21" s="3" t="s">
        <v>977</v>
      </c>
      <c r="J21" s="3" t="s">
        <v>58</v>
      </c>
      <c r="K21" s="33">
        <v>45451</v>
      </c>
      <c r="L21" s="33"/>
      <c r="M21" s="16" t="s">
        <v>75</v>
      </c>
      <c r="N21" s="16" t="s">
        <v>75</v>
      </c>
      <c r="O21" s="16" t="s">
        <v>206</v>
      </c>
      <c r="P21" s="16" t="s">
        <v>206</v>
      </c>
      <c r="Q21" s="16"/>
      <c r="R21" s="51" t="s">
        <v>206</v>
      </c>
      <c r="S21" s="16" t="s">
        <v>206</v>
      </c>
      <c r="T21" s="16" t="s">
        <v>75</v>
      </c>
      <c r="U21" s="16" t="s">
        <v>206</v>
      </c>
      <c r="V21" s="16"/>
      <c r="W21" s="16"/>
      <c r="X21" s="276" t="s">
        <v>616</v>
      </c>
      <c r="Y21" s="42" t="s">
        <v>206</v>
      </c>
      <c r="Z21" s="42" t="s">
        <v>206</v>
      </c>
      <c r="AA21" s="52">
        <v>45153</v>
      </c>
      <c r="AB21" s="52">
        <v>45531</v>
      </c>
      <c r="AC21" s="3" t="s">
        <v>206</v>
      </c>
      <c r="AD21" s="84">
        <v>45551</v>
      </c>
      <c r="AE21" s="52" t="s">
        <v>206</v>
      </c>
      <c r="AF21" s="52"/>
      <c r="AG21" s="621"/>
      <c r="AH21" s="621"/>
    </row>
    <row r="22" spans="1:34" ht="15.6" x14ac:dyDescent="0.25">
      <c r="A22" s="1421">
        <v>11</v>
      </c>
      <c r="B22" s="1431">
        <v>30670</v>
      </c>
      <c r="C22" s="27" t="s">
        <v>64</v>
      </c>
      <c r="D22" s="385" t="s">
        <v>979</v>
      </c>
      <c r="E22" s="20" t="s">
        <v>1206</v>
      </c>
      <c r="F22" s="29" t="s">
        <v>863</v>
      </c>
      <c r="G22" s="29" t="s">
        <v>13</v>
      </c>
      <c r="H22" s="51"/>
      <c r="I22" s="3"/>
      <c r="J22" s="3"/>
      <c r="K22" s="33">
        <v>45334</v>
      </c>
      <c r="L22" s="33"/>
      <c r="M22" s="16"/>
      <c r="N22" s="16" t="s">
        <v>121</v>
      </c>
      <c r="O22" s="16" t="s">
        <v>206</v>
      </c>
      <c r="P22" s="16" t="s">
        <v>206</v>
      </c>
      <c r="Q22" s="16"/>
      <c r="R22" s="51" t="s">
        <v>206</v>
      </c>
      <c r="S22" s="16" t="s">
        <v>206</v>
      </c>
      <c r="T22" s="16" t="s">
        <v>206</v>
      </c>
      <c r="U22" s="16" t="s">
        <v>206</v>
      </c>
      <c r="V22" s="16"/>
      <c r="W22" s="16"/>
      <c r="X22" s="276" t="s">
        <v>68</v>
      </c>
      <c r="Y22" s="1135">
        <v>45232</v>
      </c>
      <c r="Z22" s="42" t="s">
        <v>206</v>
      </c>
      <c r="AA22" s="84">
        <v>45263</v>
      </c>
      <c r="AB22" s="84" t="s">
        <v>1212</v>
      </c>
      <c r="AC22" s="3" t="s">
        <v>206</v>
      </c>
      <c r="AD22" s="84">
        <v>45544</v>
      </c>
      <c r="AE22" s="52" t="s">
        <v>206</v>
      </c>
      <c r="AF22" s="3"/>
      <c r="AG22" s="621"/>
      <c r="AH22" s="621"/>
    </row>
    <row r="23" spans="1:34" ht="15.6" x14ac:dyDescent="0.25">
      <c r="A23" s="1422"/>
      <c r="B23" s="1436"/>
      <c r="C23" s="27" t="s">
        <v>54</v>
      </c>
      <c r="D23" s="1136" t="s">
        <v>982</v>
      </c>
      <c r="E23" s="20" t="s">
        <v>1206</v>
      </c>
      <c r="F23" s="29" t="s">
        <v>863</v>
      </c>
      <c r="G23" s="29" t="s">
        <v>13</v>
      </c>
      <c r="H23" s="51"/>
      <c r="I23" s="3"/>
      <c r="J23" s="3"/>
      <c r="K23" s="33">
        <v>45334</v>
      </c>
      <c r="L23" s="33"/>
      <c r="M23" s="16"/>
      <c r="N23" s="16" t="s">
        <v>121</v>
      </c>
      <c r="O23" s="16" t="s">
        <v>206</v>
      </c>
      <c r="P23" s="16" t="s">
        <v>206</v>
      </c>
      <c r="Q23" s="16"/>
      <c r="R23" s="51" t="s">
        <v>206</v>
      </c>
      <c r="S23" s="16" t="s">
        <v>206</v>
      </c>
      <c r="T23" s="16" t="s">
        <v>206</v>
      </c>
      <c r="U23" s="16" t="s">
        <v>206</v>
      </c>
      <c r="V23" s="16"/>
      <c r="W23" s="16"/>
      <c r="X23" s="276" t="s">
        <v>62</v>
      </c>
      <c r="Y23" s="1135">
        <v>45232</v>
      </c>
      <c r="Z23" s="42" t="s">
        <v>206</v>
      </c>
      <c r="AA23" s="84">
        <v>45263</v>
      </c>
      <c r="AB23" s="84" t="s">
        <v>1212</v>
      </c>
      <c r="AC23" s="3" t="s">
        <v>206</v>
      </c>
      <c r="AD23" s="84">
        <v>45544</v>
      </c>
      <c r="AE23" s="52" t="s">
        <v>206</v>
      </c>
      <c r="AF23" s="3"/>
      <c r="AG23" s="621"/>
      <c r="AH23" s="621"/>
    </row>
    <row r="24" spans="1:34" ht="15.6" x14ac:dyDescent="0.25">
      <c r="A24" s="1421">
        <v>12</v>
      </c>
      <c r="B24" s="1437">
        <v>30360</v>
      </c>
      <c r="C24" s="227" t="s">
        <v>64</v>
      </c>
      <c r="D24" s="229" t="s">
        <v>1056</v>
      </c>
      <c r="E24" s="20" t="s">
        <v>1206</v>
      </c>
      <c r="F24" s="103" t="s">
        <v>863</v>
      </c>
      <c r="G24" s="103" t="s">
        <v>13</v>
      </c>
      <c r="H24" s="103"/>
      <c r="I24" s="103"/>
      <c r="J24" s="103"/>
      <c r="K24" s="106">
        <v>45276</v>
      </c>
      <c r="L24" s="106"/>
      <c r="M24" s="105"/>
      <c r="N24" s="105" t="s">
        <v>68</v>
      </c>
      <c r="O24" s="105"/>
      <c r="P24" s="105" t="s">
        <v>206</v>
      </c>
      <c r="Q24" s="105"/>
      <c r="R24" s="51" t="s">
        <v>206</v>
      </c>
      <c r="S24" s="105" t="s">
        <v>206</v>
      </c>
      <c r="T24" s="105" t="s">
        <v>206</v>
      </c>
      <c r="U24" s="105" t="s">
        <v>206</v>
      </c>
      <c r="V24" s="105"/>
      <c r="W24" s="105"/>
      <c r="X24" s="105" t="s">
        <v>981</v>
      </c>
      <c r="Y24" s="716">
        <v>45272</v>
      </c>
      <c r="Z24" s="715">
        <v>45272</v>
      </c>
      <c r="AA24" s="84">
        <v>45184</v>
      </c>
      <c r="AB24" s="84" t="s">
        <v>1212</v>
      </c>
      <c r="AC24" s="84">
        <v>45272</v>
      </c>
      <c r="AD24" s="84"/>
      <c r="AE24" s="52" t="s">
        <v>206</v>
      </c>
      <c r="AF24" s="3"/>
      <c r="AG24" s="621"/>
      <c r="AH24" s="621"/>
    </row>
    <row r="25" spans="1:34" ht="15.6" x14ac:dyDescent="0.25">
      <c r="A25" s="1422"/>
      <c r="B25" s="1430"/>
      <c r="C25" s="227" t="s">
        <v>54</v>
      </c>
      <c r="D25" s="244" t="s">
        <v>1057</v>
      </c>
      <c r="E25" s="20" t="s">
        <v>1206</v>
      </c>
      <c r="F25" s="103" t="s">
        <v>863</v>
      </c>
      <c r="G25" s="103" t="s">
        <v>13</v>
      </c>
      <c r="H25" s="103"/>
      <c r="I25" s="103"/>
      <c r="J25" s="103"/>
      <c r="K25" s="106">
        <v>45276</v>
      </c>
      <c r="L25" s="106"/>
      <c r="M25" s="105"/>
      <c r="N25" s="105" t="s">
        <v>62</v>
      </c>
      <c r="O25" s="105"/>
      <c r="P25" s="105" t="s">
        <v>206</v>
      </c>
      <c r="Q25" s="105"/>
      <c r="R25" s="51" t="s">
        <v>206</v>
      </c>
      <c r="S25" s="105" t="s">
        <v>206</v>
      </c>
      <c r="T25" s="105" t="s">
        <v>206</v>
      </c>
      <c r="U25" s="105" t="s">
        <v>206</v>
      </c>
      <c r="V25" s="105"/>
      <c r="W25" s="105"/>
      <c r="X25" s="105" t="s">
        <v>604</v>
      </c>
      <c r="Y25" s="716">
        <v>45272</v>
      </c>
      <c r="Z25" s="715">
        <v>45272</v>
      </c>
      <c r="AA25" s="84">
        <v>45184</v>
      </c>
      <c r="AB25" s="84" t="s">
        <v>1212</v>
      </c>
      <c r="AC25" s="84">
        <v>45272</v>
      </c>
      <c r="AD25" s="84"/>
      <c r="AE25" s="52" t="s">
        <v>206</v>
      </c>
      <c r="AF25" s="3"/>
      <c r="AG25" s="621"/>
      <c r="AH25" s="621"/>
    </row>
    <row r="26" spans="1:34" ht="15.6" x14ac:dyDescent="0.25">
      <c r="A26" s="1421">
        <v>13</v>
      </c>
      <c r="B26" s="1429">
        <v>30650</v>
      </c>
      <c r="C26" s="227" t="s">
        <v>64</v>
      </c>
      <c r="D26" s="244" t="s">
        <v>1058</v>
      </c>
      <c r="E26" s="20" t="s">
        <v>1206</v>
      </c>
      <c r="F26" s="103" t="s">
        <v>863</v>
      </c>
      <c r="G26" s="103" t="s">
        <v>13</v>
      </c>
      <c r="H26" s="103"/>
      <c r="I26" s="103"/>
      <c r="J26" s="103"/>
      <c r="K26" s="106">
        <v>45388</v>
      </c>
      <c r="L26" s="106"/>
      <c r="M26" s="105"/>
      <c r="N26" s="105" t="s">
        <v>68</v>
      </c>
      <c r="O26" s="105" t="s">
        <v>206</v>
      </c>
      <c r="P26" s="105" t="s">
        <v>206</v>
      </c>
      <c r="Q26" s="105"/>
      <c r="R26" s="51" t="s">
        <v>206</v>
      </c>
      <c r="S26" s="105" t="s">
        <v>206</v>
      </c>
      <c r="T26" s="105" t="s">
        <v>206</v>
      </c>
      <c r="U26" s="105" t="s">
        <v>206</v>
      </c>
      <c r="V26" s="105"/>
      <c r="W26" s="105"/>
      <c r="X26" s="105" t="s">
        <v>206</v>
      </c>
      <c r="Y26" s="716">
        <v>45268</v>
      </c>
      <c r="Z26" s="277" t="s">
        <v>206</v>
      </c>
      <c r="AA26" s="84">
        <v>45092</v>
      </c>
      <c r="AB26" s="84">
        <v>45471</v>
      </c>
      <c r="AC26" s="84">
        <v>45268</v>
      </c>
      <c r="AD26" s="84"/>
      <c r="AE26" s="52" t="s">
        <v>206</v>
      </c>
      <c r="AF26" s="3"/>
      <c r="AG26" s="621"/>
      <c r="AH26" s="621"/>
    </row>
    <row r="27" spans="1:34" ht="15.6" x14ac:dyDescent="0.25">
      <c r="A27" s="1422"/>
      <c r="B27" s="1430"/>
      <c r="C27" s="227" t="s">
        <v>54</v>
      </c>
      <c r="D27" s="244" t="s">
        <v>1059</v>
      </c>
      <c r="E27" s="20" t="s">
        <v>1206</v>
      </c>
      <c r="F27" s="103" t="s">
        <v>863</v>
      </c>
      <c r="G27" s="103" t="s">
        <v>13</v>
      </c>
      <c r="H27" s="103"/>
      <c r="I27" s="103"/>
      <c r="J27" s="103"/>
      <c r="K27" s="106">
        <v>45388</v>
      </c>
      <c r="L27" s="106"/>
      <c r="M27" s="105"/>
      <c r="N27" s="105" t="s">
        <v>62</v>
      </c>
      <c r="O27" s="105" t="s">
        <v>206</v>
      </c>
      <c r="P27" s="105" t="s">
        <v>206</v>
      </c>
      <c r="Q27" s="105"/>
      <c r="R27" s="51" t="s">
        <v>206</v>
      </c>
      <c r="S27" s="105" t="s">
        <v>206</v>
      </c>
      <c r="T27" s="105" t="s">
        <v>206</v>
      </c>
      <c r="U27" s="105" t="s">
        <v>206</v>
      </c>
      <c r="V27" s="105"/>
      <c r="W27" s="105"/>
      <c r="X27" s="105" t="s">
        <v>206</v>
      </c>
      <c r="Y27" s="716">
        <v>45268</v>
      </c>
      <c r="Z27" s="277" t="s">
        <v>206</v>
      </c>
      <c r="AA27" s="84">
        <v>45092</v>
      </c>
      <c r="AB27" s="84">
        <v>45471</v>
      </c>
      <c r="AC27" s="84">
        <v>45268</v>
      </c>
      <c r="AD27" s="84"/>
      <c r="AE27" s="52" t="s">
        <v>206</v>
      </c>
      <c r="AF27" s="3"/>
      <c r="AG27" s="621"/>
      <c r="AH27" s="621"/>
    </row>
    <row r="28" spans="1:34" ht="15.6" x14ac:dyDescent="0.25">
      <c r="A28" s="1421">
        <v>14</v>
      </c>
      <c r="B28" s="1429">
        <v>30376</v>
      </c>
      <c r="C28" s="227" t="s">
        <v>64</v>
      </c>
      <c r="D28" s="244" t="s">
        <v>1060</v>
      </c>
      <c r="E28" s="20" t="s">
        <v>1206</v>
      </c>
      <c r="F28" s="103" t="s">
        <v>863</v>
      </c>
      <c r="G28" s="103" t="s">
        <v>13</v>
      </c>
      <c r="H28" s="103"/>
      <c r="I28" s="103"/>
      <c r="J28" s="103"/>
      <c r="K28" s="106">
        <v>45153</v>
      </c>
      <c r="L28" s="106">
        <v>45477</v>
      </c>
      <c r="M28" s="105"/>
      <c r="N28" s="105" t="s">
        <v>68</v>
      </c>
      <c r="O28" s="105" t="s">
        <v>206</v>
      </c>
      <c r="P28" s="105" t="s">
        <v>206</v>
      </c>
      <c r="Q28" s="105"/>
      <c r="R28" s="51" t="s">
        <v>206</v>
      </c>
      <c r="S28" s="105" t="s">
        <v>206</v>
      </c>
      <c r="T28" s="105" t="s">
        <v>206</v>
      </c>
      <c r="U28" s="105" t="s">
        <v>206</v>
      </c>
      <c r="V28" s="105"/>
      <c r="W28" s="105"/>
      <c r="X28" s="105" t="s">
        <v>981</v>
      </c>
      <c r="Y28" s="716">
        <v>45269</v>
      </c>
      <c r="Z28" s="277" t="s">
        <v>206</v>
      </c>
      <c r="AA28" s="84">
        <v>45153</v>
      </c>
      <c r="AB28" s="84">
        <v>45477</v>
      </c>
      <c r="AC28" s="84">
        <v>45269</v>
      </c>
      <c r="AD28" s="84">
        <v>45559</v>
      </c>
      <c r="AE28" s="52" t="s">
        <v>206</v>
      </c>
      <c r="AF28" s="3"/>
      <c r="AG28" s="621"/>
      <c r="AH28" s="621"/>
    </row>
    <row r="29" spans="1:34" ht="15.6" x14ac:dyDescent="0.25">
      <c r="A29" s="1422"/>
      <c r="B29" s="1430"/>
      <c r="C29" s="227" t="s">
        <v>54</v>
      </c>
      <c r="D29" s="244" t="s">
        <v>1061</v>
      </c>
      <c r="E29" s="20" t="s">
        <v>1206</v>
      </c>
      <c r="F29" s="103" t="s">
        <v>863</v>
      </c>
      <c r="G29" s="103" t="s">
        <v>13</v>
      </c>
      <c r="H29" s="103"/>
      <c r="I29" s="103"/>
      <c r="J29" s="103"/>
      <c r="K29" s="106">
        <v>45153</v>
      </c>
      <c r="L29" s="106">
        <v>45477</v>
      </c>
      <c r="M29" s="105"/>
      <c r="N29" s="105" t="s">
        <v>62</v>
      </c>
      <c r="O29" s="105" t="s">
        <v>206</v>
      </c>
      <c r="P29" s="105" t="s">
        <v>206</v>
      </c>
      <c r="Q29" s="105"/>
      <c r="R29" s="51" t="s">
        <v>206</v>
      </c>
      <c r="S29" s="105" t="s">
        <v>206</v>
      </c>
      <c r="T29" s="105" t="s">
        <v>206</v>
      </c>
      <c r="U29" s="105" t="s">
        <v>206</v>
      </c>
      <c r="V29" s="105"/>
      <c r="W29" s="105"/>
      <c r="X29" s="105" t="s">
        <v>604</v>
      </c>
      <c r="Y29" s="716">
        <v>45269</v>
      </c>
      <c r="Z29" s="277" t="s">
        <v>206</v>
      </c>
      <c r="AA29" s="84">
        <v>45153</v>
      </c>
      <c r="AB29" s="84">
        <v>45477</v>
      </c>
      <c r="AC29" s="84">
        <v>45269</v>
      </c>
      <c r="AD29" s="84">
        <v>45559</v>
      </c>
      <c r="AE29" s="52" t="s">
        <v>206</v>
      </c>
      <c r="AF29" s="3"/>
      <c r="AG29" s="621"/>
      <c r="AH29" s="621"/>
    </row>
    <row r="30" spans="1:34" ht="15.6" x14ac:dyDescent="0.25">
      <c r="A30" s="1421">
        <v>15</v>
      </c>
      <c r="B30" s="1429">
        <v>30361</v>
      </c>
      <c r="C30" s="227" t="s">
        <v>64</v>
      </c>
      <c r="D30" s="244" t="s">
        <v>1062</v>
      </c>
      <c r="E30" s="20" t="s">
        <v>1206</v>
      </c>
      <c r="F30" s="103" t="s">
        <v>863</v>
      </c>
      <c r="G30" s="103" t="s">
        <v>13</v>
      </c>
      <c r="H30" s="103"/>
      <c r="I30" s="103"/>
      <c r="J30" s="103"/>
      <c r="K30" s="106">
        <v>45422</v>
      </c>
      <c r="L30" s="106">
        <v>45524</v>
      </c>
      <c r="M30" s="105"/>
      <c r="N30" s="105" t="s">
        <v>68</v>
      </c>
      <c r="O30" s="105" t="s">
        <v>206</v>
      </c>
      <c r="P30" s="105" t="s">
        <v>206</v>
      </c>
      <c r="Q30" s="105"/>
      <c r="R30" s="51" t="s">
        <v>206</v>
      </c>
      <c r="S30" s="105" t="s">
        <v>206</v>
      </c>
      <c r="T30" s="105" t="s">
        <v>206</v>
      </c>
      <c r="U30" s="105" t="s">
        <v>206</v>
      </c>
      <c r="V30" s="105"/>
      <c r="W30" s="105"/>
      <c r="X30" s="105" t="s">
        <v>981</v>
      </c>
      <c r="Y30" s="716">
        <v>45144</v>
      </c>
      <c r="Z30" s="277" t="s">
        <v>206</v>
      </c>
      <c r="AA30" s="84">
        <v>45144</v>
      </c>
      <c r="AB30" s="84">
        <v>45479</v>
      </c>
      <c r="AC30" s="3" t="s">
        <v>206</v>
      </c>
      <c r="AD30" s="84">
        <v>45524</v>
      </c>
      <c r="AE30" s="52" t="s">
        <v>206</v>
      </c>
      <c r="AF30" s="3"/>
      <c r="AG30" s="621"/>
      <c r="AH30" s="621"/>
    </row>
    <row r="31" spans="1:34" ht="15.6" x14ac:dyDescent="0.25">
      <c r="A31" s="1422"/>
      <c r="B31" s="1430"/>
      <c r="C31" s="227" t="s">
        <v>54</v>
      </c>
      <c r="D31" s="244" t="s">
        <v>1063</v>
      </c>
      <c r="E31" s="20" t="s">
        <v>1206</v>
      </c>
      <c r="F31" s="103" t="s">
        <v>863</v>
      </c>
      <c r="G31" s="103" t="s">
        <v>13</v>
      </c>
      <c r="H31" s="103"/>
      <c r="I31" s="103"/>
      <c r="J31" s="103"/>
      <c r="K31" s="106">
        <v>45422</v>
      </c>
      <c r="L31" s="106">
        <v>45524</v>
      </c>
      <c r="M31" s="105"/>
      <c r="N31" s="105" t="s">
        <v>62</v>
      </c>
      <c r="O31" s="105" t="s">
        <v>206</v>
      </c>
      <c r="P31" s="105" t="s">
        <v>206</v>
      </c>
      <c r="Q31" s="105"/>
      <c r="R31" s="51" t="s">
        <v>206</v>
      </c>
      <c r="S31" s="105" t="s">
        <v>206</v>
      </c>
      <c r="T31" s="105" t="s">
        <v>206</v>
      </c>
      <c r="U31" s="105" t="s">
        <v>206</v>
      </c>
      <c r="V31" s="105"/>
      <c r="W31" s="105"/>
      <c r="X31" s="105" t="s">
        <v>604</v>
      </c>
      <c r="Y31" s="716">
        <v>45144</v>
      </c>
      <c r="Z31" s="277" t="s">
        <v>206</v>
      </c>
      <c r="AA31" s="84">
        <v>45144</v>
      </c>
      <c r="AB31" s="84">
        <v>45479</v>
      </c>
      <c r="AC31" s="3" t="s">
        <v>206</v>
      </c>
      <c r="AD31" s="84">
        <v>45524</v>
      </c>
      <c r="AE31" s="52" t="s">
        <v>206</v>
      </c>
      <c r="AF31" s="3"/>
      <c r="AG31" s="621"/>
      <c r="AH31" s="621"/>
    </row>
    <row r="32" spans="1:34" ht="15.6" x14ac:dyDescent="0.25">
      <c r="A32" s="1421">
        <v>16</v>
      </c>
      <c r="B32" s="1429">
        <v>30377</v>
      </c>
      <c r="C32" s="227" t="s">
        <v>64</v>
      </c>
      <c r="D32" s="244" t="s">
        <v>1064</v>
      </c>
      <c r="E32" s="20" t="s">
        <v>1206</v>
      </c>
      <c r="F32" s="103" t="s">
        <v>863</v>
      </c>
      <c r="G32" s="103" t="s">
        <v>13</v>
      </c>
      <c r="H32" s="103"/>
      <c r="I32" s="103"/>
      <c r="J32" s="103"/>
      <c r="K32" s="106">
        <v>45404</v>
      </c>
      <c r="L32" s="106">
        <v>45063</v>
      </c>
      <c r="M32" s="105"/>
      <c r="N32" s="105" t="s">
        <v>68</v>
      </c>
      <c r="O32" s="105" t="s">
        <v>206</v>
      </c>
      <c r="P32" s="105" t="s">
        <v>206</v>
      </c>
      <c r="Q32" s="105"/>
      <c r="R32" s="51" t="s">
        <v>206</v>
      </c>
      <c r="S32" s="105" t="s">
        <v>206</v>
      </c>
      <c r="T32" s="105" t="s">
        <v>206</v>
      </c>
      <c r="U32" s="105" t="s">
        <v>206</v>
      </c>
      <c r="V32" s="105"/>
      <c r="W32" s="105"/>
      <c r="X32" s="105" t="s">
        <v>981</v>
      </c>
      <c r="Y32" s="105" t="s">
        <v>206</v>
      </c>
      <c r="Z32" s="277" t="s">
        <v>206</v>
      </c>
      <c r="AA32" s="84">
        <v>45192</v>
      </c>
      <c r="AB32" s="84">
        <v>45498</v>
      </c>
      <c r="AC32" s="3" t="s">
        <v>206</v>
      </c>
      <c r="AD32" s="2"/>
      <c r="AE32" s="52" t="s">
        <v>206</v>
      </c>
      <c r="AF32" s="3"/>
      <c r="AG32" s="621"/>
      <c r="AH32" s="621"/>
    </row>
    <row r="33" spans="1:34" ht="15.6" x14ac:dyDescent="0.25">
      <c r="A33" s="1422"/>
      <c r="B33" s="1438"/>
      <c r="C33" s="227" t="s">
        <v>54</v>
      </c>
      <c r="D33" s="244" t="s">
        <v>1065</v>
      </c>
      <c r="E33" s="20" t="s">
        <v>1206</v>
      </c>
      <c r="F33" s="103" t="s">
        <v>863</v>
      </c>
      <c r="G33" s="103" t="s">
        <v>13</v>
      </c>
      <c r="H33" s="103"/>
      <c r="I33" s="103"/>
      <c r="J33" s="103"/>
      <c r="K33" s="106">
        <v>45404</v>
      </c>
      <c r="L33" s="106">
        <v>45063</v>
      </c>
      <c r="M33" s="105"/>
      <c r="N33" s="105" t="s">
        <v>62</v>
      </c>
      <c r="O33" s="105" t="s">
        <v>206</v>
      </c>
      <c r="P33" s="105" t="s">
        <v>206</v>
      </c>
      <c r="Q33" s="105"/>
      <c r="R33" s="51" t="s">
        <v>206</v>
      </c>
      <c r="S33" s="105" t="s">
        <v>206</v>
      </c>
      <c r="T33" s="105" t="s">
        <v>206</v>
      </c>
      <c r="U33" s="105" t="s">
        <v>206</v>
      </c>
      <c r="V33" s="105"/>
      <c r="W33" s="105"/>
      <c r="X33" s="105" t="s">
        <v>604</v>
      </c>
      <c r="Y33" s="105" t="s">
        <v>206</v>
      </c>
      <c r="Z33" s="277" t="s">
        <v>206</v>
      </c>
      <c r="AA33" s="84">
        <v>45192</v>
      </c>
      <c r="AB33" s="84">
        <v>45498</v>
      </c>
      <c r="AC33" s="3" t="s">
        <v>206</v>
      </c>
      <c r="AD33" s="3"/>
      <c r="AE33" s="52" t="s">
        <v>206</v>
      </c>
      <c r="AF33" s="3"/>
      <c r="AG33" s="621"/>
      <c r="AH33" s="621"/>
    </row>
    <row r="34" spans="1:34" ht="15.6" x14ac:dyDescent="0.25">
      <c r="A34" s="1421">
        <v>17</v>
      </c>
      <c r="B34" s="1439">
        <v>30428</v>
      </c>
      <c r="C34" s="1137" t="s">
        <v>64</v>
      </c>
      <c r="D34" s="625" t="s">
        <v>1129</v>
      </c>
      <c r="E34" s="20" t="s">
        <v>1206</v>
      </c>
      <c r="F34" s="103" t="s">
        <v>863</v>
      </c>
      <c r="G34" s="103" t="s">
        <v>13</v>
      </c>
      <c r="H34" s="103"/>
      <c r="I34" s="103"/>
      <c r="J34" s="103"/>
      <c r="K34" s="106">
        <v>45279</v>
      </c>
      <c r="L34" s="106"/>
      <c r="M34" s="105"/>
      <c r="N34" s="105" t="s">
        <v>68</v>
      </c>
      <c r="O34" s="105" t="s">
        <v>206</v>
      </c>
      <c r="P34" s="105" t="s">
        <v>206</v>
      </c>
      <c r="Q34" s="105"/>
      <c r="R34" s="51" t="s">
        <v>206</v>
      </c>
      <c r="S34" s="105" t="s">
        <v>206</v>
      </c>
      <c r="T34" s="105" t="s">
        <v>206</v>
      </c>
      <c r="U34" s="105" t="s">
        <v>206</v>
      </c>
      <c r="V34" s="105"/>
      <c r="W34" s="105"/>
      <c r="X34" s="105" t="s">
        <v>206</v>
      </c>
      <c r="Y34" s="716">
        <v>45279</v>
      </c>
      <c r="Z34" s="271" t="s">
        <v>206</v>
      </c>
      <c r="AA34" s="84" t="s">
        <v>206</v>
      </c>
      <c r="AB34" s="84" t="s">
        <v>1237</v>
      </c>
      <c r="AC34" s="3" t="s">
        <v>206</v>
      </c>
      <c r="AD34" s="84">
        <v>45530</v>
      </c>
      <c r="AE34" s="52" t="s">
        <v>206</v>
      </c>
      <c r="AF34" s="3"/>
      <c r="AG34" s="621"/>
      <c r="AH34" s="621"/>
    </row>
    <row r="35" spans="1:34" ht="15.6" x14ac:dyDescent="0.25">
      <c r="A35" s="1422"/>
      <c r="B35" s="1439"/>
      <c r="C35" s="1137" t="s">
        <v>54</v>
      </c>
      <c r="D35" s="625" t="s">
        <v>1130</v>
      </c>
      <c r="E35" s="20" t="s">
        <v>1206</v>
      </c>
      <c r="F35" s="103" t="s">
        <v>863</v>
      </c>
      <c r="G35" s="103" t="s">
        <v>13</v>
      </c>
      <c r="H35" s="103"/>
      <c r="I35" s="103"/>
      <c r="J35" s="103"/>
      <c r="K35" s="106">
        <v>45279</v>
      </c>
      <c r="L35" s="106"/>
      <c r="M35" s="105"/>
      <c r="N35" s="105" t="s">
        <v>62</v>
      </c>
      <c r="O35" s="105" t="s">
        <v>206</v>
      </c>
      <c r="P35" s="105" t="s">
        <v>206</v>
      </c>
      <c r="Q35" s="105"/>
      <c r="R35" s="51" t="s">
        <v>206</v>
      </c>
      <c r="S35" s="105" t="s">
        <v>206</v>
      </c>
      <c r="T35" s="105" t="s">
        <v>206</v>
      </c>
      <c r="U35" s="105" t="s">
        <v>206</v>
      </c>
      <c r="V35" s="105"/>
      <c r="W35" s="105"/>
      <c r="X35" s="105" t="s">
        <v>206</v>
      </c>
      <c r="Y35" s="716">
        <v>45279</v>
      </c>
      <c r="Z35" s="271" t="s">
        <v>206</v>
      </c>
      <c r="AA35" s="84" t="s">
        <v>206</v>
      </c>
      <c r="AB35" s="84" t="s">
        <v>1237</v>
      </c>
      <c r="AC35" s="3" t="s">
        <v>206</v>
      </c>
      <c r="AD35" s="84">
        <v>45530</v>
      </c>
      <c r="AE35" s="52" t="s">
        <v>206</v>
      </c>
      <c r="AF35" s="3"/>
      <c r="AG35" s="621"/>
      <c r="AH35" s="621"/>
    </row>
    <row r="36" spans="1:34" ht="15.6" x14ac:dyDescent="0.25">
      <c r="A36" s="1421">
        <v>18</v>
      </c>
      <c r="B36" s="1439">
        <v>30343</v>
      </c>
      <c r="C36" s="1137" t="s">
        <v>64</v>
      </c>
      <c r="D36" s="244"/>
      <c r="E36" s="20" t="s">
        <v>1206</v>
      </c>
      <c r="F36" s="103" t="s">
        <v>863</v>
      </c>
      <c r="G36" s="103" t="s">
        <v>13</v>
      </c>
      <c r="H36" s="103"/>
      <c r="I36" s="103"/>
      <c r="J36" s="103"/>
      <c r="K36" s="106">
        <v>45283</v>
      </c>
      <c r="L36" s="106">
        <v>45479</v>
      </c>
      <c r="M36" s="105"/>
      <c r="N36" s="105" t="s">
        <v>68</v>
      </c>
      <c r="O36" s="105" t="s">
        <v>206</v>
      </c>
      <c r="P36" s="105" t="s">
        <v>206</v>
      </c>
      <c r="Q36" s="105"/>
      <c r="R36" s="51" t="s">
        <v>206</v>
      </c>
      <c r="S36" s="105" t="s">
        <v>206</v>
      </c>
      <c r="T36" s="105" t="s">
        <v>206</v>
      </c>
      <c r="U36" s="105" t="s">
        <v>206</v>
      </c>
      <c r="V36" s="105"/>
      <c r="W36" s="105"/>
      <c r="X36" s="105" t="s">
        <v>206</v>
      </c>
      <c r="Y36" s="105" t="s">
        <v>206</v>
      </c>
      <c r="Z36" s="271" t="s">
        <v>206</v>
      </c>
      <c r="AA36" s="84">
        <v>45070</v>
      </c>
      <c r="AB36" s="84">
        <v>45479</v>
      </c>
      <c r="AC36" s="84">
        <v>45284</v>
      </c>
      <c r="AD36" s="84">
        <v>45528</v>
      </c>
      <c r="AE36" s="52" t="s">
        <v>206</v>
      </c>
      <c r="AF36" s="3"/>
      <c r="AG36" s="621"/>
      <c r="AH36" s="621"/>
    </row>
    <row r="37" spans="1:34" ht="15.6" x14ac:dyDescent="0.25">
      <c r="A37" s="1422"/>
      <c r="B37" s="1439"/>
      <c r="C37" s="1137" t="s">
        <v>54</v>
      </c>
      <c r="D37" s="244"/>
      <c r="E37" s="20" t="s">
        <v>1206</v>
      </c>
      <c r="F37" s="103" t="s">
        <v>863</v>
      </c>
      <c r="G37" s="103" t="s">
        <v>13</v>
      </c>
      <c r="H37" s="103"/>
      <c r="I37" s="103"/>
      <c r="J37" s="103"/>
      <c r="K37" s="106">
        <v>45283</v>
      </c>
      <c r="L37" s="106">
        <v>45479</v>
      </c>
      <c r="M37" s="105"/>
      <c r="N37" s="105" t="s">
        <v>62</v>
      </c>
      <c r="O37" s="105" t="s">
        <v>206</v>
      </c>
      <c r="P37" s="105" t="s">
        <v>206</v>
      </c>
      <c r="Q37" s="105"/>
      <c r="R37" s="51" t="s">
        <v>206</v>
      </c>
      <c r="S37" s="105" t="s">
        <v>206</v>
      </c>
      <c r="T37" s="105" t="s">
        <v>206</v>
      </c>
      <c r="U37" s="105" t="s">
        <v>206</v>
      </c>
      <c r="V37" s="105"/>
      <c r="W37" s="105"/>
      <c r="X37" s="105" t="s">
        <v>206</v>
      </c>
      <c r="Y37" s="105" t="s">
        <v>206</v>
      </c>
      <c r="Z37" s="271" t="s">
        <v>206</v>
      </c>
      <c r="AA37" s="84">
        <v>45070</v>
      </c>
      <c r="AB37" s="84">
        <v>45479</v>
      </c>
      <c r="AC37" s="84">
        <v>45284</v>
      </c>
      <c r="AD37" s="84">
        <v>45528</v>
      </c>
      <c r="AE37" s="52" t="s">
        <v>206</v>
      </c>
      <c r="AF37" s="3"/>
      <c r="AG37" s="621"/>
      <c r="AH37" s="621"/>
    </row>
    <row r="38" spans="1:34" ht="15.6" x14ac:dyDescent="0.25">
      <c r="A38" s="1421">
        <v>19</v>
      </c>
      <c r="B38" s="1439">
        <v>30336</v>
      </c>
      <c r="C38" s="1137" t="s">
        <v>64</v>
      </c>
      <c r="D38" s="244"/>
      <c r="E38" s="20" t="s">
        <v>1206</v>
      </c>
      <c r="F38" s="103" t="s">
        <v>863</v>
      </c>
      <c r="G38" s="103" t="s">
        <v>13</v>
      </c>
      <c r="H38" s="851">
        <v>45025</v>
      </c>
      <c r="I38" s="103"/>
      <c r="J38" s="103"/>
      <c r="K38" s="106">
        <v>45413</v>
      </c>
      <c r="L38" s="106">
        <v>45513</v>
      </c>
      <c r="M38" s="105"/>
      <c r="N38" s="105" t="s">
        <v>68</v>
      </c>
      <c r="O38" s="105" t="s">
        <v>206</v>
      </c>
      <c r="P38" s="105" t="s">
        <v>206</v>
      </c>
      <c r="Q38" s="105"/>
      <c r="R38" s="51" t="s">
        <v>206</v>
      </c>
      <c r="S38" s="105" t="s">
        <v>206</v>
      </c>
      <c r="T38" s="105" t="s">
        <v>206</v>
      </c>
      <c r="U38" s="105" t="s">
        <v>206</v>
      </c>
      <c r="V38" s="105"/>
      <c r="W38" s="105"/>
      <c r="X38" s="105" t="s">
        <v>206</v>
      </c>
      <c r="Y38" s="105" t="s">
        <v>206</v>
      </c>
      <c r="Z38" s="271" t="s">
        <v>206</v>
      </c>
      <c r="AA38" s="84"/>
      <c r="AB38" s="84">
        <v>45514</v>
      </c>
      <c r="AC38" s="3" t="s">
        <v>206</v>
      </c>
      <c r="AD38" s="84">
        <v>45514</v>
      </c>
      <c r="AE38" s="52" t="s">
        <v>206</v>
      </c>
      <c r="AF38" s="3"/>
      <c r="AG38" s="621"/>
      <c r="AH38" s="621"/>
    </row>
    <row r="39" spans="1:34" ht="15.6" x14ac:dyDescent="0.25">
      <c r="A39" s="1422"/>
      <c r="B39" s="1439"/>
      <c r="C39" s="1137" t="s">
        <v>54</v>
      </c>
      <c r="D39" s="244"/>
      <c r="E39" s="20" t="s">
        <v>1206</v>
      </c>
      <c r="F39" s="103" t="s">
        <v>863</v>
      </c>
      <c r="G39" s="103" t="s">
        <v>13</v>
      </c>
      <c r="H39" s="851">
        <v>45025</v>
      </c>
      <c r="I39" s="103"/>
      <c r="J39" s="103"/>
      <c r="K39" s="106">
        <v>45413</v>
      </c>
      <c r="L39" s="106">
        <v>45513</v>
      </c>
      <c r="M39" s="105"/>
      <c r="N39" s="105" t="s">
        <v>62</v>
      </c>
      <c r="O39" s="105" t="s">
        <v>206</v>
      </c>
      <c r="P39" s="105" t="s">
        <v>206</v>
      </c>
      <c r="Q39" s="105"/>
      <c r="R39" s="51" t="s">
        <v>206</v>
      </c>
      <c r="S39" s="105" t="s">
        <v>206</v>
      </c>
      <c r="T39" s="105" t="s">
        <v>206</v>
      </c>
      <c r="U39" s="105" t="s">
        <v>206</v>
      </c>
      <c r="V39" s="105"/>
      <c r="W39" s="105"/>
      <c r="X39" s="105" t="s">
        <v>206</v>
      </c>
      <c r="Y39" s="105" t="s">
        <v>206</v>
      </c>
      <c r="Z39" s="271" t="s">
        <v>206</v>
      </c>
      <c r="AA39" s="84"/>
      <c r="AB39" s="84">
        <v>45514</v>
      </c>
      <c r="AC39" s="3" t="s">
        <v>206</v>
      </c>
      <c r="AD39" s="84">
        <v>45514</v>
      </c>
      <c r="AE39" s="52" t="s">
        <v>206</v>
      </c>
      <c r="AF39" s="3"/>
      <c r="AG39" s="621"/>
      <c r="AH39" s="621"/>
    </row>
    <row r="40" spans="1:34" ht="15.6" x14ac:dyDescent="0.25">
      <c r="A40" s="1421">
        <v>20</v>
      </c>
      <c r="B40" s="1439">
        <v>30373</v>
      </c>
      <c r="C40" s="1137" t="s">
        <v>64</v>
      </c>
      <c r="D40" s="244"/>
      <c r="E40" s="20" t="s">
        <v>1206</v>
      </c>
      <c r="F40" s="103" t="s">
        <v>863</v>
      </c>
      <c r="G40" s="103" t="s">
        <v>13</v>
      </c>
      <c r="H40" s="103"/>
      <c r="I40" s="103"/>
      <c r="J40" s="103"/>
      <c r="K40" s="106">
        <v>45399</v>
      </c>
      <c r="L40" s="106"/>
      <c r="M40" s="105"/>
      <c r="N40" s="105" t="s">
        <v>68</v>
      </c>
      <c r="O40" s="716">
        <v>45297</v>
      </c>
      <c r="P40" s="105" t="s">
        <v>206</v>
      </c>
      <c r="Q40" s="105"/>
      <c r="R40" s="51" t="s">
        <v>206</v>
      </c>
      <c r="S40" s="716">
        <v>45297</v>
      </c>
      <c r="T40" s="716">
        <v>45297</v>
      </c>
      <c r="U40" s="716">
        <v>45297</v>
      </c>
      <c r="V40" s="105"/>
      <c r="W40" s="105"/>
      <c r="X40" s="105" t="s">
        <v>206</v>
      </c>
      <c r="Y40" s="105" t="s">
        <v>206</v>
      </c>
      <c r="Z40" s="275">
        <v>45297</v>
      </c>
      <c r="AA40" s="84">
        <v>45297</v>
      </c>
      <c r="AB40" s="84">
        <v>45467</v>
      </c>
      <c r="AC40" s="84">
        <v>45297</v>
      </c>
      <c r="AD40" s="84">
        <v>45579</v>
      </c>
      <c r="AE40" s="52" t="s">
        <v>206</v>
      </c>
      <c r="AF40" s="3"/>
      <c r="AG40" s="621"/>
      <c r="AH40" s="621"/>
    </row>
    <row r="41" spans="1:34" ht="15.6" x14ac:dyDescent="0.25">
      <c r="A41" s="1422"/>
      <c r="B41" s="1439"/>
      <c r="C41" s="1137" t="s">
        <v>54</v>
      </c>
      <c r="D41" s="244"/>
      <c r="E41" s="20" t="s">
        <v>1206</v>
      </c>
      <c r="F41" s="103" t="s">
        <v>863</v>
      </c>
      <c r="G41" s="103" t="s">
        <v>13</v>
      </c>
      <c r="H41" s="103"/>
      <c r="I41" s="103"/>
      <c r="J41" s="103"/>
      <c r="K41" s="106">
        <v>45399</v>
      </c>
      <c r="L41" s="106"/>
      <c r="M41" s="105"/>
      <c r="N41" s="105" t="s">
        <v>62</v>
      </c>
      <c r="O41" s="716">
        <v>45297</v>
      </c>
      <c r="P41" s="105" t="s">
        <v>206</v>
      </c>
      <c r="Q41" s="105"/>
      <c r="R41" s="51" t="s">
        <v>206</v>
      </c>
      <c r="S41" s="716">
        <v>45297</v>
      </c>
      <c r="T41" s="716">
        <v>45297</v>
      </c>
      <c r="U41" s="716">
        <v>45297</v>
      </c>
      <c r="V41" s="105"/>
      <c r="W41" s="105"/>
      <c r="X41" s="105" t="s">
        <v>206</v>
      </c>
      <c r="Y41" s="105" t="s">
        <v>206</v>
      </c>
      <c r="Z41" s="275">
        <v>45297</v>
      </c>
      <c r="AA41" s="84">
        <v>45297</v>
      </c>
      <c r="AB41" s="84">
        <v>45467</v>
      </c>
      <c r="AC41" s="84">
        <v>45297</v>
      </c>
      <c r="AD41" s="84">
        <v>45579</v>
      </c>
      <c r="AE41" s="52" t="s">
        <v>206</v>
      </c>
      <c r="AF41" s="3"/>
      <c r="AG41" s="621"/>
      <c r="AH41" s="621"/>
    </row>
    <row r="42" spans="1:34" ht="15.6" x14ac:dyDescent="0.25">
      <c r="A42" s="1421">
        <v>21</v>
      </c>
      <c r="B42" s="1439">
        <v>30520</v>
      </c>
      <c r="C42" s="1137" t="s">
        <v>64</v>
      </c>
      <c r="D42" s="625" t="s">
        <v>1137</v>
      </c>
      <c r="E42" s="20" t="s">
        <v>1206</v>
      </c>
      <c r="F42" s="103" t="s">
        <v>863</v>
      </c>
      <c r="G42" s="103" t="s">
        <v>13</v>
      </c>
      <c r="H42" s="103"/>
      <c r="I42" s="103"/>
      <c r="J42" s="103"/>
      <c r="K42" s="106">
        <v>45395</v>
      </c>
      <c r="L42" s="106"/>
      <c r="M42" s="105"/>
      <c r="N42" s="105" t="s">
        <v>68</v>
      </c>
      <c r="O42" s="105" t="s">
        <v>206</v>
      </c>
      <c r="P42" s="105" t="s">
        <v>206</v>
      </c>
      <c r="Q42" s="105"/>
      <c r="R42" s="51" t="s">
        <v>206</v>
      </c>
      <c r="S42" s="105"/>
      <c r="T42" s="105" t="s">
        <v>206</v>
      </c>
      <c r="U42" s="105" t="s">
        <v>206</v>
      </c>
      <c r="V42" s="105"/>
      <c r="W42" s="105"/>
      <c r="X42" s="105" t="s">
        <v>206</v>
      </c>
      <c r="Y42" s="105" t="s">
        <v>206</v>
      </c>
      <c r="Z42" s="271" t="s">
        <v>206</v>
      </c>
      <c r="AA42" s="84" t="s">
        <v>206</v>
      </c>
      <c r="AB42" s="84">
        <v>45498</v>
      </c>
      <c r="AC42" s="3" t="s">
        <v>206</v>
      </c>
      <c r="AD42" s="84">
        <v>45555</v>
      </c>
      <c r="AE42" s="52" t="s">
        <v>206</v>
      </c>
      <c r="AF42" s="3"/>
      <c r="AG42" s="621"/>
      <c r="AH42" s="621"/>
    </row>
    <row r="43" spans="1:34" ht="15.6" x14ac:dyDescent="0.25">
      <c r="A43" s="1422"/>
      <c r="B43" s="1439"/>
      <c r="C43" s="1137" t="s">
        <v>54</v>
      </c>
      <c r="D43" s="625" t="s">
        <v>1138</v>
      </c>
      <c r="E43" s="20" t="s">
        <v>1206</v>
      </c>
      <c r="F43" s="103" t="s">
        <v>863</v>
      </c>
      <c r="G43" s="103" t="s">
        <v>13</v>
      </c>
      <c r="H43" s="103"/>
      <c r="I43" s="103"/>
      <c r="J43" s="103"/>
      <c r="K43" s="106">
        <v>45395</v>
      </c>
      <c r="L43" s="106"/>
      <c r="M43" s="105"/>
      <c r="N43" s="105" t="s">
        <v>62</v>
      </c>
      <c r="O43" s="105" t="s">
        <v>206</v>
      </c>
      <c r="P43" s="105" t="s">
        <v>206</v>
      </c>
      <c r="Q43" s="105"/>
      <c r="R43" s="51" t="s">
        <v>206</v>
      </c>
      <c r="S43" s="105"/>
      <c r="T43" s="105" t="s">
        <v>206</v>
      </c>
      <c r="U43" s="105" t="s">
        <v>206</v>
      </c>
      <c r="V43" s="105"/>
      <c r="W43" s="105"/>
      <c r="X43" s="105" t="s">
        <v>206</v>
      </c>
      <c r="Y43" s="105" t="s">
        <v>206</v>
      </c>
      <c r="Z43" s="271" t="s">
        <v>206</v>
      </c>
      <c r="AA43" s="84" t="s">
        <v>206</v>
      </c>
      <c r="AB43" s="84">
        <v>45498</v>
      </c>
      <c r="AC43" s="3" t="s">
        <v>206</v>
      </c>
      <c r="AD43" s="84">
        <v>45555</v>
      </c>
      <c r="AE43" s="52" t="s">
        <v>206</v>
      </c>
      <c r="AF43" s="3"/>
      <c r="AG43" s="621"/>
      <c r="AH43" s="621"/>
    </row>
    <row r="44" spans="1:34" ht="15.6" x14ac:dyDescent="0.25">
      <c r="A44" s="1421">
        <v>22</v>
      </c>
      <c r="B44" s="1439">
        <v>30356</v>
      </c>
      <c r="C44" s="1137" t="s">
        <v>64</v>
      </c>
      <c r="D44" s="625" t="s">
        <v>1139</v>
      </c>
      <c r="E44" s="20" t="s">
        <v>1206</v>
      </c>
      <c r="F44" s="103" t="s">
        <v>863</v>
      </c>
      <c r="G44" s="103" t="s">
        <v>13</v>
      </c>
      <c r="H44" s="103"/>
      <c r="I44" s="103"/>
      <c r="J44" s="103"/>
      <c r="K44" s="106">
        <v>45440</v>
      </c>
      <c r="L44" s="106">
        <v>45331</v>
      </c>
      <c r="M44" s="105"/>
      <c r="N44" s="105" t="s">
        <v>68</v>
      </c>
      <c r="O44" s="105"/>
      <c r="P44" s="105" t="s">
        <v>206</v>
      </c>
      <c r="Q44" s="105"/>
      <c r="R44" s="51" t="s">
        <v>206</v>
      </c>
      <c r="S44" s="716">
        <v>45334</v>
      </c>
      <c r="T44" s="105" t="s">
        <v>206</v>
      </c>
      <c r="U44" s="105" t="s">
        <v>206</v>
      </c>
      <c r="V44" s="105"/>
      <c r="W44" s="105"/>
      <c r="X44" s="105" t="s">
        <v>206</v>
      </c>
      <c r="Y44" s="716">
        <v>45334</v>
      </c>
      <c r="Z44" s="271" t="s">
        <v>206</v>
      </c>
      <c r="AA44" s="84"/>
      <c r="AB44" s="84">
        <v>45465</v>
      </c>
      <c r="AC44" s="84">
        <v>45331</v>
      </c>
      <c r="AD44" s="84">
        <v>45540</v>
      </c>
      <c r="AE44" s="52" t="s">
        <v>206</v>
      </c>
      <c r="AF44" s="3"/>
      <c r="AG44" s="621"/>
      <c r="AH44" s="621"/>
    </row>
    <row r="45" spans="1:34" ht="15.6" x14ac:dyDescent="0.25">
      <c r="A45" s="1422"/>
      <c r="B45" s="1439"/>
      <c r="C45" s="1137" t="s">
        <v>54</v>
      </c>
      <c r="D45" s="625" t="s">
        <v>1140</v>
      </c>
      <c r="E45" s="20" t="s">
        <v>1206</v>
      </c>
      <c r="F45" s="103" t="s">
        <v>863</v>
      </c>
      <c r="G45" s="103" t="s">
        <v>13</v>
      </c>
      <c r="H45" s="103"/>
      <c r="I45" s="103"/>
      <c r="J45" s="103"/>
      <c r="K45" s="106">
        <v>45440</v>
      </c>
      <c r="L45" s="106">
        <v>45331</v>
      </c>
      <c r="M45" s="105"/>
      <c r="N45" s="105" t="s">
        <v>62</v>
      </c>
      <c r="O45" s="105"/>
      <c r="P45" s="105" t="s">
        <v>206</v>
      </c>
      <c r="Q45" s="105"/>
      <c r="R45" s="51" t="s">
        <v>206</v>
      </c>
      <c r="S45" s="716">
        <v>45334</v>
      </c>
      <c r="T45" s="105" t="s">
        <v>206</v>
      </c>
      <c r="U45" s="105" t="s">
        <v>206</v>
      </c>
      <c r="V45" s="105"/>
      <c r="W45" s="105"/>
      <c r="X45" s="105" t="s">
        <v>206</v>
      </c>
      <c r="Y45" s="716">
        <v>45334</v>
      </c>
      <c r="Z45" s="271" t="s">
        <v>206</v>
      </c>
      <c r="AA45" s="84">
        <v>45339</v>
      </c>
      <c r="AB45" s="84">
        <v>45465</v>
      </c>
      <c r="AC45" s="84">
        <v>45331</v>
      </c>
      <c r="AD45" s="84">
        <v>45540</v>
      </c>
      <c r="AE45" s="52" t="s">
        <v>206</v>
      </c>
      <c r="AF45" s="3"/>
      <c r="AG45" s="621"/>
      <c r="AH45" s="621"/>
    </row>
    <row r="46" spans="1:34" ht="15.6" x14ac:dyDescent="0.25">
      <c r="A46" s="1421">
        <v>23</v>
      </c>
      <c r="B46" s="1439">
        <v>30721</v>
      </c>
      <c r="C46" s="1137" t="s">
        <v>64</v>
      </c>
      <c r="D46" s="625" t="s">
        <v>1141</v>
      </c>
      <c r="E46" s="20" t="s">
        <v>1206</v>
      </c>
      <c r="F46" s="103" t="s">
        <v>863</v>
      </c>
      <c r="G46" s="103" t="s">
        <v>13</v>
      </c>
      <c r="H46" s="103"/>
      <c r="I46" s="103"/>
      <c r="J46" s="103"/>
      <c r="K46" s="106">
        <v>45514</v>
      </c>
      <c r="L46" s="106">
        <v>45514</v>
      </c>
      <c r="M46" s="105"/>
      <c r="N46" s="105" t="s">
        <v>68</v>
      </c>
      <c r="O46" s="716">
        <v>45301</v>
      </c>
      <c r="P46" s="105" t="s">
        <v>206</v>
      </c>
      <c r="Q46" s="105"/>
      <c r="R46" s="51" t="s">
        <v>206</v>
      </c>
      <c r="S46" s="105" t="s">
        <v>206</v>
      </c>
      <c r="T46" s="105" t="s">
        <v>206</v>
      </c>
      <c r="U46" s="105" t="s">
        <v>206</v>
      </c>
      <c r="V46" s="105"/>
      <c r="W46" s="105"/>
      <c r="X46" s="105" t="s">
        <v>206</v>
      </c>
      <c r="Y46" s="105" t="s">
        <v>206</v>
      </c>
      <c r="Z46" s="271" t="s">
        <v>206</v>
      </c>
      <c r="AA46" s="84" t="s">
        <v>206</v>
      </c>
      <c r="AB46" s="84">
        <v>45514</v>
      </c>
      <c r="AC46" s="3" t="s">
        <v>206</v>
      </c>
      <c r="AD46" s="3"/>
      <c r="AE46" s="52" t="s">
        <v>206</v>
      </c>
      <c r="AF46" s="3"/>
      <c r="AG46" s="621"/>
      <c r="AH46" s="621"/>
    </row>
    <row r="47" spans="1:34" ht="15.6" x14ac:dyDescent="0.25">
      <c r="A47" s="1422"/>
      <c r="B47" s="1439"/>
      <c r="C47" s="1137" t="s">
        <v>54</v>
      </c>
      <c r="D47" s="625" t="s">
        <v>1142</v>
      </c>
      <c r="E47" s="20" t="s">
        <v>1206</v>
      </c>
      <c r="F47" s="103" t="s">
        <v>863</v>
      </c>
      <c r="G47" s="103" t="s">
        <v>13</v>
      </c>
      <c r="H47" s="103"/>
      <c r="I47" s="103"/>
      <c r="J47" s="103"/>
      <c r="K47" s="106">
        <v>45514</v>
      </c>
      <c r="L47" s="106">
        <v>45301</v>
      </c>
      <c r="M47" s="105"/>
      <c r="N47" s="105" t="s">
        <v>62</v>
      </c>
      <c r="O47" s="716">
        <v>45301</v>
      </c>
      <c r="P47" s="105" t="s">
        <v>206</v>
      </c>
      <c r="Q47" s="105"/>
      <c r="R47" s="51" t="s">
        <v>206</v>
      </c>
      <c r="S47" s="105" t="s">
        <v>206</v>
      </c>
      <c r="T47" s="105" t="s">
        <v>206</v>
      </c>
      <c r="U47" s="105" t="s">
        <v>206</v>
      </c>
      <c r="V47" s="105"/>
      <c r="W47" s="105"/>
      <c r="X47" s="105" t="s">
        <v>206</v>
      </c>
      <c r="Y47" s="105" t="s">
        <v>206</v>
      </c>
      <c r="Z47" s="271" t="s">
        <v>206</v>
      </c>
      <c r="AA47" s="84" t="s">
        <v>206</v>
      </c>
      <c r="AB47" s="84">
        <v>45514</v>
      </c>
      <c r="AC47" s="3" t="s">
        <v>206</v>
      </c>
      <c r="AD47" s="3"/>
      <c r="AE47" s="52" t="s">
        <v>206</v>
      </c>
      <c r="AF47" s="3"/>
      <c r="AG47" s="621"/>
      <c r="AH47" s="621"/>
    </row>
    <row r="48" spans="1:34" ht="15.6" x14ac:dyDescent="0.25">
      <c r="A48" s="1421">
        <v>24</v>
      </c>
      <c r="B48" s="1439">
        <v>30722</v>
      </c>
      <c r="C48" s="1137" t="s">
        <v>64</v>
      </c>
      <c r="D48" s="244"/>
      <c r="E48" s="20" t="s">
        <v>1206</v>
      </c>
      <c r="F48" s="103" t="s">
        <v>863</v>
      </c>
      <c r="G48" s="103" t="s">
        <v>13</v>
      </c>
      <c r="H48" s="103"/>
      <c r="I48" s="103"/>
      <c r="J48" s="103"/>
      <c r="K48" s="106"/>
      <c r="L48" s="106">
        <v>45301</v>
      </c>
      <c r="M48" s="105"/>
      <c r="N48" s="105" t="s">
        <v>68</v>
      </c>
      <c r="O48" s="105" t="s">
        <v>206</v>
      </c>
      <c r="P48" s="105" t="s">
        <v>206</v>
      </c>
      <c r="Q48" s="105"/>
      <c r="R48" s="51" t="s">
        <v>206</v>
      </c>
      <c r="S48" s="105" t="s">
        <v>206</v>
      </c>
      <c r="T48" s="105" t="s">
        <v>206</v>
      </c>
      <c r="U48" s="105" t="s">
        <v>206</v>
      </c>
      <c r="V48" s="105"/>
      <c r="W48" s="105"/>
      <c r="X48" s="105" t="s">
        <v>206</v>
      </c>
      <c r="Y48" s="105" t="s">
        <v>206</v>
      </c>
      <c r="Z48" s="271" t="s">
        <v>206</v>
      </c>
      <c r="AA48" s="84" t="s">
        <v>206</v>
      </c>
      <c r="AB48" s="84">
        <v>45476</v>
      </c>
      <c r="AC48" s="84">
        <v>45301</v>
      </c>
      <c r="AD48" s="84">
        <v>45527</v>
      </c>
      <c r="AE48" s="52" t="s">
        <v>206</v>
      </c>
      <c r="AF48" s="3"/>
      <c r="AG48" s="621"/>
      <c r="AH48" s="621"/>
    </row>
    <row r="49" spans="1:34" ht="15.6" x14ac:dyDescent="0.25">
      <c r="A49" s="1422"/>
      <c r="B49" s="1439"/>
      <c r="C49" s="1137" t="s">
        <v>54</v>
      </c>
      <c r="D49" s="244"/>
      <c r="E49" s="20" t="s">
        <v>1206</v>
      </c>
      <c r="F49" s="103" t="s">
        <v>863</v>
      </c>
      <c r="G49" s="103" t="s">
        <v>13</v>
      </c>
      <c r="H49" s="103"/>
      <c r="I49" s="103"/>
      <c r="J49" s="103"/>
      <c r="K49" s="106"/>
      <c r="L49" s="106">
        <v>45301</v>
      </c>
      <c r="M49" s="105"/>
      <c r="N49" s="105" t="s">
        <v>62</v>
      </c>
      <c r="O49" s="105" t="s">
        <v>206</v>
      </c>
      <c r="P49" s="105" t="s">
        <v>206</v>
      </c>
      <c r="Q49" s="105"/>
      <c r="R49" s="51" t="s">
        <v>206</v>
      </c>
      <c r="S49" s="105" t="s">
        <v>206</v>
      </c>
      <c r="T49" s="105" t="s">
        <v>206</v>
      </c>
      <c r="U49" s="105" t="s">
        <v>206</v>
      </c>
      <c r="V49" s="105"/>
      <c r="W49" s="105"/>
      <c r="X49" s="105" t="s">
        <v>206</v>
      </c>
      <c r="Y49" s="105" t="s">
        <v>206</v>
      </c>
      <c r="Z49" s="271" t="s">
        <v>206</v>
      </c>
      <c r="AA49" s="84" t="s">
        <v>206</v>
      </c>
      <c r="AB49" s="84">
        <v>45476</v>
      </c>
      <c r="AC49" s="84">
        <v>45301</v>
      </c>
      <c r="AD49" s="84">
        <v>45527</v>
      </c>
      <c r="AE49" s="52" t="s">
        <v>206</v>
      </c>
      <c r="AF49" s="3"/>
      <c r="AG49" s="621"/>
      <c r="AH49" s="621"/>
    </row>
    <row r="50" spans="1:34" ht="15.6" x14ac:dyDescent="0.25">
      <c r="A50" s="1421">
        <v>25</v>
      </c>
      <c r="B50" s="1439">
        <v>30451</v>
      </c>
      <c r="C50" s="1137" t="s">
        <v>64</v>
      </c>
      <c r="D50" s="636" t="s">
        <v>1146</v>
      </c>
      <c r="E50" s="20" t="s">
        <v>1206</v>
      </c>
      <c r="F50" s="103" t="s">
        <v>863</v>
      </c>
      <c r="G50" s="103" t="s">
        <v>13</v>
      </c>
      <c r="H50" s="103"/>
      <c r="I50" s="103"/>
      <c r="J50" s="103"/>
      <c r="K50" s="106">
        <v>45449</v>
      </c>
      <c r="L50" s="106"/>
      <c r="M50" s="105"/>
      <c r="N50" s="105" t="s">
        <v>68</v>
      </c>
      <c r="O50" s="105"/>
      <c r="P50" s="105" t="s">
        <v>206</v>
      </c>
      <c r="Q50" s="105"/>
      <c r="R50" s="51" t="s">
        <v>206</v>
      </c>
      <c r="S50" s="105" t="s">
        <v>206</v>
      </c>
      <c r="T50" s="105" t="s">
        <v>206</v>
      </c>
      <c r="U50" s="105" t="s">
        <v>206</v>
      </c>
      <c r="V50" s="105"/>
      <c r="W50" s="105"/>
      <c r="X50" s="105" t="s">
        <v>206</v>
      </c>
      <c r="Y50" s="105" t="s">
        <v>206</v>
      </c>
      <c r="Z50" s="271" t="s">
        <v>206</v>
      </c>
      <c r="AA50" s="84" t="s">
        <v>206</v>
      </c>
      <c r="AB50" s="84">
        <v>45482</v>
      </c>
      <c r="AC50" s="3" t="s">
        <v>206</v>
      </c>
      <c r="AD50" s="84">
        <v>45551</v>
      </c>
      <c r="AE50" s="52" t="s">
        <v>206</v>
      </c>
      <c r="AF50" s="3"/>
      <c r="AG50" s="621"/>
      <c r="AH50" s="621"/>
    </row>
    <row r="51" spans="1:34" ht="15.6" x14ac:dyDescent="0.25">
      <c r="A51" s="1422"/>
      <c r="B51" s="1439"/>
      <c r="C51" s="1137" t="s">
        <v>54</v>
      </c>
      <c r="D51" s="636" t="s">
        <v>1147</v>
      </c>
      <c r="E51" s="20" t="s">
        <v>1206</v>
      </c>
      <c r="F51" s="103" t="s">
        <v>863</v>
      </c>
      <c r="G51" s="103" t="s">
        <v>13</v>
      </c>
      <c r="H51" s="103"/>
      <c r="I51" s="103"/>
      <c r="J51" s="103"/>
      <c r="K51" s="106">
        <v>45449</v>
      </c>
      <c r="L51" s="106"/>
      <c r="M51" s="105"/>
      <c r="N51" s="105" t="s">
        <v>62</v>
      </c>
      <c r="O51" s="105"/>
      <c r="P51" s="105" t="s">
        <v>206</v>
      </c>
      <c r="Q51" s="105"/>
      <c r="R51" s="51" t="s">
        <v>206</v>
      </c>
      <c r="S51" s="105" t="s">
        <v>206</v>
      </c>
      <c r="T51" s="105" t="s">
        <v>206</v>
      </c>
      <c r="U51" s="105" t="s">
        <v>206</v>
      </c>
      <c r="V51" s="105"/>
      <c r="W51" s="105"/>
      <c r="X51" s="105" t="s">
        <v>206</v>
      </c>
      <c r="Y51" s="105" t="s">
        <v>206</v>
      </c>
      <c r="Z51" s="271" t="s">
        <v>206</v>
      </c>
      <c r="AA51" s="84" t="s">
        <v>206</v>
      </c>
      <c r="AB51" s="84">
        <v>45482</v>
      </c>
      <c r="AC51" s="3" t="s">
        <v>206</v>
      </c>
      <c r="AD51" s="84">
        <v>45551</v>
      </c>
      <c r="AE51" s="52" t="s">
        <v>206</v>
      </c>
      <c r="AF51" s="3"/>
      <c r="AG51" s="621"/>
      <c r="AH51" s="621"/>
    </row>
    <row r="52" spans="1:34" ht="15.6" x14ac:dyDescent="0.25">
      <c r="A52" s="1421">
        <v>26</v>
      </c>
      <c r="B52" s="1439">
        <v>30396</v>
      </c>
      <c r="C52" s="1137" t="s">
        <v>64</v>
      </c>
      <c r="D52" s="625" t="s">
        <v>1135</v>
      </c>
      <c r="E52" s="20" t="s">
        <v>1206</v>
      </c>
      <c r="F52" s="103" t="s">
        <v>863</v>
      </c>
      <c r="G52" s="103" t="s">
        <v>13</v>
      </c>
      <c r="H52" s="103"/>
      <c r="I52" s="103"/>
      <c r="J52" s="103"/>
      <c r="K52" s="106"/>
      <c r="L52" s="106"/>
      <c r="M52" s="105"/>
      <c r="N52" s="105" t="s">
        <v>68</v>
      </c>
      <c r="O52" s="105" t="s">
        <v>206</v>
      </c>
      <c r="P52" s="105" t="s">
        <v>206</v>
      </c>
      <c r="Q52" s="105"/>
      <c r="R52" s="51" t="s">
        <v>206</v>
      </c>
      <c r="S52" s="105" t="s">
        <v>206</v>
      </c>
      <c r="T52" s="105" t="s">
        <v>206</v>
      </c>
      <c r="U52" s="105" t="s">
        <v>206</v>
      </c>
      <c r="V52" s="105"/>
      <c r="W52" s="105"/>
      <c r="X52" s="105" t="s">
        <v>206</v>
      </c>
      <c r="Y52" s="105" t="s">
        <v>206</v>
      </c>
      <c r="Z52" s="271" t="s">
        <v>206</v>
      </c>
      <c r="AA52" s="84" t="s">
        <v>206</v>
      </c>
      <c r="AB52" s="84">
        <v>45518</v>
      </c>
      <c r="AC52" s="3" t="s">
        <v>206</v>
      </c>
      <c r="AD52" s="3"/>
      <c r="AE52" s="52" t="s">
        <v>206</v>
      </c>
      <c r="AF52" s="3"/>
      <c r="AG52" s="621"/>
      <c r="AH52" s="621"/>
    </row>
    <row r="53" spans="1:34" ht="15.6" x14ac:dyDescent="0.25">
      <c r="A53" s="1422"/>
      <c r="B53" s="1439"/>
      <c r="C53" s="1137" t="s">
        <v>54</v>
      </c>
      <c r="D53" s="625" t="s">
        <v>1136</v>
      </c>
      <c r="E53" s="20" t="s">
        <v>1206</v>
      </c>
      <c r="F53" s="103" t="s">
        <v>863</v>
      </c>
      <c r="G53" s="103" t="s">
        <v>13</v>
      </c>
      <c r="H53" s="103"/>
      <c r="I53" s="103"/>
      <c r="J53" s="103"/>
      <c r="K53" s="106"/>
      <c r="L53" s="106"/>
      <c r="M53" s="105"/>
      <c r="N53" s="105" t="s">
        <v>62</v>
      </c>
      <c r="O53" s="105" t="s">
        <v>206</v>
      </c>
      <c r="P53" s="105" t="s">
        <v>206</v>
      </c>
      <c r="Q53" s="105"/>
      <c r="R53" s="51" t="s">
        <v>206</v>
      </c>
      <c r="S53" s="105" t="s">
        <v>206</v>
      </c>
      <c r="T53" s="105" t="s">
        <v>206</v>
      </c>
      <c r="U53" s="105" t="s">
        <v>206</v>
      </c>
      <c r="V53" s="105"/>
      <c r="W53" s="105"/>
      <c r="X53" s="105" t="s">
        <v>206</v>
      </c>
      <c r="Y53" s="105" t="s">
        <v>206</v>
      </c>
      <c r="Z53" s="271" t="s">
        <v>206</v>
      </c>
      <c r="AA53" s="84" t="s">
        <v>206</v>
      </c>
      <c r="AB53" s="84">
        <v>45518</v>
      </c>
      <c r="AC53" s="3" t="s">
        <v>206</v>
      </c>
      <c r="AD53" s="3"/>
      <c r="AE53" s="52" t="s">
        <v>206</v>
      </c>
      <c r="AF53" s="3"/>
      <c r="AG53" s="621"/>
      <c r="AH53" s="621"/>
    </row>
    <row r="54" spans="1:34" ht="15.6" x14ac:dyDescent="0.25">
      <c r="A54" s="1421">
        <v>27</v>
      </c>
      <c r="B54" s="1439">
        <v>39251</v>
      </c>
      <c r="C54" s="1137" t="s">
        <v>64</v>
      </c>
      <c r="D54" s="244"/>
      <c r="E54" s="20" t="s">
        <v>1206</v>
      </c>
      <c r="F54" s="103" t="s">
        <v>863</v>
      </c>
      <c r="G54" s="103" t="s">
        <v>13</v>
      </c>
      <c r="H54" s="103"/>
      <c r="I54" s="103"/>
      <c r="J54" s="103"/>
      <c r="K54" s="106"/>
      <c r="L54" s="106"/>
      <c r="M54" s="105"/>
      <c r="N54" s="105" t="s">
        <v>68</v>
      </c>
      <c r="O54" s="105" t="s">
        <v>206</v>
      </c>
      <c r="P54" s="105" t="s">
        <v>206</v>
      </c>
      <c r="Q54" s="105" t="s">
        <v>206</v>
      </c>
      <c r="R54" s="51" t="s">
        <v>206</v>
      </c>
      <c r="S54" s="105"/>
      <c r="T54" s="105" t="s">
        <v>206</v>
      </c>
      <c r="U54" s="105" t="s">
        <v>206</v>
      </c>
      <c r="V54" s="105"/>
      <c r="W54" s="105"/>
      <c r="X54" s="105" t="s">
        <v>206</v>
      </c>
      <c r="Y54" s="105" t="s">
        <v>206</v>
      </c>
      <c r="Z54" s="271" t="s">
        <v>206</v>
      </c>
      <c r="AA54" s="84" t="s">
        <v>206</v>
      </c>
      <c r="AB54" s="84">
        <v>45479</v>
      </c>
      <c r="AC54" s="3" t="s">
        <v>206</v>
      </c>
      <c r="AD54" s="84">
        <v>45579</v>
      </c>
      <c r="AE54" s="52" t="s">
        <v>206</v>
      </c>
      <c r="AF54" s="3"/>
      <c r="AG54" s="621"/>
      <c r="AH54" s="621"/>
    </row>
    <row r="55" spans="1:34" ht="15.6" x14ac:dyDescent="0.25">
      <c r="A55" s="1422"/>
      <c r="B55" s="1439"/>
      <c r="C55" s="1137" t="s">
        <v>54</v>
      </c>
      <c r="D55" s="244"/>
      <c r="E55" s="20" t="s">
        <v>1206</v>
      </c>
      <c r="F55" s="103" t="s">
        <v>863</v>
      </c>
      <c r="G55" s="103" t="s">
        <v>13</v>
      </c>
      <c r="H55" s="103"/>
      <c r="I55" s="103"/>
      <c r="J55" s="103"/>
      <c r="K55" s="106"/>
      <c r="L55" s="106"/>
      <c r="M55" s="105"/>
      <c r="N55" s="105" t="s">
        <v>62</v>
      </c>
      <c r="O55" s="105" t="s">
        <v>206</v>
      </c>
      <c r="P55" s="105" t="s">
        <v>206</v>
      </c>
      <c r="Q55" s="105" t="s">
        <v>206</v>
      </c>
      <c r="R55" s="51" t="s">
        <v>206</v>
      </c>
      <c r="S55" s="105"/>
      <c r="T55" s="105" t="s">
        <v>206</v>
      </c>
      <c r="U55" s="105" t="s">
        <v>206</v>
      </c>
      <c r="V55" s="105"/>
      <c r="W55" s="105"/>
      <c r="X55" s="105" t="s">
        <v>206</v>
      </c>
      <c r="Y55" s="105" t="s">
        <v>206</v>
      </c>
      <c r="Z55" s="271" t="s">
        <v>206</v>
      </c>
      <c r="AA55" s="84" t="s">
        <v>206</v>
      </c>
      <c r="AB55" s="84">
        <v>45479</v>
      </c>
      <c r="AC55" s="3" t="s">
        <v>206</v>
      </c>
      <c r="AD55" s="84">
        <v>45579</v>
      </c>
      <c r="AE55" s="52" t="s">
        <v>206</v>
      </c>
      <c r="AF55" s="3"/>
      <c r="AG55" s="621"/>
      <c r="AH55" s="621"/>
    </row>
    <row r="56" spans="1:34" ht="15.6" x14ac:dyDescent="0.25">
      <c r="A56" s="1421">
        <v>28</v>
      </c>
      <c r="B56" s="1439">
        <v>39252</v>
      </c>
      <c r="C56" s="1137" t="s">
        <v>64</v>
      </c>
      <c r="D56" s="244"/>
      <c r="E56" s="20" t="s">
        <v>1206</v>
      </c>
      <c r="F56" s="103" t="s">
        <v>863</v>
      </c>
      <c r="G56" s="103" t="s">
        <v>13</v>
      </c>
      <c r="H56" s="103"/>
      <c r="I56" s="103"/>
      <c r="J56" s="103"/>
      <c r="K56" s="106">
        <v>45306</v>
      </c>
      <c r="L56" s="106">
        <v>45412</v>
      </c>
      <c r="M56" s="105"/>
      <c r="N56" s="105" t="s">
        <v>68</v>
      </c>
      <c r="O56" s="105" t="s">
        <v>206</v>
      </c>
      <c r="P56" s="105" t="s">
        <v>206</v>
      </c>
      <c r="Q56" s="105" t="s">
        <v>206</v>
      </c>
      <c r="R56" s="51" t="s">
        <v>206</v>
      </c>
      <c r="S56" s="105" t="s">
        <v>206</v>
      </c>
      <c r="T56" s="105" t="s">
        <v>206</v>
      </c>
      <c r="U56" s="105" t="s">
        <v>206</v>
      </c>
      <c r="V56" s="105"/>
      <c r="W56" s="105"/>
      <c r="X56" s="105" t="s">
        <v>206</v>
      </c>
      <c r="Y56" s="1138" t="s">
        <v>206</v>
      </c>
      <c r="Z56" s="271" t="s">
        <v>206</v>
      </c>
      <c r="AA56" s="84" t="s">
        <v>206</v>
      </c>
      <c r="AB56" s="84">
        <v>45453</v>
      </c>
      <c r="AC56" s="3" t="s">
        <v>206</v>
      </c>
      <c r="AD56" s="84">
        <v>45520</v>
      </c>
      <c r="AE56" s="52" t="s">
        <v>206</v>
      </c>
      <c r="AF56" s="3"/>
      <c r="AG56" s="621"/>
      <c r="AH56" s="621"/>
    </row>
    <row r="57" spans="1:34" ht="15.6" x14ac:dyDescent="0.25">
      <c r="A57" s="1422"/>
      <c r="B57" s="1439"/>
      <c r="C57" s="1137" t="s">
        <v>54</v>
      </c>
      <c r="D57" s="244"/>
      <c r="E57" s="20" t="s">
        <v>1206</v>
      </c>
      <c r="F57" s="103" t="s">
        <v>863</v>
      </c>
      <c r="G57" s="103" t="s">
        <v>13</v>
      </c>
      <c r="H57" s="103"/>
      <c r="I57" s="103"/>
      <c r="J57" s="103"/>
      <c r="K57" s="106">
        <v>45306</v>
      </c>
      <c r="L57" s="106">
        <v>45412</v>
      </c>
      <c r="M57" s="105"/>
      <c r="N57" s="105" t="s">
        <v>62</v>
      </c>
      <c r="O57" s="105" t="s">
        <v>206</v>
      </c>
      <c r="P57" s="105" t="s">
        <v>206</v>
      </c>
      <c r="Q57" s="105" t="s">
        <v>206</v>
      </c>
      <c r="R57" s="51" t="s">
        <v>206</v>
      </c>
      <c r="S57" s="105" t="s">
        <v>206</v>
      </c>
      <c r="T57" s="105" t="s">
        <v>206</v>
      </c>
      <c r="U57" s="105" t="s">
        <v>206</v>
      </c>
      <c r="V57" s="105"/>
      <c r="W57" s="105"/>
      <c r="X57" s="105" t="s">
        <v>206</v>
      </c>
      <c r="Y57" s="1138" t="s">
        <v>206</v>
      </c>
      <c r="Z57" s="271" t="s">
        <v>206</v>
      </c>
      <c r="AA57" s="84" t="s">
        <v>206</v>
      </c>
      <c r="AB57" s="84">
        <v>45453</v>
      </c>
      <c r="AC57" s="3" t="s">
        <v>206</v>
      </c>
      <c r="AD57" s="84">
        <v>45520</v>
      </c>
      <c r="AE57" s="52" t="s">
        <v>206</v>
      </c>
      <c r="AF57" s="3"/>
      <c r="AG57" s="621"/>
      <c r="AH57" s="621"/>
    </row>
    <row r="58" spans="1:34" ht="15.6" x14ac:dyDescent="0.25">
      <c r="A58" s="1421">
        <v>29</v>
      </c>
      <c r="B58" s="1439">
        <v>39253</v>
      </c>
      <c r="C58" s="1137" t="s">
        <v>64</v>
      </c>
      <c r="D58" s="244"/>
      <c r="E58" s="20" t="s">
        <v>1206</v>
      </c>
      <c r="F58" s="103" t="s">
        <v>863</v>
      </c>
      <c r="G58" s="103" t="s">
        <v>13</v>
      </c>
      <c r="H58" s="103"/>
      <c r="I58" s="103"/>
      <c r="J58" s="103"/>
      <c r="K58" s="106">
        <v>45460</v>
      </c>
      <c r="L58" s="106"/>
      <c r="M58" s="105"/>
      <c r="N58" s="105" t="s">
        <v>68</v>
      </c>
      <c r="O58" s="105" t="s">
        <v>206</v>
      </c>
      <c r="P58" s="105" t="s">
        <v>206</v>
      </c>
      <c r="Q58" s="105" t="s">
        <v>206</v>
      </c>
      <c r="R58" s="51" t="s">
        <v>206</v>
      </c>
      <c r="S58" s="105"/>
      <c r="T58" s="105" t="s">
        <v>206</v>
      </c>
      <c r="U58" s="105" t="s">
        <v>206</v>
      </c>
      <c r="V58" s="105"/>
      <c r="W58" s="105"/>
      <c r="X58" s="105" t="s">
        <v>206</v>
      </c>
      <c r="Y58" s="1138" t="s">
        <v>206</v>
      </c>
      <c r="Z58" s="271" t="s">
        <v>206</v>
      </c>
      <c r="AA58" s="84" t="s">
        <v>206</v>
      </c>
      <c r="AB58" s="84" t="s">
        <v>1212</v>
      </c>
      <c r="AC58" s="3" t="s">
        <v>206</v>
      </c>
      <c r="AD58" s="84">
        <v>45561</v>
      </c>
      <c r="AE58" s="52" t="s">
        <v>206</v>
      </c>
      <c r="AF58" s="3"/>
      <c r="AG58" s="621"/>
      <c r="AH58" s="621"/>
    </row>
    <row r="59" spans="1:34" ht="15.6" x14ac:dyDescent="0.25">
      <c r="A59" s="1422"/>
      <c r="B59" s="1439"/>
      <c r="C59" s="1137" t="s">
        <v>54</v>
      </c>
      <c r="D59" s="244"/>
      <c r="E59" s="20" t="s">
        <v>1206</v>
      </c>
      <c r="F59" s="103" t="s">
        <v>863</v>
      </c>
      <c r="G59" s="103" t="s">
        <v>13</v>
      </c>
      <c r="H59" s="103"/>
      <c r="I59" s="103"/>
      <c r="J59" s="103"/>
      <c r="K59" s="106">
        <v>45460</v>
      </c>
      <c r="L59" s="106"/>
      <c r="M59" s="105"/>
      <c r="N59" s="105" t="s">
        <v>62</v>
      </c>
      <c r="O59" s="105" t="s">
        <v>206</v>
      </c>
      <c r="P59" s="105" t="s">
        <v>206</v>
      </c>
      <c r="Q59" s="105" t="s">
        <v>206</v>
      </c>
      <c r="R59" s="51" t="s">
        <v>206</v>
      </c>
      <c r="S59" s="105"/>
      <c r="T59" s="105" t="s">
        <v>206</v>
      </c>
      <c r="U59" s="105" t="s">
        <v>206</v>
      </c>
      <c r="V59" s="105"/>
      <c r="W59" s="105"/>
      <c r="X59" s="105" t="s">
        <v>206</v>
      </c>
      <c r="Y59" s="1138" t="s">
        <v>206</v>
      </c>
      <c r="Z59" s="271" t="s">
        <v>206</v>
      </c>
      <c r="AA59" s="84" t="s">
        <v>206</v>
      </c>
      <c r="AB59" s="84" t="s">
        <v>1212</v>
      </c>
      <c r="AC59" s="3" t="s">
        <v>206</v>
      </c>
      <c r="AD59" s="84">
        <v>45561</v>
      </c>
      <c r="AE59" s="52" t="s">
        <v>206</v>
      </c>
      <c r="AF59" s="3"/>
      <c r="AG59" s="621"/>
      <c r="AH59" s="621"/>
    </row>
    <row r="60" spans="1:34" ht="15.6" x14ac:dyDescent="0.25">
      <c r="A60" s="1421">
        <v>30</v>
      </c>
      <c r="B60" s="1439">
        <v>30397</v>
      </c>
      <c r="C60" s="1137" t="s">
        <v>64</v>
      </c>
      <c r="D60" s="636" t="s">
        <v>1143</v>
      </c>
      <c r="E60" s="20" t="s">
        <v>1206</v>
      </c>
      <c r="F60" s="103" t="s">
        <v>863</v>
      </c>
      <c r="G60" s="103" t="s">
        <v>13</v>
      </c>
      <c r="H60" s="103"/>
      <c r="I60" s="103"/>
      <c r="J60" s="103"/>
      <c r="K60" s="106"/>
      <c r="L60" s="106"/>
      <c r="M60" s="105"/>
      <c r="N60" s="105" t="s">
        <v>68</v>
      </c>
      <c r="O60" s="105"/>
      <c r="P60" s="105" t="s">
        <v>206</v>
      </c>
      <c r="Q60" s="105"/>
      <c r="R60" s="51" t="s">
        <v>206</v>
      </c>
      <c r="S60" s="105" t="s">
        <v>206</v>
      </c>
      <c r="T60" s="105" t="s">
        <v>206</v>
      </c>
      <c r="U60" s="105" t="s">
        <v>206</v>
      </c>
      <c r="V60" s="105"/>
      <c r="W60" s="105"/>
      <c r="X60" s="105" t="s">
        <v>206</v>
      </c>
      <c r="Y60" s="1138" t="s">
        <v>206</v>
      </c>
      <c r="Z60" s="271" t="s">
        <v>206</v>
      </c>
      <c r="AA60" s="84">
        <v>45406</v>
      </c>
      <c r="AB60" s="84">
        <v>45503</v>
      </c>
      <c r="AC60" s="3" t="s">
        <v>206</v>
      </c>
      <c r="AD60" s="3"/>
      <c r="AE60" s="52" t="s">
        <v>206</v>
      </c>
      <c r="AF60" s="3"/>
      <c r="AG60" s="621"/>
      <c r="AH60" s="621"/>
    </row>
    <row r="61" spans="1:34" ht="15.6" x14ac:dyDescent="0.25">
      <c r="A61" s="1422"/>
      <c r="B61" s="1439"/>
      <c r="C61" s="1137" t="s">
        <v>54</v>
      </c>
      <c r="D61" s="636" t="s">
        <v>1145</v>
      </c>
      <c r="E61" s="20" t="s">
        <v>1206</v>
      </c>
      <c r="F61" s="103" t="s">
        <v>863</v>
      </c>
      <c r="G61" s="103" t="s">
        <v>13</v>
      </c>
      <c r="H61" s="103"/>
      <c r="I61" s="103"/>
      <c r="J61" s="103"/>
      <c r="K61" s="106"/>
      <c r="L61" s="106"/>
      <c r="M61" s="105"/>
      <c r="N61" s="105" t="s">
        <v>62</v>
      </c>
      <c r="O61" s="105"/>
      <c r="P61" s="105" t="s">
        <v>206</v>
      </c>
      <c r="Q61" s="105"/>
      <c r="R61" s="51" t="s">
        <v>206</v>
      </c>
      <c r="S61" s="105" t="s">
        <v>206</v>
      </c>
      <c r="T61" s="105" t="s">
        <v>206</v>
      </c>
      <c r="U61" s="105" t="s">
        <v>206</v>
      </c>
      <c r="V61" s="105"/>
      <c r="W61" s="105"/>
      <c r="X61" s="105" t="s">
        <v>206</v>
      </c>
      <c r="Y61" s="1138" t="s">
        <v>206</v>
      </c>
      <c r="Z61" s="271" t="s">
        <v>206</v>
      </c>
      <c r="AA61" s="84">
        <v>45406</v>
      </c>
      <c r="AB61" s="84">
        <v>45503</v>
      </c>
      <c r="AC61" s="3" t="s">
        <v>206</v>
      </c>
      <c r="AD61" s="3"/>
      <c r="AE61" s="52" t="s">
        <v>206</v>
      </c>
      <c r="AF61" s="3"/>
      <c r="AG61" s="621"/>
      <c r="AH61" s="621"/>
    </row>
    <row r="62" spans="1:34" ht="15.6" x14ac:dyDescent="0.25">
      <c r="A62" s="1421">
        <v>31</v>
      </c>
      <c r="B62" s="1440">
        <v>30589</v>
      </c>
      <c r="C62" s="1139" t="s">
        <v>64</v>
      </c>
      <c r="D62" s="1068" t="s">
        <v>1113</v>
      </c>
      <c r="E62" s="20" t="s">
        <v>1206</v>
      </c>
      <c r="F62" s="1068" t="s">
        <v>1114</v>
      </c>
      <c r="G62" s="1068" t="s">
        <v>14</v>
      </c>
      <c r="H62" s="1140">
        <v>43004</v>
      </c>
      <c r="I62" s="581">
        <v>92</v>
      </c>
      <c r="J62" s="581" t="s">
        <v>58</v>
      </c>
      <c r="K62" s="743" t="s">
        <v>1115</v>
      </c>
      <c r="L62" s="584">
        <v>44718</v>
      </c>
      <c r="M62" s="581"/>
      <c r="N62" s="581" t="s">
        <v>68</v>
      </c>
      <c r="O62" s="581" t="s">
        <v>68</v>
      </c>
      <c r="P62" s="581" t="s">
        <v>68</v>
      </c>
      <c r="Q62" s="581" t="s">
        <v>68</v>
      </c>
      <c r="R62" s="51" t="s">
        <v>206</v>
      </c>
      <c r="S62" s="581"/>
      <c r="T62" s="581" t="s">
        <v>1030</v>
      </c>
      <c r="U62" s="581"/>
      <c r="V62" s="581"/>
      <c r="W62" s="581"/>
      <c r="X62" s="584">
        <v>44718</v>
      </c>
      <c r="Y62" s="887">
        <v>45320</v>
      </c>
      <c r="Z62" s="271" t="s">
        <v>206</v>
      </c>
      <c r="AA62" s="84">
        <v>45423</v>
      </c>
      <c r="AB62" s="84">
        <v>45514</v>
      </c>
      <c r="AC62" s="3" t="s">
        <v>206</v>
      </c>
      <c r="AD62" s="3"/>
      <c r="AE62" s="3" t="s">
        <v>1116</v>
      </c>
      <c r="AF62" s="84">
        <v>45509</v>
      </c>
      <c r="AG62" s="621"/>
      <c r="AH62" s="621"/>
    </row>
    <row r="63" spans="1:34" ht="15.6" x14ac:dyDescent="0.25">
      <c r="A63" s="1422"/>
      <c r="B63" s="1441"/>
      <c r="C63" s="329" t="s">
        <v>54</v>
      </c>
      <c r="D63" s="346" t="s">
        <v>1117</v>
      </c>
      <c r="E63" s="20" t="s">
        <v>1206</v>
      </c>
      <c r="F63" s="345" t="s">
        <v>1114</v>
      </c>
      <c r="G63" s="345" t="s">
        <v>14</v>
      </c>
      <c r="H63" s="1141">
        <v>43004</v>
      </c>
      <c r="I63" s="310">
        <v>93</v>
      </c>
      <c r="J63" s="310" t="s">
        <v>58</v>
      </c>
      <c r="K63" s="743" t="s">
        <v>1115</v>
      </c>
      <c r="L63" s="343">
        <v>44718</v>
      </c>
      <c r="M63" s="310"/>
      <c r="N63" s="310" t="s">
        <v>62</v>
      </c>
      <c r="O63" s="310" t="s">
        <v>62</v>
      </c>
      <c r="P63" s="310" t="s">
        <v>62</v>
      </c>
      <c r="Q63" s="310" t="s">
        <v>62</v>
      </c>
      <c r="R63" s="51" t="s">
        <v>206</v>
      </c>
      <c r="S63" s="310"/>
      <c r="T63" s="310" t="s">
        <v>1030</v>
      </c>
      <c r="U63" s="310"/>
      <c r="V63" s="310"/>
      <c r="W63" s="310"/>
      <c r="X63" s="343">
        <v>44718</v>
      </c>
      <c r="Y63" s="309">
        <v>45320</v>
      </c>
      <c r="Z63" s="271" t="s">
        <v>206</v>
      </c>
      <c r="AA63" s="84">
        <v>45423</v>
      </c>
      <c r="AB63" s="84">
        <v>45514</v>
      </c>
      <c r="AC63" s="3" t="s">
        <v>206</v>
      </c>
      <c r="AD63" s="3"/>
      <c r="AE63" s="3" t="s">
        <v>1116</v>
      </c>
      <c r="AF63" s="84">
        <v>45509</v>
      </c>
      <c r="AG63" s="621"/>
      <c r="AH63" s="621"/>
    </row>
    <row r="64" spans="1:34" ht="15.6" x14ac:dyDescent="0.25">
      <c r="A64" s="1421">
        <v>32</v>
      </c>
      <c r="B64" s="1442">
        <v>30590</v>
      </c>
      <c r="C64" s="329" t="s">
        <v>64</v>
      </c>
      <c r="D64" s="346" t="s">
        <v>1118</v>
      </c>
      <c r="E64" s="20" t="s">
        <v>1206</v>
      </c>
      <c r="F64" s="345" t="s">
        <v>1114</v>
      </c>
      <c r="G64" s="345" t="s">
        <v>14</v>
      </c>
      <c r="H64" s="1141">
        <v>43024</v>
      </c>
      <c r="I64" s="310">
        <v>138</v>
      </c>
      <c r="J64" s="310" t="s">
        <v>58</v>
      </c>
      <c r="K64" s="743">
        <v>45488</v>
      </c>
      <c r="L64" s="343">
        <v>44790</v>
      </c>
      <c r="M64" s="310"/>
      <c r="N64" s="310" t="s">
        <v>68</v>
      </c>
      <c r="O64" s="310" t="s">
        <v>68</v>
      </c>
      <c r="P64" s="310" t="s">
        <v>68</v>
      </c>
      <c r="Q64" s="310" t="s">
        <v>68</v>
      </c>
      <c r="R64" s="51" t="s">
        <v>206</v>
      </c>
      <c r="S64" s="310" t="s">
        <v>206</v>
      </c>
      <c r="T64" s="310" t="s">
        <v>1030</v>
      </c>
      <c r="U64" s="310"/>
      <c r="V64" s="310"/>
      <c r="W64" s="310"/>
      <c r="X64" s="343">
        <v>44790</v>
      </c>
      <c r="Y64" s="310" t="s">
        <v>206</v>
      </c>
      <c r="Z64" s="602">
        <v>44790</v>
      </c>
      <c r="AA64" s="84">
        <v>45395</v>
      </c>
      <c r="AB64" s="84">
        <v>45460</v>
      </c>
      <c r="AC64" s="84">
        <v>45385</v>
      </c>
      <c r="AD64" s="84"/>
      <c r="AE64" s="3" t="s">
        <v>1116</v>
      </c>
      <c r="AF64" s="84">
        <v>45390</v>
      </c>
      <c r="AG64" s="621"/>
      <c r="AH64" s="621"/>
    </row>
    <row r="65" spans="1:34" ht="15.6" x14ac:dyDescent="0.25">
      <c r="A65" s="1422"/>
      <c r="B65" s="1441"/>
      <c r="C65" s="329" t="s">
        <v>54</v>
      </c>
      <c r="D65" s="346" t="s">
        <v>1119</v>
      </c>
      <c r="E65" s="20" t="s">
        <v>1206</v>
      </c>
      <c r="F65" s="345" t="s">
        <v>1114</v>
      </c>
      <c r="G65" s="345" t="s">
        <v>14</v>
      </c>
      <c r="H65" s="1141">
        <v>43024</v>
      </c>
      <c r="I65" s="310">
        <v>140</v>
      </c>
      <c r="J65" s="310" t="s">
        <v>58</v>
      </c>
      <c r="K65" s="743">
        <v>45488</v>
      </c>
      <c r="L65" s="343">
        <v>44790</v>
      </c>
      <c r="M65" s="310"/>
      <c r="N65" s="310" t="s">
        <v>62</v>
      </c>
      <c r="O65" s="310" t="s">
        <v>62</v>
      </c>
      <c r="P65" s="310" t="s">
        <v>62</v>
      </c>
      <c r="Q65" s="310" t="s">
        <v>62</v>
      </c>
      <c r="R65" s="51" t="s">
        <v>206</v>
      </c>
      <c r="S65" s="310" t="s">
        <v>206</v>
      </c>
      <c r="T65" s="310" t="s">
        <v>1030</v>
      </c>
      <c r="U65" s="310"/>
      <c r="V65" s="310"/>
      <c r="W65" s="310"/>
      <c r="X65" s="343">
        <v>44790</v>
      </c>
      <c r="Y65" s="310" t="s">
        <v>206</v>
      </c>
      <c r="Z65" s="602">
        <v>44790</v>
      </c>
      <c r="AA65" s="84">
        <v>45395</v>
      </c>
      <c r="AB65" s="84">
        <v>45460</v>
      </c>
      <c r="AC65" s="84">
        <v>45385</v>
      </c>
      <c r="AD65" s="84"/>
      <c r="AE65" s="3" t="s">
        <v>1116</v>
      </c>
      <c r="AF65" s="84">
        <v>45391</v>
      </c>
      <c r="AG65" s="621"/>
      <c r="AH65" s="621"/>
    </row>
    <row r="66" spans="1:34" ht="15.6" x14ac:dyDescent="0.25">
      <c r="A66" s="1421">
        <v>33</v>
      </c>
      <c r="B66" s="1442">
        <v>30591</v>
      </c>
      <c r="C66" s="329" t="s">
        <v>64</v>
      </c>
      <c r="D66" s="346" t="s">
        <v>1120</v>
      </c>
      <c r="E66" s="20" t="s">
        <v>1206</v>
      </c>
      <c r="F66" s="345" t="s">
        <v>1114</v>
      </c>
      <c r="G66" s="345" t="s">
        <v>14</v>
      </c>
      <c r="H66" s="1141">
        <v>43041</v>
      </c>
      <c r="I66" s="310">
        <v>135</v>
      </c>
      <c r="J66" s="310" t="s">
        <v>58</v>
      </c>
      <c r="K66" s="743"/>
      <c r="L66" s="310"/>
      <c r="M66" s="310"/>
      <c r="N66" s="310" t="s">
        <v>68</v>
      </c>
      <c r="O66" s="310" t="s">
        <v>68</v>
      </c>
      <c r="P66" s="310" t="s">
        <v>68</v>
      </c>
      <c r="Q66" s="310" t="s">
        <v>68</v>
      </c>
      <c r="R66" s="51" t="s">
        <v>206</v>
      </c>
      <c r="S66" s="310"/>
      <c r="T66" s="310" t="s">
        <v>1030</v>
      </c>
      <c r="U66" s="310" t="s">
        <v>206</v>
      </c>
      <c r="V66" s="310"/>
      <c r="W66" s="310"/>
      <c r="X66" s="343">
        <v>44706</v>
      </c>
      <c r="Y66" s="310"/>
      <c r="Z66" s="905">
        <v>44706</v>
      </c>
      <c r="AA66" s="3"/>
      <c r="AB66" s="84">
        <v>45486</v>
      </c>
      <c r="AC66" s="3" t="s">
        <v>206</v>
      </c>
      <c r="AD66" s="84">
        <v>45581</v>
      </c>
      <c r="AE66" s="3" t="s">
        <v>1116</v>
      </c>
      <c r="AF66" s="84">
        <v>45479</v>
      </c>
      <c r="AG66" s="621"/>
      <c r="AH66" s="1134">
        <v>45479</v>
      </c>
    </row>
    <row r="67" spans="1:34" ht="15.6" x14ac:dyDescent="0.25">
      <c r="A67" s="1422"/>
      <c r="B67" s="1441"/>
      <c r="C67" s="329" t="s">
        <v>54</v>
      </c>
      <c r="D67" s="346" t="s">
        <v>1121</v>
      </c>
      <c r="E67" s="20" t="s">
        <v>1206</v>
      </c>
      <c r="F67" s="345" t="s">
        <v>1114</v>
      </c>
      <c r="G67" s="345" t="s">
        <v>14</v>
      </c>
      <c r="H67" s="1141">
        <v>43041</v>
      </c>
      <c r="I67" s="310">
        <v>134</v>
      </c>
      <c r="J67" s="310" t="s">
        <v>58</v>
      </c>
      <c r="K67" s="743"/>
      <c r="L67" s="310"/>
      <c r="M67" s="310"/>
      <c r="N67" s="310" t="s">
        <v>62</v>
      </c>
      <c r="O67" s="310" t="s">
        <v>62</v>
      </c>
      <c r="P67" s="310" t="s">
        <v>62</v>
      </c>
      <c r="Q67" s="310" t="s">
        <v>62</v>
      </c>
      <c r="R67" s="51" t="s">
        <v>206</v>
      </c>
      <c r="S67" s="310"/>
      <c r="T67" s="310" t="s">
        <v>1030</v>
      </c>
      <c r="U67" s="310" t="s">
        <v>206</v>
      </c>
      <c r="V67" s="310"/>
      <c r="W67" s="310"/>
      <c r="X67" s="343">
        <v>44706</v>
      </c>
      <c r="Y67" s="310"/>
      <c r="Z67" s="905">
        <v>44706</v>
      </c>
      <c r="AA67" s="3"/>
      <c r="AB67" s="84">
        <v>45486</v>
      </c>
      <c r="AC67" s="3" t="s">
        <v>206</v>
      </c>
      <c r="AD67" s="84">
        <v>45581</v>
      </c>
      <c r="AE67" s="3" t="s">
        <v>1116</v>
      </c>
      <c r="AF67" s="84">
        <v>45479</v>
      </c>
      <c r="AG67" s="621"/>
      <c r="AH67" s="1134">
        <v>45479</v>
      </c>
    </row>
    <row r="68" spans="1:34" ht="15.6" x14ac:dyDescent="0.25">
      <c r="A68" s="1421">
        <v>34</v>
      </c>
      <c r="B68" s="1442">
        <v>30608</v>
      </c>
      <c r="C68" s="329" t="s">
        <v>64</v>
      </c>
      <c r="D68" s="346" t="s">
        <v>1122</v>
      </c>
      <c r="E68" s="20" t="s">
        <v>1206</v>
      </c>
      <c r="F68" s="345" t="s">
        <v>1114</v>
      </c>
      <c r="G68" s="345" t="s">
        <v>14</v>
      </c>
      <c r="H68" s="1141">
        <v>43061</v>
      </c>
      <c r="I68" s="310">
        <v>147</v>
      </c>
      <c r="J68" s="310" t="s">
        <v>58</v>
      </c>
      <c r="K68" s="743">
        <v>45453</v>
      </c>
      <c r="L68" s="310"/>
      <c r="M68" s="310"/>
      <c r="N68" s="310" t="s">
        <v>68</v>
      </c>
      <c r="O68" s="310"/>
      <c r="P68" s="310" t="s">
        <v>68</v>
      </c>
      <c r="Q68" s="310" t="s">
        <v>68</v>
      </c>
      <c r="R68" s="51" t="s">
        <v>206</v>
      </c>
      <c r="S68" s="310" t="s">
        <v>206</v>
      </c>
      <c r="T68" s="310" t="s">
        <v>1030</v>
      </c>
      <c r="U68" s="310" t="s">
        <v>206</v>
      </c>
      <c r="V68" s="310" t="s">
        <v>1123</v>
      </c>
      <c r="W68" s="310"/>
      <c r="X68" s="310" t="s">
        <v>63</v>
      </c>
      <c r="Y68" s="309">
        <v>45343</v>
      </c>
      <c r="Z68" s="1142" t="s">
        <v>206</v>
      </c>
      <c r="AA68" s="84">
        <v>45341</v>
      </c>
      <c r="AB68" s="84">
        <v>45519</v>
      </c>
      <c r="AC68" s="3" t="s">
        <v>206</v>
      </c>
      <c r="AD68" s="84">
        <v>45560</v>
      </c>
      <c r="AE68" s="3" t="s">
        <v>1116</v>
      </c>
      <c r="AF68" s="84">
        <v>45514</v>
      </c>
      <c r="AG68" s="621"/>
      <c r="AH68" s="621"/>
    </row>
    <row r="69" spans="1:34" ht="15.6" x14ac:dyDescent="0.25">
      <c r="A69" s="1422"/>
      <c r="B69" s="1441"/>
      <c r="C69" s="329" t="s">
        <v>54</v>
      </c>
      <c r="D69" s="346" t="s">
        <v>1124</v>
      </c>
      <c r="E69" s="20" t="s">
        <v>1206</v>
      </c>
      <c r="F69" s="345" t="s">
        <v>1114</v>
      </c>
      <c r="G69" s="345" t="s">
        <v>14</v>
      </c>
      <c r="H69" s="1141">
        <v>43061</v>
      </c>
      <c r="I69" s="310">
        <v>153</v>
      </c>
      <c r="J69" s="310" t="s">
        <v>58</v>
      </c>
      <c r="K69" s="743">
        <v>45453</v>
      </c>
      <c r="L69" s="310"/>
      <c r="M69" s="310"/>
      <c r="N69" s="310" t="s">
        <v>62</v>
      </c>
      <c r="O69" s="310"/>
      <c r="P69" s="310" t="s">
        <v>62</v>
      </c>
      <c r="Q69" s="310" t="s">
        <v>62</v>
      </c>
      <c r="R69" s="51" t="s">
        <v>206</v>
      </c>
      <c r="S69" s="310" t="s">
        <v>206</v>
      </c>
      <c r="T69" s="310" t="s">
        <v>1030</v>
      </c>
      <c r="U69" s="310" t="s">
        <v>206</v>
      </c>
      <c r="V69" s="310" t="s">
        <v>1125</v>
      </c>
      <c r="W69" s="310"/>
      <c r="X69" s="310" t="s">
        <v>63</v>
      </c>
      <c r="Y69" s="309">
        <v>45343</v>
      </c>
      <c r="Z69" s="1142" t="s">
        <v>206</v>
      </c>
      <c r="AA69" s="84">
        <v>45341</v>
      </c>
      <c r="AB69" s="84">
        <v>45519</v>
      </c>
      <c r="AC69" s="3" t="s">
        <v>206</v>
      </c>
      <c r="AD69" s="84">
        <v>45560</v>
      </c>
      <c r="AE69" s="3" t="s">
        <v>1116</v>
      </c>
      <c r="AF69" s="84">
        <v>45514</v>
      </c>
      <c r="AG69" s="621"/>
      <c r="AH69" s="621"/>
    </row>
    <row r="70" spans="1:34" ht="26.4" x14ac:dyDescent="0.25">
      <c r="A70" s="1421">
        <v>35</v>
      </c>
      <c r="B70" s="1414">
        <v>30739</v>
      </c>
      <c r="C70" s="329" t="s">
        <v>64</v>
      </c>
      <c r="D70" s="346" t="s">
        <v>1126</v>
      </c>
      <c r="E70" s="20" t="s">
        <v>1206</v>
      </c>
      <c r="F70" s="345" t="s">
        <v>1114</v>
      </c>
      <c r="G70" s="345" t="s">
        <v>14</v>
      </c>
      <c r="H70" s="1141">
        <v>44819</v>
      </c>
      <c r="I70" s="310"/>
      <c r="J70" s="310" t="s">
        <v>58</v>
      </c>
      <c r="K70" s="584">
        <v>45395</v>
      </c>
      <c r="L70" s="310"/>
      <c r="M70" s="310"/>
      <c r="N70" s="343" t="s">
        <v>1127</v>
      </c>
      <c r="O70" s="309"/>
      <c r="P70" s="309">
        <v>44814</v>
      </c>
      <c r="Q70" s="309">
        <v>44814</v>
      </c>
      <c r="R70" s="51" t="s">
        <v>206</v>
      </c>
      <c r="S70" s="309" t="s">
        <v>206</v>
      </c>
      <c r="T70" s="310" t="s">
        <v>1030</v>
      </c>
      <c r="U70" s="310" t="s">
        <v>206</v>
      </c>
      <c r="V70" s="310"/>
      <c r="W70" s="310"/>
      <c r="X70" s="343" t="s">
        <v>1127</v>
      </c>
      <c r="Y70" s="309" t="s">
        <v>206</v>
      </c>
      <c r="Z70" s="1142" t="s">
        <v>206</v>
      </c>
      <c r="AA70" s="3" t="s">
        <v>206</v>
      </c>
      <c r="AB70" s="84">
        <v>45486</v>
      </c>
      <c r="AC70" s="3" t="s">
        <v>206</v>
      </c>
      <c r="AD70" s="84"/>
      <c r="AE70" s="3" t="s">
        <v>1116</v>
      </c>
      <c r="AF70" s="3"/>
      <c r="AG70" s="621"/>
      <c r="AH70" s="621"/>
    </row>
    <row r="71" spans="1:34" ht="26.4" x14ac:dyDescent="0.25">
      <c r="A71" s="1422"/>
      <c r="B71" s="1415"/>
      <c r="C71" s="329" t="s">
        <v>54</v>
      </c>
      <c r="D71" s="346" t="s">
        <v>1128</v>
      </c>
      <c r="E71" s="20" t="s">
        <v>1206</v>
      </c>
      <c r="F71" s="345" t="s">
        <v>1114</v>
      </c>
      <c r="G71" s="345" t="s">
        <v>14</v>
      </c>
      <c r="H71" s="1141">
        <v>44819</v>
      </c>
      <c r="I71" s="310"/>
      <c r="J71" s="310" t="s">
        <v>58</v>
      </c>
      <c r="K71" s="584">
        <v>45395</v>
      </c>
      <c r="L71" s="310"/>
      <c r="M71" s="310"/>
      <c r="N71" s="343" t="s">
        <v>1127</v>
      </c>
      <c r="O71" s="309"/>
      <c r="P71" s="309">
        <v>44814</v>
      </c>
      <c r="Q71" s="309">
        <v>44814</v>
      </c>
      <c r="R71" s="51" t="s">
        <v>206</v>
      </c>
      <c r="S71" s="309" t="s">
        <v>206</v>
      </c>
      <c r="T71" s="310" t="s">
        <v>1030</v>
      </c>
      <c r="U71" s="310" t="s">
        <v>206</v>
      </c>
      <c r="V71" s="310"/>
      <c r="W71" s="310"/>
      <c r="X71" s="343" t="s">
        <v>1127</v>
      </c>
      <c r="Y71" s="309" t="s">
        <v>206</v>
      </c>
      <c r="Z71" s="602" t="s">
        <v>1127</v>
      </c>
      <c r="AA71" s="3" t="s">
        <v>206</v>
      </c>
      <c r="AB71" s="84">
        <v>45486</v>
      </c>
      <c r="AC71" s="3" t="s">
        <v>206</v>
      </c>
      <c r="AD71" s="3"/>
      <c r="AE71" s="3" t="s">
        <v>1116</v>
      </c>
      <c r="AF71" s="3"/>
      <c r="AG71" s="621"/>
      <c r="AH71" s="621"/>
    </row>
    <row r="72" spans="1:34" ht="15.6" x14ac:dyDescent="0.25">
      <c r="A72" s="1421">
        <v>36</v>
      </c>
      <c r="B72" s="1414">
        <v>30351</v>
      </c>
      <c r="C72" s="329" t="s">
        <v>64</v>
      </c>
      <c r="D72" s="346"/>
      <c r="E72" s="20" t="s">
        <v>1206</v>
      </c>
      <c r="F72" s="345" t="s">
        <v>863</v>
      </c>
      <c r="G72" s="345" t="s">
        <v>13</v>
      </c>
      <c r="H72" s="1141"/>
      <c r="I72" s="310"/>
      <c r="J72" s="310" t="s">
        <v>58</v>
      </c>
      <c r="K72" s="584">
        <v>45488</v>
      </c>
      <c r="L72" s="310"/>
      <c r="M72" s="310"/>
      <c r="N72" s="343" t="s">
        <v>121</v>
      </c>
      <c r="O72" s="309"/>
      <c r="P72" s="309" t="s">
        <v>206</v>
      </c>
      <c r="Q72" s="309"/>
      <c r="R72" s="51" t="s">
        <v>206</v>
      </c>
      <c r="S72" s="309" t="s">
        <v>206</v>
      </c>
      <c r="T72" s="310" t="s">
        <v>206</v>
      </c>
      <c r="U72" s="310" t="s">
        <v>206</v>
      </c>
      <c r="V72" s="310"/>
      <c r="W72" s="310"/>
      <c r="X72" s="309" t="s">
        <v>206</v>
      </c>
      <c r="Y72" s="309" t="s">
        <v>206</v>
      </c>
      <c r="Z72" s="905" t="s">
        <v>206</v>
      </c>
      <c r="AA72" s="3"/>
      <c r="AB72" s="84">
        <v>45521</v>
      </c>
      <c r="AC72" s="3" t="s">
        <v>206</v>
      </c>
      <c r="AD72" s="3"/>
      <c r="AE72" s="3" t="s">
        <v>1116</v>
      </c>
      <c r="AF72" s="3"/>
      <c r="AG72" s="621"/>
      <c r="AH72" s="621"/>
    </row>
    <row r="73" spans="1:34" ht="15.6" x14ac:dyDescent="0.25">
      <c r="A73" s="1422"/>
      <c r="B73" s="1415"/>
      <c r="C73" s="329" t="s">
        <v>54</v>
      </c>
      <c r="D73" s="346"/>
      <c r="E73" s="20" t="s">
        <v>1206</v>
      </c>
      <c r="F73" s="345" t="s">
        <v>863</v>
      </c>
      <c r="G73" s="345" t="s">
        <v>13</v>
      </c>
      <c r="H73" s="1141"/>
      <c r="I73" s="310"/>
      <c r="J73" s="310" t="s">
        <v>58</v>
      </c>
      <c r="K73" s="584">
        <v>45488</v>
      </c>
      <c r="L73" s="310"/>
      <c r="M73" s="310"/>
      <c r="N73" s="343" t="s">
        <v>121</v>
      </c>
      <c r="O73" s="309"/>
      <c r="P73" s="309" t="s">
        <v>206</v>
      </c>
      <c r="Q73" s="309"/>
      <c r="R73" s="51" t="s">
        <v>206</v>
      </c>
      <c r="S73" s="309" t="s">
        <v>206</v>
      </c>
      <c r="T73" s="310" t="s">
        <v>206</v>
      </c>
      <c r="U73" s="310" t="s">
        <v>206</v>
      </c>
      <c r="V73" s="310"/>
      <c r="W73" s="310"/>
      <c r="X73" s="309" t="s">
        <v>206</v>
      </c>
      <c r="Y73" s="309"/>
      <c r="Z73" s="905" t="s">
        <v>206</v>
      </c>
      <c r="AA73" s="3"/>
      <c r="AB73" s="84">
        <v>45521</v>
      </c>
      <c r="AC73" s="3" t="s">
        <v>206</v>
      </c>
      <c r="AD73" s="3"/>
      <c r="AE73" s="3" t="s">
        <v>1116</v>
      </c>
      <c r="AF73" s="3"/>
      <c r="AG73" s="621"/>
      <c r="AH73" s="621"/>
    </row>
    <row r="74" spans="1:34" ht="15.6" x14ac:dyDescent="0.25">
      <c r="A74" s="1421">
        <v>37</v>
      </c>
      <c r="B74" s="1414">
        <v>30352</v>
      </c>
      <c r="C74" s="329" t="s">
        <v>64</v>
      </c>
      <c r="D74" s="642" t="s">
        <v>1154</v>
      </c>
      <c r="E74" s="20" t="s">
        <v>1206</v>
      </c>
      <c r="F74" s="345" t="s">
        <v>863</v>
      </c>
      <c r="G74" s="345" t="s">
        <v>13</v>
      </c>
      <c r="H74" s="1141"/>
      <c r="I74" s="310"/>
      <c r="J74" s="310" t="s">
        <v>58</v>
      </c>
      <c r="K74" s="343">
        <v>45520</v>
      </c>
      <c r="L74" s="310"/>
      <c r="M74" s="310"/>
      <c r="N74" s="343" t="s">
        <v>121</v>
      </c>
      <c r="O74" s="309"/>
      <c r="P74" s="309" t="s">
        <v>206</v>
      </c>
      <c r="Q74" s="309"/>
      <c r="R74" s="51" t="s">
        <v>206</v>
      </c>
      <c r="S74" s="309" t="s">
        <v>206</v>
      </c>
      <c r="T74" s="310" t="s">
        <v>206</v>
      </c>
      <c r="U74" s="310" t="s">
        <v>206</v>
      </c>
      <c r="V74" s="309"/>
      <c r="W74" s="309"/>
      <c r="X74" s="309" t="s">
        <v>206</v>
      </c>
      <c r="Y74" s="309" t="s">
        <v>206</v>
      </c>
      <c r="Z74" s="905" t="s">
        <v>206</v>
      </c>
      <c r="AA74" s="309"/>
      <c r="AB74" s="309">
        <v>45486</v>
      </c>
      <c r="AC74" s="3" t="s">
        <v>206</v>
      </c>
      <c r="AD74" s="84">
        <v>45525</v>
      </c>
      <c r="AE74" s="3" t="s">
        <v>1116</v>
      </c>
      <c r="AF74" s="309"/>
      <c r="AG74" s="621"/>
      <c r="AH74" s="621"/>
    </row>
    <row r="75" spans="1:34" x14ac:dyDescent="0.25">
      <c r="A75" s="1422"/>
      <c r="B75" s="1443"/>
      <c r="C75" s="1143" t="s">
        <v>54</v>
      </c>
      <c r="D75" s="642" t="s">
        <v>1155</v>
      </c>
      <c r="E75" s="20" t="s">
        <v>1206</v>
      </c>
      <c r="F75" s="345" t="s">
        <v>863</v>
      </c>
      <c r="G75" s="345" t="s">
        <v>13</v>
      </c>
      <c r="H75" s="1141"/>
      <c r="I75" s="310"/>
      <c r="J75" s="310" t="s">
        <v>58</v>
      </c>
      <c r="K75" s="84">
        <v>45520</v>
      </c>
      <c r="L75" s="3"/>
      <c r="M75" s="3"/>
      <c r="N75" s="343" t="s">
        <v>121</v>
      </c>
      <c r="O75" s="3"/>
      <c r="P75" s="309" t="s">
        <v>206</v>
      </c>
      <c r="Q75" s="3"/>
      <c r="R75" s="51" t="s">
        <v>206</v>
      </c>
      <c r="S75" s="309" t="s">
        <v>206</v>
      </c>
      <c r="T75" s="310" t="s">
        <v>206</v>
      </c>
      <c r="U75" s="310" t="s">
        <v>206</v>
      </c>
      <c r="V75" s="270"/>
      <c r="W75" s="3"/>
      <c r="X75" s="309" t="s">
        <v>206</v>
      </c>
      <c r="Y75" s="309" t="s">
        <v>206</v>
      </c>
      <c r="Z75" s="905" t="s">
        <v>206</v>
      </c>
      <c r="AA75" s="270"/>
      <c r="AB75" s="536">
        <v>45486</v>
      </c>
      <c r="AC75" s="3" t="s">
        <v>206</v>
      </c>
      <c r="AD75" s="84">
        <v>45525</v>
      </c>
      <c r="AE75" s="3" t="s">
        <v>1116</v>
      </c>
      <c r="AF75" s="270"/>
      <c r="AG75" s="3"/>
      <c r="AH75" s="3"/>
    </row>
    <row r="76" spans="1:34" x14ac:dyDescent="0.25">
      <c r="A76" s="1421">
        <v>38</v>
      </c>
      <c r="B76" s="1444">
        <v>30456</v>
      </c>
      <c r="C76" s="1143" t="s">
        <v>64</v>
      </c>
      <c r="D76" s="636" t="s">
        <v>1148</v>
      </c>
      <c r="E76" s="20" t="s">
        <v>1206</v>
      </c>
      <c r="F76" s="345" t="s">
        <v>863</v>
      </c>
      <c r="G76" s="345" t="s">
        <v>13</v>
      </c>
      <c r="H76" s="3"/>
      <c r="I76" s="3"/>
      <c r="J76" s="3"/>
      <c r="K76" s="52">
        <v>45554</v>
      </c>
      <c r="L76" s="3"/>
      <c r="M76" s="3" t="s">
        <v>75</v>
      </c>
      <c r="N76" s="3" t="s">
        <v>75</v>
      </c>
      <c r="O76" s="3"/>
      <c r="P76" s="3" t="s">
        <v>75</v>
      </c>
      <c r="Q76" s="3"/>
      <c r="R76" s="3"/>
      <c r="S76" s="3"/>
      <c r="T76" s="3" t="s">
        <v>75</v>
      </c>
      <c r="U76" s="3" t="s">
        <v>206</v>
      </c>
      <c r="V76" s="3"/>
      <c r="W76" s="3"/>
      <c r="X76" s="3" t="s">
        <v>63</v>
      </c>
      <c r="Y76" s="3" t="s">
        <v>206</v>
      </c>
      <c r="Z76" s="3" t="s">
        <v>206</v>
      </c>
      <c r="AA76" s="3" t="s">
        <v>206</v>
      </c>
      <c r="AB76" s="3"/>
      <c r="AC76" s="3" t="s">
        <v>206</v>
      </c>
      <c r="AD76" s="52">
        <v>45554</v>
      </c>
      <c r="AE76" s="3" t="s">
        <v>1116</v>
      </c>
      <c r="AF76" s="3"/>
      <c r="AG76" s="3"/>
      <c r="AH76" s="3"/>
    </row>
    <row r="77" spans="1:34" x14ac:dyDescent="0.25">
      <c r="A77" s="1422"/>
      <c r="B77" s="1444"/>
      <c r="C77" s="329" t="s">
        <v>54</v>
      </c>
      <c r="D77" s="636" t="s">
        <v>1149</v>
      </c>
      <c r="E77" s="20" t="s">
        <v>1206</v>
      </c>
      <c r="F77" s="345" t="s">
        <v>863</v>
      </c>
      <c r="G77" s="345" t="s">
        <v>13</v>
      </c>
      <c r="H77" s="3"/>
      <c r="I77" s="3"/>
      <c r="J77" s="3"/>
      <c r="K77" s="52">
        <v>45554</v>
      </c>
      <c r="L77" s="3"/>
      <c r="M77" s="3" t="s">
        <v>75</v>
      </c>
      <c r="N77" s="3" t="s">
        <v>75</v>
      </c>
      <c r="O77" s="3"/>
      <c r="P77" s="3" t="s">
        <v>75</v>
      </c>
      <c r="Q77" s="3"/>
      <c r="R77" s="3"/>
      <c r="S77" s="3"/>
      <c r="T77" s="3" t="s">
        <v>75</v>
      </c>
      <c r="U77" s="3" t="s">
        <v>206</v>
      </c>
      <c r="V77" s="3"/>
      <c r="W77" s="3"/>
      <c r="X77" s="3" t="s">
        <v>63</v>
      </c>
      <c r="Y77" s="3" t="s">
        <v>206</v>
      </c>
      <c r="Z77" s="3" t="s">
        <v>206</v>
      </c>
      <c r="AA77" s="3"/>
      <c r="AB77" s="3"/>
      <c r="AC77" s="3" t="s">
        <v>206</v>
      </c>
      <c r="AD77" s="52">
        <v>45554</v>
      </c>
      <c r="AE77" s="3" t="s">
        <v>1116</v>
      </c>
      <c r="AF77" s="3"/>
      <c r="AG77" s="3"/>
      <c r="AH77" s="3"/>
    </row>
    <row r="78" spans="1:34" x14ac:dyDescent="0.25">
      <c r="A78" s="1421">
        <v>39</v>
      </c>
      <c r="B78">
        <v>30519</v>
      </c>
      <c r="C78" s="1143" t="s">
        <v>646</v>
      </c>
    </row>
    <row r="79" spans="1:34" x14ac:dyDescent="0.25">
      <c r="A79" s="1422"/>
      <c r="B79">
        <v>30519</v>
      </c>
      <c r="C79" s="1143" t="s">
        <v>648</v>
      </c>
    </row>
  </sheetData>
  <mergeCells count="77">
    <mergeCell ref="A74:A75"/>
    <mergeCell ref="B74:B75"/>
    <mergeCell ref="A76:A77"/>
    <mergeCell ref="B76:B77"/>
    <mergeCell ref="A78:A79"/>
    <mergeCell ref="A68:A69"/>
    <mergeCell ref="B68:B69"/>
    <mergeCell ref="A70:A71"/>
    <mergeCell ref="B70:B71"/>
    <mergeCell ref="A72:A73"/>
    <mergeCell ref="B72:B73"/>
    <mergeCell ref="A62:A63"/>
    <mergeCell ref="B62:B63"/>
    <mergeCell ref="A64:A65"/>
    <mergeCell ref="B64:B65"/>
    <mergeCell ref="A66:A67"/>
    <mergeCell ref="B66:B67"/>
    <mergeCell ref="A56:A57"/>
    <mergeCell ref="B56:B57"/>
    <mergeCell ref="A58:A59"/>
    <mergeCell ref="B58:B59"/>
    <mergeCell ref="A60:A61"/>
    <mergeCell ref="B60:B6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conditionalFormatting sqref="B2">
    <cfRule type="duplicateValues" dxfId="1240" priority="27"/>
  </conditionalFormatting>
  <conditionalFormatting sqref="B4 B10 B12">
    <cfRule type="duplicateValues" dxfId="1239" priority="33"/>
  </conditionalFormatting>
  <conditionalFormatting sqref="B8 B6">
    <cfRule type="duplicateValues" dxfId="1238" priority="21"/>
  </conditionalFormatting>
  <conditionalFormatting sqref="B22 B20 B18 B16 B14 B12 B10 B8 B6 B4 B2">
    <cfRule type="duplicateValues" dxfId="1237" priority="32"/>
  </conditionalFormatting>
  <conditionalFormatting sqref="B22 B20 B18 B16 B14">
    <cfRule type="duplicateValues" dxfId="1236" priority="31"/>
  </conditionalFormatting>
  <conditionalFormatting sqref="B58 B56 B54 B52 B48 B46 B44 B42 B40 B36 B38 B34 B32 B30 B28 B24 B26">
    <cfRule type="duplicateValues" dxfId="1235" priority="30"/>
  </conditionalFormatting>
  <conditionalFormatting sqref="B62 B64 B66 B68 B70">
    <cfRule type="duplicateValues" dxfId="1234" priority="28"/>
    <cfRule type="duplicateValues" dxfId="1233" priority="29"/>
  </conditionalFormatting>
  <conditionalFormatting sqref="D2">
    <cfRule type="duplicateValues" dxfId="1232" priority="26"/>
  </conditionalFormatting>
  <conditionalFormatting sqref="D3">
    <cfRule type="duplicateValues" dxfId="1231" priority="25"/>
  </conditionalFormatting>
  <conditionalFormatting sqref="D4">
    <cfRule type="duplicateValues" dxfId="1230" priority="23"/>
  </conditionalFormatting>
  <conditionalFormatting sqref="D5">
    <cfRule type="duplicateValues" dxfId="1229" priority="24"/>
  </conditionalFormatting>
  <conditionalFormatting sqref="D8:D9">
    <cfRule type="duplicateValues" dxfId="1228" priority="22"/>
  </conditionalFormatting>
  <conditionalFormatting sqref="D12">
    <cfRule type="duplicateValues" dxfId="1227" priority="20"/>
  </conditionalFormatting>
  <conditionalFormatting sqref="D46">
    <cfRule type="duplicateValues" dxfId="1226" priority="8"/>
  </conditionalFormatting>
  <conditionalFormatting sqref="D47">
    <cfRule type="duplicateValues" dxfId="1225" priority="7"/>
  </conditionalFormatting>
  <conditionalFormatting sqref="D52">
    <cfRule type="duplicateValues" dxfId="1224" priority="5"/>
  </conditionalFormatting>
  <conditionalFormatting sqref="D52:D53">
    <cfRule type="duplicateValues" dxfId="1223" priority="6"/>
  </conditionalFormatting>
  <conditionalFormatting sqref="D53">
    <cfRule type="duplicateValues" dxfId="1222" priority="4"/>
  </conditionalFormatting>
  <conditionalFormatting sqref="D60">
    <cfRule type="duplicateValues" dxfId="1221" priority="2"/>
  </conditionalFormatting>
  <conditionalFormatting sqref="D61">
    <cfRule type="duplicateValues" dxfId="1220" priority="3"/>
  </conditionalFormatting>
  <conditionalFormatting sqref="D62:D63">
    <cfRule type="duplicateValues" dxfId="1219" priority="19"/>
  </conditionalFormatting>
  <conditionalFormatting sqref="D65">
    <cfRule type="duplicateValues" dxfId="1218" priority="12"/>
  </conditionalFormatting>
  <conditionalFormatting sqref="D65:D66">
    <cfRule type="duplicateValues" dxfId="1217" priority="11"/>
  </conditionalFormatting>
  <conditionalFormatting sqref="D66">
    <cfRule type="duplicateValues" dxfId="1216" priority="13"/>
  </conditionalFormatting>
  <conditionalFormatting sqref="D67">
    <cfRule type="duplicateValues" dxfId="1215" priority="15"/>
  </conditionalFormatting>
  <conditionalFormatting sqref="D67:D68">
    <cfRule type="duplicateValues" dxfId="1214" priority="14"/>
  </conditionalFormatting>
  <conditionalFormatting sqref="D68">
    <cfRule type="duplicateValues" dxfId="1213" priority="16"/>
  </conditionalFormatting>
  <conditionalFormatting sqref="D69:D73">
    <cfRule type="duplicateValues" dxfId="1212" priority="17"/>
    <cfRule type="duplicateValues" dxfId="1211" priority="18"/>
  </conditionalFormatting>
  <conditionalFormatting sqref="D76:D77">
    <cfRule type="duplicateValues" dxfId="1210" priority="1"/>
  </conditionalFormatting>
  <dataValidations count="2">
    <dataValidation type="list" allowBlank="1" showInputMessage="1" showErrorMessage="1" sqref="J1:J75" xr:uid="{4A3545A6-F42B-4DCA-BF99-C90063E9CE84}">
      <formula1>"Imported, Nashik"</formula1>
    </dataValidation>
    <dataValidation type="list" allowBlank="1" showInputMessage="1" showErrorMessage="1" sqref="N24:N61 S6:S9" xr:uid="{BE557408-12C5-4A4B-B66B-481EFB6B0369}">
      <formula1>"Conv-A DONE,Conv-B DONE"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CF3B-EE07-4C42-A663-13FD2746BD4C}">
  <dimension ref="A1:AS401"/>
  <sheetViews>
    <sheetView zoomScale="72" zoomScaleNormal="130" workbookViewId="0">
      <pane xSplit="2" ySplit="1" topLeftCell="AC2" activePane="bottomRight" state="frozen"/>
      <selection pane="topRight" activeCell="D19" sqref="D19"/>
      <selection pane="bottomLeft" activeCell="D19" sqref="D19"/>
      <selection pane="bottomRight" activeCell="AO22" sqref="AO22"/>
    </sheetView>
  </sheetViews>
  <sheetFormatPr defaultColWidth="8.5546875" defaultRowHeight="13.2" x14ac:dyDescent="0.25"/>
  <cols>
    <col min="1" max="1" width="6.5546875" style="2" customWidth="1"/>
    <col min="2" max="2" width="15.44140625" style="72" customWidth="1"/>
    <col min="3" max="3" width="12.5546875" style="72" customWidth="1"/>
    <col min="4" max="4" width="16.5546875" style="2" customWidth="1"/>
    <col min="5" max="5" width="17.5546875" style="72" customWidth="1"/>
    <col min="6" max="6" width="15.5546875" style="2" customWidth="1"/>
    <col min="7" max="7" width="14.44140625" style="2" customWidth="1"/>
    <col min="8" max="8" width="11.5546875" style="2" customWidth="1"/>
    <col min="9" max="9" width="15.44140625" style="2" customWidth="1"/>
    <col min="10" max="10" width="20.44140625" style="2" customWidth="1"/>
    <col min="11" max="11" width="24.44140625" style="441" customWidth="1"/>
    <col min="12" max="12" width="21.44140625" style="470" customWidth="1"/>
    <col min="13" max="13" width="18.5546875" style="441" customWidth="1"/>
    <col min="14" max="14" width="26.44140625" style="441" customWidth="1"/>
    <col min="15" max="15" width="16.5546875" style="68" customWidth="1"/>
    <col min="16" max="16" width="18.44140625" style="68" customWidth="1"/>
    <col min="17" max="17" width="20.44140625" style="61" customWidth="1"/>
    <col min="18" max="18" width="23.5546875" style="61" customWidth="1"/>
    <col min="19" max="19" width="32.44140625" style="61" customWidth="1"/>
    <col min="20" max="20" width="19.5546875" style="61" customWidth="1"/>
    <col min="21" max="21" width="21.44140625" style="61" customWidth="1"/>
    <col min="22" max="22" width="19.44140625" style="61" customWidth="1"/>
    <col min="23" max="23" width="20.44140625" style="61" customWidth="1"/>
    <col min="24" max="24" width="22" style="61" customWidth="1"/>
    <col min="25" max="25" width="23.44140625" style="61" customWidth="1"/>
    <col min="26" max="26" width="21" style="441" customWidth="1"/>
    <col min="27" max="27" width="19.5546875" style="441" customWidth="1"/>
    <col min="28" max="29" width="20.44140625" style="61" bestFit="1" customWidth="1"/>
    <col min="30" max="31" width="15.5546875" style="61" customWidth="1"/>
    <col min="32" max="32" width="17.5546875" style="61" customWidth="1"/>
    <col min="33" max="33" width="18.5546875" style="58" customWidth="1"/>
    <col min="34" max="34" width="17" style="953" customWidth="1"/>
    <col min="35" max="35" width="17" style="58" customWidth="1"/>
    <col min="36" max="36" width="16.44140625" style="58" customWidth="1"/>
    <col min="37" max="37" width="17.44140625" style="58" customWidth="1"/>
    <col min="38" max="38" width="20.44140625" style="58" customWidth="1"/>
    <col min="39" max="40" width="20" style="58" customWidth="1"/>
    <col min="41" max="41" width="10.5546875" customWidth="1"/>
  </cols>
  <sheetData>
    <row r="1" spans="1:41" s="80" customFormat="1" ht="114.6" x14ac:dyDescent="0.3">
      <c r="A1" s="328" t="s">
        <v>18</v>
      </c>
      <c r="B1" s="997" t="s">
        <v>19</v>
      </c>
      <c r="C1" s="997" t="s">
        <v>20</v>
      </c>
      <c r="D1" s="854" t="s">
        <v>21</v>
      </c>
      <c r="E1" s="998" t="s">
        <v>22</v>
      </c>
      <c r="F1" s="998" t="s">
        <v>23</v>
      </c>
      <c r="G1" s="998" t="s">
        <v>0</v>
      </c>
      <c r="H1" s="998" t="s">
        <v>24</v>
      </c>
      <c r="I1" s="999" t="s">
        <v>25</v>
      </c>
      <c r="J1" s="1000" t="s">
        <v>26</v>
      </c>
      <c r="K1" s="1001" t="s">
        <v>27</v>
      </c>
      <c r="L1" s="1002" t="s">
        <v>1238</v>
      </c>
      <c r="M1" s="1001" t="s">
        <v>29</v>
      </c>
      <c r="N1" s="1001" t="s">
        <v>1239</v>
      </c>
      <c r="O1" s="1003" t="s">
        <v>31</v>
      </c>
      <c r="P1" s="1003" t="s">
        <v>32</v>
      </c>
      <c r="Q1" s="1000" t="s">
        <v>33</v>
      </c>
      <c r="R1" s="1000" t="s">
        <v>34</v>
      </c>
      <c r="S1" s="1000" t="s">
        <v>35</v>
      </c>
      <c r="T1" s="1000" t="s">
        <v>36</v>
      </c>
      <c r="U1" s="1004" t="s">
        <v>37</v>
      </c>
      <c r="V1" s="1000" t="s">
        <v>38</v>
      </c>
      <c r="W1" s="1000" t="s">
        <v>39</v>
      </c>
      <c r="X1" s="1000" t="s">
        <v>40</v>
      </c>
      <c r="Y1" s="1000" t="s">
        <v>41</v>
      </c>
      <c r="Z1" s="1001" t="s">
        <v>42</v>
      </c>
      <c r="AA1" s="1001" t="s">
        <v>43</v>
      </c>
      <c r="AB1" s="1000" t="s">
        <v>44</v>
      </c>
      <c r="AC1" s="1000" t="s">
        <v>45</v>
      </c>
      <c r="AD1" s="1005" t="s">
        <v>1240</v>
      </c>
      <c r="AE1" s="1000" t="s">
        <v>47</v>
      </c>
      <c r="AF1" s="1005" t="s">
        <v>48</v>
      </c>
      <c r="AG1" s="1003" t="s">
        <v>193</v>
      </c>
      <c r="AH1" s="1006" t="s">
        <v>194</v>
      </c>
      <c r="AI1" s="1007" t="s">
        <v>195</v>
      </c>
      <c r="AJ1" s="1008" t="s">
        <v>196</v>
      </c>
      <c r="AK1" s="1009" t="s">
        <v>53</v>
      </c>
      <c r="AL1" s="830" t="s">
        <v>197</v>
      </c>
      <c r="AM1" s="1009" t="s">
        <v>658</v>
      </c>
      <c r="AN1" s="621" t="s">
        <v>199</v>
      </c>
    </row>
    <row r="2" spans="1:41" s="80" customFormat="1" ht="15.75" customHeight="1" x14ac:dyDescent="0.3">
      <c r="A2" s="996">
        <v>1</v>
      </c>
      <c r="B2" s="333">
        <v>30446</v>
      </c>
      <c r="C2" s="334" t="s">
        <v>64</v>
      </c>
      <c r="D2" s="517" t="s">
        <v>1241</v>
      </c>
      <c r="E2" s="335" t="s">
        <v>1242</v>
      </c>
      <c r="F2" s="332" t="s">
        <v>1243</v>
      </c>
      <c r="G2" s="335" t="s">
        <v>14</v>
      </c>
      <c r="H2" s="529">
        <v>42377</v>
      </c>
      <c r="I2" s="310">
        <v>12</v>
      </c>
      <c r="J2" s="310" t="s">
        <v>66</v>
      </c>
      <c r="K2" s="491" t="s">
        <v>680</v>
      </c>
      <c r="L2" s="492">
        <v>44130</v>
      </c>
      <c r="M2" s="493" t="s">
        <v>67</v>
      </c>
      <c r="N2" s="494" t="s">
        <v>63</v>
      </c>
      <c r="O2" s="312"/>
      <c r="P2" s="312">
        <v>45413</v>
      </c>
      <c r="Q2" s="313" t="s">
        <v>68</v>
      </c>
      <c r="R2" s="313" t="s">
        <v>68</v>
      </c>
      <c r="S2" s="313" t="s">
        <v>68</v>
      </c>
      <c r="T2" s="313" t="s">
        <v>68</v>
      </c>
      <c r="U2" s="313" t="s">
        <v>68</v>
      </c>
      <c r="V2" s="313" t="s">
        <v>68</v>
      </c>
      <c r="W2" s="313" t="s">
        <v>68</v>
      </c>
      <c r="X2" s="609" t="s">
        <v>1244</v>
      </c>
      <c r="Y2" s="310" t="s">
        <v>869</v>
      </c>
      <c r="Z2" s="551"/>
      <c r="AA2" s="551"/>
      <c r="AB2" s="314"/>
      <c r="AC2" s="314"/>
      <c r="AD2" s="313" t="s">
        <v>68</v>
      </c>
      <c r="AE2" s="338"/>
      <c r="AF2" s="310" t="s">
        <v>206</v>
      </c>
      <c r="AG2" s="251">
        <v>45301</v>
      </c>
      <c r="AH2" s="1175" t="s">
        <v>1245</v>
      </c>
      <c r="AI2" s="572">
        <v>45163</v>
      </c>
      <c r="AJ2" s="24" t="s">
        <v>1116</v>
      </c>
      <c r="AK2" s="143">
        <v>45518</v>
      </c>
      <c r="AL2" s="143">
        <v>45518</v>
      </c>
      <c r="AM2" s="1299"/>
      <c r="AN2" s="24"/>
    </row>
    <row r="3" spans="1:41" s="80" customFormat="1" ht="13.5" customHeight="1" x14ac:dyDescent="0.3">
      <c r="A3" s="996">
        <v>2</v>
      </c>
      <c r="B3" s="333">
        <v>30446</v>
      </c>
      <c r="C3" s="334" t="s">
        <v>54</v>
      </c>
      <c r="D3" s="517" t="s">
        <v>1246</v>
      </c>
      <c r="E3" s="335" t="s">
        <v>1242</v>
      </c>
      <c r="F3" s="332" t="s">
        <v>1243</v>
      </c>
      <c r="G3" s="335" t="s">
        <v>14</v>
      </c>
      <c r="H3" s="529">
        <v>42377</v>
      </c>
      <c r="I3" s="310">
        <v>13</v>
      </c>
      <c r="J3" s="310" t="s">
        <v>66</v>
      </c>
      <c r="K3" s="491" t="s">
        <v>680</v>
      </c>
      <c r="L3" s="492">
        <v>44130</v>
      </c>
      <c r="M3" s="493" t="s">
        <v>67</v>
      </c>
      <c r="N3" s="494" t="s">
        <v>63</v>
      </c>
      <c r="O3" s="312"/>
      <c r="P3" s="312">
        <v>45413</v>
      </c>
      <c r="Q3" s="313" t="s">
        <v>62</v>
      </c>
      <c r="R3" s="313" t="s">
        <v>62</v>
      </c>
      <c r="S3" s="313" t="s">
        <v>62</v>
      </c>
      <c r="T3" s="313" t="s">
        <v>62</v>
      </c>
      <c r="U3" s="313" t="s">
        <v>62</v>
      </c>
      <c r="V3" s="313" t="s">
        <v>62</v>
      </c>
      <c r="W3" s="313" t="s">
        <v>62</v>
      </c>
      <c r="X3" s="609" t="s">
        <v>1244</v>
      </c>
      <c r="Y3" s="310" t="s">
        <v>869</v>
      </c>
      <c r="Z3" s="551"/>
      <c r="AA3" s="551"/>
      <c r="AB3" s="314"/>
      <c r="AC3" s="314"/>
      <c r="AD3" s="313" t="s">
        <v>62</v>
      </c>
      <c r="AE3" s="338"/>
      <c r="AF3" s="310" t="s">
        <v>206</v>
      </c>
      <c r="AG3" s="251">
        <v>45301</v>
      </c>
      <c r="AH3" s="1175" t="s">
        <v>1245</v>
      </c>
      <c r="AI3" s="572">
        <v>45163</v>
      </c>
      <c r="AJ3" s="24" t="s">
        <v>1116</v>
      </c>
      <c r="AK3" s="143">
        <v>45518</v>
      </c>
      <c r="AL3" s="143">
        <v>45518</v>
      </c>
      <c r="AM3" s="1299"/>
      <c r="AN3" s="24"/>
    </row>
    <row r="4" spans="1:41" ht="13.35" customHeight="1" x14ac:dyDescent="0.25">
      <c r="A4" s="996">
        <v>3</v>
      </c>
      <c r="B4" s="576">
        <v>30454</v>
      </c>
      <c r="C4" s="577" t="s">
        <v>64</v>
      </c>
      <c r="D4" s="587" t="s">
        <v>1247</v>
      </c>
      <c r="E4" s="578" t="s">
        <v>1248</v>
      </c>
      <c r="F4" s="578" t="s">
        <v>1243</v>
      </c>
      <c r="G4" s="578" t="s">
        <v>14</v>
      </c>
      <c r="H4" s="579">
        <v>42423</v>
      </c>
      <c r="I4" s="580">
        <v>33</v>
      </c>
      <c r="J4" s="581" t="s">
        <v>66</v>
      </c>
      <c r="K4" s="582" t="s">
        <v>1249</v>
      </c>
      <c r="L4" s="1058"/>
      <c r="M4" s="582"/>
      <c r="N4" s="583"/>
      <c r="O4" s="584">
        <v>45111</v>
      </c>
      <c r="P4" s="897">
        <v>45111</v>
      </c>
      <c r="Q4" s="581" t="s">
        <v>68</v>
      </c>
      <c r="R4" s="581" t="s">
        <v>68</v>
      </c>
      <c r="S4" s="1059" t="s">
        <v>68</v>
      </c>
      <c r="T4" s="581" t="s">
        <v>68</v>
      </c>
      <c r="U4" s="581" t="s">
        <v>68</v>
      </c>
      <c r="V4" s="1059" t="s">
        <v>68</v>
      </c>
      <c r="W4" s="1059" t="s">
        <v>68</v>
      </c>
      <c r="X4" s="608" t="s">
        <v>1250</v>
      </c>
      <c r="Y4" s="581" t="s">
        <v>869</v>
      </c>
      <c r="Z4" s="888"/>
      <c r="AA4" s="889"/>
      <c r="AB4" s="581"/>
      <c r="AC4" s="581"/>
      <c r="AD4" s="584">
        <v>44885</v>
      </c>
      <c r="AE4" s="586"/>
      <c r="AF4" s="584">
        <v>44882</v>
      </c>
      <c r="AG4" s="1060">
        <v>45299</v>
      </c>
      <c r="AH4" s="990">
        <v>45874</v>
      </c>
      <c r="AI4" s="269">
        <v>44882</v>
      </c>
      <c r="AJ4" s="242" t="s">
        <v>1116</v>
      </c>
      <c r="AK4" s="239" t="s">
        <v>1251</v>
      </c>
      <c r="AL4" s="644">
        <v>45307</v>
      </c>
      <c r="AM4" s="525" t="s">
        <v>1252</v>
      </c>
      <c r="AN4" s="24"/>
      <c r="AO4" s="525"/>
    </row>
    <row r="5" spans="1:41" ht="13.35" customHeight="1" x14ac:dyDescent="0.25">
      <c r="A5" s="996">
        <v>4</v>
      </c>
      <c r="B5" s="339">
        <v>30454</v>
      </c>
      <c r="C5" s="340" t="s">
        <v>54</v>
      </c>
      <c r="D5" s="341" t="s">
        <v>1253</v>
      </c>
      <c r="E5" s="335" t="s">
        <v>1248</v>
      </c>
      <c r="F5" s="335" t="s">
        <v>1243</v>
      </c>
      <c r="G5" s="335" t="s">
        <v>14</v>
      </c>
      <c r="H5" s="342">
        <v>42423</v>
      </c>
      <c r="I5" s="314">
        <v>32</v>
      </c>
      <c r="J5" s="310" t="s">
        <v>66</v>
      </c>
      <c r="K5" s="491" t="s">
        <v>1249</v>
      </c>
      <c r="L5" s="592"/>
      <c r="M5" s="491"/>
      <c r="N5" s="495"/>
      <c r="O5" s="343">
        <v>45111</v>
      </c>
      <c r="P5" s="516">
        <v>45111</v>
      </c>
      <c r="Q5" s="310" t="s">
        <v>62</v>
      </c>
      <c r="R5" s="310" t="s">
        <v>62</v>
      </c>
      <c r="S5" s="313" t="s">
        <v>62</v>
      </c>
      <c r="T5" s="310" t="s">
        <v>62</v>
      </c>
      <c r="U5" s="310" t="s">
        <v>62</v>
      </c>
      <c r="V5" s="313" t="s">
        <v>62</v>
      </c>
      <c r="W5" s="313" t="s">
        <v>62</v>
      </c>
      <c r="X5" s="608" t="s">
        <v>1250</v>
      </c>
      <c r="Y5" s="310" t="s">
        <v>869</v>
      </c>
      <c r="Z5" s="593"/>
      <c r="AA5" s="589"/>
      <c r="AB5" s="310"/>
      <c r="AC5" s="310"/>
      <c r="AD5" s="343">
        <v>44885</v>
      </c>
      <c r="AE5" s="314"/>
      <c r="AF5" s="343">
        <v>44882</v>
      </c>
      <c r="AG5" s="521">
        <v>45299</v>
      </c>
      <c r="AH5" s="609">
        <v>45874</v>
      </c>
      <c r="AI5" s="52">
        <v>44882</v>
      </c>
      <c r="AJ5" s="24" t="s">
        <v>1116</v>
      </c>
      <c r="AK5" s="3" t="s">
        <v>1254</v>
      </c>
      <c r="AL5" s="84">
        <v>45307</v>
      </c>
      <c r="AM5" s="525" t="s">
        <v>1252</v>
      </c>
      <c r="AN5" s="24"/>
    </row>
    <row r="6" spans="1:41" ht="15" customHeight="1" x14ac:dyDescent="0.25">
      <c r="A6" s="996">
        <v>5</v>
      </c>
      <c r="B6" s="339">
        <v>30534</v>
      </c>
      <c r="C6" s="340" t="s">
        <v>64</v>
      </c>
      <c r="D6" s="341" t="s">
        <v>1255</v>
      </c>
      <c r="E6" s="335" t="s">
        <v>1248</v>
      </c>
      <c r="F6" s="314" t="s">
        <v>1243</v>
      </c>
      <c r="G6" s="335" t="s">
        <v>14</v>
      </c>
      <c r="H6" s="342">
        <v>42829</v>
      </c>
      <c r="I6" s="314">
        <v>81</v>
      </c>
      <c r="J6" s="310" t="s">
        <v>58</v>
      </c>
      <c r="K6" s="491"/>
      <c r="L6" s="592"/>
      <c r="M6" s="491" t="s">
        <v>60</v>
      </c>
      <c r="N6" s="495">
        <v>44201</v>
      </c>
      <c r="O6" s="343">
        <v>45076</v>
      </c>
      <c r="P6" s="532">
        <v>45475</v>
      </c>
      <c r="Q6" s="310" t="s">
        <v>68</v>
      </c>
      <c r="R6" s="310" t="s">
        <v>68</v>
      </c>
      <c r="S6" s="313" t="s">
        <v>68</v>
      </c>
      <c r="T6" s="310" t="s">
        <v>68</v>
      </c>
      <c r="U6" s="310" t="s">
        <v>68</v>
      </c>
      <c r="V6" s="313" t="s">
        <v>68</v>
      </c>
      <c r="W6" s="313" t="s">
        <v>68</v>
      </c>
      <c r="X6" s="608" t="s">
        <v>1250</v>
      </c>
      <c r="Y6" s="310" t="s">
        <v>869</v>
      </c>
      <c r="Z6" s="593"/>
      <c r="AA6" s="589"/>
      <c r="AB6" s="310"/>
      <c r="AC6" s="310"/>
      <c r="AD6" s="343">
        <v>44768</v>
      </c>
      <c r="AE6" s="314"/>
      <c r="AF6" s="343">
        <v>44756</v>
      </c>
      <c r="AG6" s="521">
        <v>45475</v>
      </c>
      <c r="AH6" s="535">
        <v>45475</v>
      </c>
      <c r="AI6" s="52">
        <v>44887</v>
      </c>
      <c r="AJ6" s="24" t="s">
        <v>1116</v>
      </c>
      <c r="AK6" s="84">
        <v>45268</v>
      </c>
      <c r="AL6" s="84">
        <v>45303</v>
      </c>
      <c r="AM6" s="1299"/>
    </row>
    <row r="7" spans="1:41" ht="14.1" customHeight="1" x14ac:dyDescent="0.25">
      <c r="A7" s="996">
        <v>6</v>
      </c>
      <c r="B7" s="339">
        <v>30534</v>
      </c>
      <c r="C7" s="340" t="s">
        <v>54</v>
      </c>
      <c r="D7" s="341" t="s">
        <v>1256</v>
      </c>
      <c r="E7" s="335" t="s">
        <v>1248</v>
      </c>
      <c r="F7" s="314" t="s">
        <v>1243</v>
      </c>
      <c r="G7" s="335" t="s">
        <v>14</v>
      </c>
      <c r="H7" s="342">
        <v>42829</v>
      </c>
      <c r="I7" s="314">
        <v>79</v>
      </c>
      <c r="J7" s="310" t="s">
        <v>58</v>
      </c>
      <c r="K7" s="491"/>
      <c r="L7" s="592"/>
      <c r="M7" s="491" t="s">
        <v>60</v>
      </c>
      <c r="N7" s="495">
        <v>44201</v>
      </c>
      <c r="O7" s="343">
        <v>45076</v>
      </c>
      <c r="P7" s="532">
        <v>45475</v>
      </c>
      <c r="Q7" s="310" t="s">
        <v>62</v>
      </c>
      <c r="R7" s="310" t="s">
        <v>62</v>
      </c>
      <c r="S7" s="313" t="s">
        <v>62</v>
      </c>
      <c r="T7" s="310" t="s">
        <v>62</v>
      </c>
      <c r="U7" s="310" t="s">
        <v>62</v>
      </c>
      <c r="V7" s="313" t="s">
        <v>62</v>
      </c>
      <c r="W7" s="313" t="s">
        <v>62</v>
      </c>
      <c r="X7" s="608" t="s">
        <v>1250</v>
      </c>
      <c r="Y7" s="310" t="s">
        <v>869</v>
      </c>
      <c r="Z7" s="593"/>
      <c r="AA7" s="589"/>
      <c r="AB7" s="310"/>
      <c r="AC7" s="310"/>
      <c r="AD7" s="343">
        <v>44768</v>
      </c>
      <c r="AE7" s="314"/>
      <c r="AF7" s="343">
        <v>44756</v>
      </c>
      <c r="AG7" s="521">
        <v>45475</v>
      </c>
      <c r="AH7" s="535">
        <v>45475</v>
      </c>
      <c r="AI7" s="52">
        <v>44887</v>
      </c>
      <c r="AJ7" s="24" t="s">
        <v>1116</v>
      </c>
      <c r="AK7" s="84">
        <v>45268</v>
      </c>
      <c r="AL7" s="84">
        <v>45303</v>
      </c>
      <c r="AM7" s="1299"/>
    </row>
    <row r="8" spans="1:41" ht="15.6" customHeight="1" x14ac:dyDescent="0.25">
      <c r="A8" s="996">
        <v>7</v>
      </c>
      <c r="B8" s="339">
        <v>30535</v>
      </c>
      <c r="C8" s="340" t="s">
        <v>64</v>
      </c>
      <c r="D8" s="341" t="s">
        <v>1257</v>
      </c>
      <c r="E8" s="335" t="s">
        <v>1248</v>
      </c>
      <c r="F8" s="314" t="s">
        <v>1243</v>
      </c>
      <c r="G8" s="335" t="s">
        <v>14</v>
      </c>
      <c r="H8" s="342">
        <v>42824</v>
      </c>
      <c r="I8" s="314">
        <v>69</v>
      </c>
      <c r="J8" s="310" t="s">
        <v>58</v>
      </c>
      <c r="K8" s="491"/>
      <c r="L8" s="592"/>
      <c r="M8" s="491" t="s">
        <v>60</v>
      </c>
      <c r="N8" s="495">
        <v>44229</v>
      </c>
      <c r="O8" s="343">
        <v>45092</v>
      </c>
      <c r="P8" s="532">
        <v>45582</v>
      </c>
      <c r="Q8" s="310" t="s">
        <v>68</v>
      </c>
      <c r="R8" s="310" t="s">
        <v>68</v>
      </c>
      <c r="S8" s="313" t="s">
        <v>68</v>
      </c>
      <c r="T8" s="310" t="s">
        <v>68</v>
      </c>
      <c r="U8" s="310" t="s">
        <v>68</v>
      </c>
      <c r="V8" s="313" t="s">
        <v>68</v>
      </c>
      <c r="W8" s="313" t="s">
        <v>68</v>
      </c>
      <c r="X8" s="310" t="s">
        <v>1250</v>
      </c>
      <c r="Y8" s="310" t="s">
        <v>869</v>
      </c>
      <c r="Z8" s="593"/>
      <c r="AA8" s="589"/>
      <c r="AB8" s="310"/>
      <c r="AC8" s="310"/>
      <c r="AD8" s="343">
        <v>44811</v>
      </c>
      <c r="AE8" s="314"/>
      <c r="AF8" s="343">
        <v>44811</v>
      </c>
      <c r="AG8" s="536">
        <v>45486</v>
      </c>
      <c r="AH8" s="535">
        <v>45486</v>
      </c>
      <c r="AI8" s="52">
        <v>45183</v>
      </c>
      <c r="AJ8" s="24" t="s">
        <v>1116</v>
      </c>
      <c r="AK8" s="84">
        <v>45582</v>
      </c>
      <c r="AL8" s="84">
        <v>45582</v>
      </c>
      <c r="AM8" s="3" t="s">
        <v>1258</v>
      </c>
    </row>
    <row r="9" spans="1:41" ht="15" customHeight="1" x14ac:dyDescent="0.25">
      <c r="A9" s="996">
        <v>8</v>
      </c>
      <c r="B9" s="339">
        <v>30535</v>
      </c>
      <c r="C9" s="340" t="s">
        <v>54</v>
      </c>
      <c r="D9" s="341" t="s">
        <v>1259</v>
      </c>
      <c r="E9" s="335" t="s">
        <v>1248</v>
      </c>
      <c r="F9" s="314" t="s">
        <v>1243</v>
      </c>
      <c r="G9" s="335" t="s">
        <v>14</v>
      </c>
      <c r="H9" s="342">
        <v>42824</v>
      </c>
      <c r="I9" s="314">
        <v>70</v>
      </c>
      <c r="J9" s="310" t="s">
        <v>58</v>
      </c>
      <c r="K9" s="491"/>
      <c r="L9" s="592"/>
      <c r="M9" s="491" t="s">
        <v>60</v>
      </c>
      <c r="N9" s="495">
        <v>44229</v>
      </c>
      <c r="O9" s="343">
        <v>45092</v>
      </c>
      <c r="P9" s="532">
        <v>45582</v>
      </c>
      <c r="Q9" s="310" t="s">
        <v>62</v>
      </c>
      <c r="R9" s="310" t="s">
        <v>62</v>
      </c>
      <c r="S9" s="313" t="s">
        <v>62</v>
      </c>
      <c r="T9" s="310" t="s">
        <v>62</v>
      </c>
      <c r="U9" s="310" t="s">
        <v>62</v>
      </c>
      <c r="V9" s="313" t="s">
        <v>62</v>
      </c>
      <c r="W9" s="313" t="s">
        <v>62</v>
      </c>
      <c r="X9" s="310" t="s">
        <v>1250</v>
      </c>
      <c r="Y9" s="310" t="s">
        <v>869</v>
      </c>
      <c r="Z9" s="593"/>
      <c r="AA9" s="589"/>
      <c r="AB9" s="310"/>
      <c r="AC9" s="310"/>
      <c r="AD9" s="343">
        <v>44811</v>
      </c>
      <c r="AE9" s="314"/>
      <c r="AF9" s="343">
        <v>44811</v>
      </c>
      <c r="AG9" s="536">
        <v>45486</v>
      </c>
      <c r="AH9" s="535">
        <v>45486</v>
      </c>
      <c r="AI9" s="52">
        <v>45183</v>
      </c>
      <c r="AJ9" s="24" t="s">
        <v>1116</v>
      </c>
      <c r="AK9" s="84">
        <v>45582</v>
      </c>
      <c r="AL9" s="84">
        <v>45582</v>
      </c>
      <c r="AM9" s="3" t="s">
        <v>1258</v>
      </c>
    </row>
    <row r="10" spans="1:41" ht="13.35" customHeight="1" x14ac:dyDescent="0.25">
      <c r="A10" s="996">
        <v>9</v>
      </c>
      <c r="B10" s="311">
        <v>30776</v>
      </c>
      <c r="C10" s="345" t="s">
        <v>64</v>
      </c>
      <c r="D10" s="346" t="s">
        <v>1260</v>
      </c>
      <c r="E10" s="335" t="s">
        <v>1242</v>
      </c>
      <c r="F10" s="345" t="s">
        <v>1243</v>
      </c>
      <c r="G10" s="335" t="s">
        <v>14</v>
      </c>
      <c r="H10" s="309">
        <v>44380</v>
      </c>
      <c r="I10" s="345">
        <v>1062</v>
      </c>
      <c r="J10" s="310" t="s">
        <v>58</v>
      </c>
      <c r="K10" s="491"/>
      <c r="L10" s="592"/>
      <c r="M10" s="491"/>
      <c r="N10" s="495"/>
      <c r="O10" s="343">
        <v>45154</v>
      </c>
      <c r="P10" s="314"/>
      <c r="Q10" s="310" t="s">
        <v>68</v>
      </c>
      <c r="R10" s="310" t="s">
        <v>68</v>
      </c>
      <c r="S10" s="313" t="s">
        <v>68</v>
      </c>
      <c r="T10" s="310" t="s">
        <v>68</v>
      </c>
      <c r="U10" s="310" t="s">
        <v>68</v>
      </c>
      <c r="V10" s="313" t="s">
        <v>68</v>
      </c>
      <c r="W10" s="313" t="s">
        <v>68</v>
      </c>
      <c r="X10" s="609" t="s">
        <v>1244</v>
      </c>
      <c r="Y10" s="310" t="s">
        <v>869</v>
      </c>
      <c r="Z10" s="593"/>
      <c r="AA10" s="589"/>
      <c r="AB10" s="310"/>
      <c r="AC10" s="310"/>
      <c r="AD10" s="343">
        <v>45154</v>
      </c>
      <c r="AE10" s="314"/>
      <c r="AF10" s="343">
        <v>45154</v>
      </c>
      <c r="AG10" s="521">
        <v>45359</v>
      </c>
      <c r="AH10" s="521">
        <v>45359</v>
      </c>
      <c r="AI10" s="84">
        <v>45269</v>
      </c>
      <c r="AJ10" s="24" t="s">
        <v>1116</v>
      </c>
      <c r="AK10" s="3" t="s">
        <v>1261</v>
      </c>
      <c r="AL10" s="84">
        <v>45296</v>
      </c>
      <c r="AM10" s="84">
        <v>45507</v>
      </c>
      <c r="AN10" s="381"/>
    </row>
    <row r="11" spans="1:41" ht="13.35" customHeight="1" x14ac:dyDescent="0.25">
      <c r="A11" s="996">
        <v>10</v>
      </c>
      <c r="B11" s="311">
        <v>30776</v>
      </c>
      <c r="C11" s="345" t="s">
        <v>54</v>
      </c>
      <c r="D11" s="346" t="s">
        <v>1262</v>
      </c>
      <c r="E11" s="335" t="s">
        <v>1242</v>
      </c>
      <c r="F11" s="345" t="s">
        <v>1243</v>
      </c>
      <c r="G11" s="335" t="s">
        <v>14</v>
      </c>
      <c r="H11" s="309">
        <v>44380</v>
      </c>
      <c r="I11" s="345">
        <v>1063</v>
      </c>
      <c r="J11" s="310" t="s">
        <v>58</v>
      </c>
      <c r="K11" s="491"/>
      <c r="L11" s="592"/>
      <c r="M11" s="491"/>
      <c r="N11" s="495"/>
      <c r="O11" s="343">
        <v>45154</v>
      </c>
      <c r="P11" s="314"/>
      <c r="Q11" s="310" t="s">
        <v>62</v>
      </c>
      <c r="R11" s="310" t="s">
        <v>62</v>
      </c>
      <c r="S11" s="313" t="s">
        <v>62</v>
      </c>
      <c r="T11" s="310" t="s">
        <v>62</v>
      </c>
      <c r="U11" s="310" t="s">
        <v>62</v>
      </c>
      <c r="V11" s="313" t="s">
        <v>62</v>
      </c>
      <c r="W11" s="313" t="s">
        <v>62</v>
      </c>
      <c r="X11" s="525" t="s">
        <v>1244</v>
      </c>
      <c r="Y11" s="310" t="s">
        <v>869</v>
      </c>
      <c r="Z11" s="593"/>
      <c r="AA11" s="589"/>
      <c r="AB11" s="310"/>
      <c r="AC11" s="310"/>
      <c r="AD11" s="343">
        <v>45154</v>
      </c>
      <c r="AE11" s="314"/>
      <c r="AF11" s="343">
        <v>45154</v>
      </c>
      <c r="AG11" s="521">
        <v>45359</v>
      </c>
      <c r="AH11" s="521">
        <v>45359</v>
      </c>
      <c r="AI11" s="84">
        <v>45269</v>
      </c>
      <c r="AJ11" s="24" t="s">
        <v>1116</v>
      </c>
      <c r="AK11" s="3" t="s">
        <v>1261</v>
      </c>
      <c r="AL11" s="84">
        <v>45296</v>
      </c>
      <c r="AM11" s="84">
        <v>45507</v>
      </c>
    </row>
    <row r="12" spans="1:41" ht="13.35" customHeight="1" x14ac:dyDescent="0.25">
      <c r="A12" s="996">
        <v>11</v>
      </c>
      <c r="B12" s="311">
        <v>37223</v>
      </c>
      <c r="C12" s="345" t="s">
        <v>64</v>
      </c>
      <c r="D12" s="346" t="s">
        <v>1263</v>
      </c>
      <c r="E12" s="335" t="s">
        <v>1248</v>
      </c>
      <c r="F12" s="345" t="s">
        <v>1243</v>
      </c>
      <c r="G12" s="335" t="s">
        <v>14</v>
      </c>
      <c r="H12" s="342">
        <v>43724</v>
      </c>
      <c r="I12" s="345">
        <v>495</v>
      </c>
      <c r="J12" s="310" t="s">
        <v>58</v>
      </c>
      <c r="K12" s="491"/>
      <c r="L12" s="592"/>
      <c r="M12" s="491" t="s">
        <v>60</v>
      </c>
      <c r="N12" s="495">
        <v>44294</v>
      </c>
      <c r="O12" s="343">
        <v>45134</v>
      </c>
      <c r="P12" s="516">
        <v>45111</v>
      </c>
      <c r="Q12" s="310" t="s">
        <v>68</v>
      </c>
      <c r="R12" s="310" t="s">
        <v>68</v>
      </c>
      <c r="S12" s="313" t="s">
        <v>68</v>
      </c>
      <c r="T12" s="310" t="s">
        <v>68</v>
      </c>
      <c r="U12" s="310" t="s">
        <v>68</v>
      </c>
      <c r="V12" s="313" t="s">
        <v>68</v>
      </c>
      <c r="W12" s="313" t="s">
        <v>68</v>
      </c>
      <c r="X12" s="525" t="s">
        <v>1244</v>
      </c>
      <c r="Y12" s="310" t="s">
        <v>869</v>
      </c>
      <c r="Z12" s="593"/>
      <c r="AA12" s="589"/>
      <c r="AB12" s="310"/>
      <c r="AC12" s="310"/>
      <c r="AD12" s="343">
        <v>44946</v>
      </c>
      <c r="AE12" s="520">
        <v>45832</v>
      </c>
      <c r="AF12" s="343">
        <v>44758</v>
      </c>
      <c r="AG12" s="522">
        <v>45485</v>
      </c>
      <c r="AH12" s="522">
        <v>45485</v>
      </c>
      <c r="AI12" s="52">
        <v>45134</v>
      </c>
      <c r="AJ12" s="24" t="s">
        <v>1116</v>
      </c>
      <c r="AK12" s="3" t="s">
        <v>213</v>
      </c>
      <c r="AL12" s="84">
        <v>45633</v>
      </c>
      <c r="AM12" s="1150"/>
      <c r="AN12" s="381"/>
    </row>
    <row r="13" spans="1:41" ht="13.35" customHeight="1" x14ac:dyDescent="0.25">
      <c r="A13" s="996">
        <v>12</v>
      </c>
      <c r="B13" s="311">
        <v>37223</v>
      </c>
      <c r="C13" s="345" t="s">
        <v>54</v>
      </c>
      <c r="D13" s="346" t="s">
        <v>180</v>
      </c>
      <c r="E13" s="335" t="s">
        <v>1248</v>
      </c>
      <c r="F13" s="345" t="s">
        <v>1243</v>
      </c>
      <c r="G13" s="335" t="s">
        <v>14</v>
      </c>
      <c r="H13" s="342">
        <v>43724</v>
      </c>
      <c r="I13" s="345">
        <v>496</v>
      </c>
      <c r="J13" s="310" t="s">
        <v>58</v>
      </c>
      <c r="K13" s="491"/>
      <c r="L13" s="592"/>
      <c r="M13" s="491" t="s">
        <v>60</v>
      </c>
      <c r="N13" s="495">
        <v>44294</v>
      </c>
      <c r="O13" s="343">
        <v>45134</v>
      </c>
      <c r="P13" s="516">
        <v>45111</v>
      </c>
      <c r="Q13" s="310" t="s">
        <v>62</v>
      </c>
      <c r="R13" s="310" t="s">
        <v>62</v>
      </c>
      <c r="S13" s="313" t="s">
        <v>62</v>
      </c>
      <c r="T13" s="310" t="s">
        <v>62</v>
      </c>
      <c r="U13" s="310" t="s">
        <v>62</v>
      </c>
      <c r="V13" s="313" t="s">
        <v>62</v>
      </c>
      <c r="W13" s="313" t="s">
        <v>62</v>
      </c>
      <c r="X13" s="525" t="s">
        <v>1244</v>
      </c>
      <c r="Y13" s="310" t="s">
        <v>869</v>
      </c>
      <c r="Z13" s="593"/>
      <c r="AA13" s="589"/>
      <c r="AB13" s="310"/>
      <c r="AC13" s="310"/>
      <c r="AD13" s="343">
        <v>44946</v>
      </c>
      <c r="AE13" s="520">
        <v>45832</v>
      </c>
      <c r="AF13" s="343">
        <v>44758</v>
      </c>
      <c r="AG13" s="522">
        <v>45485</v>
      </c>
      <c r="AH13" s="522">
        <v>45485</v>
      </c>
      <c r="AI13" s="52">
        <v>45134</v>
      </c>
      <c r="AJ13" s="24" t="s">
        <v>1116</v>
      </c>
      <c r="AK13" s="3" t="s">
        <v>213</v>
      </c>
      <c r="AL13" s="84">
        <v>45633</v>
      </c>
      <c r="AM13" s="1150"/>
    </row>
    <row r="14" spans="1:41" ht="13.35" customHeight="1" x14ac:dyDescent="0.25">
      <c r="A14" s="996">
        <v>13</v>
      </c>
      <c r="B14" s="339">
        <v>37243</v>
      </c>
      <c r="C14" s="340" t="s">
        <v>64</v>
      </c>
      <c r="D14" s="341" t="s">
        <v>1264</v>
      </c>
      <c r="E14" s="335" t="s">
        <v>1242</v>
      </c>
      <c r="F14" s="314" t="s">
        <v>1243</v>
      </c>
      <c r="G14" s="335" t="s">
        <v>14</v>
      </c>
      <c r="H14" s="342">
        <v>43732</v>
      </c>
      <c r="I14" s="314">
        <v>617</v>
      </c>
      <c r="J14" s="310" t="s">
        <v>58</v>
      </c>
      <c r="K14" s="491"/>
      <c r="L14" s="592"/>
      <c r="M14" s="491" t="s">
        <v>60</v>
      </c>
      <c r="N14" s="495">
        <v>44216</v>
      </c>
      <c r="O14" s="532">
        <v>45216</v>
      </c>
      <c r="P14" s="314" t="s">
        <v>1265</v>
      </c>
      <c r="Q14" s="310" t="s">
        <v>68</v>
      </c>
      <c r="R14" s="310" t="s">
        <v>68</v>
      </c>
      <c r="S14" s="313" t="s">
        <v>68</v>
      </c>
      <c r="T14" s="310" t="s">
        <v>68</v>
      </c>
      <c r="U14" s="310" t="s">
        <v>68</v>
      </c>
      <c r="V14" s="313" t="s">
        <v>68</v>
      </c>
      <c r="W14" s="313" t="s">
        <v>68</v>
      </c>
      <c r="X14" s="608" t="s">
        <v>1250</v>
      </c>
      <c r="Y14" s="310" t="s">
        <v>869</v>
      </c>
      <c r="Z14" s="593"/>
      <c r="AA14" s="589"/>
      <c r="AB14" s="310"/>
      <c r="AC14" s="310"/>
      <c r="AD14" s="343">
        <v>44909</v>
      </c>
      <c r="AE14" s="314"/>
      <c r="AF14" s="343">
        <v>45246</v>
      </c>
      <c r="AG14" s="521" t="s">
        <v>1266</v>
      </c>
      <c r="AH14" s="521" t="s">
        <v>1266</v>
      </c>
      <c r="AI14" s="52">
        <v>45320</v>
      </c>
      <c r="AJ14" s="24" t="s">
        <v>1116</v>
      </c>
      <c r="AK14" s="3" t="s">
        <v>1267</v>
      </c>
      <c r="AL14" s="84">
        <v>45320</v>
      </c>
      <c r="AM14" s="3" t="s">
        <v>1266</v>
      </c>
    </row>
    <row r="15" spans="1:41" ht="13.35" customHeight="1" x14ac:dyDescent="0.25">
      <c r="A15" s="996">
        <v>14</v>
      </c>
      <c r="B15" s="339">
        <v>37243</v>
      </c>
      <c r="C15" s="340" t="s">
        <v>54</v>
      </c>
      <c r="D15" s="341" t="s">
        <v>1268</v>
      </c>
      <c r="E15" s="335" t="s">
        <v>1242</v>
      </c>
      <c r="F15" s="314" t="s">
        <v>1243</v>
      </c>
      <c r="G15" s="335" t="s">
        <v>14</v>
      </c>
      <c r="H15" s="342">
        <v>43732</v>
      </c>
      <c r="I15" s="314">
        <v>616</v>
      </c>
      <c r="J15" s="310" t="s">
        <v>58</v>
      </c>
      <c r="K15" s="491"/>
      <c r="L15" s="592"/>
      <c r="M15" s="491" t="s">
        <v>60</v>
      </c>
      <c r="N15" s="495">
        <v>44216</v>
      </c>
      <c r="O15" s="532">
        <v>45216</v>
      </c>
      <c r="P15" s="314" t="s">
        <v>1265</v>
      </c>
      <c r="Q15" s="310" t="s">
        <v>62</v>
      </c>
      <c r="R15" s="310" t="s">
        <v>62</v>
      </c>
      <c r="S15" s="313" t="s">
        <v>62</v>
      </c>
      <c r="T15" s="310" t="s">
        <v>62</v>
      </c>
      <c r="U15" s="310" t="s">
        <v>62</v>
      </c>
      <c r="V15" s="313" t="s">
        <v>62</v>
      </c>
      <c r="W15" s="313" t="s">
        <v>62</v>
      </c>
      <c r="X15" s="608" t="s">
        <v>1250</v>
      </c>
      <c r="Y15" s="310" t="s">
        <v>869</v>
      </c>
      <c r="Z15" s="593"/>
      <c r="AA15" s="589"/>
      <c r="AB15" s="310"/>
      <c r="AC15" s="310"/>
      <c r="AD15" s="343">
        <v>44909</v>
      </c>
      <c r="AE15" s="314"/>
      <c r="AF15" s="343">
        <v>45246</v>
      </c>
      <c r="AG15" s="521" t="s">
        <v>1266</v>
      </c>
      <c r="AH15" s="521" t="s">
        <v>1266</v>
      </c>
      <c r="AI15" s="52">
        <v>45320</v>
      </c>
      <c r="AJ15" s="24" t="s">
        <v>1116</v>
      </c>
      <c r="AK15" s="3" t="s">
        <v>1267</v>
      </c>
      <c r="AL15" s="84">
        <v>45320</v>
      </c>
      <c r="AM15" s="3" t="s">
        <v>1266</v>
      </c>
    </row>
    <row r="16" spans="1:41" ht="13.35" customHeight="1" x14ac:dyDescent="0.25">
      <c r="A16" s="996">
        <v>15</v>
      </c>
      <c r="B16" s="339">
        <v>37245</v>
      </c>
      <c r="C16" s="340" t="s">
        <v>64</v>
      </c>
      <c r="D16" s="341" t="s">
        <v>1269</v>
      </c>
      <c r="E16" s="335" t="s">
        <v>1242</v>
      </c>
      <c r="F16" s="314" t="s">
        <v>1243</v>
      </c>
      <c r="G16" s="335" t="s">
        <v>14</v>
      </c>
      <c r="H16" s="342">
        <v>43727</v>
      </c>
      <c r="I16" s="314">
        <v>618</v>
      </c>
      <c r="J16" s="310" t="s">
        <v>58</v>
      </c>
      <c r="K16" s="491"/>
      <c r="L16" s="592"/>
      <c r="M16" s="491" t="s">
        <v>60</v>
      </c>
      <c r="N16" s="495">
        <v>44283</v>
      </c>
      <c r="O16" s="343">
        <v>44927</v>
      </c>
      <c r="P16" s="314"/>
      <c r="Q16" s="310" t="s">
        <v>68</v>
      </c>
      <c r="R16" s="310" t="s">
        <v>62</v>
      </c>
      <c r="S16" s="313" t="s">
        <v>68</v>
      </c>
      <c r="T16" s="310" t="s">
        <v>68</v>
      </c>
      <c r="U16" s="310" t="s">
        <v>68</v>
      </c>
      <c r="V16" s="313" t="s">
        <v>68</v>
      </c>
      <c r="W16" s="313" t="s">
        <v>68</v>
      </c>
      <c r="X16" s="310" t="s">
        <v>1250</v>
      </c>
      <c r="Y16" s="310" t="s">
        <v>869</v>
      </c>
      <c r="Z16" s="593"/>
      <c r="AA16" s="589"/>
      <c r="AB16" s="310" t="s">
        <v>1270</v>
      </c>
      <c r="AC16" s="310"/>
      <c r="AD16" s="343">
        <v>44916</v>
      </c>
      <c r="AE16" s="314"/>
      <c r="AF16" s="343">
        <v>44750</v>
      </c>
      <c r="AG16" s="521">
        <v>45485</v>
      </c>
      <c r="AH16" s="521">
        <v>45485</v>
      </c>
      <c r="AI16" s="84">
        <v>45296</v>
      </c>
      <c r="AJ16" s="24" t="s">
        <v>1116</v>
      </c>
      <c r="AK16" s="52">
        <v>45810</v>
      </c>
      <c r="AL16" s="84">
        <v>45293</v>
      </c>
      <c r="AM16" s="3"/>
    </row>
    <row r="17" spans="1:40" ht="13.35" customHeight="1" x14ac:dyDescent="0.25">
      <c r="A17" s="996">
        <v>16</v>
      </c>
      <c r="B17" s="339">
        <v>37245</v>
      </c>
      <c r="C17" s="340" t="s">
        <v>54</v>
      </c>
      <c r="D17" s="341" t="s">
        <v>1271</v>
      </c>
      <c r="E17" s="335" t="s">
        <v>1242</v>
      </c>
      <c r="F17" s="314" t="s">
        <v>1243</v>
      </c>
      <c r="G17" s="335" t="s">
        <v>14</v>
      </c>
      <c r="H17" s="342">
        <v>43727</v>
      </c>
      <c r="I17" s="314">
        <v>619</v>
      </c>
      <c r="J17" s="310" t="s">
        <v>58</v>
      </c>
      <c r="K17" s="491"/>
      <c r="L17" s="592"/>
      <c r="M17" s="491" t="s">
        <v>60</v>
      </c>
      <c r="N17" s="495">
        <v>44283</v>
      </c>
      <c r="O17" s="343">
        <v>44927</v>
      </c>
      <c r="P17" s="314"/>
      <c r="Q17" s="310" t="s">
        <v>62</v>
      </c>
      <c r="R17" s="310" t="s">
        <v>62</v>
      </c>
      <c r="S17" s="313" t="s">
        <v>62</v>
      </c>
      <c r="T17" s="310" t="s">
        <v>62</v>
      </c>
      <c r="U17" s="310" t="s">
        <v>62</v>
      </c>
      <c r="V17" s="313" t="s">
        <v>62</v>
      </c>
      <c r="W17" s="313" t="s">
        <v>62</v>
      </c>
      <c r="X17" s="310" t="s">
        <v>1250</v>
      </c>
      <c r="Y17" s="310" t="s">
        <v>869</v>
      </c>
      <c r="Z17" s="593"/>
      <c r="AA17" s="589"/>
      <c r="AB17" s="310" t="s">
        <v>1272</v>
      </c>
      <c r="AC17" s="310"/>
      <c r="AD17" s="343">
        <v>44916</v>
      </c>
      <c r="AE17" s="314"/>
      <c r="AF17" s="343">
        <v>44750</v>
      </c>
      <c r="AG17" s="521">
        <v>45485</v>
      </c>
      <c r="AH17" s="521">
        <v>45485</v>
      </c>
      <c r="AI17" s="84">
        <v>45296</v>
      </c>
      <c r="AJ17" s="24" t="s">
        <v>1116</v>
      </c>
      <c r="AK17" s="52">
        <v>45810</v>
      </c>
      <c r="AL17" s="84">
        <v>45293</v>
      </c>
      <c r="AM17" s="3"/>
    </row>
    <row r="18" spans="1:40" ht="13.35" customHeight="1" x14ac:dyDescent="0.25">
      <c r="A18" s="996">
        <v>17</v>
      </c>
      <c r="B18" s="339">
        <v>37247</v>
      </c>
      <c r="C18" s="340" t="s">
        <v>64</v>
      </c>
      <c r="D18" s="341" t="s">
        <v>1273</v>
      </c>
      <c r="E18" s="335" t="s">
        <v>1248</v>
      </c>
      <c r="F18" s="314" t="s">
        <v>1243</v>
      </c>
      <c r="G18" s="335" t="s">
        <v>14</v>
      </c>
      <c r="H18" s="342">
        <v>43729</v>
      </c>
      <c r="I18" s="314">
        <v>624</v>
      </c>
      <c r="J18" s="310" t="s">
        <v>58</v>
      </c>
      <c r="K18" s="491"/>
      <c r="L18" s="592"/>
      <c r="M18" s="491" t="s">
        <v>60</v>
      </c>
      <c r="N18" s="495">
        <v>44534</v>
      </c>
      <c r="O18" s="343">
        <v>45481</v>
      </c>
      <c r="P18" s="314"/>
      <c r="Q18" s="310" t="s">
        <v>68</v>
      </c>
      <c r="R18" s="310" t="s">
        <v>62</v>
      </c>
      <c r="S18" s="313" t="s">
        <v>68</v>
      </c>
      <c r="T18" s="310" t="s">
        <v>68</v>
      </c>
      <c r="U18" s="310" t="s">
        <v>1274</v>
      </c>
      <c r="V18" s="313" t="s">
        <v>68</v>
      </c>
      <c r="W18" s="313" t="s">
        <v>68</v>
      </c>
      <c r="X18" s="358" t="s">
        <v>1250</v>
      </c>
      <c r="Y18" s="310" t="s">
        <v>869</v>
      </c>
      <c r="Z18" s="593"/>
      <c r="AA18" s="589"/>
      <c r="AB18" s="310"/>
      <c r="AC18" s="310"/>
      <c r="AD18" s="343">
        <v>44688</v>
      </c>
      <c r="AE18" s="314"/>
      <c r="AF18" s="343">
        <v>44763</v>
      </c>
      <c r="AG18" s="521">
        <v>45481</v>
      </c>
      <c r="AH18" s="521">
        <v>45481</v>
      </c>
      <c r="AI18" s="52">
        <v>45320</v>
      </c>
      <c r="AJ18" s="24" t="s">
        <v>1116</v>
      </c>
      <c r="AK18" s="84">
        <v>45369</v>
      </c>
      <c r="AL18" s="84">
        <v>45320</v>
      </c>
      <c r="AM18" s="3" t="s">
        <v>1258</v>
      </c>
      <c r="AN18" s="381"/>
    </row>
    <row r="19" spans="1:40" ht="13.35" customHeight="1" x14ac:dyDescent="0.25">
      <c r="A19" s="996">
        <v>18</v>
      </c>
      <c r="B19" s="339">
        <v>37247</v>
      </c>
      <c r="C19" s="340" t="s">
        <v>54</v>
      </c>
      <c r="D19" s="341" t="s">
        <v>1275</v>
      </c>
      <c r="E19" s="335" t="s">
        <v>1248</v>
      </c>
      <c r="F19" s="314" t="s">
        <v>1243</v>
      </c>
      <c r="G19" s="335" t="s">
        <v>14</v>
      </c>
      <c r="H19" s="342">
        <v>43729</v>
      </c>
      <c r="I19" s="314">
        <v>625</v>
      </c>
      <c r="J19" s="310" t="s">
        <v>58</v>
      </c>
      <c r="K19" s="491"/>
      <c r="L19" s="592"/>
      <c r="M19" s="491" t="s">
        <v>60</v>
      </c>
      <c r="N19" s="495">
        <v>44534</v>
      </c>
      <c r="O19" s="343">
        <v>45481</v>
      </c>
      <c r="P19" s="314"/>
      <c r="Q19" s="310" t="s">
        <v>62</v>
      </c>
      <c r="R19" s="310" t="s">
        <v>62</v>
      </c>
      <c r="S19" s="313" t="s">
        <v>62</v>
      </c>
      <c r="T19" s="310" t="s">
        <v>62</v>
      </c>
      <c r="U19" s="310" t="s">
        <v>1274</v>
      </c>
      <c r="V19" s="313" t="s">
        <v>62</v>
      </c>
      <c r="W19" s="313" t="s">
        <v>62</v>
      </c>
      <c r="X19" s="358" t="s">
        <v>1250</v>
      </c>
      <c r="Y19" s="310" t="s">
        <v>869</v>
      </c>
      <c r="Z19" s="593"/>
      <c r="AA19" s="589"/>
      <c r="AB19" s="310"/>
      <c r="AC19" s="310"/>
      <c r="AD19" s="343">
        <v>44688</v>
      </c>
      <c r="AE19" s="314"/>
      <c r="AF19" s="343">
        <v>44763</v>
      </c>
      <c r="AG19" s="521">
        <v>45481</v>
      </c>
      <c r="AH19" s="521">
        <v>45481</v>
      </c>
      <c r="AI19" s="52">
        <v>45320</v>
      </c>
      <c r="AJ19" s="24" t="s">
        <v>1116</v>
      </c>
      <c r="AK19" s="84">
        <v>45369</v>
      </c>
      <c r="AL19" s="84">
        <v>45320</v>
      </c>
      <c r="AM19" s="3" t="s">
        <v>1258</v>
      </c>
    </row>
    <row r="20" spans="1:40" ht="13.35" customHeight="1" x14ac:dyDescent="0.25">
      <c r="A20" s="996">
        <v>19</v>
      </c>
      <c r="B20" s="339">
        <v>37250</v>
      </c>
      <c r="C20" s="340" t="s">
        <v>64</v>
      </c>
      <c r="D20" s="314" t="s">
        <v>1276</v>
      </c>
      <c r="E20" s="335" t="s">
        <v>1242</v>
      </c>
      <c r="F20" s="314" t="s">
        <v>1243</v>
      </c>
      <c r="G20" s="335" t="s">
        <v>14</v>
      </c>
      <c r="H20" s="342">
        <v>43734</v>
      </c>
      <c r="I20" s="314">
        <v>632</v>
      </c>
      <c r="J20" s="310" t="s">
        <v>58</v>
      </c>
      <c r="K20" s="491"/>
      <c r="L20" s="592"/>
      <c r="M20" s="491" t="s">
        <v>60</v>
      </c>
      <c r="N20" s="495">
        <v>44534</v>
      </c>
      <c r="O20" s="343">
        <v>45129</v>
      </c>
      <c r="P20" s="314" t="s">
        <v>1277</v>
      </c>
      <c r="Q20" s="310" t="s">
        <v>68</v>
      </c>
      <c r="R20" s="310" t="s">
        <v>62</v>
      </c>
      <c r="S20" s="313" t="s">
        <v>68</v>
      </c>
      <c r="T20" s="310" t="s">
        <v>68</v>
      </c>
      <c r="U20" s="310" t="s">
        <v>68</v>
      </c>
      <c r="V20" s="313" t="s">
        <v>68</v>
      </c>
      <c r="W20" s="313" t="s">
        <v>68</v>
      </c>
      <c r="X20" s="310" t="s">
        <v>1250</v>
      </c>
      <c r="Y20" s="310" t="s">
        <v>869</v>
      </c>
      <c r="Z20" s="593"/>
      <c r="AA20" s="589"/>
      <c r="AB20" s="310" t="s">
        <v>1278</v>
      </c>
      <c r="AC20" s="310"/>
      <c r="AD20" s="343">
        <v>45113</v>
      </c>
      <c r="AE20" s="314"/>
      <c r="AF20" s="343">
        <v>45288</v>
      </c>
      <c r="AG20" s="521">
        <v>45464</v>
      </c>
      <c r="AH20" s="521">
        <v>45464</v>
      </c>
      <c r="AI20" s="84">
        <v>45288</v>
      </c>
      <c r="AJ20" s="24" t="s">
        <v>1116</v>
      </c>
      <c r="AK20" s="3" t="s">
        <v>1279</v>
      </c>
      <c r="AL20" s="84">
        <v>45397</v>
      </c>
      <c r="AM20" s="3" t="s">
        <v>1280</v>
      </c>
      <c r="AN20" s="381"/>
    </row>
    <row r="21" spans="1:40" ht="13.35" customHeight="1" x14ac:dyDescent="0.25">
      <c r="A21" s="996">
        <v>20</v>
      </c>
      <c r="B21" s="339">
        <v>37250</v>
      </c>
      <c r="C21" s="340" t="s">
        <v>54</v>
      </c>
      <c r="D21" s="314" t="s">
        <v>1281</v>
      </c>
      <c r="E21" s="335" t="s">
        <v>1242</v>
      </c>
      <c r="F21" s="314" t="s">
        <v>1243</v>
      </c>
      <c r="G21" s="335" t="s">
        <v>14</v>
      </c>
      <c r="H21" s="342">
        <v>43734</v>
      </c>
      <c r="I21" s="314">
        <v>637</v>
      </c>
      <c r="J21" s="310" t="s">
        <v>58</v>
      </c>
      <c r="K21" s="491"/>
      <c r="L21" s="592"/>
      <c r="M21" s="491" t="s">
        <v>60</v>
      </c>
      <c r="N21" s="495">
        <v>44534</v>
      </c>
      <c r="O21" s="343">
        <v>45129</v>
      </c>
      <c r="P21" s="314" t="s">
        <v>1277</v>
      </c>
      <c r="Q21" s="310" t="s">
        <v>62</v>
      </c>
      <c r="R21" s="310" t="s">
        <v>62</v>
      </c>
      <c r="S21" s="313" t="s">
        <v>62</v>
      </c>
      <c r="T21" s="310" t="s">
        <v>62</v>
      </c>
      <c r="U21" s="310" t="s">
        <v>62</v>
      </c>
      <c r="V21" s="313" t="s">
        <v>62</v>
      </c>
      <c r="W21" s="313" t="s">
        <v>62</v>
      </c>
      <c r="X21" s="310" t="s">
        <v>1250</v>
      </c>
      <c r="Y21" s="310" t="s">
        <v>869</v>
      </c>
      <c r="Z21" s="593"/>
      <c r="AA21" s="589"/>
      <c r="AB21" s="310" t="s">
        <v>1282</v>
      </c>
      <c r="AC21" s="310"/>
      <c r="AD21" s="343">
        <v>45113</v>
      </c>
      <c r="AE21" s="314"/>
      <c r="AF21" s="343">
        <v>45288</v>
      </c>
      <c r="AG21" s="521">
        <v>45464</v>
      </c>
      <c r="AH21" s="521">
        <v>45464</v>
      </c>
      <c r="AI21" s="84">
        <v>45288</v>
      </c>
      <c r="AJ21" s="24" t="s">
        <v>1116</v>
      </c>
      <c r="AK21" s="3" t="s">
        <v>1279</v>
      </c>
      <c r="AL21" s="84">
        <v>45397</v>
      </c>
      <c r="AM21" s="3" t="s">
        <v>1280</v>
      </c>
    </row>
    <row r="22" spans="1:40" ht="13.35" customHeight="1" x14ac:dyDescent="0.25">
      <c r="A22" s="996">
        <v>21</v>
      </c>
      <c r="B22" s="339">
        <v>37252</v>
      </c>
      <c r="C22" s="340" t="s">
        <v>64</v>
      </c>
      <c r="D22" s="341" t="s">
        <v>1283</v>
      </c>
      <c r="E22" s="335" t="s">
        <v>1242</v>
      </c>
      <c r="F22" s="314" t="s">
        <v>1243</v>
      </c>
      <c r="G22" s="335" t="s">
        <v>14</v>
      </c>
      <c r="H22" s="342">
        <v>43737</v>
      </c>
      <c r="I22" s="314">
        <v>636</v>
      </c>
      <c r="J22" s="310" t="s">
        <v>58</v>
      </c>
      <c r="K22" s="491"/>
      <c r="L22" s="592"/>
      <c r="M22" s="491" t="s">
        <v>60</v>
      </c>
      <c r="N22" s="495">
        <v>44216</v>
      </c>
      <c r="O22" s="343">
        <v>45640</v>
      </c>
      <c r="P22" s="314"/>
      <c r="Q22" s="310" t="s">
        <v>68</v>
      </c>
      <c r="R22" s="310" t="s">
        <v>62</v>
      </c>
      <c r="S22" s="313" t="s">
        <v>68</v>
      </c>
      <c r="T22" s="310" t="s">
        <v>68</v>
      </c>
      <c r="U22" s="310" t="s">
        <v>68</v>
      </c>
      <c r="V22" s="313" t="s">
        <v>68</v>
      </c>
      <c r="W22" s="313" t="s">
        <v>68</v>
      </c>
      <c r="X22" s="608" t="s">
        <v>1250</v>
      </c>
      <c r="Y22" s="310" t="s">
        <v>869</v>
      </c>
      <c r="Z22" s="593"/>
      <c r="AA22" s="589"/>
      <c r="AB22" s="310"/>
      <c r="AC22" s="310"/>
      <c r="AD22" s="343">
        <v>44693</v>
      </c>
      <c r="AE22" s="314"/>
      <c r="AF22" s="343">
        <v>45273</v>
      </c>
      <c r="AG22" s="521">
        <v>45489</v>
      </c>
      <c r="AH22" s="521">
        <v>45489</v>
      </c>
      <c r="AI22" s="52">
        <v>45176</v>
      </c>
      <c r="AJ22" s="24" t="s">
        <v>1116</v>
      </c>
      <c r="AK22" s="3" t="s">
        <v>1284</v>
      </c>
      <c r="AL22" s="84">
        <v>45359</v>
      </c>
      <c r="AM22" s="52">
        <v>45640</v>
      </c>
      <c r="AN22" s="381"/>
    </row>
    <row r="23" spans="1:40" ht="13.35" customHeight="1" x14ac:dyDescent="0.25">
      <c r="A23" s="996">
        <v>22</v>
      </c>
      <c r="B23" s="855">
        <v>37252</v>
      </c>
      <c r="C23" s="856" t="s">
        <v>54</v>
      </c>
      <c r="D23" s="857" t="s">
        <v>1285</v>
      </c>
      <c r="E23" s="858" t="s">
        <v>1242</v>
      </c>
      <c r="F23" s="859" t="s">
        <v>1243</v>
      </c>
      <c r="G23" s="858" t="s">
        <v>14</v>
      </c>
      <c r="H23" s="860">
        <v>43737</v>
      </c>
      <c r="I23" s="859">
        <v>633</v>
      </c>
      <c r="J23" s="861" t="s">
        <v>58</v>
      </c>
      <c r="K23" s="862"/>
      <c r="L23" s="863"/>
      <c r="M23" s="862" t="s">
        <v>60</v>
      </c>
      <c r="N23" s="864">
        <v>44216</v>
      </c>
      <c r="O23" s="343">
        <v>45640</v>
      </c>
      <c r="P23" s="859"/>
      <c r="Q23" s="861" t="s">
        <v>62</v>
      </c>
      <c r="R23" s="861" t="s">
        <v>62</v>
      </c>
      <c r="S23" s="866" t="s">
        <v>62</v>
      </c>
      <c r="T23" s="861" t="s">
        <v>62</v>
      </c>
      <c r="U23" s="861" t="s">
        <v>62</v>
      </c>
      <c r="V23" s="866" t="s">
        <v>62</v>
      </c>
      <c r="W23" s="866" t="s">
        <v>62</v>
      </c>
      <c r="X23" s="608" t="s">
        <v>1250</v>
      </c>
      <c r="Y23" s="861" t="s">
        <v>869</v>
      </c>
      <c r="Z23" s="867"/>
      <c r="AA23" s="868"/>
      <c r="AB23" s="861" t="s">
        <v>1286</v>
      </c>
      <c r="AC23" s="861"/>
      <c r="AD23" s="865">
        <v>44693</v>
      </c>
      <c r="AE23" s="859"/>
      <c r="AF23" s="865">
        <v>45273</v>
      </c>
      <c r="AG23" s="869">
        <v>45489</v>
      </c>
      <c r="AH23" s="521">
        <v>45489</v>
      </c>
      <c r="AI23" s="405">
        <v>45176</v>
      </c>
      <c r="AJ23" s="186" t="s">
        <v>1116</v>
      </c>
      <c r="AK23" s="115" t="s">
        <v>1284</v>
      </c>
      <c r="AL23" s="876">
        <v>45359</v>
      </c>
      <c r="AM23" s="405">
        <v>45640</v>
      </c>
      <c r="AN23" s="381"/>
    </row>
    <row r="24" spans="1:40" ht="13.35" customHeight="1" x14ac:dyDescent="0.25">
      <c r="A24" s="996">
        <v>23</v>
      </c>
      <c r="B24" s="831">
        <v>37119</v>
      </c>
      <c r="C24" s="832" t="s">
        <v>64</v>
      </c>
      <c r="D24" s="833" t="s">
        <v>1287</v>
      </c>
      <c r="E24" s="244" t="s">
        <v>1288</v>
      </c>
      <c r="F24" s="834" t="s">
        <v>1114</v>
      </c>
      <c r="G24" s="835" t="s">
        <v>14</v>
      </c>
      <c r="H24" s="836">
        <v>43544</v>
      </c>
      <c r="I24" s="834">
        <v>322</v>
      </c>
      <c r="J24" s="837" t="s">
        <v>58</v>
      </c>
      <c r="K24" s="838" t="s">
        <v>680</v>
      </c>
      <c r="L24" s="839">
        <v>44477</v>
      </c>
      <c r="M24" s="838" t="s">
        <v>60</v>
      </c>
      <c r="N24" s="839">
        <v>44477</v>
      </c>
      <c r="O24" s="840">
        <v>45205</v>
      </c>
      <c r="P24" s="1176">
        <v>45733</v>
      </c>
      <c r="Q24" s="837" t="s">
        <v>1289</v>
      </c>
      <c r="R24" s="837" t="s">
        <v>68</v>
      </c>
      <c r="S24" s="837" t="s">
        <v>63</v>
      </c>
      <c r="T24" s="837" t="s">
        <v>68</v>
      </c>
      <c r="U24" s="837" t="s">
        <v>68</v>
      </c>
      <c r="V24" s="837" t="s">
        <v>63</v>
      </c>
      <c r="W24" s="837" t="s">
        <v>63</v>
      </c>
      <c r="X24" s="837" t="s">
        <v>1290</v>
      </c>
      <c r="Y24" s="861" t="s">
        <v>869</v>
      </c>
      <c r="Z24" s="838"/>
      <c r="AA24" s="841"/>
      <c r="AB24" s="837"/>
      <c r="AC24" s="837"/>
      <c r="AD24" s="840">
        <v>44726</v>
      </c>
      <c r="AE24" s="834"/>
      <c r="AF24" s="842">
        <v>44726</v>
      </c>
      <c r="AG24" s="118">
        <v>45482</v>
      </c>
      <c r="AH24" s="850">
        <v>45205</v>
      </c>
      <c r="AI24" s="118">
        <v>45265</v>
      </c>
      <c r="AJ24" s="103" t="s">
        <v>1116</v>
      </c>
      <c r="AK24" s="659" t="s">
        <v>1291</v>
      </c>
      <c r="AL24" s="103" t="s">
        <v>1292</v>
      </c>
      <c r="AM24" s="103" t="s">
        <v>1258</v>
      </c>
    </row>
    <row r="25" spans="1:40" ht="13.35" customHeight="1" x14ac:dyDescent="0.25">
      <c r="A25" s="996">
        <v>24</v>
      </c>
      <c r="B25" s="831">
        <v>37119</v>
      </c>
      <c r="C25" s="832" t="s">
        <v>54</v>
      </c>
      <c r="D25" s="833" t="s">
        <v>1293</v>
      </c>
      <c r="E25" s="244" t="s">
        <v>1288</v>
      </c>
      <c r="F25" s="834" t="s">
        <v>1114</v>
      </c>
      <c r="G25" s="835" t="s">
        <v>14</v>
      </c>
      <c r="H25" s="836">
        <v>43544</v>
      </c>
      <c r="I25" s="834">
        <v>401</v>
      </c>
      <c r="J25" s="837" t="s">
        <v>58</v>
      </c>
      <c r="K25" s="838" t="s">
        <v>680</v>
      </c>
      <c r="L25" s="839">
        <v>44477</v>
      </c>
      <c r="M25" s="838" t="s">
        <v>60</v>
      </c>
      <c r="N25" s="839">
        <v>44477</v>
      </c>
      <c r="O25" s="840">
        <v>45205</v>
      </c>
      <c r="P25" s="1176">
        <v>45733</v>
      </c>
      <c r="Q25" s="837" t="s">
        <v>1289</v>
      </c>
      <c r="R25" s="837" t="s">
        <v>62</v>
      </c>
      <c r="S25" s="837" t="s">
        <v>63</v>
      </c>
      <c r="T25" s="837" t="s">
        <v>62</v>
      </c>
      <c r="U25" s="837" t="s">
        <v>62</v>
      </c>
      <c r="V25" s="837" t="s">
        <v>63</v>
      </c>
      <c r="W25" s="837" t="s">
        <v>63</v>
      </c>
      <c r="X25" s="837" t="s">
        <v>1290</v>
      </c>
      <c r="Y25" s="861" t="s">
        <v>869</v>
      </c>
      <c r="Z25" s="838"/>
      <c r="AA25" s="841"/>
      <c r="AB25" s="837"/>
      <c r="AC25" s="837"/>
      <c r="AD25" s="840">
        <v>44726</v>
      </c>
      <c r="AE25" s="834"/>
      <c r="AF25" s="842">
        <v>44726</v>
      </c>
      <c r="AG25" s="118">
        <v>45482</v>
      </c>
      <c r="AH25" s="850">
        <v>45205</v>
      </c>
      <c r="AI25" s="118">
        <v>45265</v>
      </c>
      <c r="AJ25" s="103" t="s">
        <v>1116</v>
      </c>
      <c r="AK25" s="659" t="s">
        <v>1291</v>
      </c>
      <c r="AL25" s="103" t="s">
        <v>1292</v>
      </c>
      <c r="AM25" s="103" t="s">
        <v>1258</v>
      </c>
    </row>
    <row r="26" spans="1:40" ht="13.35" customHeight="1" x14ac:dyDescent="0.25">
      <c r="A26" s="996">
        <v>25</v>
      </c>
      <c r="B26" s="831">
        <v>37135</v>
      </c>
      <c r="C26" s="832" t="s">
        <v>64</v>
      </c>
      <c r="D26" s="833" t="s">
        <v>1294</v>
      </c>
      <c r="E26" s="244" t="s">
        <v>1288</v>
      </c>
      <c r="F26" s="834" t="s">
        <v>1114</v>
      </c>
      <c r="G26" s="835" t="s">
        <v>14</v>
      </c>
      <c r="H26" s="843">
        <v>43553</v>
      </c>
      <c r="I26" s="834">
        <v>327</v>
      </c>
      <c r="J26" s="837" t="s">
        <v>58</v>
      </c>
      <c r="K26" s="838" t="s">
        <v>680</v>
      </c>
      <c r="L26" s="839">
        <v>44462</v>
      </c>
      <c r="M26" s="838" t="s">
        <v>60</v>
      </c>
      <c r="N26" s="839">
        <v>44190</v>
      </c>
      <c r="O26" s="840">
        <v>45327</v>
      </c>
      <c r="P26" s="1176">
        <v>45707</v>
      </c>
      <c r="Q26" s="837" t="s">
        <v>1289</v>
      </c>
      <c r="R26" s="837" t="s">
        <v>1295</v>
      </c>
      <c r="S26" s="837" t="s">
        <v>63</v>
      </c>
      <c r="T26" s="837" t="s">
        <v>68</v>
      </c>
      <c r="U26" s="837" t="s">
        <v>68</v>
      </c>
      <c r="V26" s="844" t="s">
        <v>68</v>
      </c>
      <c r="W26" s="837" t="s">
        <v>63</v>
      </c>
      <c r="X26" s="837" t="s">
        <v>1290</v>
      </c>
      <c r="Y26" s="861" t="s">
        <v>869</v>
      </c>
      <c r="Z26" s="838"/>
      <c r="AA26" s="841"/>
      <c r="AB26" s="837"/>
      <c r="AC26" s="837"/>
      <c r="AD26" s="842">
        <v>44762</v>
      </c>
      <c r="AE26" s="842"/>
      <c r="AF26" s="842">
        <v>44762</v>
      </c>
      <c r="AG26" s="851">
        <v>45505</v>
      </c>
      <c r="AH26" s="850">
        <v>45283</v>
      </c>
      <c r="AI26" s="118">
        <v>45077</v>
      </c>
      <c r="AJ26" s="103" t="s">
        <v>1116</v>
      </c>
      <c r="AK26" s="659" t="s">
        <v>1296</v>
      </c>
      <c r="AL26" s="103" t="s">
        <v>1297</v>
      </c>
      <c r="AM26" s="103" t="s">
        <v>1298</v>
      </c>
    </row>
    <row r="27" spans="1:40" ht="13.35" customHeight="1" x14ac:dyDescent="0.25">
      <c r="A27" s="996">
        <v>26</v>
      </c>
      <c r="B27" s="1010">
        <v>37135</v>
      </c>
      <c r="C27" s="1011" t="s">
        <v>54</v>
      </c>
      <c r="D27" s="1012" t="s">
        <v>1299</v>
      </c>
      <c r="E27" s="1013" t="s">
        <v>1288</v>
      </c>
      <c r="F27" s="1014" t="s">
        <v>1114</v>
      </c>
      <c r="G27" s="1015" t="s">
        <v>14</v>
      </c>
      <c r="H27" s="1016">
        <v>43553</v>
      </c>
      <c r="I27" s="1014">
        <v>409</v>
      </c>
      <c r="J27" s="946" t="s">
        <v>58</v>
      </c>
      <c r="K27" s="1017" t="s">
        <v>680</v>
      </c>
      <c r="L27" s="1018">
        <v>44462</v>
      </c>
      <c r="M27" s="1017" t="s">
        <v>60</v>
      </c>
      <c r="N27" s="1018">
        <v>44190</v>
      </c>
      <c r="O27" s="1019">
        <v>45327</v>
      </c>
      <c r="P27" s="1176">
        <v>45707</v>
      </c>
      <c r="Q27" s="946" t="s">
        <v>1289</v>
      </c>
      <c r="R27" s="946" t="s">
        <v>1295</v>
      </c>
      <c r="S27" s="946" t="s">
        <v>63</v>
      </c>
      <c r="T27" s="946" t="s">
        <v>62</v>
      </c>
      <c r="U27" s="946" t="s">
        <v>62</v>
      </c>
      <c r="V27" s="1020" t="s">
        <v>62</v>
      </c>
      <c r="W27" s="946" t="s">
        <v>63</v>
      </c>
      <c r="X27" s="837" t="s">
        <v>1290</v>
      </c>
      <c r="Y27" s="861" t="s">
        <v>869</v>
      </c>
      <c r="Z27" s="1017"/>
      <c r="AA27" s="1021"/>
      <c r="AB27" s="946"/>
      <c r="AC27" s="946"/>
      <c r="AD27" s="1022">
        <v>44762</v>
      </c>
      <c r="AE27" s="1014"/>
      <c r="AF27" s="1022">
        <v>44762</v>
      </c>
      <c r="AG27" s="851">
        <v>45505</v>
      </c>
      <c r="AH27" s="995">
        <v>45283</v>
      </c>
      <c r="AI27" s="136">
        <v>45077</v>
      </c>
      <c r="AJ27" s="134" t="s">
        <v>1116</v>
      </c>
      <c r="AK27" s="659" t="s">
        <v>1296</v>
      </c>
      <c r="AL27" s="103" t="s">
        <v>1297</v>
      </c>
      <c r="AM27" s="134" t="s">
        <v>1298</v>
      </c>
    </row>
    <row r="28" spans="1:40" ht="13.35" customHeight="1" x14ac:dyDescent="0.25">
      <c r="A28" s="996">
        <v>27</v>
      </c>
      <c r="B28" s="339">
        <v>37138</v>
      </c>
      <c r="C28" s="340" t="s">
        <v>64</v>
      </c>
      <c r="D28" s="341" t="s">
        <v>1300</v>
      </c>
      <c r="E28" s="17" t="s">
        <v>1288</v>
      </c>
      <c r="F28" s="314" t="s">
        <v>1114</v>
      </c>
      <c r="G28" s="335" t="s">
        <v>14</v>
      </c>
      <c r="H28" s="347">
        <v>43570</v>
      </c>
      <c r="I28" s="314">
        <v>406</v>
      </c>
      <c r="J28" s="310" t="s">
        <v>58</v>
      </c>
      <c r="K28" s="491" t="s">
        <v>680</v>
      </c>
      <c r="L28" s="495">
        <v>44467</v>
      </c>
      <c r="M28" s="491" t="s">
        <v>60</v>
      </c>
      <c r="N28" s="495">
        <v>44210</v>
      </c>
      <c r="O28" s="343">
        <v>45037</v>
      </c>
      <c r="P28" s="520">
        <v>45701</v>
      </c>
      <c r="Q28" s="310" t="s">
        <v>1301</v>
      </c>
      <c r="R28" s="310" t="s">
        <v>1295</v>
      </c>
      <c r="S28" s="310" t="s">
        <v>68</v>
      </c>
      <c r="T28" s="310" t="s">
        <v>68</v>
      </c>
      <c r="U28" s="310" t="s">
        <v>68</v>
      </c>
      <c r="V28" s="310" t="s">
        <v>68</v>
      </c>
      <c r="W28" s="310" t="s">
        <v>63</v>
      </c>
      <c r="X28" s="837" t="s">
        <v>1290</v>
      </c>
      <c r="Y28" s="861" t="s">
        <v>869</v>
      </c>
      <c r="Z28" s="491"/>
      <c r="AA28" s="552"/>
      <c r="AB28" s="310"/>
      <c r="AC28" s="310"/>
      <c r="AD28" s="343">
        <v>44657</v>
      </c>
      <c r="AE28" s="314"/>
      <c r="AF28" s="344">
        <v>44716</v>
      </c>
      <c r="AG28" s="143">
        <v>45553</v>
      </c>
      <c r="AH28" s="535">
        <v>45269</v>
      </c>
      <c r="AI28" s="52">
        <v>45447</v>
      </c>
      <c r="AJ28" s="3" t="s">
        <v>1116</v>
      </c>
      <c r="AK28" s="143" t="s">
        <v>1302</v>
      </c>
      <c r="AL28" s="3" t="s">
        <v>1303</v>
      </c>
      <c r="AM28" s="52">
        <v>45553</v>
      </c>
    </row>
    <row r="29" spans="1:40" ht="13.35" customHeight="1" x14ac:dyDescent="0.25">
      <c r="A29" s="996">
        <v>28</v>
      </c>
      <c r="B29" s="339">
        <v>37138</v>
      </c>
      <c r="C29" s="340" t="s">
        <v>54</v>
      </c>
      <c r="D29" s="341" t="s">
        <v>1304</v>
      </c>
      <c r="E29" s="17" t="s">
        <v>1288</v>
      </c>
      <c r="F29" s="314" t="s">
        <v>1114</v>
      </c>
      <c r="G29" s="335" t="s">
        <v>14</v>
      </c>
      <c r="H29" s="347">
        <v>43570</v>
      </c>
      <c r="I29" s="314">
        <v>407</v>
      </c>
      <c r="J29" s="310" t="s">
        <v>58</v>
      </c>
      <c r="K29" s="491" t="s">
        <v>680</v>
      </c>
      <c r="L29" s="495">
        <v>44467</v>
      </c>
      <c r="M29" s="491" t="s">
        <v>60</v>
      </c>
      <c r="N29" s="495">
        <v>44210</v>
      </c>
      <c r="O29" s="343">
        <v>45037</v>
      </c>
      <c r="P29" s="520">
        <v>45701</v>
      </c>
      <c r="Q29" s="310" t="s">
        <v>1301</v>
      </c>
      <c r="R29" s="310" t="s">
        <v>1295</v>
      </c>
      <c r="S29" s="310" t="s">
        <v>62</v>
      </c>
      <c r="T29" s="310" t="s">
        <v>62</v>
      </c>
      <c r="U29" s="310" t="s">
        <v>62</v>
      </c>
      <c r="V29" s="310" t="s">
        <v>62</v>
      </c>
      <c r="W29" s="310" t="s">
        <v>63</v>
      </c>
      <c r="X29" s="837" t="s">
        <v>1290</v>
      </c>
      <c r="Y29" s="861" t="s">
        <v>869</v>
      </c>
      <c r="Z29" s="491"/>
      <c r="AA29" s="552"/>
      <c r="AB29" s="310"/>
      <c r="AC29" s="310"/>
      <c r="AD29" s="343">
        <v>44657</v>
      </c>
      <c r="AE29" s="314"/>
      <c r="AF29" s="344">
        <v>44716</v>
      </c>
      <c r="AG29" s="143">
        <v>45553</v>
      </c>
      <c r="AH29" s="535">
        <v>45269</v>
      </c>
      <c r="AI29" s="52">
        <v>45447</v>
      </c>
      <c r="AJ29" s="3" t="s">
        <v>1116</v>
      </c>
      <c r="AK29" s="143" t="s">
        <v>1302</v>
      </c>
      <c r="AL29" s="3" t="s">
        <v>1305</v>
      </c>
      <c r="AM29" s="52">
        <v>45553</v>
      </c>
    </row>
    <row r="30" spans="1:40" ht="13.35" customHeight="1" x14ac:dyDescent="0.25">
      <c r="A30" s="996">
        <v>29</v>
      </c>
      <c r="B30" s="576">
        <v>39135</v>
      </c>
      <c r="C30" s="577" t="s">
        <v>64</v>
      </c>
      <c r="D30" s="578" t="s">
        <v>1306</v>
      </c>
      <c r="E30" s="578" t="s">
        <v>1307</v>
      </c>
      <c r="F30" s="580" t="s">
        <v>1102</v>
      </c>
      <c r="G30" s="578" t="s">
        <v>14</v>
      </c>
      <c r="H30" s="579">
        <v>43899</v>
      </c>
      <c r="I30" s="580">
        <v>662</v>
      </c>
      <c r="J30" s="581" t="s">
        <v>58</v>
      </c>
      <c r="K30" s="582" t="s">
        <v>680</v>
      </c>
      <c r="L30" s="886">
        <v>44331</v>
      </c>
      <c r="M30" s="582" t="s">
        <v>60</v>
      </c>
      <c r="N30" s="583">
        <v>44331</v>
      </c>
      <c r="O30" s="887">
        <v>45009</v>
      </c>
      <c r="P30" s="584">
        <v>44789</v>
      </c>
      <c r="Q30" s="581" t="s">
        <v>1289</v>
      </c>
      <c r="R30" s="581" t="s">
        <v>1308</v>
      </c>
      <c r="S30" s="581" t="s">
        <v>63</v>
      </c>
      <c r="T30" s="581" t="s">
        <v>68</v>
      </c>
      <c r="U30" s="581" t="s">
        <v>68</v>
      </c>
      <c r="V30" s="588" t="s">
        <v>68</v>
      </c>
      <c r="W30" s="581" t="s">
        <v>63</v>
      </c>
      <c r="X30" s="581" t="s">
        <v>1309</v>
      </c>
      <c r="Y30" s="861" t="s">
        <v>869</v>
      </c>
      <c r="Z30" s="888"/>
      <c r="AA30" s="889"/>
      <c r="AB30" s="581" t="s">
        <v>1310</v>
      </c>
      <c r="AC30" s="581"/>
      <c r="AD30" s="586">
        <v>44789</v>
      </c>
      <c r="AE30" s="580"/>
      <c r="AF30" s="586">
        <v>44789</v>
      </c>
      <c r="AG30" s="890" t="s">
        <v>1311</v>
      </c>
      <c r="AH30" s="891">
        <v>45157</v>
      </c>
      <c r="AI30" s="269">
        <v>45157</v>
      </c>
      <c r="AJ30" s="242" t="s">
        <v>1116</v>
      </c>
      <c r="AK30" s="1075">
        <v>45751</v>
      </c>
      <c r="AL30" s="644">
        <v>45366</v>
      </c>
      <c r="AM30" s="239" t="s">
        <v>1312</v>
      </c>
    </row>
    <row r="31" spans="1:40" ht="13.35" customHeight="1" x14ac:dyDescent="0.25">
      <c r="A31" s="996">
        <v>30</v>
      </c>
      <c r="B31" s="339">
        <v>39135</v>
      </c>
      <c r="C31" s="340" t="s">
        <v>54</v>
      </c>
      <c r="D31" s="335" t="s">
        <v>1313</v>
      </c>
      <c r="E31" s="335" t="s">
        <v>1307</v>
      </c>
      <c r="F31" s="314" t="s">
        <v>1102</v>
      </c>
      <c r="G31" s="335" t="s">
        <v>14</v>
      </c>
      <c r="H31" s="342">
        <v>43899</v>
      </c>
      <c r="I31" s="314">
        <v>650</v>
      </c>
      <c r="J31" s="310" t="s">
        <v>58</v>
      </c>
      <c r="K31" s="491" t="s">
        <v>680</v>
      </c>
      <c r="L31" s="594">
        <v>44331</v>
      </c>
      <c r="M31" s="491" t="s">
        <v>60</v>
      </c>
      <c r="N31" s="495">
        <v>44331</v>
      </c>
      <c r="O31" s="309">
        <v>45009</v>
      </c>
      <c r="P31" s="343">
        <v>44789</v>
      </c>
      <c r="Q31" s="310" t="s">
        <v>1289</v>
      </c>
      <c r="R31" s="310" t="s">
        <v>1308</v>
      </c>
      <c r="S31" s="310" t="s">
        <v>63</v>
      </c>
      <c r="T31" s="310" t="s">
        <v>62</v>
      </c>
      <c r="U31" s="310" t="s">
        <v>62</v>
      </c>
      <c r="V31" s="346" t="s">
        <v>62</v>
      </c>
      <c r="W31" s="310" t="s">
        <v>63</v>
      </c>
      <c r="X31" s="310" t="s">
        <v>1309</v>
      </c>
      <c r="Y31" s="861" t="s">
        <v>869</v>
      </c>
      <c r="Z31" s="593"/>
      <c r="AA31" s="589"/>
      <c r="AB31" s="310" t="s">
        <v>1314</v>
      </c>
      <c r="AC31" s="310"/>
      <c r="AD31" s="344">
        <v>44789</v>
      </c>
      <c r="AE31" s="314"/>
      <c r="AF31" s="344">
        <v>44789</v>
      </c>
      <c r="AG31" s="602" t="s">
        <v>1311</v>
      </c>
      <c r="AH31" s="986">
        <v>45157</v>
      </c>
      <c r="AI31" s="52">
        <v>45157</v>
      </c>
      <c r="AJ31" s="24" t="s">
        <v>1116</v>
      </c>
      <c r="AK31" s="251">
        <v>45751</v>
      </c>
      <c r="AL31" s="84">
        <v>45366</v>
      </c>
      <c r="AM31" s="3" t="s">
        <v>1312</v>
      </c>
    </row>
    <row r="32" spans="1:40" ht="13.35" customHeight="1" x14ac:dyDescent="0.25">
      <c r="A32" s="996">
        <v>31</v>
      </c>
      <c r="B32" s="339">
        <v>30530</v>
      </c>
      <c r="C32" s="340" t="s">
        <v>64</v>
      </c>
      <c r="D32" s="341" t="s">
        <v>1315</v>
      </c>
      <c r="E32" s="335" t="s">
        <v>1316</v>
      </c>
      <c r="F32" s="335" t="s">
        <v>1317</v>
      </c>
      <c r="G32" s="335" t="s">
        <v>14</v>
      </c>
      <c r="H32" s="342">
        <v>42824</v>
      </c>
      <c r="I32" s="314">
        <v>65</v>
      </c>
      <c r="J32" s="310" t="s">
        <v>58</v>
      </c>
      <c r="K32" s="491" t="s">
        <v>1318</v>
      </c>
      <c r="L32" s="592"/>
      <c r="M32" s="498"/>
      <c r="N32" s="498"/>
      <c r="O32" s="349"/>
      <c r="P32" s="314"/>
      <c r="Q32" s="349" t="s">
        <v>1289</v>
      </c>
      <c r="R32" s="350">
        <v>44152</v>
      </c>
      <c r="S32" s="349" t="s">
        <v>63</v>
      </c>
      <c r="T32" s="581" t="s">
        <v>68</v>
      </c>
      <c r="U32" s="581" t="s">
        <v>68</v>
      </c>
      <c r="V32" s="349" t="s">
        <v>63</v>
      </c>
      <c r="W32" s="349" t="s">
        <v>63</v>
      </c>
      <c r="X32" s="837" t="s">
        <v>1290</v>
      </c>
      <c r="Y32" s="861" t="s">
        <v>869</v>
      </c>
      <c r="Z32" s="600"/>
      <c r="AA32" s="589"/>
      <c r="AB32" s="349"/>
      <c r="AC32" s="349"/>
      <c r="AD32" s="351">
        <v>45334</v>
      </c>
      <c r="AE32" s="351"/>
      <c r="AF32" s="314"/>
      <c r="AG32" s="536">
        <v>45484</v>
      </c>
      <c r="AH32" s="535">
        <v>45484</v>
      </c>
      <c r="AI32" s="3" t="s">
        <v>1319</v>
      </c>
      <c r="AJ32" s="3" t="s">
        <v>1116</v>
      </c>
      <c r="AK32" s="3" t="s">
        <v>1320</v>
      </c>
      <c r="AM32" s="84">
        <v>45845</v>
      </c>
      <c r="AN32" s="381"/>
    </row>
    <row r="33" spans="1:40" ht="13.35" customHeight="1" x14ac:dyDescent="0.25">
      <c r="A33" s="996">
        <v>32</v>
      </c>
      <c r="B33" s="339">
        <v>30530</v>
      </c>
      <c r="C33" s="340" t="s">
        <v>54</v>
      </c>
      <c r="D33" s="341" t="s">
        <v>1321</v>
      </c>
      <c r="E33" s="335" t="s">
        <v>1316</v>
      </c>
      <c r="F33" s="335" t="s">
        <v>1317</v>
      </c>
      <c r="G33" s="335" t="s">
        <v>14</v>
      </c>
      <c r="H33" s="342">
        <v>42824</v>
      </c>
      <c r="I33" s="314">
        <v>58</v>
      </c>
      <c r="J33" s="310" t="s">
        <v>58</v>
      </c>
      <c r="K33" s="491" t="s">
        <v>1318</v>
      </c>
      <c r="L33" s="592"/>
      <c r="M33" s="498"/>
      <c r="N33" s="498"/>
      <c r="O33" s="349"/>
      <c r="P33" s="314"/>
      <c r="Q33" s="349" t="s">
        <v>1289</v>
      </c>
      <c r="R33" s="350">
        <v>44152</v>
      </c>
      <c r="S33" s="349" t="s">
        <v>63</v>
      </c>
      <c r="T33" s="310" t="s">
        <v>62</v>
      </c>
      <c r="U33" s="310" t="s">
        <v>62</v>
      </c>
      <c r="V33" s="349" t="s">
        <v>63</v>
      </c>
      <c r="W33" s="349" t="s">
        <v>63</v>
      </c>
      <c r="X33" s="837" t="s">
        <v>1290</v>
      </c>
      <c r="Y33" s="861" t="s">
        <v>869</v>
      </c>
      <c r="Z33" s="600"/>
      <c r="AA33" s="589"/>
      <c r="AB33" s="349"/>
      <c r="AC33" s="349"/>
      <c r="AD33" s="351">
        <v>45334</v>
      </c>
      <c r="AE33" s="351"/>
      <c r="AF33" s="314"/>
      <c r="AG33" s="536">
        <v>45484</v>
      </c>
      <c r="AH33" s="535">
        <v>45484</v>
      </c>
      <c r="AI33" s="3" t="s">
        <v>1319</v>
      </c>
      <c r="AJ33" s="3" t="s">
        <v>1116</v>
      </c>
      <c r="AK33" s="3" t="s">
        <v>1322</v>
      </c>
      <c r="AM33" s="84">
        <v>45845</v>
      </c>
      <c r="AN33" s="381"/>
    </row>
    <row r="34" spans="1:40" ht="13.35" customHeight="1" x14ac:dyDescent="0.25">
      <c r="A34" s="996">
        <v>33</v>
      </c>
      <c r="B34" s="339">
        <v>30544</v>
      </c>
      <c r="C34" s="340" t="s">
        <v>64</v>
      </c>
      <c r="D34" s="346" t="s">
        <v>1323</v>
      </c>
      <c r="E34" s="335" t="s">
        <v>1316</v>
      </c>
      <c r="F34" s="335" t="s">
        <v>1317</v>
      </c>
      <c r="G34" s="335" t="s">
        <v>14</v>
      </c>
      <c r="H34" s="342">
        <v>44599</v>
      </c>
      <c r="I34" s="314">
        <v>1122</v>
      </c>
      <c r="J34" s="310" t="s">
        <v>58</v>
      </c>
      <c r="K34" s="491"/>
      <c r="L34" s="592"/>
      <c r="M34" s="491"/>
      <c r="N34" s="491"/>
      <c r="O34" s="343">
        <v>45292</v>
      </c>
      <c r="P34" s="343"/>
      <c r="Q34" s="310" t="s">
        <v>1301</v>
      </c>
      <c r="R34" s="310" t="s">
        <v>63</v>
      </c>
      <c r="S34" s="349" t="s">
        <v>63</v>
      </c>
      <c r="T34" s="310" t="s">
        <v>63</v>
      </c>
      <c r="U34" s="310" t="s">
        <v>63</v>
      </c>
      <c r="V34" s="310" t="s">
        <v>63</v>
      </c>
      <c r="W34" s="310" t="s">
        <v>63</v>
      </c>
      <c r="X34" s="310" t="s">
        <v>1244</v>
      </c>
      <c r="Y34" s="861" t="s">
        <v>869</v>
      </c>
      <c r="Z34" s="310"/>
      <c r="AA34" s="310"/>
      <c r="AB34" s="310"/>
      <c r="AC34" s="310"/>
      <c r="AD34" s="519">
        <v>44982</v>
      </c>
      <c r="AE34" s="351"/>
      <c r="AF34" s="314" t="s">
        <v>1324</v>
      </c>
      <c r="AG34" s="343" t="s">
        <v>1325</v>
      </c>
      <c r="AH34" s="535">
        <v>45292</v>
      </c>
      <c r="AI34" s="84">
        <v>45208</v>
      </c>
      <c r="AJ34" s="3" t="s">
        <v>1116</v>
      </c>
      <c r="AK34" s="84">
        <v>45674</v>
      </c>
      <c r="AM34" s="525" t="s">
        <v>1326</v>
      </c>
    </row>
    <row r="35" spans="1:40" ht="13.35" customHeight="1" x14ac:dyDescent="0.25">
      <c r="A35" s="996">
        <v>34</v>
      </c>
      <c r="B35" s="339">
        <v>30544</v>
      </c>
      <c r="C35" s="340" t="s">
        <v>54</v>
      </c>
      <c r="D35" s="346" t="s">
        <v>1327</v>
      </c>
      <c r="E35" s="335" t="s">
        <v>1316</v>
      </c>
      <c r="F35" s="335" t="s">
        <v>1317</v>
      </c>
      <c r="G35" s="335" t="s">
        <v>14</v>
      </c>
      <c r="H35" s="342">
        <v>44599</v>
      </c>
      <c r="I35" s="314">
        <v>1123</v>
      </c>
      <c r="J35" s="310" t="s">
        <v>58</v>
      </c>
      <c r="K35" s="491"/>
      <c r="L35" s="592"/>
      <c r="M35" s="491"/>
      <c r="N35" s="491"/>
      <c r="O35" s="343">
        <v>45292</v>
      </c>
      <c r="P35" s="343"/>
      <c r="Q35" s="310" t="s">
        <v>1301</v>
      </c>
      <c r="R35" s="310" t="s">
        <v>63</v>
      </c>
      <c r="S35" s="349" t="s">
        <v>63</v>
      </c>
      <c r="T35" s="310" t="s">
        <v>63</v>
      </c>
      <c r="U35" s="310" t="s">
        <v>63</v>
      </c>
      <c r="V35" s="310" t="s">
        <v>63</v>
      </c>
      <c r="W35" s="310" t="s">
        <v>63</v>
      </c>
      <c r="X35" s="310" t="s">
        <v>1244</v>
      </c>
      <c r="Y35" s="861" t="s">
        <v>869</v>
      </c>
      <c r="Z35" s="310"/>
      <c r="AA35" s="310"/>
      <c r="AB35" s="310"/>
      <c r="AC35" s="310"/>
      <c r="AD35" s="519">
        <v>44982</v>
      </c>
      <c r="AE35" s="351"/>
      <c r="AF35" s="314" t="s">
        <v>1324</v>
      </c>
      <c r="AG35" s="343" t="s">
        <v>1325</v>
      </c>
      <c r="AH35" s="535">
        <v>45292</v>
      </c>
      <c r="AI35" s="84">
        <v>45208</v>
      </c>
      <c r="AJ35" s="3" t="s">
        <v>1116</v>
      </c>
      <c r="AK35" s="84">
        <v>45674</v>
      </c>
      <c r="AM35" s="525" t="s">
        <v>1326</v>
      </c>
    </row>
    <row r="36" spans="1:40" ht="13.35" customHeight="1" x14ac:dyDescent="0.25">
      <c r="A36" s="996">
        <v>35</v>
      </c>
      <c r="B36" s="311">
        <v>37253</v>
      </c>
      <c r="C36" s="345" t="s">
        <v>64</v>
      </c>
      <c r="D36" s="346" t="s">
        <v>1285</v>
      </c>
      <c r="E36" s="343" t="s">
        <v>1316</v>
      </c>
      <c r="F36" s="310" t="s">
        <v>1317</v>
      </c>
      <c r="G36" s="335" t="s">
        <v>14</v>
      </c>
      <c r="H36" s="309">
        <v>43758</v>
      </c>
      <c r="I36" s="310">
        <v>633</v>
      </c>
      <c r="J36" s="310" t="s">
        <v>58</v>
      </c>
      <c r="K36" s="491" t="s">
        <v>680</v>
      </c>
      <c r="L36" s="595">
        <v>44361</v>
      </c>
      <c r="M36" s="491" t="s">
        <v>60</v>
      </c>
      <c r="N36" s="499">
        <v>44316</v>
      </c>
      <c r="O36" s="343">
        <v>45441</v>
      </c>
      <c r="P36" s="314"/>
      <c r="Q36" s="310" t="s">
        <v>1301</v>
      </c>
      <c r="R36" s="310" t="s">
        <v>1103</v>
      </c>
      <c r="S36" s="310" t="s">
        <v>206</v>
      </c>
      <c r="T36" s="310" t="s">
        <v>1103</v>
      </c>
      <c r="U36" s="310" t="s">
        <v>1103</v>
      </c>
      <c r="V36" s="310" t="s">
        <v>63</v>
      </c>
      <c r="W36" s="350">
        <v>44365</v>
      </c>
      <c r="X36" s="310" t="s">
        <v>1309</v>
      </c>
      <c r="Y36" s="861" t="s">
        <v>869</v>
      </c>
      <c r="Z36" s="593"/>
      <c r="AA36" s="589"/>
      <c r="AB36" s="310"/>
      <c r="AC36" s="310"/>
      <c r="AD36" s="343">
        <v>44998</v>
      </c>
      <c r="AE36" s="351"/>
      <c r="AF36" s="520">
        <v>45320</v>
      </c>
      <c r="AG36" s="519">
        <v>45481</v>
      </c>
      <c r="AH36" s="535">
        <v>45315</v>
      </c>
      <c r="AI36" s="84">
        <v>45211</v>
      </c>
      <c r="AJ36" s="3" t="s">
        <v>1116</v>
      </c>
      <c r="AK36" s="3" t="s">
        <v>1328</v>
      </c>
      <c r="AL36" s="3" t="s">
        <v>1329</v>
      </c>
      <c r="AM36" s="3" t="s">
        <v>1330</v>
      </c>
    </row>
    <row r="37" spans="1:40" ht="13.35" customHeight="1" x14ac:dyDescent="0.25">
      <c r="A37" s="996">
        <v>36</v>
      </c>
      <c r="B37" s="311">
        <v>37253</v>
      </c>
      <c r="C37" s="345" t="s">
        <v>54</v>
      </c>
      <c r="D37" s="346" t="s">
        <v>1283</v>
      </c>
      <c r="E37" s="343" t="s">
        <v>1316</v>
      </c>
      <c r="F37" s="310" t="s">
        <v>1317</v>
      </c>
      <c r="G37" s="335" t="s">
        <v>14</v>
      </c>
      <c r="H37" s="309">
        <v>43758</v>
      </c>
      <c r="I37" s="310">
        <v>636</v>
      </c>
      <c r="J37" s="310" t="s">
        <v>58</v>
      </c>
      <c r="K37" s="491" t="s">
        <v>680</v>
      </c>
      <c r="L37" s="595">
        <v>44361</v>
      </c>
      <c r="M37" s="491" t="s">
        <v>60</v>
      </c>
      <c r="N37" s="499">
        <v>44316</v>
      </c>
      <c r="O37" s="343">
        <v>45441</v>
      </c>
      <c r="P37" s="314"/>
      <c r="Q37" s="310" t="s">
        <v>1301</v>
      </c>
      <c r="R37" s="310" t="s">
        <v>1103</v>
      </c>
      <c r="S37" s="310" t="s">
        <v>206</v>
      </c>
      <c r="T37" s="310" t="s">
        <v>1103</v>
      </c>
      <c r="U37" s="310" t="s">
        <v>1103</v>
      </c>
      <c r="V37" s="310" t="s">
        <v>63</v>
      </c>
      <c r="W37" s="350">
        <v>44365</v>
      </c>
      <c r="X37" s="310" t="s">
        <v>1309</v>
      </c>
      <c r="Y37" s="861" t="s">
        <v>869</v>
      </c>
      <c r="Z37" s="593"/>
      <c r="AA37" s="589"/>
      <c r="AB37" s="310"/>
      <c r="AC37" s="310"/>
      <c r="AD37" s="343">
        <v>44998</v>
      </c>
      <c r="AE37" s="351"/>
      <c r="AF37" s="520">
        <v>45320</v>
      </c>
      <c r="AG37" s="343">
        <v>45481</v>
      </c>
      <c r="AH37" s="535">
        <v>45315</v>
      </c>
      <c r="AI37" s="84">
        <v>45211</v>
      </c>
      <c r="AJ37" s="3" t="s">
        <v>1116</v>
      </c>
      <c r="AK37" s="3" t="s">
        <v>1328</v>
      </c>
      <c r="AL37" s="3" t="s">
        <v>1329</v>
      </c>
      <c r="AM37" s="3" t="s">
        <v>1330</v>
      </c>
    </row>
    <row r="38" spans="1:40" ht="13.35" customHeight="1" x14ac:dyDescent="0.25">
      <c r="A38" s="996">
        <v>37</v>
      </c>
      <c r="B38" s="339">
        <v>37282</v>
      </c>
      <c r="C38" s="340" t="s">
        <v>64</v>
      </c>
      <c r="D38" s="335" t="s">
        <v>1331</v>
      </c>
      <c r="E38" s="335" t="s">
        <v>1316</v>
      </c>
      <c r="F38" s="335" t="s">
        <v>1317</v>
      </c>
      <c r="G38" s="335" t="s">
        <v>14</v>
      </c>
      <c r="H38" s="342">
        <v>43797</v>
      </c>
      <c r="I38" s="314">
        <v>586</v>
      </c>
      <c r="J38" s="310" t="s">
        <v>58</v>
      </c>
      <c r="K38" s="491" t="s">
        <v>680</v>
      </c>
      <c r="L38" s="595">
        <v>44325</v>
      </c>
      <c r="M38" s="491" t="s">
        <v>60</v>
      </c>
      <c r="N38" s="495">
        <v>44335</v>
      </c>
      <c r="O38" s="350">
        <v>45422</v>
      </c>
      <c r="P38" s="314"/>
      <c r="Q38" s="310" t="s">
        <v>1301</v>
      </c>
      <c r="R38" s="310" t="s">
        <v>1103</v>
      </c>
      <c r="S38" s="310" t="s">
        <v>1332</v>
      </c>
      <c r="T38" s="310" t="s">
        <v>1103</v>
      </c>
      <c r="U38" s="310" t="s">
        <v>1103</v>
      </c>
      <c r="V38" s="310" t="s">
        <v>63</v>
      </c>
      <c r="W38" s="310" t="s">
        <v>63</v>
      </c>
      <c r="X38" s="310" t="s">
        <v>1309</v>
      </c>
      <c r="Y38" s="861" t="s">
        <v>869</v>
      </c>
      <c r="Z38" s="593"/>
      <c r="AA38" s="589"/>
      <c r="AB38" s="310"/>
      <c r="AC38" s="310"/>
      <c r="AD38" s="519">
        <v>44902</v>
      </c>
      <c r="AE38" s="351"/>
      <c r="AF38" s="310"/>
      <c r="AG38" s="343">
        <v>45469</v>
      </c>
      <c r="AH38" s="535">
        <v>45469</v>
      </c>
      <c r="AI38" s="52">
        <v>45149</v>
      </c>
      <c r="AJ38" s="3" t="s">
        <v>1116</v>
      </c>
      <c r="AK38" s="52">
        <v>45665</v>
      </c>
      <c r="AL38" s="3"/>
      <c r="AM38" s="84">
        <v>45483</v>
      </c>
    </row>
    <row r="39" spans="1:40" ht="13.35" customHeight="1" x14ac:dyDescent="0.25">
      <c r="A39" s="996">
        <v>38</v>
      </c>
      <c r="B39" s="339">
        <v>37282</v>
      </c>
      <c r="C39" s="340" t="s">
        <v>54</v>
      </c>
      <c r="D39" s="335" t="s">
        <v>1333</v>
      </c>
      <c r="E39" s="335" t="s">
        <v>1316</v>
      </c>
      <c r="F39" s="335" t="s">
        <v>1317</v>
      </c>
      <c r="G39" s="335" t="s">
        <v>14</v>
      </c>
      <c r="H39" s="342">
        <v>43797</v>
      </c>
      <c r="I39" s="314">
        <v>571</v>
      </c>
      <c r="J39" s="310" t="s">
        <v>58</v>
      </c>
      <c r="K39" s="491" t="s">
        <v>680</v>
      </c>
      <c r="L39" s="595">
        <v>44325</v>
      </c>
      <c r="M39" s="491" t="s">
        <v>60</v>
      </c>
      <c r="N39" s="499">
        <v>44325</v>
      </c>
      <c r="O39" s="350">
        <v>45422</v>
      </c>
      <c r="P39" s="314"/>
      <c r="Q39" s="310" t="s">
        <v>1301</v>
      </c>
      <c r="R39" s="310" t="s">
        <v>1103</v>
      </c>
      <c r="S39" s="310" t="s">
        <v>1332</v>
      </c>
      <c r="T39" s="310" t="s">
        <v>1103</v>
      </c>
      <c r="U39" s="310" t="s">
        <v>1103</v>
      </c>
      <c r="V39" s="310" t="s">
        <v>63</v>
      </c>
      <c r="W39" s="310" t="s">
        <v>63</v>
      </c>
      <c r="X39" s="310" t="s">
        <v>1309</v>
      </c>
      <c r="Y39" s="861" t="s">
        <v>869</v>
      </c>
      <c r="Z39" s="593"/>
      <c r="AA39" s="589"/>
      <c r="AB39" s="713" t="s">
        <v>1334</v>
      </c>
      <c r="AC39" s="310"/>
      <c r="AD39" s="519">
        <v>44902</v>
      </c>
      <c r="AE39" s="351"/>
      <c r="AF39" s="310"/>
      <c r="AG39" s="343">
        <v>45469</v>
      </c>
      <c r="AH39" s="535">
        <v>45469</v>
      </c>
      <c r="AI39" s="52">
        <v>45149</v>
      </c>
      <c r="AJ39" s="3" t="s">
        <v>1116</v>
      </c>
      <c r="AK39" s="52">
        <v>45665</v>
      </c>
      <c r="AL39" s="3"/>
      <c r="AM39" s="84">
        <v>45483</v>
      </c>
    </row>
    <row r="40" spans="1:40" ht="13.35" customHeight="1" x14ac:dyDescent="0.25">
      <c r="A40" s="996">
        <v>39</v>
      </c>
      <c r="B40" s="339">
        <v>37359</v>
      </c>
      <c r="C40" s="340" t="s">
        <v>64</v>
      </c>
      <c r="D40" s="341" t="s">
        <v>1335</v>
      </c>
      <c r="E40" s="335" t="s">
        <v>1316</v>
      </c>
      <c r="F40" s="335" t="s">
        <v>1317</v>
      </c>
      <c r="G40" s="335" t="s">
        <v>14</v>
      </c>
      <c r="H40" s="342">
        <v>43967</v>
      </c>
      <c r="I40" s="314">
        <v>620</v>
      </c>
      <c r="J40" s="310" t="s">
        <v>58</v>
      </c>
      <c r="K40" s="491" t="s">
        <v>680</v>
      </c>
      <c r="L40" s="595">
        <v>44330</v>
      </c>
      <c r="M40" s="491" t="s">
        <v>60</v>
      </c>
      <c r="N40" s="499">
        <v>44256</v>
      </c>
      <c r="O40" s="350">
        <v>45385</v>
      </c>
      <c r="P40" s="314"/>
      <c r="Q40" s="310" t="s">
        <v>1301</v>
      </c>
      <c r="R40" s="310" t="s">
        <v>1103</v>
      </c>
      <c r="S40" s="310" t="s">
        <v>206</v>
      </c>
      <c r="T40" s="350">
        <v>44164</v>
      </c>
      <c r="U40" s="350">
        <v>44164</v>
      </c>
      <c r="V40" s="310" t="s">
        <v>63</v>
      </c>
      <c r="W40" s="350">
        <v>44351</v>
      </c>
      <c r="X40" s="310" t="s">
        <v>1309</v>
      </c>
      <c r="Y40" s="861" t="s">
        <v>869</v>
      </c>
      <c r="Z40" s="593"/>
      <c r="AA40" s="589"/>
      <c r="AB40" s="310"/>
      <c r="AC40" s="310"/>
      <c r="AD40" s="519">
        <v>44902</v>
      </c>
      <c r="AE40" s="351"/>
      <c r="AF40" s="310" t="s">
        <v>63</v>
      </c>
      <c r="AG40" s="519">
        <v>45484</v>
      </c>
      <c r="AH40" s="535">
        <v>45491</v>
      </c>
      <c r="AI40" s="52">
        <v>45178</v>
      </c>
      <c r="AJ40" s="3" t="s">
        <v>1116</v>
      </c>
      <c r="AK40" s="52">
        <v>45628</v>
      </c>
      <c r="AL40" s="84">
        <v>45721</v>
      </c>
      <c r="AM40" s="3" t="s">
        <v>1336</v>
      </c>
      <c r="AN40" s="381"/>
    </row>
    <row r="41" spans="1:40" ht="13.35" customHeight="1" x14ac:dyDescent="0.25">
      <c r="A41" s="996">
        <v>40</v>
      </c>
      <c r="B41" s="339">
        <v>37359</v>
      </c>
      <c r="C41" s="340" t="s">
        <v>54</v>
      </c>
      <c r="D41" s="341" t="s">
        <v>1337</v>
      </c>
      <c r="E41" s="335" t="s">
        <v>1316</v>
      </c>
      <c r="F41" s="335" t="s">
        <v>1317</v>
      </c>
      <c r="G41" s="335" t="s">
        <v>14</v>
      </c>
      <c r="H41" s="342">
        <v>43967</v>
      </c>
      <c r="I41" s="314">
        <v>621</v>
      </c>
      <c r="J41" s="310" t="s">
        <v>58</v>
      </c>
      <c r="K41" s="491" t="s">
        <v>680</v>
      </c>
      <c r="L41" s="595">
        <v>44504</v>
      </c>
      <c r="M41" s="491" t="s">
        <v>60</v>
      </c>
      <c r="N41" s="499">
        <v>44256</v>
      </c>
      <c r="O41" s="350">
        <v>45385</v>
      </c>
      <c r="P41" s="314"/>
      <c r="Q41" s="310" t="s">
        <v>1301</v>
      </c>
      <c r="R41" s="310" t="s">
        <v>1103</v>
      </c>
      <c r="S41" s="310" t="s">
        <v>206</v>
      </c>
      <c r="T41" s="350">
        <v>44164</v>
      </c>
      <c r="U41" s="350">
        <v>44164</v>
      </c>
      <c r="V41" s="310" t="s">
        <v>63</v>
      </c>
      <c r="W41" s="350">
        <v>44351</v>
      </c>
      <c r="X41" s="310" t="s">
        <v>1309</v>
      </c>
      <c r="Y41" s="861" t="s">
        <v>869</v>
      </c>
      <c r="Z41" s="593"/>
      <c r="AA41" s="589"/>
      <c r="AB41" s="310"/>
      <c r="AC41" s="310"/>
      <c r="AD41" s="519">
        <v>44902</v>
      </c>
      <c r="AE41" s="351"/>
      <c r="AF41" s="310" t="s">
        <v>63</v>
      </c>
      <c r="AG41" s="519">
        <v>45484</v>
      </c>
      <c r="AH41" s="535">
        <v>45491</v>
      </c>
      <c r="AI41" s="52">
        <v>45178</v>
      </c>
      <c r="AJ41" s="3" t="s">
        <v>1116</v>
      </c>
      <c r="AK41" s="52">
        <v>45628</v>
      </c>
      <c r="AL41" s="84">
        <v>45721</v>
      </c>
      <c r="AM41" s="3" t="s">
        <v>1336</v>
      </c>
      <c r="AN41" s="381"/>
    </row>
    <row r="42" spans="1:40" ht="13.35" customHeight="1" x14ac:dyDescent="0.25">
      <c r="A42" s="996">
        <v>41</v>
      </c>
      <c r="B42" s="339">
        <v>37361</v>
      </c>
      <c r="C42" s="340" t="s">
        <v>64</v>
      </c>
      <c r="D42" s="345" t="s">
        <v>1338</v>
      </c>
      <c r="E42" s="335" t="s">
        <v>1316</v>
      </c>
      <c r="F42" s="335" t="s">
        <v>1317</v>
      </c>
      <c r="G42" s="335" t="s">
        <v>14</v>
      </c>
      <c r="H42" s="336">
        <v>43972</v>
      </c>
      <c r="I42" s="314">
        <v>735</v>
      </c>
      <c r="J42" s="310" t="s">
        <v>58</v>
      </c>
      <c r="K42" s="491" t="s">
        <v>680</v>
      </c>
      <c r="L42" s="592" t="s">
        <v>1103</v>
      </c>
      <c r="M42" s="499">
        <v>44256</v>
      </c>
      <c r="N42" s="491" t="s">
        <v>1103</v>
      </c>
      <c r="O42" s="350">
        <v>45276</v>
      </c>
      <c r="P42" s="350"/>
      <c r="Q42" s="310" t="s">
        <v>1301</v>
      </c>
      <c r="R42" s="310" t="s">
        <v>1103</v>
      </c>
      <c r="S42" s="310" t="s">
        <v>1103</v>
      </c>
      <c r="T42" s="310" t="s">
        <v>1103</v>
      </c>
      <c r="U42" s="310" t="s">
        <v>1103</v>
      </c>
      <c r="V42" s="310" t="s">
        <v>63</v>
      </c>
      <c r="W42" s="350">
        <v>44340</v>
      </c>
      <c r="X42" s="310" t="s">
        <v>1309</v>
      </c>
      <c r="Y42" s="861" t="s">
        <v>869</v>
      </c>
      <c r="Z42" s="593"/>
      <c r="AA42" s="589"/>
      <c r="AB42" s="310"/>
      <c r="AC42" s="310"/>
      <c r="AD42" s="343">
        <v>44924</v>
      </c>
      <c r="AE42" s="351"/>
      <c r="AF42" s="344">
        <v>45276</v>
      </c>
      <c r="AG42" s="343">
        <v>45475</v>
      </c>
      <c r="AH42" s="535">
        <v>45286</v>
      </c>
      <c r="AI42" s="52">
        <v>45160</v>
      </c>
      <c r="AJ42" s="3" t="s">
        <v>1116</v>
      </c>
      <c r="AK42" s="84">
        <v>45477</v>
      </c>
      <c r="AL42" s="3" t="s">
        <v>1339</v>
      </c>
      <c r="AM42" s="84">
        <v>45605</v>
      </c>
      <c r="AN42" s="381"/>
    </row>
    <row r="43" spans="1:40" ht="13.35" customHeight="1" x14ac:dyDescent="0.25">
      <c r="A43" s="996">
        <v>42</v>
      </c>
      <c r="B43" s="339">
        <v>37361</v>
      </c>
      <c r="C43" s="340" t="s">
        <v>54</v>
      </c>
      <c r="D43" s="345" t="s">
        <v>1340</v>
      </c>
      <c r="E43" s="335" t="s">
        <v>1316</v>
      </c>
      <c r="F43" s="335" t="s">
        <v>1317</v>
      </c>
      <c r="G43" s="335" t="s">
        <v>14</v>
      </c>
      <c r="H43" s="336">
        <v>43972</v>
      </c>
      <c r="I43" s="314">
        <v>613</v>
      </c>
      <c r="J43" s="310" t="s">
        <v>58</v>
      </c>
      <c r="K43" s="491" t="s">
        <v>680</v>
      </c>
      <c r="L43" s="592" t="s">
        <v>1103</v>
      </c>
      <c r="M43" s="499">
        <v>44256</v>
      </c>
      <c r="N43" s="491" t="s">
        <v>1103</v>
      </c>
      <c r="O43" s="350">
        <v>45276</v>
      </c>
      <c r="P43" s="350"/>
      <c r="Q43" s="310" t="s">
        <v>1301</v>
      </c>
      <c r="R43" s="310" t="s">
        <v>1103</v>
      </c>
      <c r="S43" s="310" t="s">
        <v>1103</v>
      </c>
      <c r="T43" s="310" t="s">
        <v>1103</v>
      </c>
      <c r="U43" s="310" t="s">
        <v>1103</v>
      </c>
      <c r="V43" s="310" t="s">
        <v>63</v>
      </c>
      <c r="W43" s="350">
        <v>44340</v>
      </c>
      <c r="X43" s="310" t="s">
        <v>1309</v>
      </c>
      <c r="Y43" s="861" t="s">
        <v>869</v>
      </c>
      <c r="Z43" s="593"/>
      <c r="AA43" s="589"/>
      <c r="AB43" s="310"/>
      <c r="AC43" s="310"/>
      <c r="AD43" s="343">
        <v>44924</v>
      </c>
      <c r="AE43" s="351"/>
      <c r="AF43" s="344">
        <v>45276</v>
      </c>
      <c r="AG43" s="343">
        <v>45475</v>
      </c>
      <c r="AH43" s="535">
        <v>45286</v>
      </c>
      <c r="AI43" s="52">
        <v>45160</v>
      </c>
      <c r="AJ43" s="3" t="s">
        <v>1116</v>
      </c>
      <c r="AK43" s="84">
        <v>45477</v>
      </c>
      <c r="AL43" s="3" t="s">
        <v>1341</v>
      </c>
      <c r="AM43" s="84">
        <v>45605</v>
      </c>
    </row>
    <row r="44" spans="1:40" ht="12.75" customHeight="1" x14ac:dyDescent="0.25">
      <c r="A44" s="996">
        <v>43</v>
      </c>
      <c r="B44" s="339">
        <v>37384</v>
      </c>
      <c r="C44" s="340" t="s">
        <v>64</v>
      </c>
      <c r="D44" s="341" t="s">
        <v>1342</v>
      </c>
      <c r="E44" s="335" t="s">
        <v>1316</v>
      </c>
      <c r="F44" s="335" t="s">
        <v>1317</v>
      </c>
      <c r="G44" s="335" t="s">
        <v>14</v>
      </c>
      <c r="H44" s="342">
        <v>44022</v>
      </c>
      <c r="I44" s="314">
        <v>712</v>
      </c>
      <c r="J44" s="310" t="s">
        <v>58</v>
      </c>
      <c r="K44" s="491" t="s">
        <v>680</v>
      </c>
      <c r="L44" s="595">
        <v>44267</v>
      </c>
      <c r="M44" s="491" t="s">
        <v>60</v>
      </c>
      <c r="N44" s="499">
        <v>44238</v>
      </c>
      <c r="O44" s="350">
        <v>45239</v>
      </c>
      <c r="P44" s="314"/>
      <c r="Q44" s="310" t="s">
        <v>1301</v>
      </c>
      <c r="R44" s="310" t="s">
        <v>1103</v>
      </c>
      <c r="S44" s="310" t="s">
        <v>1332</v>
      </c>
      <c r="T44" s="350">
        <v>44102</v>
      </c>
      <c r="U44" s="350">
        <v>44102</v>
      </c>
      <c r="V44" s="310" t="s">
        <v>63</v>
      </c>
      <c r="W44" s="350">
        <v>44366</v>
      </c>
      <c r="X44" s="310" t="s">
        <v>1309</v>
      </c>
      <c r="Y44" s="861" t="s">
        <v>869</v>
      </c>
      <c r="Z44" s="593"/>
      <c r="AA44" s="589"/>
      <c r="AB44" s="310"/>
      <c r="AC44" s="310"/>
      <c r="AD44" s="343">
        <v>44926</v>
      </c>
      <c r="AE44" s="351"/>
      <c r="AF44" s="535">
        <v>45142</v>
      </c>
      <c r="AG44" s="343" t="s">
        <v>1325</v>
      </c>
      <c r="AH44" s="535">
        <v>45311</v>
      </c>
      <c r="AI44" s="52">
        <v>45142</v>
      </c>
      <c r="AJ44" s="3" t="s">
        <v>1116</v>
      </c>
      <c r="AK44" s="3"/>
      <c r="AL44" s="3"/>
      <c r="AM44" s="3" t="s">
        <v>1343</v>
      </c>
      <c r="AN44" s="381"/>
    </row>
    <row r="45" spans="1:40" ht="13.35" customHeight="1" x14ac:dyDescent="0.25">
      <c r="A45" s="996">
        <v>44</v>
      </c>
      <c r="B45" s="339">
        <v>37384</v>
      </c>
      <c r="C45" s="340" t="s">
        <v>54</v>
      </c>
      <c r="D45" s="314" t="s">
        <v>887</v>
      </c>
      <c r="E45" s="335" t="s">
        <v>1316</v>
      </c>
      <c r="F45" s="335" t="s">
        <v>1317</v>
      </c>
      <c r="G45" s="335" t="s">
        <v>14</v>
      </c>
      <c r="H45" s="342">
        <v>44022</v>
      </c>
      <c r="I45" s="314">
        <v>599</v>
      </c>
      <c r="J45" s="310" t="s">
        <v>58</v>
      </c>
      <c r="K45" s="491" t="s">
        <v>680</v>
      </c>
      <c r="L45" s="595">
        <v>44267</v>
      </c>
      <c r="M45" s="491" t="s">
        <v>60</v>
      </c>
      <c r="N45" s="499">
        <v>44238</v>
      </c>
      <c r="O45" s="350">
        <v>45239</v>
      </c>
      <c r="P45" s="314"/>
      <c r="Q45" s="310" t="s">
        <v>1301</v>
      </c>
      <c r="R45" s="310" t="s">
        <v>1103</v>
      </c>
      <c r="S45" s="310" t="s">
        <v>1332</v>
      </c>
      <c r="T45" s="350">
        <v>44102</v>
      </c>
      <c r="U45" s="350">
        <v>44102</v>
      </c>
      <c r="V45" s="310" t="s">
        <v>63</v>
      </c>
      <c r="W45" s="350">
        <v>44366</v>
      </c>
      <c r="X45" s="310" t="s">
        <v>1309</v>
      </c>
      <c r="Y45" s="861" t="s">
        <v>869</v>
      </c>
      <c r="Z45" s="593"/>
      <c r="AA45" s="589"/>
      <c r="AB45" s="310"/>
      <c r="AC45" s="310"/>
      <c r="AD45" s="343">
        <v>44926</v>
      </c>
      <c r="AE45" s="351"/>
      <c r="AF45" s="535">
        <v>45142</v>
      </c>
      <c r="AG45" s="343" t="s">
        <v>1325</v>
      </c>
      <c r="AH45" s="535">
        <v>45311</v>
      </c>
      <c r="AI45" s="52">
        <v>45142</v>
      </c>
      <c r="AJ45" s="3" t="s">
        <v>1116</v>
      </c>
      <c r="AK45" s="3"/>
      <c r="AL45" s="3"/>
      <c r="AM45" s="3" t="s">
        <v>1343</v>
      </c>
    </row>
    <row r="46" spans="1:40" ht="13.35" customHeight="1" x14ac:dyDescent="0.25">
      <c r="A46" s="996">
        <v>45</v>
      </c>
      <c r="B46" s="339">
        <v>37475</v>
      </c>
      <c r="C46" s="340" t="s">
        <v>64</v>
      </c>
      <c r="D46" s="341" t="s">
        <v>1344</v>
      </c>
      <c r="E46" s="335" t="s">
        <v>1316</v>
      </c>
      <c r="F46" s="335" t="s">
        <v>1317</v>
      </c>
      <c r="G46" s="335" t="s">
        <v>14</v>
      </c>
      <c r="H46" s="342">
        <v>44157</v>
      </c>
      <c r="I46" s="314">
        <v>892</v>
      </c>
      <c r="J46" s="310" t="s">
        <v>58</v>
      </c>
      <c r="K46" s="491" t="s">
        <v>680</v>
      </c>
      <c r="L46" s="592" t="s">
        <v>1103</v>
      </c>
      <c r="M46" s="491" t="s">
        <v>60</v>
      </c>
      <c r="N46" s="499">
        <v>44281</v>
      </c>
      <c r="O46" s="350">
        <v>45257</v>
      </c>
      <c r="P46" s="314"/>
      <c r="Q46" s="310" t="s">
        <v>1301</v>
      </c>
      <c r="R46" s="310" t="s">
        <v>1103</v>
      </c>
      <c r="S46" s="310" t="s">
        <v>206</v>
      </c>
      <c r="T46" s="350">
        <v>44180</v>
      </c>
      <c r="U46" s="350">
        <v>44180</v>
      </c>
      <c r="V46" s="310" t="s">
        <v>63</v>
      </c>
      <c r="W46" s="350">
        <v>44377</v>
      </c>
      <c r="X46" s="609" t="s">
        <v>1244</v>
      </c>
      <c r="Y46" s="861" t="s">
        <v>869</v>
      </c>
      <c r="Z46" s="593"/>
      <c r="AA46" s="589"/>
      <c r="AB46" s="310"/>
      <c r="AC46" s="310"/>
      <c r="AD46" s="343">
        <v>44773</v>
      </c>
      <c r="AE46" s="351"/>
      <c r="AF46" s="314"/>
      <c r="AG46" s="343">
        <v>45465</v>
      </c>
      <c r="AH46" s="609">
        <v>45257</v>
      </c>
      <c r="AI46" s="84">
        <v>45180</v>
      </c>
      <c r="AJ46" s="3" t="s">
        <v>1116</v>
      </c>
      <c r="AK46" s="84">
        <v>45478</v>
      </c>
      <c r="AL46" s="3" t="s">
        <v>1345</v>
      </c>
      <c r="AM46" s="84">
        <v>45465</v>
      </c>
    </row>
    <row r="47" spans="1:40" ht="13.35" customHeight="1" x14ac:dyDescent="0.25">
      <c r="A47" s="996">
        <v>46</v>
      </c>
      <c r="B47" s="339">
        <v>37475</v>
      </c>
      <c r="C47" s="340" t="s">
        <v>54</v>
      </c>
      <c r="D47" s="341" t="s">
        <v>1346</v>
      </c>
      <c r="E47" s="335" t="s">
        <v>1316</v>
      </c>
      <c r="F47" s="335" t="s">
        <v>1317</v>
      </c>
      <c r="G47" s="335" t="s">
        <v>14</v>
      </c>
      <c r="H47" s="342">
        <v>44157</v>
      </c>
      <c r="I47" s="314">
        <v>893</v>
      </c>
      <c r="J47" s="310" t="s">
        <v>58</v>
      </c>
      <c r="K47" s="491" t="s">
        <v>680</v>
      </c>
      <c r="L47" s="592" t="s">
        <v>1103</v>
      </c>
      <c r="M47" s="491" t="s">
        <v>60</v>
      </c>
      <c r="N47" s="499">
        <v>44281</v>
      </c>
      <c r="O47" s="350">
        <v>45257</v>
      </c>
      <c r="P47" s="314"/>
      <c r="Q47" s="310" t="s">
        <v>1301</v>
      </c>
      <c r="R47" s="310" t="s">
        <v>1103</v>
      </c>
      <c r="S47" s="310" t="s">
        <v>206</v>
      </c>
      <c r="T47" s="350">
        <v>44180</v>
      </c>
      <c r="U47" s="350">
        <v>44180</v>
      </c>
      <c r="V47" s="310" t="s">
        <v>63</v>
      </c>
      <c r="W47" s="350">
        <v>44377</v>
      </c>
      <c r="X47" s="609" t="s">
        <v>1244</v>
      </c>
      <c r="Y47" s="861" t="s">
        <v>869</v>
      </c>
      <c r="Z47" s="593"/>
      <c r="AA47" s="589"/>
      <c r="AB47" s="310"/>
      <c r="AC47" s="310"/>
      <c r="AD47" s="343">
        <v>44773</v>
      </c>
      <c r="AE47" s="351"/>
      <c r="AF47" s="314"/>
      <c r="AG47" s="343">
        <v>45465</v>
      </c>
      <c r="AH47" s="609">
        <v>45257</v>
      </c>
      <c r="AI47" s="84">
        <v>45180</v>
      </c>
      <c r="AJ47" s="3" t="s">
        <v>1116</v>
      </c>
      <c r="AK47" s="84">
        <v>45478</v>
      </c>
      <c r="AL47" s="3" t="s">
        <v>1345</v>
      </c>
      <c r="AM47" s="84">
        <v>45465</v>
      </c>
    </row>
    <row r="48" spans="1:40" ht="13.35" customHeight="1" x14ac:dyDescent="0.25">
      <c r="A48" s="996">
        <v>47</v>
      </c>
      <c r="B48" s="339">
        <v>37524</v>
      </c>
      <c r="C48" s="340" t="s">
        <v>64</v>
      </c>
      <c r="D48" s="341" t="s">
        <v>1347</v>
      </c>
      <c r="E48" s="335" t="s">
        <v>1316</v>
      </c>
      <c r="F48" s="314" t="s">
        <v>1317</v>
      </c>
      <c r="G48" s="335" t="s">
        <v>14</v>
      </c>
      <c r="H48" s="342">
        <v>44223</v>
      </c>
      <c r="I48" s="314">
        <v>902</v>
      </c>
      <c r="J48" s="310" t="s">
        <v>58</v>
      </c>
      <c r="K48" s="491" t="s">
        <v>680</v>
      </c>
      <c r="L48" s="595">
        <v>44368</v>
      </c>
      <c r="M48" s="491" t="s">
        <v>60</v>
      </c>
      <c r="N48" s="499">
        <v>44247</v>
      </c>
      <c r="O48" s="350">
        <v>45257</v>
      </c>
      <c r="P48" s="314"/>
      <c r="Q48" s="310" t="s">
        <v>1301</v>
      </c>
      <c r="R48" s="310" t="s">
        <v>1103</v>
      </c>
      <c r="S48" s="310" t="s">
        <v>206</v>
      </c>
      <c r="T48" s="350">
        <v>44220</v>
      </c>
      <c r="U48" s="350">
        <v>44220</v>
      </c>
      <c r="V48" s="310" t="s">
        <v>63</v>
      </c>
      <c r="W48" s="350">
        <v>44368</v>
      </c>
      <c r="X48" s="609" t="s">
        <v>1244</v>
      </c>
      <c r="Y48" s="861" t="s">
        <v>869</v>
      </c>
      <c r="Z48" s="593"/>
      <c r="AA48" s="589"/>
      <c r="AB48" s="310"/>
      <c r="AC48" s="310"/>
      <c r="AD48" s="343">
        <v>44929</v>
      </c>
      <c r="AE48" s="351"/>
      <c r="AF48" s="520">
        <v>45278</v>
      </c>
      <c r="AG48" s="343">
        <v>45484</v>
      </c>
      <c r="AH48" s="535">
        <v>45262</v>
      </c>
      <c r="AI48" s="52">
        <v>45257</v>
      </c>
      <c r="AJ48" s="3" t="s">
        <v>1116</v>
      </c>
      <c r="AK48" s="52">
        <v>45659</v>
      </c>
      <c r="AL48" s="3"/>
      <c r="AM48" s="84">
        <v>45458</v>
      </c>
      <c r="AN48" s="381"/>
    </row>
    <row r="49" spans="1:40" ht="13.35" customHeight="1" x14ac:dyDescent="0.25">
      <c r="A49" s="996">
        <v>48</v>
      </c>
      <c r="B49" s="339">
        <v>37524</v>
      </c>
      <c r="C49" s="340" t="s">
        <v>54</v>
      </c>
      <c r="D49" s="341" t="s">
        <v>1348</v>
      </c>
      <c r="E49" s="335" t="s">
        <v>1316</v>
      </c>
      <c r="F49" s="314" t="s">
        <v>1317</v>
      </c>
      <c r="G49" s="335" t="s">
        <v>14</v>
      </c>
      <c r="H49" s="342">
        <v>44223</v>
      </c>
      <c r="I49" s="314">
        <v>967</v>
      </c>
      <c r="J49" s="310" t="s">
        <v>58</v>
      </c>
      <c r="K49" s="491" t="s">
        <v>680</v>
      </c>
      <c r="L49" s="595">
        <v>44368</v>
      </c>
      <c r="M49" s="491" t="s">
        <v>60</v>
      </c>
      <c r="N49" s="499">
        <v>44247</v>
      </c>
      <c r="O49" s="350">
        <v>45257</v>
      </c>
      <c r="P49" s="314"/>
      <c r="Q49" s="310" t="s">
        <v>1301</v>
      </c>
      <c r="R49" s="310" t="s">
        <v>1103</v>
      </c>
      <c r="S49" s="310" t="s">
        <v>206</v>
      </c>
      <c r="T49" s="350">
        <v>44220</v>
      </c>
      <c r="U49" s="350">
        <v>44220</v>
      </c>
      <c r="V49" s="310" t="s">
        <v>63</v>
      </c>
      <c r="W49" s="350">
        <v>44368</v>
      </c>
      <c r="X49" s="609" t="s">
        <v>1244</v>
      </c>
      <c r="Y49" s="861" t="s">
        <v>869</v>
      </c>
      <c r="Z49" s="593"/>
      <c r="AA49" s="589"/>
      <c r="AB49" s="310"/>
      <c r="AC49" s="310"/>
      <c r="AD49" s="343">
        <v>44929</v>
      </c>
      <c r="AE49" s="351"/>
      <c r="AF49" s="520">
        <v>45278</v>
      </c>
      <c r="AG49" s="343">
        <v>45484</v>
      </c>
      <c r="AH49" s="535">
        <v>45262</v>
      </c>
      <c r="AI49" s="52">
        <v>45257</v>
      </c>
      <c r="AJ49" s="3" t="s">
        <v>1116</v>
      </c>
      <c r="AK49" s="52">
        <v>45659</v>
      </c>
      <c r="AL49" s="3"/>
      <c r="AM49" s="84">
        <v>45458</v>
      </c>
      <c r="AN49" s="381"/>
    </row>
    <row r="50" spans="1:40" ht="13.35" customHeight="1" x14ac:dyDescent="0.25">
      <c r="A50" s="996">
        <v>49</v>
      </c>
      <c r="B50" s="339">
        <v>37533</v>
      </c>
      <c r="C50" s="340" t="s">
        <v>64</v>
      </c>
      <c r="D50" s="341" t="s">
        <v>1349</v>
      </c>
      <c r="E50" s="335" t="s">
        <v>1316</v>
      </c>
      <c r="F50" s="314" t="s">
        <v>1317</v>
      </c>
      <c r="G50" s="335" t="s">
        <v>14</v>
      </c>
      <c r="H50" s="342">
        <v>44233</v>
      </c>
      <c r="I50" s="314">
        <v>863</v>
      </c>
      <c r="J50" s="310" t="s">
        <v>58</v>
      </c>
      <c r="K50" s="491" t="s">
        <v>680</v>
      </c>
      <c r="L50" s="595">
        <v>44336</v>
      </c>
      <c r="M50" s="491" t="s">
        <v>60</v>
      </c>
      <c r="N50" s="499">
        <v>44336</v>
      </c>
      <c r="O50" s="350">
        <v>45273</v>
      </c>
      <c r="P50" s="314"/>
      <c r="Q50" s="310" t="s">
        <v>1301</v>
      </c>
      <c r="R50" s="310" t="s">
        <v>1103</v>
      </c>
      <c r="S50" s="310" t="s">
        <v>206</v>
      </c>
      <c r="T50" s="350">
        <v>44228</v>
      </c>
      <c r="U50" s="350">
        <v>44228</v>
      </c>
      <c r="V50" s="310" t="s">
        <v>63</v>
      </c>
      <c r="W50" s="350">
        <v>44336</v>
      </c>
      <c r="X50" s="609" t="s">
        <v>1244</v>
      </c>
      <c r="Y50" s="861" t="s">
        <v>869</v>
      </c>
      <c r="Z50" s="593"/>
      <c r="AA50" s="589"/>
      <c r="AB50" s="310"/>
      <c r="AC50" s="310"/>
      <c r="AD50" s="343">
        <v>44951</v>
      </c>
      <c r="AE50" s="351"/>
      <c r="AF50" s="344">
        <v>45273</v>
      </c>
      <c r="AG50" s="343">
        <v>45468</v>
      </c>
      <c r="AH50" s="609">
        <v>45273</v>
      </c>
      <c r="AI50" s="52">
        <v>45163</v>
      </c>
      <c r="AJ50" s="3" t="s">
        <v>1116</v>
      </c>
      <c r="AK50" s="84">
        <v>45334</v>
      </c>
      <c r="AL50" s="3"/>
      <c r="AM50" s="84">
        <v>45332</v>
      </c>
    </row>
    <row r="51" spans="1:40" ht="13.35" customHeight="1" x14ac:dyDescent="0.25">
      <c r="A51" s="996">
        <v>50</v>
      </c>
      <c r="B51" s="339">
        <v>37533</v>
      </c>
      <c r="C51" s="340" t="s">
        <v>54</v>
      </c>
      <c r="D51" s="341" t="s">
        <v>1350</v>
      </c>
      <c r="E51" s="335" t="s">
        <v>1316</v>
      </c>
      <c r="F51" s="314" t="s">
        <v>1317</v>
      </c>
      <c r="G51" s="335" t="s">
        <v>14</v>
      </c>
      <c r="H51" s="342">
        <v>44233</v>
      </c>
      <c r="I51" s="314">
        <v>930</v>
      </c>
      <c r="J51" s="310" t="s">
        <v>58</v>
      </c>
      <c r="K51" s="491" t="s">
        <v>680</v>
      </c>
      <c r="L51" s="595">
        <v>44336</v>
      </c>
      <c r="M51" s="491" t="s">
        <v>60</v>
      </c>
      <c r="N51" s="499">
        <v>44336</v>
      </c>
      <c r="O51" s="350">
        <v>45273</v>
      </c>
      <c r="P51" s="314"/>
      <c r="Q51" s="310" t="s">
        <v>1301</v>
      </c>
      <c r="R51" s="310" t="s">
        <v>1103</v>
      </c>
      <c r="S51" s="310" t="s">
        <v>206</v>
      </c>
      <c r="T51" s="350">
        <v>44228</v>
      </c>
      <c r="U51" s="350">
        <v>44228</v>
      </c>
      <c r="V51" s="310" t="s">
        <v>63</v>
      </c>
      <c r="W51" s="350">
        <v>44336</v>
      </c>
      <c r="X51" s="609" t="s">
        <v>1244</v>
      </c>
      <c r="Y51" s="861" t="s">
        <v>869</v>
      </c>
      <c r="Z51" s="593"/>
      <c r="AA51" s="589"/>
      <c r="AB51" s="310"/>
      <c r="AC51" s="310"/>
      <c r="AD51" s="343">
        <v>44951</v>
      </c>
      <c r="AE51" s="351"/>
      <c r="AF51" s="344">
        <v>45273</v>
      </c>
      <c r="AG51" s="343">
        <v>45468</v>
      </c>
      <c r="AH51" s="609">
        <v>45273</v>
      </c>
      <c r="AI51" s="52">
        <v>45163</v>
      </c>
      <c r="AJ51" s="3" t="s">
        <v>1116</v>
      </c>
      <c r="AK51" s="84">
        <v>45334</v>
      </c>
      <c r="AL51" s="3"/>
      <c r="AM51" s="84">
        <v>45332</v>
      </c>
    </row>
    <row r="52" spans="1:40" ht="13.35" customHeight="1" x14ac:dyDescent="0.25">
      <c r="A52" s="996">
        <v>51</v>
      </c>
      <c r="B52" s="339">
        <v>37535</v>
      </c>
      <c r="C52" s="340" t="s">
        <v>64</v>
      </c>
      <c r="D52" s="341" t="s">
        <v>1351</v>
      </c>
      <c r="E52" s="335" t="s">
        <v>1316</v>
      </c>
      <c r="F52" s="314" t="s">
        <v>1317</v>
      </c>
      <c r="G52" s="335" t="s">
        <v>14</v>
      </c>
      <c r="H52" s="342">
        <v>44238</v>
      </c>
      <c r="I52" s="314">
        <v>912</v>
      </c>
      <c r="J52" s="310" t="s">
        <v>58</v>
      </c>
      <c r="K52" s="491" t="s">
        <v>680</v>
      </c>
      <c r="L52" s="595">
        <v>44346</v>
      </c>
      <c r="M52" s="491" t="s">
        <v>60</v>
      </c>
      <c r="N52" s="499">
        <v>44346</v>
      </c>
      <c r="O52" s="350">
        <v>45194</v>
      </c>
      <c r="P52" s="314"/>
      <c r="Q52" s="310" t="s">
        <v>1301</v>
      </c>
      <c r="R52" s="310" t="s">
        <v>1103</v>
      </c>
      <c r="S52" s="310" t="s">
        <v>1332</v>
      </c>
      <c r="T52" s="350">
        <v>44231</v>
      </c>
      <c r="U52" s="350">
        <v>44231</v>
      </c>
      <c r="V52" s="310" t="s">
        <v>63</v>
      </c>
      <c r="W52" s="350">
        <v>44347</v>
      </c>
      <c r="X52" s="609" t="s">
        <v>1244</v>
      </c>
      <c r="Y52" s="861" t="s">
        <v>869</v>
      </c>
      <c r="Z52" s="593"/>
      <c r="AA52" s="589"/>
      <c r="AB52" s="310"/>
      <c r="AC52" s="310"/>
      <c r="AD52" s="343">
        <v>45194</v>
      </c>
      <c r="AE52" s="351"/>
      <c r="AF52" s="314"/>
      <c r="AG52" s="536">
        <v>45633</v>
      </c>
      <c r="AH52" s="535">
        <v>45456</v>
      </c>
      <c r="AI52" s="52">
        <v>45299</v>
      </c>
      <c r="AJ52" s="3" t="s">
        <v>1116</v>
      </c>
      <c r="AK52" s="84">
        <v>45840</v>
      </c>
      <c r="AL52" s="3"/>
      <c r="AM52" s="3" t="s">
        <v>1352</v>
      </c>
    </row>
    <row r="53" spans="1:40" ht="13.35" customHeight="1" x14ac:dyDescent="0.25">
      <c r="A53" s="996">
        <v>52</v>
      </c>
      <c r="B53" s="339">
        <v>37535</v>
      </c>
      <c r="C53" s="340" t="s">
        <v>54</v>
      </c>
      <c r="D53" s="341" t="s">
        <v>1353</v>
      </c>
      <c r="E53" s="335" t="s">
        <v>1316</v>
      </c>
      <c r="F53" s="314" t="s">
        <v>1317</v>
      </c>
      <c r="G53" s="335" t="s">
        <v>14</v>
      </c>
      <c r="H53" s="342">
        <v>44238</v>
      </c>
      <c r="I53" s="314">
        <v>913</v>
      </c>
      <c r="J53" s="310" t="s">
        <v>58</v>
      </c>
      <c r="K53" s="491" t="s">
        <v>680</v>
      </c>
      <c r="L53" s="592" t="s">
        <v>1103</v>
      </c>
      <c r="M53" s="491" t="s">
        <v>60</v>
      </c>
      <c r="N53" s="499">
        <v>44346</v>
      </c>
      <c r="O53" s="350">
        <v>45194</v>
      </c>
      <c r="P53" s="314"/>
      <c r="Q53" s="310" t="s">
        <v>1301</v>
      </c>
      <c r="R53" s="310" t="s">
        <v>1103</v>
      </c>
      <c r="S53" s="310" t="s">
        <v>1332</v>
      </c>
      <c r="T53" s="350">
        <v>44231</v>
      </c>
      <c r="U53" s="350">
        <v>44231</v>
      </c>
      <c r="V53" s="310" t="s">
        <v>63</v>
      </c>
      <c r="W53" s="350">
        <v>44347</v>
      </c>
      <c r="X53" s="609" t="s">
        <v>1244</v>
      </c>
      <c r="Y53" s="861" t="s">
        <v>869</v>
      </c>
      <c r="Z53" s="593"/>
      <c r="AA53" s="589"/>
      <c r="AB53" s="310"/>
      <c r="AC53" s="310"/>
      <c r="AD53" s="343">
        <v>45194</v>
      </c>
      <c r="AE53" s="351"/>
      <c r="AF53" s="314"/>
      <c r="AG53" s="536">
        <v>45633</v>
      </c>
      <c r="AH53" s="535">
        <v>45456</v>
      </c>
      <c r="AI53" s="52">
        <v>45299</v>
      </c>
      <c r="AJ53" s="3" t="s">
        <v>1116</v>
      </c>
      <c r="AK53" s="84">
        <v>45840</v>
      </c>
      <c r="AL53" s="3"/>
      <c r="AM53" s="3" t="s">
        <v>1352</v>
      </c>
    </row>
    <row r="54" spans="1:40" ht="13.35" customHeight="1" x14ac:dyDescent="0.25">
      <c r="A54" s="996">
        <v>53</v>
      </c>
      <c r="B54" s="339">
        <v>37545</v>
      </c>
      <c r="C54" s="340" t="s">
        <v>64</v>
      </c>
      <c r="D54" s="341" t="s">
        <v>1354</v>
      </c>
      <c r="E54" s="335" t="s">
        <v>1316</v>
      </c>
      <c r="F54" s="314" t="s">
        <v>1317</v>
      </c>
      <c r="G54" s="335" t="s">
        <v>14</v>
      </c>
      <c r="H54" s="342">
        <v>44268</v>
      </c>
      <c r="I54" s="314">
        <v>927</v>
      </c>
      <c r="J54" s="310" t="s">
        <v>58</v>
      </c>
      <c r="K54" s="491" t="s">
        <v>680</v>
      </c>
      <c r="L54" s="592" t="s">
        <v>1103</v>
      </c>
      <c r="M54" s="491" t="s">
        <v>60</v>
      </c>
      <c r="N54" s="499">
        <v>44262</v>
      </c>
      <c r="O54" s="350">
        <v>45763</v>
      </c>
      <c r="P54" s="314"/>
      <c r="Q54" s="310" t="s">
        <v>1301</v>
      </c>
      <c r="R54" s="310" t="s">
        <v>1103</v>
      </c>
      <c r="S54" s="310" t="s">
        <v>1103</v>
      </c>
      <c r="T54" s="310" t="s">
        <v>1103</v>
      </c>
      <c r="U54" s="350">
        <v>44262</v>
      </c>
      <c r="V54" s="310" t="s">
        <v>63</v>
      </c>
      <c r="W54" s="350">
        <v>44365</v>
      </c>
      <c r="X54" s="609" t="s">
        <v>1244</v>
      </c>
      <c r="Y54" s="861" t="s">
        <v>869</v>
      </c>
      <c r="Z54" s="593"/>
      <c r="AA54" s="589"/>
      <c r="AB54" s="310"/>
      <c r="AC54" s="310"/>
      <c r="AD54" s="351">
        <v>45352</v>
      </c>
      <c r="AE54" s="351"/>
      <c r="AF54" s="314"/>
      <c r="AG54" s="536">
        <v>45465</v>
      </c>
      <c r="AH54" s="535">
        <v>45352</v>
      </c>
      <c r="AI54" s="52">
        <v>45148</v>
      </c>
      <c r="AJ54" s="3" t="s">
        <v>1116</v>
      </c>
      <c r="AK54" s="52">
        <v>45666</v>
      </c>
      <c r="AL54" s="3"/>
      <c r="AM54" s="84">
        <v>45465</v>
      </c>
    </row>
    <row r="55" spans="1:40" ht="13.35" customHeight="1" x14ac:dyDescent="0.25">
      <c r="A55" s="996">
        <v>54</v>
      </c>
      <c r="B55" s="855">
        <v>37545</v>
      </c>
      <c r="C55" s="856" t="s">
        <v>54</v>
      </c>
      <c r="D55" s="857" t="s">
        <v>1355</v>
      </c>
      <c r="E55" s="858" t="s">
        <v>1316</v>
      </c>
      <c r="F55" s="859" t="s">
        <v>1317</v>
      </c>
      <c r="G55" s="858" t="s">
        <v>14</v>
      </c>
      <c r="H55" s="860">
        <v>44268</v>
      </c>
      <c r="I55" s="859">
        <v>945</v>
      </c>
      <c r="J55" s="861" t="s">
        <v>58</v>
      </c>
      <c r="K55" s="862" t="s">
        <v>680</v>
      </c>
      <c r="L55" s="863" t="s">
        <v>1103</v>
      </c>
      <c r="M55" s="862" t="s">
        <v>60</v>
      </c>
      <c r="N55" s="1024">
        <v>44262</v>
      </c>
      <c r="O55" s="885">
        <v>45763</v>
      </c>
      <c r="P55" s="859"/>
      <c r="Q55" s="861" t="s">
        <v>1301</v>
      </c>
      <c r="R55" s="861" t="s">
        <v>1103</v>
      </c>
      <c r="S55" s="861" t="s">
        <v>1103</v>
      </c>
      <c r="T55" s="861" t="s">
        <v>1103</v>
      </c>
      <c r="U55" s="885">
        <v>44262</v>
      </c>
      <c r="V55" s="861" t="s">
        <v>63</v>
      </c>
      <c r="W55" s="885">
        <v>44365</v>
      </c>
      <c r="X55" s="609" t="s">
        <v>1244</v>
      </c>
      <c r="Y55" s="861" t="s">
        <v>869</v>
      </c>
      <c r="Z55" s="867"/>
      <c r="AA55" s="868"/>
      <c r="AB55" s="861"/>
      <c r="AC55" s="861"/>
      <c r="AD55" s="880">
        <v>45352</v>
      </c>
      <c r="AE55" s="880"/>
      <c r="AF55" s="859"/>
      <c r="AG55" s="875">
        <v>45465</v>
      </c>
      <c r="AH55" s="877">
        <v>45352</v>
      </c>
      <c r="AI55" s="405">
        <v>45148</v>
      </c>
      <c r="AJ55" s="115" t="s">
        <v>1116</v>
      </c>
      <c r="AK55" s="405">
        <v>45666</v>
      </c>
      <c r="AL55" s="115"/>
      <c r="AM55" s="876">
        <v>45465</v>
      </c>
    </row>
    <row r="56" spans="1:40" ht="13.35" customHeight="1" x14ac:dyDescent="0.25">
      <c r="A56" s="996">
        <v>55</v>
      </c>
      <c r="B56" s="339">
        <v>37552</v>
      </c>
      <c r="C56" s="340" t="s">
        <v>64</v>
      </c>
      <c r="D56" s="341" t="s">
        <v>1356</v>
      </c>
      <c r="E56" s="335" t="s">
        <v>1316</v>
      </c>
      <c r="F56" s="314" t="s">
        <v>1317</v>
      </c>
      <c r="G56" s="335" t="s">
        <v>14</v>
      </c>
      <c r="H56" s="342">
        <v>44254</v>
      </c>
      <c r="I56" s="314">
        <v>890</v>
      </c>
      <c r="J56" s="310" t="s">
        <v>58</v>
      </c>
      <c r="K56" s="491" t="s">
        <v>680</v>
      </c>
      <c r="L56" s="491" t="s">
        <v>1103</v>
      </c>
      <c r="M56" s="491" t="s">
        <v>60</v>
      </c>
      <c r="N56" s="499">
        <v>44238</v>
      </c>
      <c r="O56" s="350">
        <v>45266</v>
      </c>
      <c r="P56" s="314"/>
      <c r="Q56" s="310" t="s">
        <v>1301</v>
      </c>
      <c r="R56" s="350">
        <v>44104</v>
      </c>
      <c r="S56" s="310" t="s">
        <v>1103</v>
      </c>
      <c r="T56" s="310" t="s">
        <v>1103</v>
      </c>
      <c r="U56" s="350">
        <v>44238</v>
      </c>
      <c r="V56" s="310" t="s">
        <v>63</v>
      </c>
      <c r="W56" s="350">
        <v>44351</v>
      </c>
      <c r="X56" s="609" t="s">
        <v>1244</v>
      </c>
      <c r="Y56" s="861" t="s">
        <v>869</v>
      </c>
      <c r="Z56" s="491"/>
      <c r="AA56" s="552"/>
      <c r="AB56" s="310"/>
      <c r="AC56" s="310"/>
      <c r="AD56" s="343">
        <v>45027</v>
      </c>
      <c r="AE56" s="351"/>
      <c r="AF56" s="343">
        <v>45100</v>
      </c>
      <c r="AG56" s="3" t="s">
        <v>1357</v>
      </c>
      <c r="AH56" s="609">
        <v>45266</v>
      </c>
      <c r="AI56" s="52">
        <v>45100</v>
      </c>
      <c r="AJ56" s="3" t="s">
        <v>1116</v>
      </c>
      <c r="AK56" s="84">
        <v>45412</v>
      </c>
      <c r="AL56" s="3"/>
      <c r="AM56" s="84">
        <v>45455</v>
      </c>
    </row>
    <row r="57" spans="1:40" ht="13.35" customHeight="1" x14ac:dyDescent="0.25">
      <c r="A57" s="996">
        <v>56</v>
      </c>
      <c r="B57" s="339">
        <v>37552</v>
      </c>
      <c r="C57" s="340" t="s">
        <v>54</v>
      </c>
      <c r="D57" s="341" t="s">
        <v>1358</v>
      </c>
      <c r="E57" s="335" t="s">
        <v>1316</v>
      </c>
      <c r="F57" s="314" t="s">
        <v>1317</v>
      </c>
      <c r="G57" s="335" t="s">
        <v>14</v>
      </c>
      <c r="H57" s="342">
        <v>44254</v>
      </c>
      <c r="I57" s="314">
        <v>891</v>
      </c>
      <c r="J57" s="310" t="s">
        <v>58</v>
      </c>
      <c r="K57" s="491" t="s">
        <v>680</v>
      </c>
      <c r="L57" s="499">
        <v>44350</v>
      </c>
      <c r="M57" s="491" t="s">
        <v>60</v>
      </c>
      <c r="N57" s="499">
        <v>44238</v>
      </c>
      <c r="O57" s="350">
        <v>45266</v>
      </c>
      <c r="P57" s="314"/>
      <c r="Q57" s="310" t="s">
        <v>1301</v>
      </c>
      <c r="R57" s="350">
        <v>44104</v>
      </c>
      <c r="S57" s="310" t="s">
        <v>1103</v>
      </c>
      <c r="T57" s="310" t="s">
        <v>1103</v>
      </c>
      <c r="U57" s="350">
        <v>44238</v>
      </c>
      <c r="V57" s="310" t="s">
        <v>63</v>
      </c>
      <c r="W57" s="350">
        <v>44351</v>
      </c>
      <c r="X57" s="609" t="s">
        <v>1244</v>
      </c>
      <c r="Y57" s="861" t="s">
        <v>869</v>
      </c>
      <c r="Z57" s="491"/>
      <c r="AA57" s="552"/>
      <c r="AB57" s="310"/>
      <c r="AC57" s="310"/>
      <c r="AD57" s="343">
        <v>45027</v>
      </c>
      <c r="AE57" s="351"/>
      <c r="AF57" s="343">
        <v>45100</v>
      </c>
      <c r="AG57" s="3" t="s">
        <v>1357</v>
      </c>
      <c r="AH57" s="609">
        <v>45266</v>
      </c>
      <c r="AI57" s="84">
        <v>45227</v>
      </c>
      <c r="AJ57" s="3" t="s">
        <v>1116</v>
      </c>
      <c r="AK57" s="84">
        <v>45412</v>
      </c>
      <c r="AL57" s="3"/>
      <c r="AM57" s="84">
        <v>45455</v>
      </c>
    </row>
    <row r="58" spans="1:40" ht="13.35" customHeight="1" x14ac:dyDescent="0.25">
      <c r="A58" s="996">
        <v>57</v>
      </c>
      <c r="B58" s="576">
        <v>39114</v>
      </c>
      <c r="C58" s="577" t="s">
        <v>64</v>
      </c>
      <c r="D58" s="587" t="s">
        <v>1359</v>
      </c>
      <c r="E58" s="584" t="s">
        <v>1316</v>
      </c>
      <c r="F58" s="578" t="s">
        <v>1317</v>
      </c>
      <c r="G58" s="578" t="s">
        <v>14</v>
      </c>
      <c r="H58" s="579">
        <v>43813</v>
      </c>
      <c r="I58" s="580">
        <v>535</v>
      </c>
      <c r="J58" s="581" t="s">
        <v>58</v>
      </c>
      <c r="K58" s="582" t="s">
        <v>680</v>
      </c>
      <c r="L58" s="1061">
        <v>44350</v>
      </c>
      <c r="M58" s="582" t="s">
        <v>60</v>
      </c>
      <c r="N58" s="1062">
        <v>44247</v>
      </c>
      <c r="O58" s="894">
        <v>45142</v>
      </c>
      <c r="P58" s="580"/>
      <c r="Q58" s="581" t="s">
        <v>1301</v>
      </c>
      <c r="R58" s="581" t="s">
        <v>1103</v>
      </c>
      <c r="S58" s="581" t="s">
        <v>1332</v>
      </c>
      <c r="T58" s="581" t="s">
        <v>1103</v>
      </c>
      <c r="U58" s="581" t="s">
        <v>1103</v>
      </c>
      <c r="V58" s="581" t="s">
        <v>63</v>
      </c>
      <c r="W58" s="894">
        <v>44352</v>
      </c>
      <c r="X58" s="581" t="s">
        <v>1309</v>
      </c>
      <c r="Y58" s="861" t="s">
        <v>869</v>
      </c>
      <c r="Z58" s="888"/>
      <c r="AA58" s="889"/>
      <c r="AB58" s="581"/>
      <c r="AC58" s="581"/>
      <c r="AD58" s="584" t="s">
        <v>1360</v>
      </c>
      <c r="AE58" s="580"/>
      <c r="AF58" s="994">
        <v>45142</v>
      </c>
      <c r="AG58" s="537">
        <v>45465</v>
      </c>
      <c r="AH58" s="994">
        <v>45262</v>
      </c>
      <c r="AI58" s="269">
        <v>45090</v>
      </c>
      <c r="AJ58" s="239" t="s">
        <v>1116</v>
      </c>
      <c r="AK58" s="644">
        <v>45472</v>
      </c>
      <c r="AL58" s="239"/>
      <c r="AM58" s="239" t="s">
        <v>1094</v>
      </c>
      <c r="AN58" s="381"/>
    </row>
    <row r="59" spans="1:40" ht="13.35" customHeight="1" x14ac:dyDescent="0.25">
      <c r="A59" s="996">
        <v>58</v>
      </c>
      <c r="B59" s="855">
        <v>39114</v>
      </c>
      <c r="C59" s="856" t="s">
        <v>54</v>
      </c>
      <c r="D59" s="857" t="s">
        <v>1361</v>
      </c>
      <c r="E59" s="865" t="s">
        <v>1316</v>
      </c>
      <c r="F59" s="858" t="s">
        <v>1317</v>
      </c>
      <c r="G59" s="858" t="s">
        <v>14</v>
      </c>
      <c r="H59" s="860">
        <v>43813</v>
      </c>
      <c r="I59" s="859">
        <v>534</v>
      </c>
      <c r="J59" s="861" t="s">
        <v>58</v>
      </c>
      <c r="K59" s="862" t="s">
        <v>680</v>
      </c>
      <c r="L59" s="1025">
        <v>44350</v>
      </c>
      <c r="M59" s="862" t="s">
        <v>60</v>
      </c>
      <c r="N59" s="1024">
        <v>44350</v>
      </c>
      <c r="O59" s="885">
        <v>45142</v>
      </c>
      <c r="P59" s="859"/>
      <c r="Q59" s="861" t="s">
        <v>1301</v>
      </c>
      <c r="R59" s="861" t="s">
        <v>1103</v>
      </c>
      <c r="S59" s="581" t="s">
        <v>1332</v>
      </c>
      <c r="T59" s="861" t="s">
        <v>1103</v>
      </c>
      <c r="U59" s="861" t="s">
        <v>1103</v>
      </c>
      <c r="V59" s="861" t="s">
        <v>63</v>
      </c>
      <c r="W59" s="885">
        <v>44352</v>
      </c>
      <c r="X59" s="861" t="s">
        <v>1309</v>
      </c>
      <c r="Y59" s="861" t="s">
        <v>869</v>
      </c>
      <c r="Z59" s="867"/>
      <c r="AA59" s="868"/>
      <c r="AB59" s="861"/>
      <c r="AC59" s="861"/>
      <c r="AD59" s="865" t="s">
        <v>1360</v>
      </c>
      <c r="AE59" s="859"/>
      <c r="AF59" s="877">
        <v>45142</v>
      </c>
      <c r="AG59" s="875">
        <v>45465</v>
      </c>
      <c r="AH59" s="877">
        <v>45266</v>
      </c>
      <c r="AI59" s="405">
        <v>45090</v>
      </c>
      <c r="AJ59" s="115" t="s">
        <v>1116</v>
      </c>
      <c r="AK59" s="876">
        <v>45472</v>
      </c>
      <c r="AL59" s="115"/>
      <c r="AM59" s="115" t="s">
        <v>1094</v>
      </c>
      <c r="AN59" s="381"/>
    </row>
    <row r="60" spans="1:40" ht="13.35" customHeight="1" x14ac:dyDescent="0.25">
      <c r="A60" s="996">
        <v>59</v>
      </c>
      <c r="B60" s="339">
        <v>39127</v>
      </c>
      <c r="C60" s="340" t="s">
        <v>64</v>
      </c>
      <c r="D60" s="341" t="s">
        <v>1362</v>
      </c>
      <c r="E60" s="335" t="s">
        <v>1316</v>
      </c>
      <c r="F60" s="335" t="s">
        <v>1317</v>
      </c>
      <c r="G60" s="335" t="s">
        <v>14</v>
      </c>
      <c r="H60" s="342">
        <v>43865</v>
      </c>
      <c r="I60" s="314">
        <v>528</v>
      </c>
      <c r="J60" s="310" t="s">
        <v>58</v>
      </c>
      <c r="K60" s="491" t="s">
        <v>680</v>
      </c>
      <c r="L60" s="491" t="s">
        <v>1103</v>
      </c>
      <c r="M60" s="491" t="s">
        <v>60</v>
      </c>
      <c r="N60" s="499">
        <v>44260</v>
      </c>
      <c r="O60" s="350">
        <v>45425</v>
      </c>
      <c r="P60" s="314"/>
      <c r="Q60" s="310" t="s">
        <v>1301</v>
      </c>
      <c r="R60" s="310" t="s">
        <v>68</v>
      </c>
      <c r="S60" s="310" t="s">
        <v>206</v>
      </c>
      <c r="T60" s="310" t="s">
        <v>1103</v>
      </c>
      <c r="U60" s="310" t="s">
        <v>1103</v>
      </c>
      <c r="V60" s="310" t="s">
        <v>63</v>
      </c>
      <c r="W60" s="350">
        <v>44345</v>
      </c>
      <c r="X60" s="310" t="s">
        <v>1309</v>
      </c>
      <c r="Y60" s="861" t="s">
        <v>869</v>
      </c>
      <c r="Z60" s="491"/>
      <c r="AA60" s="552"/>
      <c r="AB60" s="346" t="s">
        <v>1363</v>
      </c>
      <c r="AC60" s="310"/>
      <c r="AD60" s="343">
        <v>44915</v>
      </c>
      <c r="AE60" s="314"/>
      <c r="AF60" s="344">
        <v>45272</v>
      </c>
      <c r="AG60" s="84" t="s">
        <v>1364</v>
      </c>
      <c r="AH60" s="609">
        <v>45271</v>
      </c>
      <c r="AI60" s="52">
        <v>45114</v>
      </c>
      <c r="AJ60" s="3" t="s">
        <v>1116</v>
      </c>
      <c r="AK60" s="84">
        <v>45429</v>
      </c>
      <c r="AL60" s="84">
        <v>45749</v>
      </c>
      <c r="AM60" s="84">
        <v>45692</v>
      </c>
    </row>
    <row r="61" spans="1:40" ht="13.35" customHeight="1" x14ac:dyDescent="0.25">
      <c r="A61" s="996">
        <v>60</v>
      </c>
      <c r="B61" s="339">
        <v>39127</v>
      </c>
      <c r="C61" s="340" t="s">
        <v>54</v>
      </c>
      <c r="D61" s="341" t="s">
        <v>1365</v>
      </c>
      <c r="E61" s="335" t="s">
        <v>1316</v>
      </c>
      <c r="F61" s="335" t="s">
        <v>1317</v>
      </c>
      <c r="G61" s="335" t="s">
        <v>14</v>
      </c>
      <c r="H61" s="342">
        <v>43865</v>
      </c>
      <c r="I61" s="314">
        <v>659</v>
      </c>
      <c r="J61" s="310" t="s">
        <v>58</v>
      </c>
      <c r="K61" s="491" t="s">
        <v>680</v>
      </c>
      <c r="L61" s="491" t="s">
        <v>1103</v>
      </c>
      <c r="M61" s="491"/>
      <c r="N61" s="499"/>
      <c r="O61" s="350">
        <v>45425</v>
      </c>
      <c r="P61" s="314"/>
      <c r="Q61" s="310" t="s">
        <v>1301</v>
      </c>
      <c r="R61" s="310" t="s">
        <v>62</v>
      </c>
      <c r="S61" s="310" t="s">
        <v>206</v>
      </c>
      <c r="T61" s="310" t="s">
        <v>1103</v>
      </c>
      <c r="U61" s="310" t="s">
        <v>1103</v>
      </c>
      <c r="V61" s="310" t="s">
        <v>63</v>
      </c>
      <c r="W61" s="350">
        <v>44345</v>
      </c>
      <c r="X61" s="310" t="s">
        <v>1309</v>
      </c>
      <c r="Y61" s="861" t="s">
        <v>869</v>
      </c>
      <c r="Z61" s="491"/>
      <c r="AA61" s="552"/>
      <c r="AB61" s="346" t="s">
        <v>1366</v>
      </c>
      <c r="AC61" s="310"/>
      <c r="AD61" s="343">
        <v>44915</v>
      </c>
      <c r="AE61" s="314"/>
      <c r="AF61" s="344">
        <v>45272</v>
      </c>
      <c r="AG61" s="84" t="s">
        <v>1364</v>
      </c>
      <c r="AH61" s="609">
        <v>45271</v>
      </c>
      <c r="AI61" s="52">
        <v>45114</v>
      </c>
      <c r="AJ61" s="3" t="s">
        <v>1116</v>
      </c>
      <c r="AK61" s="84">
        <v>45429</v>
      </c>
      <c r="AL61" s="84">
        <v>45749</v>
      </c>
      <c r="AM61" s="84">
        <v>45692</v>
      </c>
    </row>
    <row r="62" spans="1:40" ht="13.35" customHeight="1" x14ac:dyDescent="0.25">
      <c r="A62" s="996">
        <v>61</v>
      </c>
      <c r="B62" s="576">
        <v>39129</v>
      </c>
      <c r="C62" s="577" t="s">
        <v>64</v>
      </c>
      <c r="D62" s="587" t="s">
        <v>1367</v>
      </c>
      <c r="E62" s="578" t="s">
        <v>1316</v>
      </c>
      <c r="F62" s="578" t="s">
        <v>1317</v>
      </c>
      <c r="G62" s="578" t="s">
        <v>14</v>
      </c>
      <c r="H62" s="579">
        <v>43872</v>
      </c>
      <c r="I62" s="580">
        <v>651</v>
      </c>
      <c r="J62" s="581" t="s">
        <v>58</v>
      </c>
      <c r="K62" s="582" t="s">
        <v>680</v>
      </c>
      <c r="L62" s="1061">
        <v>44374</v>
      </c>
      <c r="M62" s="582" t="s">
        <v>60</v>
      </c>
      <c r="N62" s="1062">
        <v>44209</v>
      </c>
      <c r="O62" s="894">
        <v>45194</v>
      </c>
      <c r="P62" s="580"/>
      <c r="Q62" s="581" t="s">
        <v>1301</v>
      </c>
      <c r="R62" s="581" t="s">
        <v>68</v>
      </c>
      <c r="S62" s="894" t="s">
        <v>206</v>
      </c>
      <c r="T62" s="581" t="s">
        <v>1103</v>
      </c>
      <c r="U62" s="581" t="s">
        <v>1103</v>
      </c>
      <c r="V62" s="581" t="s">
        <v>63</v>
      </c>
      <c r="W62" s="581" t="s">
        <v>63</v>
      </c>
      <c r="X62" s="581" t="s">
        <v>1309</v>
      </c>
      <c r="Y62" s="861" t="s">
        <v>869</v>
      </c>
      <c r="Z62" s="888"/>
      <c r="AA62" s="889"/>
      <c r="AB62" s="1063" t="s">
        <v>1368</v>
      </c>
      <c r="AC62" s="581"/>
      <c r="AD62" s="584">
        <v>45194</v>
      </c>
      <c r="AE62" s="580"/>
      <c r="AF62" s="580"/>
      <c r="AG62" s="264" t="s">
        <v>1369</v>
      </c>
      <c r="AH62" s="994">
        <v>45297</v>
      </c>
      <c r="AI62" s="269">
        <v>45297</v>
      </c>
      <c r="AJ62" s="239" t="s">
        <v>1116</v>
      </c>
      <c r="AK62" s="644">
        <v>45406</v>
      </c>
      <c r="AL62" s="239" t="s">
        <v>1370</v>
      </c>
      <c r="AM62" s="239" t="s">
        <v>1371</v>
      </c>
      <c r="AN62" s="381"/>
    </row>
    <row r="63" spans="1:40" ht="13.35" customHeight="1" x14ac:dyDescent="0.25">
      <c r="A63" s="996">
        <v>62</v>
      </c>
      <c r="B63" s="339">
        <v>39129</v>
      </c>
      <c r="C63" s="340" t="s">
        <v>54</v>
      </c>
      <c r="D63" s="341" t="s">
        <v>1372</v>
      </c>
      <c r="E63" s="335" t="s">
        <v>1316</v>
      </c>
      <c r="F63" s="335" t="s">
        <v>1317</v>
      </c>
      <c r="G63" s="335" t="s">
        <v>14</v>
      </c>
      <c r="H63" s="342">
        <v>43872</v>
      </c>
      <c r="I63" s="314">
        <v>668</v>
      </c>
      <c r="J63" s="310" t="s">
        <v>58</v>
      </c>
      <c r="K63" s="491" t="s">
        <v>680</v>
      </c>
      <c r="L63" s="595">
        <v>44374</v>
      </c>
      <c r="M63" s="491" t="s">
        <v>60</v>
      </c>
      <c r="N63" s="499">
        <v>44209</v>
      </c>
      <c r="O63" s="350">
        <v>45194</v>
      </c>
      <c r="P63" s="314"/>
      <c r="Q63" s="310" t="s">
        <v>1301</v>
      </c>
      <c r="R63" s="310" t="s">
        <v>62</v>
      </c>
      <c r="S63" s="310" t="s">
        <v>206</v>
      </c>
      <c r="T63" s="310" t="s">
        <v>1103</v>
      </c>
      <c r="U63" s="310" t="s">
        <v>1103</v>
      </c>
      <c r="V63" s="310" t="s">
        <v>63</v>
      </c>
      <c r="W63" s="350">
        <v>44317</v>
      </c>
      <c r="X63" s="310" t="s">
        <v>1309</v>
      </c>
      <c r="Y63" s="861" t="s">
        <v>869</v>
      </c>
      <c r="Z63" s="593"/>
      <c r="AA63" s="589"/>
      <c r="AB63" s="346" t="s">
        <v>1373</v>
      </c>
      <c r="AC63" s="310"/>
      <c r="AD63" s="343">
        <v>45194</v>
      </c>
      <c r="AE63" s="314"/>
      <c r="AF63" s="314"/>
      <c r="AG63" s="270" t="s">
        <v>1369</v>
      </c>
      <c r="AH63" s="535">
        <v>45297</v>
      </c>
      <c r="AI63" s="52">
        <v>45297</v>
      </c>
      <c r="AJ63" s="3" t="s">
        <v>1116</v>
      </c>
      <c r="AK63" s="84">
        <v>45406</v>
      </c>
      <c r="AL63" s="3" t="s">
        <v>1370</v>
      </c>
      <c r="AM63" s="3" t="s">
        <v>1371</v>
      </c>
    </row>
    <row r="64" spans="1:40" ht="13.35" customHeight="1" x14ac:dyDescent="0.25">
      <c r="A64" s="996">
        <v>63</v>
      </c>
      <c r="B64" s="339">
        <v>30711</v>
      </c>
      <c r="C64" s="335" t="s">
        <v>64</v>
      </c>
      <c r="D64" s="341" t="s">
        <v>1374</v>
      </c>
      <c r="E64" s="341" t="s">
        <v>1375</v>
      </c>
      <c r="F64" s="335" t="s">
        <v>1317</v>
      </c>
      <c r="G64" s="335" t="s">
        <v>14</v>
      </c>
      <c r="H64" s="352">
        <v>43460</v>
      </c>
      <c r="I64" s="314">
        <v>292</v>
      </c>
      <c r="J64" s="310" t="s">
        <v>58</v>
      </c>
      <c r="K64" s="491" t="s">
        <v>680</v>
      </c>
      <c r="L64" s="595">
        <v>44350</v>
      </c>
      <c r="M64" s="491" t="s">
        <v>60</v>
      </c>
      <c r="N64" s="499">
        <v>44250</v>
      </c>
      <c r="O64" s="350">
        <v>45083</v>
      </c>
      <c r="P64" s="314"/>
      <c r="Q64" s="310" t="s">
        <v>1376</v>
      </c>
      <c r="R64" s="350">
        <v>44293</v>
      </c>
      <c r="S64" s="581" t="s">
        <v>1332</v>
      </c>
      <c r="T64" s="350">
        <v>44136</v>
      </c>
      <c r="U64" s="350">
        <v>44136</v>
      </c>
      <c r="V64" s="350" t="s">
        <v>63</v>
      </c>
      <c r="W64" s="350">
        <v>44351</v>
      </c>
      <c r="X64" s="837" t="s">
        <v>1290</v>
      </c>
      <c r="Y64" s="861" t="s">
        <v>869</v>
      </c>
      <c r="Z64" s="593"/>
      <c r="AA64" s="589"/>
      <c r="AB64" s="310"/>
      <c r="AC64" s="310"/>
      <c r="AD64" s="351" t="s">
        <v>1377</v>
      </c>
      <c r="AE64" s="351"/>
      <c r="AF64" s="314"/>
      <c r="AG64" s="536" t="s">
        <v>1378</v>
      </c>
      <c r="AH64" s="609">
        <v>45393</v>
      </c>
      <c r="AI64" s="3" t="s">
        <v>63</v>
      </c>
      <c r="AJ64" s="3" t="s">
        <v>1116</v>
      </c>
      <c r="AK64" s="84">
        <v>45393</v>
      </c>
      <c r="AM64" s="52">
        <v>45628</v>
      </c>
      <c r="AN64" s="381"/>
    </row>
    <row r="65" spans="1:40" ht="13.35" customHeight="1" x14ac:dyDescent="0.25">
      <c r="A65" s="996">
        <v>64</v>
      </c>
      <c r="B65" s="339">
        <v>30711</v>
      </c>
      <c r="C65" s="335" t="s">
        <v>54</v>
      </c>
      <c r="D65" s="341" t="s">
        <v>1379</v>
      </c>
      <c r="E65" s="341" t="s">
        <v>1375</v>
      </c>
      <c r="F65" s="335" t="s">
        <v>1317</v>
      </c>
      <c r="G65" s="335" t="s">
        <v>14</v>
      </c>
      <c r="H65" s="352">
        <v>43460</v>
      </c>
      <c r="I65" s="314">
        <v>293</v>
      </c>
      <c r="J65" s="310" t="s">
        <v>58</v>
      </c>
      <c r="K65" s="491" t="s">
        <v>680</v>
      </c>
      <c r="L65" s="595">
        <v>44350</v>
      </c>
      <c r="M65" s="491" t="s">
        <v>60</v>
      </c>
      <c r="N65" s="499">
        <v>44250</v>
      </c>
      <c r="O65" s="350">
        <v>45083</v>
      </c>
      <c r="P65" s="314"/>
      <c r="Q65" s="310" t="s">
        <v>1376</v>
      </c>
      <c r="R65" s="350">
        <v>44293</v>
      </c>
      <c r="S65" s="581" t="s">
        <v>1332</v>
      </c>
      <c r="T65" s="350">
        <v>44136</v>
      </c>
      <c r="U65" s="350">
        <v>44136</v>
      </c>
      <c r="V65" s="350" t="s">
        <v>63</v>
      </c>
      <c r="W65" s="350">
        <v>44351</v>
      </c>
      <c r="X65" s="837" t="s">
        <v>1290</v>
      </c>
      <c r="Y65" s="861" t="s">
        <v>869</v>
      </c>
      <c r="Z65" s="593"/>
      <c r="AA65" s="589"/>
      <c r="AB65" s="310"/>
      <c r="AC65" s="310"/>
      <c r="AD65" s="351" t="s">
        <v>1377</v>
      </c>
      <c r="AE65" s="351"/>
      <c r="AF65" s="314"/>
      <c r="AG65" s="536" t="s">
        <v>1378</v>
      </c>
      <c r="AH65" s="609">
        <v>45393</v>
      </c>
      <c r="AI65" s="3" t="s">
        <v>63</v>
      </c>
      <c r="AJ65" s="3" t="s">
        <v>1116</v>
      </c>
      <c r="AK65" s="84">
        <v>45393</v>
      </c>
      <c r="AM65" s="52">
        <v>45628</v>
      </c>
    </row>
    <row r="66" spans="1:40" ht="13.35" customHeight="1" x14ac:dyDescent="0.25">
      <c r="A66" s="996">
        <v>65</v>
      </c>
      <c r="B66" s="335">
        <v>30723</v>
      </c>
      <c r="C66" s="340" t="s">
        <v>64</v>
      </c>
      <c r="D66" s="341" t="s">
        <v>1380</v>
      </c>
      <c r="E66" s="341" t="s">
        <v>1375</v>
      </c>
      <c r="F66" s="335" t="s">
        <v>1317</v>
      </c>
      <c r="G66" s="335" t="s">
        <v>14</v>
      </c>
      <c r="H66" s="309">
        <v>43532</v>
      </c>
      <c r="I66" s="314">
        <v>226</v>
      </c>
      <c r="J66" s="310" t="s">
        <v>58</v>
      </c>
      <c r="K66" s="491" t="s">
        <v>1318</v>
      </c>
      <c r="L66" s="592"/>
      <c r="M66" s="491" t="s">
        <v>60</v>
      </c>
      <c r="N66" s="499">
        <v>44249</v>
      </c>
      <c r="O66" s="350">
        <v>45149</v>
      </c>
      <c r="P66" s="314"/>
      <c r="Q66" s="310" t="s">
        <v>1376</v>
      </c>
      <c r="R66" s="350">
        <v>44152</v>
      </c>
      <c r="S66" s="581" t="s">
        <v>1332</v>
      </c>
      <c r="T66" s="350">
        <v>44152</v>
      </c>
      <c r="U66" s="350">
        <v>44152</v>
      </c>
      <c r="V66" s="350" t="s">
        <v>63</v>
      </c>
      <c r="W66" s="310" t="s">
        <v>63</v>
      </c>
      <c r="X66" s="310" t="s">
        <v>1309</v>
      </c>
      <c r="Y66" s="861" t="s">
        <v>869</v>
      </c>
      <c r="Z66" s="593"/>
      <c r="AA66" s="589"/>
      <c r="AB66" s="310"/>
      <c r="AC66" s="310"/>
      <c r="AD66" s="351">
        <v>44799</v>
      </c>
      <c r="AE66" s="351"/>
      <c r="AF66" s="520">
        <v>45114</v>
      </c>
      <c r="AG66" s="605">
        <v>45475</v>
      </c>
      <c r="AH66" s="609">
        <v>45287</v>
      </c>
      <c r="AI66" s="84">
        <v>45251</v>
      </c>
      <c r="AJ66" s="3" t="s">
        <v>1116</v>
      </c>
      <c r="AK66" s="84">
        <v>45573</v>
      </c>
      <c r="AM66" s="52">
        <v>45645</v>
      </c>
    </row>
    <row r="67" spans="1:40" ht="13.35" customHeight="1" x14ac:dyDescent="0.25">
      <c r="A67" s="996">
        <v>66</v>
      </c>
      <c r="B67" s="335">
        <v>30723</v>
      </c>
      <c r="C67" s="340" t="s">
        <v>54</v>
      </c>
      <c r="D67" s="346" t="s">
        <v>1381</v>
      </c>
      <c r="E67" s="341" t="s">
        <v>1375</v>
      </c>
      <c r="F67" s="335" t="s">
        <v>1317</v>
      </c>
      <c r="G67" s="345" t="s">
        <v>14</v>
      </c>
      <c r="H67" s="309">
        <v>43532</v>
      </c>
      <c r="I67" s="314">
        <v>229</v>
      </c>
      <c r="J67" s="310" t="s">
        <v>58</v>
      </c>
      <c r="K67" s="491" t="s">
        <v>1318</v>
      </c>
      <c r="L67" s="592"/>
      <c r="M67" s="491" t="s">
        <v>60</v>
      </c>
      <c r="N67" s="499">
        <v>44249</v>
      </c>
      <c r="O67" s="350">
        <v>45149</v>
      </c>
      <c r="P67" s="314"/>
      <c r="Q67" s="310" t="s">
        <v>1376</v>
      </c>
      <c r="R67" s="350">
        <v>44152</v>
      </c>
      <c r="S67" s="581" t="s">
        <v>1332</v>
      </c>
      <c r="T67" s="350">
        <v>44152</v>
      </c>
      <c r="U67" s="350">
        <v>44152</v>
      </c>
      <c r="V67" s="350" t="s">
        <v>63</v>
      </c>
      <c r="W67" s="310" t="s">
        <v>63</v>
      </c>
      <c r="X67" s="310" t="s">
        <v>1309</v>
      </c>
      <c r="Y67" s="861" t="s">
        <v>869</v>
      </c>
      <c r="Z67" s="593"/>
      <c r="AA67" s="589"/>
      <c r="AB67" s="310"/>
      <c r="AC67" s="310"/>
      <c r="AD67" s="351">
        <v>44799</v>
      </c>
      <c r="AE67" s="351"/>
      <c r="AF67" s="344">
        <v>45251</v>
      </c>
      <c r="AG67" s="605">
        <v>45475</v>
      </c>
      <c r="AH67" s="609">
        <v>45287</v>
      </c>
      <c r="AI67" s="84">
        <v>45251</v>
      </c>
      <c r="AJ67" s="3" t="s">
        <v>1116</v>
      </c>
      <c r="AK67" s="84">
        <v>45573</v>
      </c>
      <c r="AM67" s="52">
        <v>45645</v>
      </c>
    </row>
    <row r="68" spans="1:40" ht="13.35" customHeight="1" x14ac:dyDescent="0.25">
      <c r="A68" s="996">
        <v>67</v>
      </c>
      <c r="B68" s="339">
        <v>37071</v>
      </c>
      <c r="C68" s="340" t="s">
        <v>64</v>
      </c>
      <c r="D68" s="341" t="s">
        <v>1382</v>
      </c>
      <c r="E68" s="341" t="s">
        <v>1375</v>
      </c>
      <c r="F68" s="335" t="s">
        <v>1317</v>
      </c>
      <c r="G68" s="335" t="s">
        <v>14</v>
      </c>
      <c r="H68" s="342">
        <v>43462</v>
      </c>
      <c r="I68" s="314">
        <v>288</v>
      </c>
      <c r="J68" s="310" t="s">
        <v>58</v>
      </c>
      <c r="K68" s="491" t="s">
        <v>680</v>
      </c>
      <c r="L68" s="592" t="s">
        <v>1103</v>
      </c>
      <c r="M68" s="491" t="s">
        <v>60</v>
      </c>
      <c r="N68" s="499">
        <v>44250</v>
      </c>
      <c r="O68" s="350">
        <v>45100</v>
      </c>
      <c r="P68" s="314"/>
      <c r="Q68" s="310" t="s">
        <v>1376</v>
      </c>
      <c r="R68" s="350">
        <v>44112</v>
      </c>
      <c r="S68" s="581" t="s">
        <v>1332</v>
      </c>
      <c r="T68" s="350">
        <v>44110</v>
      </c>
      <c r="U68" s="350">
        <v>44110</v>
      </c>
      <c r="V68" s="350" t="s">
        <v>63</v>
      </c>
      <c r="W68" s="310" t="s">
        <v>63</v>
      </c>
      <c r="X68" s="310" t="s">
        <v>1309</v>
      </c>
      <c r="Y68" s="861" t="s">
        <v>869</v>
      </c>
      <c r="Z68" s="593"/>
      <c r="AA68" s="589"/>
      <c r="AB68" s="310"/>
      <c r="AC68" s="310"/>
      <c r="AD68" s="351">
        <v>44863</v>
      </c>
      <c r="AE68" s="351"/>
      <c r="AF68" s="314"/>
      <c r="AG68" s="605" t="s">
        <v>1369</v>
      </c>
      <c r="AH68" s="535">
        <v>45305</v>
      </c>
      <c r="AI68" s="3" t="s">
        <v>1383</v>
      </c>
      <c r="AJ68" s="3" t="s">
        <v>1116</v>
      </c>
      <c r="AK68" s="3" t="s">
        <v>1384</v>
      </c>
      <c r="AM68" s="3" t="s">
        <v>1385</v>
      </c>
    </row>
    <row r="69" spans="1:40" ht="13.35" customHeight="1" x14ac:dyDescent="0.25">
      <c r="A69" s="996">
        <v>68</v>
      </c>
      <c r="B69" s="855">
        <v>37071</v>
      </c>
      <c r="C69" s="856" t="s">
        <v>54</v>
      </c>
      <c r="D69" s="857" t="s">
        <v>1386</v>
      </c>
      <c r="E69" s="857" t="s">
        <v>1375</v>
      </c>
      <c r="F69" s="858" t="s">
        <v>1317</v>
      </c>
      <c r="G69" s="858" t="s">
        <v>14</v>
      </c>
      <c r="H69" s="860">
        <v>43462</v>
      </c>
      <c r="I69" s="859">
        <v>289</v>
      </c>
      <c r="J69" s="861" t="s">
        <v>58</v>
      </c>
      <c r="K69" s="862" t="s">
        <v>680</v>
      </c>
      <c r="L69" s="863" t="s">
        <v>1103</v>
      </c>
      <c r="M69" s="862" t="s">
        <v>60</v>
      </c>
      <c r="N69" s="1024">
        <v>44250</v>
      </c>
      <c r="O69" s="885">
        <v>45100</v>
      </c>
      <c r="P69" s="859"/>
      <c r="Q69" s="861" t="s">
        <v>1376</v>
      </c>
      <c r="R69" s="885">
        <v>44112</v>
      </c>
      <c r="S69" s="581" t="s">
        <v>1332</v>
      </c>
      <c r="T69" s="885">
        <v>44110</v>
      </c>
      <c r="U69" s="885">
        <v>44110</v>
      </c>
      <c r="V69" s="885" t="s">
        <v>63</v>
      </c>
      <c r="W69" s="861" t="s">
        <v>63</v>
      </c>
      <c r="X69" s="861" t="s">
        <v>1309</v>
      </c>
      <c r="Y69" s="861" t="s">
        <v>869</v>
      </c>
      <c r="Z69" s="867"/>
      <c r="AA69" s="868"/>
      <c r="AB69" s="861"/>
      <c r="AC69" s="861"/>
      <c r="AD69" s="880">
        <v>44863</v>
      </c>
      <c r="AE69" s="880"/>
      <c r="AF69" s="859"/>
      <c r="AG69" s="1026" t="s">
        <v>1369</v>
      </c>
      <c r="AH69" s="877">
        <v>45305</v>
      </c>
      <c r="AI69" s="115" t="s">
        <v>1383</v>
      </c>
      <c r="AJ69" s="115" t="s">
        <v>1116</v>
      </c>
      <c r="AK69" s="115" t="s">
        <v>1384</v>
      </c>
      <c r="AL69" s="115" t="s">
        <v>1385</v>
      </c>
      <c r="AM69" s="115" t="s">
        <v>1385</v>
      </c>
    </row>
    <row r="70" spans="1:40" ht="13.35" customHeight="1" x14ac:dyDescent="0.25">
      <c r="A70" s="996">
        <v>69</v>
      </c>
      <c r="B70" s="339">
        <v>37092</v>
      </c>
      <c r="C70" s="340" t="s">
        <v>64</v>
      </c>
      <c r="D70" s="341" t="s">
        <v>1387</v>
      </c>
      <c r="E70" s="341" t="s">
        <v>1375</v>
      </c>
      <c r="F70" s="335" t="s">
        <v>1317</v>
      </c>
      <c r="G70" s="335" t="s">
        <v>14</v>
      </c>
      <c r="H70" s="342">
        <v>43518</v>
      </c>
      <c r="I70" s="314">
        <v>283</v>
      </c>
      <c r="J70" s="310" t="s">
        <v>58</v>
      </c>
      <c r="K70" s="491" t="s">
        <v>680</v>
      </c>
      <c r="L70" s="499">
        <v>44333</v>
      </c>
      <c r="M70" s="491" t="s">
        <v>60</v>
      </c>
      <c r="N70" s="499">
        <v>44247</v>
      </c>
      <c r="O70" s="350">
        <v>45147</v>
      </c>
      <c r="P70" s="314"/>
      <c r="Q70" s="310" t="s">
        <v>1376</v>
      </c>
      <c r="R70" s="350">
        <v>44137</v>
      </c>
      <c r="S70" s="581" t="s">
        <v>1332</v>
      </c>
      <c r="T70" s="350">
        <v>44164</v>
      </c>
      <c r="U70" s="350">
        <v>44164</v>
      </c>
      <c r="V70" s="350" t="s">
        <v>63</v>
      </c>
      <c r="W70" s="350">
        <v>44333</v>
      </c>
      <c r="X70" s="310" t="s">
        <v>1309</v>
      </c>
      <c r="Y70" s="861" t="s">
        <v>869</v>
      </c>
      <c r="Z70" s="491"/>
      <c r="AA70" s="552"/>
      <c r="AB70" s="390" t="s">
        <v>1388</v>
      </c>
      <c r="AC70" s="310"/>
      <c r="AD70" s="351">
        <v>44847</v>
      </c>
      <c r="AE70" s="351"/>
      <c r="AF70" s="520">
        <v>45136</v>
      </c>
      <c r="AG70" s="52" t="s">
        <v>1389</v>
      </c>
      <c r="AH70" s="535">
        <v>45345</v>
      </c>
      <c r="AI70" s="84">
        <v>45345</v>
      </c>
      <c r="AJ70" s="3" t="s">
        <v>1116</v>
      </c>
      <c r="AK70" s="84">
        <v>45359</v>
      </c>
      <c r="AL70" s="3"/>
      <c r="AM70" s="3" t="s">
        <v>1390</v>
      </c>
    </row>
    <row r="71" spans="1:40" ht="13.35" customHeight="1" x14ac:dyDescent="0.25">
      <c r="A71" s="996">
        <v>70</v>
      </c>
      <c r="B71" s="339">
        <v>37092</v>
      </c>
      <c r="C71" s="340" t="s">
        <v>54</v>
      </c>
      <c r="D71" s="341" t="s">
        <v>1391</v>
      </c>
      <c r="E71" s="341" t="s">
        <v>1375</v>
      </c>
      <c r="F71" s="335" t="s">
        <v>1317</v>
      </c>
      <c r="G71" s="335" t="s">
        <v>14</v>
      </c>
      <c r="H71" s="342">
        <v>43518</v>
      </c>
      <c r="I71" s="314">
        <v>261</v>
      </c>
      <c r="J71" s="310" t="s">
        <v>58</v>
      </c>
      <c r="K71" s="491" t="s">
        <v>680</v>
      </c>
      <c r="L71" s="499">
        <v>44333</v>
      </c>
      <c r="M71" s="491" t="s">
        <v>60</v>
      </c>
      <c r="N71" s="499">
        <v>44247</v>
      </c>
      <c r="O71" s="350">
        <v>45147</v>
      </c>
      <c r="P71" s="314"/>
      <c r="Q71" s="310" t="s">
        <v>1376</v>
      </c>
      <c r="R71" s="310" t="s">
        <v>1103</v>
      </c>
      <c r="S71" s="581" t="s">
        <v>1332</v>
      </c>
      <c r="T71" s="350">
        <v>44164</v>
      </c>
      <c r="U71" s="350">
        <v>44164</v>
      </c>
      <c r="V71" s="350" t="s">
        <v>63</v>
      </c>
      <c r="W71" s="350">
        <v>44333</v>
      </c>
      <c r="X71" s="310" t="s">
        <v>1309</v>
      </c>
      <c r="Y71" s="861" t="s">
        <v>869</v>
      </c>
      <c r="Z71" s="491"/>
      <c r="AA71" s="552"/>
      <c r="AB71" s="310"/>
      <c r="AC71" s="310"/>
      <c r="AD71" s="351">
        <v>44847</v>
      </c>
      <c r="AE71" s="351"/>
      <c r="AF71" s="520">
        <v>45136</v>
      </c>
      <c r="AG71" s="52" t="s">
        <v>1389</v>
      </c>
      <c r="AH71" s="535">
        <v>45345</v>
      </c>
      <c r="AI71" s="84">
        <v>45345</v>
      </c>
      <c r="AJ71" s="3" t="s">
        <v>1116</v>
      </c>
      <c r="AK71" s="84">
        <v>45359</v>
      </c>
      <c r="AL71" s="3"/>
      <c r="AM71" s="3" t="s">
        <v>1390</v>
      </c>
    </row>
    <row r="72" spans="1:40" ht="13.35" customHeight="1" x14ac:dyDescent="0.25">
      <c r="A72" s="996">
        <v>71</v>
      </c>
      <c r="B72" s="576">
        <v>37094</v>
      </c>
      <c r="C72" s="577" t="s">
        <v>64</v>
      </c>
      <c r="D72" s="587" t="s">
        <v>1392</v>
      </c>
      <c r="E72" s="587" t="s">
        <v>1375</v>
      </c>
      <c r="F72" s="578" t="s">
        <v>1317</v>
      </c>
      <c r="G72" s="578" t="s">
        <v>14</v>
      </c>
      <c r="H72" s="579">
        <v>43520</v>
      </c>
      <c r="I72" s="580">
        <v>287</v>
      </c>
      <c r="J72" s="581" t="s">
        <v>58</v>
      </c>
      <c r="K72" s="582" t="s">
        <v>680</v>
      </c>
      <c r="L72" s="1061">
        <v>44329</v>
      </c>
      <c r="M72" s="582" t="s">
        <v>60</v>
      </c>
      <c r="N72" s="1062">
        <v>44293</v>
      </c>
      <c r="O72" s="894"/>
      <c r="P72" s="580"/>
      <c r="Q72" s="581" t="s">
        <v>1376</v>
      </c>
      <c r="R72" s="894">
        <v>44099</v>
      </c>
      <c r="S72" s="581" t="s">
        <v>1332</v>
      </c>
      <c r="T72" s="894">
        <v>44293</v>
      </c>
      <c r="U72" s="894">
        <v>44293</v>
      </c>
      <c r="V72" s="894" t="s">
        <v>63</v>
      </c>
      <c r="W72" s="894">
        <v>44372</v>
      </c>
      <c r="X72" s="581" t="s">
        <v>1309</v>
      </c>
      <c r="Y72" s="861" t="s">
        <v>869</v>
      </c>
      <c r="Z72" s="888"/>
      <c r="AA72" s="889"/>
      <c r="AB72" s="581"/>
      <c r="AC72" s="581"/>
      <c r="AD72" s="1064" t="s">
        <v>63</v>
      </c>
      <c r="AE72" s="1064"/>
      <c r="AF72" s="586">
        <v>45246</v>
      </c>
      <c r="AG72" s="537">
        <v>45470</v>
      </c>
      <c r="AH72" s="994">
        <v>45470</v>
      </c>
      <c r="AI72" s="644">
        <v>45246</v>
      </c>
      <c r="AJ72" s="239" t="s">
        <v>1116</v>
      </c>
      <c r="AK72" s="239"/>
      <c r="AL72" s="239"/>
      <c r="AM72" s="239"/>
    </row>
    <row r="73" spans="1:40" ht="13.35" customHeight="1" x14ac:dyDescent="0.25">
      <c r="A73" s="996">
        <v>72</v>
      </c>
      <c r="B73" s="339">
        <v>37094</v>
      </c>
      <c r="C73" s="340" t="s">
        <v>54</v>
      </c>
      <c r="D73" s="341" t="s">
        <v>1393</v>
      </c>
      <c r="E73" s="341" t="s">
        <v>1375</v>
      </c>
      <c r="F73" s="335" t="s">
        <v>1317</v>
      </c>
      <c r="G73" s="335" t="s">
        <v>14</v>
      </c>
      <c r="H73" s="342">
        <v>43520</v>
      </c>
      <c r="I73" s="314">
        <v>233</v>
      </c>
      <c r="J73" s="310" t="s">
        <v>58</v>
      </c>
      <c r="K73" s="491" t="s">
        <v>680</v>
      </c>
      <c r="L73" s="595">
        <v>44329</v>
      </c>
      <c r="M73" s="491" t="s">
        <v>60</v>
      </c>
      <c r="N73" s="499">
        <v>44293</v>
      </c>
      <c r="O73" s="350"/>
      <c r="P73" s="314"/>
      <c r="Q73" s="310" t="s">
        <v>1376</v>
      </c>
      <c r="R73" s="350">
        <v>44099</v>
      </c>
      <c r="S73" s="581" t="s">
        <v>1332</v>
      </c>
      <c r="T73" s="350">
        <v>44293</v>
      </c>
      <c r="U73" s="350">
        <v>44293</v>
      </c>
      <c r="V73" s="350" t="s">
        <v>63</v>
      </c>
      <c r="W73" s="350">
        <v>44372</v>
      </c>
      <c r="X73" s="310" t="s">
        <v>1309</v>
      </c>
      <c r="Y73" s="861" t="s">
        <v>869</v>
      </c>
      <c r="Z73" s="593"/>
      <c r="AA73" s="589"/>
      <c r="AB73" s="310"/>
      <c r="AC73" s="310"/>
      <c r="AD73" s="351" t="s">
        <v>63</v>
      </c>
      <c r="AE73" s="351"/>
      <c r="AF73" s="344">
        <v>45246</v>
      </c>
      <c r="AG73" s="536">
        <v>45470</v>
      </c>
      <c r="AH73" s="535">
        <v>45470</v>
      </c>
      <c r="AI73" s="84">
        <v>45246</v>
      </c>
      <c r="AJ73" s="3" t="s">
        <v>1116</v>
      </c>
      <c r="AK73" s="3"/>
      <c r="AL73" s="3"/>
      <c r="AM73" s="3"/>
    </row>
    <row r="74" spans="1:40" ht="13.35" customHeight="1" x14ac:dyDescent="0.25">
      <c r="A74" s="996">
        <v>73</v>
      </c>
      <c r="B74" s="335">
        <v>37098</v>
      </c>
      <c r="C74" s="340" t="s">
        <v>64</v>
      </c>
      <c r="D74" s="341" t="s">
        <v>1394</v>
      </c>
      <c r="E74" s="341" t="s">
        <v>1375</v>
      </c>
      <c r="F74" s="335" t="s">
        <v>1317</v>
      </c>
      <c r="G74" s="335" t="s">
        <v>14</v>
      </c>
      <c r="H74" s="342">
        <v>43523</v>
      </c>
      <c r="I74" s="314">
        <v>275</v>
      </c>
      <c r="J74" s="310" t="s">
        <v>58</v>
      </c>
      <c r="K74" s="491" t="s">
        <v>680</v>
      </c>
      <c r="L74" s="595">
        <v>44374</v>
      </c>
      <c r="M74" s="491" t="s">
        <v>60</v>
      </c>
      <c r="N74" s="499">
        <v>44260</v>
      </c>
      <c r="O74" s="350">
        <v>45154</v>
      </c>
      <c r="P74" s="314"/>
      <c r="Q74" s="310" t="s">
        <v>1376</v>
      </c>
      <c r="R74" s="350">
        <v>44100</v>
      </c>
      <c r="S74" s="581" t="s">
        <v>1332</v>
      </c>
      <c r="T74" s="350">
        <v>44152</v>
      </c>
      <c r="U74" s="350">
        <v>44152</v>
      </c>
      <c r="V74" s="350" t="s">
        <v>63</v>
      </c>
      <c r="W74" s="310" t="s">
        <v>63</v>
      </c>
      <c r="X74" s="310" t="s">
        <v>1309</v>
      </c>
      <c r="Y74" s="861" t="s">
        <v>869</v>
      </c>
      <c r="Z74" s="593"/>
      <c r="AA74" s="589"/>
      <c r="AB74" s="310"/>
      <c r="AC74" s="310"/>
      <c r="AD74" s="351">
        <v>44866</v>
      </c>
      <c r="AE74" s="351"/>
      <c r="AF74" s="520">
        <v>45173</v>
      </c>
      <c r="AG74" s="605">
        <v>45490</v>
      </c>
      <c r="AH74" s="535">
        <v>45489</v>
      </c>
      <c r="AI74" s="3" t="s">
        <v>1395</v>
      </c>
      <c r="AJ74" s="3" t="s">
        <v>1116</v>
      </c>
      <c r="AK74" s="84">
        <v>45476</v>
      </c>
      <c r="AL74" s="3"/>
      <c r="AM74" s="84">
        <v>45477</v>
      </c>
      <c r="AN74" s="381"/>
    </row>
    <row r="75" spans="1:40" ht="13.35" customHeight="1" x14ac:dyDescent="0.25">
      <c r="A75" s="996">
        <v>74</v>
      </c>
      <c r="B75" s="858">
        <v>37098</v>
      </c>
      <c r="C75" s="856" t="s">
        <v>54</v>
      </c>
      <c r="D75" s="857" t="s">
        <v>1396</v>
      </c>
      <c r="E75" s="857" t="s">
        <v>1375</v>
      </c>
      <c r="F75" s="858" t="s">
        <v>1317</v>
      </c>
      <c r="G75" s="858" t="s">
        <v>14</v>
      </c>
      <c r="H75" s="860">
        <v>43523</v>
      </c>
      <c r="I75" s="859">
        <v>274</v>
      </c>
      <c r="J75" s="861" t="s">
        <v>58</v>
      </c>
      <c r="K75" s="862" t="s">
        <v>680</v>
      </c>
      <c r="L75" s="1025">
        <v>44374</v>
      </c>
      <c r="M75" s="862" t="s">
        <v>60</v>
      </c>
      <c r="N75" s="1024">
        <v>44260</v>
      </c>
      <c r="O75" s="885">
        <v>45154</v>
      </c>
      <c r="P75" s="859"/>
      <c r="Q75" s="861" t="s">
        <v>1376</v>
      </c>
      <c r="R75" s="885">
        <v>44100</v>
      </c>
      <c r="S75" s="581" t="s">
        <v>1332</v>
      </c>
      <c r="T75" s="885">
        <v>44152</v>
      </c>
      <c r="U75" s="885">
        <v>44152</v>
      </c>
      <c r="V75" s="885" t="s">
        <v>63</v>
      </c>
      <c r="W75" s="861" t="s">
        <v>63</v>
      </c>
      <c r="X75" s="861" t="s">
        <v>1309</v>
      </c>
      <c r="Y75" s="861" t="s">
        <v>869</v>
      </c>
      <c r="Z75" s="867"/>
      <c r="AA75" s="868"/>
      <c r="AB75" s="861" t="s">
        <v>1397</v>
      </c>
      <c r="AC75" s="861"/>
      <c r="AD75" s="880">
        <v>44866</v>
      </c>
      <c r="AE75" s="880"/>
      <c r="AF75" s="871">
        <v>45173</v>
      </c>
      <c r="AG75" s="1026">
        <v>45490</v>
      </c>
      <c r="AH75" s="877">
        <v>45489</v>
      </c>
      <c r="AI75" s="115" t="s">
        <v>1395</v>
      </c>
      <c r="AJ75" s="115" t="s">
        <v>1116</v>
      </c>
      <c r="AK75" s="876">
        <v>45476</v>
      </c>
      <c r="AL75" s="115"/>
      <c r="AM75" s="876">
        <v>45477</v>
      </c>
      <c r="AN75" s="381"/>
    </row>
    <row r="76" spans="1:40" ht="13.35" customHeight="1" x14ac:dyDescent="0.25">
      <c r="A76" s="996">
        <v>75</v>
      </c>
      <c r="B76" s="335">
        <v>37104</v>
      </c>
      <c r="C76" s="340" t="s">
        <v>64</v>
      </c>
      <c r="D76" s="341" t="s">
        <v>1398</v>
      </c>
      <c r="E76" s="341" t="s">
        <v>1375</v>
      </c>
      <c r="F76" s="335" t="s">
        <v>1317</v>
      </c>
      <c r="G76" s="335" t="s">
        <v>14</v>
      </c>
      <c r="H76" s="342">
        <v>43523</v>
      </c>
      <c r="I76" s="314">
        <v>296</v>
      </c>
      <c r="J76" s="310" t="s">
        <v>58</v>
      </c>
      <c r="K76" s="491" t="s">
        <v>1318</v>
      </c>
      <c r="L76" s="491"/>
      <c r="M76" s="491" t="s">
        <v>60</v>
      </c>
      <c r="N76" s="499">
        <v>44279</v>
      </c>
      <c r="O76" s="343">
        <v>45083</v>
      </c>
      <c r="P76" s="314"/>
      <c r="Q76" s="310" t="s">
        <v>1376</v>
      </c>
      <c r="R76" s="350">
        <v>44125</v>
      </c>
      <c r="S76" s="581" t="s">
        <v>1332</v>
      </c>
      <c r="T76" s="350">
        <v>44112</v>
      </c>
      <c r="U76" s="350">
        <v>44112</v>
      </c>
      <c r="V76" s="350" t="s">
        <v>63</v>
      </c>
      <c r="W76" s="310" t="s">
        <v>63</v>
      </c>
      <c r="X76" s="837" t="s">
        <v>1290</v>
      </c>
      <c r="Y76" s="861" t="s">
        <v>869</v>
      </c>
      <c r="Z76" s="491"/>
      <c r="AA76" s="552"/>
      <c r="AB76" s="346" t="s">
        <v>1399</v>
      </c>
      <c r="AC76" s="310"/>
      <c r="AD76" s="351">
        <v>44884</v>
      </c>
      <c r="AE76" s="351"/>
      <c r="AF76" s="314"/>
      <c r="AG76" s="84" t="s">
        <v>1400</v>
      </c>
      <c r="AH76" s="609">
        <v>45439</v>
      </c>
      <c r="AI76" s="52">
        <v>45154</v>
      </c>
      <c r="AJ76" s="3" t="s">
        <v>1116</v>
      </c>
      <c r="AK76" s="3"/>
      <c r="AL76" s="52">
        <v>45825</v>
      </c>
      <c r="AM76" s="3" t="s">
        <v>1401</v>
      </c>
    </row>
    <row r="77" spans="1:40" ht="13.35" customHeight="1" x14ac:dyDescent="0.25">
      <c r="A77" s="996">
        <v>76</v>
      </c>
      <c r="B77" s="335">
        <v>37104</v>
      </c>
      <c r="C77" s="340" t="s">
        <v>54</v>
      </c>
      <c r="D77" s="341" t="s">
        <v>1402</v>
      </c>
      <c r="E77" s="341" t="s">
        <v>1375</v>
      </c>
      <c r="F77" s="335" t="s">
        <v>1317</v>
      </c>
      <c r="G77" s="335" t="s">
        <v>14</v>
      </c>
      <c r="H77" s="342">
        <v>43523</v>
      </c>
      <c r="I77" s="314">
        <v>210</v>
      </c>
      <c r="J77" s="310" t="s">
        <v>58</v>
      </c>
      <c r="K77" s="491" t="s">
        <v>1403</v>
      </c>
      <c r="L77" s="491"/>
      <c r="M77" s="491" t="s">
        <v>60</v>
      </c>
      <c r="N77" s="499">
        <v>44279</v>
      </c>
      <c r="O77" s="343">
        <v>45083</v>
      </c>
      <c r="P77" s="314"/>
      <c r="Q77" s="310" t="s">
        <v>1376</v>
      </c>
      <c r="R77" s="350">
        <v>44125</v>
      </c>
      <c r="S77" s="350">
        <v>44172</v>
      </c>
      <c r="T77" s="350">
        <v>44112</v>
      </c>
      <c r="U77" s="350">
        <v>44112</v>
      </c>
      <c r="V77" s="350" t="s">
        <v>63</v>
      </c>
      <c r="W77" s="310" t="s">
        <v>63</v>
      </c>
      <c r="X77" s="310" t="s">
        <v>1309</v>
      </c>
      <c r="Y77" s="861" t="s">
        <v>869</v>
      </c>
      <c r="Z77" s="491"/>
      <c r="AA77" s="552"/>
      <c r="AB77" s="389" t="s">
        <v>1404</v>
      </c>
      <c r="AC77" s="310"/>
      <c r="AD77" s="351">
        <v>44884</v>
      </c>
      <c r="AE77" s="351"/>
      <c r="AF77" s="314"/>
      <c r="AG77" s="84" t="s">
        <v>1400</v>
      </c>
      <c r="AH77" s="609">
        <v>45439</v>
      </c>
      <c r="AI77" s="52">
        <v>45154</v>
      </c>
      <c r="AJ77" s="3" t="s">
        <v>1116</v>
      </c>
      <c r="AK77" s="3"/>
      <c r="AL77" s="52">
        <v>45825</v>
      </c>
      <c r="AM77" s="3" t="s">
        <v>1401</v>
      </c>
    </row>
    <row r="78" spans="1:40" ht="13.35" customHeight="1" x14ac:dyDescent="0.25">
      <c r="A78" s="996">
        <v>77</v>
      </c>
      <c r="B78" s="339">
        <v>37231</v>
      </c>
      <c r="C78" s="340" t="s">
        <v>64</v>
      </c>
      <c r="D78" s="314" t="s">
        <v>1405</v>
      </c>
      <c r="E78" s="341" t="s">
        <v>1375</v>
      </c>
      <c r="F78" s="335" t="s">
        <v>1317</v>
      </c>
      <c r="G78" s="335" t="s">
        <v>14</v>
      </c>
      <c r="H78" s="342">
        <v>43702</v>
      </c>
      <c r="I78" s="314">
        <v>541</v>
      </c>
      <c r="J78" s="310" t="s">
        <v>58</v>
      </c>
      <c r="K78" s="491" t="s">
        <v>680</v>
      </c>
      <c r="L78" s="499">
        <v>44342</v>
      </c>
      <c r="M78" s="491" t="s">
        <v>60</v>
      </c>
      <c r="N78" s="499">
        <v>44238</v>
      </c>
      <c r="O78" s="607">
        <v>45149</v>
      </c>
      <c r="P78" s="314"/>
      <c r="Q78" s="310" t="s">
        <v>1376</v>
      </c>
      <c r="R78" s="350">
        <v>44101</v>
      </c>
      <c r="S78" s="581" t="s">
        <v>1332</v>
      </c>
      <c r="T78" s="350">
        <v>44123</v>
      </c>
      <c r="U78" s="350">
        <v>44123</v>
      </c>
      <c r="V78" s="350" t="s">
        <v>63</v>
      </c>
      <c r="W78" s="350">
        <v>44342</v>
      </c>
      <c r="X78" s="310" t="s">
        <v>1309</v>
      </c>
      <c r="Y78" s="861" t="s">
        <v>869</v>
      </c>
      <c r="Z78" s="491"/>
      <c r="AA78" s="552"/>
      <c r="AB78" s="310"/>
      <c r="AC78" s="310"/>
      <c r="AD78" s="343">
        <v>45143</v>
      </c>
      <c r="AE78" s="351"/>
      <c r="AF78" s="520">
        <v>45244</v>
      </c>
      <c r="AG78" s="3" t="s">
        <v>1406</v>
      </c>
      <c r="AH78" s="535">
        <v>45548</v>
      </c>
      <c r="AI78" s="52">
        <v>45244</v>
      </c>
      <c r="AJ78" s="3" t="s">
        <v>1116</v>
      </c>
      <c r="AK78" s="84">
        <v>45399</v>
      </c>
      <c r="AL78" s="3" t="s">
        <v>1407</v>
      </c>
      <c r="AM78" s="84">
        <v>45722</v>
      </c>
      <c r="AN78" s="381"/>
    </row>
    <row r="79" spans="1:40" ht="13.35" customHeight="1" x14ac:dyDescent="0.25">
      <c r="A79" s="996">
        <v>78</v>
      </c>
      <c r="B79" s="339">
        <v>37231</v>
      </c>
      <c r="C79" s="340" t="s">
        <v>54</v>
      </c>
      <c r="D79" s="314" t="s">
        <v>1408</v>
      </c>
      <c r="E79" s="341" t="s">
        <v>1375</v>
      </c>
      <c r="F79" s="335" t="s">
        <v>1317</v>
      </c>
      <c r="G79" s="335" t="s">
        <v>14</v>
      </c>
      <c r="H79" s="342">
        <v>43702</v>
      </c>
      <c r="I79" s="314">
        <v>551</v>
      </c>
      <c r="J79" s="310" t="s">
        <v>58</v>
      </c>
      <c r="K79" s="491" t="s">
        <v>680</v>
      </c>
      <c r="L79" s="499">
        <v>44342</v>
      </c>
      <c r="M79" s="491" t="s">
        <v>60</v>
      </c>
      <c r="N79" s="499">
        <v>44238</v>
      </c>
      <c r="O79" s="607">
        <v>45149</v>
      </c>
      <c r="P79" s="314"/>
      <c r="Q79" s="310" t="s">
        <v>1376</v>
      </c>
      <c r="R79" s="350">
        <v>44101</v>
      </c>
      <c r="S79" s="581" t="s">
        <v>1332</v>
      </c>
      <c r="T79" s="350">
        <v>44123</v>
      </c>
      <c r="U79" s="350">
        <v>44123</v>
      </c>
      <c r="V79" s="350" t="s">
        <v>63</v>
      </c>
      <c r="W79" s="350">
        <v>44342</v>
      </c>
      <c r="X79" s="310" t="s">
        <v>1309</v>
      </c>
      <c r="Y79" s="861" t="s">
        <v>869</v>
      </c>
      <c r="Z79" s="491"/>
      <c r="AA79" s="552"/>
      <c r="AB79" s="310"/>
      <c r="AC79" s="310"/>
      <c r="AD79" s="343">
        <v>45143</v>
      </c>
      <c r="AE79" s="351"/>
      <c r="AF79" s="520">
        <v>45244</v>
      </c>
      <c r="AG79" s="3" t="s">
        <v>1406</v>
      </c>
      <c r="AH79" s="535">
        <v>45548</v>
      </c>
      <c r="AI79" s="52">
        <v>45244</v>
      </c>
      <c r="AJ79" s="3" t="s">
        <v>1116</v>
      </c>
      <c r="AK79" s="84">
        <v>45399</v>
      </c>
      <c r="AL79" s="3" t="s">
        <v>1407</v>
      </c>
      <c r="AM79" s="84">
        <v>45722</v>
      </c>
    </row>
    <row r="80" spans="1:40" ht="12.75" customHeight="1" x14ac:dyDescent="0.25">
      <c r="A80" s="996">
        <v>79</v>
      </c>
      <c r="B80" s="576">
        <v>37232</v>
      </c>
      <c r="C80" s="577" t="s">
        <v>64</v>
      </c>
      <c r="D80" s="580" t="s">
        <v>1409</v>
      </c>
      <c r="E80" s="587" t="s">
        <v>1375</v>
      </c>
      <c r="F80" s="578" t="s">
        <v>1317</v>
      </c>
      <c r="G80" s="578" t="s">
        <v>14</v>
      </c>
      <c r="H80" s="579">
        <v>43703</v>
      </c>
      <c r="I80" s="580">
        <v>540</v>
      </c>
      <c r="J80" s="581" t="s">
        <v>58</v>
      </c>
      <c r="K80" s="582" t="s">
        <v>680</v>
      </c>
      <c r="L80" s="1061">
        <v>44413</v>
      </c>
      <c r="M80" s="582" t="s">
        <v>60</v>
      </c>
      <c r="N80" s="1062">
        <v>44413</v>
      </c>
      <c r="O80" s="894">
        <v>45100</v>
      </c>
      <c r="P80" s="580"/>
      <c r="Q80" s="581" t="s">
        <v>1376</v>
      </c>
      <c r="R80" s="581" t="s">
        <v>1103</v>
      </c>
      <c r="S80" s="581" t="s">
        <v>1332</v>
      </c>
      <c r="T80" s="894">
        <v>44107</v>
      </c>
      <c r="U80" s="894">
        <v>44107</v>
      </c>
      <c r="V80" s="894" t="s">
        <v>63</v>
      </c>
      <c r="W80" s="581" t="s">
        <v>63</v>
      </c>
      <c r="X80" s="581" t="s">
        <v>1309</v>
      </c>
      <c r="Y80" s="861" t="s">
        <v>869</v>
      </c>
      <c r="Z80" s="888"/>
      <c r="AA80" s="889"/>
      <c r="AB80" s="588" t="s">
        <v>1410</v>
      </c>
      <c r="AC80" s="581"/>
      <c r="AD80" s="584">
        <v>44855</v>
      </c>
      <c r="AE80" s="1064"/>
      <c r="AF80" s="580"/>
      <c r="AG80" s="293" t="s">
        <v>1384</v>
      </c>
      <c r="AH80" s="1065">
        <v>45209</v>
      </c>
      <c r="AI80" s="644">
        <v>45289</v>
      </c>
      <c r="AJ80" s="239" t="s">
        <v>1116</v>
      </c>
      <c r="AK80" s="239" t="s">
        <v>1384</v>
      </c>
      <c r="AL80" s="239"/>
      <c r="AM80" s="239" t="s">
        <v>1411</v>
      </c>
      <c r="AN80" s="381"/>
    </row>
    <row r="81" spans="1:40" ht="12.75" customHeight="1" x14ac:dyDescent="0.25">
      <c r="A81" s="996">
        <v>80</v>
      </c>
      <c r="B81" s="855">
        <v>37232</v>
      </c>
      <c r="C81" s="856" t="s">
        <v>54</v>
      </c>
      <c r="D81" s="859" t="s">
        <v>1412</v>
      </c>
      <c r="E81" s="857" t="s">
        <v>1375</v>
      </c>
      <c r="F81" s="858" t="s">
        <v>1317</v>
      </c>
      <c r="G81" s="858" t="s">
        <v>14</v>
      </c>
      <c r="H81" s="860">
        <v>43703</v>
      </c>
      <c r="I81" s="859">
        <v>547</v>
      </c>
      <c r="J81" s="861" t="s">
        <v>58</v>
      </c>
      <c r="K81" s="862" t="s">
        <v>680</v>
      </c>
      <c r="L81" s="1025">
        <v>44413</v>
      </c>
      <c r="M81" s="862" t="s">
        <v>60</v>
      </c>
      <c r="N81" s="1024">
        <v>44413</v>
      </c>
      <c r="O81" s="885">
        <v>45100</v>
      </c>
      <c r="P81" s="859"/>
      <c r="Q81" s="861" t="s">
        <v>1103</v>
      </c>
      <c r="R81" s="861" t="s">
        <v>1103</v>
      </c>
      <c r="S81" s="581" t="s">
        <v>1332</v>
      </c>
      <c r="T81" s="885">
        <v>44107</v>
      </c>
      <c r="U81" s="885">
        <v>44107</v>
      </c>
      <c r="V81" s="885" t="s">
        <v>63</v>
      </c>
      <c r="W81" s="861" t="s">
        <v>63</v>
      </c>
      <c r="X81" s="861" t="s">
        <v>1309</v>
      </c>
      <c r="Y81" s="861" t="s">
        <v>869</v>
      </c>
      <c r="Z81" s="867"/>
      <c r="AA81" s="868"/>
      <c r="AB81" s="884" t="s">
        <v>1413</v>
      </c>
      <c r="AC81" s="861"/>
      <c r="AD81" s="865">
        <v>44855</v>
      </c>
      <c r="AE81" s="880"/>
      <c r="AF81" s="859"/>
      <c r="AG81" s="1026" t="s">
        <v>1384</v>
      </c>
      <c r="AH81" s="1027">
        <v>45209</v>
      </c>
      <c r="AI81" s="876">
        <v>45289</v>
      </c>
      <c r="AJ81" s="115" t="s">
        <v>1116</v>
      </c>
      <c r="AK81" s="115" t="s">
        <v>1384</v>
      </c>
      <c r="AL81" s="115"/>
      <c r="AM81" s="115" t="s">
        <v>1411</v>
      </c>
    </row>
    <row r="82" spans="1:40" ht="12.75" customHeight="1" x14ac:dyDescent="0.25">
      <c r="A82" s="996">
        <v>81</v>
      </c>
      <c r="B82" s="339">
        <v>37233</v>
      </c>
      <c r="C82" s="340" t="s">
        <v>64</v>
      </c>
      <c r="D82" s="314" t="s">
        <v>1414</v>
      </c>
      <c r="E82" s="341" t="s">
        <v>1375</v>
      </c>
      <c r="F82" s="335" t="s">
        <v>1317</v>
      </c>
      <c r="G82" s="335" t="s">
        <v>14</v>
      </c>
      <c r="H82" s="342">
        <v>43703</v>
      </c>
      <c r="I82" s="314">
        <v>546</v>
      </c>
      <c r="J82" s="310" t="s">
        <v>58</v>
      </c>
      <c r="K82" s="491" t="s">
        <v>680</v>
      </c>
      <c r="L82" s="499">
        <v>44325</v>
      </c>
      <c r="M82" s="491" t="s">
        <v>1415</v>
      </c>
      <c r="N82" s="491"/>
      <c r="O82" s="519">
        <v>45147</v>
      </c>
      <c r="P82" s="314"/>
      <c r="Q82" s="310" t="s">
        <v>1376</v>
      </c>
      <c r="R82" s="310" t="s">
        <v>1103</v>
      </c>
      <c r="S82" s="350">
        <v>44325</v>
      </c>
      <c r="T82" s="350">
        <v>44101</v>
      </c>
      <c r="U82" s="350">
        <v>44101</v>
      </c>
      <c r="V82" s="350" t="s">
        <v>63</v>
      </c>
      <c r="W82" s="310" t="s">
        <v>63</v>
      </c>
      <c r="X82" s="310" t="s">
        <v>1309</v>
      </c>
      <c r="Y82" s="861" t="s">
        <v>869</v>
      </c>
      <c r="Z82" s="491"/>
      <c r="AA82" s="552"/>
      <c r="AB82" s="310"/>
      <c r="AC82" s="310"/>
      <c r="AD82" s="343">
        <v>44874</v>
      </c>
      <c r="AE82" s="351"/>
      <c r="AF82" s="520">
        <v>45261</v>
      </c>
      <c r="AG82" s="350">
        <v>45608</v>
      </c>
      <c r="AH82" s="350">
        <v>45312</v>
      </c>
      <c r="AI82" s="52">
        <v>45261</v>
      </c>
      <c r="AJ82" s="3" t="s">
        <v>1116</v>
      </c>
      <c r="AK82" s="84">
        <v>45472</v>
      </c>
      <c r="AL82" s="3"/>
      <c r="AM82" s="84">
        <v>45637</v>
      </c>
    </row>
    <row r="83" spans="1:40" ht="12.75" customHeight="1" x14ac:dyDescent="0.25">
      <c r="A83" s="996">
        <v>82</v>
      </c>
      <c r="B83" s="339">
        <v>37233</v>
      </c>
      <c r="C83" s="340" t="s">
        <v>54</v>
      </c>
      <c r="D83" s="314" t="s">
        <v>1416</v>
      </c>
      <c r="E83" s="341" t="s">
        <v>1375</v>
      </c>
      <c r="F83" s="335" t="s">
        <v>1317</v>
      </c>
      <c r="G83" s="335" t="s">
        <v>14</v>
      </c>
      <c r="H83" s="342">
        <v>43703</v>
      </c>
      <c r="I83" s="314">
        <v>550</v>
      </c>
      <c r="J83" s="310" t="s">
        <v>58</v>
      </c>
      <c r="K83" s="491" t="s">
        <v>680</v>
      </c>
      <c r="L83" s="499">
        <v>44325</v>
      </c>
      <c r="M83" s="491" t="s">
        <v>60</v>
      </c>
      <c r="N83" s="499">
        <v>44273</v>
      </c>
      <c r="O83" s="519">
        <v>45147</v>
      </c>
      <c r="P83" s="314"/>
      <c r="Q83" s="310" t="s">
        <v>1376</v>
      </c>
      <c r="R83" s="310" t="s">
        <v>1103</v>
      </c>
      <c r="S83" s="350">
        <v>44325</v>
      </c>
      <c r="T83" s="350">
        <v>44101</v>
      </c>
      <c r="U83" s="350">
        <v>44101</v>
      </c>
      <c r="V83" s="350" t="s">
        <v>63</v>
      </c>
      <c r="W83" s="310" t="s">
        <v>63</v>
      </c>
      <c r="X83" s="310" t="s">
        <v>1309</v>
      </c>
      <c r="Y83" s="861" t="s">
        <v>869</v>
      </c>
      <c r="Z83" s="491"/>
      <c r="AA83" s="552"/>
      <c r="AB83" s="310"/>
      <c r="AC83" s="310"/>
      <c r="AD83" s="343">
        <v>44874</v>
      </c>
      <c r="AE83" s="351"/>
      <c r="AF83" s="520">
        <v>45261</v>
      </c>
      <c r="AG83" s="350">
        <v>45608</v>
      </c>
      <c r="AH83" s="350">
        <v>45312</v>
      </c>
      <c r="AI83" s="52">
        <v>45261</v>
      </c>
      <c r="AJ83" s="3" t="s">
        <v>1116</v>
      </c>
      <c r="AK83" s="84">
        <v>45472</v>
      </c>
      <c r="AL83" s="3"/>
      <c r="AM83" s="84">
        <v>45637</v>
      </c>
    </row>
    <row r="84" spans="1:40" ht="12.75" customHeight="1" x14ac:dyDescent="0.25">
      <c r="A84" s="996">
        <v>83</v>
      </c>
      <c r="B84" s="576">
        <v>37234</v>
      </c>
      <c r="C84" s="577" t="s">
        <v>64</v>
      </c>
      <c r="D84" s="580" t="s">
        <v>1417</v>
      </c>
      <c r="E84" s="587" t="s">
        <v>1375</v>
      </c>
      <c r="F84" s="578" t="s">
        <v>1317</v>
      </c>
      <c r="G84" s="578" t="s">
        <v>14</v>
      </c>
      <c r="H84" s="579">
        <v>43707</v>
      </c>
      <c r="I84" s="580">
        <v>559</v>
      </c>
      <c r="J84" s="581" t="s">
        <v>58</v>
      </c>
      <c r="K84" s="582" t="s">
        <v>680</v>
      </c>
      <c r="L84" s="1061">
        <v>44330</v>
      </c>
      <c r="M84" s="582" t="s">
        <v>60</v>
      </c>
      <c r="N84" s="1062">
        <v>44330</v>
      </c>
      <c r="O84" s="894">
        <v>45195</v>
      </c>
      <c r="P84" s="580"/>
      <c r="Q84" s="581" t="s">
        <v>1103</v>
      </c>
      <c r="R84" s="581" t="s">
        <v>1103</v>
      </c>
      <c r="S84" s="581" t="s">
        <v>1332</v>
      </c>
      <c r="T84" s="581" t="s">
        <v>1103</v>
      </c>
      <c r="U84" s="581" t="s">
        <v>1103</v>
      </c>
      <c r="V84" s="894" t="s">
        <v>63</v>
      </c>
      <c r="W84" s="581" t="s">
        <v>63</v>
      </c>
      <c r="X84" s="581" t="s">
        <v>1309</v>
      </c>
      <c r="Y84" s="861" t="s">
        <v>869</v>
      </c>
      <c r="Z84" s="888"/>
      <c r="AA84" s="889"/>
      <c r="AB84" s="581"/>
      <c r="AC84" s="581"/>
      <c r="AD84" s="584">
        <v>45195</v>
      </c>
      <c r="AE84" s="1064"/>
      <c r="AF84" s="893">
        <v>45195</v>
      </c>
      <c r="AG84" s="894">
        <v>45482</v>
      </c>
      <c r="AH84" s="994">
        <v>45481</v>
      </c>
      <c r="AI84" s="1075">
        <v>45511</v>
      </c>
      <c r="AJ84" s="239" t="s">
        <v>1116</v>
      </c>
      <c r="AK84" s="239"/>
      <c r="AL84" s="239"/>
      <c r="AM84" s="239"/>
      <c r="AN84" s="381"/>
    </row>
    <row r="85" spans="1:40" ht="12.75" customHeight="1" x14ac:dyDescent="0.25">
      <c r="A85" s="996">
        <v>84</v>
      </c>
      <c r="B85" s="855">
        <v>37234</v>
      </c>
      <c r="C85" s="856" t="s">
        <v>54</v>
      </c>
      <c r="D85" s="858" t="s">
        <v>1418</v>
      </c>
      <c r="E85" s="857" t="s">
        <v>1375</v>
      </c>
      <c r="F85" s="858" t="s">
        <v>1317</v>
      </c>
      <c r="G85" s="858" t="s">
        <v>14</v>
      </c>
      <c r="H85" s="860">
        <v>43707</v>
      </c>
      <c r="I85" s="859">
        <v>561</v>
      </c>
      <c r="J85" s="861" t="s">
        <v>58</v>
      </c>
      <c r="K85" s="862" t="s">
        <v>680</v>
      </c>
      <c r="L85" s="1025">
        <v>44330</v>
      </c>
      <c r="M85" s="862" t="s">
        <v>60</v>
      </c>
      <c r="N85" s="1024">
        <v>44330</v>
      </c>
      <c r="O85" s="885">
        <v>45195</v>
      </c>
      <c r="P85" s="859"/>
      <c r="Q85" s="861" t="s">
        <v>1103</v>
      </c>
      <c r="R85" s="861" t="s">
        <v>1103</v>
      </c>
      <c r="S85" s="581" t="s">
        <v>1332</v>
      </c>
      <c r="T85" s="861" t="s">
        <v>1103</v>
      </c>
      <c r="U85" s="861" t="s">
        <v>1103</v>
      </c>
      <c r="V85" s="885" t="s">
        <v>63</v>
      </c>
      <c r="W85" s="861" t="s">
        <v>63</v>
      </c>
      <c r="X85" s="861" t="s">
        <v>1309</v>
      </c>
      <c r="Y85" s="861" t="s">
        <v>869</v>
      </c>
      <c r="Z85" s="867"/>
      <c r="AA85" s="868"/>
      <c r="AB85" s="861"/>
      <c r="AC85" s="861"/>
      <c r="AD85" s="865">
        <v>45195</v>
      </c>
      <c r="AE85" s="880"/>
      <c r="AF85" s="871">
        <v>45195</v>
      </c>
      <c r="AG85" s="885">
        <v>45482</v>
      </c>
      <c r="AH85" s="877">
        <v>45481</v>
      </c>
      <c r="AI85" s="940">
        <v>45511</v>
      </c>
      <c r="AJ85" s="115" t="s">
        <v>1116</v>
      </c>
      <c r="AK85" s="115"/>
      <c r="AL85" s="115"/>
      <c r="AM85" s="115"/>
      <c r="AN85" s="381"/>
    </row>
    <row r="86" spans="1:40" ht="12.75" customHeight="1" x14ac:dyDescent="0.25">
      <c r="A86" s="996">
        <v>85</v>
      </c>
      <c r="B86" s="339">
        <v>37278</v>
      </c>
      <c r="C86" s="340" t="s">
        <v>64</v>
      </c>
      <c r="D86" s="341" t="s">
        <v>1419</v>
      </c>
      <c r="E86" s="341" t="s">
        <v>1375</v>
      </c>
      <c r="F86" s="335" t="s">
        <v>1317</v>
      </c>
      <c r="G86" s="335" t="s">
        <v>14</v>
      </c>
      <c r="H86" s="342">
        <v>43795</v>
      </c>
      <c r="I86" s="314">
        <v>601</v>
      </c>
      <c r="J86" s="310" t="s">
        <v>58</v>
      </c>
      <c r="K86" s="491" t="s">
        <v>680</v>
      </c>
      <c r="L86" s="499">
        <v>44366</v>
      </c>
      <c r="M86" s="491" t="s">
        <v>60</v>
      </c>
      <c r="N86" s="499">
        <v>44252</v>
      </c>
      <c r="O86" s="350">
        <v>45181</v>
      </c>
      <c r="P86" s="314"/>
      <c r="Q86" s="310" t="s">
        <v>1103</v>
      </c>
      <c r="R86" s="310" t="s">
        <v>1103</v>
      </c>
      <c r="S86" s="581" t="s">
        <v>1332</v>
      </c>
      <c r="T86" s="310" t="s">
        <v>1103</v>
      </c>
      <c r="U86" s="310" t="s">
        <v>1103</v>
      </c>
      <c r="V86" s="350" t="s">
        <v>63</v>
      </c>
      <c r="W86" s="350">
        <v>44368</v>
      </c>
      <c r="X86" s="310" t="s">
        <v>1309</v>
      </c>
      <c r="Y86" s="861" t="s">
        <v>869</v>
      </c>
      <c r="Z86" s="491"/>
      <c r="AA86" s="552"/>
      <c r="AB86" s="310"/>
      <c r="AC86" s="310"/>
      <c r="AD86" s="351">
        <v>45273</v>
      </c>
      <c r="AE86" s="351"/>
      <c r="AF86" s="520">
        <v>45273</v>
      </c>
      <c r="AG86" s="3" t="s">
        <v>1420</v>
      </c>
      <c r="AH86" s="535">
        <v>45565</v>
      </c>
      <c r="AI86" s="143">
        <v>45273</v>
      </c>
      <c r="AJ86" s="3" t="s">
        <v>1116</v>
      </c>
      <c r="AK86" s="3"/>
      <c r="AL86" s="84">
        <v>45331</v>
      </c>
      <c r="AM86" s="3" t="s">
        <v>1105</v>
      </c>
    </row>
    <row r="87" spans="1:40" ht="12.75" customHeight="1" x14ac:dyDescent="0.25">
      <c r="A87" s="996">
        <v>86</v>
      </c>
      <c r="B87" s="339">
        <v>37278</v>
      </c>
      <c r="C87" s="340" t="s">
        <v>54</v>
      </c>
      <c r="D87" s="314" t="s">
        <v>1421</v>
      </c>
      <c r="E87" s="341" t="s">
        <v>1375</v>
      </c>
      <c r="F87" s="335" t="s">
        <v>1317</v>
      </c>
      <c r="G87" s="335" t="s">
        <v>14</v>
      </c>
      <c r="H87" s="342">
        <v>43795</v>
      </c>
      <c r="I87" s="314">
        <v>602</v>
      </c>
      <c r="J87" s="310" t="s">
        <v>58</v>
      </c>
      <c r="K87" s="491" t="s">
        <v>680</v>
      </c>
      <c r="L87" s="499">
        <v>44366</v>
      </c>
      <c r="M87" s="491" t="s">
        <v>60</v>
      </c>
      <c r="N87" s="499">
        <v>44252</v>
      </c>
      <c r="O87" s="350">
        <v>45181</v>
      </c>
      <c r="P87" s="314"/>
      <c r="Q87" s="310" t="s">
        <v>1103</v>
      </c>
      <c r="R87" s="310" t="s">
        <v>1103</v>
      </c>
      <c r="S87" s="581" t="s">
        <v>1332</v>
      </c>
      <c r="T87" s="310" t="s">
        <v>1103</v>
      </c>
      <c r="U87" s="310" t="s">
        <v>1103</v>
      </c>
      <c r="V87" s="350" t="s">
        <v>63</v>
      </c>
      <c r="W87" s="350">
        <v>44368</v>
      </c>
      <c r="X87" s="310" t="s">
        <v>1309</v>
      </c>
      <c r="Y87" s="861" t="s">
        <v>869</v>
      </c>
      <c r="Z87" s="491"/>
      <c r="AA87" s="552"/>
      <c r="AB87" s="310"/>
      <c r="AC87" s="310"/>
      <c r="AD87" s="351">
        <v>45273</v>
      </c>
      <c r="AE87" s="351"/>
      <c r="AF87" s="520">
        <v>45273</v>
      </c>
      <c r="AG87" s="3" t="s">
        <v>1420</v>
      </c>
      <c r="AH87" s="535">
        <v>45565</v>
      </c>
      <c r="AI87" s="143">
        <v>45273</v>
      </c>
      <c r="AJ87" s="3" t="s">
        <v>1116</v>
      </c>
      <c r="AK87" s="3"/>
      <c r="AL87" s="84">
        <v>45331</v>
      </c>
      <c r="AM87" s="3" t="s">
        <v>1105</v>
      </c>
    </row>
    <row r="88" spans="1:40" ht="12.75" customHeight="1" x14ac:dyDescent="0.25">
      <c r="A88" s="996">
        <v>87</v>
      </c>
      <c r="B88" s="576">
        <v>37280</v>
      </c>
      <c r="C88" s="577" t="s">
        <v>64</v>
      </c>
      <c r="D88" s="587" t="s">
        <v>1422</v>
      </c>
      <c r="E88" s="587" t="s">
        <v>1375</v>
      </c>
      <c r="F88" s="578" t="s">
        <v>1317</v>
      </c>
      <c r="G88" s="578" t="s">
        <v>14</v>
      </c>
      <c r="H88" s="579">
        <v>43796</v>
      </c>
      <c r="I88" s="580">
        <v>639</v>
      </c>
      <c r="J88" s="581" t="s">
        <v>58</v>
      </c>
      <c r="K88" s="582" t="s">
        <v>680</v>
      </c>
      <c r="L88" s="1061">
        <v>44420</v>
      </c>
      <c r="M88" s="582"/>
      <c r="N88" s="1062"/>
      <c r="O88" s="894">
        <v>45125</v>
      </c>
      <c r="P88" s="580"/>
      <c r="Q88" s="581" t="s">
        <v>1103</v>
      </c>
      <c r="R88" s="581" t="s">
        <v>1103</v>
      </c>
      <c r="S88" s="581" t="s">
        <v>1332</v>
      </c>
      <c r="T88" s="581" t="s">
        <v>1103</v>
      </c>
      <c r="U88" s="581" t="s">
        <v>1103</v>
      </c>
      <c r="V88" s="894" t="s">
        <v>63</v>
      </c>
      <c r="W88" s="894">
        <v>45266</v>
      </c>
      <c r="X88" s="581" t="s">
        <v>1309</v>
      </c>
      <c r="Y88" s="861" t="s">
        <v>869</v>
      </c>
      <c r="Z88" s="888"/>
      <c r="AA88" s="889"/>
      <c r="AB88" s="581"/>
      <c r="AC88" s="581"/>
      <c r="AD88" s="1064">
        <v>45266</v>
      </c>
      <c r="AE88" s="1064"/>
      <c r="AF88" s="893">
        <v>45266</v>
      </c>
      <c r="AG88" s="537">
        <v>45475</v>
      </c>
      <c r="AH88" s="990">
        <v>45367</v>
      </c>
      <c r="AI88" s="1066">
        <v>45266</v>
      </c>
      <c r="AJ88" s="239" t="s">
        <v>1116</v>
      </c>
      <c r="AK88" s="644">
        <v>45634</v>
      </c>
      <c r="AL88" s="239"/>
      <c r="AM88" s="239" t="s">
        <v>1326</v>
      </c>
    </row>
    <row r="89" spans="1:40" ht="12.75" customHeight="1" x14ac:dyDescent="0.25">
      <c r="A89" s="996">
        <v>88</v>
      </c>
      <c r="B89" s="339">
        <v>37280</v>
      </c>
      <c r="C89" s="340" t="s">
        <v>54</v>
      </c>
      <c r="D89" s="341" t="s">
        <v>1423</v>
      </c>
      <c r="E89" s="341" t="s">
        <v>1375</v>
      </c>
      <c r="F89" s="335" t="s">
        <v>1317</v>
      </c>
      <c r="G89" s="335" t="s">
        <v>14</v>
      </c>
      <c r="H89" s="342">
        <v>43796</v>
      </c>
      <c r="I89" s="314">
        <v>638</v>
      </c>
      <c r="J89" s="310" t="s">
        <v>58</v>
      </c>
      <c r="K89" s="491" t="s">
        <v>680</v>
      </c>
      <c r="L89" s="595">
        <v>44420</v>
      </c>
      <c r="M89" s="491" t="s">
        <v>60</v>
      </c>
      <c r="N89" s="499">
        <v>44389</v>
      </c>
      <c r="O89" s="350">
        <v>45125</v>
      </c>
      <c r="P89" s="314"/>
      <c r="Q89" s="310" t="s">
        <v>1103</v>
      </c>
      <c r="R89" s="310" t="s">
        <v>1103</v>
      </c>
      <c r="S89" s="581" t="s">
        <v>1332</v>
      </c>
      <c r="T89" s="310" t="s">
        <v>1103</v>
      </c>
      <c r="U89" s="310" t="s">
        <v>1103</v>
      </c>
      <c r="V89" s="350" t="s">
        <v>63</v>
      </c>
      <c r="W89" s="350">
        <v>45266</v>
      </c>
      <c r="X89" s="310" t="s">
        <v>1309</v>
      </c>
      <c r="Y89" s="861" t="s">
        <v>869</v>
      </c>
      <c r="Z89" s="593"/>
      <c r="AA89" s="589"/>
      <c r="AB89" s="310"/>
      <c r="AC89" s="310"/>
      <c r="AD89" s="351">
        <v>45266</v>
      </c>
      <c r="AE89" s="351"/>
      <c r="AF89" s="520">
        <v>45266</v>
      </c>
      <c r="AG89" s="536">
        <v>45475</v>
      </c>
      <c r="AH89" s="609">
        <v>45367</v>
      </c>
      <c r="AI89" s="143">
        <v>45266</v>
      </c>
      <c r="AJ89" s="3" t="s">
        <v>1116</v>
      </c>
      <c r="AK89" s="84">
        <v>45634</v>
      </c>
      <c r="AL89" s="3"/>
      <c r="AM89" s="3" t="s">
        <v>1326</v>
      </c>
    </row>
    <row r="90" spans="1:40" ht="12.75" customHeight="1" x14ac:dyDescent="0.25">
      <c r="A90" s="996">
        <v>89</v>
      </c>
      <c r="B90" s="339">
        <v>37305</v>
      </c>
      <c r="C90" s="340" t="s">
        <v>64</v>
      </c>
      <c r="D90" s="314" t="s">
        <v>1424</v>
      </c>
      <c r="E90" s="341" t="s">
        <v>1375</v>
      </c>
      <c r="F90" s="335" t="s">
        <v>1317</v>
      </c>
      <c r="G90" s="335" t="s">
        <v>14</v>
      </c>
      <c r="H90" s="342">
        <v>43823</v>
      </c>
      <c r="I90" s="314">
        <v>605</v>
      </c>
      <c r="J90" s="310" t="s">
        <v>58</v>
      </c>
      <c r="K90" s="491" t="s">
        <v>680</v>
      </c>
      <c r="L90" s="595">
        <v>44331</v>
      </c>
      <c r="M90" s="491" t="s">
        <v>60</v>
      </c>
      <c r="N90" s="499">
        <v>44260</v>
      </c>
      <c r="O90" s="350"/>
      <c r="P90" s="314"/>
      <c r="Q90" s="310" t="s">
        <v>1103</v>
      </c>
      <c r="R90" s="310" t="s">
        <v>1103</v>
      </c>
      <c r="S90" s="350">
        <v>44236</v>
      </c>
      <c r="T90" s="310" t="s">
        <v>1103</v>
      </c>
      <c r="U90" s="310" t="s">
        <v>1103</v>
      </c>
      <c r="V90" s="350" t="s">
        <v>63</v>
      </c>
      <c r="W90" s="350">
        <v>44365</v>
      </c>
      <c r="X90" s="310" t="s">
        <v>1309</v>
      </c>
      <c r="Y90" s="861" t="s">
        <v>869</v>
      </c>
      <c r="Z90" s="593"/>
      <c r="AA90" s="589"/>
      <c r="AB90" s="310"/>
      <c r="AC90" s="310"/>
      <c r="AD90" s="351">
        <v>45083</v>
      </c>
      <c r="AE90" s="351"/>
      <c r="AF90" s="344">
        <v>45275</v>
      </c>
      <c r="AG90" s="350">
        <v>45475</v>
      </c>
      <c r="AH90" s="535">
        <v>45475</v>
      </c>
      <c r="AI90" s="251">
        <v>45275</v>
      </c>
      <c r="AJ90" s="3" t="s">
        <v>1116</v>
      </c>
      <c r="AK90" s="3" t="s">
        <v>1425</v>
      </c>
      <c r="AL90" s="3"/>
      <c r="AM90" s="3" t="s">
        <v>1425</v>
      </c>
    </row>
    <row r="91" spans="1:40" ht="12.75" customHeight="1" x14ac:dyDescent="0.25">
      <c r="A91" s="996">
        <v>90</v>
      </c>
      <c r="B91" s="339">
        <v>37305</v>
      </c>
      <c r="C91" s="340" t="s">
        <v>54</v>
      </c>
      <c r="D91" s="341" t="s">
        <v>1426</v>
      </c>
      <c r="E91" s="341" t="s">
        <v>1375</v>
      </c>
      <c r="F91" s="335" t="s">
        <v>1317</v>
      </c>
      <c r="G91" s="335" t="s">
        <v>14</v>
      </c>
      <c r="H91" s="342">
        <v>43823</v>
      </c>
      <c r="I91" s="314">
        <v>584</v>
      </c>
      <c r="J91" s="310" t="s">
        <v>58</v>
      </c>
      <c r="K91" s="491" t="s">
        <v>680</v>
      </c>
      <c r="L91" s="595">
        <v>44331</v>
      </c>
      <c r="M91" s="491" t="s">
        <v>60</v>
      </c>
      <c r="N91" s="499">
        <v>44260</v>
      </c>
      <c r="O91" s="350"/>
      <c r="P91" s="314"/>
      <c r="Q91" s="310" t="s">
        <v>1103</v>
      </c>
      <c r="R91" s="310" t="s">
        <v>1103</v>
      </c>
      <c r="S91" s="350">
        <v>44365</v>
      </c>
      <c r="T91" s="310" t="s">
        <v>1103</v>
      </c>
      <c r="U91" s="310" t="s">
        <v>1103</v>
      </c>
      <c r="V91" s="350" t="s">
        <v>63</v>
      </c>
      <c r="W91" s="350">
        <v>44365</v>
      </c>
      <c r="X91" s="310" t="s">
        <v>1309</v>
      </c>
      <c r="Y91" s="861" t="s">
        <v>869</v>
      </c>
      <c r="Z91" s="593"/>
      <c r="AA91" s="589"/>
      <c r="AB91" s="310"/>
      <c r="AC91" s="310"/>
      <c r="AD91" s="351">
        <v>45083</v>
      </c>
      <c r="AE91" s="351"/>
      <c r="AF91" s="344">
        <v>45275</v>
      </c>
      <c r="AG91" s="350">
        <v>45475</v>
      </c>
      <c r="AH91" s="535">
        <v>45475</v>
      </c>
      <c r="AI91" s="251">
        <v>45275</v>
      </c>
      <c r="AJ91" s="3" t="s">
        <v>1116</v>
      </c>
      <c r="AK91" s="3" t="s">
        <v>1425</v>
      </c>
      <c r="AL91" s="3"/>
      <c r="AM91" s="3" t="s">
        <v>1425</v>
      </c>
    </row>
    <row r="92" spans="1:40" ht="12.75" customHeight="1" x14ac:dyDescent="0.25">
      <c r="A92" s="996">
        <v>91</v>
      </c>
      <c r="B92" s="353">
        <v>37349</v>
      </c>
      <c r="C92" s="340" t="s">
        <v>64</v>
      </c>
      <c r="D92" s="345" t="s">
        <v>1427</v>
      </c>
      <c r="E92" s="341" t="s">
        <v>1375</v>
      </c>
      <c r="F92" s="335" t="s">
        <v>1317</v>
      </c>
      <c r="G92" s="335" t="s">
        <v>14</v>
      </c>
      <c r="H92" s="336">
        <v>43904</v>
      </c>
      <c r="I92" s="314">
        <v>603</v>
      </c>
      <c r="J92" s="310" t="s">
        <v>58</v>
      </c>
      <c r="K92" s="491" t="s">
        <v>680</v>
      </c>
      <c r="L92" s="595"/>
      <c r="M92" s="491"/>
      <c r="N92" s="499"/>
      <c r="O92" s="350"/>
      <c r="P92" s="314"/>
      <c r="Q92" s="310" t="s">
        <v>1376</v>
      </c>
      <c r="R92" s="310" t="s">
        <v>206</v>
      </c>
      <c r="S92" s="350" t="s">
        <v>206</v>
      </c>
      <c r="T92" s="310" t="s">
        <v>1103</v>
      </c>
      <c r="U92" s="310" t="s">
        <v>1103</v>
      </c>
      <c r="V92" s="350" t="s">
        <v>63</v>
      </c>
      <c r="W92" s="350" t="s">
        <v>63</v>
      </c>
      <c r="X92" s="350" t="s">
        <v>1428</v>
      </c>
      <c r="Y92" s="861" t="s">
        <v>869</v>
      </c>
      <c r="Z92" s="593"/>
      <c r="AA92" s="589"/>
      <c r="AB92" s="310"/>
      <c r="AC92" s="310"/>
      <c r="AD92" s="351" t="s">
        <v>63</v>
      </c>
      <c r="AE92" s="351"/>
      <c r="AF92" s="520">
        <v>45225</v>
      </c>
      <c r="AG92" s="350">
        <v>45485</v>
      </c>
      <c r="AH92" s="535">
        <v>45486</v>
      </c>
      <c r="AI92" s="143">
        <v>45225</v>
      </c>
      <c r="AJ92" s="3" t="s">
        <v>1116</v>
      </c>
      <c r="AK92" s="3" t="s">
        <v>1429</v>
      </c>
      <c r="AL92" s="3"/>
      <c r="AM92" s="3" t="s">
        <v>1430</v>
      </c>
    </row>
    <row r="93" spans="1:40" ht="12.75" customHeight="1" x14ac:dyDescent="0.25">
      <c r="A93" s="996">
        <v>92</v>
      </c>
      <c r="B93" s="1028">
        <v>37349</v>
      </c>
      <c r="C93" s="856" t="s">
        <v>54</v>
      </c>
      <c r="D93" s="1029" t="s">
        <v>1421</v>
      </c>
      <c r="E93" s="857" t="s">
        <v>1375</v>
      </c>
      <c r="F93" s="858" t="s">
        <v>1317</v>
      </c>
      <c r="G93" s="858" t="s">
        <v>14</v>
      </c>
      <c r="H93" s="1030">
        <v>43904</v>
      </c>
      <c r="I93" s="859">
        <v>602</v>
      </c>
      <c r="J93" s="861" t="s">
        <v>58</v>
      </c>
      <c r="K93" s="862" t="s">
        <v>680</v>
      </c>
      <c r="L93" s="1025"/>
      <c r="M93" s="862"/>
      <c r="N93" s="1024"/>
      <c r="O93" s="885"/>
      <c r="P93" s="859"/>
      <c r="Q93" s="861" t="s">
        <v>1376</v>
      </c>
      <c r="R93" s="861" t="s">
        <v>206</v>
      </c>
      <c r="S93" s="885" t="s">
        <v>206</v>
      </c>
      <c r="T93" s="861" t="s">
        <v>1103</v>
      </c>
      <c r="U93" s="861" t="s">
        <v>1103</v>
      </c>
      <c r="V93" s="885" t="s">
        <v>63</v>
      </c>
      <c r="W93" s="885" t="s">
        <v>63</v>
      </c>
      <c r="X93" s="885" t="s">
        <v>1428</v>
      </c>
      <c r="Y93" s="861" t="s">
        <v>869</v>
      </c>
      <c r="Z93" s="867"/>
      <c r="AA93" s="868"/>
      <c r="AB93" s="861"/>
      <c r="AC93" s="861"/>
      <c r="AD93" s="880" t="s">
        <v>63</v>
      </c>
      <c r="AE93" s="880"/>
      <c r="AF93" s="871">
        <v>45225</v>
      </c>
      <c r="AG93" s="885">
        <v>45485</v>
      </c>
      <c r="AH93" s="877">
        <v>45486</v>
      </c>
      <c r="AI93" s="405">
        <v>45225</v>
      </c>
      <c r="AJ93" s="115" t="s">
        <v>1116</v>
      </c>
      <c r="AK93" s="115" t="s">
        <v>1429</v>
      </c>
      <c r="AL93" s="115"/>
      <c r="AM93" s="115" t="s">
        <v>1430</v>
      </c>
    </row>
    <row r="94" spans="1:40" ht="12.75" customHeight="1" x14ac:dyDescent="0.25">
      <c r="A94" s="996">
        <v>93</v>
      </c>
      <c r="B94" s="339">
        <v>37351</v>
      </c>
      <c r="C94" s="340" t="s">
        <v>64</v>
      </c>
      <c r="D94" s="345" t="s">
        <v>1431</v>
      </c>
      <c r="E94" s="341" t="s">
        <v>1375</v>
      </c>
      <c r="F94" s="335" t="s">
        <v>1317</v>
      </c>
      <c r="G94" s="335" t="s">
        <v>14</v>
      </c>
      <c r="H94" s="342">
        <v>43911</v>
      </c>
      <c r="I94" s="314">
        <v>739</v>
      </c>
      <c r="J94" s="310" t="s">
        <v>58</v>
      </c>
      <c r="K94" s="491" t="s">
        <v>680</v>
      </c>
      <c r="L94" s="499"/>
      <c r="M94" s="491"/>
      <c r="N94" s="499"/>
      <c r="O94" s="350"/>
      <c r="P94" s="314"/>
      <c r="Q94" s="310" t="s">
        <v>1376</v>
      </c>
      <c r="R94" s="310" t="s">
        <v>1103</v>
      </c>
      <c r="S94" s="350" t="s">
        <v>206</v>
      </c>
      <c r="T94" s="310" t="s">
        <v>1103</v>
      </c>
      <c r="U94" s="310" t="s">
        <v>1103</v>
      </c>
      <c r="V94" s="350" t="s">
        <v>63</v>
      </c>
      <c r="W94" s="350" t="s">
        <v>63</v>
      </c>
      <c r="X94" s="350" t="s">
        <v>1244</v>
      </c>
      <c r="Y94" s="861" t="s">
        <v>869</v>
      </c>
      <c r="Z94" s="491"/>
      <c r="AA94" s="552"/>
      <c r="AB94" s="310"/>
      <c r="AC94" s="310"/>
      <c r="AD94" s="519">
        <v>44889</v>
      </c>
      <c r="AE94" s="351"/>
      <c r="AF94" s="314"/>
      <c r="AG94" s="350">
        <v>45507</v>
      </c>
      <c r="AH94" s="535">
        <v>45507</v>
      </c>
      <c r="AI94" s="84">
        <v>45330</v>
      </c>
      <c r="AJ94" s="3" t="s">
        <v>1116</v>
      </c>
      <c r="AK94" s="84">
        <v>45406</v>
      </c>
      <c r="AL94" s="3"/>
      <c r="AM94" s="52">
        <v>45631</v>
      </c>
      <c r="AN94" s="381"/>
    </row>
    <row r="95" spans="1:40" ht="12.75" customHeight="1" x14ac:dyDescent="0.25">
      <c r="A95" s="996">
        <v>94</v>
      </c>
      <c r="B95" s="339">
        <v>37351</v>
      </c>
      <c r="C95" s="340" t="s">
        <v>54</v>
      </c>
      <c r="D95" s="345" t="s">
        <v>1432</v>
      </c>
      <c r="E95" s="341" t="s">
        <v>1375</v>
      </c>
      <c r="F95" s="335" t="s">
        <v>1317</v>
      </c>
      <c r="G95" s="335" t="s">
        <v>14</v>
      </c>
      <c r="H95" s="342">
        <v>43911</v>
      </c>
      <c r="I95" s="314">
        <v>738</v>
      </c>
      <c r="J95" s="310" t="s">
        <v>58</v>
      </c>
      <c r="K95" s="491" t="s">
        <v>680</v>
      </c>
      <c r="L95" s="499"/>
      <c r="M95" s="491"/>
      <c r="N95" s="499"/>
      <c r="O95" s="350"/>
      <c r="P95" s="314"/>
      <c r="Q95" s="310" t="s">
        <v>1376</v>
      </c>
      <c r="R95" s="310" t="s">
        <v>1103</v>
      </c>
      <c r="S95" s="885" t="s">
        <v>206</v>
      </c>
      <c r="T95" s="310" t="s">
        <v>1103</v>
      </c>
      <c r="U95" s="310" t="s">
        <v>1103</v>
      </c>
      <c r="V95" s="350" t="s">
        <v>63</v>
      </c>
      <c r="W95" s="350" t="s">
        <v>63</v>
      </c>
      <c r="X95" s="350" t="s">
        <v>1244</v>
      </c>
      <c r="Y95" s="861" t="s">
        <v>869</v>
      </c>
      <c r="Z95" s="491"/>
      <c r="AA95" s="552"/>
      <c r="AB95" s="310"/>
      <c r="AC95" s="310"/>
      <c r="AD95" s="519">
        <v>44889</v>
      </c>
      <c r="AE95" s="351"/>
      <c r="AF95" s="314"/>
      <c r="AG95" s="350">
        <v>45507</v>
      </c>
      <c r="AH95" s="535">
        <v>45507</v>
      </c>
      <c r="AI95" s="84">
        <v>45330</v>
      </c>
      <c r="AJ95" s="3" t="s">
        <v>1116</v>
      </c>
      <c r="AK95" s="84">
        <v>45406</v>
      </c>
      <c r="AL95" s="3"/>
      <c r="AM95" s="52">
        <v>45631</v>
      </c>
    </row>
    <row r="96" spans="1:40" ht="12.75" customHeight="1" x14ac:dyDescent="0.25">
      <c r="A96" s="996">
        <v>95</v>
      </c>
      <c r="B96" s="1067">
        <v>37374</v>
      </c>
      <c r="C96" s="577" t="s">
        <v>64</v>
      </c>
      <c r="D96" s="1068" t="s">
        <v>1433</v>
      </c>
      <c r="E96" s="587" t="s">
        <v>1375</v>
      </c>
      <c r="F96" s="578" t="s">
        <v>1317</v>
      </c>
      <c r="G96" s="578" t="s">
        <v>14</v>
      </c>
      <c r="H96" s="1069">
        <v>43998</v>
      </c>
      <c r="I96" s="580">
        <v>732</v>
      </c>
      <c r="J96" s="581" t="s">
        <v>58</v>
      </c>
      <c r="K96" s="582" t="s">
        <v>680</v>
      </c>
      <c r="L96" s="1061"/>
      <c r="M96" s="582"/>
      <c r="N96" s="1062"/>
      <c r="O96" s="894"/>
      <c r="P96" s="580"/>
      <c r="Q96" s="581" t="s">
        <v>1376</v>
      </c>
      <c r="R96" s="581" t="s">
        <v>1103</v>
      </c>
      <c r="S96" s="350" t="s">
        <v>206</v>
      </c>
      <c r="T96" s="581" t="s">
        <v>1103</v>
      </c>
      <c r="U96" s="581" t="s">
        <v>1103</v>
      </c>
      <c r="V96" s="894" t="s">
        <v>63</v>
      </c>
      <c r="W96" s="894" t="s">
        <v>63</v>
      </c>
      <c r="X96" s="894" t="s">
        <v>1428</v>
      </c>
      <c r="Y96" s="861" t="s">
        <v>869</v>
      </c>
      <c r="Z96" s="888"/>
      <c r="AA96" s="889"/>
      <c r="AB96" s="581"/>
      <c r="AC96" s="581"/>
      <c r="AD96" s="584">
        <v>44984</v>
      </c>
      <c r="AE96" s="1064"/>
      <c r="AF96" s="893">
        <v>45274</v>
      </c>
      <c r="AG96" s="894">
        <v>45484</v>
      </c>
      <c r="AH96" s="994">
        <v>44980</v>
      </c>
      <c r="AI96" s="269">
        <v>45274</v>
      </c>
      <c r="AJ96" s="239" t="s">
        <v>1116</v>
      </c>
      <c r="AK96" s="644">
        <v>45692</v>
      </c>
      <c r="AL96" s="239"/>
      <c r="AM96" s="269">
        <v>45749</v>
      </c>
      <c r="AN96" s="381"/>
    </row>
    <row r="97" spans="1:40" ht="12.75" customHeight="1" x14ac:dyDescent="0.25">
      <c r="A97" s="996">
        <v>96</v>
      </c>
      <c r="B97" s="530">
        <v>37374</v>
      </c>
      <c r="C97" s="340" t="s">
        <v>54</v>
      </c>
      <c r="D97" s="345" t="s">
        <v>1434</v>
      </c>
      <c r="E97" s="341" t="s">
        <v>1375</v>
      </c>
      <c r="F97" s="335" t="s">
        <v>1317</v>
      </c>
      <c r="G97" s="335" t="s">
        <v>14</v>
      </c>
      <c r="H97" s="336">
        <v>43998</v>
      </c>
      <c r="I97" s="314">
        <v>748</v>
      </c>
      <c r="J97" s="310" t="s">
        <v>58</v>
      </c>
      <c r="K97" s="491" t="s">
        <v>680</v>
      </c>
      <c r="L97" s="595"/>
      <c r="M97" s="491"/>
      <c r="N97" s="499"/>
      <c r="O97" s="350"/>
      <c r="P97" s="314"/>
      <c r="Q97" s="310" t="s">
        <v>1376</v>
      </c>
      <c r="R97" s="310" t="s">
        <v>1103</v>
      </c>
      <c r="S97" s="885" t="s">
        <v>206</v>
      </c>
      <c r="T97" s="310" t="s">
        <v>1103</v>
      </c>
      <c r="U97" s="310" t="s">
        <v>1103</v>
      </c>
      <c r="V97" s="350" t="s">
        <v>63</v>
      </c>
      <c r="W97" s="350" t="s">
        <v>63</v>
      </c>
      <c r="X97" s="350" t="s">
        <v>1428</v>
      </c>
      <c r="Y97" s="861" t="s">
        <v>869</v>
      </c>
      <c r="Z97" s="593"/>
      <c r="AA97" s="589"/>
      <c r="AB97" s="310"/>
      <c r="AC97" s="310"/>
      <c r="AD97" s="343">
        <v>44984</v>
      </c>
      <c r="AE97" s="351"/>
      <c r="AF97" s="520">
        <v>45274</v>
      </c>
      <c r="AG97" s="350">
        <v>45484</v>
      </c>
      <c r="AH97" s="535">
        <v>44980</v>
      </c>
      <c r="AI97" s="52">
        <v>45274</v>
      </c>
      <c r="AJ97" s="3" t="s">
        <v>1116</v>
      </c>
      <c r="AK97" s="84">
        <v>45692</v>
      </c>
      <c r="AL97" s="3"/>
      <c r="AM97" s="52">
        <v>45749</v>
      </c>
    </row>
    <row r="98" spans="1:40" ht="12.75" customHeight="1" x14ac:dyDescent="0.25">
      <c r="A98" s="996">
        <v>97</v>
      </c>
      <c r="B98" s="346">
        <v>37422</v>
      </c>
      <c r="C98" s="340" t="s">
        <v>64</v>
      </c>
      <c r="D98" s="345" t="s">
        <v>1435</v>
      </c>
      <c r="E98" s="341" t="s">
        <v>1375</v>
      </c>
      <c r="F98" s="335" t="s">
        <v>1317</v>
      </c>
      <c r="G98" s="335" t="s">
        <v>14</v>
      </c>
      <c r="H98" s="336">
        <v>44061</v>
      </c>
      <c r="I98" s="314">
        <v>806</v>
      </c>
      <c r="J98" s="310" t="s">
        <v>58</v>
      </c>
      <c r="K98" s="491" t="s">
        <v>680</v>
      </c>
      <c r="L98" s="595"/>
      <c r="M98" s="491"/>
      <c r="N98" s="499"/>
      <c r="O98" s="350"/>
      <c r="P98" s="314"/>
      <c r="Q98" s="310" t="s">
        <v>1376</v>
      </c>
      <c r="R98" s="310" t="s">
        <v>1103</v>
      </c>
      <c r="S98" s="350" t="s">
        <v>206</v>
      </c>
      <c r="T98" s="310" t="s">
        <v>1103</v>
      </c>
      <c r="U98" s="310" t="s">
        <v>1103</v>
      </c>
      <c r="V98" s="350" t="s">
        <v>63</v>
      </c>
      <c r="W98" s="350" t="s">
        <v>63</v>
      </c>
      <c r="X98" s="350" t="s">
        <v>1428</v>
      </c>
      <c r="Y98" s="861" t="s">
        <v>869</v>
      </c>
      <c r="Z98" s="593"/>
      <c r="AA98" s="589"/>
      <c r="AB98" s="1117" t="s">
        <v>1436</v>
      </c>
      <c r="AC98" s="310"/>
      <c r="AD98" s="343">
        <v>44873</v>
      </c>
      <c r="AE98" s="351"/>
      <c r="AF98" s="520">
        <v>45264</v>
      </c>
      <c r="AG98" s="350">
        <v>45472</v>
      </c>
      <c r="AH98" s="535">
        <v>45343</v>
      </c>
      <c r="AI98" s="52">
        <v>45264</v>
      </c>
      <c r="AJ98" s="3" t="s">
        <v>1116</v>
      </c>
      <c r="AK98" s="3"/>
      <c r="AL98" s="3"/>
      <c r="AM98" s="3" t="s">
        <v>1437</v>
      </c>
    </row>
    <row r="99" spans="1:40" ht="12.75" customHeight="1" x14ac:dyDescent="0.25">
      <c r="A99" s="996">
        <v>98</v>
      </c>
      <c r="B99" s="346">
        <v>37422</v>
      </c>
      <c r="C99" s="340" t="s">
        <v>54</v>
      </c>
      <c r="D99" s="345" t="s">
        <v>1438</v>
      </c>
      <c r="E99" s="341" t="s">
        <v>1375</v>
      </c>
      <c r="F99" s="335" t="s">
        <v>1317</v>
      </c>
      <c r="G99" s="335" t="s">
        <v>14</v>
      </c>
      <c r="H99" s="336">
        <v>44061</v>
      </c>
      <c r="I99" s="314">
        <v>830</v>
      </c>
      <c r="J99" s="310" t="s">
        <v>58</v>
      </c>
      <c r="K99" s="491" t="s">
        <v>680</v>
      </c>
      <c r="L99" s="595"/>
      <c r="M99" s="491"/>
      <c r="N99" s="499"/>
      <c r="O99" s="350"/>
      <c r="P99" s="314"/>
      <c r="Q99" s="310" t="s">
        <v>1376</v>
      </c>
      <c r="R99" s="310" t="s">
        <v>1103</v>
      </c>
      <c r="S99" s="885" t="s">
        <v>206</v>
      </c>
      <c r="T99" s="310" t="s">
        <v>1103</v>
      </c>
      <c r="U99" s="310" t="s">
        <v>1103</v>
      </c>
      <c r="V99" s="350" t="s">
        <v>63</v>
      </c>
      <c r="W99" s="350" t="s">
        <v>63</v>
      </c>
      <c r="X99" s="350" t="s">
        <v>1428</v>
      </c>
      <c r="Y99" s="861" t="s">
        <v>869</v>
      </c>
      <c r="Z99" s="593"/>
      <c r="AA99" s="589"/>
      <c r="AB99" s="310"/>
      <c r="AC99" s="310"/>
      <c r="AD99" s="343">
        <v>44873</v>
      </c>
      <c r="AE99" s="351"/>
      <c r="AF99" s="520">
        <v>45264</v>
      </c>
      <c r="AG99" s="350">
        <v>45472</v>
      </c>
      <c r="AH99" s="535">
        <v>45343</v>
      </c>
      <c r="AI99" s="52">
        <v>45264</v>
      </c>
      <c r="AJ99" s="3" t="s">
        <v>1116</v>
      </c>
      <c r="AK99" s="3"/>
      <c r="AL99" s="3"/>
      <c r="AM99" s="3" t="s">
        <v>1437</v>
      </c>
    </row>
    <row r="100" spans="1:40" ht="12.75" customHeight="1" x14ac:dyDescent="0.25">
      <c r="A100" s="996">
        <v>99</v>
      </c>
      <c r="B100" s="339">
        <v>37530</v>
      </c>
      <c r="C100" s="340" t="s">
        <v>64</v>
      </c>
      <c r="D100" s="341" t="s">
        <v>1439</v>
      </c>
      <c r="E100" s="341" t="s">
        <v>1375</v>
      </c>
      <c r="F100" s="335" t="s">
        <v>1317</v>
      </c>
      <c r="G100" s="335" t="s">
        <v>14</v>
      </c>
      <c r="H100" s="342">
        <v>44233</v>
      </c>
      <c r="I100" s="314">
        <v>982</v>
      </c>
      <c r="J100" s="310" t="s">
        <v>58</v>
      </c>
      <c r="K100" s="491" t="s">
        <v>680</v>
      </c>
      <c r="L100" s="592" t="s">
        <v>1103</v>
      </c>
      <c r="M100" s="491" t="s">
        <v>60</v>
      </c>
      <c r="N100" s="499">
        <v>44270</v>
      </c>
      <c r="O100" s="350">
        <v>45065</v>
      </c>
      <c r="P100" s="314"/>
      <c r="Q100" s="310" t="s">
        <v>1103</v>
      </c>
      <c r="R100" s="310" t="s">
        <v>1103</v>
      </c>
      <c r="S100" s="581" t="s">
        <v>1332</v>
      </c>
      <c r="T100" s="350">
        <v>44224</v>
      </c>
      <c r="U100" s="350">
        <v>44224</v>
      </c>
      <c r="V100" s="350" t="s">
        <v>63</v>
      </c>
      <c r="W100" s="350">
        <v>43970</v>
      </c>
      <c r="X100" s="16" t="s">
        <v>1244</v>
      </c>
      <c r="Y100" s="861" t="s">
        <v>869</v>
      </c>
      <c r="Z100" s="593"/>
      <c r="AA100" s="589"/>
      <c r="AB100" s="310"/>
      <c r="AC100" s="310"/>
      <c r="AD100" s="343">
        <v>45195</v>
      </c>
      <c r="AE100" s="351"/>
      <c r="AF100" s="520">
        <v>45195</v>
      </c>
      <c r="AG100" s="350">
        <v>45509</v>
      </c>
      <c r="AH100" s="535">
        <v>45509</v>
      </c>
      <c r="AI100" s="84">
        <v>45566</v>
      </c>
      <c r="AJ100" s="3" t="s">
        <v>1116</v>
      </c>
      <c r="AK100" s="3" t="s">
        <v>1440</v>
      </c>
      <c r="AL100" s="3" t="s">
        <v>1440</v>
      </c>
      <c r="AM100" s="84">
        <v>45637</v>
      </c>
      <c r="AN100" s="381"/>
    </row>
    <row r="101" spans="1:40" ht="12.75" customHeight="1" x14ac:dyDescent="0.25">
      <c r="A101" s="996">
        <v>100</v>
      </c>
      <c r="B101" s="339">
        <v>37530</v>
      </c>
      <c r="C101" s="340" t="s">
        <v>54</v>
      </c>
      <c r="D101" s="341" t="s">
        <v>1441</v>
      </c>
      <c r="E101" s="341" t="s">
        <v>1375</v>
      </c>
      <c r="F101" s="335" t="s">
        <v>1317</v>
      </c>
      <c r="G101" s="335" t="s">
        <v>14</v>
      </c>
      <c r="H101" s="342">
        <v>44233</v>
      </c>
      <c r="I101" s="314">
        <v>1000</v>
      </c>
      <c r="J101" s="310" t="s">
        <v>58</v>
      </c>
      <c r="K101" s="491" t="s">
        <v>680</v>
      </c>
      <c r="L101" s="592" t="s">
        <v>1103</v>
      </c>
      <c r="M101" s="491" t="s">
        <v>60</v>
      </c>
      <c r="N101" s="499">
        <v>44270</v>
      </c>
      <c r="O101" s="350">
        <v>45065</v>
      </c>
      <c r="P101" s="314"/>
      <c r="Q101" s="310" t="s">
        <v>1103</v>
      </c>
      <c r="R101" s="310" t="s">
        <v>1103</v>
      </c>
      <c r="S101" s="581" t="s">
        <v>1332</v>
      </c>
      <c r="T101" s="350">
        <v>44224</v>
      </c>
      <c r="U101" s="350">
        <v>44224</v>
      </c>
      <c r="V101" s="350" t="s">
        <v>63</v>
      </c>
      <c r="W101" s="350">
        <v>44335</v>
      </c>
      <c r="X101" s="16" t="s">
        <v>1244</v>
      </c>
      <c r="Y101" s="861" t="s">
        <v>869</v>
      </c>
      <c r="Z101" s="593"/>
      <c r="AA101" s="589"/>
      <c r="AB101" s="310"/>
      <c r="AC101" s="310"/>
      <c r="AD101" s="343">
        <v>45195</v>
      </c>
      <c r="AE101" s="351"/>
      <c r="AF101" s="520">
        <v>45195</v>
      </c>
      <c r="AG101" s="350">
        <v>45509</v>
      </c>
      <c r="AH101" s="535">
        <v>45509</v>
      </c>
      <c r="AI101" s="84">
        <v>45566</v>
      </c>
      <c r="AJ101" s="3" t="s">
        <v>1116</v>
      </c>
      <c r="AK101" s="3" t="s">
        <v>1440</v>
      </c>
      <c r="AL101" s="3" t="s">
        <v>1440</v>
      </c>
      <c r="AM101" s="84">
        <v>45637</v>
      </c>
      <c r="AN101" s="381"/>
    </row>
    <row r="102" spans="1:40" ht="12.75" customHeight="1" x14ac:dyDescent="0.25">
      <c r="A102" s="996">
        <v>101</v>
      </c>
      <c r="B102" s="339">
        <v>37532</v>
      </c>
      <c r="C102" s="340" t="s">
        <v>64</v>
      </c>
      <c r="D102" s="341" t="s">
        <v>1442</v>
      </c>
      <c r="E102" s="341" t="s">
        <v>1375</v>
      </c>
      <c r="F102" s="335" t="s">
        <v>1317</v>
      </c>
      <c r="G102" s="335" t="s">
        <v>14</v>
      </c>
      <c r="H102" s="342">
        <v>44230</v>
      </c>
      <c r="I102" s="314">
        <v>983</v>
      </c>
      <c r="J102" s="310" t="s">
        <v>58</v>
      </c>
      <c r="K102" s="491" t="s">
        <v>680</v>
      </c>
      <c r="L102" s="592" t="s">
        <v>1103</v>
      </c>
      <c r="M102" s="491" t="s">
        <v>60</v>
      </c>
      <c r="N102" s="499">
        <v>44325</v>
      </c>
      <c r="O102" s="350">
        <v>45151</v>
      </c>
      <c r="P102" s="314"/>
      <c r="Q102" s="310" t="s">
        <v>1103</v>
      </c>
      <c r="R102" s="310" t="s">
        <v>1103</v>
      </c>
      <c r="S102" s="581" t="s">
        <v>1332</v>
      </c>
      <c r="T102" s="350">
        <v>44226</v>
      </c>
      <c r="U102" s="350">
        <v>44226</v>
      </c>
      <c r="V102" s="350" t="s">
        <v>63</v>
      </c>
      <c r="W102" s="350">
        <v>44368</v>
      </c>
      <c r="X102" s="16" t="s">
        <v>1244</v>
      </c>
      <c r="Y102" s="861" t="s">
        <v>869</v>
      </c>
      <c r="Z102" s="593"/>
      <c r="AA102" s="589"/>
      <c r="AB102" s="310"/>
      <c r="AC102" s="310"/>
      <c r="AD102" s="343">
        <v>45177</v>
      </c>
      <c r="AE102" s="351"/>
      <c r="AF102" s="344">
        <v>45275</v>
      </c>
      <c r="AG102" s="343" t="s">
        <v>1443</v>
      </c>
      <c r="AH102" s="535">
        <v>45504</v>
      </c>
      <c r="AI102" s="84">
        <v>45275</v>
      </c>
      <c r="AJ102" s="3" t="s">
        <v>1116</v>
      </c>
      <c r="AK102" s="84">
        <v>45783</v>
      </c>
      <c r="AL102" s="3"/>
      <c r="AM102" s="84">
        <v>45453</v>
      </c>
    </row>
    <row r="103" spans="1:40" ht="12.75" customHeight="1" x14ac:dyDescent="0.25">
      <c r="A103" s="996">
        <v>102</v>
      </c>
      <c r="B103" s="855">
        <v>37532</v>
      </c>
      <c r="C103" s="856" t="s">
        <v>54</v>
      </c>
      <c r="D103" s="857" t="s">
        <v>1444</v>
      </c>
      <c r="E103" s="857" t="s">
        <v>1375</v>
      </c>
      <c r="F103" s="858" t="s">
        <v>1317</v>
      </c>
      <c r="G103" s="858" t="s">
        <v>14</v>
      </c>
      <c r="H103" s="860">
        <v>44230</v>
      </c>
      <c r="I103" s="859">
        <v>956</v>
      </c>
      <c r="J103" s="861" t="s">
        <v>58</v>
      </c>
      <c r="K103" s="862" t="s">
        <v>680</v>
      </c>
      <c r="L103" s="863" t="s">
        <v>1103</v>
      </c>
      <c r="M103" s="862" t="s">
        <v>60</v>
      </c>
      <c r="N103" s="1024">
        <v>44325</v>
      </c>
      <c r="O103" s="885">
        <v>45151</v>
      </c>
      <c r="P103" s="859"/>
      <c r="Q103" s="861" t="s">
        <v>1103</v>
      </c>
      <c r="R103" s="861" t="s">
        <v>1103</v>
      </c>
      <c r="S103" s="581" t="s">
        <v>1332</v>
      </c>
      <c r="T103" s="885">
        <v>44226</v>
      </c>
      <c r="U103" s="885">
        <v>44226</v>
      </c>
      <c r="V103" s="885" t="s">
        <v>63</v>
      </c>
      <c r="W103" s="885">
        <v>44368</v>
      </c>
      <c r="X103" s="16" t="s">
        <v>1244</v>
      </c>
      <c r="Y103" s="861" t="s">
        <v>869</v>
      </c>
      <c r="Z103" s="867"/>
      <c r="AA103" s="868"/>
      <c r="AB103" s="861"/>
      <c r="AC103" s="861"/>
      <c r="AD103" s="865">
        <v>45177</v>
      </c>
      <c r="AE103" s="880"/>
      <c r="AF103" s="1031">
        <v>45275</v>
      </c>
      <c r="AG103" s="865" t="s">
        <v>1443</v>
      </c>
      <c r="AH103" s="877">
        <v>45504</v>
      </c>
      <c r="AI103" s="876">
        <v>45275</v>
      </c>
      <c r="AJ103" s="115" t="s">
        <v>1116</v>
      </c>
      <c r="AK103" s="84">
        <v>45783</v>
      </c>
      <c r="AL103" s="115"/>
      <c r="AM103" s="876">
        <v>45453</v>
      </c>
    </row>
    <row r="104" spans="1:40" ht="12.75" customHeight="1" x14ac:dyDescent="0.25">
      <c r="A104" s="996">
        <v>103</v>
      </c>
      <c r="B104" s="362">
        <v>37576</v>
      </c>
      <c r="C104" s="1088" t="s">
        <v>64</v>
      </c>
      <c r="D104" s="335" t="s">
        <v>1445</v>
      </c>
      <c r="E104" s="341" t="s">
        <v>1375</v>
      </c>
      <c r="F104" s="335" t="s">
        <v>1317</v>
      </c>
      <c r="G104" s="335" t="s">
        <v>14</v>
      </c>
      <c r="H104" s="355">
        <v>44293</v>
      </c>
      <c r="I104" s="314">
        <v>1014</v>
      </c>
      <c r="J104" s="310" t="s">
        <v>58</v>
      </c>
      <c r="K104" s="491" t="s">
        <v>680</v>
      </c>
      <c r="L104" s="491" t="s">
        <v>1103</v>
      </c>
      <c r="M104" s="491" t="s">
        <v>60</v>
      </c>
      <c r="N104" s="499">
        <v>44345</v>
      </c>
      <c r="O104" s="310"/>
      <c r="P104" s="314"/>
      <c r="Q104" s="310" t="s">
        <v>1103</v>
      </c>
      <c r="R104" s="350">
        <v>44109</v>
      </c>
      <c r="S104" s="310" t="s">
        <v>1103</v>
      </c>
      <c r="T104" s="310" t="s">
        <v>1103</v>
      </c>
      <c r="U104" s="350">
        <v>44345</v>
      </c>
      <c r="V104" s="350" t="s">
        <v>63</v>
      </c>
      <c r="W104" s="350">
        <v>44345</v>
      </c>
      <c r="X104" s="609" t="s">
        <v>1244</v>
      </c>
      <c r="Y104" s="861" t="s">
        <v>869</v>
      </c>
      <c r="Z104" s="491"/>
      <c r="AA104" s="552"/>
      <c r="AB104" s="310"/>
      <c r="AC104" s="310"/>
      <c r="AD104" s="343">
        <v>44958</v>
      </c>
      <c r="AE104" s="351"/>
      <c r="AF104" s="314"/>
      <c r="AG104" s="343">
        <v>45523</v>
      </c>
      <c r="AH104" s="535">
        <v>45348</v>
      </c>
      <c r="AI104" s="52">
        <v>45348</v>
      </c>
      <c r="AJ104" s="3" t="s">
        <v>1116</v>
      </c>
      <c r="AK104" s="3" t="s">
        <v>1328</v>
      </c>
      <c r="AL104" s="3"/>
      <c r="AM104" s="3" t="s">
        <v>1328</v>
      </c>
    </row>
    <row r="105" spans="1:40" ht="12.75" customHeight="1" x14ac:dyDescent="0.25">
      <c r="A105" s="996">
        <v>104</v>
      </c>
      <c r="B105" s="362">
        <v>37576</v>
      </c>
      <c r="C105" s="1088" t="s">
        <v>54</v>
      </c>
      <c r="D105" s="335" t="s">
        <v>1446</v>
      </c>
      <c r="E105" s="341" t="s">
        <v>1375</v>
      </c>
      <c r="F105" s="335" t="s">
        <v>1317</v>
      </c>
      <c r="G105" s="335" t="s">
        <v>14</v>
      </c>
      <c r="H105" s="355">
        <v>44293</v>
      </c>
      <c r="I105" s="314">
        <v>1015</v>
      </c>
      <c r="J105" s="310" t="s">
        <v>58</v>
      </c>
      <c r="K105" s="491" t="s">
        <v>680</v>
      </c>
      <c r="L105" s="491" t="s">
        <v>1103</v>
      </c>
      <c r="M105" s="491" t="s">
        <v>60</v>
      </c>
      <c r="N105" s="499">
        <v>44345</v>
      </c>
      <c r="O105" s="310"/>
      <c r="P105" s="314"/>
      <c r="Q105" s="310" t="s">
        <v>1103</v>
      </c>
      <c r="R105" s="350">
        <v>44109</v>
      </c>
      <c r="S105" s="310" t="s">
        <v>1103</v>
      </c>
      <c r="T105" s="310" t="s">
        <v>1103</v>
      </c>
      <c r="U105" s="350">
        <v>44345</v>
      </c>
      <c r="V105" s="350" t="s">
        <v>63</v>
      </c>
      <c r="W105" s="350">
        <v>44345</v>
      </c>
      <c r="X105" s="609" t="s">
        <v>1244</v>
      </c>
      <c r="Y105" s="861" t="s">
        <v>869</v>
      </c>
      <c r="Z105" s="491"/>
      <c r="AA105" s="552"/>
      <c r="AB105" s="310"/>
      <c r="AC105" s="310"/>
      <c r="AD105" s="343">
        <v>44958</v>
      </c>
      <c r="AE105" s="351"/>
      <c r="AF105" s="314"/>
      <c r="AG105" s="343">
        <v>45523</v>
      </c>
      <c r="AH105" s="535">
        <v>45348</v>
      </c>
      <c r="AI105" s="52">
        <v>45348</v>
      </c>
      <c r="AJ105" s="3" t="s">
        <v>1116</v>
      </c>
      <c r="AK105" s="3" t="s">
        <v>1328</v>
      </c>
      <c r="AL105" s="3"/>
      <c r="AM105" s="3" t="s">
        <v>1328</v>
      </c>
    </row>
    <row r="106" spans="1:40" ht="12.75" customHeight="1" x14ac:dyDescent="0.25">
      <c r="A106" s="996">
        <v>105</v>
      </c>
      <c r="B106" s="362">
        <v>37593</v>
      </c>
      <c r="C106" s="340" t="s">
        <v>54</v>
      </c>
      <c r="D106" s="335" t="s">
        <v>1447</v>
      </c>
      <c r="E106" s="341" t="s">
        <v>1375</v>
      </c>
      <c r="F106" s="335" t="s">
        <v>1317</v>
      </c>
      <c r="G106" s="335" t="s">
        <v>14</v>
      </c>
      <c r="H106" s="342">
        <v>44364</v>
      </c>
      <c r="I106" s="314">
        <v>886</v>
      </c>
      <c r="J106" s="310" t="s">
        <v>58</v>
      </c>
      <c r="K106" s="491" t="s">
        <v>680</v>
      </c>
      <c r="L106" s="499">
        <v>44372</v>
      </c>
      <c r="M106" s="491" t="s">
        <v>60</v>
      </c>
      <c r="N106" s="499">
        <v>44372</v>
      </c>
      <c r="O106" s="310"/>
      <c r="P106" s="314"/>
      <c r="Q106" s="310" t="s">
        <v>1103</v>
      </c>
      <c r="R106" s="350">
        <v>44113</v>
      </c>
      <c r="S106" s="581" t="s">
        <v>1332</v>
      </c>
      <c r="T106" s="310" t="s">
        <v>1103</v>
      </c>
      <c r="U106" s="350">
        <v>44372</v>
      </c>
      <c r="V106" s="350" t="s">
        <v>63</v>
      </c>
      <c r="W106" s="350">
        <v>44372</v>
      </c>
      <c r="X106" s="609" t="s">
        <v>1244</v>
      </c>
      <c r="Y106" s="861" t="s">
        <v>869</v>
      </c>
      <c r="Z106" s="491"/>
      <c r="AA106" s="552"/>
      <c r="AB106" s="310" t="s">
        <v>1448</v>
      </c>
      <c r="AC106" s="310"/>
      <c r="AD106" s="343">
        <v>45160</v>
      </c>
      <c r="AE106" s="351"/>
      <c r="AF106" s="314"/>
      <c r="AG106" s="3" t="s">
        <v>1449</v>
      </c>
      <c r="AH106" s="609">
        <v>45380</v>
      </c>
      <c r="AI106" s="84">
        <v>45160</v>
      </c>
      <c r="AJ106" s="3" t="s">
        <v>1116</v>
      </c>
      <c r="AK106" s="3"/>
      <c r="AL106" s="3"/>
      <c r="AM106" s="3" t="s">
        <v>1411</v>
      </c>
    </row>
    <row r="107" spans="1:40" ht="12.75" customHeight="1" x14ac:dyDescent="0.25">
      <c r="A107" s="996">
        <v>106</v>
      </c>
      <c r="B107" s="362">
        <v>37593</v>
      </c>
      <c r="C107" s="340" t="s">
        <v>64</v>
      </c>
      <c r="D107" s="335" t="s">
        <v>1450</v>
      </c>
      <c r="E107" s="341" t="s">
        <v>1375</v>
      </c>
      <c r="F107" s="314" t="s">
        <v>1317</v>
      </c>
      <c r="G107" s="314" t="s">
        <v>14</v>
      </c>
      <c r="H107" s="342">
        <v>44364</v>
      </c>
      <c r="I107" s="314">
        <v>887</v>
      </c>
      <c r="J107" s="310" t="s">
        <v>58</v>
      </c>
      <c r="K107" s="491" t="s">
        <v>680</v>
      </c>
      <c r="L107" s="499">
        <v>44372</v>
      </c>
      <c r="M107" s="491" t="s">
        <v>60</v>
      </c>
      <c r="N107" s="499">
        <v>44372</v>
      </c>
      <c r="O107" s="310"/>
      <c r="P107" s="314"/>
      <c r="Q107" s="310" t="s">
        <v>1103</v>
      </c>
      <c r="R107" s="350">
        <v>44113</v>
      </c>
      <c r="S107" s="581" t="s">
        <v>1332</v>
      </c>
      <c r="T107" s="310" t="s">
        <v>1103</v>
      </c>
      <c r="U107" s="350">
        <v>44372</v>
      </c>
      <c r="V107" s="350" t="s">
        <v>63</v>
      </c>
      <c r="W107" s="350">
        <v>44372</v>
      </c>
      <c r="X107" s="609" t="s">
        <v>1244</v>
      </c>
      <c r="Y107" s="861" t="s">
        <v>869</v>
      </c>
      <c r="Z107" s="491"/>
      <c r="AA107" s="552"/>
      <c r="AB107" s="310"/>
      <c r="AC107" s="310"/>
      <c r="AD107" s="343">
        <v>45160</v>
      </c>
      <c r="AE107" s="351"/>
      <c r="AF107" s="314"/>
      <c r="AG107" s="84" t="s">
        <v>1449</v>
      </c>
      <c r="AH107" s="609">
        <v>45380</v>
      </c>
      <c r="AI107" s="84">
        <v>45160</v>
      </c>
      <c r="AJ107" s="3" t="s">
        <v>1116</v>
      </c>
      <c r="AK107" s="3"/>
      <c r="AL107" s="3"/>
      <c r="AM107" s="3" t="s">
        <v>1411</v>
      </c>
    </row>
    <row r="108" spans="1:40" ht="12.75" customHeight="1" x14ac:dyDescent="0.25">
      <c r="A108" s="996">
        <v>107</v>
      </c>
      <c r="B108" s="339">
        <v>39088</v>
      </c>
      <c r="C108" s="340" t="s">
        <v>64</v>
      </c>
      <c r="D108" s="341" t="s">
        <v>1451</v>
      </c>
      <c r="E108" s="341" t="s">
        <v>1375</v>
      </c>
      <c r="F108" s="335" t="s">
        <v>1317</v>
      </c>
      <c r="G108" s="335" t="s">
        <v>14</v>
      </c>
      <c r="H108" s="342">
        <v>43700</v>
      </c>
      <c r="I108" s="314">
        <v>521</v>
      </c>
      <c r="J108" s="310" t="s">
        <v>58</v>
      </c>
      <c r="K108" s="491" t="s">
        <v>680</v>
      </c>
      <c r="L108" s="499">
        <v>44334</v>
      </c>
      <c r="M108" s="491" t="s">
        <v>60</v>
      </c>
      <c r="N108" s="499">
        <v>44334</v>
      </c>
      <c r="O108" s="350">
        <v>45065</v>
      </c>
      <c r="P108" s="314"/>
      <c r="Q108" s="310" t="s">
        <v>1376</v>
      </c>
      <c r="R108" s="310" t="s">
        <v>1103</v>
      </c>
      <c r="S108" s="581" t="s">
        <v>1332</v>
      </c>
      <c r="T108" s="310" t="s">
        <v>1103</v>
      </c>
      <c r="U108" s="310" t="s">
        <v>1103</v>
      </c>
      <c r="V108" s="350" t="s">
        <v>63</v>
      </c>
      <c r="W108" s="350">
        <v>44334</v>
      </c>
      <c r="X108" s="310" t="s">
        <v>1309</v>
      </c>
      <c r="Y108" s="861" t="s">
        <v>869</v>
      </c>
      <c r="Z108" s="491"/>
      <c r="AA108" s="552"/>
      <c r="AB108" s="310"/>
      <c r="AC108" s="310"/>
      <c r="AD108" s="343">
        <v>44977</v>
      </c>
      <c r="AE108" s="351"/>
      <c r="AF108" s="314"/>
      <c r="AG108" s="350">
        <v>45541</v>
      </c>
      <c r="AH108" s="535">
        <v>45541</v>
      </c>
      <c r="AI108" s="52">
        <v>45279</v>
      </c>
      <c r="AJ108" s="3" t="s">
        <v>1116</v>
      </c>
      <c r="AK108" s="3" t="s">
        <v>1395</v>
      </c>
      <c r="AL108" s="84">
        <v>45391</v>
      </c>
      <c r="AM108" s="3" t="s">
        <v>1452</v>
      </c>
    </row>
    <row r="109" spans="1:40" ht="12.75" customHeight="1" x14ac:dyDescent="0.25">
      <c r="A109" s="996">
        <v>108</v>
      </c>
      <c r="B109" s="339">
        <v>39088</v>
      </c>
      <c r="C109" s="340" t="s">
        <v>54</v>
      </c>
      <c r="D109" s="341" t="s">
        <v>1453</v>
      </c>
      <c r="E109" s="341" t="s">
        <v>1375</v>
      </c>
      <c r="F109" s="335" t="s">
        <v>1317</v>
      </c>
      <c r="G109" s="335" t="s">
        <v>14</v>
      </c>
      <c r="H109" s="342">
        <v>43700</v>
      </c>
      <c r="I109" s="314">
        <v>524</v>
      </c>
      <c r="J109" s="310" t="s">
        <v>58</v>
      </c>
      <c r="K109" s="491" t="s">
        <v>680</v>
      </c>
      <c r="L109" s="499">
        <v>44334</v>
      </c>
      <c r="M109" s="491"/>
      <c r="N109" s="499">
        <v>44334</v>
      </c>
      <c r="O109" s="350">
        <v>45065</v>
      </c>
      <c r="P109" s="314"/>
      <c r="Q109" s="310" t="s">
        <v>1376</v>
      </c>
      <c r="R109" s="310" t="s">
        <v>1103</v>
      </c>
      <c r="S109" s="581" t="s">
        <v>1332</v>
      </c>
      <c r="T109" s="310" t="s">
        <v>1103</v>
      </c>
      <c r="U109" s="310" t="s">
        <v>1103</v>
      </c>
      <c r="V109" s="350" t="s">
        <v>63</v>
      </c>
      <c r="W109" s="350">
        <v>44334</v>
      </c>
      <c r="X109" s="310" t="s">
        <v>1309</v>
      </c>
      <c r="Y109" s="861" t="s">
        <v>869</v>
      </c>
      <c r="Z109" s="491"/>
      <c r="AA109" s="552"/>
      <c r="AB109" s="310"/>
      <c r="AC109" s="310"/>
      <c r="AD109" s="343">
        <v>44977</v>
      </c>
      <c r="AE109" s="351"/>
      <c r="AF109" s="314"/>
      <c r="AG109" s="350">
        <v>45541</v>
      </c>
      <c r="AH109" s="535">
        <v>45541</v>
      </c>
      <c r="AI109" s="52">
        <v>45279</v>
      </c>
      <c r="AJ109" s="3" t="s">
        <v>1116</v>
      </c>
      <c r="AK109" s="3" t="s">
        <v>1325</v>
      </c>
      <c r="AL109" s="84">
        <v>45391</v>
      </c>
      <c r="AM109" s="3" t="s">
        <v>1452</v>
      </c>
    </row>
    <row r="110" spans="1:40" ht="12.75" customHeight="1" x14ac:dyDescent="0.25">
      <c r="A110" s="996">
        <v>109</v>
      </c>
      <c r="B110" s="576">
        <v>39091</v>
      </c>
      <c r="C110" s="577" t="s">
        <v>64</v>
      </c>
      <c r="D110" s="587" t="s">
        <v>1454</v>
      </c>
      <c r="E110" s="587" t="s">
        <v>1375</v>
      </c>
      <c r="F110" s="578" t="s">
        <v>1317</v>
      </c>
      <c r="G110" s="578" t="s">
        <v>14</v>
      </c>
      <c r="H110" s="579">
        <v>43710</v>
      </c>
      <c r="I110" s="580">
        <v>481</v>
      </c>
      <c r="J110" s="581" t="s">
        <v>58</v>
      </c>
      <c r="K110" s="582" t="s">
        <v>680</v>
      </c>
      <c r="L110" s="1061">
        <v>44336</v>
      </c>
      <c r="M110" s="582" t="s">
        <v>60</v>
      </c>
      <c r="N110" s="1062">
        <v>44317</v>
      </c>
      <c r="O110" s="894">
        <v>45047</v>
      </c>
      <c r="P110" s="580"/>
      <c r="Q110" s="581" t="s">
        <v>1376</v>
      </c>
      <c r="R110" s="581" t="s">
        <v>1103</v>
      </c>
      <c r="S110" s="581" t="s">
        <v>1332</v>
      </c>
      <c r="T110" s="581" t="s">
        <v>1103</v>
      </c>
      <c r="U110" s="581" t="s">
        <v>1103</v>
      </c>
      <c r="V110" s="894" t="s">
        <v>63</v>
      </c>
      <c r="W110" s="894">
        <v>44336</v>
      </c>
      <c r="X110" s="581" t="s">
        <v>1309</v>
      </c>
      <c r="Y110" s="861" t="s">
        <v>869</v>
      </c>
      <c r="Z110" s="888"/>
      <c r="AA110" s="889"/>
      <c r="AB110" s="581"/>
      <c r="AC110" s="581"/>
      <c r="AD110" s="895">
        <v>45125</v>
      </c>
      <c r="AE110" s="580"/>
      <c r="AF110" s="893">
        <v>45125</v>
      </c>
      <c r="AG110" s="894">
        <v>45464</v>
      </c>
      <c r="AH110" s="994">
        <v>45315</v>
      </c>
      <c r="AI110" s="239" t="s">
        <v>1455</v>
      </c>
      <c r="AJ110" s="239" t="s">
        <v>1116</v>
      </c>
      <c r="AK110" s="239" t="s">
        <v>1456</v>
      </c>
      <c r="AL110" s="239"/>
      <c r="AM110" s="239" t="s">
        <v>1455</v>
      </c>
      <c r="AN110" s="381"/>
    </row>
    <row r="111" spans="1:40" ht="12.75" customHeight="1" x14ac:dyDescent="0.25">
      <c r="A111" s="996">
        <v>110</v>
      </c>
      <c r="B111" s="855">
        <v>39091</v>
      </c>
      <c r="C111" s="856" t="s">
        <v>54</v>
      </c>
      <c r="D111" s="857" t="s">
        <v>1457</v>
      </c>
      <c r="E111" s="857" t="s">
        <v>1375</v>
      </c>
      <c r="F111" s="858" t="s">
        <v>1317</v>
      </c>
      <c r="G111" s="858" t="s">
        <v>14</v>
      </c>
      <c r="H111" s="860">
        <v>43710</v>
      </c>
      <c r="I111" s="859">
        <v>523</v>
      </c>
      <c r="J111" s="861" t="s">
        <v>58</v>
      </c>
      <c r="K111" s="862" t="s">
        <v>680</v>
      </c>
      <c r="L111" s="1025">
        <v>44336</v>
      </c>
      <c r="M111" s="862" t="s">
        <v>60</v>
      </c>
      <c r="N111" s="1024">
        <v>44317</v>
      </c>
      <c r="O111" s="885">
        <v>45047</v>
      </c>
      <c r="P111" s="859"/>
      <c r="Q111" s="861" t="s">
        <v>1376</v>
      </c>
      <c r="R111" s="861" t="s">
        <v>1103</v>
      </c>
      <c r="S111" s="581" t="s">
        <v>1332</v>
      </c>
      <c r="T111" s="861" t="s">
        <v>1103</v>
      </c>
      <c r="U111" s="861" t="s">
        <v>1103</v>
      </c>
      <c r="V111" s="885" t="s">
        <v>63</v>
      </c>
      <c r="W111" s="885">
        <v>44336</v>
      </c>
      <c r="X111" s="861" t="s">
        <v>1309</v>
      </c>
      <c r="Y111" s="861" t="s">
        <v>869</v>
      </c>
      <c r="Z111" s="867"/>
      <c r="AA111" s="868"/>
      <c r="AB111" s="1116" t="s">
        <v>1458</v>
      </c>
      <c r="AC111" s="861"/>
      <c r="AD111" s="878">
        <v>45125</v>
      </c>
      <c r="AE111" s="859"/>
      <c r="AF111" s="871">
        <v>45125</v>
      </c>
      <c r="AG111" s="885">
        <v>45464</v>
      </c>
      <c r="AH111" s="877">
        <v>45315</v>
      </c>
      <c r="AI111" s="115" t="s">
        <v>1455</v>
      </c>
      <c r="AJ111" s="115" t="s">
        <v>1116</v>
      </c>
      <c r="AK111" s="115" t="s">
        <v>1456</v>
      </c>
      <c r="AL111" s="115"/>
      <c r="AM111" s="115" t="s">
        <v>1455</v>
      </c>
      <c r="AN111" s="381"/>
    </row>
    <row r="112" spans="1:40" ht="12.75" customHeight="1" x14ac:dyDescent="0.25">
      <c r="A112" s="996">
        <v>111</v>
      </c>
      <c r="B112" s="339">
        <v>39116</v>
      </c>
      <c r="C112" s="340" t="s">
        <v>64</v>
      </c>
      <c r="D112" s="341" t="s">
        <v>1459</v>
      </c>
      <c r="E112" s="341" t="s">
        <v>1375</v>
      </c>
      <c r="F112" s="335" t="s">
        <v>1317</v>
      </c>
      <c r="G112" s="335" t="s">
        <v>14</v>
      </c>
      <c r="H112" s="342">
        <v>43820</v>
      </c>
      <c r="I112" s="314">
        <v>674</v>
      </c>
      <c r="J112" s="310" t="s">
        <v>58</v>
      </c>
      <c r="K112" s="491" t="s">
        <v>680</v>
      </c>
      <c r="L112" s="491" t="s">
        <v>1103</v>
      </c>
      <c r="M112" s="491" t="s">
        <v>60</v>
      </c>
      <c r="N112" s="499">
        <v>44260</v>
      </c>
      <c r="O112" s="350">
        <v>45072</v>
      </c>
      <c r="P112" s="314"/>
      <c r="Q112" s="310" t="s">
        <v>1103</v>
      </c>
      <c r="R112" s="350">
        <v>44099</v>
      </c>
      <c r="S112" s="581" t="s">
        <v>1332</v>
      </c>
      <c r="T112" s="310" t="s">
        <v>1103</v>
      </c>
      <c r="U112" s="310" t="s">
        <v>1103</v>
      </c>
      <c r="V112" s="350" t="s">
        <v>63</v>
      </c>
      <c r="W112" s="350">
        <v>44342</v>
      </c>
      <c r="X112" s="837" t="s">
        <v>1290</v>
      </c>
      <c r="Y112" s="861" t="s">
        <v>869</v>
      </c>
      <c r="Z112" s="491"/>
      <c r="AA112" s="552"/>
      <c r="AB112" s="310"/>
      <c r="AC112" s="310"/>
      <c r="AD112" s="343">
        <v>44922</v>
      </c>
      <c r="AE112" s="314"/>
      <c r="AF112" s="314"/>
      <c r="AG112" s="343">
        <v>45527</v>
      </c>
      <c r="AH112" s="609">
        <v>44997</v>
      </c>
      <c r="AI112" s="84">
        <v>44928</v>
      </c>
      <c r="AJ112" s="3" t="s">
        <v>1116</v>
      </c>
      <c r="AK112" s="84">
        <v>45751</v>
      </c>
      <c r="AL112" s="3" t="s">
        <v>1460</v>
      </c>
      <c r="AM112" s="3" t="s">
        <v>1430</v>
      </c>
      <c r="AN112" s="381"/>
    </row>
    <row r="113" spans="1:40" ht="12.75" customHeight="1" x14ac:dyDescent="0.25">
      <c r="A113" s="996">
        <v>112</v>
      </c>
      <c r="B113" s="339">
        <v>39116</v>
      </c>
      <c r="C113" s="340" t="s">
        <v>54</v>
      </c>
      <c r="D113" s="341" t="s">
        <v>1461</v>
      </c>
      <c r="E113" s="341" t="s">
        <v>1375</v>
      </c>
      <c r="F113" s="335" t="s">
        <v>1317</v>
      </c>
      <c r="G113" s="335" t="s">
        <v>14</v>
      </c>
      <c r="H113" s="342">
        <v>43820</v>
      </c>
      <c r="I113" s="314">
        <v>673</v>
      </c>
      <c r="J113" s="310" t="s">
        <v>58</v>
      </c>
      <c r="K113" s="491" t="s">
        <v>680</v>
      </c>
      <c r="L113" s="499">
        <v>44342</v>
      </c>
      <c r="M113" s="491" t="s">
        <v>60</v>
      </c>
      <c r="N113" s="499">
        <v>44260</v>
      </c>
      <c r="O113" s="350">
        <v>45072</v>
      </c>
      <c r="P113" s="314"/>
      <c r="Q113" s="310" t="s">
        <v>1103</v>
      </c>
      <c r="R113" s="350">
        <v>44099</v>
      </c>
      <c r="S113" s="581" t="s">
        <v>1332</v>
      </c>
      <c r="T113" s="310" t="s">
        <v>1103</v>
      </c>
      <c r="U113" s="310" t="s">
        <v>1103</v>
      </c>
      <c r="V113" s="350" t="s">
        <v>63</v>
      </c>
      <c r="W113" s="350">
        <v>44342</v>
      </c>
      <c r="X113" s="837" t="s">
        <v>1290</v>
      </c>
      <c r="Y113" s="861" t="s">
        <v>869</v>
      </c>
      <c r="Z113" s="491"/>
      <c r="AA113" s="552"/>
      <c r="AB113" s="310"/>
      <c r="AC113" s="310"/>
      <c r="AD113" s="343">
        <v>44922</v>
      </c>
      <c r="AE113" s="310"/>
      <c r="AF113" s="314"/>
      <c r="AG113" s="343">
        <v>45527</v>
      </c>
      <c r="AH113" s="609">
        <v>44997</v>
      </c>
      <c r="AI113" s="84">
        <v>44928</v>
      </c>
      <c r="AJ113" s="3" t="s">
        <v>1116</v>
      </c>
      <c r="AK113" s="84">
        <v>45751</v>
      </c>
      <c r="AL113" s="3" t="s">
        <v>1460</v>
      </c>
      <c r="AM113" s="3" t="s">
        <v>1430</v>
      </c>
      <c r="AN113" s="381"/>
    </row>
    <row r="114" spans="1:40" ht="12.75" customHeight="1" x14ac:dyDescent="0.25">
      <c r="A114" s="996">
        <v>113</v>
      </c>
      <c r="B114" s="576">
        <v>39134</v>
      </c>
      <c r="C114" s="577" t="s">
        <v>64</v>
      </c>
      <c r="D114" s="587" t="s">
        <v>1462</v>
      </c>
      <c r="E114" s="587" t="s">
        <v>1375</v>
      </c>
      <c r="F114" s="578" t="s">
        <v>1317</v>
      </c>
      <c r="G114" s="578" t="s">
        <v>14</v>
      </c>
      <c r="H114" s="579">
        <v>43889</v>
      </c>
      <c r="I114" s="580">
        <v>661</v>
      </c>
      <c r="J114" s="581" t="s">
        <v>58</v>
      </c>
      <c r="K114" s="582" t="s">
        <v>680</v>
      </c>
      <c r="L114" s="1061">
        <v>44331</v>
      </c>
      <c r="M114" s="582" t="s">
        <v>60</v>
      </c>
      <c r="N114" s="1062">
        <v>44272</v>
      </c>
      <c r="O114" s="894">
        <v>45061</v>
      </c>
      <c r="P114" s="580"/>
      <c r="Q114" s="581" t="s">
        <v>1103</v>
      </c>
      <c r="R114" s="581" t="s">
        <v>68</v>
      </c>
      <c r="S114" s="894">
        <v>44099</v>
      </c>
      <c r="T114" s="581" t="s">
        <v>1103</v>
      </c>
      <c r="U114" s="581" t="s">
        <v>1103</v>
      </c>
      <c r="V114" s="894" t="s">
        <v>63</v>
      </c>
      <c r="W114" s="894">
        <v>44345</v>
      </c>
      <c r="X114" s="581" t="s">
        <v>1309</v>
      </c>
      <c r="Y114" s="861" t="s">
        <v>869</v>
      </c>
      <c r="Z114" s="888"/>
      <c r="AA114" s="889"/>
      <c r="AB114" s="581"/>
      <c r="AC114" s="581"/>
      <c r="AD114" s="895">
        <v>45138</v>
      </c>
      <c r="AE114" s="580"/>
      <c r="AF114" s="893">
        <v>45138</v>
      </c>
      <c r="AG114" s="293" t="s">
        <v>1463</v>
      </c>
      <c r="AH114" s="994">
        <v>45341</v>
      </c>
      <c r="AI114" s="269">
        <v>45341</v>
      </c>
      <c r="AJ114" s="239" t="s">
        <v>1116</v>
      </c>
      <c r="AK114" s="644">
        <v>45488</v>
      </c>
      <c r="AL114" s="649"/>
      <c r="AM114" s="644" t="s">
        <v>1395</v>
      </c>
      <c r="AN114" s="381"/>
    </row>
    <row r="115" spans="1:40" ht="12.75" customHeight="1" x14ac:dyDescent="0.25">
      <c r="A115" s="996">
        <v>114</v>
      </c>
      <c r="B115" s="339">
        <v>39134</v>
      </c>
      <c r="C115" s="340" t="s">
        <v>54</v>
      </c>
      <c r="D115" s="341" t="s">
        <v>1464</v>
      </c>
      <c r="E115" s="341" t="s">
        <v>1375</v>
      </c>
      <c r="F115" s="335" t="s">
        <v>1317</v>
      </c>
      <c r="G115" s="335" t="s">
        <v>14</v>
      </c>
      <c r="H115" s="342">
        <v>43889</v>
      </c>
      <c r="I115" s="314">
        <v>672</v>
      </c>
      <c r="J115" s="310" t="s">
        <v>58</v>
      </c>
      <c r="K115" s="491" t="s">
        <v>680</v>
      </c>
      <c r="L115" s="595">
        <v>44331</v>
      </c>
      <c r="M115" s="491" t="s">
        <v>60</v>
      </c>
      <c r="N115" s="499">
        <v>44272</v>
      </c>
      <c r="O115" s="350">
        <v>45061</v>
      </c>
      <c r="P115" s="314"/>
      <c r="Q115" s="310" t="s">
        <v>1103</v>
      </c>
      <c r="R115" s="310" t="s">
        <v>62</v>
      </c>
      <c r="S115" s="350">
        <v>44099</v>
      </c>
      <c r="T115" s="310" t="s">
        <v>1103</v>
      </c>
      <c r="U115" s="310" t="s">
        <v>1103</v>
      </c>
      <c r="V115" s="350" t="s">
        <v>63</v>
      </c>
      <c r="W115" s="350">
        <v>44345</v>
      </c>
      <c r="X115" s="310" t="s">
        <v>1309</v>
      </c>
      <c r="Y115" s="861" t="s">
        <v>869</v>
      </c>
      <c r="Z115" s="593"/>
      <c r="AA115" s="589"/>
      <c r="AB115" s="310"/>
      <c r="AC115" s="310"/>
      <c r="AD115" s="519">
        <v>45138</v>
      </c>
      <c r="AE115" s="314"/>
      <c r="AF115" s="520">
        <v>45138</v>
      </c>
      <c r="AG115" s="605" t="s">
        <v>1463</v>
      </c>
      <c r="AH115" s="535">
        <v>45341</v>
      </c>
      <c r="AI115" s="52">
        <v>45341</v>
      </c>
      <c r="AJ115" s="3" t="s">
        <v>1116</v>
      </c>
      <c r="AK115" s="84">
        <v>45488</v>
      </c>
      <c r="AM115" s="3" t="s">
        <v>1465</v>
      </c>
    </row>
    <row r="116" spans="1:40" ht="12.75" customHeight="1" x14ac:dyDescent="0.25">
      <c r="A116" s="996">
        <v>115</v>
      </c>
      <c r="B116" s="531">
        <v>30621</v>
      </c>
      <c r="C116" s="334" t="s">
        <v>64</v>
      </c>
      <c r="D116" s="3" t="s">
        <v>1466</v>
      </c>
      <c r="E116" s="17" t="s">
        <v>1316</v>
      </c>
      <c r="F116" s="335" t="s">
        <v>1317</v>
      </c>
      <c r="G116" s="3" t="s">
        <v>14</v>
      </c>
      <c r="H116" s="520">
        <v>45083</v>
      </c>
      <c r="I116" s="3">
        <v>1266</v>
      </c>
      <c r="J116" s="310" t="s">
        <v>58</v>
      </c>
      <c r="K116" s="491" t="s">
        <v>680</v>
      </c>
      <c r="L116" s="594">
        <v>44105</v>
      </c>
      <c r="M116" s="491" t="s">
        <v>60</v>
      </c>
      <c r="N116" s="495">
        <v>44457</v>
      </c>
      <c r="O116" s="343">
        <v>45418</v>
      </c>
      <c r="P116" s="314"/>
      <c r="Q116" s="310" t="s">
        <v>1301</v>
      </c>
      <c r="R116" s="310" t="s">
        <v>206</v>
      </c>
      <c r="S116" s="581" t="s">
        <v>1332</v>
      </c>
      <c r="T116" s="310" t="s">
        <v>206</v>
      </c>
      <c r="U116" s="310" t="s">
        <v>206</v>
      </c>
      <c r="V116" s="310" t="s">
        <v>63</v>
      </c>
      <c r="W116" s="310" t="s">
        <v>63</v>
      </c>
      <c r="X116" s="609" t="s">
        <v>1244</v>
      </c>
      <c r="Y116" s="861" t="s">
        <v>869</v>
      </c>
      <c r="Z116" s="593"/>
      <c r="AA116" s="589"/>
      <c r="AB116" s="310"/>
      <c r="AC116" s="310"/>
      <c r="AD116" s="343" t="s">
        <v>1324</v>
      </c>
      <c r="AE116" s="351"/>
      <c r="AF116" s="314" t="s">
        <v>1324</v>
      </c>
      <c r="AG116" s="521">
        <v>45390</v>
      </c>
      <c r="AH116" s="535">
        <v>45317</v>
      </c>
      <c r="AI116" s="52">
        <v>45170</v>
      </c>
      <c r="AJ116" s="3" t="s">
        <v>1116</v>
      </c>
      <c r="AK116" s="52">
        <v>45821</v>
      </c>
      <c r="AL116" s="3"/>
      <c r="AM116" s="3" t="s">
        <v>1320</v>
      </c>
      <c r="AN116" s="381"/>
    </row>
    <row r="117" spans="1:40" ht="12.75" customHeight="1" x14ac:dyDescent="0.25">
      <c r="A117" s="996">
        <v>116</v>
      </c>
      <c r="B117" s="1032">
        <v>30621</v>
      </c>
      <c r="C117" s="1033" t="s">
        <v>54</v>
      </c>
      <c r="D117" s="115" t="s">
        <v>1467</v>
      </c>
      <c r="E117" s="510" t="s">
        <v>1316</v>
      </c>
      <c r="F117" s="858" t="s">
        <v>1317</v>
      </c>
      <c r="G117" s="115" t="s">
        <v>14</v>
      </c>
      <c r="H117" s="871">
        <v>45083</v>
      </c>
      <c r="I117" s="115">
        <v>1267</v>
      </c>
      <c r="J117" s="861" t="s">
        <v>58</v>
      </c>
      <c r="K117" s="862" t="s">
        <v>680</v>
      </c>
      <c r="L117" s="1034">
        <v>44293</v>
      </c>
      <c r="M117" s="862" t="s">
        <v>60</v>
      </c>
      <c r="N117" s="864">
        <v>44457</v>
      </c>
      <c r="O117" s="865">
        <v>45418</v>
      </c>
      <c r="P117" s="859"/>
      <c r="Q117" s="861" t="s">
        <v>1301</v>
      </c>
      <c r="R117" s="861" t="s">
        <v>206</v>
      </c>
      <c r="S117" s="581" t="s">
        <v>1332</v>
      </c>
      <c r="T117" s="861" t="s">
        <v>206</v>
      </c>
      <c r="U117" s="861" t="s">
        <v>206</v>
      </c>
      <c r="V117" s="861" t="s">
        <v>63</v>
      </c>
      <c r="W117" s="861" t="s">
        <v>63</v>
      </c>
      <c r="X117" s="609" t="s">
        <v>1244</v>
      </c>
      <c r="Y117" s="861" t="s">
        <v>869</v>
      </c>
      <c r="Z117" s="867"/>
      <c r="AA117" s="868"/>
      <c r="AB117" s="861"/>
      <c r="AC117" s="861"/>
      <c r="AD117" s="865" t="s">
        <v>1324</v>
      </c>
      <c r="AE117" s="880"/>
      <c r="AF117" s="859" t="s">
        <v>1324</v>
      </c>
      <c r="AG117" s="869">
        <v>45390</v>
      </c>
      <c r="AH117" s="877">
        <v>45317</v>
      </c>
      <c r="AI117" s="405">
        <v>45170</v>
      </c>
      <c r="AJ117" s="115" t="s">
        <v>1116</v>
      </c>
      <c r="AK117" s="405">
        <v>45821</v>
      </c>
      <c r="AL117" s="115"/>
      <c r="AM117" s="115" t="s">
        <v>1320</v>
      </c>
    </row>
    <row r="118" spans="1:40" ht="13.35" customHeight="1" x14ac:dyDescent="0.25">
      <c r="A118" s="996">
        <v>117</v>
      </c>
      <c r="B118" s="335">
        <v>37133</v>
      </c>
      <c r="C118" s="334" t="s">
        <v>64</v>
      </c>
      <c r="D118" s="341" t="s">
        <v>1468</v>
      </c>
      <c r="E118" s="341" t="s">
        <v>1375</v>
      </c>
      <c r="F118" s="314" t="s">
        <v>1317</v>
      </c>
      <c r="G118" s="314" t="s">
        <v>14</v>
      </c>
      <c r="H118" s="520">
        <v>43552</v>
      </c>
      <c r="I118" s="314">
        <v>333</v>
      </c>
      <c r="J118" s="310" t="s">
        <v>58</v>
      </c>
      <c r="K118" s="491" t="s">
        <v>680</v>
      </c>
      <c r="L118" s="499">
        <v>44350</v>
      </c>
      <c r="M118" s="491" t="s">
        <v>60</v>
      </c>
      <c r="N118" s="499">
        <v>44253</v>
      </c>
      <c r="O118" s="343">
        <v>45143</v>
      </c>
      <c r="P118" s="343">
        <v>44909</v>
      </c>
      <c r="Q118" s="310" t="s">
        <v>1376</v>
      </c>
      <c r="R118" s="350">
        <v>44169</v>
      </c>
      <c r="S118" s="581" t="s">
        <v>1332</v>
      </c>
      <c r="T118" s="350">
        <v>44137</v>
      </c>
      <c r="U118" s="350">
        <v>44137</v>
      </c>
      <c r="V118" s="349" t="s">
        <v>63</v>
      </c>
      <c r="W118" s="350">
        <v>44350</v>
      </c>
      <c r="X118" s="837" t="s">
        <v>1290</v>
      </c>
      <c r="Y118" s="861" t="s">
        <v>869</v>
      </c>
      <c r="Z118" s="491"/>
      <c r="AA118" s="552"/>
      <c r="AB118" s="310"/>
      <c r="AC118" s="310"/>
      <c r="AD118" s="343" t="s">
        <v>63</v>
      </c>
      <c r="AE118" s="351"/>
      <c r="AF118" s="520">
        <v>45245</v>
      </c>
      <c r="AG118" s="350" t="s">
        <v>1469</v>
      </c>
      <c r="AH118" s="350">
        <v>45029</v>
      </c>
      <c r="AI118" s="52">
        <v>45245</v>
      </c>
      <c r="AJ118" s="3" t="s">
        <v>1116</v>
      </c>
      <c r="AK118" s="3" t="s">
        <v>1470</v>
      </c>
      <c r="AM118" s="3" t="s">
        <v>1470</v>
      </c>
    </row>
    <row r="119" spans="1:40" ht="13.35" customHeight="1" x14ac:dyDescent="0.25">
      <c r="A119" s="996">
        <v>118</v>
      </c>
      <c r="B119" s="335">
        <v>37133</v>
      </c>
      <c r="C119" s="334" t="s">
        <v>54</v>
      </c>
      <c r="D119" s="341" t="s">
        <v>1471</v>
      </c>
      <c r="E119" s="341" t="s">
        <v>1375</v>
      </c>
      <c r="F119" s="314" t="s">
        <v>1317</v>
      </c>
      <c r="G119" s="314" t="s">
        <v>14</v>
      </c>
      <c r="H119" s="520">
        <v>43552</v>
      </c>
      <c r="I119" s="314">
        <v>408</v>
      </c>
      <c r="J119" s="310" t="s">
        <v>58</v>
      </c>
      <c r="K119" s="491" t="s">
        <v>680</v>
      </c>
      <c r="L119" s="499">
        <v>44350</v>
      </c>
      <c r="M119" s="491" t="s">
        <v>60</v>
      </c>
      <c r="N119" s="499">
        <v>44253</v>
      </c>
      <c r="O119" s="343">
        <v>45084</v>
      </c>
      <c r="P119" s="343">
        <v>44909</v>
      </c>
      <c r="Q119" s="310" t="s">
        <v>1376</v>
      </c>
      <c r="R119" s="350">
        <v>44169</v>
      </c>
      <c r="S119" s="581" t="s">
        <v>1332</v>
      </c>
      <c r="T119" s="350">
        <v>44137</v>
      </c>
      <c r="U119" s="350">
        <v>44137</v>
      </c>
      <c r="V119" s="349" t="s">
        <v>63</v>
      </c>
      <c r="W119" s="350">
        <v>44350</v>
      </c>
      <c r="X119" s="310" t="s">
        <v>1309</v>
      </c>
      <c r="Y119" s="861" t="s">
        <v>869</v>
      </c>
      <c r="Z119" s="491"/>
      <c r="AA119" s="552"/>
      <c r="AB119" s="310"/>
      <c r="AC119" s="310"/>
      <c r="AD119" s="343" t="s">
        <v>63</v>
      </c>
      <c r="AE119" s="351"/>
      <c r="AF119" s="520">
        <v>45245</v>
      </c>
      <c r="AG119" s="350" t="s">
        <v>1469</v>
      </c>
      <c r="AH119" s="350">
        <v>45029</v>
      </c>
      <c r="AI119" s="52">
        <v>45245</v>
      </c>
      <c r="AJ119" s="3" t="s">
        <v>1116</v>
      </c>
      <c r="AK119" s="3" t="s">
        <v>1470</v>
      </c>
      <c r="AM119" s="3" t="s">
        <v>1470</v>
      </c>
    </row>
    <row r="120" spans="1:40" ht="13.35" customHeight="1" x14ac:dyDescent="0.25">
      <c r="A120" s="996">
        <v>119</v>
      </c>
      <c r="B120" s="339">
        <v>37136</v>
      </c>
      <c r="C120" s="340" t="s">
        <v>64</v>
      </c>
      <c r="D120" s="341" t="s">
        <v>1472</v>
      </c>
      <c r="E120" s="341" t="s">
        <v>1375</v>
      </c>
      <c r="F120" s="335" t="s">
        <v>1317</v>
      </c>
      <c r="G120" s="335" t="s">
        <v>14</v>
      </c>
      <c r="H120" s="347">
        <v>43553</v>
      </c>
      <c r="I120" s="314">
        <v>350</v>
      </c>
      <c r="J120" s="310" t="s">
        <v>58</v>
      </c>
      <c r="K120" s="491" t="s">
        <v>680</v>
      </c>
      <c r="L120" s="499">
        <v>44354</v>
      </c>
      <c r="M120" s="491" t="s">
        <v>60</v>
      </c>
      <c r="N120" s="499">
        <v>44272</v>
      </c>
      <c r="O120" s="350">
        <v>45084</v>
      </c>
      <c r="P120" s="314"/>
      <c r="Q120" s="310" t="s">
        <v>1376</v>
      </c>
      <c r="R120" s="350">
        <v>44103</v>
      </c>
      <c r="S120" s="581" t="s">
        <v>1332</v>
      </c>
      <c r="T120" s="350">
        <v>44099</v>
      </c>
      <c r="U120" s="350">
        <v>44099</v>
      </c>
      <c r="V120" s="350" t="s">
        <v>63</v>
      </c>
      <c r="W120" s="350">
        <v>44354</v>
      </c>
      <c r="X120" s="310" t="s">
        <v>1309</v>
      </c>
      <c r="Y120" s="861" t="s">
        <v>869</v>
      </c>
      <c r="Z120" s="491"/>
      <c r="AA120" s="552"/>
      <c r="AB120" s="1177" t="s">
        <v>1473</v>
      </c>
      <c r="AC120" s="310"/>
      <c r="AD120" s="343">
        <v>45143</v>
      </c>
      <c r="AE120" s="351"/>
      <c r="AF120" s="520">
        <v>45285</v>
      </c>
      <c r="AG120" s="52" t="s">
        <v>1474</v>
      </c>
      <c r="AH120" s="535">
        <v>45143</v>
      </c>
      <c r="AI120" s="52">
        <v>45285</v>
      </c>
      <c r="AJ120" s="3" t="s">
        <v>1116</v>
      </c>
      <c r="AK120" s="3"/>
      <c r="AM120" s="3" t="s">
        <v>1326</v>
      </c>
    </row>
    <row r="121" spans="1:40" ht="13.35" customHeight="1" x14ac:dyDescent="0.25">
      <c r="A121" s="996">
        <v>120</v>
      </c>
      <c r="B121" s="339">
        <v>37136</v>
      </c>
      <c r="C121" s="340" t="s">
        <v>54</v>
      </c>
      <c r="D121" s="341" t="s">
        <v>1475</v>
      </c>
      <c r="E121" s="341" t="s">
        <v>1375</v>
      </c>
      <c r="F121" s="335" t="s">
        <v>1317</v>
      </c>
      <c r="G121" s="335" t="s">
        <v>14</v>
      </c>
      <c r="H121" s="347">
        <v>43553</v>
      </c>
      <c r="I121" s="314">
        <v>339</v>
      </c>
      <c r="J121" s="310" t="s">
        <v>58</v>
      </c>
      <c r="K121" s="491" t="s">
        <v>680</v>
      </c>
      <c r="L121" s="499">
        <v>44354</v>
      </c>
      <c r="M121" s="491" t="s">
        <v>60</v>
      </c>
      <c r="N121" s="499">
        <v>44272</v>
      </c>
      <c r="O121" s="343">
        <v>45084</v>
      </c>
      <c r="P121" s="314"/>
      <c r="Q121" s="310" t="s">
        <v>1376</v>
      </c>
      <c r="R121" s="350">
        <v>44103</v>
      </c>
      <c r="S121" s="581" t="s">
        <v>1332</v>
      </c>
      <c r="T121" s="350">
        <v>44099</v>
      </c>
      <c r="U121" s="350">
        <v>44099</v>
      </c>
      <c r="V121" s="350" t="s">
        <v>63</v>
      </c>
      <c r="W121" s="350">
        <v>44354</v>
      </c>
      <c r="X121" s="310" t="s">
        <v>1309</v>
      </c>
      <c r="Y121" s="861" t="s">
        <v>869</v>
      </c>
      <c r="Z121" s="491"/>
      <c r="AA121" s="552"/>
      <c r="AB121" s="310"/>
      <c r="AC121" s="310"/>
      <c r="AD121" s="343">
        <v>45143</v>
      </c>
      <c r="AE121" s="351"/>
      <c r="AF121" s="520">
        <v>45247</v>
      </c>
      <c r="AG121" s="52" t="s">
        <v>1474</v>
      </c>
      <c r="AH121" s="535">
        <v>45143</v>
      </c>
      <c r="AI121" s="52">
        <v>45247</v>
      </c>
      <c r="AJ121" s="3" t="s">
        <v>1116</v>
      </c>
      <c r="AK121" s="3"/>
      <c r="AM121" s="3" t="s">
        <v>1326</v>
      </c>
    </row>
    <row r="122" spans="1:40" ht="13.35" customHeight="1" x14ac:dyDescent="0.25">
      <c r="A122" s="996">
        <v>121</v>
      </c>
      <c r="B122" s="576">
        <v>37140</v>
      </c>
      <c r="C122" s="577" t="s">
        <v>64</v>
      </c>
      <c r="D122" s="587" t="s">
        <v>1476</v>
      </c>
      <c r="E122" s="587" t="s">
        <v>1375</v>
      </c>
      <c r="F122" s="578" t="s">
        <v>1317</v>
      </c>
      <c r="G122" s="578" t="s">
        <v>14</v>
      </c>
      <c r="H122" s="1070">
        <v>43570</v>
      </c>
      <c r="I122" s="580">
        <v>362</v>
      </c>
      <c r="J122" s="581" t="s">
        <v>58</v>
      </c>
      <c r="K122" s="582" t="s">
        <v>680</v>
      </c>
      <c r="L122" s="1061">
        <v>44372</v>
      </c>
      <c r="M122" s="582" t="s">
        <v>60</v>
      </c>
      <c r="N122" s="1062">
        <v>44373</v>
      </c>
      <c r="O122" s="584">
        <v>45084</v>
      </c>
      <c r="P122" s="580"/>
      <c r="Q122" s="581" t="s">
        <v>1376</v>
      </c>
      <c r="R122" s="894">
        <v>44141</v>
      </c>
      <c r="S122" s="581" t="s">
        <v>1332</v>
      </c>
      <c r="T122" s="894">
        <v>44100</v>
      </c>
      <c r="U122" s="894">
        <v>44100</v>
      </c>
      <c r="V122" s="349" t="s">
        <v>63</v>
      </c>
      <c r="W122" s="894">
        <v>44372</v>
      </c>
      <c r="X122" s="837" t="s">
        <v>1290</v>
      </c>
      <c r="Y122" s="861" t="s">
        <v>869</v>
      </c>
      <c r="Z122" s="888"/>
      <c r="AA122" s="889"/>
      <c r="AB122" s="581"/>
      <c r="AC122" s="581"/>
      <c r="AD122" s="584">
        <v>45186</v>
      </c>
      <c r="AE122" s="1064"/>
      <c r="AF122" s="893">
        <v>45186</v>
      </c>
      <c r="AG122" s="293">
        <v>45469</v>
      </c>
      <c r="AH122" s="994">
        <v>45469</v>
      </c>
      <c r="AI122" s="239" t="s">
        <v>1477</v>
      </c>
      <c r="AJ122" s="239" t="s">
        <v>1116</v>
      </c>
      <c r="AK122" s="239" t="s">
        <v>1478</v>
      </c>
      <c r="AL122" s="239" t="s">
        <v>1479</v>
      </c>
      <c r="AM122" s="239" t="s">
        <v>1478</v>
      </c>
    </row>
    <row r="123" spans="1:40" ht="13.35" customHeight="1" x14ac:dyDescent="0.25">
      <c r="A123" s="996">
        <v>122</v>
      </c>
      <c r="B123" s="339">
        <v>37140</v>
      </c>
      <c r="C123" s="340" t="s">
        <v>54</v>
      </c>
      <c r="D123" s="341" t="s">
        <v>1480</v>
      </c>
      <c r="E123" s="341" t="s">
        <v>1375</v>
      </c>
      <c r="F123" s="335" t="s">
        <v>1317</v>
      </c>
      <c r="G123" s="335" t="s">
        <v>14</v>
      </c>
      <c r="H123" s="347">
        <v>43570</v>
      </c>
      <c r="I123" s="314">
        <v>363</v>
      </c>
      <c r="J123" s="310" t="s">
        <v>58</v>
      </c>
      <c r="K123" s="491" t="s">
        <v>680</v>
      </c>
      <c r="L123" s="595">
        <v>44372</v>
      </c>
      <c r="M123" s="491" t="s">
        <v>60</v>
      </c>
      <c r="N123" s="499">
        <v>44278</v>
      </c>
      <c r="O123" s="343">
        <v>45152</v>
      </c>
      <c r="P123" s="314"/>
      <c r="Q123" s="310" t="s">
        <v>1376</v>
      </c>
      <c r="R123" s="350">
        <v>44141</v>
      </c>
      <c r="S123" s="581" t="s">
        <v>1332</v>
      </c>
      <c r="T123" s="350">
        <v>44100</v>
      </c>
      <c r="U123" s="350">
        <v>44100</v>
      </c>
      <c r="V123" s="349" t="s">
        <v>63</v>
      </c>
      <c r="W123" s="350">
        <v>44372</v>
      </c>
      <c r="X123" s="837" t="s">
        <v>1290</v>
      </c>
      <c r="Y123" s="861" t="s">
        <v>869</v>
      </c>
      <c r="Z123" s="593"/>
      <c r="AA123" s="589"/>
      <c r="AB123" s="310"/>
      <c r="AC123" s="310"/>
      <c r="AD123" s="343">
        <v>45186</v>
      </c>
      <c r="AE123" s="351"/>
      <c r="AF123" s="520">
        <v>45186</v>
      </c>
      <c r="AG123" s="605">
        <v>45469</v>
      </c>
      <c r="AH123" s="535">
        <v>45469</v>
      </c>
      <c r="AI123" s="3" t="s">
        <v>1477</v>
      </c>
      <c r="AJ123" s="3" t="s">
        <v>1116</v>
      </c>
      <c r="AK123" s="3" t="s">
        <v>1478</v>
      </c>
      <c r="AL123" s="3" t="s">
        <v>1478</v>
      </c>
      <c r="AM123" s="3" t="s">
        <v>1478</v>
      </c>
    </row>
    <row r="124" spans="1:40" ht="13.35" customHeight="1" x14ac:dyDescent="0.25">
      <c r="A124" s="996">
        <v>123</v>
      </c>
      <c r="B124" s="339">
        <v>37145</v>
      </c>
      <c r="C124" s="334" t="s">
        <v>64</v>
      </c>
      <c r="D124" s="341" t="s">
        <v>1481</v>
      </c>
      <c r="E124" s="341" t="s">
        <v>1375</v>
      </c>
      <c r="F124" s="314" t="s">
        <v>1317</v>
      </c>
      <c r="G124" s="314" t="s">
        <v>14</v>
      </c>
      <c r="H124" s="520">
        <v>43572</v>
      </c>
      <c r="I124" s="314">
        <v>344</v>
      </c>
      <c r="J124" s="310" t="s">
        <v>58</v>
      </c>
      <c r="K124" s="491" t="s">
        <v>680</v>
      </c>
      <c r="L124" s="595">
        <v>44418</v>
      </c>
      <c r="M124" s="491" t="s">
        <v>60</v>
      </c>
      <c r="N124" s="499">
        <v>44210</v>
      </c>
      <c r="O124" s="343">
        <v>45152</v>
      </c>
      <c r="P124" s="314"/>
      <c r="Q124" s="310" t="s">
        <v>1376</v>
      </c>
      <c r="R124" s="350">
        <v>44217</v>
      </c>
      <c r="S124" s="581" t="s">
        <v>1332</v>
      </c>
      <c r="T124" s="350">
        <v>44125</v>
      </c>
      <c r="U124" s="350">
        <v>44125</v>
      </c>
      <c r="V124" s="350" t="s">
        <v>63</v>
      </c>
      <c r="W124" s="350">
        <v>44418</v>
      </c>
      <c r="X124" s="837" t="s">
        <v>1290</v>
      </c>
      <c r="Y124" s="861" t="s">
        <v>869</v>
      </c>
      <c r="Z124" s="593"/>
      <c r="AA124" s="589"/>
      <c r="AB124" s="310"/>
      <c r="AC124" s="310"/>
      <c r="AD124" s="343">
        <v>45152</v>
      </c>
      <c r="AE124" s="351"/>
      <c r="AF124" s="520"/>
      <c r="AG124" s="536">
        <v>45475</v>
      </c>
      <c r="AH124" s="343">
        <v>45089</v>
      </c>
      <c r="AI124" s="52">
        <v>45152</v>
      </c>
      <c r="AJ124" s="3" t="s">
        <v>1116</v>
      </c>
      <c r="AK124" s="3"/>
      <c r="AL124" s="52">
        <v>45835</v>
      </c>
      <c r="AM124" s="3" t="s">
        <v>1401</v>
      </c>
    </row>
    <row r="125" spans="1:40" ht="13.35" customHeight="1" x14ac:dyDescent="0.25">
      <c r="A125" s="996">
        <v>124</v>
      </c>
      <c r="B125" s="339">
        <v>37145</v>
      </c>
      <c r="C125" s="334" t="s">
        <v>54</v>
      </c>
      <c r="D125" s="341" t="s">
        <v>1482</v>
      </c>
      <c r="E125" s="341" t="s">
        <v>1375</v>
      </c>
      <c r="F125" s="314" t="s">
        <v>1317</v>
      </c>
      <c r="G125" s="314" t="s">
        <v>14</v>
      </c>
      <c r="H125" s="520">
        <v>43572</v>
      </c>
      <c r="I125" s="314">
        <v>345</v>
      </c>
      <c r="J125" s="310" t="s">
        <v>58</v>
      </c>
      <c r="K125" s="491" t="s">
        <v>680</v>
      </c>
      <c r="L125" s="595">
        <v>44418</v>
      </c>
      <c r="M125" s="491" t="s">
        <v>60</v>
      </c>
      <c r="N125" s="499">
        <v>44210</v>
      </c>
      <c r="O125" s="343">
        <v>45152</v>
      </c>
      <c r="P125" s="314"/>
      <c r="Q125" s="310" t="s">
        <v>1376</v>
      </c>
      <c r="R125" s="350">
        <v>44217</v>
      </c>
      <c r="S125" s="581" t="s">
        <v>1332</v>
      </c>
      <c r="T125" s="350">
        <v>44125</v>
      </c>
      <c r="U125" s="350">
        <v>44125</v>
      </c>
      <c r="V125" s="350" t="s">
        <v>63</v>
      </c>
      <c r="W125" s="350">
        <v>44418</v>
      </c>
      <c r="X125" s="837" t="s">
        <v>1290</v>
      </c>
      <c r="Y125" s="861" t="s">
        <v>869</v>
      </c>
      <c r="Z125" s="593"/>
      <c r="AA125" s="589"/>
      <c r="AB125" s="310"/>
      <c r="AC125" s="310"/>
      <c r="AD125" s="343">
        <v>45152</v>
      </c>
      <c r="AE125" s="351"/>
      <c r="AF125" s="314"/>
      <c r="AG125" s="536">
        <v>45475</v>
      </c>
      <c r="AH125" s="343">
        <v>45089</v>
      </c>
      <c r="AI125" s="52">
        <v>45152</v>
      </c>
      <c r="AJ125" s="3" t="s">
        <v>1116</v>
      </c>
      <c r="AK125" s="3"/>
      <c r="AL125" s="52">
        <v>45835</v>
      </c>
      <c r="AM125" s="3" t="s">
        <v>1401</v>
      </c>
    </row>
    <row r="126" spans="1:40" ht="13.35" customHeight="1" x14ac:dyDescent="0.25">
      <c r="A126" s="996">
        <v>125</v>
      </c>
      <c r="B126" s="339">
        <v>37172</v>
      </c>
      <c r="C126" s="340" t="s">
        <v>64</v>
      </c>
      <c r="D126" s="341" t="s">
        <v>1483</v>
      </c>
      <c r="E126" s="335" t="s">
        <v>1484</v>
      </c>
      <c r="F126" s="335" t="s">
        <v>1317</v>
      </c>
      <c r="G126" s="335" t="s">
        <v>14</v>
      </c>
      <c r="H126" s="342">
        <v>43601</v>
      </c>
      <c r="I126" s="314">
        <v>431</v>
      </c>
      <c r="J126" s="310" t="s">
        <v>58</v>
      </c>
      <c r="K126" s="491" t="s">
        <v>680</v>
      </c>
      <c r="L126" s="595">
        <v>44321</v>
      </c>
      <c r="M126" s="491" t="s">
        <v>60</v>
      </c>
      <c r="N126" s="499">
        <v>44321</v>
      </c>
      <c r="O126" s="350">
        <v>45294</v>
      </c>
      <c r="P126" s="314"/>
      <c r="Q126" s="310" t="s">
        <v>1376</v>
      </c>
      <c r="R126" s="350">
        <v>44217</v>
      </c>
      <c r="S126" s="581" t="s">
        <v>1332</v>
      </c>
      <c r="T126" s="350">
        <v>44169</v>
      </c>
      <c r="U126" s="350">
        <v>44169</v>
      </c>
      <c r="V126" s="330" t="s">
        <v>68</v>
      </c>
      <c r="W126" s="350">
        <v>44371</v>
      </c>
      <c r="X126" s="310" t="s">
        <v>1309</v>
      </c>
      <c r="Y126" s="861" t="s">
        <v>869</v>
      </c>
      <c r="Z126" s="593"/>
      <c r="AA126" s="589"/>
      <c r="AB126" s="310"/>
      <c r="AC126" s="310"/>
      <c r="AD126" s="351">
        <v>45312</v>
      </c>
      <c r="AE126" s="351"/>
      <c r="AF126" s="314"/>
      <c r="AG126" s="84">
        <v>45634</v>
      </c>
      <c r="AH126" s="609">
        <v>45378</v>
      </c>
      <c r="AI126" s="52">
        <v>45312</v>
      </c>
      <c r="AJ126" s="3" t="s">
        <v>1116</v>
      </c>
      <c r="AK126" s="3" t="s">
        <v>1485</v>
      </c>
      <c r="AL126" s="3" t="s">
        <v>1486</v>
      </c>
      <c r="AM126" s="3" t="s">
        <v>1485</v>
      </c>
    </row>
    <row r="127" spans="1:40" ht="13.35" customHeight="1" x14ac:dyDescent="0.25">
      <c r="A127" s="996">
        <v>126</v>
      </c>
      <c r="B127" s="855">
        <v>37172</v>
      </c>
      <c r="C127" s="856" t="s">
        <v>54</v>
      </c>
      <c r="D127" s="857" t="s">
        <v>1487</v>
      </c>
      <c r="E127" s="858" t="s">
        <v>1484</v>
      </c>
      <c r="F127" s="858" t="s">
        <v>1317</v>
      </c>
      <c r="G127" s="858" t="s">
        <v>14</v>
      </c>
      <c r="H127" s="860">
        <v>43601</v>
      </c>
      <c r="I127" s="859">
        <v>430</v>
      </c>
      <c r="J127" s="861" t="s">
        <v>58</v>
      </c>
      <c r="K127" s="862" t="s">
        <v>680</v>
      </c>
      <c r="L127" s="1025">
        <v>44321</v>
      </c>
      <c r="M127" s="862" t="s">
        <v>60</v>
      </c>
      <c r="N127" s="1024">
        <v>44321</v>
      </c>
      <c r="O127" s="885">
        <v>45294</v>
      </c>
      <c r="P127" s="859"/>
      <c r="Q127" s="861" t="s">
        <v>1376</v>
      </c>
      <c r="R127" s="885">
        <v>44217</v>
      </c>
      <c r="S127" s="581" t="s">
        <v>1332</v>
      </c>
      <c r="T127" s="885">
        <v>44169</v>
      </c>
      <c r="U127" s="885">
        <v>44169</v>
      </c>
      <c r="V127" s="1000" t="s">
        <v>62</v>
      </c>
      <c r="W127" s="885">
        <v>44371</v>
      </c>
      <c r="X127" s="861" t="s">
        <v>1309</v>
      </c>
      <c r="Y127" s="861" t="s">
        <v>869</v>
      </c>
      <c r="Z127" s="867"/>
      <c r="AA127" s="868"/>
      <c r="AB127" s="861"/>
      <c r="AC127" s="861"/>
      <c r="AD127" s="880">
        <v>45312</v>
      </c>
      <c r="AE127" s="880"/>
      <c r="AF127" s="859"/>
      <c r="AG127" s="875">
        <v>45634</v>
      </c>
      <c r="AH127" s="991">
        <v>45378</v>
      </c>
      <c r="AI127" s="405">
        <v>45312</v>
      </c>
      <c r="AJ127" s="115" t="s">
        <v>1116</v>
      </c>
      <c r="AK127" s="115" t="s">
        <v>1485</v>
      </c>
      <c r="AL127" s="115" t="s">
        <v>1486</v>
      </c>
      <c r="AM127" s="115" t="s">
        <v>1485</v>
      </c>
    </row>
    <row r="128" spans="1:40" ht="13.35" customHeight="1" x14ac:dyDescent="0.25">
      <c r="A128" s="996">
        <v>127</v>
      </c>
      <c r="B128" s="339">
        <v>37173</v>
      </c>
      <c r="C128" s="340" t="s">
        <v>64</v>
      </c>
      <c r="D128" s="341" t="s">
        <v>1488</v>
      </c>
      <c r="E128" s="335" t="s">
        <v>1484</v>
      </c>
      <c r="F128" s="335" t="s">
        <v>1317</v>
      </c>
      <c r="G128" s="335" t="s">
        <v>14</v>
      </c>
      <c r="H128" s="342">
        <v>43601</v>
      </c>
      <c r="I128" s="314">
        <v>435</v>
      </c>
      <c r="J128" s="310" t="s">
        <v>58</v>
      </c>
      <c r="K128" s="491" t="s">
        <v>680</v>
      </c>
      <c r="L128" s="499">
        <v>44329</v>
      </c>
      <c r="M128" s="491" t="s">
        <v>60</v>
      </c>
      <c r="N128" s="499">
        <v>44330</v>
      </c>
      <c r="O128" s="350">
        <v>45312</v>
      </c>
      <c r="P128" s="314"/>
      <c r="Q128" s="310" t="s">
        <v>1376</v>
      </c>
      <c r="R128" s="350">
        <v>44123</v>
      </c>
      <c r="S128" s="581" t="s">
        <v>1332</v>
      </c>
      <c r="T128" s="350">
        <v>44103</v>
      </c>
      <c r="U128" s="350">
        <v>44103</v>
      </c>
      <c r="V128" s="349" t="s">
        <v>63</v>
      </c>
      <c r="W128" s="350">
        <v>44349</v>
      </c>
      <c r="X128" s="310" t="s">
        <v>1309</v>
      </c>
      <c r="Y128" s="861" t="s">
        <v>869</v>
      </c>
      <c r="Z128" s="491"/>
      <c r="AA128" s="552"/>
      <c r="AB128" s="310"/>
      <c r="AC128" s="310"/>
      <c r="AD128" s="351">
        <v>44956</v>
      </c>
      <c r="AE128" s="351"/>
      <c r="AF128" s="314"/>
      <c r="AG128" s="52" t="s">
        <v>1489</v>
      </c>
      <c r="AH128" s="991">
        <v>45378</v>
      </c>
      <c r="AI128" s="52">
        <v>45312</v>
      </c>
      <c r="AJ128" s="3" t="s">
        <v>1116</v>
      </c>
      <c r="AK128" s="3" t="s">
        <v>1490</v>
      </c>
      <c r="AL128" s="3"/>
      <c r="AM128" s="3" t="s">
        <v>1490</v>
      </c>
    </row>
    <row r="129" spans="1:40" ht="13.35" customHeight="1" x14ac:dyDescent="0.25">
      <c r="A129" s="996">
        <v>128</v>
      </c>
      <c r="B129" s="339">
        <v>37173</v>
      </c>
      <c r="C129" s="340" t="s">
        <v>54</v>
      </c>
      <c r="D129" s="335" t="s">
        <v>1491</v>
      </c>
      <c r="E129" s="335" t="s">
        <v>1484</v>
      </c>
      <c r="F129" s="335" t="s">
        <v>1317</v>
      </c>
      <c r="G129" s="335" t="s">
        <v>14</v>
      </c>
      <c r="H129" s="342">
        <v>43601</v>
      </c>
      <c r="I129" s="314">
        <v>429</v>
      </c>
      <c r="J129" s="310" t="s">
        <v>58</v>
      </c>
      <c r="K129" s="491" t="s">
        <v>680</v>
      </c>
      <c r="L129" s="499">
        <v>44329</v>
      </c>
      <c r="M129" s="491" t="s">
        <v>60</v>
      </c>
      <c r="N129" s="499">
        <v>44330</v>
      </c>
      <c r="O129" s="350">
        <v>45312</v>
      </c>
      <c r="P129" s="314"/>
      <c r="Q129" s="310" t="s">
        <v>1376</v>
      </c>
      <c r="R129" s="350">
        <v>44123</v>
      </c>
      <c r="S129" s="581" t="s">
        <v>1332</v>
      </c>
      <c r="T129" s="350">
        <v>44103</v>
      </c>
      <c r="U129" s="350">
        <v>44103</v>
      </c>
      <c r="V129" s="349" t="s">
        <v>63</v>
      </c>
      <c r="W129" s="350">
        <v>44349</v>
      </c>
      <c r="X129" s="310" t="s">
        <v>1309</v>
      </c>
      <c r="Y129" s="861" t="s">
        <v>869</v>
      </c>
      <c r="Z129" s="491"/>
      <c r="AA129" s="552"/>
      <c r="AB129" s="310"/>
      <c r="AC129" s="310"/>
      <c r="AD129" s="351">
        <v>44956</v>
      </c>
      <c r="AE129" s="351"/>
      <c r="AF129" s="314"/>
      <c r="AG129" s="52" t="s">
        <v>1489</v>
      </c>
      <c r="AH129" s="991">
        <v>45378</v>
      </c>
      <c r="AI129" s="52">
        <v>45312</v>
      </c>
      <c r="AJ129" s="3" t="s">
        <v>1116</v>
      </c>
      <c r="AK129" s="3" t="s">
        <v>1490</v>
      </c>
      <c r="AL129" s="3"/>
      <c r="AM129" s="3" t="s">
        <v>1490</v>
      </c>
    </row>
    <row r="130" spans="1:40" ht="13.35" customHeight="1" x14ac:dyDescent="0.25">
      <c r="A130" s="996">
        <v>129</v>
      </c>
      <c r="B130" s="576">
        <v>37178</v>
      </c>
      <c r="C130" s="892" t="s">
        <v>64</v>
      </c>
      <c r="D130" s="587" t="s">
        <v>1492</v>
      </c>
      <c r="E130" s="587" t="s">
        <v>1375</v>
      </c>
      <c r="F130" s="580" t="s">
        <v>1317</v>
      </c>
      <c r="G130" s="578" t="s">
        <v>14</v>
      </c>
      <c r="H130" s="579">
        <v>43607</v>
      </c>
      <c r="I130" s="580">
        <v>414</v>
      </c>
      <c r="J130" s="581" t="s">
        <v>58</v>
      </c>
      <c r="K130" s="582" t="s">
        <v>680</v>
      </c>
      <c r="L130" s="1061">
        <v>44330</v>
      </c>
      <c r="M130" s="582" t="s">
        <v>60</v>
      </c>
      <c r="N130" s="1062">
        <v>44226</v>
      </c>
      <c r="O130" s="894">
        <v>45221</v>
      </c>
      <c r="P130" s="586">
        <v>44923</v>
      </c>
      <c r="Q130" s="581" t="s">
        <v>1376</v>
      </c>
      <c r="R130" s="894">
        <v>44107</v>
      </c>
      <c r="S130" s="581" t="s">
        <v>1332</v>
      </c>
      <c r="T130" s="894">
        <v>44141</v>
      </c>
      <c r="U130" s="894">
        <v>44141</v>
      </c>
      <c r="V130" s="1071" t="s">
        <v>68</v>
      </c>
      <c r="W130" s="894">
        <v>44330</v>
      </c>
      <c r="X130" s="581" t="s">
        <v>1309</v>
      </c>
      <c r="Y130" s="861" t="s">
        <v>869</v>
      </c>
      <c r="Z130" s="888"/>
      <c r="AA130" s="889"/>
      <c r="AB130" s="581"/>
      <c r="AC130" s="581"/>
      <c r="AD130" s="1064">
        <v>44923</v>
      </c>
      <c r="AE130" s="1064"/>
      <c r="AF130" s="580"/>
      <c r="AG130" s="1072">
        <v>45480</v>
      </c>
      <c r="AH130" s="994">
        <v>45027</v>
      </c>
      <c r="AI130" s="269">
        <v>45309</v>
      </c>
      <c r="AJ130" s="239" t="s">
        <v>1116</v>
      </c>
      <c r="AK130" s="239" t="s">
        <v>1493</v>
      </c>
      <c r="AL130" s="239" t="s">
        <v>1493</v>
      </c>
      <c r="AM130" s="239" t="s">
        <v>1493</v>
      </c>
    </row>
    <row r="131" spans="1:40" ht="13.35" customHeight="1" x14ac:dyDescent="0.25">
      <c r="A131" s="996">
        <v>130</v>
      </c>
      <c r="B131" s="339">
        <v>37178</v>
      </c>
      <c r="C131" s="334" t="s">
        <v>54</v>
      </c>
      <c r="D131" s="341" t="s">
        <v>1494</v>
      </c>
      <c r="E131" s="341" t="s">
        <v>1375</v>
      </c>
      <c r="F131" s="314" t="s">
        <v>1317</v>
      </c>
      <c r="G131" s="335" t="s">
        <v>14</v>
      </c>
      <c r="H131" s="342">
        <v>43607</v>
      </c>
      <c r="I131" s="314">
        <v>415</v>
      </c>
      <c r="J131" s="310" t="s">
        <v>58</v>
      </c>
      <c r="K131" s="491" t="s">
        <v>680</v>
      </c>
      <c r="L131" s="595">
        <v>44329</v>
      </c>
      <c r="M131" s="491" t="s">
        <v>60</v>
      </c>
      <c r="N131" s="499">
        <v>44226</v>
      </c>
      <c r="O131" s="350">
        <v>45221</v>
      </c>
      <c r="P131" s="344">
        <v>44923</v>
      </c>
      <c r="Q131" s="310" t="s">
        <v>1376</v>
      </c>
      <c r="R131" s="350">
        <v>44107</v>
      </c>
      <c r="S131" s="581" t="s">
        <v>1332</v>
      </c>
      <c r="T131" s="350">
        <v>44141</v>
      </c>
      <c r="U131" s="350">
        <v>44141</v>
      </c>
      <c r="V131" s="330" t="s">
        <v>62</v>
      </c>
      <c r="W131" s="350">
        <v>44330</v>
      </c>
      <c r="X131" s="310" t="s">
        <v>1309</v>
      </c>
      <c r="Y131" s="861" t="s">
        <v>869</v>
      </c>
      <c r="Z131" s="593"/>
      <c r="AA131" s="589"/>
      <c r="AB131" s="310"/>
      <c r="AC131" s="310"/>
      <c r="AD131" s="351">
        <v>44923</v>
      </c>
      <c r="AE131" s="351"/>
      <c r="AF131" s="314"/>
      <c r="AG131" s="603">
        <v>45480</v>
      </c>
      <c r="AH131" s="535">
        <v>45027</v>
      </c>
      <c r="AI131" s="52">
        <v>45309</v>
      </c>
      <c r="AJ131" s="3" t="s">
        <v>1116</v>
      </c>
      <c r="AK131" s="3" t="s">
        <v>1493</v>
      </c>
      <c r="AL131" s="3" t="s">
        <v>1493</v>
      </c>
      <c r="AM131" s="3" t="s">
        <v>1493</v>
      </c>
    </row>
    <row r="132" spans="1:40" ht="13.35" customHeight="1" x14ac:dyDescent="0.25">
      <c r="A132" s="996">
        <v>131</v>
      </c>
      <c r="B132" s="311">
        <v>37408</v>
      </c>
      <c r="C132" s="310" t="s">
        <v>64</v>
      </c>
      <c r="D132" s="346" t="s">
        <v>1495</v>
      </c>
      <c r="E132" s="341" t="s">
        <v>1316</v>
      </c>
      <c r="F132" s="335" t="s">
        <v>1317</v>
      </c>
      <c r="G132" s="310" t="s">
        <v>14</v>
      </c>
      <c r="H132" s="336">
        <v>44057</v>
      </c>
      <c r="I132" s="310">
        <v>855</v>
      </c>
      <c r="J132" s="310" t="s">
        <v>58</v>
      </c>
      <c r="K132" s="491" t="s">
        <v>680</v>
      </c>
      <c r="L132" s="594">
        <v>44208</v>
      </c>
      <c r="M132" s="491" t="s">
        <v>60</v>
      </c>
      <c r="N132" s="495">
        <v>44189</v>
      </c>
      <c r="O132" s="337">
        <v>45416</v>
      </c>
      <c r="P132" s="344">
        <v>44723</v>
      </c>
      <c r="Q132" s="310" t="s">
        <v>1301</v>
      </c>
      <c r="R132" s="310" t="s">
        <v>1496</v>
      </c>
      <c r="S132" s="581" t="s">
        <v>1332</v>
      </c>
      <c r="T132" s="310" t="s">
        <v>206</v>
      </c>
      <c r="U132" s="310" t="s">
        <v>206</v>
      </c>
      <c r="V132" s="310" t="s">
        <v>63</v>
      </c>
      <c r="W132" s="310" t="s">
        <v>63</v>
      </c>
      <c r="X132" s="609" t="s">
        <v>1244</v>
      </c>
      <c r="Y132" s="861" t="s">
        <v>869</v>
      </c>
      <c r="Z132" s="593" t="s">
        <v>869</v>
      </c>
      <c r="AA132" s="589"/>
      <c r="AB132" s="310"/>
      <c r="AC132" s="310"/>
      <c r="AD132" s="351">
        <v>44602</v>
      </c>
      <c r="AE132" s="351"/>
      <c r="AF132" s="314"/>
      <c r="AG132" s="605" t="s">
        <v>1477</v>
      </c>
      <c r="AH132" s="535">
        <v>45271</v>
      </c>
      <c r="AI132" s="52">
        <v>45149</v>
      </c>
      <c r="AJ132" s="3" t="s">
        <v>1116</v>
      </c>
      <c r="AK132" s="3" t="s">
        <v>1497</v>
      </c>
      <c r="AL132" s="3"/>
      <c r="AM132" s="84">
        <v>45661</v>
      </c>
    </row>
    <row r="133" spans="1:40" ht="13.35" customHeight="1" x14ac:dyDescent="0.25">
      <c r="A133" s="996">
        <v>132</v>
      </c>
      <c r="B133" s="311">
        <v>37408</v>
      </c>
      <c r="C133" s="310" t="s">
        <v>54</v>
      </c>
      <c r="D133" s="346" t="s">
        <v>1498</v>
      </c>
      <c r="E133" s="341" t="s">
        <v>1316</v>
      </c>
      <c r="F133" s="335" t="s">
        <v>1317</v>
      </c>
      <c r="G133" s="310" t="s">
        <v>14</v>
      </c>
      <c r="H133" s="336">
        <v>44057</v>
      </c>
      <c r="I133" s="310">
        <v>792</v>
      </c>
      <c r="J133" s="310" t="s">
        <v>58</v>
      </c>
      <c r="K133" s="491" t="s">
        <v>680</v>
      </c>
      <c r="L133" s="594">
        <v>44208</v>
      </c>
      <c r="M133" s="491" t="s">
        <v>60</v>
      </c>
      <c r="N133" s="495">
        <v>44189</v>
      </c>
      <c r="O133" s="337">
        <v>45416</v>
      </c>
      <c r="P133" s="344">
        <v>44723</v>
      </c>
      <c r="Q133" s="310" t="s">
        <v>1301</v>
      </c>
      <c r="R133" s="310" t="s">
        <v>1496</v>
      </c>
      <c r="S133" s="581" t="s">
        <v>1332</v>
      </c>
      <c r="T133" s="310" t="s">
        <v>206</v>
      </c>
      <c r="U133" s="310" t="s">
        <v>206</v>
      </c>
      <c r="V133" s="310" t="s">
        <v>63</v>
      </c>
      <c r="W133" s="310" t="s">
        <v>63</v>
      </c>
      <c r="X133" s="609" t="s">
        <v>1244</v>
      </c>
      <c r="Y133" s="861" t="s">
        <v>869</v>
      </c>
      <c r="Z133" s="593" t="s">
        <v>869</v>
      </c>
      <c r="AA133" s="589"/>
      <c r="AB133" s="310"/>
      <c r="AC133" s="310"/>
      <c r="AD133" s="351">
        <v>44602</v>
      </c>
      <c r="AE133" s="351"/>
      <c r="AF133" s="314"/>
      <c r="AG133" s="605" t="s">
        <v>1477</v>
      </c>
      <c r="AH133" s="535">
        <v>45271</v>
      </c>
      <c r="AI133" s="52">
        <v>45149</v>
      </c>
      <c r="AJ133" s="3" t="s">
        <v>1116</v>
      </c>
      <c r="AK133" s="3" t="s">
        <v>1497</v>
      </c>
      <c r="AL133" s="3"/>
      <c r="AM133" s="84">
        <v>45661</v>
      </c>
    </row>
    <row r="134" spans="1:40" ht="13.35" customHeight="1" x14ac:dyDescent="0.25">
      <c r="A134" s="996">
        <v>133</v>
      </c>
      <c r="B134" s="310">
        <v>30455</v>
      </c>
      <c r="C134" s="310" t="s">
        <v>64</v>
      </c>
      <c r="D134" s="310" t="s">
        <v>1499</v>
      </c>
      <c r="E134" s="343" t="s">
        <v>1500</v>
      </c>
      <c r="F134" s="310" t="s">
        <v>1102</v>
      </c>
      <c r="G134" s="310" t="s">
        <v>14</v>
      </c>
      <c r="H134" s="336">
        <v>42459</v>
      </c>
      <c r="I134" s="310">
        <v>11</v>
      </c>
      <c r="J134" s="310" t="s">
        <v>58</v>
      </c>
      <c r="K134" s="491" t="s">
        <v>680</v>
      </c>
      <c r="L134" s="594">
        <v>44141</v>
      </c>
      <c r="M134" s="491" t="s">
        <v>1245</v>
      </c>
      <c r="N134" s="500" t="s">
        <v>365</v>
      </c>
      <c r="O134" s="343">
        <v>45092</v>
      </c>
      <c r="P134" s="516">
        <v>45388</v>
      </c>
      <c r="Q134" s="310" t="s">
        <v>68</v>
      </c>
      <c r="R134" s="310" t="s">
        <v>68</v>
      </c>
      <c r="S134" s="581" t="s">
        <v>1332</v>
      </c>
      <c r="T134" s="310" t="s">
        <v>68</v>
      </c>
      <c r="U134" s="310" t="s">
        <v>68</v>
      </c>
      <c r="V134" s="310" t="s">
        <v>68</v>
      </c>
      <c r="W134" s="310" t="s">
        <v>63</v>
      </c>
      <c r="X134" s="837" t="s">
        <v>1290</v>
      </c>
      <c r="Y134" s="861" t="s">
        <v>869</v>
      </c>
      <c r="Z134" s="593" t="s">
        <v>869</v>
      </c>
      <c r="AA134" s="589"/>
      <c r="AB134" s="310"/>
      <c r="AC134" s="310"/>
      <c r="AD134" s="343">
        <v>44880</v>
      </c>
      <c r="AE134" s="351"/>
      <c r="AF134" s="525" t="s">
        <v>63</v>
      </c>
      <c r="AG134" s="521">
        <v>45470</v>
      </c>
      <c r="AH134" s="988">
        <v>45470</v>
      </c>
      <c r="AI134" s="343">
        <v>45092</v>
      </c>
      <c r="AJ134" s="3" t="s">
        <v>1501</v>
      </c>
      <c r="AK134" s="84" t="s">
        <v>1502</v>
      </c>
      <c r="AL134" s="3" t="s">
        <v>1503</v>
      </c>
      <c r="AM134" s="1299"/>
    </row>
    <row r="135" spans="1:40" ht="13.35" customHeight="1" x14ac:dyDescent="0.25">
      <c r="A135" s="996">
        <v>134</v>
      </c>
      <c r="B135" s="310">
        <v>30455</v>
      </c>
      <c r="C135" s="310" t="s">
        <v>54</v>
      </c>
      <c r="D135" s="310" t="s">
        <v>1504</v>
      </c>
      <c r="E135" s="343" t="s">
        <v>1500</v>
      </c>
      <c r="F135" s="310" t="s">
        <v>1102</v>
      </c>
      <c r="G135" s="310" t="s">
        <v>14</v>
      </c>
      <c r="H135" s="336">
        <v>42459</v>
      </c>
      <c r="I135" s="310">
        <v>10</v>
      </c>
      <c r="J135" s="310" t="s">
        <v>58</v>
      </c>
      <c r="K135" s="491" t="s">
        <v>680</v>
      </c>
      <c r="L135" s="594">
        <v>44141</v>
      </c>
      <c r="M135" s="491" t="s">
        <v>1245</v>
      </c>
      <c r="N135" s="500" t="s">
        <v>365</v>
      </c>
      <c r="O135" s="343">
        <v>45092</v>
      </c>
      <c r="P135" s="516">
        <v>45388</v>
      </c>
      <c r="Q135" s="310" t="s">
        <v>62</v>
      </c>
      <c r="R135" s="310" t="s">
        <v>62</v>
      </c>
      <c r="S135" s="581" t="s">
        <v>1332</v>
      </c>
      <c r="T135" s="310" t="s">
        <v>62</v>
      </c>
      <c r="U135" s="310" t="s">
        <v>62</v>
      </c>
      <c r="V135" s="310" t="s">
        <v>62</v>
      </c>
      <c r="W135" s="310" t="s">
        <v>63</v>
      </c>
      <c r="X135" s="837" t="s">
        <v>1290</v>
      </c>
      <c r="Y135" s="861" t="s">
        <v>869</v>
      </c>
      <c r="Z135" s="593" t="s">
        <v>869</v>
      </c>
      <c r="AA135" s="589"/>
      <c r="AB135" s="310"/>
      <c r="AC135" s="310"/>
      <c r="AD135" s="343">
        <v>44880</v>
      </c>
      <c r="AE135" s="351"/>
      <c r="AF135" s="525" t="s">
        <v>63</v>
      </c>
      <c r="AG135" s="521">
        <v>45470</v>
      </c>
      <c r="AH135" s="988">
        <v>45470</v>
      </c>
      <c r="AI135" s="343">
        <v>45092</v>
      </c>
      <c r="AJ135" s="3" t="s">
        <v>1501</v>
      </c>
      <c r="AK135" s="84" t="s">
        <v>1502</v>
      </c>
      <c r="AL135" s="3" t="s">
        <v>1503</v>
      </c>
      <c r="AM135" s="1299"/>
    </row>
    <row r="136" spans="1:40" ht="13.35" customHeight="1" x14ac:dyDescent="0.25">
      <c r="A136" s="996">
        <v>135</v>
      </c>
      <c r="B136" s="311">
        <v>30457</v>
      </c>
      <c r="C136" s="310" t="s">
        <v>64</v>
      </c>
      <c r="D136" s="346" t="s">
        <v>1505</v>
      </c>
      <c r="E136" s="343" t="s">
        <v>1500</v>
      </c>
      <c r="F136" s="310" t="s">
        <v>1102</v>
      </c>
      <c r="G136" s="310" t="s">
        <v>14</v>
      </c>
      <c r="H136" s="336">
        <v>42450</v>
      </c>
      <c r="I136" s="310">
        <v>19</v>
      </c>
      <c r="J136" s="310" t="s">
        <v>58</v>
      </c>
      <c r="K136" s="491" t="s">
        <v>680</v>
      </c>
      <c r="L136" s="594">
        <v>44141</v>
      </c>
      <c r="M136" s="491" t="s">
        <v>1245</v>
      </c>
      <c r="N136" s="500" t="s">
        <v>365</v>
      </c>
      <c r="O136" s="343">
        <v>45112</v>
      </c>
      <c r="P136" s="516">
        <v>45017</v>
      </c>
      <c r="Q136" s="310" t="s">
        <v>68</v>
      </c>
      <c r="R136" s="310" t="s">
        <v>68</v>
      </c>
      <c r="S136" s="581" t="s">
        <v>1332</v>
      </c>
      <c r="T136" s="310" t="s">
        <v>68</v>
      </c>
      <c r="U136" s="310" t="s">
        <v>68</v>
      </c>
      <c r="V136" s="310" t="s">
        <v>68</v>
      </c>
      <c r="W136" s="310" t="s">
        <v>63</v>
      </c>
      <c r="X136" s="837" t="s">
        <v>1290</v>
      </c>
      <c r="Y136" s="861" t="s">
        <v>869</v>
      </c>
      <c r="Z136" s="593" t="s">
        <v>869</v>
      </c>
      <c r="AA136" s="589"/>
      <c r="AB136" s="310"/>
      <c r="AC136" s="310"/>
      <c r="AD136" s="343">
        <v>44924</v>
      </c>
      <c r="AE136" s="351"/>
      <c r="AF136" s="525" t="s">
        <v>63</v>
      </c>
      <c r="AG136" s="521">
        <v>45472</v>
      </c>
      <c r="AH136" s="989" t="s">
        <v>1324</v>
      </c>
      <c r="AI136" s="519">
        <v>45112</v>
      </c>
      <c r="AJ136" s="3" t="s">
        <v>1501</v>
      </c>
      <c r="AK136" s="3"/>
      <c r="AL136" s="3" t="s">
        <v>1506</v>
      </c>
      <c r="AM136" s="1299"/>
    </row>
    <row r="137" spans="1:40" ht="13.35" customHeight="1" x14ac:dyDescent="0.25">
      <c r="A137" s="996">
        <v>136</v>
      </c>
      <c r="B137" s="311">
        <v>30457</v>
      </c>
      <c r="C137" s="310" t="s">
        <v>54</v>
      </c>
      <c r="D137" s="346" t="s">
        <v>1507</v>
      </c>
      <c r="E137" s="343" t="s">
        <v>1500</v>
      </c>
      <c r="F137" s="310" t="s">
        <v>1102</v>
      </c>
      <c r="G137" s="310" t="s">
        <v>14</v>
      </c>
      <c r="H137" s="336">
        <v>42450</v>
      </c>
      <c r="I137" s="310">
        <v>27</v>
      </c>
      <c r="J137" s="310" t="s">
        <v>58</v>
      </c>
      <c r="K137" s="491" t="s">
        <v>680</v>
      </c>
      <c r="L137" s="594">
        <v>44141</v>
      </c>
      <c r="M137" s="491" t="s">
        <v>1245</v>
      </c>
      <c r="N137" s="500" t="s">
        <v>365</v>
      </c>
      <c r="O137" s="343">
        <v>45112</v>
      </c>
      <c r="P137" s="516">
        <v>45017</v>
      </c>
      <c r="Q137" s="310" t="s">
        <v>62</v>
      </c>
      <c r="R137" s="310" t="s">
        <v>62</v>
      </c>
      <c r="S137" s="581" t="s">
        <v>1332</v>
      </c>
      <c r="T137" s="310" t="s">
        <v>62</v>
      </c>
      <c r="U137" s="310" t="s">
        <v>62</v>
      </c>
      <c r="V137" s="310" t="s">
        <v>62</v>
      </c>
      <c r="W137" s="310" t="s">
        <v>63</v>
      </c>
      <c r="X137" s="837" t="s">
        <v>1290</v>
      </c>
      <c r="Y137" s="861" t="s">
        <v>869</v>
      </c>
      <c r="Z137" s="593" t="s">
        <v>869</v>
      </c>
      <c r="AA137" s="589"/>
      <c r="AB137" s="310"/>
      <c r="AC137" s="310"/>
      <c r="AD137" s="343">
        <v>44924</v>
      </c>
      <c r="AE137" s="351"/>
      <c r="AF137" s="525" t="s">
        <v>63</v>
      </c>
      <c r="AG137" s="521">
        <v>45472</v>
      </c>
      <c r="AH137" s="989" t="s">
        <v>1324</v>
      </c>
      <c r="AI137" s="519">
        <v>45112</v>
      </c>
      <c r="AJ137" s="3" t="s">
        <v>1501</v>
      </c>
      <c r="AK137" s="3"/>
      <c r="AL137" s="3" t="s">
        <v>1506</v>
      </c>
      <c r="AM137" s="1299"/>
    </row>
    <row r="138" spans="1:40" ht="13.35" customHeight="1" x14ac:dyDescent="0.25">
      <c r="A138" s="996">
        <v>137</v>
      </c>
      <c r="B138" s="311">
        <v>30458</v>
      </c>
      <c r="C138" s="310" t="s">
        <v>64</v>
      </c>
      <c r="D138" s="346" t="s">
        <v>1508</v>
      </c>
      <c r="E138" s="343" t="s">
        <v>1500</v>
      </c>
      <c r="F138" s="310" t="s">
        <v>1102</v>
      </c>
      <c r="G138" s="310" t="s">
        <v>14</v>
      </c>
      <c r="H138" s="336">
        <v>42467</v>
      </c>
      <c r="I138" s="310">
        <v>14</v>
      </c>
      <c r="J138" s="310" t="s">
        <v>58</v>
      </c>
      <c r="K138" s="491" t="s">
        <v>680</v>
      </c>
      <c r="L138" s="594">
        <v>44084</v>
      </c>
      <c r="M138" s="491" t="s">
        <v>1245</v>
      </c>
      <c r="N138" s="500" t="s">
        <v>365</v>
      </c>
      <c r="O138" s="350">
        <v>45126</v>
      </c>
      <c r="P138" s="516">
        <v>45411</v>
      </c>
      <c r="Q138" s="310" t="s">
        <v>68</v>
      </c>
      <c r="R138" s="310" t="s">
        <v>68</v>
      </c>
      <c r="S138" s="581" t="s">
        <v>1332</v>
      </c>
      <c r="T138" s="310" t="s">
        <v>68</v>
      </c>
      <c r="U138" s="310" t="s">
        <v>68</v>
      </c>
      <c r="V138" s="310" t="s">
        <v>68</v>
      </c>
      <c r="W138" s="310" t="s">
        <v>63</v>
      </c>
      <c r="X138" s="837" t="s">
        <v>1290</v>
      </c>
      <c r="Y138" s="861" t="s">
        <v>869</v>
      </c>
      <c r="Z138" s="593" t="s">
        <v>869</v>
      </c>
      <c r="AA138" s="589"/>
      <c r="AB138" s="390">
        <v>44735</v>
      </c>
      <c r="AC138" s="310"/>
      <c r="AD138" s="343">
        <v>44936</v>
      </c>
      <c r="AE138" s="351"/>
      <c r="AF138" s="525" t="s">
        <v>63</v>
      </c>
      <c r="AG138" s="521">
        <v>45481</v>
      </c>
      <c r="AH138" s="989" t="s">
        <v>1324</v>
      </c>
      <c r="AI138" s="343">
        <v>45126</v>
      </c>
      <c r="AJ138" s="3" t="s">
        <v>1501</v>
      </c>
      <c r="AK138" s="84" t="s">
        <v>1509</v>
      </c>
      <c r="AL138" s="3" t="s">
        <v>1510</v>
      </c>
      <c r="AM138" s="1299"/>
    </row>
    <row r="139" spans="1:40" ht="13.35" customHeight="1" x14ac:dyDescent="0.25">
      <c r="A139" s="996">
        <v>138</v>
      </c>
      <c r="B139" s="311">
        <v>30458</v>
      </c>
      <c r="C139" s="310" t="s">
        <v>54</v>
      </c>
      <c r="D139" s="346" t="s">
        <v>1511</v>
      </c>
      <c r="E139" s="343" t="s">
        <v>1500</v>
      </c>
      <c r="F139" s="310" t="s">
        <v>1102</v>
      </c>
      <c r="G139" s="310" t="s">
        <v>14</v>
      </c>
      <c r="H139" s="336">
        <v>42467</v>
      </c>
      <c r="I139" s="310">
        <v>26</v>
      </c>
      <c r="J139" s="310" t="s">
        <v>58</v>
      </c>
      <c r="K139" s="491" t="s">
        <v>680</v>
      </c>
      <c r="L139" s="594">
        <v>44084</v>
      </c>
      <c r="M139" s="491" t="s">
        <v>1245</v>
      </c>
      <c r="N139" s="500" t="s">
        <v>365</v>
      </c>
      <c r="O139" s="350">
        <v>45126</v>
      </c>
      <c r="P139" s="516">
        <v>45411</v>
      </c>
      <c r="Q139" s="310" t="s">
        <v>62</v>
      </c>
      <c r="R139" s="310" t="s">
        <v>62</v>
      </c>
      <c r="S139" s="581" t="s">
        <v>1332</v>
      </c>
      <c r="T139" s="310" t="s">
        <v>62</v>
      </c>
      <c r="U139" s="310" t="s">
        <v>62</v>
      </c>
      <c r="V139" s="310" t="s">
        <v>62</v>
      </c>
      <c r="W139" s="310" t="s">
        <v>63</v>
      </c>
      <c r="X139" s="837" t="s">
        <v>1290</v>
      </c>
      <c r="Y139" s="861" t="s">
        <v>869</v>
      </c>
      <c r="Z139" s="593" t="s">
        <v>869</v>
      </c>
      <c r="AA139" s="589"/>
      <c r="AB139" s="390">
        <v>44735</v>
      </c>
      <c r="AC139" s="310"/>
      <c r="AD139" s="343">
        <v>44936</v>
      </c>
      <c r="AE139" s="351"/>
      <c r="AF139" s="525" t="s">
        <v>63</v>
      </c>
      <c r="AG139" s="521">
        <v>45481</v>
      </c>
      <c r="AH139" s="989" t="s">
        <v>1324</v>
      </c>
      <c r="AI139" s="343">
        <v>45126</v>
      </c>
      <c r="AJ139" s="3" t="s">
        <v>1501</v>
      </c>
      <c r="AK139" s="84" t="s">
        <v>1509</v>
      </c>
      <c r="AL139" s="3" t="s">
        <v>1510</v>
      </c>
      <c r="AM139" s="1299"/>
    </row>
    <row r="140" spans="1:40" ht="13.35" customHeight="1" x14ac:dyDescent="0.25">
      <c r="A140" s="996">
        <v>139</v>
      </c>
      <c r="B140" s="311">
        <v>30468</v>
      </c>
      <c r="C140" s="310" t="s">
        <v>64</v>
      </c>
      <c r="D140" s="346" t="s">
        <v>1512</v>
      </c>
      <c r="E140" s="343" t="s">
        <v>1500</v>
      </c>
      <c r="F140" s="310" t="s">
        <v>1102</v>
      </c>
      <c r="G140" s="310" t="s">
        <v>14</v>
      </c>
      <c r="H140" s="336">
        <v>42486</v>
      </c>
      <c r="I140" s="310">
        <v>52</v>
      </c>
      <c r="J140" s="310" t="s">
        <v>66</v>
      </c>
      <c r="K140" s="491" t="s">
        <v>680</v>
      </c>
      <c r="L140" s="594">
        <v>44181</v>
      </c>
      <c r="M140" s="491" t="s">
        <v>1245</v>
      </c>
      <c r="N140" s="500" t="s">
        <v>365</v>
      </c>
      <c r="O140" s="350">
        <v>44942</v>
      </c>
      <c r="P140" s="516">
        <v>45085</v>
      </c>
      <c r="Q140" s="310" t="s">
        <v>68</v>
      </c>
      <c r="R140" s="310" t="s">
        <v>68</v>
      </c>
      <c r="S140" s="581" t="s">
        <v>1332</v>
      </c>
      <c r="T140" s="310" t="s">
        <v>68</v>
      </c>
      <c r="U140" s="310" t="s">
        <v>68</v>
      </c>
      <c r="V140" s="310" t="s">
        <v>68</v>
      </c>
      <c r="W140" s="310" t="s">
        <v>63</v>
      </c>
      <c r="X140" s="837" t="s">
        <v>1290</v>
      </c>
      <c r="Y140" s="861" t="s">
        <v>869</v>
      </c>
      <c r="Z140" s="593" t="s">
        <v>869</v>
      </c>
      <c r="AA140" s="589"/>
      <c r="AB140" s="310"/>
      <c r="AC140" s="310"/>
      <c r="AD140" s="343">
        <v>44942</v>
      </c>
      <c r="AE140" s="351"/>
      <c r="AF140" s="525" t="s">
        <v>63</v>
      </c>
      <c r="AG140" s="522" t="s">
        <v>1325</v>
      </c>
      <c r="AH140" s="989" t="s">
        <v>1324</v>
      </c>
      <c r="AI140" s="343">
        <v>45082</v>
      </c>
      <c r="AJ140" s="3" t="s">
        <v>1501</v>
      </c>
      <c r="AK140" s="84" t="s">
        <v>1513</v>
      </c>
      <c r="AL140" s="3" t="s">
        <v>1514</v>
      </c>
      <c r="AM140" s="1299"/>
    </row>
    <row r="141" spans="1:40" ht="13.35" customHeight="1" x14ac:dyDescent="0.25">
      <c r="A141" s="996">
        <v>140</v>
      </c>
      <c r="B141" s="311">
        <v>30468</v>
      </c>
      <c r="C141" s="310" t="s">
        <v>54</v>
      </c>
      <c r="D141" s="346" t="s">
        <v>1515</v>
      </c>
      <c r="E141" s="343" t="s">
        <v>1500</v>
      </c>
      <c r="F141" s="310" t="s">
        <v>1102</v>
      </c>
      <c r="G141" s="310" t="s">
        <v>14</v>
      </c>
      <c r="H141" s="336">
        <v>42486</v>
      </c>
      <c r="I141" s="310">
        <v>51</v>
      </c>
      <c r="J141" s="310" t="s">
        <v>66</v>
      </c>
      <c r="K141" s="491" t="s">
        <v>680</v>
      </c>
      <c r="L141" s="594">
        <v>44181</v>
      </c>
      <c r="M141" s="491" t="s">
        <v>1245</v>
      </c>
      <c r="N141" s="500" t="s">
        <v>365</v>
      </c>
      <c r="O141" s="350">
        <v>44942</v>
      </c>
      <c r="P141" s="516">
        <v>45085</v>
      </c>
      <c r="Q141" s="310" t="s">
        <v>62</v>
      </c>
      <c r="R141" s="310" t="s">
        <v>62</v>
      </c>
      <c r="S141" s="581" t="s">
        <v>1332</v>
      </c>
      <c r="T141" s="310" t="s">
        <v>62</v>
      </c>
      <c r="U141" s="310" t="s">
        <v>62</v>
      </c>
      <c r="V141" s="310" t="s">
        <v>62</v>
      </c>
      <c r="W141" s="310" t="s">
        <v>63</v>
      </c>
      <c r="X141" s="837" t="s">
        <v>1290</v>
      </c>
      <c r="Y141" s="861" t="s">
        <v>869</v>
      </c>
      <c r="Z141" s="593" t="s">
        <v>869</v>
      </c>
      <c r="AA141" s="589"/>
      <c r="AB141" s="310"/>
      <c r="AC141" s="310"/>
      <c r="AD141" s="343">
        <v>44942</v>
      </c>
      <c r="AE141" s="351"/>
      <c r="AF141" s="525" t="s">
        <v>63</v>
      </c>
      <c r="AG141" s="522" t="s">
        <v>1325</v>
      </c>
      <c r="AH141" s="989" t="s">
        <v>1324</v>
      </c>
      <c r="AI141" s="343">
        <v>45082</v>
      </c>
      <c r="AJ141" s="3" t="s">
        <v>1501</v>
      </c>
      <c r="AK141" s="84" t="s">
        <v>1513</v>
      </c>
      <c r="AL141" s="3" t="s">
        <v>1514</v>
      </c>
      <c r="AM141" s="1299"/>
    </row>
    <row r="142" spans="1:40" ht="13.35" customHeight="1" x14ac:dyDescent="0.25">
      <c r="A142" s="996">
        <v>141</v>
      </c>
      <c r="B142" s="311">
        <v>30469</v>
      </c>
      <c r="C142" s="310" t="s">
        <v>64</v>
      </c>
      <c r="D142" s="346" t="s">
        <v>1516</v>
      </c>
      <c r="E142" s="343" t="s">
        <v>1500</v>
      </c>
      <c r="F142" s="310" t="s">
        <v>1102</v>
      </c>
      <c r="G142" s="310" t="s">
        <v>14</v>
      </c>
      <c r="H142" s="336">
        <v>42480</v>
      </c>
      <c r="I142" s="310">
        <v>53</v>
      </c>
      <c r="J142" s="310" t="s">
        <v>58</v>
      </c>
      <c r="K142" s="491" t="s">
        <v>680</v>
      </c>
      <c r="L142" s="594">
        <v>44335</v>
      </c>
      <c r="M142" s="491" t="s">
        <v>1245</v>
      </c>
      <c r="N142" s="500" t="s">
        <v>365</v>
      </c>
      <c r="O142" s="343">
        <v>45004</v>
      </c>
      <c r="P142" s="516">
        <v>44908</v>
      </c>
      <c r="Q142" s="310" t="s">
        <v>68</v>
      </c>
      <c r="R142" s="310" t="s">
        <v>68</v>
      </c>
      <c r="S142" s="581" t="s">
        <v>1332</v>
      </c>
      <c r="T142" s="310" t="s">
        <v>68</v>
      </c>
      <c r="U142" s="310" t="s">
        <v>68</v>
      </c>
      <c r="V142" s="310" t="s">
        <v>68</v>
      </c>
      <c r="W142" s="310" t="s">
        <v>63</v>
      </c>
      <c r="X142" s="837" t="s">
        <v>1290</v>
      </c>
      <c r="Y142" s="861" t="s">
        <v>869</v>
      </c>
      <c r="Z142" s="593" t="s">
        <v>869</v>
      </c>
      <c r="AA142" s="589"/>
      <c r="AB142" s="310"/>
      <c r="AC142" s="310"/>
      <c r="AD142" s="343">
        <v>44908</v>
      </c>
      <c r="AE142" s="351"/>
      <c r="AF142" s="525" t="s">
        <v>63</v>
      </c>
      <c r="AG142" s="521" t="s">
        <v>1517</v>
      </c>
      <c r="AH142" s="989" t="s">
        <v>1324</v>
      </c>
      <c r="AI142" s="343">
        <v>45098</v>
      </c>
      <c r="AJ142" s="3" t="s">
        <v>1501</v>
      </c>
      <c r="AK142" s="3" t="s">
        <v>1518</v>
      </c>
      <c r="AL142" s="84">
        <v>45383</v>
      </c>
      <c r="AM142" s="1299"/>
      <c r="AN142" s="381"/>
    </row>
    <row r="143" spans="1:40" ht="13.35" customHeight="1" x14ac:dyDescent="0.25">
      <c r="A143" s="996">
        <v>142</v>
      </c>
      <c r="B143" s="1035">
        <v>30469</v>
      </c>
      <c r="C143" s="861" t="s">
        <v>54</v>
      </c>
      <c r="D143" s="884" t="s">
        <v>1519</v>
      </c>
      <c r="E143" s="865" t="s">
        <v>1500</v>
      </c>
      <c r="F143" s="861" t="s">
        <v>1102</v>
      </c>
      <c r="G143" s="861" t="s">
        <v>14</v>
      </c>
      <c r="H143" s="1030">
        <v>42480</v>
      </c>
      <c r="I143" s="861">
        <v>50</v>
      </c>
      <c r="J143" s="861" t="s">
        <v>58</v>
      </c>
      <c r="K143" s="862" t="s">
        <v>680</v>
      </c>
      <c r="L143" s="1034">
        <v>44335</v>
      </c>
      <c r="M143" s="862" t="s">
        <v>1245</v>
      </c>
      <c r="N143" s="1036" t="s">
        <v>365</v>
      </c>
      <c r="O143" s="865">
        <v>45004</v>
      </c>
      <c r="P143" s="879">
        <v>44908</v>
      </c>
      <c r="Q143" s="861" t="s">
        <v>62</v>
      </c>
      <c r="R143" s="861" t="s">
        <v>62</v>
      </c>
      <c r="S143" s="581" t="s">
        <v>1332</v>
      </c>
      <c r="T143" s="861" t="s">
        <v>62</v>
      </c>
      <c r="U143" s="861" t="s">
        <v>62</v>
      </c>
      <c r="V143" s="861" t="s">
        <v>62</v>
      </c>
      <c r="W143" s="861" t="s">
        <v>63</v>
      </c>
      <c r="X143" s="837" t="s">
        <v>1290</v>
      </c>
      <c r="Y143" s="861" t="s">
        <v>869</v>
      </c>
      <c r="Z143" s="867" t="s">
        <v>869</v>
      </c>
      <c r="AA143" s="868"/>
      <c r="AB143" s="861"/>
      <c r="AC143" s="861"/>
      <c r="AD143" s="865">
        <v>44908</v>
      </c>
      <c r="AE143" s="880"/>
      <c r="AF143" s="870" t="s">
        <v>63</v>
      </c>
      <c r="AG143" s="869" t="s">
        <v>1517</v>
      </c>
      <c r="AH143" s="1037" t="s">
        <v>1324</v>
      </c>
      <c r="AI143" s="865">
        <v>45098</v>
      </c>
      <c r="AJ143" s="115" t="s">
        <v>1501</v>
      </c>
      <c r="AK143" s="876">
        <v>45720</v>
      </c>
      <c r="AL143" s="876">
        <v>45383</v>
      </c>
      <c r="AM143" s="1300"/>
    </row>
    <row r="144" spans="1:40" ht="13.35" customHeight="1" x14ac:dyDescent="0.25">
      <c r="A144" s="996">
        <v>143</v>
      </c>
      <c r="B144" s="345">
        <v>30490</v>
      </c>
      <c r="C144" s="310" t="s">
        <v>64</v>
      </c>
      <c r="D144" s="338" t="s">
        <v>1520</v>
      </c>
      <c r="E144" s="343" t="s">
        <v>1500</v>
      </c>
      <c r="F144" s="310" t="s">
        <v>1102</v>
      </c>
      <c r="G144" s="310" t="s">
        <v>14</v>
      </c>
      <c r="H144" s="336">
        <v>44748</v>
      </c>
      <c r="I144" s="310">
        <v>1106</v>
      </c>
      <c r="J144" s="310" t="s">
        <v>58</v>
      </c>
      <c r="K144" s="491" t="s">
        <v>680</v>
      </c>
      <c r="L144" s="495" t="s">
        <v>1127</v>
      </c>
      <c r="M144" s="491" t="s">
        <v>60</v>
      </c>
      <c r="N144" s="495" t="s">
        <v>1127</v>
      </c>
      <c r="O144" s="343"/>
      <c r="P144" s="350">
        <v>45126</v>
      </c>
      <c r="Q144" s="310" t="s">
        <v>1521</v>
      </c>
      <c r="R144" s="310" t="s">
        <v>206</v>
      </c>
      <c r="S144" s="581" t="s">
        <v>1332</v>
      </c>
      <c r="T144" s="310" t="s">
        <v>68</v>
      </c>
      <c r="U144" s="310" t="s">
        <v>68</v>
      </c>
      <c r="V144" s="310" t="s">
        <v>68</v>
      </c>
      <c r="W144" s="310" t="s">
        <v>63</v>
      </c>
      <c r="X144" s="837" t="s">
        <v>1290</v>
      </c>
      <c r="Y144" s="861" t="s">
        <v>869</v>
      </c>
      <c r="Z144" s="491" t="s">
        <v>869</v>
      </c>
      <c r="AA144" s="552"/>
      <c r="AB144" s="310"/>
      <c r="AC144" s="310"/>
      <c r="AD144" s="351" t="s">
        <v>1324</v>
      </c>
      <c r="AE144" s="351"/>
      <c r="AF144" s="351" t="s">
        <v>1324</v>
      </c>
      <c r="AG144" s="351" t="s">
        <v>1522</v>
      </c>
      <c r="AH144" s="525" t="s">
        <v>1324</v>
      </c>
      <c r="AI144" s="52">
        <v>45126</v>
      </c>
      <c r="AJ144" s="3" t="s">
        <v>1501</v>
      </c>
      <c r="AK144" s="84">
        <v>45452</v>
      </c>
      <c r="AL144" s="3" t="s">
        <v>1503</v>
      </c>
      <c r="AM144" s="84">
        <v>45452</v>
      </c>
      <c r="AN144" s="381"/>
    </row>
    <row r="145" spans="1:40" ht="13.35" customHeight="1" x14ac:dyDescent="0.25">
      <c r="A145" s="996">
        <v>144</v>
      </c>
      <c r="B145" s="345">
        <v>30490</v>
      </c>
      <c r="C145" s="310" t="s">
        <v>54</v>
      </c>
      <c r="D145" s="338" t="s">
        <v>1523</v>
      </c>
      <c r="E145" s="343" t="s">
        <v>1500</v>
      </c>
      <c r="F145" s="310" t="s">
        <v>1102</v>
      </c>
      <c r="G145" s="310" t="s">
        <v>14</v>
      </c>
      <c r="H145" s="336">
        <v>44748</v>
      </c>
      <c r="I145" s="310">
        <v>1107</v>
      </c>
      <c r="J145" s="310" t="s">
        <v>58</v>
      </c>
      <c r="K145" s="491" t="s">
        <v>680</v>
      </c>
      <c r="L145" s="495" t="s">
        <v>1127</v>
      </c>
      <c r="M145" s="491" t="s">
        <v>60</v>
      </c>
      <c r="N145" s="495" t="s">
        <v>1127</v>
      </c>
      <c r="O145" s="343"/>
      <c r="P145" s="350">
        <v>45126</v>
      </c>
      <c r="Q145" s="310" t="s">
        <v>1521</v>
      </c>
      <c r="R145" s="310" t="s">
        <v>206</v>
      </c>
      <c r="S145" s="581" t="s">
        <v>1332</v>
      </c>
      <c r="T145" s="310" t="s">
        <v>62</v>
      </c>
      <c r="U145" s="310" t="s">
        <v>62</v>
      </c>
      <c r="V145" s="310" t="s">
        <v>62</v>
      </c>
      <c r="W145" s="310" t="s">
        <v>63</v>
      </c>
      <c r="X145" s="837" t="s">
        <v>1290</v>
      </c>
      <c r="Y145" s="861" t="s">
        <v>869</v>
      </c>
      <c r="Z145" s="491" t="s">
        <v>869</v>
      </c>
      <c r="AA145" s="552"/>
      <c r="AB145" s="310"/>
      <c r="AC145" s="310"/>
      <c r="AD145" s="351" t="s">
        <v>1324</v>
      </c>
      <c r="AE145" s="351"/>
      <c r="AF145" s="351" t="s">
        <v>1324</v>
      </c>
      <c r="AG145" s="351" t="s">
        <v>1522</v>
      </c>
      <c r="AH145" s="525" t="s">
        <v>1324</v>
      </c>
      <c r="AI145" s="52">
        <v>45126</v>
      </c>
      <c r="AJ145" s="3" t="s">
        <v>1501</v>
      </c>
      <c r="AK145" s="84">
        <v>45452</v>
      </c>
      <c r="AL145" s="3" t="s">
        <v>1503</v>
      </c>
      <c r="AM145" s="84">
        <v>45452</v>
      </c>
    </row>
    <row r="146" spans="1:40" ht="13.35" customHeight="1" x14ac:dyDescent="0.25">
      <c r="A146" s="996">
        <v>145</v>
      </c>
      <c r="B146" s="1068">
        <v>30698</v>
      </c>
      <c r="C146" s="581" t="s">
        <v>64</v>
      </c>
      <c r="D146" s="580" t="s">
        <v>1524</v>
      </c>
      <c r="E146" s="584" t="s">
        <v>1500</v>
      </c>
      <c r="F146" s="581" t="s">
        <v>1102</v>
      </c>
      <c r="G146" s="581" t="s">
        <v>14</v>
      </c>
      <c r="H146" s="1069">
        <v>44692</v>
      </c>
      <c r="I146" s="581">
        <v>1105</v>
      </c>
      <c r="J146" s="581" t="s">
        <v>58</v>
      </c>
      <c r="K146" s="582" t="s">
        <v>680</v>
      </c>
      <c r="L146" s="886" t="s">
        <v>1127</v>
      </c>
      <c r="M146" s="582" t="s">
        <v>60</v>
      </c>
      <c r="N146" s="583" t="s">
        <v>1127</v>
      </c>
      <c r="O146" s="584"/>
      <c r="P146" s="580"/>
      <c r="Q146" s="310" t="s">
        <v>1521</v>
      </c>
      <c r="R146" s="581" t="s">
        <v>206</v>
      </c>
      <c r="S146" s="581" t="s">
        <v>1332</v>
      </c>
      <c r="T146" s="581" t="s">
        <v>68</v>
      </c>
      <c r="U146" s="581" t="s">
        <v>68</v>
      </c>
      <c r="V146" s="581" t="s">
        <v>68</v>
      </c>
      <c r="W146" s="581" t="s">
        <v>63</v>
      </c>
      <c r="X146" s="837" t="s">
        <v>1290</v>
      </c>
      <c r="Y146" s="861" t="s">
        <v>869</v>
      </c>
      <c r="Z146" s="888" t="s">
        <v>869</v>
      </c>
      <c r="AA146" s="889"/>
      <c r="AB146" s="581"/>
      <c r="AC146" s="581"/>
      <c r="AD146" s="1064" t="s">
        <v>1324</v>
      </c>
      <c r="AE146" s="1064"/>
      <c r="AF146" s="1064" t="s">
        <v>1324</v>
      </c>
      <c r="AG146" s="1060" t="s">
        <v>1525</v>
      </c>
      <c r="AH146" s="994">
        <v>45120</v>
      </c>
      <c r="AI146" s="269">
        <v>45120</v>
      </c>
      <c r="AJ146" s="239" t="s">
        <v>1501</v>
      </c>
      <c r="AK146" s="239"/>
      <c r="AL146" s="239" t="s">
        <v>1526</v>
      </c>
      <c r="AM146" s="644">
        <v>45484</v>
      </c>
      <c r="AN146" s="381"/>
    </row>
    <row r="147" spans="1:40" ht="13.35" customHeight="1" x14ac:dyDescent="0.25">
      <c r="A147" s="996">
        <v>146</v>
      </c>
      <c r="B147" s="345">
        <v>30698</v>
      </c>
      <c r="C147" s="310" t="s">
        <v>54</v>
      </c>
      <c r="D147" s="314" t="s">
        <v>1527</v>
      </c>
      <c r="E147" s="343" t="s">
        <v>1500</v>
      </c>
      <c r="F147" s="310" t="s">
        <v>1102</v>
      </c>
      <c r="G147" s="310" t="s">
        <v>14</v>
      </c>
      <c r="H147" s="336">
        <v>44692</v>
      </c>
      <c r="I147" s="310">
        <v>1104</v>
      </c>
      <c r="J147" s="310" t="s">
        <v>58</v>
      </c>
      <c r="K147" s="491" t="s">
        <v>680</v>
      </c>
      <c r="L147" s="594" t="s">
        <v>1127</v>
      </c>
      <c r="M147" s="491" t="s">
        <v>60</v>
      </c>
      <c r="N147" s="495" t="s">
        <v>1127</v>
      </c>
      <c r="O147" s="343"/>
      <c r="P147" s="314"/>
      <c r="Q147" s="310" t="s">
        <v>1521</v>
      </c>
      <c r="R147" s="310" t="s">
        <v>206</v>
      </c>
      <c r="S147" s="581" t="s">
        <v>1332</v>
      </c>
      <c r="T147" s="310" t="s">
        <v>62</v>
      </c>
      <c r="U147" s="310" t="s">
        <v>62</v>
      </c>
      <c r="V147" s="310" t="s">
        <v>62</v>
      </c>
      <c r="W147" s="310" t="s">
        <v>63</v>
      </c>
      <c r="X147" s="837" t="s">
        <v>1290</v>
      </c>
      <c r="Y147" s="861" t="s">
        <v>869</v>
      </c>
      <c r="Z147" s="593" t="s">
        <v>869</v>
      </c>
      <c r="AA147" s="589"/>
      <c r="AB147" s="310"/>
      <c r="AC147" s="310"/>
      <c r="AD147" s="351" t="s">
        <v>1324</v>
      </c>
      <c r="AE147" s="351"/>
      <c r="AF147" s="351" t="s">
        <v>1324</v>
      </c>
      <c r="AG147" s="521" t="s">
        <v>1525</v>
      </c>
      <c r="AH147" s="535">
        <v>45120</v>
      </c>
      <c r="AI147" s="52">
        <v>45120</v>
      </c>
      <c r="AJ147" s="3" t="s">
        <v>1501</v>
      </c>
      <c r="AK147" s="3"/>
      <c r="AL147" s="3" t="s">
        <v>1526</v>
      </c>
      <c r="AM147" s="84">
        <v>45484</v>
      </c>
    </row>
    <row r="148" spans="1:40" ht="13.35" customHeight="1" x14ac:dyDescent="0.25">
      <c r="A148" s="996">
        <v>147</v>
      </c>
      <c r="B148" s="311">
        <v>30478</v>
      </c>
      <c r="C148" s="310" t="s">
        <v>64</v>
      </c>
      <c r="D148" s="346" t="s">
        <v>1528</v>
      </c>
      <c r="E148" s="343" t="s">
        <v>1307</v>
      </c>
      <c r="F148" s="310" t="s">
        <v>1102</v>
      </c>
      <c r="G148" s="310" t="s">
        <v>14</v>
      </c>
      <c r="H148" s="336">
        <v>42516</v>
      </c>
      <c r="I148" s="310">
        <v>28</v>
      </c>
      <c r="J148" s="310" t="s">
        <v>58</v>
      </c>
      <c r="K148" s="491" t="s">
        <v>680</v>
      </c>
      <c r="L148" s="594">
        <v>44162</v>
      </c>
      <c r="M148" s="491" t="s">
        <v>1245</v>
      </c>
      <c r="N148" s="500" t="s">
        <v>365</v>
      </c>
      <c r="O148" s="343">
        <v>44941</v>
      </c>
      <c r="P148" s="344">
        <v>45083</v>
      </c>
      <c r="Q148" s="310" t="s">
        <v>1521</v>
      </c>
      <c r="R148" s="310" t="s">
        <v>206</v>
      </c>
      <c r="S148" s="310" t="s">
        <v>206</v>
      </c>
      <c r="T148" s="310" t="s">
        <v>206</v>
      </c>
      <c r="U148" s="310" t="s">
        <v>206</v>
      </c>
      <c r="V148" s="310" t="s">
        <v>206</v>
      </c>
      <c r="W148" s="310" t="s">
        <v>206</v>
      </c>
      <c r="X148" s="310" t="s">
        <v>1309</v>
      </c>
      <c r="Y148" s="861" t="s">
        <v>869</v>
      </c>
      <c r="Z148" s="593" t="s">
        <v>869</v>
      </c>
      <c r="AA148" s="589"/>
      <c r="AB148" s="310"/>
      <c r="AC148" s="310"/>
      <c r="AD148" s="351">
        <v>44607</v>
      </c>
      <c r="AE148" s="351"/>
      <c r="AF148" s="344">
        <v>45171</v>
      </c>
      <c r="AG148" s="521">
        <v>45389</v>
      </c>
      <c r="AH148" s="989" t="s">
        <v>1324</v>
      </c>
      <c r="AI148" s="519">
        <v>45171</v>
      </c>
      <c r="AJ148" s="3" t="s">
        <v>1501</v>
      </c>
      <c r="AK148" s="84">
        <v>45390</v>
      </c>
      <c r="AM148" s="1299"/>
      <c r="AN148" s="381"/>
    </row>
    <row r="149" spans="1:40" ht="13.35" customHeight="1" x14ac:dyDescent="0.25">
      <c r="A149" s="996">
        <v>148</v>
      </c>
      <c r="B149" s="311">
        <v>30478</v>
      </c>
      <c r="C149" s="310" t="s">
        <v>54</v>
      </c>
      <c r="D149" s="346" t="s">
        <v>1529</v>
      </c>
      <c r="E149" s="343" t="s">
        <v>1307</v>
      </c>
      <c r="F149" s="310" t="s">
        <v>1102</v>
      </c>
      <c r="G149" s="310" t="s">
        <v>14</v>
      </c>
      <c r="H149" s="336">
        <v>42516</v>
      </c>
      <c r="I149" s="310">
        <v>31</v>
      </c>
      <c r="J149" s="310" t="s">
        <v>58</v>
      </c>
      <c r="K149" s="491" t="s">
        <v>680</v>
      </c>
      <c r="L149" s="594">
        <v>44162</v>
      </c>
      <c r="M149" s="491" t="s">
        <v>1245</v>
      </c>
      <c r="N149" s="500" t="s">
        <v>365</v>
      </c>
      <c r="O149" s="343">
        <v>44941</v>
      </c>
      <c r="P149" s="344">
        <v>45083</v>
      </c>
      <c r="Q149" s="310" t="s">
        <v>1521</v>
      </c>
      <c r="R149" s="310" t="s">
        <v>206</v>
      </c>
      <c r="S149" s="310" t="s">
        <v>206</v>
      </c>
      <c r="T149" s="310" t="s">
        <v>206</v>
      </c>
      <c r="U149" s="310" t="s">
        <v>206</v>
      </c>
      <c r="V149" s="310" t="s">
        <v>206</v>
      </c>
      <c r="W149" s="310" t="s">
        <v>206</v>
      </c>
      <c r="X149" s="310" t="s">
        <v>1309</v>
      </c>
      <c r="Y149" s="861" t="s">
        <v>869</v>
      </c>
      <c r="Z149" s="593" t="s">
        <v>869</v>
      </c>
      <c r="AA149" s="589"/>
      <c r="AB149" s="310"/>
      <c r="AC149" s="310"/>
      <c r="AD149" s="351">
        <v>44607</v>
      </c>
      <c r="AE149" s="351"/>
      <c r="AF149" s="344">
        <v>45173</v>
      </c>
      <c r="AG149" s="521">
        <v>45389</v>
      </c>
      <c r="AH149" s="989" t="s">
        <v>1324</v>
      </c>
      <c r="AI149" s="519">
        <v>45171</v>
      </c>
      <c r="AJ149" s="3" t="s">
        <v>1501</v>
      </c>
      <c r="AK149" s="84">
        <v>45390</v>
      </c>
      <c r="AM149" s="1299"/>
    </row>
    <row r="150" spans="1:40" ht="13.35" customHeight="1" x14ac:dyDescent="0.25">
      <c r="A150" s="996">
        <v>149</v>
      </c>
      <c r="B150" s="311">
        <v>30487</v>
      </c>
      <c r="C150" s="310" t="s">
        <v>64</v>
      </c>
      <c r="D150" s="346" t="s">
        <v>1530</v>
      </c>
      <c r="E150" s="343" t="s">
        <v>1307</v>
      </c>
      <c r="F150" s="310" t="s">
        <v>1102</v>
      </c>
      <c r="G150" s="310" t="s">
        <v>14</v>
      </c>
      <c r="H150" s="336">
        <v>42595</v>
      </c>
      <c r="I150" s="310">
        <v>57</v>
      </c>
      <c r="J150" s="310" t="s">
        <v>58</v>
      </c>
      <c r="K150" s="491" t="s">
        <v>680</v>
      </c>
      <c r="L150" s="594">
        <v>44112</v>
      </c>
      <c r="M150" s="491" t="s">
        <v>1245</v>
      </c>
      <c r="N150" s="500" t="s">
        <v>365</v>
      </c>
      <c r="O150" s="343">
        <v>44956</v>
      </c>
      <c r="P150" s="344">
        <v>45044</v>
      </c>
      <c r="Q150" s="310" t="s">
        <v>1521</v>
      </c>
      <c r="R150" s="310" t="s">
        <v>206</v>
      </c>
      <c r="S150" s="310" t="s">
        <v>206</v>
      </c>
      <c r="T150" s="310" t="s">
        <v>206</v>
      </c>
      <c r="U150" s="310" t="s">
        <v>206</v>
      </c>
      <c r="V150" s="310" t="s">
        <v>206</v>
      </c>
      <c r="W150" s="310" t="s">
        <v>206</v>
      </c>
      <c r="X150" s="310" t="s">
        <v>1290</v>
      </c>
      <c r="Y150" s="861" t="s">
        <v>869</v>
      </c>
      <c r="Z150" s="593" t="s">
        <v>869</v>
      </c>
      <c r="AA150" s="589"/>
      <c r="AB150" s="310"/>
      <c r="AC150" s="310"/>
      <c r="AD150" s="351">
        <v>44625</v>
      </c>
      <c r="AE150" s="351"/>
      <c r="AF150" s="344">
        <v>44753</v>
      </c>
      <c r="AG150" s="521">
        <v>45474</v>
      </c>
      <c r="AH150" s="989" t="s">
        <v>1324</v>
      </c>
      <c r="AI150" s="519">
        <v>45147</v>
      </c>
      <c r="AJ150" s="3" t="s">
        <v>1501</v>
      </c>
      <c r="AK150" s="84">
        <v>45420</v>
      </c>
      <c r="AM150" s="1299"/>
      <c r="AN150" s="381"/>
    </row>
    <row r="151" spans="1:40" ht="13.35" customHeight="1" x14ac:dyDescent="0.25">
      <c r="A151" s="996">
        <v>150</v>
      </c>
      <c r="B151" s="311">
        <v>30487</v>
      </c>
      <c r="C151" s="310" t="s">
        <v>54</v>
      </c>
      <c r="D151" s="346" t="s">
        <v>1531</v>
      </c>
      <c r="E151" s="343" t="s">
        <v>1307</v>
      </c>
      <c r="F151" s="310" t="s">
        <v>1102</v>
      </c>
      <c r="G151" s="310" t="s">
        <v>14</v>
      </c>
      <c r="H151" s="336">
        <v>42595</v>
      </c>
      <c r="I151" s="310">
        <v>56</v>
      </c>
      <c r="J151" s="310" t="s">
        <v>58</v>
      </c>
      <c r="K151" s="491" t="s">
        <v>680</v>
      </c>
      <c r="L151" s="594">
        <v>44112</v>
      </c>
      <c r="M151" s="491" t="s">
        <v>1245</v>
      </c>
      <c r="N151" s="500" t="s">
        <v>365</v>
      </c>
      <c r="O151" s="343">
        <v>44956</v>
      </c>
      <c r="P151" s="344">
        <v>45044</v>
      </c>
      <c r="Q151" s="310" t="s">
        <v>1521</v>
      </c>
      <c r="R151" s="310" t="s">
        <v>206</v>
      </c>
      <c r="S151" s="310" t="s">
        <v>206</v>
      </c>
      <c r="T151" s="310" t="s">
        <v>206</v>
      </c>
      <c r="U151" s="310" t="s">
        <v>206</v>
      </c>
      <c r="V151" s="310" t="s">
        <v>206</v>
      </c>
      <c r="W151" s="310" t="s">
        <v>206</v>
      </c>
      <c r="X151" s="310" t="s">
        <v>1290</v>
      </c>
      <c r="Y151" s="861" t="s">
        <v>869</v>
      </c>
      <c r="Z151" s="593" t="s">
        <v>869</v>
      </c>
      <c r="AA151" s="589"/>
      <c r="AB151" s="310"/>
      <c r="AC151" s="310"/>
      <c r="AD151" s="351">
        <v>44625</v>
      </c>
      <c r="AE151" s="351"/>
      <c r="AF151" s="344">
        <v>44753</v>
      </c>
      <c r="AG151" s="521">
        <v>45474</v>
      </c>
      <c r="AH151" s="989" t="s">
        <v>1324</v>
      </c>
      <c r="AI151" s="519">
        <v>45147</v>
      </c>
      <c r="AJ151" s="3" t="s">
        <v>1501</v>
      </c>
      <c r="AK151" s="84">
        <v>45420</v>
      </c>
      <c r="AM151" s="1299"/>
    </row>
    <row r="152" spans="1:40" ht="13.35" customHeight="1" x14ac:dyDescent="0.25">
      <c r="A152" s="996">
        <v>151</v>
      </c>
      <c r="B152" s="311">
        <v>30504</v>
      </c>
      <c r="C152" s="310" t="s">
        <v>64</v>
      </c>
      <c r="D152" s="346" t="s">
        <v>1532</v>
      </c>
      <c r="E152" s="343" t="s">
        <v>1307</v>
      </c>
      <c r="F152" s="310" t="s">
        <v>1102</v>
      </c>
      <c r="G152" s="310" t="s">
        <v>14</v>
      </c>
      <c r="H152" s="336">
        <v>42702</v>
      </c>
      <c r="I152" s="310">
        <v>18</v>
      </c>
      <c r="J152" s="310" t="s">
        <v>58</v>
      </c>
      <c r="K152" s="491" t="s">
        <v>680</v>
      </c>
      <c r="L152" s="594">
        <v>44092</v>
      </c>
      <c r="M152" s="491" t="s">
        <v>1245</v>
      </c>
      <c r="N152" s="500" t="s">
        <v>365</v>
      </c>
      <c r="O152" s="343">
        <v>44961</v>
      </c>
      <c r="P152" s="344">
        <v>45411</v>
      </c>
      <c r="Q152" s="310" t="s">
        <v>1521</v>
      </c>
      <c r="R152" s="310" t="s">
        <v>206</v>
      </c>
      <c r="S152" s="310" t="s">
        <v>206</v>
      </c>
      <c r="T152" s="310" t="s">
        <v>206</v>
      </c>
      <c r="U152" s="310" t="s">
        <v>206</v>
      </c>
      <c r="V152" s="310" t="s">
        <v>206</v>
      </c>
      <c r="W152" s="310" t="s">
        <v>206</v>
      </c>
      <c r="X152" s="310" t="s">
        <v>1428</v>
      </c>
      <c r="Y152" s="861" t="s">
        <v>869</v>
      </c>
      <c r="Z152" s="593" t="s">
        <v>869</v>
      </c>
      <c r="AA152" s="589"/>
      <c r="AB152" s="310"/>
      <c r="AC152" s="310"/>
      <c r="AD152" s="351">
        <v>44612</v>
      </c>
      <c r="AE152" s="351"/>
      <c r="AF152" s="344">
        <v>44751</v>
      </c>
      <c r="AG152" s="521">
        <v>45483</v>
      </c>
      <c r="AH152" s="989" t="s">
        <v>63</v>
      </c>
      <c r="AI152" s="519">
        <v>45147</v>
      </c>
      <c r="AJ152" s="3" t="s">
        <v>1501</v>
      </c>
      <c r="AK152" s="84">
        <v>45195</v>
      </c>
      <c r="AM152" s="1299"/>
      <c r="AN152" s="381"/>
    </row>
    <row r="153" spans="1:40" ht="13.35" customHeight="1" x14ac:dyDescent="0.25">
      <c r="A153" s="996">
        <v>152</v>
      </c>
      <c r="B153" s="311">
        <v>30504</v>
      </c>
      <c r="C153" s="310" t="s">
        <v>54</v>
      </c>
      <c r="D153" s="346" t="s">
        <v>1533</v>
      </c>
      <c r="E153" s="343" t="s">
        <v>1307</v>
      </c>
      <c r="F153" s="310" t="s">
        <v>1102</v>
      </c>
      <c r="G153" s="310" t="s">
        <v>14</v>
      </c>
      <c r="H153" s="336">
        <v>42702</v>
      </c>
      <c r="I153" s="310">
        <v>20</v>
      </c>
      <c r="J153" s="310" t="s">
        <v>58</v>
      </c>
      <c r="K153" s="491" t="s">
        <v>680</v>
      </c>
      <c r="L153" s="594">
        <v>44092</v>
      </c>
      <c r="M153" s="491" t="s">
        <v>1245</v>
      </c>
      <c r="N153" s="500" t="s">
        <v>365</v>
      </c>
      <c r="O153" s="343">
        <v>44961</v>
      </c>
      <c r="P153" s="344">
        <v>45411</v>
      </c>
      <c r="Q153" s="310" t="s">
        <v>1521</v>
      </c>
      <c r="R153" s="310" t="s">
        <v>206</v>
      </c>
      <c r="S153" s="310" t="s">
        <v>206</v>
      </c>
      <c r="T153" s="310" t="s">
        <v>206</v>
      </c>
      <c r="U153" s="310" t="s">
        <v>206</v>
      </c>
      <c r="V153" s="310" t="s">
        <v>206</v>
      </c>
      <c r="W153" s="310" t="s">
        <v>206</v>
      </c>
      <c r="X153" s="310" t="s">
        <v>1428</v>
      </c>
      <c r="Y153" s="861" t="s">
        <v>869</v>
      </c>
      <c r="Z153" s="593" t="s">
        <v>869</v>
      </c>
      <c r="AA153" s="589"/>
      <c r="AB153" s="310"/>
      <c r="AC153" s="310"/>
      <c r="AD153" s="351">
        <v>44612</v>
      </c>
      <c r="AE153" s="351"/>
      <c r="AF153" s="344">
        <v>44751</v>
      </c>
      <c r="AG153" s="521">
        <v>45483</v>
      </c>
      <c r="AH153" s="989" t="s">
        <v>63</v>
      </c>
      <c r="AI153" s="519">
        <v>45147</v>
      </c>
      <c r="AJ153" s="3" t="s">
        <v>1501</v>
      </c>
      <c r="AK153" s="84">
        <v>45195</v>
      </c>
      <c r="AM153" s="1299"/>
    </row>
    <row r="154" spans="1:40" ht="13.35" customHeight="1" x14ac:dyDescent="0.25">
      <c r="A154" s="996">
        <v>153</v>
      </c>
      <c r="B154" s="311">
        <v>30529</v>
      </c>
      <c r="C154" s="310" t="s">
        <v>64</v>
      </c>
      <c r="D154" s="346" t="s">
        <v>1534</v>
      </c>
      <c r="E154" s="343" t="s">
        <v>1500</v>
      </c>
      <c r="F154" s="310" t="s">
        <v>1102</v>
      </c>
      <c r="G154" s="310" t="s">
        <v>14</v>
      </c>
      <c r="H154" s="336">
        <v>42815</v>
      </c>
      <c r="I154" s="310">
        <v>73</v>
      </c>
      <c r="J154" s="310" t="s">
        <v>58</v>
      </c>
      <c r="K154" s="491" t="s">
        <v>680</v>
      </c>
      <c r="L154" s="594">
        <v>44061</v>
      </c>
      <c r="M154" s="491" t="s">
        <v>60</v>
      </c>
      <c r="N154" s="495">
        <v>44436</v>
      </c>
      <c r="O154" s="343">
        <v>45112</v>
      </c>
      <c r="P154" s="344">
        <v>45112</v>
      </c>
      <c r="Q154" s="310" t="s">
        <v>1521</v>
      </c>
      <c r="R154" s="310" t="s">
        <v>1496</v>
      </c>
      <c r="S154" s="310" t="s">
        <v>206</v>
      </c>
      <c r="T154" s="310" t="s">
        <v>206</v>
      </c>
      <c r="U154" s="310" t="s">
        <v>206</v>
      </c>
      <c r="V154" s="310" t="s">
        <v>206</v>
      </c>
      <c r="W154" s="310" t="s">
        <v>206</v>
      </c>
      <c r="X154" s="310" t="s">
        <v>1428</v>
      </c>
      <c r="Y154" s="861" t="s">
        <v>869</v>
      </c>
      <c r="Z154" s="593" t="s">
        <v>869</v>
      </c>
      <c r="AA154" s="589"/>
      <c r="AB154" s="310"/>
      <c r="AC154" s="310"/>
      <c r="AD154" s="351">
        <v>44586</v>
      </c>
      <c r="AE154" s="351"/>
      <c r="AF154" s="344">
        <v>44739</v>
      </c>
      <c r="AG154" s="521" t="s">
        <v>1535</v>
      </c>
      <c r="AH154" s="535">
        <v>45486</v>
      </c>
      <c r="AI154" s="519">
        <v>45177</v>
      </c>
      <c r="AJ154" s="3" t="s">
        <v>1501</v>
      </c>
      <c r="AK154" s="84">
        <v>45215</v>
      </c>
      <c r="AM154" s="1299"/>
    </row>
    <row r="155" spans="1:40" ht="13.35" customHeight="1" x14ac:dyDescent="0.25">
      <c r="A155" s="996">
        <v>154</v>
      </c>
      <c r="B155" s="311">
        <v>30529</v>
      </c>
      <c r="C155" s="310" t="s">
        <v>54</v>
      </c>
      <c r="D155" s="346" t="s">
        <v>1536</v>
      </c>
      <c r="E155" s="343" t="s">
        <v>1500</v>
      </c>
      <c r="F155" s="310" t="s">
        <v>1102</v>
      </c>
      <c r="G155" s="310" t="s">
        <v>14</v>
      </c>
      <c r="H155" s="336">
        <v>42815</v>
      </c>
      <c r="I155" s="310">
        <v>75</v>
      </c>
      <c r="J155" s="310" t="s">
        <v>58</v>
      </c>
      <c r="K155" s="491" t="s">
        <v>680</v>
      </c>
      <c r="L155" s="594">
        <v>44061</v>
      </c>
      <c r="M155" s="491" t="s">
        <v>60</v>
      </c>
      <c r="N155" s="495">
        <v>44436</v>
      </c>
      <c r="O155" s="343">
        <v>45112</v>
      </c>
      <c r="P155" s="344">
        <v>45112</v>
      </c>
      <c r="Q155" s="310" t="s">
        <v>1521</v>
      </c>
      <c r="R155" s="310" t="s">
        <v>1496</v>
      </c>
      <c r="S155" s="310" t="s">
        <v>206</v>
      </c>
      <c r="T155" s="310" t="s">
        <v>206</v>
      </c>
      <c r="U155" s="310" t="s">
        <v>206</v>
      </c>
      <c r="V155" s="310" t="s">
        <v>206</v>
      </c>
      <c r="W155" s="310" t="s">
        <v>206</v>
      </c>
      <c r="X155" s="310" t="s">
        <v>1428</v>
      </c>
      <c r="Y155" s="861" t="s">
        <v>869</v>
      </c>
      <c r="Z155" s="593" t="s">
        <v>869</v>
      </c>
      <c r="AA155" s="589"/>
      <c r="AB155" s="310"/>
      <c r="AC155" s="310"/>
      <c r="AD155" s="351">
        <v>44586</v>
      </c>
      <c r="AE155" s="351"/>
      <c r="AF155" s="344">
        <v>44739</v>
      </c>
      <c r="AG155" s="521" t="s">
        <v>1535</v>
      </c>
      <c r="AH155" s="535">
        <v>45486</v>
      </c>
      <c r="AI155" s="519">
        <v>45177</v>
      </c>
      <c r="AJ155" s="3" t="s">
        <v>1501</v>
      </c>
      <c r="AK155" s="84">
        <v>45215</v>
      </c>
      <c r="AM155" s="1299"/>
    </row>
    <row r="156" spans="1:40" ht="13.35" customHeight="1" x14ac:dyDescent="0.25">
      <c r="A156" s="996">
        <v>155</v>
      </c>
      <c r="B156" s="311">
        <v>30806</v>
      </c>
      <c r="C156" s="345" t="s">
        <v>64</v>
      </c>
      <c r="D156" s="346" t="s">
        <v>1537</v>
      </c>
      <c r="E156" s="343" t="s">
        <v>1307</v>
      </c>
      <c r="F156" s="310" t="s">
        <v>1102</v>
      </c>
      <c r="G156" s="310" t="s">
        <v>14</v>
      </c>
      <c r="H156" s="336">
        <v>44272</v>
      </c>
      <c r="I156" s="345">
        <v>993</v>
      </c>
      <c r="J156" s="310" t="s">
        <v>58</v>
      </c>
      <c r="K156" s="491" t="s">
        <v>680</v>
      </c>
      <c r="L156" s="596" t="s">
        <v>1127</v>
      </c>
      <c r="M156" s="491" t="s">
        <v>60</v>
      </c>
      <c r="N156" s="495">
        <v>44459</v>
      </c>
      <c r="O156" s="337">
        <v>44627</v>
      </c>
      <c r="P156" s="344">
        <v>44730</v>
      </c>
      <c r="Q156" s="310" t="s">
        <v>1289</v>
      </c>
      <c r="R156" s="310" t="s">
        <v>206</v>
      </c>
      <c r="S156" s="310" t="s">
        <v>206</v>
      </c>
      <c r="T156" s="310" t="s">
        <v>206</v>
      </c>
      <c r="U156" s="310" t="s">
        <v>206</v>
      </c>
      <c r="V156" s="588" t="s">
        <v>68</v>
      </c>
      <c r="W156" s="310" t="s">
        <v>63</v>
      </c>
      <c r="X156" s="609" t="s">
        <v>1244</v>
      </c>
      <c r="Y156" s="861" t="s">
        <v>869</v>
      </c>
      <c r="Z156" s="593" t="s">
        <v>869</v>
      </c>
      <c r="AA156" s="590">
        <v>44776</v>
      </c>
      <c r="AB156" s="310"/>
      <c r="AC156" s="310"/>
      <c r="AD156" s="351">
        <v>44599</v>
      </c>
      <c r="AE156" s="351"/>
      <c r="AF156" s="344">
        <v>44734</v>
      </c>
      <c r="AG156" s="521">
        <v>45467</v>
      </c>
      <c r="AH156" s="988">
        <v>45087</v>
      </c>
      <c r="AI156" s="84">
        <v>45155</v>
      </c>
      <c r="AJ156" s="3" t="s">
        <v>1501</v>
      </c>
      <c r="AK156" s="84">
        <v>45100</v>
      </c>
      <c r="AL156" s="84">
        <v>45366</v>
      </c>
      <c r="AM156" s="3" t="s">
        <v>1538</v>
      </c>
    </row>
    <row r="157" spans="1:40" ht="13.35" customHeight="1" x14ac:dyDescent="0.25">
      <c r="A157" s="996">
        <v>156</v>
      </c>
      <c r="B157" s="311">
        <v>30806</v>
      </c>
      <c r="C157" s="345" t="s">
        <v>54</v>
      </c>
      <c r="D157" s="346" t="s">
        <v>1539</v>
      </c>
      <c r="E157" s="343" t="s">
        <v>1307</v>
      </c>
      <c r="F157" s="310" t="s">
        <v>1102</v>
      </c>
      <c r="G157" s="310" t="s">
        <v>14</v>
      </c>
      <c r="H157" s="336">
        <v>44272</v>
      </c>
      <c r="I157" s="345">
        <v>987</v>
      </c>
      <c r="J157" s="310" t="s">
        <v>58</v>
      </c>
      <c r="K157" s="491" t="s">
        <v>680</v>
      </c>
      <c r="L157" s="596" t="s">
        <v>1127</v>
      </c>
      <c r="M157" s="491" t="s">
        <v>60</v>
      </c>
      <c r="N157" s="495">
        <v>44459</v>
      </c>
      <c r="O157" s="337">
        <v>44627</v>
      </c>
      <c r="P157" s="344">
        <v>44730</v>
      </c>
      <c r="Q157" s="310" t="s">
        <v>1289</v>
      </c>
      <c r="R157" s="310" t="s">
        <v>206</v>
      </c>
      <c r="S157" s="310" t="s">
        <v>206</v>
      </c>
      <c r="T157" s="310" t="s">
        <v>206</v>
      </c>
      <c r="U157" s="310" t="s">
        <v>206</v>
      </c>
      <c r="V157" s="346" t="s">
        <v>62</v>
      </c>
      <c r="W157" s="310" t="s">
        <v>63</v>
      </c>
      <c r="X157" s="609" t="s">
        <v>1244</v>
      </c>
      <c r="Y157" s="861" t="s">
        <v>869</v>
      </c>
      <c r="Z157" s="593" t="s">
        <v>869</v>
      </c>
      <c r="AA157" s="590">
        <v>44776</v>
      </c>
      <c r="AB157" s="310"/>
      <c r="AC157" s="310"/>
      <c r="AD157" s="351">
        <v>44599</v>
      </c>
      <c r="AE157" s="351"/>
      <c r="AF157" s="344">
        <v>44734</v>
      </c>
      <c r="AG157" s="521">
        <v>45467</v>
      </c>
      <c r="AH157" s="988">
        <v>45087</v>
      </c>
      <c r="AI157" s="84">
        <v>45155</v>
      </c>
      <c r="AJ157" s="3" t="s">
        <v>1501</v>
      </c>
      <c r="AK157" s="84">
        <v>45101</v>
      </c>
      <c r="AL157" s="84">
        <v>45366</v>
      </c>
      <c r="AM157" s="3" t="s">
        <v>1538</v>
      </c>
      <c r="AN157" s="3" t="s">
        <v>1540</v>
      </c>
    </row>
    <row r="158" spans="1:40" ht="13.35" customHeight="1" x14ac:dyDescent="0.25">
      <c r="A158" s="996">
        <v>157</v>
      </c>
      <c r="B158" s="311">
        <v>37005</v>
      </c>
      <c r="C158" s="310" t="s">
        <v>64</v>
      </c>
      <c r="D158" s="346" t="s">
        <v>1541</v>
      </c>
      <c r="E158" s="343" t="s">
        <v>1307</v>
      </c>
      <c r="F158" s="310" t="s">
        <v>1102</v>
      </c>
      <c r="G158" s="310" t="s">
        <v>14</v>
      </c>
      <c r="H158" s="604">
        <v>43281</v>
      </c>
      <c r="I158" s="310">
        <v>183</v>
      </c>
      <c r="J158" s="310" t="s">
        <v>58</v>
      </c>
      <c r="K158" s="491" t="s">
        <v>680</v>
      </c>
      <c r="L158" s="594">
        <v>44224</v>
      </c>
      <c r="M158" s="491" t="s">
        <v>60</v>
      </c>
      <c r="N158" s="495">
        <v>44515</v>
      </c>
      <c r="O158" s="343">
        <v>44968</v>
      </c>
      <c r="P158" s="343">
        <v>44968</v>
      </c>
      <c r="Q158" s="310" t="s">
        <v>1289</v>
      </c>
      <c r="R158" s="310" t="s">
        <v>206</v>
      </c>
      <c r="S158" s="310" t="s">
        <v>206</v>
      </c>
      <c r="T158" s="310" t="s">
        <v>206</v>
      </c>
      <c r="U158" s="310" t="s">
        <v>206</v>
      </c>
      <c r="V158" s="588" t="s">
        <v>68</v>
      </c>
      <c r="W158" s="310" t="s">
        <v>63</v>
      </c>
      <c r="X158" s="310" t="s">
        <v>1290</v>
      </c>
      <c r="Y158" s="861" t="s">
        <v>869</v>
      </c>
      <c r="Z158" s="593" t="s">
        <v>869</v>
      </c>
      <c r="AA158" s="590">
        <v>44753</v>
      </c>
      <c r="AB158" s="1116" t="s">
        <v>1542</v>
      </c>
      <c r="AC158" s="310"/>
      <c r="AD158" s="351">
        <v>44588</v>
      </c>
      <c r="AE158" s="351" t="s">
        <v>1543</v>
      </c>
      <c r="AF158" s="344">
        <v>44736</v>
      </c>
      <c r="AG158" s="521">
        <v>45419</v>
      </c>
      <c r="AH158" s="988">
        <v>45116</v>
      </c>
      <c r="AI158" s="3" t="s">
        <v>1544</v>
      </c>
      <c r="AJ158" s="3" t="s">
        <v>1501</v>
      </c>
      <c r="AK158" s="84" t="s">
        <v>1543</v>
      </c>
      <c r="AM158" s="84">
        <v>45545</v>
      </c>
    </row>
    <row r="159" spans="1:40" ht="13.35" customHeight="1" x14ac:dyDescent="0.25">
      <c r="A159" s="996">
        <v>158</v>
      </c>
      <c r="B159" s="311">
        <v>37005</v>
      </c>
      <c r="C159" s="310" t="s">
        <v>54</v>
      </c>
      <c r="D159" s="346" t="s">
        <v>1545</v>
      </c>
      <c r="E159" s="343" t="s">
        <v>1307</v>
      </c>
      <c r="F159" s="310" t="s">
        <v>1102</v>
      </c>
      <c r="G159" s="310" t="s">
        <v>14</v>
      </c>
      <c r="H159" s="604">
        <v>43281</v>
      </c>
      <c r="I159" s="310">
        <v>181</v>
      </c>
      <c r="J159" s="310" t="s">
        <v>58</v>
      </c>
      <c r="K159" s="491" t="s">
        <v>680</v>
      </c>
      <c r="L159" s="594">
        <v>44224</v>
      </c>
      <c r="M159" s="491" t="s">
        <v>60</v>
      </c>
      <c r="N159" s="495">
        <v>44515</v>
      </c>
      <c r="O159" s="343">
        <v>44968</v>
      </c>
      <c r="P159" s="343">
        <v>44968</v>
      </c>
      <c r="Q159" s="310" t="s">
        <v>1289</v>
      </c>
      <c r="R159" s="310" t="s">
        <v>206</v>
      </c>
      <c r="S159" s="310" t="s">
        <v>206</v>
      </c>
      <c r="T159" s="310" t="s">
        <v>206</v>
      </c>
      <c r="U159" s="310" t="s">
        <v>206</v>
      </c>
      <c r="V159" s="346" t="s">
        <v>62</v>
      </c>
      <c r="W159" s="310" t="s">
        <v>63</v>
      </c>
      <c r="X159" s="310" t="s">
        <v>1290</v>
      </c>
      <c r="Y159" s="861" t="s">
        <v>869</v>
      </c>
      <c r="Z159" s="593" t="s">
        <v>869</v>
      </c>
      <c r="AA159" s="590">
        <v>44753</v>
      </c>
      <c r="AB159" s="310"/>
      <c r="AC159" s="310"/>
      <c r="AD159" s="351">
        <v>44588</v>
      </c>
      <c r="AE159" s="351" t="s">
        <v>1543</v>
      </c>
      <c r="AF159" s="344">
        <v>44736</v>
      </c>
      <c r="AG159" s="521">
        <v>45419</v>
      </c>
      <c r="AH159" s="988">
        <v>45116</v>
      </c>
      <c r="AI159" s="3" t="s">
        <v>1544</v>
      </c>
      <c r="AJ159" s="3" t="s">
        <v>1501</v>
      </c>
      <c r="AK159" s="84" t="s">
        <v>1543</v>
      </c>
      <c r="AM159" s="84">
        <v>45545</v>
      </c>
    </row>
    <row r="160" spans="1:40" ht="13.35" customHeight="1" x14ac:dyDescent="0.25">
      <c r="A160" s="996">
        <v>159</v>
      </c>
      <c r="B160" s="311">
        <v>37024</v>
      </c>
      <c r="C160" s="310" t="s">
        <v>64</v>
      </c>
      <c r="D160" s="346" t="s">
        <v>1546</v>
      </c>
      <c r="E160" s="343" t="s">
        <v>1307</v>
      </c>
      <c r="F160" s="310" t="s">
        <v>1102</v>
      </c>
      <c r="G160" s="310" t="s">
        <v>14</v>
      </c>
      <c r="H160" s="604">
        <v>43458</v>
      </c>
      <c r="I160" s="310">
        <v>195</v>
      </c>
      <c r="J160" s="310" t="s">
        <v>58</v>
      </c>
      <c r="K160" s="491" t="s">
        <v>680</v>
      </c>
      <c r="L160" s="594">
        <v>44059</v>
      </c>
      <c r="M160" s="491" t="s">
        <v>60</v>
      </c>
      <c r="N160" s="495">
        <v>44461</v>
      </c>
      <c r="O160" s="343">
        <v>44965</v>
      </c>
      <c r="P160" s="344"/>
      <c r="Q160" s="310" t="s">
        <v>1289</v>
      </c>
      <c r="R160" s="310" t="s">
        <v>206</v>
      </c>
      <c r="S160" s="310" t="s">
        <v>206</v>
      </c>
      <c r="T160" s="310" t="s">
        <v>206</v>
      </c>
      <c r="U160" s="310" t="s">
        <v>206</v>
      </c>
      <c r="V160" s="588" t="s">
        <v>68</v>
      </c>
      <c r="W160" s="310" t="s">
        <v>63</v>
      </c>
      <c r="X160" s="310" t="s">
        <v>1428</v>
      </c>
      <c r="Y160" s="861" t="s">
        <v>869</v>
      </c>
      <c r="Z160" s="593" t="s">
        <v>869</v>
      </c>
      <c r="AA160" s="590">
        <v>44760</v>
      </c>
      <c r="AB160" s="310"/>
      <c r="AC160" s="310"/>
      <c r="AD160" s="351">
        <v>44615</v>
      </c>
      <c r="AE160" s="351"/>
      <c r="AF160" s="344">
        <v>44722</v>
      </c>
      <c r="AG160" s="521">
        <v>45472</v>
      </c>
      <c r="AH160" s="988">
        <v>45099</v>
      </c>
      <c r="AI160" s="84">
        <v>45121</v>
      </c>
      <c r="AJ160" s="3" t="s">
        <v>1501</v>
      </c>
      <c r="AK160" s="84">
        <v>45436</v>
      </c>
      <c r="AM160" s="84">
        <v>45545</v>
      </c>
    </row>
    <row r="161" spans="1:40" ht="13.35" customHeight="1" x14ac:dyDescent="0.25">
      <c r="A161" s="996">
        <v>160</v>
      </c>
      <c r="B161" s="311">
        <v>37024</v>
      </c>
      <c r="C161" s="310" t="s">
        <v>54</v>
      </c>
      <c r="D161" s="346" t="s">
        <v>1547</v>
      </c>
      <c r="E161" s="343" t="s">
        <v>1307</v>
      </c>
      <c r="F161" s="310" t="s">
        <v>1102</v>
      </c>
      <c r="G161" s="310" t="s">
        <v>14</v>
      </c>
      <c r="H161" s="604">
        <v>43458</v>
      </c>
      <c r="I161" s="310">
        <v>194</v>
      </c>
      <c r="J161" s="310" t="s">
        <v>58</v>
      </c>
      <c r="K161" s="491" t="s">
        <v>680</v>
      </c>
      <c r="L161" s="594">
        <v>44059</v>
      </c>
      <c r="M161" s="491" t="s">
        <v>60</v>
      </c>
      <c r="N161" s="495">
        <v>44461</v>
      </c>
      <c r="O161" s="343">
        <v>44965</v>
      </c>
      <c r="P161" s="344"/>
      <c r="Q161" s="310" t="s">
        <v>1289</v>
      </c>
      <c r="R161" s="310" t="s">
        <v>206</v>
      </c>
      <c r="S161" s="310" t="s">
        <v>206</v>
      </c>
      <c r="T161" s="310" t="s">
        <v>206</v>
      </c>
      <c r="U161" s="310" t="s">
        <v>206</v>
      </c>
      <c r="V161" s="346" t="s">
        <v>62</v>
      </c>
      <c r="W161" s="310" t="s">
        <v>63</v>
      </c>
      <c r="X161" s="310" t="s">
        <v>1428</v>
      </c>
      <c r="Y161" s="861" t="s">
        <v>869</v>
      </c>
      <c r="Z161" s="593" t="s">
        <v>869</v>
      </c>
      <c r="AA161" s="590">
        <v>44760</v>
      </c>
      <c r="AB161" s="310" t="s">
        <v>1548</v>
      </c>
      <c r="AC161" s="310"/>
      <c r="AD161" s="351">
        <v>44615</v>
      </c>
      <c r="AE161" s="351"/>
      <c r="AF161" s="344">
        <v>44722</v>
      </c>
      <c r="AG161" s="521">
        <v>45472</v>
      </c>
      <c r="AH161" s="988">
        <v>45099</v>
      </c>
      <c r="AI161" s="84">
        <v>45121</v>
      </c>
      <c r="AJ161" s="3" t="s">
        <v>1501</v>
      </c>
      <c r="AK161" s="84">
        <v>45436</v>
      </c>
      <c r="AM161" s="84">
        <v>45545</v>
      </c>
    </row>
    <row r="162" spans="1:40" ht="13.35" customHeight="1" x14ac:dyDescent="0.25">
      <c r="A162" s="996">
        <v>161</v>
      </c>
      <c r="B162" s="311">
        <v>37025</v>
      </c>
      <c r="C162" s="310" t="s">
        <v>64</v>
      </c>
      <c r="D162" s="346" t="s">
        <v>1549</v>
      </c>
      <c r="E162" s="343" t="s">
        <v>1307</v>
      </c>
      <c r="F162" s="310" t="s">
        <v>1102</v>
      </c>
      <c r="G162" s="310" t="s">
        <v>14</v>
      </c>
      <c r="H162" s="604">
        <v>43367</v>
      </c>
      <c r="I162" s="310">
        <v>186</v>
      </c>
      <c r="J162" s="310" t="s">
        <v>58</v>
      </c>
      <c r="K162" s="491" t="s">
        <v>680</v>
      </c>
      <c r="L162" s="594">
        <v>44061</v>
      </c>
      <c r="M162" s="491" t="s">
        <v>60</v>
      </c>
      <c r="N162" s="495">
        <v>44460</v>
      </c>
      <c r="O162" s="337"/>
      <c r="P162" s="344">
        <v>44960</v>
      </c>
      <c r="Q162" s="310" t="s">
        <v>1289</v>
      </c>
      <c r="R162" s="310" t="s">
        <v>206</v>
      </c>
      <c r="S162" s="310" t="s">
        <v>206</v>
      </c>
      <c r="T162" s="310" t="s">
        <v>206</v>
      </c>
      <c r="U162" s="310" t="s">
        <v>206</v>
      </c>
      <c r="V162" s="309" t="s">
        <v>206</v>
      </c>
      <c r="W162" s="310" t="s">
        <v>206</v>
      </c>
      <c r="X162" s="310" t="s">
        <v>1309</v>
      </c>
      <c r="Y162" s="861" t="s">
        <v>869</v>
      </c>
      <c r="Z162" s="593" t="s">
        <v>869</v>
      </c>
      <c r="AA162" s="590">
        <v>44749</v>
      </c>
      <c r="AB162" s="346" t="s">
        <v>1550</v>
      </c>
      <c r="AC162" s="310"/>
      <c r="AD162" s="351">
        <v>44596</v>
      </c>
      <c r="AE162" s="351"/>
      <c r="AF162" s="344">
        <v>44737</v>
      </c>
      <c r="AG162" s="521">
        <v>45469</v>
      </c>
      <c r="AH162" s="988">
        <v>45088</v>
      </c>
      <c r="AI162" s="519">
        <v>45146</v>
      </c>
      <c r="AJ162" s="3" t="s">
        <v>1501</v>
      </c>
      <c r="AK162" s="84">
        <v>45169</v>
      </c>
      <c r="AM162" s="84">
        <v>45452</v>
      </c>
    </row>
    <row r="163" spans="1:40" ht="13.35" customHeight="1" x14ac:dyDescent="0.25">
      <c r="A163" s="996">
        <v>162</v>
      </c>
      <c r="B163" s="311">
        <v>37025</v>
      </c>
      <c r="C163" s="310" t="s">
        <v>54</v>
      </c>
      <c r="D163" s="346" t="s">
        <v>1551</v>
      </c>
      <c r="E163" s="343" t="s">
        <v>1307</v>
      </c>
      <c r="F163" s="310" t="s">
        <v>1102</v>
      </c>
      <c r="G163" s="310" t="s">
        <v>14</v>
      </c>
      <c r="H163" s="604">
        <v>43367</v>
      </c>
      <c r="I163" s="310">
        <v>189</v>
      </c>
      <c r="J163" s="310" t="s">
        <v>58</v>
      </c>
      <c r="K163" s="491" t="s">
        <v>680</v>
      </c>
      <c r="L163" s="594">
        <v>44061</v>
      </c>
      <c r="M163" s="491" t="s">
        <v>60</v>
      </c>
      <c r="N163" s="495">
        <v>44460</v>
      </c>
      <c r="O163" s="337"/>
      <c r="P163" s="344">
        <v>44960</v>
      </c>
      <c r="Q163" s="310" t="s">
        <v>1289</v>
      </c>
      <c r="R163" s="310" t="s">
        <v>206</v>
      </c>
      <c r="S163" s="310" t="s">
        <v>206</v>
      </c>
      <c r="T163" s="310" t="s">
        <v>206</v>
      </c>
      <c r="U163" s="310" t="s">
        <v>206</v>
      </c>
      <c r="V163" s="310" t="s">
        <v>206</v>
      </c>
      <c r="W163" s="310" t="s">
        <v>206</v>
      </c>
      <c r="X163" s="310" t="s">
        <v>1309</v>
      </c>
      <c r="Y163" s="861" t="s">
        <v>869</v>
      </c>
      <c r="Z163" s="593" t="s">
        <v>869</v>
      </c>
      <c r="AA163" s="590">
        <v>44749</v>
      </c>
      <c r="AB163" s="310"/>
      <c r="AC163" s="310"/>
      <c r="AD163" s="351">
        <v>44596</v>
      </c>
      <c r="AE163" s="351"/>
      <c r="AF163" s="344">
        <v>44737</v>
      </c>
      <c r="AG163" s="521">
        <v>45469</v>
      </c>
      <c r="AH163" s="988">
        <v>45088</v>
      </c>
      <c r="AI163" s="519">
        <v>45146</v>
      </c>
      <c r="AJ163" s="3" t="s">
        <v>1501</v>
      </c>
      <c r="AK163" s="84">
        <v>45169</v>
      </c>
      <c r="AM163" s="84">
        <v>45452</v>
      </c>
    </row>
    <row r="164" spans="1:40" ht="13.35" customHeight="1" x14ac:dyDescent="0.25">
      <c r="A164" s="996">
        <v>163</v>
      </c>
      <c r="B164" s="311">
        <v>37080</v>
      </c>
      <c r="C164" s="310" t="s">
        <v>64</v>
      </c>
      <c r="D164" s="346" t="s">
        <v>1552</v>
      </c>
      <c r="E164" s="343" t="s">
        <v>1307</v>
      </c>
      <c r="F164" s="310" t="s">
        <v>1102</v>
      </c>
      <c r="G164" s="310" t="s">
        <v>14</v>
      </c>
      <c r="H164" s="336">
        <v>43487</v>
      </c>
      <c r="I164" s="310">
        <v>269</v>
      </c>
      <c r="J164" s="310" t="s">
        <v>58</v>
      </c>
      <c r="K164" s="491" t="s">
        <v>680</v>
      </c>
      <c r="L164" s="594">
        <v>44061</v>
      </c>
      <c r="M164" s="491" t="s">
        <v>60</v>
      </c>
      <c r="N164" s="495">
        <v>44515</v>
      </c>
      <c r="O164" s="343"/>
      <c r="P164" s="344">
        <v>44719</v>
      </c>
      <c r="Q164" s="310" t="s">
        <v>1289</v>
      </c>
      <c r="R164" s="310" t="s">
        <v>206</v>
      </c>
      <c r="S164" s="310" t="s">
        <v>206</v>
      </c>
      <c r="T164" s="310" t="s">
        <v>206</v>
      </c>
      <c r="U164" s="310" t="s">
        <v>206</v>
      </c>
      <c r="V164" s="309" t="s">
        <v>206</v>
      </c>
      <c r="W164" s="310" t="s">
        <v>206</v>
      </c>
      <c r="X164" s="310" t="s">
        <v>1290</v>
      </c>
      <c r="Y164" s="861" t="s">
        <v>869</v>
      </c>
      <c r="Z164" s="593" t="s">
        <v>869</v>
      </c>
      <c r="AA164" s="590">
        <v>44780</v>
      </c>
      <c r="AB164" s="310"/>
      <c r="AC164" s="310"/>
      <c r="AD164" s="351">
        <v>44586</v>
      </c>
      <c r="AE164" s="351"/>
      <c r="AF164" s="344">
        <v>44568</v>
      </c>
      <c r="AG164" s="521" t="s">
        <v>1553</v>
      </c>
      <c r="AH164" s="609">
        <v>45159</v>
      </c>
      <c r="AI164" s="519">
        <v>45159</v>
      </c>
      <c r="AJ164" s="3" t="s">
        <v>1501</v>
      </c>
      <c r="AK164" s="84">
        <v>44929</v>
      </c>
      <c r="AM164" s="3" t="s">
        <v>1554</v>
      </c>
    </row>
    <row r="165" spans="1:40" ht="13.35" customHeight="1" x14ac:dyDescent="0.25">
      <c r="A165" s="996">
        <v>164</v>
      </c>
      <c r="B165" s="311">
        <v>37080</v>
      </c>
      <c r="C165" s="310" t="s">
        <v>54</v>
      </c>
      <c r="D165" s="346" t="s">
        <v>1555</v>
      </c>
      <c r="E165" s="343" t="s">
        <v>1307</v>
      </c>
      <c r="F165" s="310" t="s">
        <v>1102</v>
      </c>
      <c r="G165" s="310" t="s">
        <v>14</v>
      </c>
      <c r="H165" s="336">
        <v>43487</v>
      </c>
      <c r="I165" s="310">
        <v>268</v>
      </c>
      <c r="J165" s="310" t="s">
        <v>58</v>
      </c>
      <c r="K165" s="491" t="s">
        <v>680</v>
      </c>
      <c r="L165" s="594">
        <v>44061</v>
      </c>
      <c r="M165" s="491" t="s">
        <v>60</v>
      </c>
      <c r="N165" s="495">
        <v>44491</v>
      </c>
      <c r="O165" s="343"/>
      <c r="P165" s="344">
        <v>44719</v>
      </c>
      <c r="Q165" s="310" t="s">
        <v>1289</v>
      </c>
      <c r="R165" s="310" t="s">
        <v>206</v>
      </c>
      <c r="S165" s="310" t="s">
        <v>206</v>
      </c>
      <c r="T165" s="310" t="s">
        <v>206</v>
      </c>
      <c r="U165" s="310" t="s">
        <v>206</v>
      </c>
      <c r="V165" s="330" t="s">
        <v>62</v>
      </c>
      <c r="W165" s="310" t="s">
        <v>206</v>
      </c>
      <c r="X165" s="310" t="s">
        <v>1290</v>
      </c>
      <c r="Y165" s="861" t="s">
        <v>869</v>
      </c>
      <c r="Z165" s="593" t="s">
        <v>869</v>
      </c>
      <c r="AA165" s="590">
        <v>44780</v>
      </c>
      <c r="AB165" s="346" t="s">
        <v>1556</v>
      </c>
      <c r="AC165" s="310"/>
      <c r="AD165" s="351">
        <v>44586</v>
      </c>
      <c r="AE165" s="351"/>
      <c r="AF165" s="344">
        <v>44568</v>
      </c>
      <c r="AG165" s="521" t="s">
        <v>1553</v>
      </c>
      <c r="AH165" s="609">
        <v>45159</v>
      </c>
      <c r="AI165" s="519">
        <v>45159</v>
      </c>
      <c r="AJ165" s="3" t="s">
        <v>1501</v>
      </c>
      <c r="AK165" s="84">
        <v>44929</v>
      </c>
      <c r="AM165" s="3" t="s">
        <v>1554</v>
      </c>
    </row>
    <row r="166" spans="1:40" ht="13.35" customHeight="1" x14ac:dyDescent="0.25">
      <c r="A166" s="996">
        <v>165</v>
      </c>
      <c r="B166" s="311">
        <v>37116</v>
      </c>
      <c r="C166" s="310" t="s">
        <v>64</v>
      </c>
      <c r="D166" s="346" t="s">
        <v>1557</v>
      </c>
      <c r="E166" s="343" t="s">
        <v>1307</v>
      </c>
      <c r="F166" s="310" t="s">
        <v>1102</v>
      </c>
      <c r="G166" s="310" t="s">
        <v>14</v>
      </c>
      <c r="H166" s="336">
        <v>43542</v>
      </c>
      <c r="I166" s="310">
        <v>370</v>
      </c>
      <c r="J166" s="310" t="s">
        <v>58</v>
      </c>
      <c r="K166" s="491" t="s">
        <v>680</v>
      </c>
      <c r="L166" s="594">
        <v>44090</v>
      </c>
      <c r="M166" s="491" t="s">
        <v>60</v>
      </c>
      <c r="N166" s="495">
        <v>44512</v>
      </c>
      <c r="O166" s="343">
        <v>44998</v>
      </c>
      <c r="P166" s="344">
        <v>44723</v>
      </c>
      <c r="Q166" s="310" t="s">
        <v>1289</v>
      </c>
      <c r="R166" s="310" t="s">
        <v>206</v>
      </c>
      <c r="S166" s="310" t="s">
        <v>206</v>
      </c>
      <c r="T166" s="310" t="s">
        <v>206</v>
      </c>
      <c r="U166" s="310" t="s">
        <v>206</v>
      </c>
      <c r="V166" s="309" t="s">
        <v>206</v>
      </c>
      <c r="W166" s="310" t="s">
        <v>206</v>
      </c>
      <c r="X166" s="310" t="s">
        <v>1290</v>
      </c>
      <c r="Y166" s="861" t="s">
        <v>869</v>
      </c>
      <c r="Z166" s="593" t="s">
        <v>869</v>
      </c>
      <c r="AA166" s="590">
        <v>44754</v>
      </c>
      <c r="AB166" s="310"/>
      <c r="AC166" s="310"/>
      <c r="AD166" s="351">
        <v>44604</v>
      </c>
      <c r="AE166" s="351"/>
      <c r="AF166" s="344">
        <v>44998</v>
      </c>
      <c r="AG166" s="521">
        <v>45299</v>
      </c>
      <c r="AH166" s="609">
        <v>45282</v>
      </c>
      <c r="AI166" s="84">
        <v>45119</v>
      </c>
      <c r="AJ166" s="3" t="s">
        <v>1501</v>
      </c>
      <c r="AK166" s="84">
        <v>45316</v>
      </c>
      <c r="AM166" s="3" t="s">
        <v>1558</v>
      </c>
      <c r="AN166" s="381"/>
    </row>
    <row r="167" spans="1:40" ht="13.35" customHeight="1" x14ac:dyDescent="0.25">
      <c r="A167" s="996">
        <v>166</v>
      </c>
      <c r="B167" s="311">
        <v>37116</v>
      </c>
      <c r="C167" s="310" t="s">
        <v>54</v>
      </c>
      <c r="D167" s="346" t="s">
        <v>1559</v>
      </c>
      <c r="E167" s="343" t="s">
        <v>1307</v>
      </c>
      <c r="F167" s="310" t="s">
        <v>1102</v>
      </c>
      <c r="G167" s="310" t="s">
        <v>14</v>
      </c>
      <c r="H167" s="336">
        <v>43542</v>
      </c>
      <c r="I167" s="310">
        <v>371</v>
      </c>
      <c r="J167" s="310" t="s">
        <v>58</v>
      </c>
      <c r="K167" s="491" t="s">
        <v>680</v>
      </c>
      <c r="L167" s="594">
        <v>44090</v>
      </c>
      <c r="M167" s="491" t="s">
        <v>60</v>
      </c>
      <c r="N167" s="495">
        <v>44512</v>
      </c>
      <c r="O167" s="343">
        <v>44998</v>
      </c>
      <c r="P167" s="344">
        <v>44723</v>
      </c>
      <c r="Q167" s="310" t="s">
        <v>1289</v>
      </c>
      <c r="R167" s="310" t="s">
        <v>206</v>
      </c>
      <c r="S167" s="310" t="s">
        <v>206</v>
      </c>
      <c r="T167" s="310" t="s">
        <v>206</v>
      </c>
      <c r="U167" s="310" t="s">
        <v>206</v>
      </c>
      <c r="V167" s="330" t="s">
        <v>62</v>
      </c>
      <c r="W167" s="310" t="s">
        <v>206</v>
      </c>
      <c r="X167" s="310" t="s">
        <v>1290</v>
      </c>
      <c r="Y167" s="861" t="s">
        <v>869</v>
      </c>
      <c r="Z167" s="593" t="s">
        <v>869</v>
      </c>
      <c r="AA167" s="590">
        <v>44754</v>
      </c>
      <c r="AB167" s="310"/>
      <c r="AC167" s="310"/>
      <c r="AD167" s="351">
        <v>44604</v>
      </c>
      <c r="AE167" s="351">
        <v>44632</v>
      </c>
      <c r="AF167" s="344">
        <v>44998</v>
      </c>
      <c r="AG167" s="521">
        <v>45299</v>
      </c>
      <c r="AH167" s="609">
        <v>45102</v>
      </c>
      <c r="AI167" s="84">
        <v>45119</v>
      </c>
      <c r="AJ167" s="3" t="s">
        <v>1501</v>
      </c>
      <c r="AK167" s="84">
        <v>45316</v>
      </c>
      <c r="AM167" s="3" t="s">
        <v>1558</v>
      </c>
    </row>
    <row r="168" spans="1:40" ht="13.35" customHeight="1" x14ac:dyDescent="0.25">
      <c r="A168" s="996">
        <v>167</v>
      </c>
      <c r="B168" s="311">
        <v>37120</v>
      </c>
      <c r="C168" s="310" t="s">
        <v>64</v>
      </c>
      <c r="D168" s="346" t="s">
        <v>1560</v>
      </c>
      <c r="E168" s="343" t="s">
        <v>1307</v>
      </c>
      <c r="F168" s="310" t="s">
        <v>1102</v>
      </c>
      <c r="G168" s="310" t="s">
        <v>14</v>
      </c>
      <c r="H168" s="336">
        <v>43547</v>
      </c>
      <c r="I168" s="310">
        <v>411</v>
      </c>
      <c r="J168" s="310" t="s">
        <v>58</v>
      </c>
      <c r="K168" s="491" t="s">
        <v>680</v>
      </c>
      <c r="L168" s="594">
        <v>44090</v>
      </c>
      <c r="M168" s="491" t="s">
        <v>60</v>
      </c>
      <c r="N168" s="495">
        <v>44459</v>
      </c>
      <c r="O168" s="343">
        <v>45118</v>
      </c>
      <c r="P168" s="343"/>
      <c r="Q168" s="310" t="s">
        <v>1289</v>
      </c>
      <c r="R168" s="310" t="s">
        <v>206</v>
      </c>
      <c r="S168" s="310" t="s">
        <v>206</v>
      </c>
      <c r="T168" s="310" t="s">
        <v>206</v>
      </c>
      <c r="U168" s="310" t="s">
        <v>206</v>
      </c>
      <c r="V168" s="330" t="s">
        <v>68</v>
      </c>
      <c r="W168" s="310" t="s">
        <v>206</v>
      </c>
      <c r="X168" s="310" t="s">
        <v>1290</v>
      </c>
      <c r="Y168" s="861" t="s">
        <v>869</v>
      </c>
      <c r="Z168" s="593" t="s">
        <v>869</v>
      </c>
      <c r="AA168" s="590">
        <v>44749</v>
      </c>
      <c r="AB168" s="310" t="s">
        <v>1561</v>
      </c>
      <c r="AC168" s="310"/>
      <c r="AD168" s="351">
        <v>44623</v>
      </c>
      <c r="AE168" s="351" t="s">
        <v>1297</v>
      </c>
      <c r="AF168" s="344">
        <v>45118</v>
      </c>
      <c r="AG168" s="521">
        <v>45477</v>
      </c>
      <c r="AH168" s="609">
        <v>45118</v>
      </c>
      <c r="AI168" s="84">
        <v>45118</v>
      </c>
      <c r="AJ168" s="3" t="s">
        <v>1501</v>
      </c>
      <c r="AK168" s="84">
        <v>45311</v>
      </c>
      <c r="AM168" s="84">
        <v>45483</v>
      </c>
      <c r="AN168" s="381"/>
    </row>
    <row r="169" spans="1:40" ht="13.35" customHeight="1" x14ac:dyDescent="0.25">
      <c r="A169" s="996">
        <v>168</v>
      </c>
      <c r="B169" s="311">
        <v>37120</v>
      </c>
      <c r="C169" s="310" t="s">
        <v>54</v>
      </c>
      <c r="D169" s="346" t="s">
        <v>1562</v>
      </c>
      <c r="E169" s="343" t="s">
        <v>1307</v>
      </c>
      <c r="F169" s="310" t="s">
        <v>1102</v>
      </c>
      <c r="G169" s="310" t="s">
        <v>14</v>
      </c>
      <c r="H169" s="336">
        <v>43547</v>
      </c>
      <c r="I169" s="310">
        <v>343</v>
      </c>
      <c r="J169" s="310" t="s">
        <v>58</v>
      </c>
      <c r="K169" s="491" t="s">
        <v>680</v>
      </c>
      <c r="L169" s="594">
        <v>44090</v>
      </c>
      <c r="M169" s="491" t="s">
        <v>60</v>
      </c>
      <c r="N169" s="495">
        <v>44459</v>
      </c>
      <c r="O169" s="343">
        <v>45118</v>
      </c>
      <c r="P169" s="343"/>
      <c r="Q169" s="310" t="s">
        <v>1289</v>
      </c>
      <c r="R169" s="310" t="s">
        <v>206</v>
      </c>
      <c r="S169" s="310" t="s">
        <v>206</v>
      </c>
      <c r="T169" s="310" t="s">
        <v>206</v>
      </c>
      <c r="U169" s="310" t="s">
        <v>206</v>
      </c>
      <c r="V169" s="330" t="s">
        <v>62</v>
      </c>
      <c r="W169" s="310" t="s">
        <v>206</v>
      </c>
      <c r="X169" s="310" t="s">
        <v>1290</v>
      </c>
      <c r="Y169" s="861" t="s">
        <v>869</v>
      </c>
      <c r="Z169" s="593" t="s">
        <v>869</v>
      </c>
      <c r="AA169" s="590">
        <v>44749</v>
      </c>
      <c r="AB169" s="310" t="s">
        <v>1563</v>
      </c>
      <c r="AC169" s="310"/>
      <c r="AD169" s="351">
        <v>44623</v>
      </c>
      <c r="AE169" s="351" t="s">
        <v>1297</v>
      </c>
      <c r="AF169" s="344">
        <v>45118</v>
      </c>
      <c r="AG169" s="521">
        <v>45477</v>
      </c>
      <c r="AH169" s="609">
        <v>45118</v>
      </c>
      <c r="AI169" s="251">
        <v>45118</v>
      </c>
      <c r="AJ169" s="3" t="s">
        <v>1501</v>
      </c>
      <c r="AK169" s="84">
        <v>45311</v>
      </c>
      <c r="AM169" s="84">
        <v>45483</v>
      </c>
    </row>
    <row r="170" spans="1:40" ht="13.35" customHeight="1" x14ac:dyDescent="0.25">
      <c r="A170" s="996">
        <v>169</v>
      </c>
      <c r="B170" s="311">
        <v>37168</v>
      </c>
      <c r="C170" s="310" t="s">
        <v>64</v>
      </c>
      <c r="D170" s="346" t="s">
        <v>1564</v>
      </c>
      <c r="E170" s="343" t="s">
        <v>1307</v>
      </c>
      <c r="F170" s="310" t="s">
        <v>1102</v>
      </c>
      <c r="G170" s="310" t="s">
        <v>14</v>
      </c>
      <c r="H170" s="350">
        <v>43599</v>
      </c>
      <c r="I170" s="310">
        <v>446</v>
      </c>
      <c r="J170" s="310" t="s">
        <v>58</v>
      </c>
      <c r="K170" s="491" t="s">
        <v>680</v>
      </c>
      <c r="L170" s="594">
        <v>44112</v>
      </c>
      <c r="M170" s="491" t="s">
        <v>60</v>
      </c>
      <c r="N170" s="495">
        <v>44312</v>
      </c>
      <c r="O170" s="337">
        <v>44973</v>
      </c>
      <c r="P170" s="344">
        <v>44741</v>
      </c>
      <c r="Q170" s="310" t="s">
        <v>1289</v>
      </c>
      <c r="R170" s="310" t="s">
        <v>206</v>
      </c>
      <c r="S170" s="310" t="s">
        <v>206</v>
      </c>
      <c r="T170" s="310" t="s">
        <v>206</v>
      </c>
      <c r="U170" s="310" t="s">
        <v>206</v>
      </c>
      <c r="V170" s="330" t="s">
        <v>68</v>
      </c>
      <c r="W170" s="310" t="s">
        <v>206</v>
      </c>
      <c r="X170" s="310" t="s">
        <v>1309</v>
      </c>
      <c r="Y170" s="861" t="s">
        <v>869</v>
      </c>
      <c r="Z170" s="593" t="s">
        <v>869</v>
      </c>
      <c r="AA170" s="590">
        <v>44761</v>
      </c>
      <c r="AB170" s="310"/>
      <c r="AC170" s="310"/>
      <c r="AD170" s="351">
        <v>44599</v>
      </c>
      <c r="AE170" s="351"/>
      <c r="AF170" s="344">
        <v>44737</v>
      </c>
      <c r="AG170" s="521">
        <v>45474</v>
      </c>
      <c r="AH170" s="609">
        <v>45176</v>
      </c>
      <c r="AI170" s="84">
        <v>45176</v>
      </c>
      <c r="AJ170" s="3" t="s">
        <v>1501</v>
      </c>
      <c r="AK170" s="84">
        <v>45330</v>
      </c>
      <c r="AM170" s="3" t="s">
        <v>1565</v>
      </c>
      <c r="AN170" s="381"/>
    </row>
    <row r="171" spans="1:40" ht="13.35" customHeight="1" x14ac:dyDescent="0.25">
      <c r="A171" s="996">
        <v>170</v>
      </c>
      <c r="B171" s="311">
        <v>37168</v>
      </c>
      <c r="C171" s="310" t="s">
        <v>54</v>
      </c>
      <c r="D171" s="346" t="s">
        <v>1566</v>
      </c>
      <c r="E171" s="343" t="s">
        <v>1307</v>
      </c>
      <c r="F171" s="310" t="s">
        <v>1102</v>
      </c>
      <c r="G171" s="310" t="s">
        <v>14</v>
      </c>
      <c r="H171" s="350">
        <v>43599</v>
      </c>
      <c r="I171" s="310">
        <v>447</v>
      </c>
      <c r="J171" s="310" t="s">
        <v>58</v>
      </c>
      <c r="K171" s="491" t="s">
        <v>680</v>
      </c>
      <c r="L171" s="594">
        <v>44112</v>
      </c>
      <c r="M171" s="491" t="s">
        <v>60</v>
      </c>
      <c r="N171" s="495">
        <v>44522</v>
      </c>
      <c r="O171" s="337">
        <v>44973</v>
      </c>
      <c r="P171" s="344">
        <v>44741</v>
      </c>
      <c r="Q171" s="310" t="s">
        <v>1289</v>
      </c>
      <c r="R171" s="310" t="s">
        <v>206</v>
      </c>
      <c r="S171" s="310" t="s">
        <v>206</v>
      </c>
      <c r="T171" s="310" t="s">
        <v>206</v>
      </c>
      <c r="U171" s="310" t="s">
        <v>206</v>
      </c>
      <c r="V171" s="330" t="s">
        <v>62</v>
      </c>
      <c r="W171" s="310" t="s">
        <v>206</v>
      </c>
      <c r="X171" s="310" t="s">
        <v>1309</v>
      </c>
      <c r="Y171" s="861" t="s">
        <v>869</v>
      </c>
      <c r="Z171" s="593" t="s">
        <v>869</v>
      </c>
      <c r="AA171" s="590">
        <v>44761</v>
      </c>
      <c r="AB171" s="310"/>
      <c r="AC171" s="310"/>
      <c r="AD171" s="351">
        <v>44599</v>
      </c>
      <c r="AE171" s="351"/>
      <c r="AF171" s="344">
        <v>44737</v>
      </c>
      <c r="AG171" s="521">
        <v>45474</v>
      </c>
      <c r="AH171" s="609">
        <v>45176</v>
      </c>
      <c r="AI171" s="84">
        <v>45176</v>
      </c>
      <c r="AJ171" s="3" t="s">
        <v>1501</v>
      </c>
      <c r="AK171" s="84">
        <v>45330</v>
      </c>
      <c r="AM171" s="3" t="s">
        <v>1565</v>
      </c>
    </row>
    <row r="172" spans="1:40" ht="13.35" customHeight="1" x14ac:dyDescent="0.25">
      <c r="A172" s="996">
        <v>171</v>
      </c>
      <c r="B172" s="311">
        <v>37169</v>
      </c>
      <c r="C172" s="310" t="s">
        <v>64</v>
      </c>
      <c r="D172" s="346" t="s">
        <v>1567</v>
      </c>
      <c r="E172" s="343" t="s">
        <v>1307</v>
      </c>
      <c r="F172" s="310" t="s">
        <v>1102</v>
      </c>
      <c r="G172" s="310" t="s">
        <v>14</v>
      </c>
      <c r="H172" s="350">
        <v>43599</v>
      </c>
      <c r="I172" s="310">
        <v>436</v>
      </c>
      <c r="J172" s="310" t="s">
        <v>58</v>
      </c>
      <c r="K172" s="491" t="s">
        <v>680</v>
      </c>
      <c r="L172" s="594">
        <v>44056</v>
      </c>
      <c r="M172" s="491" t="s">
        <v>60</v>
      </c>
      <c r="N172" s="495">
        <v>44494</v>
      </c>
      <c r="O172" s="343">
        <v>44988</v>
      </c>
      <c r="P172" s="344">
        <v>44720</v>
      </c>
      <c r="Q172" s="310" t="s">
        <v>1289</v>
      </c>
      <c r="R172" s="310" t="s">
        <v>206</v>
      </c>
      <c r="S172" s="310" t="s">
        <v>206</v>
      </c>
      <c r="T172" s="310" t="s">
        <v>206</v>
      </c>
      <c r="U172" s="310" t="s">
        <v>206</v>
      </c>
      <c r="V172" s="330" t="s">
        <v>68</v>
      </c>
      <c r="W172" s="310" t="s">
        <v>206</v>
      </c>
      <c r="X172" s="310" t="s">
        <v>1290</v>
      </c>
      <c r="Y172" s="861" t="s">
        <v>869</v>
      </c>
      <c r="Z172" s="593" t="s">
        <v>869</v>
      </c>
      <c r="AA172" s="590">
        <v>44762</v>
      </c>
      <c r="AB172" s="310"/>
      <c r="AC172" s="310"/>
      <c r="AD172" s="351">
        <v>44586</v>
      </c>
      <c r="AE172" s="351"/>
      <c r="AF172" s="344">
        <v>44763</v>
      </c>
      <c r="AG172" s="521">
        <v>45476</v>
      </c>
      <c r="AH172" s="609">
        <v>45159</v>
      </c>
      <c r="AI172" s="52">
        <v>45158</v>
      </c>
      <c r="AJ172" s="3" t="s">
        <v>1501</v>
      </c>
      <c r="AK172" s="84">
        <v>45463</v>
      </c>
      <c r="AM172" s="3" t="s">
        <v>1568</v>
      </c>
      <c r="AN172" s="381"/>
    </row>
    <row r="173" spans="1:40" ht="13.35" customHeight="1" x14ac:dyDescent="0.25">
      <c r="A173" s="996">
        <v>172</v>
      </c>
      <c r="B173" s="311">
        <v>37169</v>
      </c>
      <c r="C173" s="310" t="s">
        <v>54</v>
      </c>
      <c r="D173" s="346" t="s">
        <v>1569</v>
      </c>
      <c r="E173" s="343" t="s">
        <v>1307</v>
      </c>
      <c r="F173" s="310" t="s">
        <v>1102</v>
      </c>
      <c r="G173" s="310" t="s">
        <v>14</v>
      </c>
      <c r="H173" s="350">
        <v>43599</v>
      </c>
      <c r="I173" s="310">
        <v>448</v>
      </c>
      <c r="J173" s="310" t="s">
        <v>58</v>
      </c>
      <c r="K173" s="491" t="s">
        <v>680</v>
      </c>
      <c r="L173" s="594">
        <v>44056</v>
      </c>
      <c r="M173" s="491" t="s">
        <v>60</v>
      </c>
      <c r="N173" s="495">
        <v>44494</v>
      </c>
      <c r="O173" s="343">
        <v>44988</v>
      </c>
      <c r="P173" s="344">
        <v>44720</v>
      </c>
      <c r="Q173" s="310" t="s">
        <v>1289</v>
      </c>
      <c r="R173" s="310" t="s">
        <v>206</v>
      </c>
      <c r="S173" s="310" t="s">
        <v>206</v>
      </c>
      <c r="T173" s="310" t="s">
        <v>206</v>
      </c>
      <c r="U173" s="310" t="s">
        <v>206</v>
      </c>
      <c r="V173" s="330" t="s">
        <v>62</v>
      </c>
      <c r="W173" s="310" t="s">
        <v>206</v>
      </c>
      <c r="X173" s="310" t="s">
        <v>1290</v>
      </c>
      <c r="Y173" s="861" t="s">
        <v>869</v>
      </c>
      <c r="Z173" s="593" t="s">
        <v>869</v>
      </c>
      <c r="AA173" s="590">
        <v>44762</v>
      </c>
      <c r="AB173" s="310"/>
      <c r="AC173" s="310"/>
      <c r="AD173" s="351">
        <v>44586</v>
      </c>
      <c r="AE173" s="351"/>
      <c r="AF173" s="344">
        <v>44763</v>
      </c>
      <c r="AG173" s="521">
        <v>45476</v>
      </c>
      <c r="AH173" s="609">
        <v>45159</v>
      </c>
      <c r="AI173" s="52">
        <v>45158</v>
      </c>
      <c r="AJ173" s="3" t="s">
        <v>1501</v>
      </c>
      <c r="AK173" s="84">
        <v>45463</v>
      </c>
      <c r="AM173" s="3" t="s">
        <v>1568</v>
      </c>
    </row>
    <row r="174" spans="1:40" ht="13.35" customHeight="1" x14ac:dyDescent="0.25">
      <c r="A174" s="996">
        <v>173</v>
      </c>
      <c r="B174" s="311">
        <v>37181</v>
      </c>
      <c r="C174" s="310" t="s">
        <v>64</v>
      </c>
      <c r="D174" s="346" t="s">
        <v>1570</v>
      </c>
      <c r="E174" s="343" t="s">
        <v>1307</v>
      </c>
      <c r="F174" s="310" t="s">
        <v>1102</v>
      </c>
      <c r="G174" s="310" t="s">
        <v>14</v>
      </c>
      <c r="H174" s="336">
        <v>43608</v>
      </c>
      <c r="I174" s="310">
        <v>464</v>
      </c>
      <c r="J174" s="310" t="s">
        <v>58</v>
      </c>
      <c r="K174" s="491" t="s">
        <v>680</v>
      </c>
      <c r="L174" s="594">
        <v>44207</v>
      </c>
      <c r="M174" s="491" t="s">
        <v>60</v>
      </c>
      <c r="N174" s="495">
        <v>44452</v>
      </c>
      <c r="O174" s="343">
        <v>44960</v>
      </c>
      <c r="P174" s="314"/>
      <c r="Q174" s="310" t="s">
        <v>1289</v>
      </c>
      <c r="R174" s="310" t="s">
        <v>206</v>
      </c>
      <c r="S174" s="310" t="s">
        <v>206</v>
      </c>
      <c r="T174" s="310" t="s">
        <v>206</v>
      </c>
      <c r="U174" s="310" t="s">
        <v>206</v>
      </c>
      <c r="V174" s="330" t="s">
        <v>68</v>
      </c>
      <c r="W174" s="310" t="s">
        <v>63</v>
      </c>
      <c r="X174" s="310" t="s">
        <v>1428</v>
      </c>
      <c r="Y174" s="861" t="s">
        <v>869</v>
      </c>
      <c r="Z174" s="593" t="s">
        <v>869</v>
      </c>
      <c r="AA174" s="590">
        <v>44780</v>
      </c>
      <c r="AB174" s="310"/>
      <c r="AC174" s="310"/>
      <c r="AD174" s="351">
        <v>44589</v>
      </c>
      <c r="AE174" s="351"/>
      <c r="AF174" s="344">
        <v>44980</v>
      </c>
      <c r="AG174" s="521">
        <v>45474</v>
      </c>
      <c r="AH174" s="988">
        <v>45121</v>
      </c>
      <c r="AI174" s="251">
        <v>45121</v>
      </c>
      <c r="AJ174" s="3" t="s">
        <v>1501</v>
      </c>
      <c r="AK174" s="84">
        <v>45338</v>
      </c>
      <c r="AL174" s="84">
        <v>45366</v>
      </c>
      <c r="AM174" s="84">
        <v>45388</v>
      </c>
    </row>
    <row r="175" spans="1:40" ht="13.35" customHeight="1" x14ac:dyDescent="0.25">
      <c r="A175" s="996">
        <v>174</v>
      </c>
      <c r="B175" s="311">
        <v>37181</v>
      </c>
      <c r="C175" s="310" t="s">
        <v>54</v>
      </c>
      <c r="D175" s="346" t="s">
        <v>1571</v>
      </c>
      <c r="E175" s="343" t="s">
        <v>1307</v>
      </c>
      <c r="F175" s="310" t="s">
        <v>1102</v>
      </c>
      <c r="G175" s="310" t="s">
        <v>14</v>
      </c>
      <c r="H175" s="336">
        <v>43608</v>
      </c>
      <c r="I175" s="310">
        <v>465</v>
      </c>
      <c r="J175" s="310" t="s">
        <v>58</v>
      </c>
      <c r="K175" s="491" t="s">
        <v>680</v>
      </c>
      <c r="L175" s="594">
        <v>44207</v>
      </c>
      <c r="M175" s="491" t="s">
        <v>60</v>
      </c>
      <c r="N175" s="495">
        <v>44452</v>
      </c>
      <c r="O175" s="343">
        <v>44960</v>
      </c>
      <c r="P175" s="314"/>
      <c r="Q175" s="310" t="s">
        <v>1289</v>
      </c>
      <c r="R175" s="310" t="s">
        <v>206</v>
      </c>
      <c r="S175" s="310" t="s">
        <v>206</v>
      </c>
      <c r="T175" s="310" t="s">
        <v>206</v>
      </c>
      <c r="U175" s="310" t="s">
        <v>206</v>
      </c>
      <c r="V175" s="330" t="s">
        <v>62</v>
      </c>
      <c r="W175" s="310" t="s">
        <v>63</v>
      </c>
      <c r="X175" s="310" t="s">
        <v>1428</v>
      </c>
      <c r="Y175" s="861" t="s">
        <v>869</v>
      </c>
      <c r="Z175" s="593" t="s">
        <v>869</v>
      </c>
      <c r="AA175" s="590">
        <v>44780</v>
      </c>
      <c r="AB175" s="310"/>
      <c r="AC175" s="310"/>
      <c r="AD175" s="351">
        <v>44589</v>
      </c>
      <c r="AE175" s="351"/>
      <c r="AF175" s="344">
        <v>44980</v>
      </c>
      <c r="AG175" s="521">
        <v>45474</v>
      </c>
      <c r="AH175" s="988">
        <v>45121</v>
      </c>
      <c r="AI175" s="84">
        <v>45121</v>
      </c>
      <c r="AJ175" s="3" t="s">
        <v>1501</v>
      </c>
      <c r="AK175" s="84">
        <v>45338</v>
      </c>
      <c r="AL175" s="84">
        <v>45366</v>
      </c>
      <c r="AM175" s="84">
        <v>45388</v>
      </c>
    </row>
    <row r="176" spans="1:40" ht="13.35" customHeight="1" x14ac:dyDescent="0.25">
      <c r="A176" s="996">
        <v>175</v>
      </c>
      <c r="B176" s="311">
        <v>37182</v>
      </c>
      <c r="C176" s="310" t="s">
        <v>64</v>
      </c>
      <c r="D176" s="346" t="s">
        <v>1572</v>
      </c>
      <c r="E176" s="343" t="s">
        <v>1307</v>
      </c>
      <c r="F176" s="310" t="s">
        <v>1102</v>
      </c>
      <c r="G176" s="310" t="s">
        <v>14</v>
      </c>
      <c r="H176" s="336">
        <v>43609</v>
      </c>
      <c r="I176" s="310">
        <v>452</v>
      </c>
      <c r="J176" s="310" t="s">
        <v>58</v>
      </c>
      <c r="K176" s="491" t="s">
        <v>680</v>
      </c>
      <c r="L176" s="594">
        <v>44160</v>
      </c>
      <c r="M176" s="491" t="s">
        <v>60</v>
      </c>
      <c r="N176" s="495">
        <v>44438</v>
      </c>
      <c r="O176" s="343">
        <v>44964</v>
      </c>
      <c r="P176" s="314"/>
      <c r="Q176" s="310" t="s">
        <v>1289</v>
      </c>
      <c r="R176" s="310" t="s">
        <v>206</v>
      </c>
      <c r="S176" s="310" t="s">
        <v>206</v>
      </c>
      <c r="T176" s="310" t="s">
        <v>206</v>
      </c>
      <c r="U176" s="310" t="s">
        <v>206</v>
      </c>
      <c r="V176" s="588" t="s">
        <v>68</v>
      </c>
      <c r="W176" s="310" t="s">
        <v>63</v>
      </c>
      <c r="X176" s="310" t="s">
        <v>1309</v>
      </c>
      <c r="Y176" s="861" t="s">
        <v>869</v>
      </c>
      <c r="Z176" s="593" t="s">
        <v>869</v>
      </c>
      <c r="AA176" s="590">
        <v>44755</v>
      </c>
      <c r="AB176" s="310"/>
      <c r="AC176" s="310" t="s">
        <v>1573</v>
      </c>
      <c r="AD176" s="351">
        <v>44592</v>
      </c>
      <c r="AE176" s="351"/>
      <c r="AF176" s="344">
        <v>45177</v>
      </c>
      <c r="AG176" s="521">
        <v>45464</v>
      </c>
      <c r="AH176" s="988">
        <v>45090</v>
      </c>
      <c r="AI176" s="251">
        <v>45090</v>
      </c>
      <c r="AJ176" s="3" t="s">
        <v>1501</v>
      </c>
      <c r="AK176" s="84">
        <v>45435</v>
      </c>
      <c r="AL176" s="3"/>
      <c r="AM176" s="84">
        <v>45333</v>
      </c>
    </row>
    <row r="177" spans="1:40" ht="13.35" customHeight="1" x14ac:dyDescent="0.25">
      <c r="A177" s="996">
        <v>176</v>
      </c>
      <c r="B177" s="311">
        <v>37182</v>
      </c>
      <c r="C177" s="310" t="s">
        <v>54</v>
      </c>
      <c r="D177" s="346" t="s">
        <v>1574</v>
      </c>
      <c r="E177" s="343" t="s">
        <v>1307</v>
      </c>
      <c r="F177" s="310" t="s">
        <v>1102</v>
      </c>
      <c r="G177" s="310" t="s">
        <v>14</v>
      </c>
      <c r="H177" s="336">
        <v>43609</v>
      </c>
      <c r="I177" s="310">
        <v>453</v>
      </c>
      <c r="J177" s="310" t="s">
        <v>58</v>
      </c>
      <c r="K177" s="491" t="s">
        <v>680</v>
      </c>
      <c r="L177" s="594">
        <v>44160</v>
      </c>
      <c r="M177" s="491" t="s">
        <v>60</v>
      </c>
      <c r="N177" s="495">
        <v>44438</v>
      </c>
      <c r="O177" s="343">
        <v>44964</v>
      </c>
      <c r="P177" s="314"/>
      <c r="Q177" s="310" t="s">
        <v>1289</v>
      </c>
      <c r="R177" s="310" t="s">
        <v>206</v>
      </c>
      <c r="S177" s="310" t="s">
        <v>206</v>
      </c>
      <c r="T177" s="310" t="s">
        <v>206</v>
      </c>
      <c r="U177" s="310" t="s">
        <v>206</v>
      </c>
      <c r="V177" s="346" t="s">
        <v>62</v>
      </c>
      <c r="W177" s="310" t="s">
        <v>63</v>
      </c>
      <c r="X177" s="310" t="s">
        <v>1309</v>
      </c>
      <c r="Y177" s="861" t="s">
        <v>869</v>
      </c>
      <c r="Z177" s="593" t="s">
        <v>869</v>
      </c>
      <c r="AA177" s="590">
        <v>44755</v>
      </c>
      <c r="AB177" s="310"/>
      <c r="AC177" s="310"/>
      <c r="AD177" s="351">
        <v>44592</v>
      </c>
      <c r="AE177" s="351"/>
      <c r="AF177" s="344">
        <v>45177</v>
      </c>
      <c r="AG177" s="521">
        <v>45464</v>
      </c>
      <c r="AH177" s="988">
        <v>45090</v>
      </c>
      <c r="AI177" s="251">
        <v>45090</v>
      </c>
      <c r="AJ177" s="3" t="s">
        <v>1501</v>
      </c>
      <c r="AK177" s="84">
        <v>45435</v>
      </c>
      <c r="AL177" s="3"/>
      <c r="AM177" s="84">
        <v>45333</v>
      </c>
    </row>
    <row r="178" spans="1:40" ht="13.35" customHeight="1" x14ac:dyDescent="0.25">
      <c r="A178" s="996">
        <v>177</v>
      </c>
      <c r="B178" s="311">
        <v>37185</v>
      </c>
      <c r="C178" s="310" t="s">
        <v>64</v>
      </c>
      <c r="D178" s="346" t="s">
        <v>1575</v>
      </c>
      <c r="E178" s="343" t="s">
        <v>1307</v>
      </c>
      <c r="F178" s="310" t="s">
        <v>1102</v>
      </c>
      <c r="G178" s="310" t="s">
        <v>14</v>
      </c>
      <c r="H178" s="336">
        <v>43610</v>
      </c>
      <c r="I178" s="310">
        <v>467</v>
      </c>
      <c r="J178" s="310" t="s">
        <v>58</v>
      </c>
      <c r="K178" s="491" t="s">
        <v>680</v>
      </c>
      <c r="L178" s="594">
        <v>44061</v>
      </c>
      <c r="M178" s="491" t="s">
        <v>60</v>
      </c>
      <c r="N178" s="495">
        <v>44446</v>
      </c>
      <c r="O178" s="337">
        <v>44645</v>
      </c>
      <c r="P178" s="344">
        <v>45400</v>
      </c>
      <c r="Q178" s="310" t="s">
        <v>1289</v>
      </c>
      <c r="R178" s="310" t="s">
        <v>1496</v>
      </c>
      <c r="S178" s="310" t="s">
        <v>206</v>
      </c>
      <c r="T178" s="310" t="s">
        <v>206</v>
      </c>
      <c r="U178" s="310" t="s">
        <v>206</v>
      </c>
      <c r="V178" s="309" t="s">
        <v>206</v>
      </c>
      <c r="W178" s="310" t="s">
        <v>206</v>
      </c>
      <c r="X178" s="310" t="s">
        <v>1290</v>
      </c>
      <c r="Y178" s="861" t="s">
        <v>869</v>
      </c>
      <c r="Z178" s="593" t="s">
        <v>869</v>
      </c>
      <c r="AA178" s="590">
        <v>44743</v>
      </c>
      <c r="AB178" s="310"/>
      <c r="AC178" s="310"/>
      <c r="AD178" s="351">
        <v>44586</v>
      </c>
      <c r="AE178" s="351"/>
      <c r="AF178" s="344">
        <v>44740</v>
      </c>
      <c r="AG178" s="521" t="s">
        <v>1525</v>
      </c>
      <c r="AH178" s="988">
        <v>45090</v>
      </c>
      <c r="AI178" s="251">
        <v>45090</v>
      </c>
      <c r="AJ178" s="3" t="s">
        <v>1501</v>
      </c>
      <c r="AK178" s="84">
        <v>45400</v>
      </c>
      <c r="AL178" s="84">
        <v>45363</v>
      </c>
      <c r="AM178" s="84">
        <v>45546</v>
      </c>
    </row>
    <row r="179" spans="1:40" ht="13.35" customHeight="1" x14ac:dyDescent="0.25">
      <c r="A179" s="996">
        <v>178</v>
      </c>
      <c r="B179" s="311">
        <v>37185</v>
      </c>
      <c r="C179" s="310" t="s">
        <v>54</v>
      </c>
      <c r="D179" s="346" t="s">
        <v>1576</v>
      </c>
      <c r="E179" s="343" t="s">
        <v>1307</v>
      </c>
      <c r="F179" s="310" t="s">
        <v>1102</v>
      </c>
      <c r="G179" s="310" t="s">
        <v>14</v>
      </c>
      <c r="H179" s="336">
        <v>43610</v>
      </c>
      <c r="I179" s="310">
        <v>461</v>
      </c>
      <c r="J179" s="310" t="s">
        <v>58</v>
      </c>
      <c r="K179" s="491" t="s">
        <v>680</v>
      </c>
      <c r="L179" s="594">
        <v>44061</v>
      </c>
      <c r="M179" s="491" t="s">
        <v>60</v>
      </c>
      <c r="N179" s="495">
        <v>44446</v>
      </c>
      <c r="O179" s="337">
        <v>44645</v>
      </c>
      <c r="P179" s="344">
        <v>45400</v>
      </c>
      <c r="Q179" s="310" t="s">
        <v>1289</v>
      </c>
      <c r="R179" s="310" t="s">
        <v>1496</v>
      </c>
      <c r="S179" s="310" t="s">
        <v>206</v>
      </c>
      <c r="T179" s="310" t="s">
        <v>206</v>
      </c>
      <c r="U179" s="310" t="s">
        <v>206</v>
      </c>
      <c r="V179" s="330" t="s">
        <v>62</v>
      </c>
      <c r="W179" s="310" t="s">
        <v>206</v>
      </c>
      <c r="X179" s="609" t="s">
        <v>1244</v>
      </c>
      <c r="Y179" s="861" t="s">
        <v>869</v>
      </c>
      <c r="Z179" s="593" t="s">
        <v>869</v>
      </c>
      <c r="AA179" s="590">
        <v>44743</v>
      </c>
      <c r="AB179" s="310"/>
      <c r="AC179" s="310"/>
      <c r="AD179" s="351">
        <v>44586</v>
      </c>
      <c r="AE179" s="351"/>
      <c r="AF179" s="344">
        <v>44740</v>
      </c>
      <c r="AG179" s="521" t="s">
        <v>1525</v>
      </c>
      <c r="AH179" s="988">
        <v>45090</v>
      </c>
      <c r="AI179" s="251">
        <v>45090</v>
      </c>
      <c r="AJ179" s="3" t="s">
        <v>1501</v>
      </c>
      <c r="AK179" s="84">
        <v>45400</v>
      </c>
      <c r="AL179" s="84">
        <v>45363</v>
      </c>
      <c r="AM179" s="84">
        <v>45546</v>
      </c>
    </row>
    <row r="180" spans="1:40" ht="13.35" customHeight="1" x14ac:dyDescent="0.25">
      <c r="A180" s="996">
        <v>179</v>
      </c>
      <c r="B180" s="311">
        <v>37244</v>
      </c>
      <c r="C180" s="310" t="s">
        <v>64</v>
      </c>
      <c r="D180" s="346" t="s">
        <v>1577</v>
      </c>
      <c r="E180" s="343" t="s">
        <v>1307</v>
      </c>
      <c r="F180" s="310" t="s">
        <v>1102</v>
      </c>
      <c r="G180" s="310" t="s">
        <v>14</v>
      </c>
      <c r="H180" s="336">
        <v>43732</v>
      </c>
      <c r="I180" s="310">
        <v>553</v>
      </c>
      <c r="J180" s="310" t="s">
        <v>58</v>
      </c>
      <c r="K180" s="491" t="s">
        <v>680</v>
      </c>
      <c r="L180" s="594">
        <v>44021</v>
      </c>
      <c r="M180" s="491" t="s">
        <v>60</v>
      </c>
      <c r="N180" s="495">
        <v>44453</v>
      </c>
      <c r="O180" s="337">
        <v>45106</v>
      </c>
      <c r="P180" s="344">
        <v>44641</v>
      </c>
      <c r="Q180" s="310" t="s">
        <v>1289</v>
      </c>
      <c r="R180" s="310" t="s">
        <v>1496</v>
      </c>
      <c r="S180" s="525" t="s">
        <v>63</v>
      </c>
      <c r="T180" s="310" t="s">
        <v>206</v>
      </c>
      <c r="U180" s="310" t="s">
        <v>206</v>
      </c>
      <c r="V180" s="588" t="s">
        <v>68</v>
      </c>
      <c r="W180" s="310" t="s">
        <v>63</v>
      </c>
      <c r="X180" s="310" t="s">
        <v>1309</v>
      </c>
      <c r="Y180" s="861" t="s">
        <v>869</v>
      </c>
      <c r="Z180" s="593" t="s">
        <v>869</v>
      </c>
      <c r="AA180" s="590">
        <v>44626</v>
      </c>
      <c r="AB180" s="310"/>
      <c r="AC180" s="310"/>
      <c r="AD180" s="351">
        <v>44626</v>
      </c>
      <c r="AE180" s="351"/>
      <c r="AF180" s="344">
        <v>44972</v>
      </c>
      <c r="AG180" s="521">
        <v>45471</v>
      </c>
      <c r="AH180" s="988">
        <v>45106</v>
      </c>
      <c r="AI180" s="519">
        <v>45146</v>
      </c>
      <c r="AJ180" s="3" t="s">
        <v>1501</v>
      </c>
      <c r="AK180" s="84">
        <v>45489</v>
      </c>
      <c r="AL180" s="84">
        <v>45366</v>
      </c>
      <c r="AM180" s="84">
        <v>45333</v>
      </c>
      <c r="AN180" s="3" t="s">
        <v>1578</v>
      </c>
    </row>
    <row r="181" spans="1:40" ht="13.35" customHeight="1" x14ac:dyDescent="0.25">
      <c r="A181" s="996">
        <v>180</v>
      </c>
      <c r="B181" s="1035">
        <v>37244</v>
      </c>
      <c r="C181" s="861" t="s">
        <v>54</v>
      </c>
      <c r="D181" s="884" t="s">
        <v>1579</v>
      </c>
      <c r="E181" s="865" t="s">
        <v>1307</v>
      </c>
      <c r="F181" s="861" t="s">
        <v>1102</v>
      </c>
      <c r="G181" s="861" t="s">
        <v>14</v>
      </c>
      <c r="H181" s="1030">
        <v>43732</v>
      </c>
      <c r="I181" s="861">
        <v>552</v>
      </c>
      <c r="J181" s="861" t="s">
        <v>58</v>
      </c>
      <c r="K181" s="862" t="s">
        <v>680</v>
      </c>
      <c r="L181" s="1034">
        <v>44021</v>
      </c>
      <c r="M181" s="862" t="s">
        <v>60</v>
      </c>
      <c r="N181" s="864">
        <v>44453</v>
      </c>
      <c r="O181" s="1038">
        <v>45106</v>
      </c>
      <c r="P181" s="1031">
        <v>44641</v>
      </c>
      <c r="Q181" s="310" t="s">
        <v>1289</v>
      </c>
      <c r="R181" s="861" t="s">
        <v>1496</v>
      </c>
      <c r="S181" s="525" t="s">
        <v>63</v>
      </c>
      <c r="T181" s="861" t="s">
        <v>206</v>
      </c>
      <c r="U181" s="861" t="s">
        <v>206</v>
      </c>
      <c r="V181" s="346" t="s">
        <v>62</v>
      </c>
      <c r="W181" s="861" t="s">
        <v>63</v>
      </c>
      <c r="X181" s="861" t="s">
        <v>1309</v>
      </c>
      <c r="Y181" s="861" t="s">
        <v>869</v>
      </c>
      <c r="Z181" s="867" t="s">
        <v>869</v>
      </c>
      <c r="AA181" s="1039">
        <v>44626</v>
      </c>
      <c r="AB181" s="861"/>
      <c r="AC181" s="861"/>
      <c r="AD181" s="880">
        <v>44626</v>
      </c>
      <c r="AE181" s="880"/>
      <c r="AF181" s="1031">
        <v>44972</v>
      </c>
      <c r="AG181" s="869">
        <v>45471</v>
      </c>
      <c r="AH181" s="1040">
        <v>45106</v>
      </c>
      <c r="AI181" s="878">
        <v>45146</v>
      </c>
      <c r="AJ181" s="115" t="s">
        <v>1501</v>
      </c>
      <c r="AK181" s="876">
        <v>45489</v>
      </c>
      <c r="AL181" s="876">
        <v>45366</v>
      </c>
      <c r="AM181" s="876">
        <v>45333</v>
      </c>
      <c r="AN181" s="3"/>
    </row>
    <row r="182" spans="1:40" ht="13.35" customHeight="1" x14ac:dyDescent="0.25">
      <c r="A182" s="996">
        <v>181</v>
      </c>
      <c r="B182" s="311">
        <v>37246</v>
      </c>
      <c r="C182" s="310" t="s">
        <v>64</v>
      </c>
      <c r="D182" s="346" t="s">
        <v>868</v>
      </c>
      <c r="E182" s="343" t="s">
        <v>1307</v>
      </c>
      <c r="F182" s="310" t="s">
        <v>1102</v>
      </c>
      <c r="G182" s="310" t="s">
        <v>14</v>
      </c>
      <c r="H182" s="336">
        <v>43728</v>
      </c>
      <c r="I182" s="310">
        <v>610</v>
      </c>
      <c r="J182" s="310" t="s">
        <v>58</v>
      </c>
      <c r="K182" s="491" t="s">
        <v>680</v>
      </c>
      <c r="L182" s="495">
        <v>44147</v>
      </c>
      <c r="M182" s="491" t="s">
        <v>60</v>
      </c>
      <c r="N182" s="495">
        <v>44525</v>
      </c>
      <c r="O182" s="343">
        <v>44958</v>
      </c>
      <c r="P182" s="344">
        <v>44720</v>
      </c>
      <c r="Q182" s="310" t="s">
        <v>1289</v>
      </c>
      <c r="R182" s="310" t="s">
        <v>1496</v>
      </c>
      <c r="S182" s="310" t="s">
        <v>206</v>
      </c>
      <c r="T182" s="310" t="s">
        <v>206</v>
      </c>
      <c r="U182" s="310" t="s">
        <v>206</v>
      </c>
      <c r="V182" s="515" t="s">
        <v>68</v>
      </c>
      <c r="W182" s="310" t="s">
        <v>206</v>
      </c>
      <c r="X182" s="310" t="s">
        <v>1309</v>
      </c>
      <c r="Y182" s="861" t="s">
        <v>869</v>
      </c>
      <c r="Z182" s="491" t="s">
        <v>869</v>
      </c>
      <c r="AA182" s="533">
        <v>44744</v>
      </c>
      <c r="AB182" s="310"/>
      <c r="AC182" s="310"/>
      <c r="AD182" s="351">
        <v>44596</v>
      </c>
      <c r="AE182" s="351"/>
      <c r="AF182" s="344">
        <v>44998</v>
      </c>
      <c r="AG182" s="251">
        <v>45391</v>
      </c>
      <c r="AH182" s="988">
        <v>45113</v>
      </c>
      <c r="AI182" s="251">
        <v>45104</v>
      </c>
      <c r="AJ182" s="3" t="s">
        <v>1501</v>
      </c>
      <c r="AK182" s="3" t="s">
        <v>218</v>
      </c>
      <c r="AL182" s="3"/>
      <c r="AM182" s="3" t="s">
        <v>1108</v>
      </c>
      <c r="AN182" s="3"/>
    </row>
    <row r="183" spans="1:40" ht="13.35" customHeight="1" x14ac:dyDescent="0.25">
      <c r="A183" s="996">
        <v>182</v>
      </c>
      <c r="B183" s="311">
        <v>37246</v>
      </c>
      <c r="C183" s="310" t="s">
        <v>54</v>
      </c>
      <c r="D183" s="346" t="s">
        <v>1580</v>
      </c>
      <c r="E183" s="343" t="s">
        <v>1307</v>
      </c>
      <c r="F183" s="310" t="s">
        <v>1102</v>
      </c>
      <c r="G183" s="310" t="s">
        <v>14</v>
      </c>
      <c r="H183" s="336">
        <v>43728</v>
      </c>
      <c r="I183" s="310">
        <v>577</v>
      </c>
      <c r="J183" s="310" t="s">
        <v>58</v>
      </c>
      <c r="K183" s="491" t="s">
        <v>680</v>
      </c>
      <c r="L183" s="495">
        <v>44147</v>
      </c>
      <c r="M183" s="491" t="s">
        <v>60</v>
      </c>
      <c r="N183" s="495">
        <v>44525</v>
      </c>
      <c r="O183" s="343">
        <v>44958</v>
      </c>
      <c r="P183" s="344">
        <v>44720</v>
      </c>
      <c r="Q183" s="310" t="s">
        <v>1289</v>
      </c>
      <c r="R183" s="310" t="s">
        <v>1496</v>
      </c>
      <c r="S183" s="310" t="s">
        <v>206</v>
      </c>
      <c r="T183" s="310" t="s">
        <v>206</v>
      </c>
      <c r="U183" s="310" t="s">
        <v>206</v>
      </c>
      <c r="V183" s="330" t="s">
        <v>62</v>
      </c>
      <c r="W183" s="310" t="s">
        <v>206</v>
      </c>
      <c r="X183" s="310" t="s">
        <v>1309</v>
      </c>
      <c r="Y183" s="861" t="s">
        <v>869</v>
      </c>
      <c r="Z183" s="491" t="s">
        <v>869</v>
      </c>
      <c r="AA183" s="533">
        <v>44744</v>
      </c>
      <c r="AB183" s="310" t="s">
        <v>1581</v>
      </c>
      <c r="AC183" s="310"/>
      <c r="AD183" s="351">
        <v>44596</v>
      </c>
      <c r="AE183" s="351"/>
      <c r="AF183" s="344">
        <v>44998</v>
      </c>
      <c r="AG183" s="251">
        <v>45391</v>
      </c>
      <c r="AH183" s="988">
        <v>45113</v>
      </c>
      <c r="AI183" s="251">
        <v>45104</v>
      </c>
      <c r="AJ183" s="3" t="s">
        <v>1501</v>
      </c>
      <c r="AK183" s="3" t="s">
        <v>218</v>
      </c>
      <c r="AM183" s="3" t="s">
        <v>1108</v>
      </c>
      <c r="AN183" s="3"/>
    </row>
    <row r="184" spans="1:40" ht="13.35" customHeight="1" x14ac:dyDescent="0.25">
      <c r="A184" s="996">
        <v>183</v>
      </c>
      <c r="B184" s="1073">
        <v>37268</v>
      </c>
      <c r="C184" s="581" t="s">
        <v>64</v>
      </c>
      <c r="D184" s="588" t="s">
        <v>1582</v>
      </c>
      <c r="E184" s="584" t="s">
        <v>1307</v>
      </c>
      <c r="F184" s="581" t="s">
        <v>1102</v>
      </c>
      <c r="G184" s="581" t="s">
        <v>14</v>
      </c>
      <c r="H184" s="1069">
        <v>43757</v>
      </c>
      <c r="I184" s="581">
        <v>611</v>
      </c>
      <c r="J184" s="581" t="s">
        <v>58</v>
      </c>
      <c r="K184" s="582" t="s">
        <v>680</v>
      </c>
      <c r="L184" s="886">
        <v>44057</v>
      </c>
      <c r="M184" s="582" t="s">
        <v>60</v>
      </c>
      <c r="N184" s="583">
        <v>44180</v>
      </c>
      <c r="O184" s="584"/>
      <c r="P184" s="586">
        <v>44723</v>
      </c>
      <c r="Q184" s="310" t="s">
        <v>1289</v>
      </c>
      <c r="R184" s="581" t="s">
        <v>1496</v>
      </c>
      <c r="S184" s="525" t="s">
        <v>63</v>
      </c>
      <c r="T184" s="581" t="s">
        <v>206</v>
      </c>
      <c r="U184" s="581" t="s">
        <v>206</v>
      </c>
      <c r="V184" s="887">
        <v>44720</v>
      </c>
      <c r="W184" s="581" t="s">
        <v>63</v>
      </c>
      <c r="X184" s="581" t="s">
        <v>1428</v>
      </c>
      <c r="Y184" s="861" t="s">
        <v>869</v>
      </c>
      <c r="Z184" s="888" t="s">
        <v>869</v>
      </c>
      <c r="AA184" s="889"/>
      <c r="AB184" s="581"/>
      <c r="AC184" s="581"/>
      <c r="AD184" s="1064">
        <v>44630</v>
      </c>
      <c r="AE184" s="1064" t="s">
        <v>1583</v>
      </c>
      <c r="AF184" s="586">
        <v>44658</v>
      </c>
      <c r="AG184" s="1060">
        <v>45472</v>
      </c>
      <c r="AH184" s="1074">
        <v>45122</v>
      </c>
      <c r="AI184" s="1075">
        <v>45122</v>
      </c>
      <c r="AJ184" s="239" t="s">
        <v>1501</v>
      </c>
      <c r="AK184" s="644">
        <v>45481</v>
      </c>
      <c r="AL184" s="649"/>
      <c r="AM184" s="644">
        <v>45391</v>
      </c>
      <c r="AN184" s="3"/>
    </row>
    <row r="185" spans="1:40" ht="13.35" customHeight="1" x14ac:dyDescent="0.25">
      <c r="A185" s="996">
        <v>184</v>
      </c>
      <c r="B185" s="311">
        <v>37268</v>
      </c>
      <c r="C185" s="310" t="s">
        <v>54</v>
      </c>
      <c r="D185" s="346" t="s">
        <v>1584</v>
      </c>
      <c r="E185" s="343" t="s">
        <v>1307</v>
      </c>
      <c r="F185" s="310" t="s">
        <v>1102</v>
      </c>
      <c r="G185" s="310" t="s">
        <v>14</v>
      </c>
      <c r="H185" s="336">
        <v>43757</v>
      </c>
      <c r="I185" s="310">
        <v>570</v>
      </c>
      <c r="J185" s="310" t="s">
        <v>58</v>
      </c>
      <c r="K185" s="491" t="s">
        <v>680</v>
      </c>
      <c r="L185" s="594">
        <v>44057</v>
      </c>
      <c r="M185" s="491" t="s">
        <v>60</v>
      </c>
      <c r="N185" s="495">
        <v>44180</v>
      </c>
      <c r="O185" s="343"/>
      <c r="P185" s="344">
        <v>44723</v>
      </c>
      <c r="Q185" s="310" t="s">
        <v>1289</v>
      </c>
      <c r="R185" s="310" t="s">
        <v>1496</v>
      </c>
      <c r="S185" s="525" t="s">
        <v>63</v>
      </c>
      <c r="T185" s="310" t="s">
        <v>206</v>
      </c>
      <c r="U185" s="310" t="s">
        <v>206</v>
      </c>
      <c r="V185" s="330" t="s">
        <v>62</v>
      </c>
      <c r="W185" s="310" t="s">
        <v>63</v>
      </c>
      <c r="X185" s="310" t="s">
        <v>1428</v>
      </c>
      <c r="Y185" s="861" t="s">
        <v>869</v>
      </c>
      <c r="Z185" s="593" t="s">
        <v>869</v>
      </c>
      <c r="AA185" s="589"/>
      <c r="AB185" s="310"/>
      <c r="AC185" s="310"/>
      <c r="AD185" s="351">
        <v>44630</v>
      </c>
      <c r="AE185" s="351"/>
      <c r="AF185" s="344">
        <v>44658</v>
      </c>
      <c r="AG185" s="521">
        <v>45472</v>
      </c>
      <c r="AH185" s="988">
        <v>45122</v>
      </c>
      <c r="AI185" s="251">
        <v>45122</v>
      </c>
      <c r="AJ185" s="3" t="s">
        <v>1501</v>
      </c>
      <c r="AK185" s="84">
        <v>45481</v>
      </c>
      <c r="AM185" s="84">
        <v>45391</v>
      </c>
      <c r="AN185" s="3" t="s">
        <v>1585</v>
      </c>
    </row>
    <row r="186" spans="1:40" ht="13.35" customHeight="1" x14ac:dyDescent="0.25">
      <c r="A186" s="996">
        <v>185</v>
      </c>
      <c r="B186" s="311">
        <v>37272</v>
      </c>
      <c r="C186" s="310" t="s">
        <v>64</v>
      </c>
      <c r="D186" s="346" t="s">
        <v>1586</v>
      </c>
      <c r="E186" s="343" t="s">
        <v>1307</v>
      </c>
      <c r="F186" s="310" t="s">
        <v>1102</v>
      </c>
      <c r="G186" s="310" t="s">
        <v>14</v>
      </c>
      <c r="H186" s="336">
        <v>43759</v>
      </c>
      <c r="I186" s="310">
        <v>644</v>
      </c>
      <c r="J186" s="310" t="s">
        <v>58</v>
      </c>
      <c r="K186" s="491" t="s">
        <v>680</v>
      </c>
      <c r="L186" s="594">
        <v>44199</v>
      </c>
      <c r="M186" s="491" t="s">
        <v>60</v>
      </c>
      <c r="N186" s="495">
        <v>44518</v>
      </c>
      <c r="O186" s="343">
        <v>45096</v>
      </c>
      <c r="P186" s="344">
        <v>44723</v>
      </c>
      <c r="Q186" s="310" t="s">
        <v>1289</v>
      </c>
      <c r="R186" s="310" t="s">
        <v>1496</v>
      </c>
      <c r="S186" s="525" t="s">
        <v>63</v>
      </c>
      <c r="T186" s="310" t="s">
        <v>206</v>
      </c>
      <c r="U186" s="310" t="s">
        <v>206</v>
      </c>
      <c r="V186" s="330" t="s">
        <v>68</v>
      </c>
      <c r="W186" s="310" t="s">
        <v>63</v>
      </c>
      <c r="X186" s="310" t="s">
        <v>1309</v>
      </c>
      <c r="Y186" s="861" t="s">
        <v>869</v>
      </c>
      <c r="Z186" s="593" t="s">
        <v>869</v>
      </c>
      <c r="AA186" s="589"/>
      <c r="AB186" s="310"/>
      <c r="AC186" s="310"/>
      <c r="AD186" s="351">
        <v>44596</v>
      </c>
      <c r="AE186" s="351"/>
      <c r="AF186" s="344">
        <v>44729</v>
      </c>
      <c r="AG186" s="602">
        <v>45485</v>
      </c>
      <c r="AH186" s="609">
        <v>45191</v>
      </c>
      <c r="AI186" s="52">
        <v>45191</v>
      </c>
      <c r="AJ186" s="3" t="s">
        <v>1501</v>
      </c>
      <c r="AK186" s="3" t="s">
        <v>1587</v>
      </c>
      <c r="AM186" s="3" t="s">
        <v>1588</v>
      </c>
      <c r="AN186" s="3"/>
    </row>
    <row r="187" spans="1:40" ht="13.35" customHeight="1" x14ac:dyDescent="0.25">
      <c r="A187" s="996">
        <v>186</v>
      </c>
      <c r="B187" s="1035">
        <v>37272</v>
      </c>
      <c r="C187" s="861" t="s">
        <v>54</v>
      </c>
      <c r="D187" s="884" t="s">
        <v>1589</v>
      </c>
      <c r="E187" s="865" t="s">
        <v>1307</v>
      </c>
      <c r="F187" s="861" t="s">
        <v>1102</v>
      </c>
      <c r="G187" s="861" t="s">
        <v>14</v>
      </c>
      <c r="H187" s="1030">
        <v>43759</v>
      </c>
      <c r="I187" s="861">
        <v>645</v>
      </c>
      <c r="J187" s="861" t="s">
        <v>58</v>
      </c>
      <c r="K187" s="862" t="s">
        <v>680</v>
      </c>
      <c r="L187" s="1034">
        <v>44199</v>
      </c>
      <c r="M187" s="862" t="s">
        <v>60</v>
      </c>
      <c r="N187" s="864">
        <v>44518</v>
      </c>
      <c r="O187" s="865">
        <v>45096</v>
      </c>
      <c r="P187" s="1031">
        <v>44723</v>
      </c>
      <c r="Q187" s="310" t="s">
        <v>1289</v>
      </c>
      <c r="R187" s="861" t="s">
        <v>1496</v>
      </c>
      <c r="S187" s="525" t="s">
        <v>63</v>
      </c>
      <c r="T187" s="861" t="s">
        <v>206</v>
      </c>
      <c r="U187" s="861" t="s">
        <v>206</v>
      </c>
      <c r="V187" s="1000" t="s">
        <v>62</v>
      </c>
      <c r="W187" s="861" t="s">
        <v>63</v>
      </c>
      <c r="X187" s="861" t="s">
        <v>1309</v>
      </c>
      <c r="Y187" s="861" t="s">
        <v>869</v>
      </c>
      <c r="Z187" s="867" t="s">
        <v>869</v>
      </c>
      <c r="AA187" s="868"/>
      <c r="AB187" s="861"/>
      <c r="AC187" s="861"/>
      <c r="AD187" s="880">
        <v>44596</v>
      </c>
      <c r="AE187" s="880"/>
      <c r="AF187" s="1031">
        <v>44729</v>
      </c>
      <c r="AG187" s="1041">
        <v>45485</v>
      </c>
      <c r="AH187" s="991">
        <v>45191</v>
      </c>
      <c r="AI187" s="405">
        <v>45191</v>
      </c>
      <c r="AJ187" s="115" t="s">
        <v>1501</v>
      </c>
      <c r="AK187" s="115" t="s">
        <v>1587</v>
      </c>
      <c r="AL187" s="511"/>
      <c r="AM187" s="115" t="s">
        <v>1588</v>
      </c>
      <c r="AN187" s="3"/>
    </row>
    <row r="188" spans="1:40" ht="13.35" customHeight="1" x14ac:dyDescent="0.25">
      <c r="A188" s="996">
        <v>187</v>
      </c>
      <c r="B188" s="311">
        <v>37357</v>
      </c>
      <c r="C188" s="310" t="s">
        <v>64</v>
      </c>
      <c r="D188" s="346" t="s">
        <v>1590</v>
      </c>
      <c r="E188" s="343" t="s">
        <v>1307</v>
      </c>
      <c r="F188" s="310" t="s">
        <v>1102</v>
      </c>
      <c r="G188" s="310" t="s">
        <v>14</v>
      </c>
      <c r="H188" s="336">
        <v>43911</v>
      </c>
      <c r="I188" s="310">
        <v>741</v>
      </c>
      <c r="J188" s="310" t="s">
        <v>58</v>
      </c>
      <c r="K188" s="491" t="s">
        <v>680</v>
      </c>
      <c r="L188" s="495">
        <v>44236</v>
      </c>
      <c r="M188" s="491" t="s">
        <v>60</v>
      </c>
      <c r="N188" s="495">
        <v>44173</v>
      </c>
      <c r="O188" s="337">
        <v>45012</v>
      </c>
      <c r="P188" s="344">
        <v>44719</v>
      </c>
      <c r="Q188" s="310" t="s">
        <v>1289</v>
      </c>
      <c r="R188" s="310" t="s">
        <v>1496</v>
      </c>
      <c r="S188" s="310" t="s">
        <v>206</v>
      </c>
      <c r="T188" s="310" t="s">
        <v>206</v>
      </c>
      <c r="U188" s="310" t="s">
        <v>206</v>
      </c>
      <c r="V188" s="309">
        <v>44733</v>
      </c>
      <c r="W188" s="310" t="s">
        <v>63</v>
      </c>
      <c r="X188" s="609" t="s">
        <v>1244</v>
      </c>
      <c r="Y188" s="861" t="s">
        <v>869</v>
      </c>
      <c r="Z188" s="491" t="s">
        <v>869</v>
      </c>
      <c r="AA188" s="533">
        <v>44753</v>
      </c>
      <c r="AB188" s="310" t="s">
        <v>1591</v>
      </c>
      <c r="AC188" s="310"/>
      <c r="AD188" s="351">
        <v>44592</v>
      </c>
      <c r="AE188" s="351"/>
      <c r="AF188" s="344">
        <v>44753</v>
      </c>
      <c r="AG188" s="343">
        <v>45569</v>
      </c>
      <c r="AH188" s="518">
        <v>45089</v>
      </c>
      <c r="AI188" s="84">
        <v>45238</v>
      </c>
      <c r="AJ188" s="3" t="s">
        <v>1501</v>
      </c>
      <c r="AK188" s="84">
        <v>45870</v>
      </c>
      <c r="AL188" s="84">
        <v>45363</v>
      </c>
      <c r="AM188" s="84">
        <v>45870</v>
      </c>
    </row>
    <row r="189" spans="1:40" ht="13.35" customHeight="1" x14ac:dyDescent="0.25">
      <c r="A189" s="996">
        <v>188</v>
      </c>
      <c r="B189" s="311">
        <v>37357</v>
      </c>
      <c r="C189" s="310" t="s">
        <v>54</v>
      </c>
      <c r="D189" s="346" t="s">
        <v>1592</v>
      </c>
      <c r="E189" s="343" t="s">
        <v>1307</v>
      </c>
      <c r="F189" s="310" t="s">
        <v>1102</v>
      </c>
      <c r="G189" s="310" t="s">
        <v>14</v>
      </c>
      <c r="H189" s="336">
        <v>43911</v>
      </c>
      <c r="I189" s="310">
        <v>612</v>
      </c>
      <c r="J189" s="310" t="s">
        <v>58</v>
      </c>
      <c r="K189" s="491" t="s">
        <v>680</v>
      </c>
      <c r="L189" s="495">
        <v>44236</v>
      </c>
      <c r="M189" s="491" t="s">
        <v>60</v>
      </c>
      <c r="N189" s="495">
        <v>44173</v>
      </c>
      <c r="O189" s="337">
        <v>45012</v>
      </c>
      <c r="P189" s="344">
        <v>44719</v>
      </c>
      <c r="Q189" s="310" t="s">
        <v>1289</v>
      </c>
      <c r="R189" s="310" t="s">
        <v>1496</v>
      </c>
      <c r="S189" s="310" t="s">
        <v>206</v>
      </c>
      <c r="T189" s="310" t="s">
        <v>206</v>
      </c>
      <c r="U189" s="310" t="s">
        <v>206</v>
      </c>
      <c r="V189" s="1000" t="s">
        <v>62</v>
      </c>
      <c r="W189" s="310" t="s">
        <v>63</v>
      </c>
      <c r="X189" s="609" t="s">
        <v>1244</v>
      </c>
      <c r="Y189" s="861" t="s">
        <v>869</v>
      </c>
      <c r="Z189" s="491" t="s">
        <v>869</v>
      </c>
      <c r="AA189" s="533">
        <v>44753</v>
      </c>
      <c r="AB189" s="310" t="s">
        <v>1593</v>
      </c>
      <c r="AC189" s="310"/>
      <c r="AD189" s="351">
        <v>44592</v>
      </c>
      <c r="AE189" s="351"/>
      <c r="AF189" s="344">
        <v>44753</v>
      </c>
      <c r="AG189" s="343">
        <v>45569</v>
      </c>
      <c r="AH189" s="518">
        <v>45089</v>
      </c>
      <c r="AI189" s="52">
        <v>45207</v>
      </c>
      <c r="AJ189" s="3" t="s">
        <v>1501</v>
      </c>
      <c r="AK189" s="84">
        <v>45870</v>
      </c>
      <c r="AL189" s="84">
        <v>45363</v>
      </c>
      <c r="AM189" s="84">
        <v>45870</v>
      </c>
      <c r="AN189" s="3" t="s">
        <v>1594</v>
      </c>
    </row>
    <row r="190" spans="1:40" ht="13.35" customHeight="1" x14ac:dyDescent="0.25">
      <c r="A190" s="996">
        <v>189</v>
      </c>
      <c r="B190" s="311">
        <v>37400</v>
      </c>
      <c r="C190" s="310" t="s">
        <v>64</v>
      </c>
      <c r="D190" s="346" t="s">
        <v>1595</v>
      </c>
      <c r="E190" s="343" t="s">
        <v>1307</v>
      </c>
      <c r="F190" s="310" t="s">
        <v>1102</v>
      </c>
      <c r="G190" s="310" t="s">
        <v>14</v>
      </c>
      <c r="H190" s="336">
        <v>44037</v>
      </c>
      <c r="I190" s="310">
        <v>794</v>
      </c>
      <c r="J190" s="310" t="s">
        <v>58</v>
      </c>
      <c r="K190" s="491" t="s">
        <v>680</v>
      </c>
      <c r="L190" s="495">
        <v>44290</v>
      </c>
      <c r="M190" s="491" t="s">
        <v>60</v>
      </c>
      <c r="N190" s="495">
        <v>44457</v>
      </c>
      <c r="O190" s="343"/>
      <c r="P190" s="344">
        <v>44721</v>
      </c>
      <c r="Q190" s="310" t="s">
        <v>1521</v>
      </c>
      <c r="R190" s="310" t="s">
        <v>1496</v>
      </c>
      <c r="S190" s="310" t="s">
        <v>206</v>
      </c>
      <c r="T190" s="310" t="s">
        <v>206</v>
      </c>
      <c r="U190" s="310" t="s">
        <v>206</v>
      </c>
      <c r="V190" s="309">
        <v>44714</v>
      </c>
      <c r="W190" s="310" t="s">
        <v>63</v>
      </c>
      <c r="X190" s="609" t="s">
        <v>1244</v>
      </c>
      <c r="Y190" s="861" t="s">
        <v>869</v>
      </c>
      <c r="Z190" s="491" t="s">
        <v>869</v>
      </c>
      <c r="AA190" s="496">
        <v>44791</v>
      </c>
      <c r="AB190" s="357"/>
      <c r="AC190" s="310"/>
      <c r="AD190" s="351">
        <v>44596</v>
      </c>
      <c r="AE190" s="351"/>
      <c r="AF190" s="344">
        <v>44715</v>
      </c>
      <c r="AG190" s="343">
        <v>45542</v>
      </c>
      <c r="AH190" s="518">
        <v>45104</v>
      </c>
      <c r="AI190" s="52">
        <v>45104</v>
      </c>
      <c r="AJ190" s="3" t="s">
        <v>1501</v>
      </c>
      <c r="AK190" s="84" t="s">
        <v>1596</v>
      </c>
      <c r="AM190" s="3" t="s">
        <v>1597</v>
      </c>
      <c r="AN190" s="3" t="s">
        <v>1598</v>
      </c>
    </row>
    <row r="191" spans="1:40" ht="13.35" customHeight="1" x14ac:dyDescent="0.25">
      <c r="A191" s="996">
        <v>190</v>
      </c>
      <c r="B191" s="311">
        <v>37400</v>
      </c>
      <c r="C191" s="310" t="s">
        <v>54</v>
      </c>
      <c r="D191" s="346" t="s">
        <v>1599</v>
      </c>
      <c r="E191" s="343" t="s">
        <v>1307</v>
      </c>
      <c r="F191" s="310" t="s">
        <v>1102</v>
      </c>
      <c r="G191" s="310" t="s">
        <v>14</v>
      </c>
      <c r="H191" s="336">
        <v>44037</v>
      </c>
      <c r="I191" s="310">
        <v>721</v>
      </c>
      <c r="J191" s="310" t="s">
        <v>58</v>
      </c>
      <c r="K191" s="491" t="s">
        <v>680</v>
      </c>
      <c r="L191" s="495">
        <v>44290</v>
      </c>
      <c r="M191" s="491" t="s">
        <v>60</v>
      </c>
      <c r="N191" s="495">
        <v>44457</v>
      </c>
      <c r="O191" s="343"/>
      <c r="P191" s="344">
        <v>44721</v>
      </c>
      <c r="Q191" s="310" t="s">
        <v>1521</v>
      </c>
      <c r="R191" s="310" t="s">
        <v>1496</v>
      </c>
      <c r="S191" s="310" t="s">
        <v>206</v>
      </c>
      <c r="T191" s="310" t="s">
        <v>206</v>
      </c>
      <c r="U191" s="310" t="s">
        <v>206</v>
      </c>
      <c r="V191" s="1000" t="s">
        <v>62</v>
      </c>
      <c r="W191" s="310" t="s">
        <v>63</v>
      </c>
      <c r="X191" s="609" t="s">
        <v>1244</v>
      </c>
      <c r="Y191" s="861" t="s">
        <v>869</v>
      </c>
      <c r="Z191" s="491" t="s">
        <v>869</v>
      </c>
      <c r="AA191" s="496">
        <v>44791</v>
      </c>
      <c r="AB191" s="357"/>
      <c r="AC191" s="310"/>
      <c r="AD191" s="351">
        <v>44596</v>
      </c>
      <c r="AE191" s="351"/>
      <c r="AF191" s="344">
        <v>44715</v>
      </c>
      <c r="AG191" s="343">
        <v>45542</v>
      </c>
      <c r="AH191" s="518">
        <v>45104</v>
      </c>
      <c r="AI191" s="52">
        <v>45104</v>
      </c>
      <c r="AJ191" s="3" t="s">
        <v>1501</v>
      </c>
      <c r="AK191" s="84" t="s">
        <v>1596</v>
      </c>
      <c r="AM191" s="3" t="s">
        <v>1597</v>
      </c>
      <c r="AN191" s="3"/>
    </row>
    <row r="192" spans="1:40" ht="13.35" customHeight="1" x14ac:dyDescent="0.25">
      <c r="A192" s="996">
        <v>191</v>
      </c>
      <c r="B192" s="1073">
        <v>37401</v>
      </c>
      <c r="C192" s="581" t="s">
        <v>64</v>
      </c>
      <c r="D192" s="588" t="s">
        <v>1600</v>
      </c>
      <c r="E192" s="584" t="s">
        <v>1307</v>
      </c>
      <c r="F192" s="581" t="s">
        <v>1102</v>
      </c>
      <c r="G192" s="581" t="s">
        <v>14</v>
      </c>
      <c r="H192" s="1069">
        <v>44039</v>
      </c>
      <c r="I192" s="581">
        <v>797</v>
      </c>
      <c r="J192" s="581" t="s">
        <v>58</v>
      </c>
      <c r="K192" s="582" t="s">
        <v>680</v>
      </c>
      <c r="L192" s="886">
        <v>44439</v>
      </c>
      <c r="M192" s="582" t="s">
        <v>60</v>
      </c>
      <c r="N192" s="583">
        <v>44479</v>
      </c>
      <c r="O192" s="584"/>
      <c r="P192" s="586">
        <v>44720</v>
      </c>
      <c r="Q192" s="310" t="s">
        <v>1521</v>
      </c>
      <c r="R192" s="581" t="s">
        <v>1496</v>
      </c>
      <c r="S192" s="525" t="s">
        <v>63</v>
      </c>
      <c r="T192" s="581" t="s">
        <v>206</v>
      </c>
      <c r="U192" s="581" t="s">
        <v>206</v>
      </c>
      <c r="V192" s="887">
        <v>44733</v>
      </c>
      <c r="W192" s="581" t="s">
        <v>63</v>
      </c>
      <c r="X192" s="609" t="s">
        <v>1244</v>
      </c>
      <c r="Y192" s="861" t="s">
        <v>869</v>
      </c>
      <c r="Z192" s="888" t="s">
        <v>869</v>
      </c>
      <c r="AA192" s="889"/>
      <c r="AB192" s="581" t="s">
        <v>1601</v>
      </c>
      <c r="AC192" s="581"/>
      <c r="AD192" s="1064">
        <v>44592</v>
      </c>
      <c r="AE192" s="1064"/>
      <c r="AF192" s="586">
        <v>44733</v>
      </c>
      <c r="AG192" s="890">
        <v>45511</v>
      </c>
      <c r="AH192" s="990">
        <v>45304</v>
      </c>
      <c r="AI192" s="269">
        <v>45304</v>
      </c>
      <c r="AJ192" s="239" t="s">
        <v>1501</v>
      </c>
      <c r="AK192" s="644">
        <v>45370</v>
      </c>
      <c r="AL192" s="649"/>
      <c r="AM192" s="239" t="s">
        <v>1602</v>
      </c>
      <c r="AN192" s="52">
        <v>45660</v>
      </c>
    </row>
    <row r="193" spans="1:40" ht="13.35" customHeight="1" x14ac:dyDescent="0.25">
      <c r="A193" s="996">
        <v>192</v>
      </c>
      <c r="B193" s="311">
        <v>37401</v>
      </c>
      <c r="C193" s="310" t="s">
        <v>54</v>
      </c>
      <c r="D193" s="346" t="s">
        <v>1603</v>
      </c>
      <c r="E193" s="343" t="s">
        <v>1307</v>
      </c>
      <c r="F193" s="310" t="s">
        <v>1102</v>
      </c>
      <c r="G193" s="310" t="s">
        <v>14</v>
      </c>
      <c r="H193" s="336">
        <v>44039</v>
      </c>
      <c r="I193" s="310">
        <v>795</v>
      </c>
      <c r="J193" s="310" t="s">
        <v>58</v>
      </c>
      <c r="K193" s="491" t="s">
        <v>680</v>
      </c>
      <c r="L193" s="594">
        <v>44439</v>
      </c>
      <c r="M193" s="491" t="s">
        <v>60</v>
      </c>
      <c r="N193" s="495">
        <v>44479</v>
      </c>
      <c r="O193" s="343"/>
      <c r="P193" s="344">
        <v>44720</v>
      </c>
      <c r="Q193" s="310" t="s">
        <v>1521</v>
      </c>
      <c r="R193" s="310" t="s">
        <v>1496</v>
      </c>
      <c r="S193" s="310" t="s">
        <v>206</v>
      </c>
      <c r="T193" s="310" t="s">
        <v>206</v>
      </c>
      <c r="U193" s="310" t="s">
        <v>206</v>
      </c>
      <c r="V193" s="330" t="s">
        <v>1604</v>
      </c>
      <c r="W193" s="310" t="s">
        <v>63</v>
      </c>
      <c r="X193" s="609" t="s">
        <v>1244</v>
      </c>
      <c r="Y193" s="861" t="s">
        <v>869</v>
      </c>
      <c r="Z193" s="593" t="s">
        <v>869</v>
      </c>
      <c r="AA193" s="589"/>
      <c r="AB193" s="310" t="s">
        <v>1605</v>
      </c>
      <c r="AC193" s="310"/>
      <c r="AD193" s="351">
        <v>44592</v>
      </c>
      <c r="AE193" s="351"/>
      <c r="AF193" s="344">
        <v>44733</v>
      </c>
      <c r="AG193" s="602">
        <v>45511</v>
      </c>
      <c r="AH193" s="609">
        <v>45304</v>
      </c>
      <c r="AI193" s="52">
        <v>45304</v>
      </c>
      <c r="AJ193" s="3" t="s">
        <v>1501</v>
      </c>
      <c r="AK193" s="84">
        <v>45370</v>
      </c>
      <c r="AM193" s="3" t="s">
        <v>1602</v>
      </c>
      <c r="AN193" s="52"/>
    </row>
    <row r="194" spans="1:40" ht="13.35" customHeight="1" x14ac:dyDescent="0.25">
      <c r="A194" s="996">
        <v>193</v>
      </c>
      <c r="B194" s="311">
        <v>37403</v>
      </c>
      <c r="C194" s="310" t="s">
        <v>64</v>
      </c>
      <c r="D194" s="346" t="s">
        <v>1606</v>
      </c>
      <c r="E194" s="343" t="s">
        <v>1307</v>
      </c>
      <c r="F194" s="310" t="s">
        <v>1102</v>
      </c>
      <c r="G194" s="310" t="s">
        <v>14</v>
      </c>
      <c r="H194" s="336">
        <v>44041</v>
      </c>
      <c r="I194" s="310">
        <v>796</v>
      </c>
      <c r="J194" s="310" t="s">
        <v>58</v>
      </c>
      <c r="K194" s="491" t="s">
        <v>680</v>
      </c>
      <c r="L194" s="594">
        <v>44216</v>
      </c>
      <c r="M194" s="491" t="s">
        <v>60</v>
      </c>
      <c r="N194" s="495">
        <v>44180</v>
      </c>
      <c r="O194" s="343">
        <v>44350</v>
      </c>
      <c r="P194" s="344">
        <v>44720</v>
      </c>
      <c r="Q194" s="310" t="s">
        <v>1521</v>
      </c>
      <c r="R194" s="310" t="s">
        <v>1496</v>
      </c>
      <c r="S194" s="310" t="s">
        <v>206</v>
      </c>
      <c r="T194" s="310" t="s">
        <v>206</v>
      </c>
      <c r="U194" s="310" t="s">
        <v>206</v>
      </c>
      <c r="V194" s="309">
        <v>44714</v>
      </c>
      <c r="W194" s="310" t="s">
        <v>63</v>
      </c>
      <c r="X194" s="609" t="s">
        <v>1244</v>
      </c>
      <c r="Y194" s="861" t="s">
        <v>869</v>
      </c>
      <c r="Z194" s="593" t="s">
        <v>869</v>
      </c>
      <c r="AA194" s="589"/>
      <c r="AB194" s="310"/>
      <c r="AC194" s="310"/>
      <c r="AD194" s="351">
        <v>44634</v>
      </c>
      <c r="AE194" s="351"/>
      <c r="AF194" s="344">
        <v>45007</v>
      </c>
      <c r="AG194" s="602" t="s">
        <v>1395</v>
      </c>
      <c r="AH194" s="518">
        <v>45147</v>
      </c>
      <c r="AI194" s="84">
        <v>45147</v>
      </c>
      <c r="AJ194" s="3" t="s">
        <v>1501</v>
      </c>
      <c r="AK194" s="84">
        <v>45465</v>
      </c>
      <c r="AL194" s="3" t="s">
        <v>1607</v>
      </c>
      <c r="AM194" s="3" t="s">
        <v>1449</v>
      </c>
      <c r="AN194" s="3"/>
    </row>
    <row r="195" spans="1:40" ht="13.35" customHeight="1" x14ac:dyDescent="0.25">
      <c r="A195" s="996">
        <v>194</v>
      </c>
      <c r="B195" s="311">
        <v>37403</v>
      </c>
      <c r="C195" s="310" t="s">
        <v>54</v>
      </c>
      <c r="D195" s="346" t="s">
        <v>1608</v>
      </c>
      <c r="E195" s="343" t="s">
        <v>1307</v>
      </c>
      <c r="F195" s="310" t="s">
        <v>1102</v>
      </c>
      <c r="G195" s="310" t="s">
        <v>14</v>
      </c>
      <c r="H195" s="336">
        <v>44041</v>
      </c>
      <c r="I195" s="310">
        <v>793</v>
      </c>
      <c r="J195" s="310" t="s">
        <v>58</v>
      </c>
      <c r="K195" s="491" t="s">
        <v>680</v>
      </c>
      <c r="L195" s="594">
        <v>44216</v>
      </c>
      <c r="M195" s="491" t="s">
        <v>60</v>
      </c>
      <c r="N195" s="495">
        <v>44180</v>
      </c>
      <c r="O195" s="343">
        <v>44350</v>
      </c>
      <c r="P195" s="344">
        <v>44720</v>
      </c>
      <c r="Q195" s="310" t="s">
        <v>1521</v>
      </c>
      <c r="R195" s="310" t="s">
        <v>1496</v>
      </c>
      <c r="S195" s="310" t="s">
        <v>206</v>
      </c>
      <c r="T195" s="310" t="s">
        <v>206</v>
      </c>
      <c r="U195" s="310" t="s">
        <v>206</v>
      </c>
      <c r="V195" s="309">
        <v>44714</v>
      </c>
      <c r="W195" s="310" t="s">
        <v>63</v>
      </c>
      <c r="X195" s="609" t="s">
        <v>1244</v>
      </c>
      <c r="Y195" s="861" t="s">
        <v>869</v>
      </c>
      <c r="Z195" s="593" t="s">
        <v>869</v>
      </c>
      <c r="AA195" s="589"/>
      <c r="AB195" s="310"/>
      <c r="AC195" s="310"/>
      <c r="AD195" s="351">
        <v>44634</v>
      </c>
      <c r="AE195" s="351"/>
      <c r="AF195" s="344">
        <v>45007</v>
      </c>
      <c r="AG195" s="602" t="s">
        <v>1395</v>
      </c>
      <c r="AH195" s="518">
        <v>45147</v>
      </c>
      <c r="AI195" s="84">
        <v>45147</v>
      </c>
      <c r="AJ195" s="3" t="s">
        <v>1501</v>
      </c>
      <c r="AK195" s="84">
        <v>45465</v>
      </c>
      <c r="AL195" s="24" t="s">
        <v>1607</v>
      </c>
      <c r="AM195" s="3" t="s">
        <v>1449</v>
      </c>
      <c r="AN195" s="3"/>
    </row>
    <row r="196" spans="1:40" ht="13.35" customHeight="1" x14ac:dyDescent="0.25">
      <c r="A196" s="996">
        <v>195</v>
      </c>
      <c r="B196" s="311">
        <v>37405</v>
      </c>
      <c r="C196" s="310" t="s">
        <v>64</v>
      </c>
      <c r="D196" s="346" t="s">
        <v>1609</v>
      </c>
      <c r="E196" s="343" t="s">
        <v>1307</v>
      </c>
      <c r="F196" s="310" t="s">
        <v>1102</v>
      </c>
      <c r="G196" s="310" t="s">
        <v>14</v>
      </c>
      <c r="H196" s="336">
        <v>44040</v>
      </c>
      <c r="I196" s="310">
        <v>790</v>
      </c>
      <c r="J196" s="310" t="s">
        <v>58</v>
      </c>
      <c r="K196" s="491" t="s">
        <v>680</v>
      </c>
      <c r="L196" s="594">
        <v>44368</v>
      </c>
      <c r="M196" s="491" t="s">
        <v>60</v>
      </c>
      <c r="N196" s="495">
        <v>44476</v>
      </c>
      <c r="O196" s="343"/>
      <c r="P196" s="344">
        <v>44720</v>
      </c>
      <c r="Q196" s="310" t="s">
        <v>1521</v>
      </c>
      <c r="R196" s="310" t="s">
        <v>1496</v>
      </c>
      <c r="S196" s="310" t="s">
        <v>206</v>
      </c>
      <c r="T196" s="310" t="s">
        <v>206</v>
      </c>
      <c r="U196" s="310" t="s">
        <v>206</v>
      </c>
      <c r="V196" s="309">
        <v>44714</v>
      </c>
      <c r="W196" s="310" t="s">
        <v>63</v>
      </c>
      <c r="X196" s="609" t="s">
        <v>1244</v>
      </c>
      <c r="Y196" s="861" t="s">
        <v>869</v>
      </c>
      <c r="Z196" s="593" t="s">
        <v>869</v>
      </c>
      <c r="AA196" s="590">
        <v>44754</v>
      </c>
      <c r="AB196" s="310"/>
      <c r="AC196" s="310"/>
      <c r="AD196" s="351">
        <v>44614</v>
      </c>
      <c r="AE196" s="351"/>
      <c r="AF196" s="344">
        <v>44714</v>
      </c>
      <c r="AG196" s="602">
        <v>45483</v>
      </c>
      <c r="AH196" s="518">
        <v>45087</v>
      </c>
      <c r="AI196" s="84">
        <v>45147</v>
      </c>
      <c r="AJ196" s="3" t="s">
        <v>1501</v>
      </c>
      <c r="AK196" s="84">
        <v>45423</v>
      </c>
      <c r="AM196" s="84">
        <v>45393</v>
      </c>
      <c r="AN196" s="84"/>
    </row>
    <row r="197" spans="1:40" ht="13.35" customHeight="1" x14ac:dyDescent="0.25">
      <c r="A197" s="996">
        <v>196</v>
      </c>
      <c r="B197" s="1035">
        <v>37405</v>
      </c>
      <c r="C197" s="861" t="s">
        <v>54</v>
      </c>
      <c r="D197" s="884" t="s">
        <v>1610</v>
      </c>
      <c r="E197" s="865" t="s">
        <v>1307</v>
      </c>
      <c r="F197" s="861" t="s">
        <v>1102</v>
      </c>
      <c r="G197" s="861" t="s">
        <v>14</v>
      </c>
      <c r="H197" s="1030">
        <v>44040</v>
      </c>
      <c r="I197" s="861">
        <v>791</v>
      </c>
      <c r="J197" s="861" t="s">
        <v>58</v>
      </c>
      <c r="K197" s="862" t="s">
        <v>680</v>
      </c>
      <c r="L197" s="1034">
        <v>44233</v>
      </c>
      <c r="M197" s="862" t="s">
        <v>60</v>
      </c>
      <c r="N197" s="864">
        <v>44476</v>
      </c>
      <c r="O197" s="865"/>
      <c r="P197" s="1031">
        <v>44720</v>
      </c>
      <c r="Q197" s="310" t="s">
        <v>1521</v>
      </c>
      <c r="R197" s="861" t="s">
        <v>1496</v>
      </c>
      <c r="S197" s="861" t="s">
        <v>206</v>
      </c>
      <c r="T197" s="861" t="s">
        <v>206</v>
      </c>
      <c r="U197" s="861" t="s">
        <v>206</v>
      </c>
      <c r="V197" s="309">
        <v>44714</v>
      </c>
      <c r="W197" s="861" t="s">
        <v>63</v>
      </c>
      <c r="X197" s="609" t="s">
        <v>1244</v>
      </c>
      <c r="Y197" s="861" t="s">
        <v>869</v>
      </c>
      <c r="Z197" s="867" t="s">
        <v>869</v>
      </c>
      <c r="AA197" s="1039">
        <v>44754</v>
      </c>
      <c r="AB197" s="861"/>
      <c r="AC197" s="861"/>
      <c r="AD197" s="880">
        <v>44614</v>
      </c>
      <c r="AE197" s="880"/>
      <c r="AF197" s="1031">
        <v>44714</v>
      </c>
      <c r="AG197" s="1041">
        <v>45483</v>
      </c>
      <c r="AH197" s="1042">
        <v>45087</v>
      </c>
      <c r="AI197" s="876">
        <v>45147</v>
      </c>
      <c r="AJ197" s="115" t="s">
        <v>1501</v>
      </c>
      <c r="AK197" s="876">
        <v>45423</v>
      </c>
      <c r="AL197" s="511"/>
      <c r="AM197" s="876">
        <v>45393</v>
      </c>
      <c r="AN197" s="84"/>
    </row>
    <row r="198" spans="1:40" ht="13.35" customHeight="1" x14ac:dyDescent="0.25">
      <c r="A198" s="996">
        <v>197</v>
      </c>
      <c r="B198" s="311"/>
      <c r="C198" s="310"/>
      <c r="D198" s="346"/>
      <c r="E198" s="343"/>
      <c r="F198" s="310"/>
      <c r="G198" s="310"/>
      <c r="H198" s="336"/>
      <c r="I198" s="310"/>
      <c r="J198" s="310"/>
      <c r="K198" s="491"/>
      <c r="L198" s="495"/>
      <c r="M198" s="491"/>
      <c r="N198" s="495"/>
      <c r="O198" s="343"/>
      <c r="P198" s="344"/>
      <c r="Q198" s="310"/>
      <c r="R198" s="310"/>
      <c r="S198" s="310"/>
      <c r="T198" s="310"/>
      <c r="U198" s="310"/>
      <c r="V198" s="349" t="s">
        <v>63</v>
      </c>
      <c r="W198" s="310"/>
      <c r="X198" s="310"/>
      <c r="Y198" s="861" t="s">
        <v>869</v>
      </c>
      <c r="Z198" s="491"/>
      <c r="AA198" s="533"/>
      <c r="AB198" s="310"/>
      <c r="AC198" s="310"/>
      <c r="AD198" s="351"/>
      <c r="AE198" s="351"/>
      <c r="AF198" s="344"/>
      <c r="AG198" s="343"/>
      <c r="AH198" s="985"/>
      <c r="AJ198" s="3"/>
      <c r="AK198" s="3"/>
      <c r="AM198" s="3"/>
      <c r="AN198" s="3"/>
    </row>
    <row r="199" spans="1:40" ht="13.35" customHeight="1" x14ac:dyDescent="0.25">
      <c r="A199" s="996">
        <v>198</v>
      </c>
      <c r="B199" s="311"/>
      <c r="C199" s="310"/>
      <c r="D199" s="346"/>
      <c r="E199" s="343"/>
      <c r="F199" s="310"/>
      <c r="G199" s="310"/>
      <c r="H199" s="336"/>
      <c r="I199" s="310"/>
      <c r="J199" s="310"/>
      <c r="K199" s="491"/>
      <c r="L199" s="495"/>
      <c r="M199" s="491"/>
      <c r="N199" s="495"/>
      <c r="O199" s="343"/>
      <c r="P199" s="344"/>
      <c r="Q199" s="310"/>
      <c r="R199" s="310"/>
      <c r="S199" s="310"/>
      <c r="T199" s="310"/>
      <c r="U199" s="310"/>
      <c r="V199" s="349" t="s">
        <v>63</v>
      </c>
      <c r="W199" s="310"/>
      <c r="X199" s="310"/>
      <c r="Y199" s="861" t="s">
        <v>869</v>
      </c>
      <c r="Z199" s="491"/>
      <c r="AA199" s="533"/>
      <c r="AB199" s="310"/>
      <c r="AC199" s="310"/>
      <c r="AD199" s="351"/>
      <c r="AE199" s="351"/>
      <c r="AF199" s="344"/>
      <c r="AG199" s="343"/>
      <c r="AH199" s="985"/>
      <c r="AJ199" s="3"/>
      <c r="AK199" s="3"/>
      <c r="AM199" s="3"/>
      <c r="AN199" s="3"/>
    </row>
    <row r="200" spans="1:40" ht="13.35" customHeight="1" x14ac:dyDescent="0.25">
      <c r="A200" s="996">
        <v>199</v>
      </c>
      <c r="B200" s="1073">
        <v>37432</v>
      </c>
      <c r="C200" s="581" t="s">
        <v>64</v>
      </c>
      <c r="D200" s="588" t="s">
        <v>1611</v>
      </c>
      <c r="E200" s="584" t="s">
        <v>1307</v>
      </c>
      <c r="F200" s="581" t="s">
        <v>1102</v>
      </c>
      <c r="G200" s="581" t="s">
        <v>14</v>
      </c>
      <c r="H200" s="1069">
        <v>44068</v>
      </c>
      <c r="I200" s="581">
        <v>811</v>
      </c>
      <c r="J200" s="581" t="s">
        <v>58</v>
      </c>
      <c r="K200" s="582" t="s">
        <v>680</v>
      </c>
      <c r="L200" s="886">
        <v>44226</v>
      </c>
      <c r="M200" s="582" t="s">
        <v>60</v>
      </c>
      <c r="N200" s="583">
        <v>44461</v>
      </c>
      <c r="O200" s="584"/>
      <c r="P200" s="586">
        <v>44739</v>
      </c>
      <c r="Q200" s="310" t="s">
        <v>1521</v>
      </c>
      <c r="R200" s="581" t="s">
        <v>1496</v>
      </c>
      <c r="S200" s="525" t="s">
        <v>63</v>
      </c>
      <c r="T200" s="581" t="s">
        <v>206</v>
      </c>
      <c r="U200" s="581" t="s">
        <v>206</v>
      </c>
      <c r="V200" s="330" t="s">
        <v>68</v>
      </c>
      <c r="W200" s="581" t="s">
        <v>63</v>
      </c>
      <c r="X200" s="609" t="s">
        <v>1244</v>
      </c>
      <c r="Y200" s="861" t="s">
        <v>869</v>
      </c>
      <c r="Z200" s="888" t="s">
        <v>869</v>
      </c>
      <c r="AA200" s="1076">
        <v>44770</v>
      </c>
      <c r="AB200" s="581" t="s">
        <v>1612</v>
      </c>
      <c r="AC200" s="581"/>
      <c r="AD200" s="1064">
        <v>44592</v>
      </c>
      <c r="AE200" s="1064"/>
      <c r="AF200" s="586">
        <v>44739</v>
      </c>
      <c r="AG200" s="890" t="s">
        <v>1553</v>
      </c>
      <c r="AH200" s="990">
        <v>45102</v>
      </c>
      <c r="AI200" s="895">
        <v>45119</v>
      </c>
      <c r="AJ200" s="239" t="s">
        <v>1501</v>
      </c>
      <c r="AK200" s="644">
        <v>45419</v>
      </c>
      <c r="AL200" s="649"/>
      <c r="AM200" s="644">
        <v>45302</v>
      </c>
      <c r="AN200" s="84"/>
    </row>
    <row r="201" spans="1:40" ht="13.35" customHeight="1" x14ac:dyDescent="0.25">
      <c r="A201" s="996">
        <v>200</v>
      </c>
      <c r="B201" s="311">
        <v>37432</v>
      </c>
      <c r="C201" s="310" t="s">
        <v>54</v>
      </c>
      <c r="D201" s="346" t="s">
        <v>1613</v>
      </c>
      <c r="E201" s="343" t="s">
        <v>1307</v>
      </c>
      <c r="F201" s="310" t="s">
        <v>1102</v>
      </c>
      <c r="G201" s="310" t="s">
        <v>14</v>
      </c>
      <c r="H201" s="336">
        <v>44068</v>
      </c>
      <c r="I201" s="310">
        <v>810</v>
      </c>
      <c r="J201" s="310" t="s">
        <v>58</v>
      </c>
      <c r="K201" s="491" t="s">
        <v>680</v>
      </c>
      <c r="L201" s="594">
        <v>44226</v>
      </c>
      <c r="M201" s="491" t="s">
        <v>60</v>
      </c>
      <c r="N201" s="495">
        <v>44172</v>
      </c>
      <c r="O201" s="343"/>
      <c r="P201" s="344">
        <v>44739</v>
      </c>
      <c r="Q201" s="310" t="s">
        <v>1521</v>
      </c>
      <c r="R201" s="310" t="s">
        <v>1496</v>
      </c>
      <c r="S201" s="525" t="s">
        <v>63</v>
      </c>
      <c r="T201" s="310" t="s">
        <v>206</v>
      </c>
      <c r="U201" s="310" t="s">
        <v>206</v>
      </c>
      <c r="V201" s="1000" t="s">
        <v>62</v>
      </c>
      <c r="W201" s="310" t="s">
        <v>63</v>
      </c>
      <c r="X201" s="609" t="s">
        <v>1244</v>
      </c>
      <c r="Y201" s="861" t="s">
        <v>869</v>
      </c>
      <c r="Z201" s="593" t="s">
        <v>869</v>
      </c>
      <c r="AA201" s="590">
        <v>44770</v>
      </c>
      <c r="AB201" s="310" t="s">
        <v>1614</v>
      </c>
      <c r="AC201" s="310"/>
      <c r="AD201" s="351">
        <v>44592</v>
      </c>
      <c r="AE201" s="351"/>
      <c r="AF201" s="344">
        <v>44739</v>
      </c>
      <c r="AG201" s="602" t="s">
        <v>1553</v>
      </c>
      <c r="AH201" s="609">
        <v>45102</v>
      </c>
      <c r="AI201" s="519">
        <v>45119</v>
      </c>
      <c r="AJ201" s="3" t="s">
        <v>1501</v>
      </c>
      <c r="AK201" s="84">
        <v>45419</v>
      </c>
      <c r="AM201" s="84">
        <v>45302</v>
      </c>
      <c r="AN201" s="84"/>
    </row>
    <row r="202" spans="1:40" ht="13.35" customHeight="1" x14ac:dyDescent="0.25">
      <c r="A202" s="996">
        <v>201</v>
      </c>
      <c r="B202" s="311">
        <v>37452</v>
      </c>
      <c r="C202" s="310" t="s">
        <v>64</v>
      </c>
      <c r="D202" s="346" t="s">
        <v>1615</v>
      </c>
      <c r="E202" s="343" t="s">
        <v>1307</v>
      </c>
      <c r="F202" s="310" t="s">
        <v>1102</v>
      </c>
      <c r="G202" s="310" t="s">
        <v>14</v>
      </c>
      <c r="H202" s="336">
        <v>44124</v>
      </c>
      <c r="I202" s="310">
        <v>832</v>
      </c>
      <c r="J202" s="310" t="s">
        <v>58</v>
      </c>
      <c r="K202" s="491" t="s">
        <v>680</v>
      </c>
      <c r="L202" s="594">
        <v>44251</v>
      </c>
      <c r="M202" s="491" t="s">
        <v>60</v>
      </c>
      <c r="N202" s="495">
        <v>44435</v>
      </c>
      <c r="O202" s="343">
        <v>44333</v>
      </c>
      <c r="P202" s="344">
        <v>44725</v>
      </c>
      <c r="Q202" s="310" t="s">
        <v>1521</v>
      </c>
      <c r="R202" s="310" t="s">
        <v>1496</v>
      </c>
      <c r="S202" s="310" t="s">
        <v>206</v>
      </c>
      <c r="T202" s="310" t="s">
        <v>206</v>
      </c>
      <c r="U202" s="310" t="s">
        <v>206</v>
      </c>
      <c r="V202" s="330" t="s">
        <v>68</v>
      </c>
      <c r="W202" s="310" t="s">
        <v>63</v>
      </c>
      <c r="X202" s="609" t="s">
        <v>1244</v>
      </c>
      <c r="Y202" s="861" t="s">
        <v>869</v>
      </c>
      <c r="Z202" s="593" t="s">
        <v>869</v>
      </c>
      <c r="AA202" s="590">
        <v>44783</v>
      </c>
      <c r="AB202" s="310"/>
      <c r="AC202" s="310"/>
      <c r="AD202" s="351">
        <v>44597</v>
      </c>
      <c r="AE202" s="351"/>
      <c r="AF202" s="344">
        <v>45173</v>
      </c>
      <c r="AG202" s="602">
        <v>45470</v>
      </c>
      <c r="AH202" s="609">
        <v>45176</v>
      </c>
      <c r="AI202" s="519">
        <v>45176</v>
      </c>
      <c r="AJ202" s="3" t="s">
        <v>1501</v>
      </c>
      <c r="AK202" s="84">
        <v>45452</v>
      </c>
      <c r="AM202" s="84">
        <v>45482</v>
      </c>
      <c r="AN202" s="3"/>
    </row>
    <row r="203" spans="1:40" ht="13.35" customHeight="1" x14ac:dyDescent="0.25">
      <c r="A203" s="996">
        <v>202</v>
      </c>
      <c r="B203" s="311">
        <v>37452</v>
      </c>
      <c r="C203" s="310" t="s">
        <v>54</v>
      </c>
      <c r="D203" s="346" t="s">
        <v>1616</v>
      </c>
      <c r="E203" s="343" t="s">
        <v>1307</v>
      </c>
      <c r="F203" s="310" t="s">
        <v>1102</v>
      </c>
      <c r="G203" s="310" t="s">
        <v>14</v>
      </c>
      <c r="H203" s="336">
        <v>44124</v>
      </c>
      <c r="I203" s="310">
        <v>833</v>
      </c>
      <c r="J203" s="310" t="s">
        <v>58</v>
      </c>
      <c r="K203" s="491" t="s">
        <v>680</v>
      </c>
      <c r="L203" s="594">
        <v>44251</v>
      </c>
      <c r="M203" s="491" t="s">
        <v>60</v>
      </c>
      <c r="N203" s="495">
        <v>44435</v>
      </c>
      <c r="O203" s="343">
        <v>44333</v>
      </c>
      <c r="P203" s="344">
        <v>44725</v>
      </c>
      <c r="Q203" s="310" t="s">
        <v>1521</v>
      </c>
      <c r="R203" s="310" t="s">
        <v>1496</v>
      </c>
      <c r="S203" s="310" t="s">
        <v>206</v>
      </c>
      <c r="T203" s="310" t="s">
        <v>206</v>
      </c>
      <c r="U203" s="310" t="s">
        <v>206</v>
      </c>
      <c r="V203" s="1000" t="s">
        <v>62</v>
      </c>
      <c r="W203" s="310" t="s">
        <v>63</v>
      </c>
      <c r="X203" s="609" t="s">
        <v>1244</v>
      </c>
      <c r="Y203" s="861" t="s">
        <v>869</v>
      </c>
      <c r="Z203" s="593" t="s">
        <v>869</v>
      </c>
      <c r="AA203" s="590">
        <v>44783</v>
      </c>
      <c r="AB203" s="310"/>
      <c r="AC203" s="310"/>
      <c r="AD203" s="351">
        <v>44597</v>
      </c>
      <c r="AE203" s="351"/>
      <c r="AF203" s="344">
        <v>44698</v>
      </c>
      <c r="AG203" s="602">
        <v>45470</v>
      </c>
      <c r="AH203" s="609">
        <v>45176</v>
      </c>
      <c r="AI203" s="519">
        <v>45176</v>
      </c>
      <c r="AJ203" s="3" t="s">
        <v>1501</v>
      </c>
      <c r="AK203" s="84">
        <v>45452</v>
      </c>
      <c r="AM203" s="84">
        <v>45482</v>
      </c>
      <c r="AN203" s="3" t="s">
        <v>1617</v>
      </c>
    </row>
    <row r="204" spans="1:40" ht="15" customHeight="1" x14ac:dyDescent="0.25">
      <c r="A204" s="996">
        <v>203</v>
      </c>
      <c r="B204" s="311">
        <v>37456</v>
      </c>
      <c r="C204" s="345" t="s">
        <v>64</v>
      </c>
      <c r="D204" s="346" t="s">
        <v>1618</v>
      </c>
      <c r="E204" s="343" t="s">
        <v>1307</v>
      </c>
      <c r="F204" s="310" t="s">
        <v>1102</v>
      </c>
      <c r="G204" s="310" t="s">
        <v>14</v>
      </c>
      <c r="H204" s="336">
        <v>44126</v>
      </c>
      <c r="I204" s="345">
        <v>920</v>
      </c>
      <c r="J204" s="310" t="s">
        <v>58</v>
      </c>
      <c r="K204" s="491" t="s">
        <v>680</v>
      </c>
      <c r="L204" s="594">
        <v>44453</v>
      </c>
      <c r="M204" s="491" t="s">
        <v>60</v>
      </c>
      <c r="N204" s="495">
        <v>44435</v>
      </c>
      <c r="O204" s="337">
        <v>44634</v>
      </c>
      <c r="P204" s="344">
        <v>44719</v>
      </c>
      <c r="Q204" s="310" t="s">
        <v>1521</v>
      </c>
      <c r="R204" s="310" t="s">
        <v>1496</v>
      </c>
      <c r="S204" s="525" t="s">
        <v>63</v>
      </c>
      <c r="T204" s="310" t="s">
        <v>206</v>
      </c>
      <c r="U204" s="310" t="s">
        <v>206</v>
      </c>
      <c r="V204" s="330" t="s">
        <v>68</v>
      </c>
      <c r="W204" s="310" t="s">
        <v>63</v>
      </c>
      <c r="X204" s="310" t="s">
        <v>1290</v>
      </c>
      <c r="Y204" s="861" t="s">
        <v>869</v>
      </c>
      <c r="Z204" s="593" t="s">
        <v>869</v>
      </c>
      <c r="AA204" s="589"/>
      <c r="AB204" s="310"/>
      <c r="AC204" s="310"/>
      <c r="AD204" s="351">
        <v>44592</v>
      </c>
      <c r="AE204" s="351"/>
      <c r="AF204" s="344">
        <v>44719</v>
      </c>
      <c r="AG204" s="602" t="s">
        <v>1619</v>
      </c>
      <c r="AH204" s="518">
        <v>45089</v>
      </c>
      <c r="AI204" s="519">
        <v>45174</v>
      </c>
      <c r="AJ204" s="3" t="s">
        <v>1501</v>
      </c>
      <c r="AK204" s="84">
        <v>45482</v>
      </c>
      <c r="AL204" s="84">
        <v>45452</v>
      </c>
      <c r="AM204" s="84">
        <v>45452</v>
      </c>
      <c r="AN204" s="3"/>
    </row>
    <row r="205" spans="1:40" ht="15.75" customHeight="1" x14ac:dyDescent="0.25">
      <c r="A205" s="996">
        <v>204</v>
      </c>
      <c r="B205" s="311">
        <v>37456</v>
      </c>
      <c r="C205" s="345" t="s">
        <v>54</v>
      </c>
      <c r="D205" s="346" t="s">
        <v>1620</v>
      </c>
      <c r="E205" s="343" t="s">
        <v>1307</v>
      </c>
      <c r="F205" s="310" t="s">
        <v>1102</v>
      </c>
      <c r="G205" s="310" t="s">
        <v>14</v>
      </c>
      <c r="H205" s="336">
        <v>44126</v>
      </c>
      <c r="I205" s="345">
        <v>921</v>
      </c>
      <c r="J205" s="310" t="s">
        <v>58</v>
      </c>
      <c r="K205" s="491" t="s">
        <v>680</v>
      </c>
      <c r="L205" s="594">
        <v>44453</v>
      </c>
      <c r="M205" s="491" t="s">
        <v>60</v>
      </c>
      <c r="N205" s="495">
        <v>44435</v>
      </c>
      <c r="O205" s="337">
        <v>44634</v>
      </c>
      <c r="P205" s="344">
        <v>44719</v>
      </c>
      <c r="Q205" s="310" t="s">
        <v>1521</v>
      </c>
      <c r="R205" s="310" t="s">
        <v>1496</v>
      </c>
      <c r="S205" s="525" t="s">
        <v>63</v>
      </c>
      <c r="T205" s="310" t="s">
        <v>206</v>
      </c>
      <c r="U205" s="310" t="s">
        <v>206</v>
      </c>
      <c r="V205" s="1000" t="s">
        <v>62</v>
      </c>
      <c r="W205" s="310" t="s">
        <v>63</v>
      </c>
      <c r="X205" s="310" t="s">
        <v>1290</v>
      </c>
      <c r="Y205" s="861" t="s">
        <v>869</v>
      </c>
      <c r="Z205" s="593" t="s">
        <v>869</v>
      </c>
      <c r="AA205" s="589"/>
      <c r="AB205" s="310"/>
      <c r="AC205" s="310"/>
      <c r="AD205" s="351">
        <v>44592</v>
      </c>
      <c r="AE205" s="351"/>
      <c r="AF205" s="344">
        <v>44719</v>
      </c>
      <c r="AG205" s="602" t="s">
        <v>1619</v>
      </c>
      <c r="AH205" s="518">
        <v>45089</v>
      </c>
      <c r="AI205" s="519">
        <v>45174</v>
      </c>
      <c r="AJ205" s="3" t="s">
        <v>1501</v>
      </c>
      <c r="AK205" s="84">
        <v>45482</v>
      </c>
      <c r="AL205" s="84">
        <v>45452</v>
      </c>
      <c r="AM205" s="84">
        <v>45452</v>
      </c>
      <c r="AN205" s="3"/>
    </row>
    <row r="206" spans="1:40" ht="14.25" customHeight="1" x14ac:dyDescent="0.25">
      <c r="A206" s="996">
        <v>205</v>
      </c>
      <c r="B206" s="311">
        <v>37502</v>
      </c>
      <c r="C206" s="345" t="s">
        <v>64</v>
      </c>
      <c r="D206" s="346" t="s">
        <v>1621</v>
      </c>
      <c r="E206" s="343" t="s">
        <v>1307</v>
      </c>
      <c r="F206" s="310" t="s">
        <v>1102</v>
      </c>
      <c r="G206" s="310" t="s">
        <v>14</v>
      </c>
      <c r="H206" s="336">
        <v>44189</v>
      </c>
      <c r="I206" s="345">
        <v>952</v>
      </c>
      <c r="J206" s="310" t="s">
        <v>58</v>
      </c>
      <c r="K206" s="491" t="s">
        <v>680</v>
      </c>
      <c r="L206" s="594">
        <v>44251</v>
      </c>
      <c r="M206" s="491" t="s">
        <v>60</v>
      </c>
      <c r="N206" s="495">
        <v>44442</v>
      </c>
      <c r="O206" s="356"/>
      <c r="P206" s="344">
        <v>44728</v>
      </c>
      <c r="Q206" s="310" t="s">
        <v>1521</v>
      </c>
      <c r="R206" s="310" t="s">
        <v>1496</v>
      </c>
      <c r="S206" s="310" t="s">
        <v>206</v>
      </c>
      <c r="T206" s="310" t="s">
        <v>206</v>
      </c>
      <c r="U206" s="310" t="s">
        <v>206</v>
      </c>
      <c r="V206" s="588" t="s">
        <v>68</v>
      </c>
      <c r="W206" s="310" t="s">
        <v>63</v>
      </c>
      <c r="X206" s="310" t="s">
        <v>1290</v>
      </c>
      <c r="Y206" s="861" t="s">
        <v>869</v>
      </c>
      <c r="Z206" s="593" t="s">
        <v>869</v>
      </c>
      <c r="AA206" s="590">
        <v>44762</v>
      </c>
      <c r="AB206" s="310"/>
      <c r="AC206" s="310"/>
      <c r="AD206" s="351">
        <v>44601</v>
      </c>
      <c r="AE206" s="351"/>
      <c r="AF206" s="344">
        <v>44762</v>
      </c>
      <c r="AG206" s="602">
        <v>45469</v>
      </c>
      <c r="AH206" s="518">
        <v>45102</v>
      </c>
      <c r="AI206" s="519">
        <v>45176</v>
      </c>
      <c r="AJ206" s="3" t="s">
        <v>1501</v>
      </c>
      <c r="AK206" s="84">
        <v>45468</v>
      </c>
      <c r="AL206" s="3" t="s">
        <v>1622</v>
      </c>
      <c r="AM206" s="3" t="s">
        <v>1623</v>
      </c>
      <c r="AN206" s="84"/>
    </row>
    <row r="207" spans="1:40" ht="13.35" customHeight="1" x14ac:dyDescent="0.25">
      <c r="A207" s="996">
        <v>206</v>
      </c>
      <c r="B207" s="1035">
        <v>37502</v>
      </c>
      <c r="C207" s="1029" t="s">
        <v>54</v>
      </c>
      <c r="D207" s="884" t="s">
        <v>1624</v>
      </c>
      <c r="E207" s="865" t="s">
        <v>1307</v>
      </c>
      <c r="F207" s="861" t="s">
        <v>1102</v>
      </c>
      <c r="G207" s="861" t="s">
        <v>14</v>
      </c>
      <c r="H207" s="1030">
        <v>44189</v>
      </c>
      <c r="I207" s="1029">
        <v>953</v>
      </c>
      <c r="J207" s="861" t="s">
        <v>58</v>
      </c>
      <c r="K207" s="862" t="s">
        <v>680</v>
      </c>
      <c r="L207" s="1034">
        <v>44251</v>
      </c>
      <c r="M207" s="862" t="s">
        <v>60</v>
      </c>
      <c r="N207" s="864">
        <v>44442</v>
      </c>
      <c r="O207" s="1043"/>
      <c r="P207" s="1031">
        <v>44728</v>
      </c>
      <c r="Q207" s="310" t="s">
        <v>1521</v>
      </c>
      <c r="R207" s="861" t="s">
        <v>1496</v>
      </c>
      <c r="S207" s="861" t="s">
        <v>206</v>
      </c>
      <c r="T207" s="861" t="s">
        <v>206</v>
      </c>
      <c r="U207" s="861" t="s">
        <v>206</v>
      </c>
      <c r="V207" s="346" t="s">
        <v>62</v>
      </c>
      <c r="W207" s="861" t="s">
        <v>206</v>
      </c>
      <c r="X207" s="861" t="s">
        <v>1290</v>
      </c>
      <c r="Y207" s="861" t="s">
        <v>869</v>
      </c>
      <c r="Z207" s="867" t="s">
        <v>869</v>
      </c>
      <c r="AA207" s="1039">
        <v>44762</v>
      </c>
      <c r="AB207" s="861"/>
      <c r="AC207" s="861"/>
      <c r="AD207" s="880">
        <v>44601</v>
      </c>
      <c r="AE207" s="880"/>
      <c r="AF207" s="1031">
        <v>44762</v>
      </c>
      <c r="AG207" s="1041">
        <v>45469</v>
      </c>
      <c r="AH207" s="1042">
        <v>45102</v>
      </c>
      <c r="AI207" s="878">
        <v>45176</v>
      </c>
      <c r="AJ207" s="115" t="s">
        <v>1501</v>
      </c>
      <c r="AK207" s="876">
        <v>45468</v>
      </c>
      <c r="AL207" s="115" t="s">
        <v>1622</v>
      </c>
      <c r="AM207" s="115" t="s">
        <v>1623</v>
      </c>
      <c r="AN207" s="84"/>
    </row>
    <row r="208" spans="1:40" ht="13.35" customHeight="1" x14ac:dyDescent="0.25">
      <c r="A208" s="996">
        <v>207</v>
      </c>
      <c r="B208" s="311">
        <v>37585</v>
      </c>
      <c r="C208" s="345" t="s">
        <v>64</v>
      </c>
      <c r="D208" s="346" t="s">
        <v>1625</v>
      </c>
      <c r="E208" s="343" t="s">
        <v>1307</v>
      </c>
      <c r="F208" s="310" t="s">
        <v>1102</v>
      </c>
      <c r="G208" s="310" t="s">
        <v>14</v>
      </c>
      <c r="H208" s="342">
        <v>44345</v>
      </c>
      <c r="I208" s="314">
        <v>754</v>
      </c>
      <c r="J208" s="310" t="s">
        <v>58</v>
      </c>
      <c r="K208" s="491" t="s">
        <v>680</v>
      </c>
      <c r="L208" s="500" t="s">
        <v>1127</v>
      </c>
      <c r="M208" s="491" t="s">
        <v>60</v>
      </c>
      <c r="N208" s="500" t="s">
        <v>1127</v>
      </c>
      <c r="O208" s="356"/>
      <c r="P208" s="314"/>
      <c r="Q208" s="310" t="s">
        <v>1521</v>
      </c>
      <c r="R208" s="310" t="s">
        <v>206</v>
      </c>
      <c r="S208" s="310" t="s">
        <v>206</v>
      </c>
      <c r="T208" s="310" t="s">
        <v>206</v>
      </c>
      <c r="U208" s="310" t="s">
        <v>206</v>
      </c>
      <c r="V208" s="309">
        <v>44720</v>
      </c>
      <c r="W208" s="310" t="s">
        <v>206</v>
      </c>
      <c r="X208" s="310" t="s">
        <v>1309</v>
      </c>
      <c r="Y208" s="861" t="s">
        <v>869</v>
      </c>
      <c r="Z208" s="491"/>
      <c r="AA208" s="552"/>
      <c r="AB208" s="310"/>
      <c r="AC208" s="310"/>
      <c r="AD208" s="351">
        <v>44588</v>
      </c>
      <c r="AE208" s="351"/>
      <c r="AF208" s="344">
        <v>45178</v>
      </c>
      <c r="AG208" s="343" t="s">
        <v>1626</v>
      </c>
      <c r="AH208" s="519">
        <v>45102</v>
      </c>
      <c r="AI208" s="519">
        <v>45150</v>
      </c>
      <c r="AJ208" s="3" t="s">
        <v>1501</v>
      </c>
      <c r="AK208" s="3" t="s">
        <v>1627</v>
      </c>
      <c r="AM208" s="84">
        <v>45778</v>
      </c>
      <c r="AN208" s="84"/>
    </row>
    <row r="209" spans="1:40" ht="13.35" customHeight="1" x14ac:dyDescent="0.25">
      <c r="A209" s="996">
        <v>208</v>
      </c>
      <c r="B209" s="311">
        <v>37585</v>
      </c>
      <c r="C209" s="345" t="s">
        <v>54</v>
      </c>
      <c r="D209" s="346" t="s">
        <v>1628</v>
      </c>
      <c r="E209" s="343" t="s">
        <v>1307</v>
      </c>
      <c r="F209" s="310" t="s">
        <v>1102</v>
      </c>
      <c r="G209" s="310" t="s">
        <v>14</v>
      </c>
      <c r="H209" s="342">
        <v>44345</v>
      </c>
      <c r="I209" s="314">
        <v>760</v>
      </c>
      <c r="J209" s="310" t="s">
        <v>58</v>
      </c>
      <c r="K209" s="491" t="s">
        <v>680</v>
      </c>
      <c r="L209" s="500" t="s">
        <v>1127</v>
      </c>
      <c r="M209" s="491" t="s">
        <v>60</v>
      </c>
      <c r="N209" s="500" t="s">
        <v>1127</v>
      </c>
      <c r="O209" s="356"/>
      <c r="P209" s="314"/>
      <c r="Q209" s="310" t="s">
        <v>1521</v>
      </c>
      <c r="R209" s="310" t="s">
        <v>206</v>
      </c>
      <c r="S209" s="310" t="s">
        <v>206</v>
      </c>
      <c r="T209" s="310" t="s">
        <v>206</v>
      </c>
      <c r="U209" s="310" t="s">
        <v>206</v>
      </c>
      <c r="V209" s="588" t="s">
        <v>68</v>
      </c>
      <c r="W209" s="310" t="s">
        <v>63</v>
      </c>
      <c r="X209" s="310" t="s">
        <v>1309</v>
      </c>
      <c r="Y209" s="861" t="s">
        <v>869</v>
      </c>
      <c r="Z209" s="491"/>
      <c r="AA209" s="552"/>
      <c r="AB209" s="310"/>
      <c r="AC209" s="310"/>
      <c r="AD209" s="351">
        <v>44588</v>
      </c>
      <c r="AE209" s="351"/>
      <c r="AF209" s="344">
        <v>45178</v>
      </c>
      <c r="AG209" s="343" t="s">
        <v>1626</v>
      </c>
      <c r="AH209" s="519">
        <v>45102</v>
      </c>
      <c r="AI209" s="519">
        <v>45150</v>
      </c>
      <c r="AJ209" s="3" t="s">
        <v>1501</v>
      </c>
      <c r="AK209" s="3" t="s">
        <v>1627</v>
      </c>
      <c r="AM209" s="84">
        <v>45778</v>
      </c>
      <c r="AN209" s="84"/>
    </row>
    <row r="210" spans="1:40" ht="13.35" customHeight="1" x14ac:dyDescent="0.25">
      <c r="A210" s="996">
        <v>209</v>
      </c>
      <c r="B210" s="1073">
        <v>37586</v>
      </c>
      <c r="C210" s="1068" t="s">
        <v>64</v>
      </c>
      <c r="D210" s="588" t="s">
        <v>1629</v>
      </c>
      <c r="E210" s="584" t="s">
        <v>1307</v>
      </c>
      <c r="F210" s="581" t="s">
        <v>1102</v>
      </c>
      <c r="G210" s="581" t="s">
        <v>14</v>
      </c>
      <c r="H210" s="579">
        <v>44362</v>
      </c>
      <c r="I210" s="580">
        <v>870</v>
      </c>
      <c r="J210" s="581" t="s">
        <v>58</v>
      </c>
      <c r="K210" s="582" t="s">
        <v>680</v>
      </c>
      <c r="L210" s="886">
        <v>44449</v>
      </c>
      <c r="M210" s="582" t="s">
        <v>60</v>
      </c>
      <c r="N210" s="583">
        <v>44463</v>
      </c>
      <c r="O210" s="1077"/>
      <c r="P210" s="586">
        <v>44724</v>
      </c>
      <c r="Q210" s="310" t="s">
        <v>1521</v>
      </c>
      <c r="R210" s="581" t="s">
        <v>206</v>
      </c>
      <c r="S210" s="581" t="s">
        <v>206</v>
      </c>
      <c r="T210" s="581" t="s">
        <v>206</v>
      </c>
      <c r="U210" s="581" t="s">
        <v>206</v>
      </c>
      <c r="V210" s="346" t="s">
        <v>62</v>
      </c>
      <c r="W210" s="581" t="s">
        <v>63</v>
      </c>
      <c r="X210" s="609" t="s">
        <v>1244</v>
      </c>
      <c r="Y210" s="861" t="s">
        <v>869</v>
      </c>
      <c r="Z210" s="888"/>
      <c r="AA210" s="1076">
        <v>44744</v>
      </c>
      <c r="AB210" s="581"/>
      <c r="AC210" s="581"/>
      <c r="AD210" s="1064">
        <v>44588</v>
      </c>
      <c r="AE210" s="1064"/>
      <c r="AF210" s="586">
        <v>44767</v>
      </c>
      <c r="AG210" s="890" t="s">
        <v>1630</v>
      </c>
      <c r="AH210" s="895">
        <v>45091</v>
      </c>
      <c r="AI210" s="269">
        <v>45297</v>
      </c>
      <c r="AJ210" s="239" t="s">
        <v>1501</v>
      </c>
      <c r="AK210" s="644" t="s">
        <v>1631</v>
      </c>
      <c r="AL210" s="649"/>
      <c r="AM210" s="239" t="s">
        <v>1632</v>
      </c>
      <c r="AN210" s="3"/>
    </row>
    <row r="211" spans="1:40" ht="13.35" customHeight="1" x14ac:dyDescent="0.25">
      <c r="A211" s="996">
        <v>210</v>
      </c>
      <c r="B211" s="311">
        <v>37586</v>
      </c>
      <c r="C211" s="345" t="s">
        <v>54</v>
      </c>
      <c r="D211" s="346" t="s">
        <v>1633</v>
      </c>
      <c r="E211" s="343" t="s">
        <v>1307</v>
      </c>
      <c r="F211" s="310" t="s">
        <v>1102</v>
      </c>
      <c r="G211" s="310" t="s">
        <v>14</v>
      </c>
      <c r="H211" s="342">
        <v>44362</v>
      </c>
      <c r="I211" s="314">
        <v>871</v>
      </c>
      <c r="J211" s="310" t="s">
        <v>58</v>
      </c>
      <c r="K211" s="491" t="s">
        <v>680</v>
      </c>
      <c r="L211" s="594">
        <v>44449</v>
      </c>
      <c r="M211" s="491" t="s">
        <v>60</v>
      </c>
      <c r="N211" s="495">
        <v>44463</v>
      </c>
      <c r="O211" s="356"/>
      <c r="P211" s="344">
        <v>44724</v>
      </c>
      <c r="Q211" s="310" t="s">
        <v>1521</v>
      </c>
      <c r="R211" s="310" t="s">
        <v>206</v>
      </c>
      <c r="S211" s="310" t="s">
        <v>206</v>
      </c>
      <c r="T211" s="310" t="s">
        <v>206</v>
      </c>
      <c r="U211" s="310" t="s">
        <v>206</v>
      </c>
      <c r="V211" s="588" t="s">
        <v>68</v>
      </c>
      <c r="W211" s="310" t="s">
        <v>63</v>
      </c>
      <c r="X211" s="609" t="s">
        <v>1244</v>
      </c>
      <c r="Y211" s="861" t="s">
        <v>869</v>
      </c>
      <c r="Z211" s="593"/>
      <c r="AA211" s="590">
        <v>44744</v>
      </c>
      <c r="AB211" s="310"/>
      <c r="AC211" s="310"/>
      <c r="AD211" s="351">
        <v>44586</v>
      </c>
      <c r="AE211" s="351"/>
      <c r="AF211" s="344">
        <v>44767</v>
      </c>
      <c r="AG211" s="602" t="s">
        <v>1630</v>
      </c>
      <c r="AH211" s="519">
        <v>45091</v>
      </c>
      <c r="AI211" s="52">
        <v>45297</v>
      </c>
      <c r="AJ211" s="3" t="s">
        <v>1501</v>
      </c>
      <c r="AK211" s="84">
        <v>45350</v>
      </c>
      <c r="AM211" s="84">
        <v>45576</v>
      </c>
      <c r="AN211" s="3"/>
    </row>
    <row r="212" spans="1:40" ht="13.35" customHeight="1" x14ac:dyDescent="0.25">
      <c r="A212" s="996">
        <v>211</v>
      </c>
      <c r="B212" s="339">
        <v>39093</v>
      </c>
      <c r="C212" s="340" t="s">
        <v>64</v>
      </c>
      <c r="D212" s="341" t="s">
        <v>1634</v>
      </c>
      <c r="E212" s="343" t="s">
        <v>1307</v>
      </c>
      <c r="F212" s="310" t="s">
        <v>1102</v>
      </c>
      <c r="G212" s="310" t="s">
        <v>14</v>
      </c>
      <c r="H212" s="342">
        <v>43724</v>
      </c>
      <c r="I212" s="314">
        <v>539</v>
      </c>
      <c r="J212" s="310" t="s">
        <v>58</v>
      </c>
      <c r="K212" s="491" t="s">
        <v>680</v>
      </c>
      <c r="L212" s="594">
        <v>44146</v>
      </c>
      <c r="M212" s="491" t="s">
        <v>60</v>
      </c>
      <c r="N212" s="495">
        <v>44173</v>
      </c>
      <c r="O212" s="343"/>
      <c r="P212" s="344">
        <v>44754</v>
      </c>
      <c r="Q212" s="310" t="s">
        <v>1521</v>
      </c>
      <c r="R212" s="310" t="s">
        <v>1496</v>
      </c>
      <c r="S212" s="525" t="s">
        <v>63</v>
      </c>
      <c r="T212" s="310" t="s">
        <v>206</v>
      </c>
      <c r="U212" s="310" t="s">
        <v>206</v>
      </c>
      <c r="V212" s="346" t="s">
        <v>62</v>
      </c>
      <c r="W212" s="310" t="s">
        <v>206</v>
      </c>
      <c r="X212" s="310" t="s">
        <v>1428</v>
      </c>
      <c r="Y212" s="861" t="s">
        <v>869</v>
      </c>
      <c r="Z212" s="593" t="s">
        <v>869</v>
      </c>
      <c r="AA212" s="590">
        <v>44754</v>
      </c>
      <c r="AB212" s="310"/>
      <c r="AC212" s="310"/>
      <c r="AD212" s="351">
        <v>44586</v>
      </c>
      <c r="AE212" s="351"/>
      <c r="AF212" s="344">
        <v>44767</v>
      </c>
      <c r="AG212" s="602">
        <v>45471</v>
      </c>
      <c r="AH212" s="535">
        <v>45084</v>
      </c>
      <c r="AI212" s="84">
        <v>45184</v>
      </c>
      <c r="AJ212" s="3" t="s">
        <v>1501</v>
      </c>
      <c r="AK212" s="84">
        <v>45488</v>
      </c>
      <c r="AL212" s="84">
        <v>45358</v>
      </c>
      <c r="AM212" s="3" t="s">
        <v>1452</v>
      </c>
      <c r="AN212" s="3"/>
    </row>
    <row r="213" spans="1:40" ht="12.75" customHeight="1" x14ac:dyDescent="0.25">
      <c r="A213" s="996">
        <v>212</v>
      </c>
      <c r="B213" s="339">
        <v>39093</v>
      </c>
      <c r="C213" s="340" t="s">
        <v>54</v>
      </c>
      <c r="D213" s="341" t="s">
        <v>1635</v>
      </c>
      <c r="E213" s="343" t="s">
        <v>1307</v>
      </c>
      <c r="F213" s="310" t="s">
        <v>1102</v>
      </c>
      <c r="G213" s="310" t="s">
        <v>14</v>
      </c>
      <c r="H213" s="342">
        <v>43724</v>
      </c>
      <c r="I213" s="314">
        <v>536</v>
      </c>
      <c r="J213" s="310" t="s">
        <v>58</v>
      </c>
      <c r="K213" s="491" t="s">
        <v>680</v>
      </c>
      <c r="L213" s="594">
        <v>44146</v>
      </c>
      <c r="M213" s="491" t="s">
        <v>60</v>
      </c>
      <c r="N213" s="495">
        <v>44173</v>
      </c>
      <c r="O213" s="343"/>
      <c r="P213" s="344">
        <v>44754</v>
      </c>
      <c r="Q213" s="310" t="s">
        <v>1521</v>
      </c>
      <c r="R213" s="310" t="s">
        <v>1496</v>
      </c>
      <c r="S213" s="525" t="s">
        <v>63</v>
      </c>
      <c r="T213" s="310" t="s">
        <v>206</v>
      </c>
      <c r="U213" s="310" t="s">
        <v>206</v>
      </c>
      <c r="V213" s="588" t="s">
        <v>68</v>
      </c>
      <c r="W213" s="310" t="s">
        <v>206</v>
      </c>
      <c r="X213" s="310" t="s">
        <v>1428</v>
      </c>
      <c r="Y213" s="861" t="s">
        <v>869</v>
      </c>
      <c r="Z213" s="593" t="s">
        <v>869</v>
      </c>
      <c r="AA213" s="590">
        <v>44754</v>
      </c>
      <c r="AB213" s="310" t="s">
        <v>1636</v>
      </c>
      <c r="AC213" s="310"/>
      <c r="AD213" s="351">
        <v>44586</v>
      </c>
      <c r="AE213" s="351"/>
      <c r="AF213" s="344">
        <v>44767</v>
      </c>
      <c r="AG213" s="602">
        <v>45471</v>
      </c>
      <c r="AH213" s="535">
        <v>45084</v>
      </c>
      <c r="AI213" s="84">
        <v>45184</v>
      </c>
      <c r="AJ213" s="3" t="s">
        <v>1501</v>
      </c>
      <c r="AK213" s="84">
        <v>45488</v>
      </c>
      <c r="AL213" s="84">
        <v>45358</v>
      </c>
      <c r="AM213" s="3" t="s">
        <v>1452</v>
      </c>
      <c r="AN213" s="3"/>
    </row>
    <row r="214" spans="1:40" ht="12" customHeight="1" x14ac:dyDescent="0.25">
      <c r="A214" s="996">
        <v>213</v>
      </c>
      <c r="B214" s="339">
        <v>39095</v>
      </c>
      <c r="C214" s="340" t="s">
        <v>64</v>
      </c>
      <c r="D214" s="314" t="s">
        <v>1637</v>
      </c>
      <c r="E214" s="343" t="s">
        <v>1307</v>
      </c>
      <c r="F214" s="310" t="s">
        <v>1102</v>
      </c>
      <c r="G214" s="310" t="s">
        <v>14</v>
      </c>
      <c r="H214" s="342">
        <v>43728</v>
      </c>
      <c r="I214" s="314">
        <v>590</v>
      </c>
      <c r="J214" s="310" t="s">
        <v>58</v>
      </c>
      <c r="K214" s="491" t="s">
        <v>680</v>
      </c>
      <c r="L214" s="594">
        <v>44256</v>
      </c>
      <c r="M214" s="491" t="s">
        <v>60</v>
      </c>
      <c r="N214" s="495">
        <v>44475</v>
      </c>
      <c r="O214" s="343">
        <v>44910</v>
      </c>
      <c r="P214" s="344">
        <v>45385</v>
      </c>
      <c r="Q214" s="310" t="s">
        <v>1521</v>
      </c>
      <c r="R214" s="343" t="s">
        <v>1127</v>
      </c>
      <c r="S214" s="525" t="s">
        <v>63</v>
      </c>
      <c r="T214" s="310" t="s">
        <v>206</v>
      </c>
      <c r="U214" s="310" t="s">
        <v>206</v>
      </c>
      <c r="V214" s="346" t="s">
        <v>62</v>
      </c>
      <c r="W214" s="310" t="s">
        <v>206</v>
      </c>
      <c r="X214" s="310" t="s">
        <v>1309</v>
      </c>
      <c r="Y214" s="861" t="s">
        <v>869</v>
      </c>
      <c r="Z214" s="593" t="s">
        <v>869</v>
      </c>
      <c r="AA214" s="590">
        <v>44792</v>
      </c>
      <c r="AB214" s="310"/>
      <c r="AC214" s="310"/>
      <c r="AD214" s="351">
        <v>44596</v>
      </c>
      <c r="AE214" s="351"/>
      <c r="AF214" s="344">
        <v>45104</v>
      </c>
      <c r="AG214" s="536" t="s">
        <v>1553</v>
      </c>
      <c r="AH214" s="609">
        <v>45107</v>
      </c>
      <c r="AI214" s="84">
        <v>45107</v>
      </c>
      <c r="AJ214" s="3" t="s">
        <v>1116</v>
      </c>
      <c r="AK214" s="84">
        <v>45477</v>
      </c>
      <c r="AM214" s="3" t="s">
        <v>1638</v>
      </c>
      <c r="AN214" s="3"/>
    </row>
    <row r="215" spans="1:40" ht="13.35" customHeight="1" x14ac:dyDescent="0.25">
      <c r="A215" s="996">
        <v>214</v>
      </c>
      <c r="B215" s="339">
        <v>39095</v>
      </c>
      <c r="C215" s="340" t="s">
        <v>54</v>
      </c>
      <c r="D215" s="314" t="s">
        <v>1639</v>
      </c>
      <c r="E215" s="343" t="s">
        <v>1307</v>
      </c>
      <c r="F215" s="310" t="s">
        <v>1102</v>
      </c>
      <c r="G215" s="310" t="s">
        <v>14</v>
      </c>
      <c r="H215" s="342">
        <v>43728</v>
      </c>
      <c r="I215" s="314">
        <v>591</v>
      </c>
      <c r="J215" s="310" t="s">
        <v>58</v>
      </c>
      <c r="K215" s="491" t="s">
        <v>680</v>
      </c>
      <c r="L215" s="594">
        <v>44256</v>
      </c>
      <c r="M215" s="491" t="s">
        <v>60</v>
      </c>
      <c r="N215" s="495">
        <v>44475</v>
      </c>
      <c r="O215" s="343">
        <v>44910</v>
      </c>
      <c r="P215" s="344">
        <v>45385</v>
      </c>
      <c r="Q215" s="310" t="s">
        <v>1521</v>
      </c>
      <c r="R215" s="343" t="s">
        <v>1127</v>
      </c>
      <c r="S215" s="525" t="s">
        <v>63</v>
      </c>
      <c r="T215" s="310" t="s">
        <v>206</v>
      </c>
      <c r="U215" s="310" t="s">
        <v>206</v>
      </c>
      <c r="V215" s="588" t="s">
        <v>68</v>
      </c>
      <c r="W215" s="310" t="s">
        <v>206</v>
      </c>
      <c r="X215" s="310" t="s">
        <v>1309</v>
      </c>
      <c r="Y215" s="861" t="s">
        <v>869</v>
      </c>
      <c r="Z215" s="593" t="s">
        <v>869</v>
      </c>
      <c r="AA215" s="590">
        <v>44792</v>
      </c>
      <c r="AB215" s="310"/>
      <c r="AC215" s="310"/>
      <c r="AD215" s="351">
        <v>44596</v>
      </c>
      <c r="AE215" s="351"/>
      <c r="AF215" s="344">
        <v>45104</v>
      </c>
      <c r="AG215" s="536" t="s">
        <v>1553</v>
      </c>
      <c r="AH215" s="609">
        <v>45107</v>
      </c>
      <c r="AI215" s="84">
        <v>45107</v>
      </c>
      <c r="AJ215" s="3" t="s">
        <v>1116</v>
      </c>
      <c r="AK215" s="84">
        <v>45477</v>
      </c>
      <c r="AM215" s="3" t="s">
        <v>1638</v>
      </c>
      <c r="AN215" s="3"/>
    </row>
    <row r="216" spans="1:40" ht="13.35" customHeight="1" x14ac:dyDescent="0.25">
      <c r="A216" s="996">
        <v>215</v>
      </c>
      <c r="B216" s="311">
        <v>39111</v>
      </c>
      <c r="C216" s="310" t="s">
        <v>64</v>
      </c>
      <c r="D216" s="346" t="s">
        <v>1640</v>
      </c>
      <c r="E216" s="343" t="s">
        <v>1307</v>
      </c>
      <c r="F216" s="310" t="s">
        <v>1102</v>
      </c>
      <c r="G216" s="310" t="s">
        <v>14</v>
      </c>
      <c r="H216" s="309">
        <v>44690</v>
      </c>
      <c r="I216" s="310">
        <v>1108</v>
      </c>
      <c r="J216" s="310" t="s">
        <v>58</v>
      </c>
      <c r="K216" s="491" t="s">
        <v>680</v>
      </c>
      <c r="L216" s="594" t="s">
        <v>1127</v>
      </c>
      <c r="M216" s="491" t="s">
        <v>60</v>
      </c>
      <c r="N216" s="495" t="s">
        <v>1127</v>
      </c>
      <c r="O216" s="343">
        <v>44959</v>
      </c>
      <c r="P216" s="314"/>
      <c r="Q216" s="310" t="s">
        <v>1521</v>
      </c>
      <c r="R216" s="343">
        <v>44392</v>
      </c>
      <c r="S216" s="310" t="s">
        <v>206</v>
      </c>
      <c r="T216" s="310" t="s">
        <v>206</v>
      </c>
      <c r="U216" s="310" t="s">
        <v>206</v>
      </c>
      <c r="V216" s="346" t="s">
        <v>62</v>
      </c>
      <c r="W216" s="310" t="s">
        <v>206</v>
      </c>
      <c r="X216" s="609" t="s">
        <v>1244</v>
      </c>
      <c r="Y216" s="861" t="s">
        <v>869</v>
      </c>
      <c r="Z216" s="593"/>
      <c r="AA216" s="590">
        <v>44777</v>
      </c>
      <c r="AB216" s="310"/>
      <c r="AC216" s="310"/>
      <c r="AD216" s="343" t="s">
        <v>1127</v>
      </c>
      <c r="AE216" s="343"/>
      <c r="AF216" s="344">
        <v>44690</v>
      </c>
      <c r="AG216" s="536" t="s">
        <v>1619</v>
      </c>
      <c r="AH216" s="609">
        <v>45091</v>
      </c>
      <c r="AI216" s="84">
        <v>45075</v>
      </c>
      <c r="AJ216" s="3" t="s">
        <v>1116</v>
      </c>
      <c r="AK216" s="84">
        <v>45371</v>
      </c>
      <c r="AL216" s="84">
        <v>45452</v>
      </c>
      <c r="AM216" s="84">
        <v>45452</v>
      </c>
      <c r="AN216" s="3"/>
    </row>
    <row r="217" spans="1:40" ht="13.35" customHeight="1" x14ac:dyDescent="0.25">
      <c r="A217" s="996">
        <v>216</v>
      </c>
      <c r="B217" s="1035">
        <v>39111</v>
      </c>
      <c r="C217" s="861" t="s">
        <v>54</v>
      </c>
      <c r="D217" s="884" t="s">
        <v>1641</v>
      </c>
      <c r="E217" s="865" t="s">
        <v>1307</v>
      </c>
      <c r="F217" s="861" t="s">
        <v>1102</v>
      </c>
      <c r="G217" s="861" t="s">
        <v>14</v>
      </c>
      <c r="H217" s="939">
        <v>44690</v>
      </c>
      <c r="I217" s="861">
        <v>1109</v>
      </c>
      <c r="J217" s="861" t="s">
        <v>58</v>
      </c>
      <c r="K217" s="862" t="s">
        <v>680</v>
      </c>
      <c r="L217" s="1034" t="s">
        <v>1127</v>
      </c>
      <c r="M217" s="862" t="s">
        <v>60</v>
      </c>
      <c r="N217" s="864" t="s">
        <v>1127</v>
      </c>
      <c r="O217" s="865">
        <v>44959</v>
      </c>
      <c r="P217" s="859"/>
      <c r="Q217" s="310" t="s">
        <v>1521</v>
      </c>
      <c r="R217" s="865">
        <v>44392</v>
      </c>
      <c r="S217" s="861" t="s">
        <v>206</v>
      </c>
      <c r="T217" s="861" t="s">
        <v>206</v>
      </c>
      <c r="U217" s="861" t="s">
        <v>206</v>
      </c>
      <c r="V217" s="1000" t="s">
        <v>206</v>
      </c>
      <c r="W217" s="861" t="s">
        <v>206</v>
      </c>
      <c r="X217" s="609" t="s">
        <v>1244</v>
      </c>
      <c r="Y217" s="861" t="s">
        <v>869</v>
      </c>
      <c r="Z217" s="867"/>
      <c r="AA217" s="1039">
        <v>44777</v>
      </c>
      <c r="AB217" s="861"/>
      <c r="AC217" s="861"/>
      <c r="AD217" s="865" t="s">
        <v>1127</v>
      </c>
      <c r="AE217" s="865"/>
      <c r="AF217" s="1031">
        <v>44690</v>
      </c>
      <c r="AG217" s="875" t="s">
        <v>1619</v>
      </c>
      <c r="AH217" s="991">
        <v>45091</v>
      </c>
      <c r="AI217" s="876">
        <v>45075</v>
      </c>
      <c r="AJ217" s="115" t="s">
        <v>1116</v>
      </c>
      <c r="AK217" s="876">
        <v>45371</v>
      </c>
      <c r="AL217" s="876">
        <v>45452</v>
      </c>
      <c r="AM217" s="876">
        <v>45452</v>
      </c>
      <c r="AN217" s="3"/>
    </row>
    <row r="218" spans="1:40" ht="13.35" customHeight="1" x14ac:dyDescent="0.25">
      <c r="A218" s="996">
        <v>217</v>
      </c>
      <c r="B218" s="339">
        <v>39132</v>
      </c>
      <c r="C218" s="340" t="s">
        <v>64</v>
      </c>
      <c r="D218" s="341" t="s">
        <v>1642</v>
      </c>
      <c r="E218" s="343" t="s">
        <v>1307</v>
      </c>
      <c r="F218" s="310" t="s">
        <v>1102</v>
      </c>
      <c r="G218" s="310" t="s">
        <v>14</v>
      </c>
      <c r="H218" s="342">
        <v>43889</v>
      </c>
      <c r="I218" s="314">
        <v>665</v>
      </c>
      <c r="J218" s="310" t="s">
        <v>58</v>
      </c>
      <c r="K218" s="491" t="s">
        <v>680</v>
      </c>
      <c r="L218" s="495">
        <v>44090</v>
      </c>
      <c r="M218" s="491" t="s">
        <v>60</v>
      </c>
      <c r="N218" s="495">
        <v>44207</v>
      </c>
      <c r="O218" s="343">
        <v>45138</v>
      </c>
      <c r="P218" s="344">
        <v>44720</v>
      </c>
      <c r="Q218" s="310" t="s">
        <v>1521</v>
      </c>
      <c r="R218" s="309" t="s">
        <v>68</v>
      </c>
      <c r="S218" s="525" t="s">
        <v>63</v>
      </c>
      <c r="T218" s="310" t="s">
        <v>206</v>
      </c>
      <c r="U218" s="310" t="s">
        <v>206</v>
      </c>
      <c r="V218" s="349" t="s">
        <v>206</v>
      </c>
      <c r="W218" s="310" t="s">
        <v>206</v>
      </c>
      <c r="X218" s="310" t="s">
        <v>1309</v>
      </c>
      <c r="Y218" s="861" t="s">
        <v>869</v>
      </c>
      <c r="Z218" s="491" t="s">
        <v>869</v>
      </c>
      <c r="AA218" s="533">
        <v>44744</v>
      </c>
      <c r="AB218" s="310" t="s">
        <v>1643</v>
      </c>
      <c r="AC218" s="310"/>
      <c r="AD218" s="351">
        <v>44586</v>
      </c>
      <c r="AE218" s="351"/>
      <c r="AF218" s="344">
        <v>44736</v>
      </c>
      <c r="AG218" s="84" t="s">
        <v>1568</v>
      </c>
      <c r="AH218" s="535">
        <v>45162</v>
      </c>
      <c r="AI218" s="251">
        <v>45104</v>
      </c>
      <c r="AJ218" s="24" t="s">
        <v>1116</v>
      </c>
      <c r="AK218" s="251">
        <v>45441</v>
      </c>
      <c r="AM218" s="3" t="s">
        <v>1644</v>
      </c>
      <c r="AN218" s="3"/>
    </row>
    <row r="219" spans="1:40" ht="13.35" customHeight="1" x14ac:dyDescent="0.25">
      <c r="A219" s="996">
        <v>218</v>
      </c>
      <c r="B219" s="339">
        <v>39132</v>
      </c>
      <c r="C219" s="340" t="s">
        <v>54</v>
      </c>
      <c r="D219" s="335" t="s">
        <v>1645</v>
      </c>
      <c r="E219" s="343" t="s">
        <v>1307</v>
      </c>
      <c r="F219" s="310" t="s">
        <v>1102</v>
      </c>
      <c r="G219" s="310" t="s">
        <v>14</v>
      </c>
      <c r="H219" s="342">
        <v>43889</v>
      </c>
      <c r="I219" s="314">
        <v>667</v>
      </c>
      <c r="J219" s="310" t="s">
        <v>58</v>
      </c>
      <c r="K219" s="491" t="s">
        <v>680</v>
      </c>
      <c r="L219" s="495">
        <v>44090</v>
      </c>
      <c r="M219" s="491" t="s">
        <v>60</v>
      </c>
      <c r="N219" s="495">
        <v>44207</v>
      </c>
      <c r="O219" s="343">
        <v>45138</v>
      </c>
      <c r="P219" s="344">
        <v>44720</v>
      </c>
      <c r="Q219" s="310" t="s">
        <v>1521</v>
      </c>
      <c r="R219" s="309" t="s">
        <v>62</v>
      </c>
      <c r="S219" s="525" t="s">
        <v>63</v>
      </c>
      <c r="T219" s="310" t="s">
        <v>206</v>
      </c>
      <c r="U219" s="310" t="s">
        <v>206</v>
      </c>
      <c r="V219" s="349" t="s">
        <v>206</v>
      </c>
      <c r="W219" s="310" t="s">
        <v>206</v>
      </c>
      <c r="X219" s="310" t="s">
        <v>1309</v>
      </c>
      <c r="Y219" s="861" t="s">
        <v>869</v>
      </c>
      <c r="Z219" s="491" t="s">
        <v>869</v>
      </c>
      <c r="AA219" s="533">
        <v>44744</v>
      </c>
      <c r="AB219" s="52" t="s">
        <v>1646</v>
      </c>
      <c r="AC219" s="310" t="s">
        <v>1647</v>
      </c>
      <c r="AD219" s="351">
        <v>44586</v>
      </c>
      <c r="AE219" s="351"/>
      <c r="AF219" s="344">
        <v>44736</v>
      </c>
      <c r="AG219" s="84" t="s">
        <v>1568</v>
      </c>
      <c r="AH219" s="535">
        <v>45162</v>
      </c>
      <c r="AI219" s="251">
        <v>45104</v>
      </c>
      <c r="AJ219" s="24" t="s">
        <v>1116</v>
      </c>
      <c r="AK219" s="251">
        <v>45441</v>
      </c>
      <c r="AM219" s="3" t="s">
        <v>1644</v>
      </c>
      <c r="AN219" s="3"/>
    </row>
    <row r="220" spans="1:40" ht="13.35" customHeight="1" x14ac:dyDescent="0.25">
      <c r="A220" s="996">
        <v>219</v>
      </c>
      <c r="B220" s="1073">
        <v>30547</v>
      </c>
      <c r="C220" s="1068" t="s">
        <v>64</v>
      </c>
      <c r="D220" s="588" t="s">
        <v>1648</v>
      </c>
      <c r="E220" s="578" t="s">
        <v>1242</v>
      </c>
      <c r="F220" s="581" t="s">
        <v>1243</v>
      </c>
      <c r="G220" s="581" t="s">
        <v>14</v>
      </c>
      <c r="H220" s="1069">
        <v>42870</v>
      </c>
      <c r="I220" s="581">
        <v>86</v>
      </c>
      <c r="J220" s="581" t="s">
        <v>58</v>
      </c>
      <c r="K220" s="582" t="s">
        <v>1249</v>
      </c>
      <c r="L220" s="1058"/>
      <c r="M220" s="582" t="s">
        <v>60</v>
      </c>
      <c r="N220" s="583">
        <v>44479</v>
      </c>
      <c r="O220" s="584" t="s">
        <v>1649</v>
      </c>
      <c r="P220" s="580" t="s">
        <v>234</v>
      </c>
      <c r="Q220" s="581" t="s">
        <v>1289</v>
      </c>
      <c r="R220" s="887" t="s">
        <v>68</v>
      </c>
      <c r="S220" s="887" t="s">
        <v>68</v>
      </c>
      <c r="T220" s="581" t="s">
        <v>68</v>
      </c>
      <c r="U220" s="581" t="s">
        <v>68</v>
      </c>
      <c r="V220" s="581" t="s">
        <v>68</v>
      </c>
      <c r="W220" s="887" t="s">
        <v>68</v>
      </c>
      <c r="X220" s="310" t="s">
        <v>1250</v>
      </c>
      <c r="Y220" s="861" t="s">
        <v>869</v>
      </c>
      <c r="Z220" s="888"/>
      <c r="AA220" s="889"/>
      <c r="AB220" s="581"/>
      <c r="AC220" s="581"/>
      <c r="AD220" s="1064">
        <v>44885</v>
      </c>
      <c r="AE220" s="1106"/>
      <c r="AF220" s="893">
        <v>45396</v>
      </c>
      <c r="AG220" s="537" t="s">
        <v>1553</v>
      </c>
      <c r="AH220" s="994">
        <v>45163</v>
      </c>
      <c r="AI220" s="644">
        <v>45163</v>
      </c>
      <c r="AJ220" s="242" t="s">
        <v>1116</v>
      </c>
      <c r="AK220" s="1075" t="s">
        <v>1649</v>
      </c>
      <c r="AL220" s="644">
        <v>45350</v>
      </c>
      <c r="AM220" s="1299"/>
      <c r="AN220" s="3"/>
    </row>
    <row r="221" spans="1:40" ht="13.35" customHeight="1" x14ac:dyDescent="0.25">
      <c r="A221" s="996">
        <v>220</v>
      </c>
      <c r="B221" s="311">
        <v>30547</v>
      </c>
      <c r="C221" s="345" t="s">
        <v>54</v>
      </c>
      <c r="D221" s="346" t="s">
        <v>1650</v>
      </c>
      <c r="E221" s="335" t="s">
        <v>1242</v>
      </c>
      <c r="F221" s="310" t="s">
        <v>1243</v>
      </c>
      <c r="G221" s="310" t="s">
        <v>14</v>
      </c>
      <c r="H221" s="336">
        <v>42870</v>
      </c>
      <c r="I221" s="310">
        <v>87</v>
      </c>
      <c r="J221" s="310" t="s">
        <v>58</v>
      </c>
      <c r="K221" s="491" t="s">
        <v>1249</v>
      </c>
      <c r="L221" s="592"/>
      <c r="M221" s="491" t="s">
        <v>60</v>
      </c>
      <c r="N221" s="495">
        <v>44294</v>
      </c>
      <c r="O221" s="343" t="s">
        <v>1649</v>
      </c>
      <c r="P221" s="314" t="s">
        <v>234</v>
      </c>
      <c r="Q221" s="310" t="s">
        <v>1289</v>
      </c>
      <c r="R221" s="309" t="s">
        <v>62</v>
      </c>
      <c r="S221" s="309" t="s">
        <v>62</v>
      </c>
      <c r="T221" s="310" t="s">
        <v>62</v>
      </c>
      <c r="U221" s="310" t="s">
        <v>62</v>
      </c>
      <c r="V221" s="310" t="s">
        <v>62</v>
      </c>
      <c r="W221" s="309" t="s">
        <v>62</v>
      </c>
      <c r="X221" s="310" t="s">
        <v>1250</v>
      </c>
      <c r="Y221" s="861" t="s">
        <v>869</v>
      </c>
      <c r="Z221" s="593"/>
      <c r="AA221" s="589"/>
      <c r="AB221" s="310"/>
      <c r="AC221" s="310"/>
      <c r="AD221" s="351">
        <v>44885</v>
      </c>
      <c r="AE221" s="351"/>
      <c r="AF221" s="893">
        <v>45396</v>
      </c>
      <c r="AG221" s="536" t="s">
        <v>1553</v>
      </c>
      <c r="AH221" s="535">
        <v>45163</v>
      </c>
      <c r="AI221" s="84">
        <v>45163</v>
      </c>
      <c r="AJ221" s="24" t="s">
        <v>1116</v>
      </c>
      <c r="AK221" s="251" t="s">
        <v>1649</v>
      </c>
      <c r="AL221" s="84">
        <v>45350</v>
      </c>
      <c r="AM221" s="1299"/>
      <c r="AN221" s="3"/>
    </row>
    <row r="222" spans="1:40" ht="13.35" customHeight="1" x14ac:dyDescent="0.25">
      <c r="A222" s="996">
        <v>221</v>
      </c>
      <c r="B222" s="339">
        <v>30586</v>
      </c>
      <c r="C222" s="340" t="s">
        <v>64</v>
      </c>
      <c r="D222" s="341" t="s">
        <v>1651</v>
      </c>
      <c r="E222" s="335" t="s">
        <v>1242</v>
      </c>
      <c r="F222" s="310" t="s">
        <v>1243</v>
      </c>
      <c r="G222" s="310" t="s">
        <v>14</v>
      </c>
      <c r="H222" s="342">
        <v>42942</v>
      </c>
      <c r="I222" s="314">
        <v>100</v>
      </c>
      <c r="J222" s="310" t="s">
        <v>58</v>
      </c>
      <c r="K222" s="491" t="s">
        <v>680</v>
      </c>
      <c r="L222" s="597">
        <v>44757</v>
      </c>
      <c r="M222" s="491" t="s">
        <v>60</v>
      </c>
      <c r="N222" s="495">
        <v>44354</v>
      </c>
      <c r="O222" s="343">
        <v>45068</v>
      </c>
      <c r="P222" s="344">
        <v>45418</v>
      </c>
      <c r="Q222" s="581" t="s">
        <v>1289</v>
      </c>
      <c r="R222" s="309" t="s">
        <v>68</v>
      </c>
      <c r="S222" s="309" t="s">
        <v>68</v>
      </c>
      <c r="T222" s="310" t="s">
        <v>68</v>
      </c>
      <c r="U222" s="310" t="s">
        <v>68</v>
      </c>
      <c r="V222" s="310" t="s">
        <v>68</v>
      </c>
      <c r="W222" s="309" t="s">
        <v>68</v>
      </c>
      <c r="X222" s="310" t="s">
        <v>1250</v>
      </c>
      <c r="Y222" s="310" t="s">
        <v>1652</v>
      </c>
      <c r="Z222" s="593"/>
      <c r="AA222" s="589"/>
      <c r="AB222" s="310"/>
      <c r="AC222" s="310"/>
      <c r="AD222" s="344">
        <v>44768</v>
      </c>
      <c r="AE222" s="344"/>
      <c r="AF222" s="344">
        <v>44756</v>
      </c>
      <c r="AG222" s="536">
        <v>45634</v>
      </c>
      <c r="AH222" s="535">
        <v>45231</v>
      </c>
      <c r="AI222" s="52">
        <v>45230</v>
      </c>
      <c r="AJ222" s="24" t="s">
        <v>1116</v>
      </c>
      <c r="AK222" s="251">
        <v>45418</v>
      </c>
      <c r="AM222" s="84">
        <v>45634</v>
      </c>
      <c r="AN222" s="3"/>
    </row>
    <row r="223" spans="1:40" ht="12.75" customHeight="1" x14ac:dyDescent="0.25">
      <c r="A223" s="996">
        <v>222</v>
      </c>
      <c r="B223" s="339">
        <v>30586</v>
      </c>
      <c r="C223" s="340" t="s">
        <v>54</v>
      </c>
      <c r="D223" s="341" t="s">
        <v>1653</v>
      </c>
      <c r="E223" s="335" t="s">
        <v>1242</v>
      </c>
      <c r="F223" s="310" t="s">
        <v>1243</v>
      </c>
      <c r="G223" s="310" t="s">
        <v>14</v>
      </c>
      <c r="H223" s="342">
        <v>42942</v>
      </c>
      <c r="I223" s="314">
        <v>101</v>
      </c>
      <c r="J223" s="310" t="s">
        <v>58</v>
      </c>
      <c r="K223" s="491" t="s">
        <v>680</v>
      </c>
      <c r="L223" s="597">
        <v>44757</v>
      </c>
      <c r="M223" s="491" t="s">
        <v>60</v>
      </c>
      <c r="N223" s="495"/>
      <c r="O223" s="343">
        <v>45068</v>
      </c>
      <c r="P223" s="344">
        <v>45418</v>
      </c>
      <c r="Q223" s="581" t="s">
        <v>1289</v>
      </c>
      <c r="R223" s="309" t="s">
        <v>62</v>
      </c>
      <c r="S223" s="309" t="s">
        <v>62</v>
      </c>
      <c r="T223" s="310" t="s">
        <v>62</v>
      </c>
      <c r="U223" s="310" t="s">
        <v>62</v>
      </c>
      <c r="V223" s="310" t="s">
        <v>62</v>
      </c>
      <c r="W223" s="309" t="s">
        <v>62</v>
      </c>
      <c r="X223" s="310" t="s">
        <v>1250</v>
      </c>
      <c r="Y223" s="310" t="s">
        <v>1652</v>
      </c>
      <c r="Z223" s="593"/>
      <c r="AA223" s="589"/>
      <c r="AB223" s="310"/>
      <c r="AC223" s="310"/>
      <c r="AD223" s="344">
        <v>44768</v>
      </c>
      <c r="AE223" s="344"/>
      <c r="AF223" s="344">
        <v>44756</v>
      </c>
      <c r="AG223" s="536">
        <v>45634</v>
      </c>
      <c r="AH223" s="535">
        <v>45231</v>
      </c>
      <c r="AI223" s="52">
        <v>45230</v>
      </c>
      <c r="AJ223" s="24" t="s">
        <v>1116</v>
      </c>
      <c r="AK223" s="251">
        <v>45418</v>
      </c>
      <c r="AM223" s="84">
        <v>45634</v>
      </c>
      <c r="AN223" s="3"/>
    </row>
    <row r="224" spans="1:40" ht="12" customHeight="1" x14ac:dyDescent="0.25">
      <c r="A224" s="996">
        <v>223</v>
      </c>
      <c r="B224" s="528">
        <v>30594</v>
      </c>
      <c r="C224" s="334" t="s">
        <v>64</v>
      </c>
      <c r="D224" s="341" t="s">
        <v>1654</v>
      </c>
      <c r="E224" s="343" t="s">
        <v>1242</v>
      </c>
      <c r="F224" s="310" t="s">
        <v>1243</v>
      </c>
      <c r="G224" s="310" t="s">
        <v>14</v>
      </c>
      <c r="H224" s="520">
        <v>45100</v>
      </c>
      <c r="I224" s="314">
        <v>1168</v>
      </c>
      <c r="J224" s="310" t="s">
        <v>58</v>
      </c>
      <c r="K224" s="491" t="s">
        <v>680</v>
      </c>
      <c r="L224" s="597">
        <v>44722</v>
      </c>
      <c r="M224" s="491" t="s">
        <v>60</v>
      </c>
      <c r="N224" s="495">
        <v>44202</v>
      </c>
      <c r="O224" s="343">
        <v>44999</v>
      </c>
      <c r="P224" s="344"/>
      <c r="Q224" s="581" t="s">
        <v>1289</v>
      </c>
      <c r="R224" s="309" t="s">
        <v>68</v>
      </c>
      <c r="S224" s="309" t="s">
        <v>68</v>
      </c>
      <c r="T224" s="310" t="s">
        <v>68</v>
      </c>
      <c r="U224" s="310" t="s">
        <v>68</v>
      </c>
      <c r="V224" s="310" t="s">
        <v>68</v>
      </c>
      <c r="W224" s="309" t="s">
        <v>68</v>
      </c>
      <c r="X224" s="609" t="s">
        <v>1244</v>
      </c>
      <c r="Y224" s="310" t="s">
        <v>1652</v>
      </c>
      <c r="Z224" s="593"/>
      <c r="AA224" s="590" t="s">
        <v>1324</v>
      </c>
      <c r="AB224" s="310"/>
      <c r="AC224" s="310"/>
      <c r="AD224" s="344" t="s">
        <v>1324</v>
      </c>
      <c r="AE224" s="344"/>
      <c r="AF224" s="344" t="s">
        <v>1324</v>
      </c>
      <c r="AG224" s="270" t="s">
        <v>1525</v>
      </c>
      <c r="AH224" s="535">
        <v>45334</v>
      </c>
      <c r="AI224" s="52">
        <v>45196</v>
      </c>
      <c r="AJ224" s="24" t="s">
        <v>1116</v>
      </c>
      <c r="AK224" s="24" t="s">
        <v>1655</v>
      </c>
      <c r="AL224" s="84">
        <v>45400</v>
      </c>
      <c r="AM224" s="3" t="s">
        <v>1656</v>
      </c>
      <c r="AN224" s="3"/>
    </row>
    <row r="225" spans="1:40" ht="13.35" customHeight="1" x14ac:dyDescent="0.25">
      <c r="A225" s="996">
        <v>224</v>
      </c>
      <c r="B225" s="528">
        <v>30594</v>
      </c>
      <c r="C225" s="334" t="s">
        <v>54</v>
      </c>
      <c r="D225" s="341" t="s">
        <v>1657</v>
      </c>
      <c r="E225" s="343" t="s">
        <v>1242</v>
      </c>
      <c r="F225" s="310" t="s">
        <v>1243</v>
      </c>
      <c r="G225" s="310" t="s">
        <v>14</v>
      </c>
      <c r="H225" s="520">
        <v>45100</v>
      </c>
      <c r="I225" s="314">
        <v>1170</v>
      </c>
      <c r="J225" s="310" t="s">
        <v>58</v>
      </c>
      <c r="K225" s="491" t="s">
        <v>680</v>
      </c>
      <c r="L225" s="597">
        <v>44722</v>
      </c>
      <c r="M225" s="491" t="s">
        <v>60</v>
      </c>
      <c r="N225" s="495">
        <v>44202</v>
      </c>
      <c r="O225" s="343">
        <v>44999</v>
      </c>
      <c r="P225" s="344"/>
      <c r="Q225" s="581" t="s">
        <v>1289</v>
      </c>
      <c r="R225" s="309" t="s">
        <v>62</v>
      </c>
      <c r="S225" s="309" t="s">
        <v>62</v>
      </c>
      <c r="T225" s="310" t="s">
        <v>62</v>
      </c>
      <c r="U225" s="310" t="s">
        <v>62</v>
      </c>
      <c r="V225" s="310" t="s">
        <v>62</v>
      </c>
      <c r="W225" s="309" t="s">
        <v>62</v>
      </c>
      <c r="X225" s="609" t="s">
        <v>1244</v>
      </c>
      <c r="Y225" s="310" t="s">
        <v>1652</v>
      </c>
      <c r="Z225" s="593"/>
      <c r="AA225" s="590" t="s">
        <v>1324</v>
      </c>
      <c r="AB225" s="310"/>
      <c r="AC225" s="310"/>
      <c r="AD225" s="344" t="s">
        <v>1324</v>
      </c>
      <c r="AE225" s="344"/>
      <c r="AF225" s="344" t="s">
        <v>1324</v>
      </c>
      <c r="AG225" s="270" t="s">
        <v>1525</v>
      </c>
      <c r="AH225" s="535">
        <v>45334</v>
      </c>
      <c r="AI225" s="52">
        <v>45196</v>
      </c>
      <c r="AJ225" s="24" t="s">
        <v>1116</v>
      </c>
      <c r="AK225" s="24" t="s">
        <v>1655</v>
      </c>
      <c r="AL225" s="84">
        <v>45400</v>
      </c>
      <c r="AM225" s="3" t="s">
        <v>1656</v>
      </c>
      <c r="AN225" s="3"/>
    </row>
    <row r="226" spans="1:40" ht="13.35" customHeight="1" x14ac:dyDescent="0.25">
      <c r="A226" s="996">
        <v>225</v>
      </c>
      <c r="B226" s="339">
        <v>30601</v>
      </c>
      <c r="C226" s="340" t="s">
        <v>64</v>
      </c>
      <c r="D226" s="341" t="s">
        <v>1658</v>
      </c>
      <c r="E226" s="335" t="s">
        <v>1242</v>
      </c>
      <c r="F226" s="310" t="s">
        <v>1243</v>
      </c>
      <c r="G226" s="310" t="s">
        <v>14</v>
      </c>
      <c r="H226" s="342">
        <v>43038</v>
      </c>
      <c r="I226" s="314">
        <v>122</v>
      </c>
      <c r="J226" s="310" t="s">
        <v>58</v>
      </c>
      <c r="K226" s="491" t="s">
        <v>680</v>
      </c>
      <c r="L226" s="597">
        <v>44767</v>
      </c>
      <c r="M226" s="491" t="s">
        <v>60</v>
      </c>
      <c r="N226" s="495">
        <v>44289</v>
      </c>
      <c r="O226" s="343"/>
      <c r="P226" s="314"/>
      <c r="Q226" s="581" t="s">
        <v>1289</v>
      </c>
      <c r="R226" s="309" t="s">
        <v>68</v>
      </c>
      <c r="S226" s="309" t="s">
        <v>68</v>
      </c>
      <c r="T226" s="310" t="s">
        <v>68</v>
      </c>
      <c r="U226" s="310" t="s">
        <v>68</v>
      </c>
      <c r="V226" s="310" t="s">
        <v>68</v>
      </c>
      <c r="W226" s="309" t="s">
        <v>68</v>
      </c>
      <c r="X226" s="309" t="s">
        <v>1290</v>
      </c>
      <c r="Y226" s="310" t="s">
        <v>1659</v>
      </c>
      <c r="Z226" s="593"/>
      <c r="AA226" s="589"/>
      <c r="AB226" s="310"/>
      <c r="AC226" s="310"/>
      <c r="AD226" s="344">
        <v>44767</v>
      </c>
      <c r="AE226" s="344"/>
      <c r="AF226" s="344">
        <v>45282</v>
      </c>
      <c r="AG226" s="536">
        <v>45478</v>
      </c>
      <c r="AH226" s="609">
        <v>45282</v>
      </c>
      <c r="AI226" s="84">
        <v>45282</v>
      </c>
      <c r="AJ226" s="24" t="s">
        <v>1116</v>
      </c>
      <c r="AK226" s="251">
        <v>45416</v>
      </c>
      <c r="AM226" s="84">
        <v>45361</v>
      </c>
      <c r="AN226" s="3"/>
    </row>
    <row r="227" spans="1:40" ht="13.35" customHeight="1" x14ac:dyDescent="0.25">
      <c r="A227" s="996">
        <v>226</v>
      </c>
      <c r="B227" s="339">
        <v>30601</v>
      </c>
      <c r="C227" s="340" t="s">
        <v>54</v>
      </c>
      <c r="D227" s="341" t="s">
        <v>1660</v>
      </c>
      <c r="E227" s="335" t="s">
        <v>1242</v>
      </c>
      <c r="F227" s="310" t="s">
        <v>1243</v>
      </c>
      <c r="G227" s="310" t="s">
        <v>14</v>
      </c>
      <c r="H227" s="342">
        <v>43038</v>
      </c>
      <c r="I227" s="314">
        <v>123</v>
      </c>
      <c r="J227" s="310" t="s">
        <v>58</v>
      </c>
      <c r="K227" s="491" t="s">
        <v>680</v>
      </c>
      <c r="L227" s="597">
        <v>44767</v>
      </c>
      <c r="M227" s="491" t="s">
        <v>60</v>
      </c>
      <c r="N227" s="495">
        <v>44289</v>
      </c>
      <c r="O227" s="343"/>
      <c r="P227" s="314"/>
      <c r="Q227" s="581" t="s">
        <v>1289</v>
      </c>
      <c r="R227" s="309" t="s">
        <v>62</v>
      </c>
      <c r="S227" s="309" t="s">
        <v>62</v>
      </c>
      <c r="T227" s="310" t="s">
        <v>62</v>
      </c>
      <c r="U227" s="310" t="s">
        <v>62</v>
      </c>
      <c r="V227" s="310" t="s">
        <v>62</v>
      </c>
      <c r="W227" s="309" t="s">
        <v>62</v>
      </c>
      <c r="X227" s="309" t="s">
        <v>1290</v>
      </c>
      <c r="Y227" s="310" t="s">
        <v>1652</v>
      </c>
      <c r="Z227" s="593"/>
      <c r="AA227" s="589"/>
      <c r="AB227" s="310"/>
      <c r="AC227" s="310"/>
      <c r="AD227" s="344">
        <v>44767</v>
      </c>
      <c r="AE227" s="344"/>
      <c r="AF227" s="344">
        <v>45282</v>
      </c>
      <c r="AG227" s="521">
        <v>45478</v>
      </c>
      <c r="AH227" s="609">
        <v>45282</v>
      </c>
      <c r="AI227" s="84">
        <v>45282</v>
      </c>
      <c r="AJ227" s="24" t="s">
        <v>1116</v>
      </c>
      <c r="AK227" s="251">
        <v>45416</v>
      </c>
      <c r="AM227" s="84">
        <v>45361</v>
      </c>
      <c r="AN227" s="3"/>
    </row>
    <row r="228" spans="1:40" ht="13.35" customHeight="1" x14ac:dyDescent="0.25">
      <c r="A228" s="996">
        <v>227</v>
      </c>
      <c r="B228" s="311">
        <v>30728</v>
      </c>
      <c r="C228" s="310" t="s">
        <v>64</v>
      </c>
      <c r="D228" s="310" t="s">
        <v>1661</v>
      </c>
      <c r="E228" s="335" t="s">
        <v>1242</v>
      </c>
      <c r="F228" s="310" t="s">
        <v>1243</v>
      </c>
      <c r="G228" s="310" t="s">
        <v>14</v>
      </c>
      <c r="H228" s="309">
        <v>44384</v>
      </c>
      <c r="I228" s="310">
        <v>1023</v>
      </c>
      <c r="J228" s="310" t="s">
        <v>58</v>
      </c>
      <c r="K228" s="491" t="s">
        <v>680</v>
      </c>
      <c r="L228" s="594" t="s">
        <v>1127</v>
      </c>
      <c r="M228" s="491" t="s">
        <v>60</v>
      </c>
      <c r="N228" s="495" t="s">
        <v>1127</v>
      </c>
      <c r="O228" s="343"/>
      <c r="P228" s="344">
        <v>44758</v>
      </c>
      <c r="Q228" s="581" t="s">
        <v>1289</v>
      </c>
      <c r="R228" s="309" t="s">
        <v>68</v>
      </c>
      <c r="S228" s="309" t="s">
        <v>68</v>
      </c>
      <c r="T228" s="309" t="s">
        <v>68</v>
      </c>
      <c r="U228" s="309" t="s">
        <v>68</v>
      </c>
      <c r="V228" s="309" t="s">
        <v>68</v>
      </c>
      <c r="W228" s="309" t="s">
        <v>68</v>
      </c>
      <c r="X228" s="609" t="s">
        <v>1244</v>
      </c>
      <c r="Y228" s="310"/>
      <c r="Z228" s="593"/>
      <c r="AA228" s="589"/>
      <c r="AB228" s="310"/>
      <c r="AC228" s="310"/>
      <c r="AD228" s="351">
        <v>44946</v>
      </c>
      <c r="AE228" s="351"/>
      <c r="AF228" s="344">
        <v>44758</v>
      </c>
      <c r="AG228" s="536">
        <v>45573</v>
      </c>
      <c r="AH228" s="609">
        <v>45134</v>
      </c>
      <c r="AI228" s="52">
        <v>45134</v>
      </c>
      <c r="AJ228" s="24" t="s">
        <v>1116</v>
      </c>
      <c r="AK228" s="251">
        <v>45750</v>
      </c>
      <c r="AM228" s="3" t="s">
        <v>1662</v>
      </c>
      <c r="AN228" s="3"/>
    </row>
    <row r="229" spans="1:40" ht="13.35" customHeight="1" x14ac:dyDescent="0.25">
      <c r="A229" s="996">
        <v>228</v>
      </c>
      <c r="B229" s="1035">
        <v>30728</v>
      </c>
      <c r="C229" s="861" t="s">
        <v>54</v>
      </c>
      <c r="D229" s="861" t="s">
        <v>1663</v>
      </c>
      <c r="E229" s="858" t="s">
        <v>1242</v>
      </c>
      <c r="F229" s="861" t="s">
        <v>1243</v>
      </c>
      <c r="G229" s="861" t="s">
        <v>14</v>
      </c>
      <c r="H229" s="939">
        <v>44384</v>
      </c>
      <c r="I229" s="861">
        <v>1022</v>
      </c>
      <c r="J229" s="861" t="s">
        <v>58</v>
      </c>
      <c r="K229" s="862" t="s">
        <v>680</v>
      </c>
      <c r="L229" s="1034" t="s">
        <v>1127</v>
      </c>
      <c r="M229" s="862" t="s">
        <v>60</v>
      </c>
      <c r="N229" s="864" t="s">
        <v>1127</v>
      </c>
      <c r="O229" s="865"/>
      <c r="P229" s="1031">
        <v>44758</v>
      </c>
      <c r="Q229" s="581" t="s">
        <v>1289</v>
      </c>
      <c r="R229" s="939" t="s">
        <v>62</v>
      </c>
      <c r="S229" s="939" t="s">
        <v>62</v>
      </c>
      <c r="T229" s="939" t="s">
        <v>62</v>
      </c>
      <c r="U229" s="939" t="s">
        <v>62</v>
      </c>
      <c r="V229" s="939" t="s">
        <v>62</v>
      </c>
      <c r="W229" s="939" t="s">
        <v>62</v>
      </c>
      <c r="X229" s="609" t="s">
        <v>1244</v>
      </c>
      <c r="Y229" s="861"/>
      <c r="Z229" s="867"/>
      <c r="AA229" s="868"/>
      <c r="AB229" s="861"/>
      <c r="AC229" s="861"/>
      <c r="AD229" s="880">
        <v>44946</v>
      </c>
      <c r="AE229" s="880"/>
      <c r="AF229" s="1031">
        <v>44758</v>
      </c>
      <c r="AG229" s="875">
        <v>45573</v>
      </c>
      <c r="AH229" s="877">
        <v>45191</v>
      </c>
      <c r="AI229" s="405">
        <v>45134</v>
      </c>
      <c r="AJ229" s="186" t="s">
        <v>1116</v>
      </c>
      <c r="AK229" s="940">
        <v>45750</v>
      </c>
      <c r="AL229" s="511"/>
      <c r="AM229" s="115" t="s">
        <v>1662</v>
      </c>
      <c r="AN229" s="3"/>
    </row>
    <row r="230" spans="1:40" ht="13.35" customHeight="1" x14ac:dyDescent="0.25">
      <c r="A230" s="996">
        <v>229</v>
      </c>
      <c r="B230" s="339">
        <v>37003</v>
      </c>
      <c r="C230" s="340" t="s">
        <v>64</v>
      </c>
      <c r="D230" s="341" t="s">
        <v>1664</v>
      </c>
      <c r="E230" s="335" t="s">
        <v>1665</v>
      </c>
      <c r="F230" s="310" t="s">
        <v>1243</v>
      </c>
      <c r="G230" s="310" t="s">
        <v>14</v>
      </c>
      <c r="H230" s="520">
        <v>43279</v>
      </c>
      <c r="I230" s="314">
        <v>179</v>
      </c>
      <c r="J230" s="310" t="s">
        <v>58</v>
      </c>
      <c r="K230" s="491" t="s">
        <v>680</v>
      </c>
      <c r="L230" s="533">
        <v>44745</v>
      </c>
      <c r="M230" s="491" t="s">
        <v>60</v>
      </c>
      <c r="N230" s="495">
        <v>44225</v>
      </c>
      <c r="O230" s="343">
        <v>44073</v>
      </c>
      <c r="P230" s="344"/>
      <c r="Q230" s="581" t="s">
        <v>1289</v>
      </c>
      <c r="R230" s="309" t="s">
        <v>68</v>
      </c>
      <c r="S230" s="309" t="s">
        <v>68</v>
      </c>
      <c r="T230" s="310" t="s">
        <v>68</v>
      </c>
      <c r="U230" s="310" t="s">
        <v>68</v>
      </c>
      <c r="V230" s="310" t="s">
        <v>68</v>
      </c>
      <c r="W230" s="309" t="s">
        <v>68</v>
      </c>
      <c r="X230" s="310" t="s">
        <v>1290</v>
      </c>
      <c r="Y230" s="310" t="s">
        <v>1659</v>
      </c>
      <c r="Z230" s="491"/>
      <c r="AA230" s="552"/>
      <c r="AB230" s="310"/>
      <c r="AC230" s="310"/>
      <c r="AD230" s="351">
        <v>44909</v>
      </c>
      <c r="AE230" s="351"/>
      <c r="AF230" s="344">
        <v>45181</v>
      </c>
      <c r="AG230" s="84" t="s">
        <v>1666</v>
      </c>
      <c r="AH230" s="535">
        <v>45566</v>
      </c>
      <c r="AI230" s="52">
        <v>45274</v>
      </c>
      <c r="AJ230" s="24" t="s">
        <v>1116</v>
      </c>
      <c r="AK230" s="251">
        <v>45471</v>
      </c>
      <c r="AM230" s="3" t="s">
        <v>1477</v>
      </c>
      <c r="AN230" s="3"/>
    </row>
    <row r="231" spans="1:40" ht="13.35" customHeight="1" x14ac:dyDescent="0.25">
      <c r="A231" s="996">
        <v>230</v>
      </c>
      <c r="B231" s="339">
        <v>37003</v>
      </c>
      <c r="C231" s="340" t="s">
        <v>54</v>
      </c>
      <c r="D231" s="341" t="s">
        <v>1667</v>
      </c>
      <c r="E231" s="335" t="s">
        <v>1665</v>
      </c>
      <c r="F231" s="310" t="s">
        <v>1243</v>
      </c>
      <c r="G231" s="310" t="s">
        <v>14</v>
      </c>
      <c r="H231" s="520">
        <v>43279</v>
      </c>
      <c r="I231" s="314">
        <v>178</v>
      </c>
      <c r="J231" s="310" t="s">
        <v>58</v>
      </c>
      <c r="K231" s="491" t="s">
        <v>680</v>
      </c>
      <c r="L231" s="533">
        <v>44745</v>
      </c>
      <c r="M231" s="491" t="s">
        <v>60</v>
      </c>
      <c r="N231" s="495">
        <v>44225</v>
      </c>
      <c r="O231" s="343">
        <v>44073</v>
      </c>
      <c r="P231" s="314"/>
      <c r="Q231" s="581" t="s">
        <v>1289</v>
      </c>
      <c r="R231" s="309" t="s">
        <v>62</v>
      </c>
      <c r="S231" s="309" t="s">
        <v>62</v>
      </c>
      <c r="T231" s="310" t="s">
        <v>62</v>
      </c>
      <c r="U231" s="310" t="s">
        <v>62</v>
      </c>
      <c r="V231" s="310" t="s">
        <v>62</v>
      </c>
      <c r="W231" s="309" t="s">
        <v>62</v>
      </c>
      <c r="X231" s="310" t="s">
        <v>1290</v>
      </c>
      <c r="Y231" s="310" t="s">
        <v>1652</v>
      </c>
      <c r="Z231" s="491"/>
      <c r="AA231" s="552"/>
      <c r="AB231" s="310" t="s">
        <v>1668</v>
      </c>
      <c r="AC231" s="310"/>
      <c r="AD231" s="351">
        <v>44909</v>
      </c>
      <c r="AE231" s="351"/>
      <c r="AF231" s="344">
        <v>45181</v>
      </c>
      <c r="AG231" s="84" t="s">
        <v>1666</v>
      </c>
      <c r="AH231" s="535">
        <v>45566</v>
      </c>
      <c r="AI231" s="52">
        <v>45274</v>
      </c>
      <c r="AJ231" s="24" t="s">
        <v>1116</v>
      </c>
      <c r="AK231" s="251">
        <v>45471</v>
      </c>
      <c r="AM231" s="3" t="s">
        <v>1477</v>
      </c>
      <c r="AN231" s="3"/>
    </row>
    <row r="232" spans="1:40" ht="13.35" customHeight="1" x14ac:dyDescent="0.25">
      <c r="A232" s="996">
        <v>231</v>
      </c>
      <c r="B232" s="576">
        <v>37004</v>
      </c>
      <c r="C232" s="577" t="s">
        <v>64</v>
      </c>
      <c r="D232" s="587" t="s">
        <v>1669</v>
      </c>
      <c r="E232" s="578" t="s">
        <v>1242</v>
      </c>
      <c r="F232" s="581" t="s">
        <v>1243</v>
      </c>
      <c r="G232" s="581" t="s">
        <v>14</v>
      </c>
      <c r="H232" s="893">
        <v>43279</v>
      </c>
      <c r="I232" s="580">
        <v>172</v>
      </c>
      <c r="J232" s="581" t="s">
        <v>58</v>
      </c>
      <c r="K232" s="582" t="s">
        <v>680</v>
      </c>
      <c r="L232" s="886">
        <v>44198</v>
      </c>
      <c r="M232" s="582" t="s">
        <v>60</v>
      </c>
      <c r="N232" s="583">
        <v>44198</v>
      </c>
      <c r="O232" s="584"/>
      <c r="P232" s="586">
        <v>44750</v>
      </c>
      <c r="Q232" s="581" t="s">
        <v>1289</v>
      </c>
      <c r="R232" s="887" t="s">
        <v>68</v>
      </c>
      <c r="S232" s="887" t="s">
        <v>68</v>
      </c>
      <c r="T232" s="581" t="s">
        <v>68</v>
      </c>
      <c r="U232" s="581" t="s">
        <v>68</v>
      </c>
      <c r="V232" s="581" t="s">
        <v>68</v>
      </c>
      <c r="W232" s="887" t="s">
        <v>68</v>
      </c>
      <c r="X232" s="309" t="s">
        <v>1290</v>
      </c>
      <c r="Y232" s="581" t="s">
        <v>1659</v>
      </c>
      <c r="Z232" s="888"/>
      <c r="AA232" s="889"/>
      <c r="AB232" s="581" t="s">
        <v>1270</v>
      </c>
      <c r="AC232" s="581"/>
      <c r="AD232" s="1064">
        <v>44916</v>
      </c>
      <c r="AE232" s="1064"/>
      <c r="AF232" s="586">
        <v>44750</v>
      </c>
      <c r="AG232" s="537">
        <v>45450</v>
      </c>
      <c r="AH232" s="994">
        <v>45216</v>
      </c>
      <c r="AI232" s="269">
        <v>45293</v>
      </c>
      <c r="AJ232" s="242" t="s">
        <v>1116</v>
      </c>
      <c r="AK232" s="1075">
        <v>45425</v>
      </c>
      <c r="AL232" s="649"/>
      <c r="AM232" s="644">
        <v>45422</v>
      </c>
      <c r="AN232" s="3"/>
    </row>
    <row r="233" spans="1:40" ht="13.35" customHeight="1" x14ac:dyDescent="0.25">
      <c r="A233" s="996">
        <v>232</v>
      </c>
      <c r="B233" s="855">
        <v>37004</v>
      </c>
      <c r="C233" s="856" t="s">
        <v>54</v>
      </c>
      <c r="D233" s="857" t="s">
        <v>1670</v>
      </c>
      <c r="E233" s="858" t="s">
        <v>1242</v>
      </c>
      <c r="F233" s="861" t="s">
        <v>1243</v>
      </c>
      <c r="G233" s="861" t="s">
        <v>14</v>
      </c>
      <c r="H233" s="871">
        <v>43279</v>
      </c>
      <c r="I233" s="859">
        <v>173</v>
      </c>
      <c r="J233" s="861" t="s">
        <v>58</v>
      </c>
      <c r="K233" s="862" t="s">
        <v>680</v>
      </c>
      <c r="L233" s="1034">
        <v>44198</v>
      </c>
      <c r="M233" s="862" t="s">
        <v>60</v>
      </c>
      <c r="N233" s="864">
        <v>44198</v>
      </c>
      <c r="O233" s="865"/>
      <c r="P233" s="1031">
        <v>44750</v>
      </c>
      <c r="Q233" s="581" t="s">
        <v>1289</v>
      </c>
      <c r="R233" s="939" t="s">
        <v>62</v>
      </c>
      <c r="S233" s="939" t="s">
        <v>62</v>
      </c>
      <c r="T233" s="861" t="s">
        <v>62</v>
      </c>
      <c r="U233" s="861" t="s">
        <v>62</v>
      </c>
      <c r="V233" s="861" t="s">
        <v>62</v>
      </c>
      <c r="W233" s="939" t="s">
        <v>62</v>
      </c>
      <c r="X233" s="309" t="s">
        <v>1290</v>
      </c>
      <c r="Y233" s="861" t="s">
        <v>1652</v>
      </c>
      <c r="Z233" s="867"/>
      <c r="AA233" s="868"/>
      <c r="AB233" s="861" t="s">
        <v>1272</v>
      </c>
      <c r="AC233" s="861"/>
      <c r="AD233" s="880">
        <v>44916</v>
      </c>
      <c r="AE233" s="880">
        <v>45441</v>
      </c>
      <c r="AF233" s="1031">
        <v>44750</v>
      </c>
      <c r="AG233" s="875">
        <v>45450</v>
      </c>
      <c r="AH233" s="877">
        <v>45216</v>
      </c>
      <c r="AI233" s="405">
        <v>45293</v>
      </c>
      <c r="AJ233" s="186" t="s">
        <v>1116</v>
      </c>
      <c r="AK233" s="940">
        <v>45425</v>
      </c>
      <c r="AL233" s="511"/>
      <c r="AM233" s="876">
        <v>45422</v>
      </c>
      <c r="AN233" s="3"/>
    </row>
    <row r="234" spans="1:40" ht="13.35" customHeight="1" x14ac:dyDescent="0.25">
      <c r="A234" s="996">
        <v>233</v>
      </c>
      <c r="B234" s="311">
        <v>37060</v>
      </c>
      <c r="C234" s="310" t="s">
        <v>64</v>
      </c>
      <c r="D234" s="346" t="s">
        <v>1671</v>
      </c>
      <c r="E234" s="335" t="s">
        <v>1242</v>
      </c>
      <c r="F234" s="310" t="s">
        <v>1243</v>
      </c>
      <c r="G234" s="310" t="s">
        <v>14</v>
      </c>
      <c r="H234" s="336">
        <v>43447</v>
      </c>
      <c r="I234" s="358">
        <v>201</v>
      </c>
      <c r="J234" s="358" t="s">
        <v>66</v>
      </c>
      <c r="K234" s="491" t="s">
        <v>680</v>
      </c>
      <c r="L234" s="533">
        <v>44763</v>
      </c>
      <c r="M234" s="491" t="s">
        <v>60</v>
      </c>
      <c r="N234" s="495">
        <v>44294</v>
      </c>
      <c r="O234" s="359">
        <v>44294</v>
      </c>
      <c r="P234" s="344">
        <v>44763</v>
      </c>
      <c r="Q234" s="581" t="s">
        <v>1289</v>
      </c>
      <c r="R234" s="309" t="s">
        <v>68</v>
      </c>
      <c r="S234" s="309" t="s">
        <v>68</v>
      </c>
      <c r="T234" s="310" t="s">
        <v>68</v>
      </c>
      <c r="U234" s="358" t="s">
        <v>68</v>
      </c>
      <c r="V234" s="360" t="s">
        <v>206</v>
      </c>
      <c r="W234" s="358" t="s">
        <v>63</v>
      </c>
      <c r="X234" s="310" t="s">
        <v>1250</v>
      </c>
      <c r="Y234" s="310" t="s">
        <v>1659</v>
      </c>
      <c r="Z234" s="491"/>
      <c r="AA234" s="552"/>
      <c r="AB234" s="310"/>
      <c r="AC234" s="310"/>
      <c r="AD234" s="344">
        <v>44688</v>
      </c>
      <c r="AE234" s="344">
        <v>45232</v>
      </c>
      <c r="AF234" s="344">
        <v>45133</v>
      </c>
      <c r="AG234" s="84" t="s">
        <v>1554</v>
      </c>
      <c r="AH234" s="609">
        <v>45232</v>
      </c>
      <c r="AI234" s="52">
        <v>45133</v>
      </c>
      <c r="AJ234" s="24" t="s">
        <v>1116</v>
      </c>
      <c r="AK234" s="251">
        <v>45419</v>
      </c>
      <c r="AM234" s="3" t="s">
        <v>1672</v>
      </c>
      <c r="AN234" s="3"/>
    </row>
    <row r="235" spans="1:40" ht="13.35" customHeight="1" x14ac:dyDescent="0.25">
      <c r="A235" s="996">
        <v>234</v>
      </c>
      <c r="B235" s="311">
        <v>37060</v>
      </c>
      <c r="C235" s="310" t="s">
        <v>54</v>
      </c>
      <c r="D235" s="346" t="s">
        <v>1673</v>
      </c>
      <c r="E235" s="335" t="s">
        <v>1242</v>
      </c>
      <c r="F235" s="310" t="s">
        <v>1243</v>
      </c>
      <c r="G235" s="310" t="s">
        <v>14</v>
      </c>
      <c r="H235" s="336">
        <v>43447</v>
      </c>
      <c r="I235" s="358">
        <v>191</v>
      </c>
      <c r="J235" s="358" t="s">
        <v>66</v>
      </c>
      <c r="K235" s="491" t="s">
        <v>680</v>
      </c>
      <c r="L235" s="533">
        <v>44763</v>
      </c>
      <c r="M235" s="491" t="s">
        <v>60</v>
      </c>
      <c r="N235" s="495">
        <v>44294</v>
      </c>
      <c r="O235" s="359">
        <v>44294</v>
      </c>
      <c r="P235" s="344">
        <v>44763</v>
      </c>
      <c r="Q235" s="581" t="s">
        <v>1289</v>
      </c>
      <c r="R235" s="309" t="s">
        <v>62</v>
      </c>
      <c r="S235" s="309" t="s">
        <v>62</v>
      </c>
      <c r="T235" s="310" t="s">
        <v>62</v>
      </c>
      <c r="U235" s="358" t="s">
        <v>62</v>
      </c>
      <c r="V235" s="360" t="s">
        <v>206</v>
      </c>
      <c r="W235" s="358" t="s">
        <v>63</v>
      </c>
      <c r="X235" s="310" t="s">
        <v>1250</v>
      </c>
      <c r="Y235" s="310" t="s">
        <v>1659</v>
      </c>
      <c r="Z235" s="491"/>
      <c r="AA235" s="552"/>
      <c r="AB235" s="310"/>
      <c r="AC235" s="310"/>
      <c r="AD235" s="344">
        <v>44688</v>
      </c>
      <c r="AE235" s="344">
        <v>45232</v>
      </c>
      <c r="AF235" s="344">
        <v>45133</v>
      </c>
      <c r="AG235" s="84" t="s">
        <v>1554</v>
      </c>
      <c r="AH235" s="609">
        <v>45232</v>
      </c>
      <c r="AI235" s="52">
        <v>45133</v>
      </c>
      <c r="AJ235" s="24" t="s">
        <v>1116</v>
      </c>
      <c r="AK235" s="251">
        <v>45419</v>
      </c>
      <c r="AM235" s="3" t="s">
        <v>1672</v>
      </c>
      <c r="AN235" s="3"/>
    </row>
    <row r="236" spans="1:40" ht="13.35" customHeight="1" x14ac:dyDescent="0.25">
      <c r="A236" s="996">
        <v>235</v>
      </c>
      <c r="B236" s="576">
        <v>37106</v>
      </c>
      <c r="C236" s="577" t="s">
        <v>64</v>
      </c>
      <c r="D236" s="587" t="s">
        <v>1674</v>
      </c>
      <c r="E236" s="578" t="s">
        <v>1242</v>
      </c>
      <c r="F236" s="581" t="s">
        <v>1243</v>
      </c>
      <c r="G236" s="581" t="s">
        <v>14</v>
      </c>
      <c r="H236" s="579">
        <v>43536</v>
      </c>
      <c r="I236" s="580">
        <v>225</v>
      </c>
      <c r="J236" s="581" t="s">
        <v>58</v>
      </c>
      <c r="K236" s="582" t="s">
        <v>680</v>
      </c>
      <c r="L236" s="886">
        <v>44182</v>
      </c>
      <c r="M236" s="582" t="s">
        <v>60</v>
      </c>
      <c r="N236" s="583">
        <v>44182</v>
      </c>
      <c r="O236" s="584"/>
      <c r="P236" s="580"/>
      <c r="Q236" s="581" t="s">
        <v>1289</v>
      </c>
      <c r="R236" s="887" t="s">
        <v>68</v>
      </c>
      <c r="S236" s="581" t="s">
        <v>68</v>
      </c>
      <c r="T236" s="581" t="s">
        <v>68</v>
      </c>
      <c r="U236" s="581" t="s">
        <v>68</v>
      </c>
      <c r="V236" s="581" t="s">
        <v>68</v>
      </c>
      <c r="W236" s="887" t="s">
        <v>68</v>
      </c>
      <c r="X236" s="310" t="s">
        <v>1250</v>
      </c>
      <c r="Y236" s="581" t="s">
        <v>1675</v>
      </c>
      <c r="Z236" s="888"/>
      <c r="AA236" s="889"/>
      <c r="AB236" s="581" t="s">
        <v>1278</v>
      </c>
      <c r="AC236" s="581"/>
      <c r="AD236" s="1064">
        <v>44890</v>
      </c>
      <c r="AE236" s="1064"/>
      <c r="AF236" s="586">
        <v>45129</v>
      </c>
      <c r="AG236" s="1060" t="s">
        <v>1369</v>
      </c>
      <c r="AH236" s="990">
        <v>45318</v>
      </c>
      <c r="AI236" s="269">
        <v>45129</v>
      </c>
      <c r="AJ236" s="242" t="s">
        <v>1116</v>
      </c>
      <c r="AK236" s="1075">
        <v>45415</v>
      </c>
      <c r="AL236" s="649"/>
      <c r="AM236" s="644">
        <v>45608</v>
      </c>
      <c r="AN236" s="3"/>
    </row>
    <row r="237" spans="1:40" ht="13.35" customHeight="1" x14ac:dyDescent="0.25">
      <c r="A237" s="996">
        <v>236</v>
      </c>
      <c r="B237" s="339">
        <v>37106</v>
      </c>
      <c r="C237" s="340" t="s">
        <v>54</v>
      </c>
      <c r="D237" s="341" t="s">
        <v>1676</v>
      </c>
      <c r="E237" s="335" t="s">
        <v>1242</v>
      </c>
      <c r="F237" s="310" t="s">
        <v>1243</v>
      </c>
      <c r="G237" s="310" t="s">
        <v>14</v>
      </c>
      <c r="H237" s="342">
        <v>43536</v>
      </c>
      <c r="I237" s="314">
        <v>222</v>
      </c>
      <c r="J237" s="310" t="s">
        <v>58</v>
      </c>
      <c r="K237" s="491" t="s">
        <v>680</v>
      </c>
      <c r="L237" s="594">
        <v>44182</v>
      </c>
      <c r="M237" s="491" t="s">
        <v>60</v>
      </c>
      <c r="N237" s="495">
        <v>44182</v>
      </c>
      <c r="O237" s="343"/>
      <c r="P237" s="314"/>
      <c r="Q237" s="581" t="s">
        <v>1289</v>
      </c>
      <c r="R237" s="309" t="s">
        <v>62</v>
      </c>
      <c r="S237" s="310" t="s">
        <v>62</v>
      </c>
      <c r="T237" s="310" t="s">
        <v>62</v>
      </c>
      <c r="U237" s="310" t="s">
        <v>62</v>
      </c>
      <c r="V237" s="310" t="s">
        <v>62</v>
      </c>
      <c r="W237" s="309" t="s">
        <v>62</v>
      </c>
      <c r="X237" s="310" t="s">
        <v>1250</v>
      </c>
      <c r="Y237" s="310" t="s">
        <v>1675</v>
      </c>
      <c r="Z237" s="593"/>
      <c r="AA237" s="589"/>
      <c r="AB237" s="310" t="s">
        <v>1282</v>
      </c>
      <c r="AC237" s="310"/>
      <c r="AD237" s="351">
        <v>44890</v>
      </c>
      <c r="AE237" s="351">
        <v>45497</v>
      </c>
      <c r="AF237" s="344">
        <v>45129</v>
      </c>
      <c r="AG237" s="521" t="s">
        <v>1369</v>
      </c>
      <c r="AH237" s="609">
        <v>45318</v>
      </c>
      <c r="AI237" s="52">
        <v>45129</v>
      </c>
      <c r="AJ237" s="24" t="s">
        <v>1116</v>
      </c>
      <c r="AK237" s="251">
        <v>45415</v>
      </c>
      <c r="AM237" s="84">
        <v>45608</v>
      </c>
      <c r="AN237" s="3"/>
    </row>
    <row r="238" spans="1:40" ht="13.35" customHeight="1" x14ac:dyDescent="0.25">
      <c r="A238" s="996">
        <v>237</v>
      </c>
      <c r="B238" s="339">
        <v>37108</v>
      </c>
      <c r="C238" s="340" t="s">
        <v>64</v>
      </c>
      <c r="D238" s="341" t="s">
        <v>1677</v>
      </c>
      <c r="E238" s="335" t="s">
        <v>1242</v>
      </c>
      <c r="F238" s="310" t="s">
        <v>1243</v>
      </c>
      <c r="G238" s="310" t="s">
        <v>14</v>
      </c>
      <c r="H238" s="342">
        <v>43536</v>
      </c>
      <c r="I238" s="314">
        <v>217</v>
      </c>
      <c r="J238" s="310" t="s">
        <v>58</v>
      </c>
      <c r="K238" s="491" t="s">
        <v>1318</v>
      </c>
      <c r="L238" s="594"/>
      <c r="M238" s="491" t="s">
        <v>60</v>
      </c>
      <c r="N238" s="495">
        <v>44179</v>
      </c>
      <c r="O238" s="343">
        <v>45304</v>
      </c>
      <c r="P238" s="314"/>
      <c r="Q238" s="581" t="s">
        <v>1289</v>
      </c>
      <c r="R238" s="310" t="s">
        <v>68</v>
      </c>
      <c r="S238" s="309" t="s">
        <v>68</v>
      </c>
      <c r="T238" s="310" t="s">
        <v>68</v>
      </c>
      <c r="U238" s="310" t="s">
        <v>68</v>
      </c>
      <c r="V238" s="310" t="s">
        <v>68</v>
      </c>
      <c r="W238" s="309" t="s">
        <v>68</v>
      </c>
      <c r="X238" s="309" t="s">
        <v>1290</v>
      </c>
      <c r="Y238" s="310" t="s">
        <v>1659</v>
      </c>
      <c r="Z238" s="593"/>
      <c r="AA238" s="589"/>
      <c r="AB238" s="386">
        <v>44345</v>
      </c>
      <c r="AC238" s="310"/>
      <c r="AD238" s="344">
        <v>44693</v>
      </c>
      <c r="AE238" s="344">
        <v>45240</v>
      </c>
      <c r="AF238" s="344">
        <v>45304</v>
      </c>
      <c r="AG238" s="536">
        <v>45511</v>
      </c>
      <c r="AH238" s="609">
        <v>45112</v>
      </c>
      <c r="AI238" s="52">
        <v>45206</v>
      </c>
      <c r="AJ238" s="24" t="s">
        <v>1116</v>
      </c>
      <c r="AK238" s="251">
        <v>45418</v>
      </c>
      <c r="AM238" s="3" t="s">
        <v>1662</v>
      </c>
      <c r="AN238" s="3"/>
    </row>
    <row r="239" spans="1:40" ht="13.35" customHeight="1" x14ac:dyDescent="0.25">
      <c r="A239" s="996">
        <v>238</v>
      </c>
      <c r="B239" s="339">
        <v>37108</v>
      </c>
      <c r="C239" s="340" t="s">
        <v>54</v>
      </c>
      <c r="D239" s="341" t="s">
        <v>1678</v>
      </c>
      <c r="E239" s="335" t="s">
        <v>1242</v>
      </c>
      <c r="F239" s="310" t="s">
        <v>1243</v>
      </c>
      <c r="G239" s="310" t="s">
        <v>14</v>
      </c>
      <c r="H239" s="342">
        <v>43536</v>
      </c>
      <c r="I239" s="314">
        <v>215</v>
      </c>
      <c r="J239" s="310" t="s">
        <v>58</v>
      </c>
      <c r="K239" s="491" t="s">
        <v>1249</v>
      </c>
      <c r="L239" s="594"/>
      <c r="M239" s="491" t="s">
        <v>60</v>
      </c>
      <c r="N239" s="495">
        <v>44179</v>
      </c>
      <c r="O239" s="343">
        <v>45304</v>
      </c>
      <c r="P239" s="314"/>
      <c r="Q239" s="581" t="s">
        <v>1289</v>
      </c>
      <c r="R239" s="310" t="s">
        <v>62</v>
      </c>
      <c r="S239" s="309" t="s">
        <v>62</v>
      </c>
      <c r="T239" s="310" t="s">
        <v>62</v>
      </c>
      <c r="U239" s="310" t="s">
        <v>62</v>
      </c>
      <c r="V239" s="310" t="s">
        <v>62</v>
      </c>
      <c r="W239" s="309" t="s">
        <v>62</v>
      </c>
      <c r="X239" s="309" t="s">
        <v>1290</v>
      </c>
      <c r="Y239" s="310" t="s">
        <v>1652</v>
      </c>
      <c r="Z239" s="593"/>
      <c r="AA239" s="589"/>
      <c r="AB239" s="310" t="s">
        <v>1679</v>
      </c>
      <c r="AC239" s="310"/>
      <c r="AD239" s="344">
        <v>44693</v>
      </c>
      <c r="AE239" s="344">
        <v>45210</v>
      </c>
      <c r="AF239" s="344">
        <v>45304</v>
      </c>
      <c r="AG239" s="536">
        <v>45511</v>
      </c>
      <c r="AH239" s="609">
        <v>45112</v>
      </c>
      <c r="AI239" s="52">
        <v>45206</v>
      </c>
      <c r="AJ239" s="24" t="s">
        <v>1116</v>
      </c>
      <c r="AK239" s="251">
        <v>45418</v>
      </c>
      <c r="AM239" s="3" t="s">
        <v>1662</v>
      </c>
      <c r="AN239" s="3"/>
    </row>
    <row r="240" spans="1:40" ht="13.35" customHeight="1" x14ac:dyDescent="0.25">
      <c r="A240" s="996">
        <v>239</v>
      </c>
      <c r="B240" s="339">
        <v>37109</v>
      </c>
      <c r="C240" s="340" t="s">
        <v>64</v>
      </c>
      <c r="D240" s="341" t="s">
        <v>1680</v>
      </c>
      <c r="E240" s="335" t="s">
        <v>1242</v>
      </c>
      <c r="F240" s="310" t="s">
        <v>1243</v>
      </c>
      <c r="G240" s="310" t="s">
        <v>14</v>
      </c>
      <c r="H240" s="342">
        <v>43537</v>
      </c>
      <c r="I240" s="314">
        <v>216</v>
      </c>
      <c r="J240" s="310" t="s">
        <v>58</v>
      </c>
      <c r="K240" s="491" t="s">
        <v>680</v>
      </c>
      <c r="L240" s="597">
        <v>44761</v>
      </c>
      <c r="M240" s="491" t="s">
        <v>60</v>
      </c>
      <c r="N240" s="495">
        <v>44179</v>
      </c>
      <c r="O240" s="343" t="s">
        <v>1681</v>
      </c>
      <c r="P240" s="344">
        <v>44754</v>
      </c>
      <c r="Q240" s="581" t="s">
        <v>1289</v>
      </c>
      <c r="R240" s="309" t="s">
        <v>68</v>
      </c>
      <c r="S240" s="310" t="s">
        <v>68</v>
      </c>
      <c r="T240" s="310" t="s">
        <v>68</v>
      </c>
      <c r="U240" s="310" t="s">
        <v>68</v>
      </c>
      <c r="V240" s="310" t="s">
        <v>68</v>
      </c>
      <c r="W240" s="309" t="s">
        <v>68</v>
      </c>
      <c r="X240" s="310" t="s">
        <v>1250</v>
      </c>
      <c r="Y240" s="310" t="s">
        <v>1659</v>
      </c>
      <c r="Z240" s="593"/>
      <c r="AA240" s="589"/>
      <c r="AB240" s="310"/>
      <c r="AC240" s="310"/>
      <c r="AD240" s="344">
        <v>44774</v>
      </c>
      <c r="AE240" s="344">
        <v>45281</v>
      </c>
      <c r="AF240" s="344">
        <v>44761</v>
      </c>
      <c r="AG240" s="536">
        <v>45478</v>
      </c>
      <c r="AH240" s="535">
        <v>45281</v>
      </c>
      <c r="AI240" s="52">
        <v>45141</v>
      </c>
      <c r="AJ240" s="24" t="s">
        <v>1116</v>
      </c>
      <c r="AK240" s="251" t="s">
        <v>1649</v>
      </c>
      <c r="AM240" s="1150"/>
      <c r="AN240" s="3"/>
    </row>
    <row r="241" spans="1:40" ht="13.35" customHeight="1" x14ac:dyDescent="0.25">
      <c r="A241" s="996">
        <v>240</v>
      </c>
      <c r="B241" s="339">
        <v>37109</v>
      </c>
      <c r="C241" s="340" t="s">
        <v>54</v>
      </c>
      <c r="D241" s="341" t="s">
        <v>1682</v>
      </c>
      <c r="E241" s="335" t="s">
        <v>1242</v>
      </c>
      <c r="F241" s="310" t="s">
        <v>1243</v>
      </c>
      <c r="G241" s="310" t="s">
        <v>14</v>
      </c>
      <c r="H241" s="342">
        <v>43537</v>
      </c>
      <c r="I241" s="314">
        <v>214</v>
      </c>
      <c r="J241" s="310" t="s">
        <v>58</v>
      </c>
      <c r="K241" s="491" t="s">
        <v>680</v>
      </c>
      <c r="L241" s="597">
        <v>44761</v>
      </c>
      <c r="M241" s="491" t="s">
        <v>60</v>
      </c>
      <c r="N241" s="495">
        <v>44179</v>
      </c>
      <c r="O241" s="343" t="s">
        <v>1649</v>
      </c>
      <c r="P241" s="344">
        <v>44754</v>
      </c>
      <c r="Q241" s="581" t="s">
        <v>1289</v>
      </c>
      <c r="R241" s="309" t="s">
        <v>62</v>
      </c>
      <c r="S241" s="310" t="s">
        <v>62</v>
      </c>
      <c r="T241" s="310" t="s">
        <v>62</v>
      </c>
      <c r="U241" s="310" t="s">
        <v>62</v>
      </c>
      <c r="V241" s="310" t="s">
        <v>62</v>
      </c>
      <c r="W241" s="309" t="s">
        <v>62</v>
      </c>
      <c r="X241" s="310" t="s">
        <v>1250</v>
      </c>
      <c r="Y241" s="310" t="s">
        <v>1652</v>
      </c>
      <c r="Z241" s="593"/>
      <c r="AA241" s="589"/>
      <c r="AB241" s="346" t="s">
        <v>1683</v>
      </c>
      <c r="AC241" s="310"/>
      <c r="AD241" s="344">
        <v>44774</v>
      </c>
      <c r="AE241" s="344">
        <v>45281</v>
      </c>
      <c r="AF241" s="344">
        <v>44761</v>
      </c>
      <c r="AG241" s="536">
        <v>45478</v>
      </c>
      <c r="AH241" s="535">
        <v>45281</v>
      </c>
      <c r="AI241" s="52">
        <v>45141</v>
      </c>
      <c r="AJ241" s="24" t="s">
        <v>1116</v>
      </c>
      <c r="AK241" s="251" t="s">
        <v>1649</v>
      </c>
      <c r="AM241" s="1150"/>
      <c r="AN241" s="3"/>
    </row>
    <row r="242" spans="1:40" ht="13.35" customHeight="1" x14ac:dyDescent="0.25">
      <c r="A242" s="996">
        <v>241</v>
      </c>
      <c r="B242" s="311">
        <v>37121</v>
      </c>
      <c r="C242" s="345" t="s">
        <v>64</v>
      </c>
      <c r="D242" s="346" t="s">
        <v>1684</v>
      </c>
      <c r="E242" s="335" t="s">
        <v>1242</v>
      </c>
      <c r="F242" s="310" t="s">
        <v>1243</v>
      </c>
      <c r="G242" s="310" t="s">
        <v>14</v>
      </c>
      <c r="H242" s="336">
        <v>43547</v>
      </c>
      <c r="I242" s="361">
        <v>341</v>
      </c>
      <c r="J242" s="358" t="s">
        <v>66</v>
      </c>
      <c r="K242" s="491"/>
      <c r="L242" s="597"/>
      <c r="M242" s="501"/>
      <c r="N242" s="502"/>
      <c r="O242" s="359">
        <v>45719</v>
      </c>
      <c r="P242" s="309">
        <v>45248</v>
      </c>
      <c r="Q242" s="581" t="s">
        <v>1289</v>
      </c>
      <c r="R242" s="309" t="s">
        <v>68</v>
      </c>
      <c r="S242" s="309" t="s">
        <v>68</v>
      </c>
      <c r="T242" s="310" t="s">
        <v>68</v>
      </c>
      <c r="U242" s="358" t="s">
        <v>68</v>
      </c>
      <c r="V242" s="1284">
        <v>45719</v>
      </c>
      <c r="W242" s="1286">
        <v>45719</v>
      </c>
      <c r="X242" s="608" t="s">
        <v>1250</v>
      </c>
      <c r="Y242" s="310" t="s">
        <v>1652</v>
      </c>
      <c r="Z242" s="601"/>
      <c r="AA242" s="589"/>
      <c r="AB242" s="358"/>
      <c r="AC242" s="358"/>
      <c r="AD242" s="351">
        <v>44876</v>
      </c>
      <c r="AE242" s="351">
        <v>45248</v>
      </c>
      <c r="AF242" s="344">
        <v>45248</v>
      </c>
      <c r="AG242" s="536">
        <v>45299</v>
      </c>
      <c r="AH242" s="609">
        <v>45248</v>
      </c>
      <c r="AI242" s="84">
        <v>45248</v>
      </c>
      <c r="AJ242" s="24" t="s">
        <v>1116</v>
      </c>
      <c r="AK242" s="251">
        <v>45458</v>
      </c>
      <c r="AM242" s="3" t="s">
        <v>902</v>
      </c>
      <c r="AN242" s="3"/>
    </row>
    <row r="243" spans="1:40" ht="13.35" customHeight="1" x14ac:dyDescent="0.25">
      <c r="A243" s="996">
        <v>242</v>
      </c>
      <c r="B243" s="1035">
        <v>37121</v>
      </c>
      <c r="C243" s="1029" t="s">
        <v>54</v>
      </c>
      <c r="D243" s="884" t="s">
        <v>1685</v>
      </c>
      <c r="E243" s="858" t="s">
        <v>1242</v>
      </c>
      <c r="F243" s="861" t="s">
        <v>1243</v>
      </c>
      <c r="G243" s="861" t="s">
        <v>14</v>
      </c>
      <c r="H243" s="1030">
        <v>43547</v>
      </c>
      <c r="I243" s="1044">
        <v>291</v>
      </c>
      <c r="J243" s="1045" t="s">
        <v>66</v>
      </c>
      <c r="K243" s="862"/>
      <c r="L243" s="1046"/>
      <c r="M243" s="1047"/>
      <c r="N243" s="1048"/>
      <c r="O243" s="1049">
        <v>45719</v>
      </c>
      <c r="P243" s="939">
        <v>45248</v>
      </c>
      <c r="Q243" s="581" t="s">
        <v>1289</v>
      </c>
      <c r="R243" s="939" t="s">
        <v>62</v>
      </c>
      <c r="S243" s="939" t="s">
        <v>62</v>
      </c>
      <c r="T243" s="861" t="s">
        <v>62</v>
      </c>
      <c r="U243" s="1045" t="s">
        <v>62</v>
      </c>
      <c r="V243" s="1285">
        <v>45719</v>
      </c>
      <c r="W243" s="1287">
        <v>45719</v>
      </c>
      <c r="X243" s="608" t="s">
        <v>1250</v>
      </c>
      <c r="Y243" s="310" t="s">
        <v>1652</v>
      </c>
      <c r="Z243" s="1050"/>
      <c r="AA243" s="868"/>
      <c r="AB243" s="1045"/>
      <c r="AC243" s="1045"/>
      <c r="AD243" s="880">
        <v>44876</v>
      </c>
      <c r="AE243" s="880">
        <v>45248</v>
      </c>
      <c r="AF243" s="1031">
        <v>45248</v>
      </c>
      <c r="AG243" s="875">
        <v>45299</v>
      </c>
      <c r="AH243" s="991">
        <v>45248</v>
      </c>
      <c r="AI243" s="876">
        <v>45248</v>
      </c>
      <c r="AJ243" s="186" t="s">
        <v>1116</v>
      </c>
      <c r="AK243" s="940">
        <v>45458</v>
      </c>
      <c r="AL243" s="511"/>
      <c r="AM243" s="115" t="s">
        <v>902</v>
      </c>
      <c r="AN243" s="3"/>
    </row>
    <row r="244" spans="1:40" ht="13.35" customHeight="1" x14ac:dyDescent="0.25">
      <c r="A244" s="996">
        <v>243</v>
      </c>
      <c r="B244" s="339">
        <v>37152</v>
      </c>
      <c r="C244" s="340" t="s">
        <v>64</v>
      </c>
      <c r="D244" s="341" t="s">
        <v>1686</v>
      </c>
      <c r="E244" s="335" t="s">
        <v>1242</v>
      </c>
      <c r="F244" s="310" t="s">
        <v>1243</v>
      </c>
      <c r="G244" s="310" t="s">
        <v>14</v>
      </c>
      <c r="H244" s="347">
        <v>43580</v>
      </c>
      <c r="I244" s="314">
        <v>418</v>
      </c>
      <c r="J244" s="310" t="s">
        <v>58</v>
      </c>
      <c r="K244" s="491" t="s">
        <v>680</v>
      </c>
      <c r="L244" s="533">
        <v>44754</v>
      </c>
      <c r="M244" s="491" t="s">
        <v>60</v>
      </c>
      <c r="N244" s="495">
        <v>44179</v>
      </c>
      <c r="O244" s="343">
        <v>45247</v>
      </c>
      <c r="P244" s="344">
        <v>44761</v>
      </c>
      <c r="Q244" s="581" t="s">
        <v>1289</v>
      </c>
      <c r="R244" s="310" t="s">
        <v>68</v>
      </c>
      <c r="S244" s="309" t="s">
        <v>68</v>
      </c>
      <c r="T244" s="310" t="s">
        <v>68</v>
      </c>
      <c r="U244" s="310" t="s">
        <v>68</v>
      </c>
      <c r="V244" s="310" t="s">
        <v>68</v>
      </c>
      <c r="W244" s="309" t="s">
        <v>68</v>
      </c>
      <c r="X244" s="309" t="s">
        <v>1290</v>
      </c>
      <c r="Y244" s="310" t="s">
        <v>1652</v>
      </c>
      <c r="Z244" s="491"/>
      <c r="AA244" s="552"/>
      <c r="AB244" s="310"/>
      <c r="AC244" s="310"/>
      <c r="AD244" s="351">
        <v>44866</v>
      </c>
      <c r="AE244" s="351">
        <v>45247</v>
      </c>
      <c r="AF244" s="344">
        <v>44754</v>
      </c>
      <c r="AG244" s="84" t="s">
        <v>1687</v>
      </c>
      <c r="AH244" s="609">
        <v>45301</v>
      </c>
      <c r="AI244" s="143">
        <v>45134</v>
      </c>
      <c r="AJ244" s="24" t="s">
        <v>1116</v>
      </c>
      <c r="AK244" s="251" t="s">
        <v>1688</v>
      </c>
      <c r="AM244" s="3" t="s">
        <v>1689</v>
      </c>
      <c r="AN244" s="3"/>
    </row>
    <row r="245" spans="1:40" ht="13.35" customHeight="1" x14ac:dyDescent="0.25">
      <c r="A245" s="996">
        <v>244</v>
      </c>
      <c r="B245" s="339">
        <v>37152</v>
      </c>
      <c r="C245" s="340" t="s">
        <v>54</v>
      </c>
      <c r="D245" s="341" t="s">
        <v>1690</v>
      </c>
      <c r="E245" s="335" t="s">
        <v>1242</v>
      </c>
      <c r="F245" s="310" t="s">
        <v>1243</v>
      </c>
      <c r="G245" s="310" t="s">
        <v>14</v>
      </c>
      <c r="H245" s="347">
        <v>43580</v>
      </c>
      <c r="I245" s="314">
        <v>439</v>
      </c>
      <c r="J245" s="310" t="s">
        <v>58</v>
      </c>
      <c r="K245" s="491" t="s">
        <v>680</v>
      </c>
      <c r="L245" s="533">
        <v>44754</v>
      </c>
      <c r="M245" s="491" t="s">
        <v>60</v>
      </c>
      <c r="N245" s="495">
        <v>44179</v>
      </c>
      <c r="O245" s="343">
        <v>45247</v>
      </c>
      <c r="P245" s="344">
        <v>44761</v>
      </c>
      <c r="Q245" s="581" t="s">
        <v>1289</v>
      </c>
      <c r="R245" s="310" t="s">
        <v>62</v>
      </c>
      <c r="S245" s="309" t="s">
        <v>62</v>
      </c>
      <c r="T245" s="310" t="s">
        <v>62</v>
      </c>
      <c r="U245" s="310" t="s">
        <v>62</v>
      </c>
      <c r="V245" s="310" t="s">
        <v>62</v>
      </c>
      <c r="W245" s="309" t="s">
        <v>62</v>
      </c>
      <c r="X245" s="309" t="s">
        <v>1290</v>
      </c>
      <c r="Y245" s="310" t="s">
        <v>1652</v>
      </c>
      <c r="Z245" s="491"/>
      <c r="AA245" s="552"/>
      <c r="AB245" s="310"/>
      <c r="AC245" s="310"/>
      <c r="AD245" s="351">
        <v>44866</v>
      </c>
      <c r="AE245" s="351">
        <v>45247</v>
      </c>
      <c r="AF245" s="344">
        <v>44754</v>
      </c>
      <c r="AG245" s="84" t="s">
        <v>1687</v>
      </c>
      <c r="AH245" s="609">
        <v>45301</v>
      </c>
      <c r="AI245" s="143">
        <v>45134</v>
      </c>
      <c r="AJ245" s="24" t="s">
        <v>1116</v>
      </c>
      <c r="AK245" s="251" t="s">
        <v>1688</v>
      </c>
      <c r="AM245" s="3" t="s">
        <v>1689</v>
      </c>
      <c r="AN245" s="3"/>
    </row>
    <row r="246" spans="1:40" ht="13.35" customHeight="1" x14ac:dyDescent="0.25">
      <c r="A246" s="996">
        <v>245</v>
      </c>
      <c r="B246" s="576">
        <v>37209</v>
      </c>
      <c r="C246" s="577" t="s">
        <v>64</v>
      </c>
      <c r="D246" s="587" t="s">
        <v>1691</v>
      </c>
      <c r="E246" s="578" t="s">
        <v>1242</v>
      </c>
      <c r="F246" s="581" t="s">
        <v>1243</v>
      </c>
      <c r="G246" s="581" t="s">
        <v>14</v>
      </c>
      <c r="H246" s="579">
        <v>43641</v>
      </c>
      <c r="I246" s="580">
        <v>518</v>
      </c>
      <c r="J246" s="581" t="s">
        <v>58</v>
      </c>
      <c r="K246" s="582" t="s">
        <v>680</v>
      </c>
      <c r="L246" s="1078">
        <v>44749</v>
      </c>
      <c r="M246" s="582"/>
      <c r="N246" s="583"/>
      <c r="O246" s="343">
        <v>45721</v>
      </c>
      <c r="P246" s="586">
        <v>45429</v>
      </c>
      <c r="Q246" s="581" t="s">
        <v>1289</v>
      </c>
      <c r="R246" s="581" t="s">
        <v>1496</v>
      </c>
      <c r="S246" s="887" t="s">
        <v>68</v>
      </c>
      <c r="T246" s="581" t="s">
        <v>68</v>
      </c>
      <c r="U246" s="581" t="s">
        <v>68</v>
      </c>
      <c r="V246" s="581" t="s">
        <v>68</v>
      </c>
      <c r="W246" s="887" t="s">
        <v>68</v>
      </c>
      <c r="X246" s="310" t="s">
        <v>1250</v>
      </c>
      <c r="Y246" s="581" t="s">
        <v>1652</v>
      </c>
      <c r="Z246" s="888"/>
      <c r="AA246" s="889"/>
      <c r="AB246" s="581"/>
      <c r="AC246" s="581"/>
      <c r="AD246" s="1064">
        <v>44664</v>
      </c>
      <c r="AE246" s="1064">
        <v>45234</v>
      </c>
      <c r="AF246" s="586">
        <v>45134</v>
      </c>
      <c r="AG246" s="537">
        <v>45465</v>
      </c>
      <c r="AH246" s="990">
        <v>45234</v>
      </c>
      <c r="AI246" s="269">
        <v>45134</v>
      </c>
      <c r="AJ246" s="242" t="s">
        <v>1116</v>
      </c>
      <c r="AK246" s="1075">
        <v>45780</v>
      </c>
      <c r="AL246" s="649"/>
      <c r="AM246" s="239" t="s">
        <v>1692</v>
      </c>
      <c r="AN246" s="3"/>
    </row>
    <row r="247" spans="1:40" ht="13.35" customHeight="1" x14ac:dyDescent="0.25">
      <c r="A247" s="996">
        <v>246</v>
      </c>
      <c r="B247" s="339">
        <v>37209</v>
      </c>
      <c r="C247" s="340" t="s">
        <v>54</v>
      </c>
      <c r="D247" s="335" t="s">
        <v>1693</v>
      </c>
      <c r="E247" s="335" t="s">
        <v>1242</v>
      </c>
      <c r="F247" s="310" t="s">
        <v>1243</v>
      </c>
      <c r="G247" s="310" t="s">
        <v>14</v>
      </c>
      <c r="H247" s="342">
        <v>43641</v>
      </c>
      <c r="I247" s="314">
        <v>498</v>
      </c>
      <c r="J247" s="310" t="s">
        <v>58</v>
      </c>
      <c r="K247" s="491" t="s">
        <v>680</v>
      </c>
      <c r="L247" s="597">
        <v>44749</v>
      </c>
      <c r="M247" s="491"/>
      <c r="N247" s="495"/>
      <c r="O247" s="343">
        <v>45721</v>
      </c>
      <c r="P247" s="344">
        <v>45429</v>
      </c>
      <c r="Q247" s="581" t="s">
        <v>1289</v>
      </c>
      <c r="R247" s="310" t="s">
        <v>1496</v>
      </c>
      <c r="S247" s="309" t="s">
        <v>62</v>
      </c>
      <c r="T247" s="310" t="s">
        <v>62</v>
      </c>
      <c r="U247" s="310" t="s">
        <v>62</v>
      </c>
      <c r="V247" s="310" t="s">
        <v>62</v>
      </c>
      <c r="W247" s="309" t="s">
        <v>62</v>
      </c>
      <c r="X247" s="310" t="s">
        <v>1250</v>
      </c>
      <c r="Y247" s="310" t="s">
        <v>1652</v>
      </c>
      <c r="Z247" s="593"/>
      <c r="AA247" s="589"/>
      <c r="AB247" s="310"/>
      <c r="AC247" s="310"/>
      <c r="AD247" s="351">
        <v>44664</v>
      </c>
      <c r="AE247" s="351">
        <v>45234</v>
      </c>
      <c r="AF247" s="344">
        <v>45134</v>
      </c>
      <c r="AG247" s="536">
        <v>45465</v>
      </c>
      <c r="AH247" s="609">
        <v>45234</v>
      </c>
      <c r="AI247" s="52">
        <v>45134</v>
      </c>
      <c r="AJ247" s="24" t="s">
        <v>1116</v>
      </c>
      <c r="AK247" s="251">
        <v>45780</v>
      </c>
      <c r="AM247" s="3" t="s">
        <v>1694</v>
      </c>
      <c r="AN247" s="3"/>
    </row>
    <row r="248" spans="1:40" ht="13.35" customHeight="1" x14ac:dyDescent="0.25">
      <c r="A248" s="996">
        <v>247</v>
      </c>
      <c r="B248" s="339">
        <v>37212</v>
      </c>
      <c r="C248" s="340" t="s">
        <v>64</v>
      </c>
      <c r="D248" s="341" t="s">
        <v>1695</v>
      </c>
      <c r="E248" s="335" t="s">
        <v>1665</v>
      </c>
      <c r="F248" s="310" t="s">
        <v>1243</v>
      </c>
      <c r="G248" s="310" t="s">
        <v>14</v>
      </c>
      <c r="H248" s="342">
        <v>43669</v>
      </c>
      <c r="I248" s="314">
        <v>493</v>
      </c>
      <c r="J248" s="310" t="s">
        <v>58</v>
      </c>
      <c r="K248" s="491" t="s">
        <v>680</v>
      </c>
      <c r="L248" s="597">
        <v>44542</v>
      </c>
      <c r="M248" s="491" t="s">
        <v>60</v>
      </c>
      <c r="N248" s="495"/>
      <c r="O248" s="343">
        <v>45297</v>
      </c>
      <c r="P248" s="344">
        <v>44746</v>
      </c>
      <c r="Q248" s="581" t="s">
        <v>1289</v>
      </c>
      <c r="R248" s="309" t="s">
        <v>68</v>
      </c>
      <c r="S248" s="310" t="s">
        <v>68</v>
      </c>
      <c r="T248" s="310" t="s">
        <v>68</v>
      </c>
      <c r="U248" s="310" t="s">
        <v>68</v>
      </c>
      <c r="V248" s="310" t="s">
        <v>68</v>
      </c>
      <c r="W248" s="309" t="s">
        <v>68</v>
      </c>
      <c r="X248" s="310" t="s">
        <v>1250</v>
      </c>
      <c r="Y248" s="310" t="s">
        <v>1659</v>
      </c>
      <c r="Z248" s="593"/>
      <c r="AA248" s="589"/>
      <c r="AB248" s="310" t="s">
        <v>1696</v>
      </c>
      <c r="AC248" s="310"/>
      <c r="AD248" s="351">
        <v>44930</v>
      </c>
      <c r="AE248" s="351">
        <v>45297</v>
      </c>
      <c r="AF248" s="344">
        <v>44750</v>
      </c>
      <c r="AG248" s="536" t="s">
        <v>1697</v>
      </c>
      <c r="AH248" s="609">
        <v>45297</v>
      </c>
      <c r="AI248" s="143">
        <v>45197</v>
      </c>
      <c r="AJ248" s="24" t="s">
        <v>1116</v>
      </c>
      <c r="AK248" s="251">
        <v>45400</v>
      </c>
      <c r="AM248" s="3" t="s">
        <v>1698</v>
      </c>
      <c r="AN248" s="3"/>
    </row>
    <row r="249" spans="1:40" ht="13.35" customHeight="1" x14ac:dyDescent="0.25">
      <c r="A249" s="996">
        <v>248</v>
      </c>
      <c r="B249" s="855">
        <v>37212</v>
      </c>
      <c r="C249" s="856" t="s">
        <v>54</v>
      </c>
      <c r="D249" s="857" t="s">
        <v>1699</v>
      </c>
      <c r="E249" s="858" t="s">
        <v>1665</v>
      </c>
      <c r="F249" s="861" t="s">
        <v>1243</v>
      </c>
      <c r="G249" s="861" t="s">
        <v>14</v>
      </c>
      <c r="H249" s="860">
        <v>43669</v>
      </c>
      <c r="I249" s="859">
        <v>508</v>
      </c>
      <c r="J249" s="861" t="s">
        <v>58</v>
      </c>
      <c r="K249" s="862" t="s">
        <v>680</v>
      </c>
      <c r="L249" s="1046">
        <v>44542</v>
      </c>
      <c r="M249" s="862" t="s">
        <v>60</v>
      </c>
      <c r="N249" s="864"/>
      <c r="O249" s="865">
        <v>45297</v>
      </c>
      <c r="P249" s="1031">
        <v>44746</v>
      </c>
      <c r="Q249" s="581" t="s">
        <v>1289</v>
      </c>
      <c r="R249" s="939" t="s">
        <v>62</v>
      </c>
      <c r="S249" s="861" t="s">
        <v>62</v>
      </c>
      <c r="T249" s="861" t="s">
        <v>62</v>
      </c>
      <c r="U249" s="861" t="s">
        <v>62</v>
      </c>
      <c r="V249" s="861" t="s">
        <v>62</v>
      </c>
      <c r="W249" s="939" t="s">
        <v>62</v>
      </c>
      <c r="X249" s="310" t="s">
        <v>1250</v>
      </c>
      <c r="Y249" s="861" t="s">
        <v>1652</v>
      </c>
      <c r="Z249" s="867"/>
      <c r="AA249" s="868"/>
      <c r="AB249" s="861" t="s">
        <v>1700</v>
      </c>
      <c r="AC249" s="861"/>
      <c r="AD249" s="880">
        <v>44930</v>
      </c>
      <c r="AE249" s="880"/>
      <c r="AF249" s="1031">
        <v>44750</v>
      </c>
      <c r="AG249" s="875" t="s">
        <v>1697</v>
      </c>
      <c r="AH249" s="991">
        <v>45297</v>
      </c>
      <c r="AI249" s="235">
        <v>45197</v>
      </c>
      <c r="AJ249" s="186" t="s">
        <v>1116</v>
      </c>
      <c r="AK249" s="940">
        <v>45400</v>
      </c>
      <c r="AL249" s="511"/>
      <c r="AM249" s="115" t="s">
        <v>1698</v>
      </c>
      <c r="AN249" s="3"/>
    </row>
    <row r="250" spans="1:40" ht="13.35" customHeight="1" x14ac:dyDescent="0.25">
      <c r="A250" s="996">
        <v>249</v>
      </c>
      <c r="B250" s="354">
        <v>37591</v>
      </c>
      <c r="C250" s="340" t="s">
        <v>54</v>
      </c>
      <c r="D250" s="335" t="s">
        <v>1701</v>
      </c>
      <c r="E250" s="335" t="s">
        <v>1665</v>
      </c>
      <c r="F250" s="310" t="s">
        <v>1243</v>
      </c>
      <c r="G250" s="310" t="s">
        <v>14</v>
      </c>
      <c r="H250" s="342">
        <v>44343</v>
      </c>
      <c r="I250" s="314">
        <v>761</v>
      </c>
      <c r="J250" s="310" t="s">
        <v>58</v>
      </c>
      <c r="K250" s="491" t="s">
        <v>680</v>
      </c>
      <c r="L250" s="500" t="s">
        <v>1127</v>
      </c>
      <c r="M250" s="491" t="s">
        <v>60</v>
      </c>
      <c r="N250" s="500" t="s">
        <v>1127</v>
      </c>
      <c r="O250" s="356"/>
      <c r="P250" s="344">
        <v>45415</v>
      </c>
      <c r="Q250" s="581" t="s">
        <v>1289</v>
      </c>
      <c r="R250" s="309" t="s">
        <v>68</v>
      </c>
      <c r="S250" s="310" t="s">
        <v>206</v>
      </c>
      <c r="T250" s="310" t="s">
        <v>206</v>
      </c>
      <c r="U250" s="310" t="s">
        <v>206</v>
      </c>
      <c r="V250" s="349" t="s">
        <v>63</v>
      </c>
      <c r="W250" s="309" t="s">
        <v>68</v>
      </c>
      <c r="X250" s="609" t="s">
        <v>1244</v>
      </c>
      <c r="Y250" s="310" t="s">
        <v>869</v>
      </c>
      <c r="Z250" s="491"/>
      <c r="AA250" s="552"/>
      <c r="AB250" s="310"/>
      <c r="AC250" s="310"/>
      <c r="AD250" s="344">
        <v>44648</v>
      </c>
      <c r="AE250" s="344"/>
      <c r="AF250" s="344">
        <v>44757</v>
      </c>
      <c r="AG250" s="84">
        <v>45422</v>
      </c>
      <c r="AH250" s="609">
        <v>45261</v>
      </c>
      <c r="AI250" s="52">
        <v>45264</v>
      </c>
      <c r="AJ250" s="24" t="s">
        <v>1116</v>
      </c>
      <c r="AK250" s="251">
        <v>45455</v>
      </c>
      <c r="AM250" s="3" t="s">
        <v>1702</v>
      </c>
      <c r="AN250" s="3"/>
    </row>
    <row r="251" spans="1:40" ht="13.35" customHeight="1" x14ac:dyDescent="0.25">
      <c r="A251" s="996">
        <v>250</v>
      </c>
      <c r="B251" s="354">
        <v>37591</v>
      </c>
      <c r="C251" s="340" t="s">
        <v>64</v>
      </c>
      <c r="D251" s="335" t="s">
        <v>1703</v>
      </c>
      <c r="E251" s="335" t="s">
        <v>1665</v>
      </c>
      <c r="F251" s="310" t="s">
        <v>1243</v>
      </c>
      <c r="G251" s="310" t="s">
        <v>14</v>
      </c>
      <c r="H251" s="342">
        <v>44343</v>
      </c>
      <c r="I251" s="314">
        <v>868</v>
      </c>
      <c r="J251" s="310" t="s">
        <v>58</v>
      </c>
      <c r="K251" s="491" t="s">
        <v>680</v>
      </c>
      <c r="L251" s="500" t="s">
        <v>1127</v>
      </c>
      <c r="M251" s="491" t="s">
        <v>60</v>
      </c>
      <c r="N251" s="500" t="s">
        <v>1127</v>
      </c>
      <c r="O251" s="356"/>
      <c r="P251" s="344">
        <v>45415</v>
      </c>
      <c r="Q251" s="581" t="s">
        <v>1289</v>
      </c>
      <c r="R251" s="309" t="s">
        <v>62</v>
      </c>
      <c r="S251" s="310" t="s">
        <v>206</v>
      </c>
      <c r="T251" s="310" t="s">
        <v>206</v>
      </c>
      <c r="U251" s="310" t="s">
        <v>206</v>
      </c>
      <c r="V251" s="349" t="s">
        <v>63</v>
      </c>
      <c r="W251" s="309" t="s">
        <v>62</v>
      </c>
      <c r="X251" s="609" t="s">
        <v>1244</v>
      </c>
      <c r="Y251" s="310" t="s">
        <v>869</v>
      </c>
      <c r="Z251" s="491"/>
      <c r="AA251" s="552"/>
      <c r="AB251" s="310"/>
      <c r="AC251" s="310"/>
      <c r="AD251" s="344">
        <v>44648</v>
      </c>
      <c r="AE251" s="344"/>
      <c r="AF251" s="344">
        <v>44757</v>
      </c>
      <c r="AG251" s="84">
        <v>45422</v>
      </c>
      <c r="AH251" s="609">
        <v>45261</v>
      </c>
      <c r="AI251" s="52">
        <v>45264</v>
      </c>
      <c r="AJ251" s="24" t="s">
        <v>1116</v>
      </c>
      <c r="AK251" s="251">
        <v>45455</v>
      </c>
      <c r="AM251" s="3" t="s">
        <v>1702</v>
      </c>
      <c r="AN251" s="3"/>
    </row>
    <row r="252" spans="1:40" ht="13.35" customHeight="1" x14ac:dyDescent="0.25">
      <c r="A252" s="996">
        <v>251</v>
      </c>
      <c r="B252" s="1073">
        <v>37592</v>
      </c>
      <c r="C252" s="1068" t="s">
        <v>64</v>
      </c>
      <c r="D252" s="588" t="s">
        <v>1704</v>
      </c>
      <c r="E252" s="578" t="s">
        <v>1665</v>
      </c>
      <c r="F252" s="581" t="s">
        <v>1243</v>
      </c>
      <c r="G252" s="581" t="s">
        <v>14</v>
      </c>
      <c r="H252" s="579">
        <v>44352</v>
      </c>
      <c r="I252" s="580">
        <v>869</v>
      </c>
      <c r="J252" s="581" t="s">
        <v>58</v>
      </c>
      <c r="K252" s="582" t="s">
        <v>680</v>
      </c>
      <c r="L252" s="1079" t="s">
        <v>1127</v>
      </c>
      <c r="M252" s="582" t="s">
        <v>60</v>
      </c>
      <c r="N252" s="1080" t="s">
        <v>1127</v>
      </c>
      <c r="O252" s="584">
        <v>45112</v>
      </c>
      <c r="P252" s="586">
        <v>44741</v>
      </c>
      <c r="Q252" s="581" t="s">
        <v>1289</v>
      </c>
      <c r="R252" s="581" t="s">
        <v>68</v>
      </c>
      <c r="S252" s="887" t="s">
        <v>68</v>
      </c>
      <c r="T252" s="887" t="s">
        <v>68</v>
      </c>
      <c r="U252" s="887" t="s">
        <v>68</v>
      </c>
      <c r="V252" s="887" t="s">
        <v>68</v>
      </c>
      <c r="W252" s="887" t="s">
        <v>68</v>
      </c>
      <c r="X252" s="609" t="s">
        <v>1244</v>
      </c>
      <c r="Y252" s="310" t="s">
        <v>869</v>
      </c>
      <c r="Z252" s="888"/>
      <c r="AA252" s="889"/>
      <c r="AB252" s="581"/>
      <c r="AC252" s="581"/>
      <c r="AD252" s="586">
        <v>44646</v>
      </c>
      <c r="AE252" s="586"/>
      <c r="AF252" s="586">
        <v>45174</v>
      </c>
      <c r="AG252" s="537" t="s">
        <v>1630</v>
      </c>
      <c r="AH252" s="994">
        <v>45174</v>
      </c>
      <c r="AI252" s="644">
        <v>45174</v>
      </c>
      <c r="AJ252" s="242" t="s">
        <v>1116</v>
      </c>
      <c r="AK252" s="1075">
        <v>45408</v>
      </c>
      <c r="AL252" s="649"/>
      <c r="AM252" s="644">
        <v>45547</v>
      </c>
      <c r="AN252" s="3"/>
    </row>
    <row r="253" spans="1:40" ht="13.35" customHeight="1" x14ac:dyDescent="0.25">
      <c r="A253" s="996">
        <v>252</v>
      </c>
      <c r="B253" s="311">
        <v>37592</v>
      </c>
      <c r="C253" s="345" t="s">
        <v>54</v>
      </c>
      <c r="D253" s="346" t="s">
        <v>1705</v>
      </c>
      <c r="E253" s="335" t="s">
        <v>1665</v>
      </c>
      <c r="F253" s="310" t="s">
        <v>1243</v>
      </c>
      <c r="G253" s="310" t="s">
        <v>14</v>
      </c>
      <c r="H253" s="342">
        <v>44352</v>
      </c>
      <c r="I253" s="314">
        <v>1030</v>
      </c>
      <c r="J253" s="310" t="s">
        <v>58</v>
      </c>
      <c r="K253" s="491" t="s">
        <v>680</v>
      </c>
      <c r="L253" s="596" t="s">
        <v>1127</v>
      </c>
      <c r="M253" s="491" t="s">
        <v>60</v>
      </c>
      <c r="N253" s="500" t="s">
        <v>1127</v>
      </c>
      <c r="O253" s="343">
        <v>45112</v>
      </c>
      <c r="P253" s="344">
        <v>44741</v>
      </c>
      <c r="Q253" s="581" t="s">
        <v>1289</v>
      </c>
      <c r="R253" s="310" t="s">
        <v>62</v>
      </c>
      <c r="S253" s="309" t="s">
        <v>62</v>
      </c>
      <c r="T253" s="309" t="s">
        <v>62</v>
      </c>
      <c r="U253" s="309" t="s">
        <v>62</v>
      </c>
      <c r="V253" s="309" t="s">
        <v>62</v>
      </c>
      <c r="W253" s="309" t="s">
        <v>62</v>
      </c>
      <c r="X253" s="609" t="s">
        <v>1244</v>
      </c>
      <c r="Y253" s="310" t="s">
        <v>869</v>
      </c>
      <c r="Z253" s="593"/>
      <c r="AA253" s="589"/>
      <c r="AB253" s="310"/>
      <c r="AC253" s="310"/>
      <c r="AD253" s="344">
        <v>44646</v>
      </c>
      <c r="AE253" s="344"/>
      <c r="AF253" s="344">
        <v>45174</v>
      </c>
      <c r="AG253" s="536" t="s">
        <v>1630</v>
      </c>
      <c r="AH253" s="535">
        <v>45174</v>
      </c>
      <c r="AI253" s="84">
        <v>45174</v>
      </c>
      <c r="AJ253" s="24" t="s">
        <v>1116</v>
      </c>
      <c r="AK253" s="251">
        <v>45408</v>
      </c>
      <c r="AM253" s="84">
        <v>45547</v>
      </c>
      <c r="AN253" s="3"/>
    </row>
    <row r="254" spans="1:40" ht="13.35" customHeight="1" x14ac:dyDescent="0.25">
      <c r="A254" s="996">
        <v>253</v>
      </c>
      <c r="B254" s="339">
        <v>39058</v>
      </c>
      <c r="C254" s="340" t="s">
        <v>64</v>
      </c>
      <c r="D254" s="341" t="s">
        <v>1706</v>
      </c>
      <c r="E254" s="335" t="s">
        <v>1242</v>
      </c>
      <c r="F254" s="310" t="s">
        <v>1243</v>
      </c>
      <c r="G254" s="310" t="s">
        <v>14</v>
      </c>
      <c r="H254" s="342">
        <v>43630</v>
      </c>
      <c r="I254" s="314">
        <v>390</v>
      </c>
      <c r="J254" s="310" t="s">
        <v>58</v>
      </c>
      <c r="K254" s="491" t="s">
        <v>680</v>
      </c>
      <c r="L254" s="594">
        <v>44194</v>
      </c>
      <c r="M254" s="491" t="s">
        <v>60</v>
      </c>
      <c r="N254" s="495">
        <v>44194</v>
      </c>
      <c r="O254" s="343"/>
      <c r="P254" s="314"/>
      <c r="Q254" s="581" t="s">
        <v>1289</v>
      </c>
      <c r="R254" s="350">
        <v>44136</v>
      </c>
      <c r="S254" s="310" t="s">
        <v>68</v>
      </c>
      <c r="T254" s="310" t="s">
        <v>68</v>
      </c>
      <c r="U254" s="310" t="s">
        <v>68</v>
      </c>
      <c r="V254" s="310" t="s">
        <v>68</v>
      </c>
      <c r="W254" s="309" t="s">
        <v>68</v>
      </c>
      <c r="X254" s="608" t="s">
        <v>1250</v>
      </c>
      <c r="Y254" s="310" t="s">
        <v>869</v>
      </c>
      <c r="Z254" s="593"/>
      <c r="AA254" s="589"/>
      <c r="AB254" s="310"/>
      <c r="AC254" s="310"/>
      <c r="AD254" s="351">
        <v>44812</v>
      </c>
      <c r="AE254" s="351"/>
      <c r="AF254" s="344">
        <v>45180</v>
      </c>
      <c r="AG254" s="536">
        <v>45450</v>
      </c>
      <c r="AH254" s="609">
        <v>45283</v>
      </c>
      <c r="AI254" s="143">
        <v>45180</v>
      </c>
      <c r="AJ254" s="24" t="s">
        <v>1116</v>
      </c>
      <c r="AK254" s="251">
        <v>45469</v>
      </c>
      <c r="AM254" s="3" t="s">
        <v>1343</v>
      </c>
      <c r="AN254" s="3"/>
    </row>
    <row r="255" spans="1:40" ht="13.35" customHeight="1" x14ac:dyDescent="0.25">
      <c r="A255" s="996">
        <v>254</v>
      </c>
      <c r="B255" s="339">
        <v>39058</v>
      </c>
      <c r="C255" s="340" t="s">
        <v>54</v>
      </c>
      <c r="D255" s="341" t="s">
        <v>1707</v>
      </c>
      <c r="E255" s="335" t="s">
        <v>1242</v>
      </c>
      <c r="F255" s="310" t="s">
        <v>1243</v>
      </c>
      <c r="G255" s="310" t="s">
        <v>14</v>
      </c>
      <c r="H255" s="342">
        <v>43630</v>
      </c>
      <c r="I255" s="314">
        <v>397</v>
      </c>
      <c r="J255" s="310" t="s">
        <v>58</v>
      </c>
      <c r="K255" s="491" t="s">
        <v>680</v>
      </c>
      <c r="L255" s="594">
        <v>44194</v>
      </c>
      <c r="M255" s="491" t="s">
        <v>60</v>
      </c>
      <c r="N255" s="495">
        <v>44194</v>
      </c>
      <c r="O255" s="343"/>
      <c r="P255" s="314"/>
      <c r="Q255" s="581" t="s">
        <v>1289</v>
      </c>
      <c r="R255" s="310" t="s">
        <v>1103</v>
      </c>
      <c r="S255" s="310" t="s">
        <v>62</v>
      </c>
      <c r="T255" s="310" t="s">
        <v>62</v>
      </c>
      <c r="U255" s="310" t="s">
        <v>62</v>
      </c>
      <c r="V255" s="310" t="s">
        <v>62</v>
      </c>
      <c r="W255" s="309" t="s">
        <v>62</v>
      </c>
      <c r="X255" s="608" t="s">
        <v>1250</v>
      </c>
      <c r="Y255" s="310" t="s">
        <v>1652</v>
      </c>
      <c r="Z255" s="593"/>
      <c r="AA255" s="589"/>
      <c r="AB255" s="310"/>
      <c r="AC255" s="310"/>
      <c r="AD255" s="351">
        <v>44812</v>
      </c>
      <c r="AE255" s="351"/>
      <c r="AF255" s="344">
        <v>45180</v>
      </c>
      <c r="AG255" s="536">
        <v>45450</v>
      </c>
      <c r="AH255" s="609">
        <v>45283</v>
      </c>
      <c r="AI255" s="143">
        <v>45180</v>
      </c>
      <c r="AJ255" s="24" t="s">
        <v>1116</v>
      </c>
      <c r="AK255" s="251">
        <v>45469</v>
      </c>
      <c r="AM255" s="3" t="s">
        <v>1343</v>
      </c>
      <c r="AN255" s="3"/>
    </row>
    <row r="256" spans="1:40" ht="13.35" customHeight="1" x14ac:dyDescent="0.25">
      <c r="A256" s="996">
        <v>255</v>
      </c>
      <c r="B256" s="339">
        <v>39094</v>
      </c>
      <c r="C256" s="340" t="s">
        <v>64</v>
      </c>
      <c r="D256" s="335" t="s">
        <v>1708</v>
      </c>
      <c r="E256" s="335" t="s">
        <v>1665</v>
      </c>
      <c r="F256" s="310" t="s">
        <v>1243</v>
      </c>
      <c r="G256" s="310" t="s">
        <v>14</v>
      </c>
      <c r="H256" s="342">
        <v>43718</v>
      </c>
      <c r="I256" s="314">
        <v>588</v>
      </c>
      <c r="J256" s="310" t="s">
        <v>58</v>
      </c>
      <c r="K256" s="491" t="s">
        <v>680</v>
      </c>
      <c r="L256" s="594">
        <v>44232</v>
      </c>
      <c r="M256" s="491" t="s">
        <v>60</v>
      </c>
      <c r="N256" s="495">
        <v>44200</v>
      </c>
      <c r="O256" s="343">
        <v>45245</v>
      </c>
      <c r="P256" s="314"/>
      <c r="Q256" s="581" t="s">
        <v>1289</v>
      </c>
      <c r="R256" s="350">
        <v>44152</v>
      </c>
      <c r="S256" s="310" t="s">
        <v>68</v>
      </c>
      <c r="T256" s="310" t="s">
        <v>68</v>
      </c>
      <c r="U256" s="310" t="s">
        <v>68</v>
      </c>
      <c r="V256" s="310" t="s">
        <v>68</v>
      </c>
      <c r="W256" s="309" t="s">
        <v>68</v>
      </c>
      <c r="X256" s="609" t="s">
        <v>1244</v>
      </c>
      <c r="Y256" s="310" t="s">
        <v>1652</v>
      </c>
      <c r="Z256" s="593"/>
      <c r="AA256" s="589"/>
      <c r="AB256" s="310"/>
      <c r="AC256" s="310"/>
      <c r="AD256" s="351">
        <v>45101</v>
      </c>
      <c r="AE256" s="351"/>
      <c r="AF256" s="344">
        <v>45245</v>
      </c>
      <c r="AG256" s="536">
        <v>45469</v>
      </c>
      <c r="AH256" s="535">
        <v>45245</v>
      </c>
      <c r="AI256" s="52">
        <v>45245</v>
      </c>
      <c r="AJ256" s="24" t="s">
        <v>1116</v>
      </c>
      <c r="AK256" s="251" t="s">
        <v>1429</v>
      </c>
      <c r="AL256" s="84">
        <v>45348</v>
      </c>
      <c r="AM256" s="3" t="s">
        <v>1709</v>
      </c>
      <c r="AN256" s="3"/>
    </row>
    <row r="257" spans="1:40" ht="13.35" customHeight="1" x14ac:dyDescent="0.25">
      <c r="A257" s="996">
        <v>256</v>
      </c>
      <c r="B257" s="339">
        <v>39094</v>
      </c>
      <c r="C257" s="340" t="s">
        <v>54</v>
      </c>
      <c r="D257" s="335" t="s">
        <v>1710</v>
      </c>
      <c r="E257" s="335" t="s">
        <v>1665</v>
      </c>
      <c r="F257" s="310" t="s">
        <v>1243</v>
      </c>
      <c r="G257" s="310" t="s">
        <v>14</v>
      </c>
      <c r="H257" s="342">
        <v>43718</v>
      </c>
      <c r="I257" s="314">
        <v>589</v>
      </c>
      <c r="J257" s="310" t="s">
        <v>58</v>
      </c>
      <c r="K257" s="491" t="s">
        <v>680</v>
      </c>
      <c r="L257" s="594">
        <v>44232</v>
      </c>
      <c r="M257" s="491" t="s">
        <v>60</v>
      </c>
      <c r="N257" s="495">
        <v>44200</v>
      </c>
      <c r="O257" s="343">
        <v>45245</v>
      </c>
      <c r="P257" s="314"/>
      <c r="Q257" s="581" t="s">
        <v>1289</v>
      </c>
      <c r="R257" s="350">
        <v>44152</v>
      </c>
      <c r="S257" s="310" t="s">
        <v>62</v>
      </c>
      <c r="T257" s="310" t="s">
        <v>62</v>
      </c>
      <c r="U257" s="310" t="s">
        <v>62</v>
      </c>
      <c r="V257" s="310" t="s">
        <v>62</v>
      </c>
      <c r="W257" s="309" t="s">
        <v>62</v>
      </c>
      <c r="X257" s="609" t="s">
        <v>1244</v>
      </c>
      <c r="Y257" s="310" t="s">
        <v>1652</v>
      </c>
      <c r="Z257" s="593"/>
      <c r="AA257" s="589"/>
      <c r="AB257" s="310"/>
      <c r="AC257" s="310"/>
      <c r="AD257" s="351">
        <v>45101</v>
      </c>
      <c r="AE257" s="351"/>
      <c r="AF257" s="344">
        <v>45245</v>
      </c>
      <c r="AG257" s="536">
        <v>45469</v>
      </c>
      <c r="AH257" s="535">
        <v>45245</v>
      </c>
      <c r="AI257" s="52">
        <v>45245</v>
      </c>
      <c r="AJ257" s="24" t="s">
        <v>1116</v>
      </c>
      <c r="AK257" s="251" t="s">
        <v>1429</v>
      </c>
      <c r="AL257" s="84">
        <v>45348</v>
      </c>
      <c r="AM257" s="3" t="s">
        <v>1709</v>
      </c>
      <c r="AN257" s="3"/>
    </row>
    <row r="258" spans="1:40" ht="12.6" customHeight="1" x14ac:dyDescent="0.25">
      <c r="A258" s="996">
        <v>259</v>
      </c>
      <c r="B258" s="339">
        <v>30614</v>
      </c>
      <c r="C258" s="340" t="s">
        <v>64</v>
      </c>
      <c r="D258" s="341" t="s">
        <v>1711</v>
      </c>
      <c r="E258" s="335" t="s">
        <v>1242</v>
      </c>
      <c r="F258" s="310" t="s">
        <v>1243</v>
      </c>
      <c r="G258" s="310" t="s">
        <v>14</v>
      </c>
      <c r="H258" s="342">
        <v>43062</v>
      </c>
      <c r="I258" s="314">
        <v>102</v>
      </c>
      <c r="J258" s="310" t="s">
        <v>58</v>
      </c>
      <c r="K258" s="491" t="s">
        <v>680</v>
      </c>
      <c r="L258" s="495">
        <v>44370</v>
      </c>
      <c r="M258" s="491" t="s">
        <v>60</v>
      </c>
      <c r="N258" s="495">
        <v>44526</v>
      </c>
      <c r="O258" s="343">
        <v>45244</v>
      </c>
      <c r="P258" s="309">
        <v>45426</v>
      </c>
      <c r="Q258" s="581" t="s">
        <v>1289</v>
      </c>
      <c r="R258" s="310" t="s">
        <v>68</v>
      </c>
      <c r="S258" s="525" t="s">
        <v>63</v>
      </c>
      <c r="T258" s="310" t="s">
        <v>68</v>
      </c>
      <c r="U258" s="358" t="s">
        <v>68</v>
      </c>
      <c r="V258" s="349" t="s">
        <v>63</v>
      </c>
      <c r="W258" s="310" t="s">
        <v>206</v>
      </c>
      <c r="X258" s="310" t="s">
        <v>1250</v>
      </c>
      <c r="Y258" s="310" t="s">
        <v>1652</v>
      </c>
      <c r="Z258" s="491"/>
      <c r="AA258" s="552"/>
      <c r="AB258" s="310"/>
      <c r="AC258" s="310"/>
      <c r="AD258" s="344">
        <v>44846</v>
      </c>
      <c r="AE258" s="344">
        <v>45244</v>
      </c>
      <c r="AF258" s="344">
        <v>45135</v>
      </c>
      <c r="AG258" s="84" t="s">
        <v>1712</v>
      </c>
      <c r="AH258" s="609">
        <v>45244</v>
      </c>
      <c r="AI258" s="143">
        <v>45135</v>
      </c>
      <c r="AJ258" s="24" t="s">
        <v>1116</v>
      </c>
      <c r="AK258" s="251">
        <v>45426</v>
      </c>
      <c r="AM258" s="3" t="s">
        <v>1712</v>
      </c>
      <c r="AN258" s="3"/>
    </row>
    <row r="259" spans="1:40" ht="12.6" customHeight="1" x14ac:dyDescent="0.25">
      <c r="A259" s="996">
        <v>260</v>
      </c>
      <c r="B259" s="339">
        <v>30614</v>
      </c>
      <c r="C259" s="340" t="s">
        <v>54</v>
      </c>
      <c r="D259" s="341" t="s">
        <v>1713</v>
      </c>
      <c r="E259" s="335" t="s">
        <v>1242</v>
      </c>
      <c r="F259" s="310" t="s">
        <v>1243</v>
      </c>
      <c r="G259" s="310" t="s">
        <v>14</v>
      </c>
      <c r="H259" s="342">
        <v>43062</v>
      </c>
      <c r="I259" s="314">
        <v>114</v>
      </c>
      <c r="J259" s="310" t="s">
        <v>58</v>
      </c>
      <c r="K259" s="491" t="s">
        <v>680</v>
      </c>
      <c r="L259" s="495">
        <v>44370</v>
      </c>
      <c r="M259" s="491" t="s">
        <v>60</v>
      </c>
      <c r="N259" s="495">
        <v>44526</v>
      </c>
      <c r="O259" s="343">
        <v>45244</v>
      </c>
      <c r="P259" s="309">
        <v>45426</v>
      </c>
      <c r="Q259" s="581" t="s">
        <v>1289</v>
      </c>
      <c r="R259" s="310" t="s">
        <v>62</v>
      </c>
      <c r="S259" s="525" t="s">
        <v>63</v>
      </c>
      <c r="T259" s="310" t="s">
        <v>62</v>
      </c>
      <c r="U259" s="358" t="s">
        <v>62</v>
      </c>
      <c r="V259" s="349" t="s">
        <v>63</v>
      </c>
      <c r="W259" s="310" t="s">
        <v>63</v>
      </c>
      <c r="X259" s="310" t="s">
        <v>1250</v>
      </c>
      <c r="Y259" s="310" t="s">
        <v>1652</v>
      </c>
      <c r="Z259" s="491"/>
      <c r="AA259" s="552"/>
      <c r="AB259" s="310"/>
      <c r="AC259" s="310"/>
      <c r="AD259" s="344">
        <v>44846</v>
      </c>
      <c r="AE259" s="344">
        <v>45244</v>
      </c>
      <c r="AF259" s="344">
        <v>45135</v>
      </c>
      <c r="AG259" s="84" t="s">
        <v>1712</v>
      </c>
      <c r="AH259" s="609">
        <v>45244</v>
      </c>
      <c r="AI259" s="143">
        <v>45135</v>
      </c>
      <c r="AJ259" s="24" t="s">
        <v>1116</v>
      </c>
      <c r="AK259" s="251">
        <v>45426</v>
      </c>
      <c r="AM259" s="3" t="s">
        <v>1712</v>
      </c>
      <c r="AN259" s="3"/>
    </row>
    <row r="260" spans="1:40" ht="13.35" customHeight="1" x14ac:dyDescent="0.25">
      <c r="A260" s="996">
        <v>261</v>
      </c>
      <c r="B260" s="339">
        <v>37061</v>
      </c>
      <c r="C260" s="340" t="s">
        <v>64</v>
      </c>
      <c r="D260" s="341" t="s">
        <v>1714</v>
      </c>
      <c r="E260" s="335" t="s">
        <v>1242</v>
      </c>
      <c r="F260" s="310" t="s">
        <v>1243</v>
      </c>
      <c r="G260" s="310" t="s">
        <v>14</v>
      </c>
      <c r="H260" s="342">
        <v>43448</v>
      </c>
      <c r="I260" s="314">
        <v>202</v>
      </c>
      <c r="J260" s="310" t="s">
        <v>58</v>
      </c>
      <c r="K260" s="491" t="s">
        <v>680</v>
      </c>
      <c r="L260" s="495">
        <v>44320</v>
      </c>
      <c r="M260" s="491" t="s">
        <v>60</v>
      </c>
      <c r="N260" s="495">
        <v>44265</v>
      </c>
      <c r="O260" s="343"/>
      <c r="P260" s="310"/>
      <c r="Q260" s="581" t="s">
        <v>1289</v>
      </c>
      <c r="R260" s="310" t="s">
        <v>1715</v>
      </c>
      <c r="S260" s="525" t="s">
        <v>63</v>
      </c>
      <c r="T260" s="310" t="s">
        <v>68</v>
      </c>
      <c r="U260" s="358" t="s">
        <v>1716</v>
      </c>
      <c r="V260" s="349" t="s">
        <v>63</v>
      </c>
      <c r="W260" s="310" t="s">
        <v>63</v>
      </c>
      <c r="X260" s="310" t="s">
        <v>1250</v>
      </c>
      <c r="Y260" s="310" t="s">
        <v>1652</v>
      </c>
      <c r="Z260" s="491"/>
      <c r="AA260" s="552"/>
      <c r="AB260" s="310"/>
      <c r="AC260" s="310"/>
      <c r="AD260" s="344">
        <v>44866</v>
      </c>
      <c r="AE260" s="314"/>
      <c r="AF260" s="344">
        <v>45258</v>
      </c>
      <c r="AG260" s="84" t="s">
        <v>1319</v>
      </c>
      <c r="AH260" s="609">
        <v>45258</v>
      </c>
      <c r="AI260" s="52">
        <v>45258</v>
      </c>
      <c r="AJ260" s="24" t="s">
        <v>1116</v>
      </c>
      <c r="AK260" s="251">
        <v>45433</v>
      </c>
      <c r="AM260" s="3" t="s">
        <v>1320</v>
      </c>
      <c r="AN260" s="3"/>
    </row>
    <row r="261" spans="1:40" ht="13.35" customHeight="1" x14ac:dyDescent="0.25">
      <c r="A261" s="996">
        <v>262</v>
      </c>
      <c r="B261" s="339">
        <v>37061</v>
      </c>
      <c r="C261" s="340" t="s">
        <v>54</v>
      </c>
      <c r="D261" s="341" t="s">
        <v>1717</v>
      </c>
      <c r="E261" s="335" t="s">
        <v>1242</v>
      </c>
      <c r="F261" s="310" t="s">
        <v>1243</v>
      </c>
      <c r="G261" s="310" t="s">
        <v>14</v>
      </c>
      <c r="H261" s="342">
        <v>43448</v>
      </c>
      <c r="I261" s="314">
        <v>203</v>
      </c>
      <c r="J261" s="310" t="s">
        <v>58</v>
      </c>
      <c r="K261" s="491" t="s">
        <v>680</v>
      </c>
      <c r="L261" s="495">
        <v>44320</v>
      </c>
      <c r="M261" s="491" t="s">
        <v>60</v>
      </c>
      <c r="N261" s="495">
        <v>44265</v>
      </c>
      <c r="O261" s="343"/>
      <c r="P261" s="314"/>
      <c r="Q261" s="581" t="s">
        <v>1289</v>
      </c>
      <c r="R261" s="310" t="s">
        <v>1716</v>
      </c>
      <c r="S261" s="525" t="s">
        <v>63</v>
      </c>
      <c r="T261" s="310" t="s">
        <v>62</v>
      </c>
      <c r="U261" s="358" t="s">
        <v>1716</v>
      </c>
      <c r="V261" s="349" t="s">
        <v>63</v>
      </c>
      <c r="W261" s="310" t="s">
        <v>63</v>
      </c>
      <c r="X261" s="310" t="s">
        <v>1250</v>
      </c>
      <c r="Y261" s="310" t="s">
        <v>1652</v>
      </c>
      <c r="Z261" s="491"/>
      <c r="AA261" s="552"/>
      <c r="AB261" s="310"/>
      <c r="AC261" s="310"/>
      <c r="AD261" s="344">
        <v>44866</v>
      </c>
      <c r="AE261" s="314"/>
      <c r="AF261" s="344">
        <v>45258</v>
      </c>
      <c r="AG261" s="84" t="s">
        <v>1319</v>
      </c>
      <c r="AH261" s="609">
        <v>45258</v>
      </c>
      <c r="AI261" s="52">
        <v>45258</v>
      </c>
      <c r="AJ261" s="24" t="s">
        <v>1116</v>
      </c>
      <c r="AK261" s="251">
        <v>45433</v>
      </c>
      <c r="AM261" s="3" t="s">
        <v>1320</v>
      </c>
      <c r="AN261" s="3"/>
    </row>
    <row r="262" spans="1:40" ht="13.35" customHeight="1" x14ac:dyDescent="0.25">
      <c r="A262" s="996">
        <v>263</v>
      </c>
      <c r="B262" s="576">
        <v>37076</v>
      </c>
      <c r="C262" s="577" t="s">
        <v>64</v>
      </c>
      <c r="D262" s="587" t="s">
        <v>1718</v>
      </c>
      <c r="E262" s="578" t="s">
        <v>1242</v>
      </c>
      <c r="F262" s="581" t="s">
        <v>1243</v>
      </c>
      <c r="G262" s="581" t="s">
        <v>14</v>
      </c>
      <c r="H262" s="579">
        <v>43465</v>
      </c>
      <c r="I262" s="580">
        <v>193</v>
      </c>
      <c r="J262" s="581" t="s">
        <v>58</v>
      </c>
      <c r="K262" s="582" t="s">
        <v>680</v>
      </c>
      <c r="L262" s="886">
        <v>44362</v>
      </c>
      <c r="M262" s="582" t="s">
        <v>60</v>
      </c>
      <c r="N262" s="583">
        <v>44457</v>
      </c>
      <c r="O262" s="581"/>
      <c r="P262" s="580"/>
      <c r="Q262" s="581" t="s">
        <v>1289</v>
      </c>
      <c r="R262" s="581" t="s">
        <v>1716</v>
      </c>
      <c r="S262" s="581" t="s">
        <v>68</v>
      </c>
      <c r="T262" s="581" t="s">
        <v>68</v>
      </c>
      <c r="U262" s="1403" t="s">
        <v>1716</v>
      </c>
      <c r="V262" s="349" t="s">
        <v>63</v>
      </c>
      <c r="W262" s="310" t="s">
        <v>63</v>
      </c>
      <c r="X262" s="608" t="s">
        <v>1250</v>
      </c>
      <c r="Y262" s="310" t="s">
        <v>1652</v>
      </c>
      <c r="Z262" s="888"/>
      <c r="AA262" s="889"/>
      <c r="AB262" s="581"/>
      <c r="AC262" s="581"/>
      <c r="AD262" s="586">
        <v>44902</v>
      </c>
      <c r="AE262" s="893">
        <v>45220</v>
      </c>
      <c r="AF262" s="586">
        <v>45320</v>
      </c>
      <c r="AG262" s="537">
        <v>45481</v>
      </c>
      <c r="AH262" s="990">
        <v>45320</v>
      </c>
      <c r="AI262" s="269">
        <v>45196</v>
      </c>
      <c r="AJ262" s="242" t="s">
        <v>1116</v>
      </c>
      <c r="AK262" s="1075">
        <v>45479</v>
      </c>
      <c r="AL262" s="649"/>
      <c r="AM262" s="239" t="s">
        <v>1709</v>
      </c>
      <c r="AN262" s="3"/>
    </row>
    <row r="263" spans="1:40" ht="13.35" customHeight="1" x14ac:dyDescent="0.25">
      <c r="A263" s="996">
        <v>264</v>
      </c>
      <c r="B263" s="339">
        <v>37076</v>
      </c>
      <c r="C263" s="340" t="s">
        <v>54</v>
      </c>
      <c r="D263" s="341" t="s">
        <v>1719</v>
      </c>
      <c r="E263" s="335" t="s">
        <v>1242</v>
      </c>
      <c r="F263" s="310" t="s">
        <v>1243</v>
      </c>
      <c r="G263" s="310" t="s">
        <v>14</v>
      </c>
      <c r="H263" s="342">
        <v>43465</v>
      </c>
      <c r="I263" s="314">
        <v>199</v>
      </c>
      <c r="J263" s="310" t="s">
        <v>58</v>
      </c>
      <c r="K263" s="491" t="s">
        <v>680</v>
      </c>
      <c r="L263" s="594">
        <v>44362</v>
      </c>
      <c r="M263" s="491" t="s">
        <v>60</v>
      </c>
      <c r="N263" s="495">
        <v>44457</v>
      </c>
      <c r="O263" s="310"/>
      <c r="P263" s="314"/>
      <c r="Q263" s="581" t="s">
        <v>1289</v>
      </c>
      <c r="R263" s="310" t="s">
        <v>1716</v>
      </c>
      <c r="S263" s="310" t="s">
        <v>62</v>
      </c>
      <c r="T263" s="310" t="s">
        <v>62</v>
      </c>
      <c r="U263" s="358" t="s">
        <v>1716</v>
      </c>
      <c r="V263" s="349" t="s">
        <v>63</v>
      </c>
      <c r="W263" s="310" t="s">
        <v>63</v>
      </c>
      <c r="X263" s="608" t="s">
        <v>1250</v>
      </c>
      <c r="Y263" s="310" t="s">
        <v>1652</v>
      </c>
      <c r="Z263" s="593"/>
      <c r="AA263" s="589"/>
      <c r="AB263" s="1116" t="s">
        <v>1720</v>
      </c>
      <c r="AC263" s="310"/>
      <c r="AD263" s="344">
        <v>44902</v>
      </c>
      <c r="AE263" s="314"/>
      <c r="AF263" s="344">
        <v>45320</v>
      </c>
      <c r="AG263" s="536">
        <v>45481</v>
      </c>
      <c r="AH263" s="609">
        <v>45320</v>
      </c>
      <c r="AI263" s="52">
        <v>45196</v>
      </c>
      <c r="AJ263" s="24" t="s">
        <v>1116</v>
      </c>
      <c r="AK263" s="251">
        <v>45479</v>
      </c>
      <c r="AM263" s="3" t="s">
        <v>1709</v>
      </c>
      <c r="AN263" s="3"/>
    </row>
    <row r="264" spans="1:40" ht="13.35" customHeight="1" x14ac:dyDescent="0.25">
      <c r="A264" s="996">
        <v>265</v>
      </c>
      <c r="B264" s="339">
        <v>37283</v>
      </c>
      <c r="C264" s="340" t="s">
        <v>64</v>
      </c>
      <c r="D264" s="341" t="s">
        <v>1721</v>
      </c>
      <c r="E264" s="335" t="s">
        <v>1242</v>
      </c>
      <c r="F264" s="310" t="s">
        <v>1243</v>
      </c>
      <c r="G264" s="310" t="s">
        <v>14</v>
      </c>
      <c r="H264" s="342">
        <v>43795</v>
      </c>
      <c r="I264" s="314">
        <v>587</v>
      </c>
      <c r="J264" s="310" t="s">
        <v>58</v>
      </c>
      <c r="K264" s="491" t="s">
        <v>680</v>
      </c>
      <c r="L264" s="594">
        <v>44363</v>
      </c>
      <c r="M264" s="491" t="s">
        <v>60</v>
      </c>
      <c r="N264" s="495">
        <v>44269</v>
      </c>
      <c r="O264" s="343" t="s">
        <v>1722</v>
      </c>
      <c r="P264" s="344">
        <v>45427</v>
      </c>
      <c r="Q264" s="581" t="s">
        <v>1289</v>
      </c>
      <c r="R264" s="310" t="s">
        <v>1716</v>
      </c>
      <c r="S264" s="310" t="s">
        <v>68</v>
      </c>
      <c r="T264" s="310" t="s">
        <v>68</v>
      </c>
      <c r="U264" s="358" t="s">
        <v>1716</v>
      </c>
      <c r="V264" s="310" t="s">
        <v>63</v>
      </c>
      <c r="W264" s="310" t="s">
        <v>63</v>
      </c>
      <c r="X264" s="608" t="s">
        <v>1250</v>
      </c>
      <c r="Y264" s="310" t="s">
        <v>1652</v>
      </c>
      <c r="Z264" s="593"/>
      <c r="AA264" s="589"/>
      <c r="AB264" s="310"/>
      <c r="AC264" s="310"/>
      <c r="AD264" s="516">
        <v>44842</v>
      </c>
      <c r="AE264" s="314"/>
      <c r="AF264" s="520">
        <v>45323</v>
      </c>
      <c r="AG264" s="536">
        <v>45467</v>
      </c>
      <c r="AH264" s="535">
        <v>45227</v>
      </c>
      <c r="AI264" s="52">
        <v>45254</v>
      </c>
      <c r="AJ264" s="24" t="s">
        <v>1116</v>
      </c>
      <c r="AK264" s="251" t="s">
        <v>1722</v>
      </c>
      <c r="AM264" s="84">
        <v>45392</v>
      </c>
      <c r="AN264" s="3"/>
    </row>
    <row r="265" spans="1:40" ht="13.35" customHeight="1" x14ac:dyDescent="0.25">
      <c r="A265" s="996">
        <v>266</v>
      </c>
      <c r="B265" s="339">
        <v>37283</v>
      </c>
      <c r="C265" s="340" t="s">
        <v>54</v>
      </c>
      <c r="D265" s="341" t="s">
        <v>1723</v>
      </c>
      <c r="E265" s="335" t="s">
        <v>1242</v>
      </c>
      <c r="F265" s="310" t="s">
        <v>1243</v>
      </c>
      <c r="G265" s="310" t="s">
        <v>14</v>
      </c>
      <c r="H265" s="342">
        <v>43795</v>
      </c>
      <c r="I265" s="314">
        <v>573</v>
      </c>
      <c r="J265" s="310" t="s">
        <v>58</v>
      </c>
      <c r="K265" s="491" t="s">
        <v>680</v>
      </c>
      <c r="L265" s="594">
        <v>44363</v>
      </c>
      <c r="M265" s="491" t="s">
        <v>60</v>
      </c>
      <c r="N265" s="495">
        <v>44269</v>
      </c>
      <c r="O265" s="343" t="s">
        <v>1722</v>
      </c>
      <c r="P265" s="344">
        <v>45427</v>
      </c>
      <c r="Q265" s="581" t="s">
        <v>1289</v>
      </c>
      <c r="R265" s="310" t="s">
        <v>1716</v>
      </c>
      <c r="S265" s="310" t="s">
        <v>62</v>
      </c>
      <c r="T265" s="310" t="s">
        <v>62</v>
      </c>
      <c r="U265" s="358" t="s">
        <v>1716</v>
      </c>
      <c r="V265" s="310" t="s">
        <v>63</v>
      </c>
      <c r="W265" s="310" t="s">
        <v>63</v>
      </c>
      <c r="X265" s="608" t="s">
        <v>1250</v>
      </c>
      <c r="Y265" s="310" t="s">
        <v>1652</v>
      </c>
      <c r="Z265" s="593"/>
      <c r="AA265" s="589"/>
      <c r="AB265" s="310"/>
      <c r="AC265" s="310"/>
      <c r="AD265" s="516">
        <v>44842</v>
      </c>
      <c r="AE265" s="314"/>
      <c r="AF265" s="520">
        <v>45323</v>
      </c>
      <c r="AG265" s="536">
        <v>45467</v>
      </c>
      <c r="AH265" s="535">
        <v>45227</v>
      </c>
      <c r="AI265" s="52">
        <v>45254</v>
      </c>
      <c r="AJ265" s="24" t="s">
        <v>1116</v>
      </c>
      <c r="AK265" s="251" t="s">
        <v>1722</v>
      </c>
      <c r="AM265" s="84">
        <v>45392</v>
      </c>
      <c r="AN265" s="3"/>
    </row>
    <row r="266" spans="1:40" ht="13.35" customHeight="1" x14ac:dyDescent="0.25">
      <c r="A266" s="996">
        <v>267</v>
      </c>
      <c r="B266" s="339">
        <v>37284</v>
      </c>
      <c r="C266" s="340" t="s">
        <v>64</v>
      </c>
      <c r="D266" s="341" t="s">
        <v>1724</v>
      </c>
      <c r="E266" s="335" t="s">
        <v>1242</v>
      </c>
      <c r="F266" s="310" t="s">
        <v>1243</v>
      </c>
      <c r="G266" s="310" t="s">
        <v>14</v>
      </c>
      <c r="H266" s="342">
        <v>43796</v>
      </c>
      <c r="I266" s="314">
        <v>647</v>
      </c>
      <c r="J266" s="310" t="s">
        <v>58</v>
      </c>
      <c r="K266" s="491"/>
      <c r="L266" s="594"/>
      <c r="M266" s="491" t="s">
        <v>60</v>
      </c>
      <c r="N266" s="495">
        <v>44186</v>
      </c>
      <c r="O266" s="343">
        <v>45381</v>
      </c>
      <c r="P266" s="314"/>
      <c r="Q266" s="581" t="s">
        <v>1289</v>
      </c>
      <c r="R266" s="310" t="s">
        <v>1716</v>
      </c>
      <c r="S266" s="525" t="s">
        <v>63</v>
      </c>
      <c r="T266" s="310" t="s">
        <v>68</v>
      </c>
      <c r="U266" s="358" t="s">
        <v>1716</v>
      </c>
      <c r="V266" s="310" t="s">
        <v>63</v>
      </c>
      <c r="W266" s="310" t="s">
        <v>63</v>
      </c>
      <c r="X266" s="310" t="s">
        <v>1250</v>
      </c>
      <c r="Y266" s="310" t="s">
        <v>1652</v>
      </c>
      <c r="Z266" s="593"/>
      <c r="AA266" s="589"/>
      <c r="AB266" s="310"/>
      <c r="AC266" s="310"/>
      <c r="AD266" s="516">
        <v>45058</v>
      </c>
      <c r="AE266" s="314"/>
      <c r="AF266" s="520">
        <v>45125</v>
      </c>
      <c r="AG266" s="536" t="s">
        <v>1443</v>
      </c>
      <c r="AH266" s="609">
        <v>45313</v>
      </c>
      <c r="AI266" s="52">
        <v>45126</v>
      </c>
      <c r="AJ266" s="24" t="s">
        <v>1116</v>
      </c>
      <c r="AK266" s="24" t="s">
        <v>388</v>
      </c>
      <c r="AM266" s="3" t="s">
        <v>1725</v>
      </c>
      <c r="AN266" s="3"/>
    </row>
    <row r="267" spans="1:40" ht="13.35" customHeight="1" x14ac:dyDescent="0.25">
      <c r="A267" s="996">
        <v>268</v>
      </c>
      <c r="B267" s="855">
        <v>37284</v>
      </c>
      <c r="C267" s="856" t="s">
        <v>54</v>
      </c>
      <c r="D267" s="857" t="s">
        <v>1726</v>
      </c>
      <c r="E267" s="858" t="s">
        <v>1242</v>
      </c>
      <c r="F267" s="861" t="s">
        <v>1243</v>
      </c>
      <c r="G267" s="861" t="s">
        <v>14</v>
      </c>
      <c r="H267" s="860">
        <v>43796</v>
      </c>
      <c r="I267" s="859">
        <v>646</v>
      </c>
      <c r="J267" s="861" t="s">
        <v>58</v>
      </c>
      <c r="K267" s="862"/>
      <c r="L267" s="1034"/>
      <c r="M267" s="862" t="s">
        <v>60</v>
      </c>
      <c r="N267" s="864">
        <v>44186</v>
      </c>
      <c r="O267" s="865">
        <v>45381</v>
      </c>
      <c r="P267" s="859"/>
      <c r="Q267" s="581" t="s">
        <v>1289</v>
      </c>
      <c r="R267" s="861" t="s">
        <v>1716</v>
      </c>
      <c r="S267" s="525" t="s">
        <v>63</v>
      </c>
      <c r="T267" s="861" t="s">
        <v>62</v>
      </c>
      <c r="U267" s="1045" t="s">
        <v>1716</v>
      </c>
      <c r="V267" s="349" t="s">
        <v>63</v>
      </c>
      <c r="W267" s="310" t="s">
        <v>63</v>
      </c>
      <c r="X267" s="310" t="s">
        <v>1250</v>
      </c>
      <c r="Y267" s="310" t="s">
        <v>1652</v>
      </c>
      <c r="Z267" s="867"/>
      <c r="AA267" s="868"/>
      <c r="AB267" s="861"/>
      <c r="AC267" s="861"/>
      <c r="AD267" s="879">
        <v>45058</v>
      </c>
      <c r="AE267" s="871">
        <v>45211</v>
      </c>
      <c r="AF267" s="871">
        <v>45125</v>
      </c>
      <c r="AG267" s="875" t="s">
        <v>1443</v>
      </c>
      <c r="AH267" s="991">
        <v>45313</v>
      </c>
      <c r="AI267" s="405">
        <v>45126</v>
      </c>
      <c r="AJ267" s="186" t="s">
        <v>1116</v>
      </c>
      <c r="AK267" s="186" t="s">
        <v>388</v>
      </c>
      <c r="AL267" s="511"/>
      <c r="AM267" s="115" t="s">
        <v>1725</v>
      </c>
      <c r="AN267" s="3"/>
    </row>
    <row r="268" spans="1:40" ht="13.35" customHeight="1" x14ac:dyDescent="0.25">
      <c r="A268" s="996">
        <v>269</v>
      </c>
      <c r="B268" s="339">
        <v>37290</v>
      </c>
      <c r="C268" s="340" t="s">
        <v>64</v>
      </c>
      <c r="D268" s="341" t="s">
        <v>1727</v>
      </c>
      <c r="E268" s="335" t="s">
        <v>1242</v>
      </c>
      <c r="F268" s="310" t="s">
        <v>1243</v>
      </c>
      <c r="G268" s="310" t="s">
        <v>14</v>
      </c>
      <c r="H268" s="342">
        <v>43798</v>
      </c>
      <c r="I268" s="314">
        <v>630</v>
      </c>
      <c r="J268" s="310" t="s">
        <v>58</v>
      </c>
      <c r="K268" s="491" t="s">
        <v>680</v>
      </c>
      <c r="L268" s="495">
        <v>44370</v>
      </c>
      <c r="M268" s="491" t="s">
        <v>60</v>
      </c>
      <c r="N268" s="495">
        <v>44268</v>
      </c>
      <c r="O268" s="343" t="s">
        <v>1728</v>
      </c>
      <c r="P268" s="314" t="s">
        <v>1729</v>
      </c>
      <c r="Q268" s="581" t="s">
        <v>1289</v>
      </c>
      <c r="R268" s="310" t="s">
        <v>68</v>
      </c>
      <c r="S268" s="525" t="s">
        <v>63</v>
      </c>
      <c r="T268" s="310" t="s">
        <v>68</v>
      </c>
      <c r="U268" s="358" t="s">
        <v>68</v>
      </c>
      <c r="V268" s="349" t="s">
        <v>63</v>
      </c>
      <c r="W268" s="310" t="s">
        <v>63</v>
      </c>
      <c r="X268" s="310" t="s">
        <v>1250</v>
      </c>
      <c r="Y268" s="310" t="s">
        <v>1652</v>
      </c>
      <c r="Z268" s="491"/>
      <c r="AA268" s="552"/>
      <c r="AB268" s="310"/>
      <c r="AC268" s="310"/>
      <c r="AD268" s="344">
        <v>44918</v>
      </c>
      <c r="AE268" s="314" t="s">
        <v>1730</v>
      </c>
      <c r="AF268" s="344">
        <v>45120</v>
      </c>
      <c r="AG268" s="84" t="s">
        <v>1407</v>
      </c>
      <c r="AH268" s="609">
        <v>45231</v>
      </c>
      <c r="AI268" s="52">
        <v>45120</v>
      </c>
      <c r="AJ268" s="24" t="s">
        <v>1116</v>
      </c>
      <c r="AK268" s="251" t="s">
        <v>1728</v>
      </c>
      <c r="AM268" s="3" t="s">
        <v>1623</v>
      </c>
      <c r="AN268" s="3"/>
    </row>
    <row r="269" spans="1:40" ht="13.35" customHeight="1" x14ac:dyDescent="0.25">
      <c r="A269" s="996">
        <v>270</v>
      </c>
      <c r="B269" s="339">
        <v>37290</v>
      </c>
      <c r="C269" s="340" t="s">
        <v>54</v>
      </c>
      <c r="D269" s="341" t="s">
        <v>1731</v>
      </c>
      <c r="E269" s="335" t="s">
        <v>1242</v>
      </c>
      <c r="F269" s="310" t="s">
        <v>1243</v>
      </c>
      <c r="G269" s="310" t="s">
        <v>14</v>
      </c>
      <c r="H269" s="342">
        <v>43798</v>
      </c>
      <c r="I269" s="314">
        <v>631</v>
      </c>
      <c r="J269" s="310" t="s">
        <v>58</v>
      </c>
      <c r="K269" s="491" t="s">
        <v>680</v>
      </c>
      <c r="L269" s="495">
        <v>44370</v>
      </c>
      <c r="M269" s="491" t="s">
        <v>60</v>
      </c>
      <c r="N269" s="495">
        <v>44268</v>
      </c>
      <c r="O269" s="343" t="s">
        <v>1728</v>
      </c>
      <c r="P269" s="314"/>
      <c r="Q269" s="581" t="s">
        <v>1289</v>
      </c>
      <c r="R269" s="310" t="s">
        <v>68</v>
      </c>
      <c r="S269" s="525" t="s">
        <v>63</v>
      </c>
      <c r="T269" s="310" t="s">
        <v>62</v>
      </c>
      <c r="U269" s="358" t="s">
        <v>68</v>
      </c>
      <c r="V269" s="349" t="s">
        <v>63</v>
      </c>
      <c r="W269" s="310" t="s">
        <v>63</v>
      </c>
      <c r="X269" s="310" t="s">
        <v>1250</v>
      </c>
      <c r="Y269" s="310" t="s">
        <v>1652</v>
      </c>
      <c r="Z269" s="491"/>
      <c r="AA269" s="552"/>
      <c r="AB269" s="310"/>
      <c r="AC269" s="310"/>
      <c r="AD269" s="344">
        <v>44918</v>
      </c>
      <c r="AE269" s="314"/>
      <c r="AF269" s="344">
        <v>45120</v>
      </c>
      <c r="AG269" s="84" t="s">
        <v>1407</v>
      </c>
      <c r="AH269" s="609">
        <v>45231</v>
      </c>
      <c r="AI269" s="52">
        <v>45120</v>
      </c>
      <c r="AJ269" s="24" t="s">
        <v>1116</v>
      </c>
      <c r="AK269" s="251" t="s">
        <v>1728</v>
      </c>
      <c r="AM269" s="3" t="s">
        <v>1623</v>
      </c>
      <c r="AN269" s="3"/>
    </row>
    <row r="270" spans="1:40" ht="13.35" customHeight="1" x14ac:dyDescent="0.25">
      <c r="A270" s="996">
        <v>271</v>
      </c>
      <c r="B270" s="339">
        <v>37291</v>
      </c>
      <c r="C270" s="340" t="s">
        <v>64</v>
      </c>
      <c r="D270" s="335" t="s">
        <v>1418</v>
      </c>
      <c r="E270" s="335" t="s">
        <v>1242</v>
      </c>
      <c r="F270" s="310" t="s">
        <v>1243</v>
      </c>
      <c r="G270" s="310" t="s">
        <v>14</v>
      </c>
      <c r="H270" s="342">
        <v>43799</v>
      </c>
      <c r="I270" s="314">
        <v>561</v>
      </c>
      <c r="J270" s="310" t="s">
        <v>58</v>
      </c>
      <c r="K270" s="491" t="s">
        <v>680</v>
      </c>
      <c r="L270" s="495">
        <v>44371</v>
      </c>
      <c r="M270" s="491"/>
      <c r="N270" s="495"/>
      <c r="O270" s="343">
        <v>45429</v>
      </c>
      <c r="P270" s="520">
        <v>45264</v>
      </c>
      <c r="Q270" s="581" t="s">
        <v>1289</v>
      </c>
      <c r="R270" s="310" t="s">
        <v>68</v>
      </c>
      <c r="S270" s="525" t="s">
        <v>63</v>
      </c>
      <c r="T270" s="310" t="s">
        <v>68</v>
      </c>
      <c r="U270" s="358" t="s">
        <v>68</v>
      </c>
      <c r="V270" s="310" t="s">
        <v>63</v>
      </c>
      <c r="W270" s="310" t="s">
        <v>63</v>
      </c>
      <c r="X270" s="310" t="s">
        <v>1250</v>
      </c>
      <c r="Y270" s="310" t="s">
        <v>1652</v>
      </c>
      <c r="Z270" s="491"/>
      <c r="AA270" s="552"/>
      <c r="AB270" s="310"/>
      <c r="AC270" s="310"/>
      <c r="AD270" s="520">
        <v>45264</v>
      </c>
      <c r="AE270" s="344">
        <v>45435</v>
      </c>
      <c r="AF270" s="520">
        <v>45264</v>
      </c>
      <c r="AG270" s="52">
        <v>45482</v>
      </c>
      <c r="AH270" s="535">
        <v>45264</v>
      </c>
      <c r="AI270" s="143">
        <v>45264</v>
      </c>
      <c r="AJ270" s="24" t="s">
        <v>1116</v>
      </c>
      <c r="AK270" s="251" t="s">
        <v>1732</v>
      </c>
      <c r="AM270" s="3" t="s">
        <v>1627</v>
      </c>
      <c r="AN270" s="3"/>
    </row>
    <row r="271" spans="1:40" ht="13.35" customHeight="1" x14ac:dyDescent="0.25">
      <c r="A271" s="996">
        <v>272</v>
      </c>
      <c r="B271" s="339">
        <v>37291</v>
      </c>
      <c r="C271" s="340" t="s">
        <v>54</v>
      </c>
      <c r="D271" s="335" t="s">
        <v>1733</v>
      </c>
      <c r="E271" s="335" t="s">
        <v>1242</v>
      </c>
      <c r="F271" s="310" t="s">
        <v>1243</v>
      </c>
      <c r="G271" s="310" t="s">
        <v>14</v>
      </c>
      <c r="H271" s="342">
        <v>43799</v>
      </c>
      <c r="I271" s="314">
        <v>565</v>
      </c>
      <c r="J271" s="310" t="s">
        <v>58</v>
      </c>
      <c r="K271" s="491" t="s">
        <v>680</v>
      </c>
      <c r="L271" s="495">
        <v>44371</v>
      </c>
      <c r="M271" s="491"/>
      <c r="N271" s="495"/>
      <c r="O271" s="343">
        <v>45429</v>
      </c>
      <c r="P271" s="520">
        <v>45264</v>
      </c>
      <c r="Q271" s="581" t="s">
        <v>1289</v>
      </c>
      <c r="R271" s="310" t="s">
        <v>62</v>
      </c>
      <c r="S271" s="525" t="s">
        <v>63</v>
      </c>
      <c r="T271" s="310" t="s">
        <v>62</v>
      </c>
      <c r="U271" s="358" t="s">
        <v>62</v>
      </c>
      <c r="V271" s="310" t="s">
        <v>63</v>
      </c>
      <c r="W271" s="310" t="s">
        <v>63</v>
      </c>
      <c r="X271" s="310" t="s">
        <v>1250</v>
      </c>
      <c r="Y271" s="310" t="s">
        <v>1652</v>
      </c>
      <c r="Z271" s="491"/>
      <c r="AA271" s="552"/>
      <c r="AB271" s="3" t="s">
        <v>1734</v>
      </c>
      <c r="AC271" s="310"/>
      <c r="AD271" s="520">
        <v>45264</v>
      </c>
      <c r="AE271" s="520">
        <v>45264</v>
      </c>
      <c r="AF271" s="520">
        <v>45264</v>
      </c>
      <c r="AG271" s="52">
        <v>45482</v>
      </c>
      <c r="AH271" s="535">
        <v>45264</v>
      </c>
      <c r="AI271" s="143">
        <v>45264</v>
      </c>
      <c r="AJ271" s="24" t="s">
        <v>1116</v>
      </c>
      <c r="AK271" s="251" t="s">
        <v>1732</v>
      </c>
      <c r="AM271" s="3" t="s">
        <v>1627</v>
      </c>
      <c r="AN271" s="3"/>
    </row>
    <row r="272" spans="1:40" ht="13.35" customHeight="1" x14ac:dyDescent="0.25">
      <c r="A272" s="996">
        <v>273</v>
      </c>
      <c r="B272" s="339">
        <v>37520</v>
      </c>
      <c r="C272" s="340" t="s">
        <v>64</v>
      </c>
      <c r="D272" s="335" t="s">
        <v>1735</v>
      </c>
      <c r="E272" s="335" t="s">
        <v>1242</v>
      </c>
      <c r="F272" s="310" t="s">
        <v>1243</v>
      </c>
      <c r="G272" s="310" t="s">
        <v>14</v>
      </c>
      <c r="H272" s="342">
        <v>44204</v>
      </c>
      <c r="I272" s="314">
        <v>924</v>
      </c>
      <c r="J272" s="310" t="s">
        <v>58</v>
      </c>
      <c r="K272" s="491"/>
      <c r="L272" s="495"/>
      <c r="M272" s="491" t="s">
        <v>60</v>
      </c>
      <c r="N272" s="499">
        <v>44496</v>
      </c>
      <c r="O272" s="343"/>
      <c r="P272" s="314"/>
      <c r="Q272" s="581" t="s">
        <v>1289</v>
      </c>
      <c r="R272" s="310" t="s">
        <v>68</v>
      </c>
      <c r="S272" s="525" t="s">
        <v>63</v>
      </c>
      <c r="T272" s="310" t="s">
        <v>68</v>
      </c>
      <c r="U272" s="358" t="s">
        <v>68</v>
      </c>
      <c r="V272" s="346" t="s">
        <v>63</v>
      </c>
      <c r="W272" s="310" t="s">
        <v>63</v>
      </c>
      <c r="X272" s="608" t="s">
        <v>1250</v>
      </c>
      <c r="Y272" s="310" t="s">
        <v>1652</v>
      </c>
      <c r="Z272" s="491"/>
      <c r="AA272" s="552"/>
      <c r="AB272" s="310"/>
      <c r="AC272" s="310"/>
      <c r="AD272" s="344">
        <v>44982</v>
      </c>
      <c r="AE272" s="314"/>
      <c r="AF272" s="520">
        <v>45268</v>
      </c>
      <c r="AG272" s="84" t="s">
        <v>1736</v>
      </c>
      <c r="AH272" s="535">
        <v>45268</v>
      </c>
      <c r="AI272" s="52">
        <v>45268</v>
      </c>
      <c r="AJ272" s="3" t="s">
        <v>1116</v>
      </c>
      <c r="AK272" s="251">
        <v>45461</v>
      </c>
      <c r="AM272" s="84">
        <v>45461</v>
      </c>
      <c r="AN272" s="3"/>
    </row>
    <row r="273" spans="1:40" ht="13.35" customHeight="1" x14ac:dyDescent="0.25">
      <c r="A273" s="996">
        <v>274</v>
      </c>
      <c r="B273" s="339">
        <v>37520</v>
      </c>
      <c r="C273" s="340" t="s">
        <v>54</v>
      </c>
      <c r="D273" s="335" t="s">
        <v>1737</v>
      </c>
      <c r="E273" s="335" t="s">
        <v>1242</v>
      </c>
      <c r="F273" s="310" t="s">
        <v>1243</v>
      </c>
      <c r="G273" s="310" t="s">
        <v>14</v>
      </c>
      <c r="H273" s="342">
        <v>44204</v>
      </c>
      <c r="I273" s="314">
        <v>975</v>
      </c>
      <c r="J273" s="310" t="s">
        <v>58</v>
      </c>
      <c r="K273" s="491"/>
      <c r="L273" s="495"/>
      <c r="M273" s="491" t="s">
        <v>60</v>
      </c>
      <c r="N273" s="499">
        <v>44496</v>
      </c>
      <c r="O273" s="343"/>
      <c r="P273" s="314"/>
      <c r="Q273" s="581" t="s">
        <v>1289</v>
      </c>
      <c r="R273" s="310" t="s">
        <v>62</v>
      </c>
      <c r="S273" s="525" t="s">
        <v>63</v>
      </c>
      <c r="T273" s="310" t="s">
        <v>62</v>
      </c>
      <c r="U273" s="358" t="s">
        <v>62</v>
      </c>
      <c r="V273" s="346" t="s">
        <v>63</v>
      </c>
      <c r="W273" s="310" t="s">
        <v>63</v>
      </c>
      <c r="X273" s="608" t="s">
        <v>1250</v>
      </c>
      <c r="Y273" s="310" t="s">
        <v>1652</v>
      </c>
      <c r="Z273" s="491"/>
      <c r="AA273" s="552"/>
      <c r="AB273" s="310"/>
      <c r="AC273" s="310"/>
      <c r="AD273" s="344">
        <v>44982</v>
      </c>
      <c r="AE273" s="314"/>
      <c r="AF273" s="520">
        <v>45268</v>
      </c>
      <c r="AG273" s="84" t="s">
        <v>1736</v>
      </c>
      <c r="AH273" s="535">
        <v>45268</v>
      </c>
      <c r="AI273" s="52">
        <v>45268</v>
      </c>
      <c r="AJ273" s="3" t="s">
        <v>1116</v>
      </c>
      <c r="AK273" s="251">
        <v>45461</v>
      </c>
      <c r="AM273" s="84">
        <v>45461</v>
      </c>
      <c r="AN273" s="3"/>
    </row>
    <row r="274" spans="1:40" ht="13.35" customHeight="1" x14ac:dyDescent="0.25">
      <c r="A274" s="996">
        <v>275</v>
      </c>
      <c r="B274" s="339">
        <v>30694</v>
      </c>
      <c r="C274" s="340" t="s">
        <v>64</v>
      </c>
      <c r="D274" s="362" t="s">
        <v>1738</v>
      </c>
      <c r="E274" s="335" t="s">
        <v>1739</v>
      </c>
      <c r="F274" s="314" t="s">
        <v>1740</v>
      </c>
      <c r="G274" s="335" t="s">
        <v>14</v>
      </c>
      <c r="H274" s="342">
        <v>44548</v>
      </c>
      <c r="I274" s="314">
        <v>1078</v>
      </c>
      <c r="J274" s="310" t="s">
        <v>58</v>
      </c>
      <c r="K274" s="491" t="s">
        <v>680</v>
      </c>
      <c r="L274" s="495" t="s">
        <v>1103</v>
      </c>
      <c r="M274" s="491" t="s">
        <v>60</v>
      </c>
      <c r="N274" s="491" t="s">
        <v>1308</v>
      </c>
      <c r="O274" s="343">
        <v>45720</v>
      </c>
      <c r="P274" s="314"/>
      <c r="Q274" s="310" t="s">
        <v>1521</v>
      </c>
      <c r="R274" s="310" t="s">
        <v>68</v>
      </c>
      <c r="S274" s="310" t="s">
        <v>68</v>
      </c>
      <c r="T274" s="310" t="s">
        <v>68</v>
      </c>
      <c r="U274" s="310" t="s">
        <v>68</v>
      </c>
      <c r="V274" s="363" t="s">
        <v>63</v>
      </c>
      <c r="W274" s="343" t="s">
        <v>63</v>
      </c>
      <c r="X274" s="310" t="s">
        <v>1244</v>
      </c>
      <c r="Y274" s="310" t="s">
        <v>1652</v>
      </c>
      <c r="Z274" s="491"/>
      <c r="AA274" s="552"/>
      <c r="AB274" s="310"/>
      <c r="AC274" s="310"/>
      <c r="AD274" s="344">
        <v>44791</v>
      </c>
      <c r="AE274" s="314"/>
      <c r="AF274" s="343">
        <v>44791</v>
      </c>
      <c r="AG274" s="343" t="s">
        <v>1666</v>
      </c>
      <c r="AH274" s="535">
        <v>45282</v>
      </c>
      <c r="AI274" s="52">
        <v>45154</v>
      </c>
      <c r="AJ274" s="3" t="s">
        <v>1116</v>
      </c>
      <c r="AK274" s="3"/>
      <c r="AL274" s="84">
        <v>45541</v>
      </c>
      <c r="AM274" s="84">
        <v>45482</v>
      </c>
      <c r="AN274" s="3"/>
    </row>
    <row r="275" spans="1:40" ht="13.35" customHeight="1" x14ac:dyDescent="0.25">
      <c r="A275" s="996">
        <v>276</v>
      </c>
      <c r="B275" s="339">
        <v>30694</v>
      </c>
      <c r="C275" s="340" t="s">
        <v>54</v>
      </c>
      <c r="D275" s="362" t="s">
        <v>1741</v>
      </c>
      <c r="E275" s="335" t="s">
        <v>1739</v>
      </c>
      <c r="F275" s="314" t="s">
        <v>1740</v>
      </c>
      <c r="G275" s="335" t="s">
        <v>14</v>
      </c>
      <c r="H275" s="342">
        <v>44548</v>
      </c>
      <c r="I275" s="314">
        <v>1075</v>
      </c>
      <c r="J275" s="310" t="s">
        <v>58</v>
      </c>
      <c r="K275" s="491" t="s">
        <v>680</v>
      </c>
      <c r="L275" s="495" t="s">
        <v>1103</v>
      </c>
      <c r="M275" s="491" t="s">
        <v>60</v>
      </c>
      <c r="N275" s="491" t="s">
        <v>1308</v>
      </c>
      <c r="O275" s="343">
        <v>45720</v>
      </c>
      <c r="P275" s="314"/>
      <c r="Q275" s="310" t="s">
        <v>1521</v>
      </c>
      <c r="R275" s="310" t="s">
        <v>62</v>
      </c>
      <c r="S275" s="310" t="s">
        <v>62</v>
      </c>
      <c r="T275" s="310" t="s">
        <v>62</v>
      </c>
      <c r="U275" s="310" t="s">
        <v>62</v>
      </c>
      <c r="V275" s="363" t="s">
        <v>63</v>
      </c>
      <c r="W275" s="343" t="s">
        <v>63</v>
      </c>
      <c r="X275" s="310" t="s">
        <v>1244</v>
      </c>
      <c r="Y275" s="310" t="s">
        <v>1652</v>
      </c>
      <c r="Z275" s="491"/>
      <c r="AA275" s="552"/>
      <c r="AB275" s="310"/>
      <c r="AC275" s="310"/>
      <c r="AD275" s="344">
        <v>44791</v>
      </c>
      <c r="AE275" s="314"/>
      <c r="AF275" s="343">
        <v>44791</v>
      </c>
      <c r="AG275" s="343" t="s">
        <v>1666</v>
      </c>
      <c r="AH275" s="535">
        <v>45282</v>
      </c>
      <c r="AI275" s="52">
        <v>45154</v>
      </c>
      <c r="AJ275" s="3" t="s">
        <v>1116</v>
      </c>
      <c r="AK275" s="3"/>
      <c r="AL275" s="84">
        <v>45541</v>
      </c>
      <c r="AM275" s="84">
        <v>45482</v>
      </c>
      <c r="AN275" s="3"/>
    </row>
    <row r="276" spans="1:40" ht="13.35" customHeight="1" x14ac:dyDescent="0.25">
      <c r="A276" s="996">
        <v>277</v>
      </c>
      <c r="B276" s="576">
        <v>30695</v>
      </c>
      <c r="C276" s="577" t="s">
        <v>64</v>
      </c>
      <c r="D276" s="1081" t="s">
        <v>1742</v>
      </c>
      <c r="E276" s="578" t="s">
        <v>1739</v>
      </c>
      <c r="F276" s="580" t="s">
        <v>1740</v>
      </c>
      <c r="G276" s="578" t="s">
        <v>14</v>
      </c>
      <c r="H276" s="579">
        <v>44603</v>
      </c>
      <c r="I276" s="580">
        <v>1079</v>
      </c>
      <c r="J276" s="581" t="s">
        <v>58</v>
      </c>
      <c r="K276" s="582" t="s">
        <v>680</v>
      </c>
      <c r="L276" s="886" t="s">
        <v>1103</v>
      </c>
      <c r="M276" s="582" t="s">
        <v>60</v>
      </c>
      <c r="N276" s="583" t="s">
        <v>1103</v>
      </c>
      <c r="O276" s="584">
        <v>44859</v>
      </c>
      <c r="P276" s="580"/>
      <c r="Q276" s="581" t="s">
        <v>1521</v>
      </c>
      <c r="R276" s="581" t="s">
        <v>68</v>
      </c>
      <c r="S276" s="584" t="s">
        <v>1103</v>
      </c>
      <c r="T276" s="584" t="s">
        <v>1103</v>
      </c>
      <c r="U276" s="584" t="s">
        <v>1103</v>
      </c>
      <c r="V276" s="349" t="s">
        <v>63</v>
      </c>
      <c r="W276" s="310" t="s">
        <v>63</v>
      </c>
      <c r="X276" s="609" t="s">
        <v>1244</v>
      </c>
      <c r="Y276" s="310" t="s">
        <v>1652</v>
      </c>
      <c r="Z276" s="888"/>
      <c r="AA276" s="889"/>
      <c r="AB276" s="581"/>
      <c r="AC276" s="581"/>
      <c r="AD276" s="586">
        <v>44883</v>
      </c>
      <c r="AE276" s="580"/>
      <c r="AF276" s="584">
        <v>45145</v>
      </c>
      <c r="AG276" s="890">
        <v>45469</v>
      </c>
      <c r="AH276" s="990">
        <v>45150</v>
      </c>
      <c r="AI276" s="644">
        <v>45150</v>
      </c>
      <c r="AJ276" s="239" t="s">
        <v>1116</v>
      </c>
      <c r="AK276" s="239" t="s">
        <v>1400</v>
      </c>
      <c r="AL276" s="649"/>
      <c r="AM276" s="644">
        <v>45483</v>
      </c>
      <c r="AN276" s="3"/>
    </row>
    <row r="277" spans="1:40" ht="13.35" customHeight="1" x14ac:dyDescent="0.25">
      <c r="A277" s="996">
        <v>278</v>
      </c>
      <c r="B277" s="855">
        <v>30695</v>
      </c>
      <c r="C277" s="856" t="s">
        <v>54</v>
      </c>
      <c r="D277" s="1051" t="s">
        <v>1743</v>
      </c>
      <c r="E277" s="858" t="s">
        <v>1739</v>
      </c>
      <c r="F277" s="859" t="s">
        <v>1740</v>
      </c>
      <c r="G277" s="858" t="s">
        <v>14</v>
      </c>
      <c r="H277" s="860">
        <v>44603</v>
      </c>
      <c r="I277" s="859">
        <v>1074</v>
      </c>
      <c r="J277" s="861" t="s">
        <v>58</v>
      </c>
      <c r="K277" s="862" t="s">
        <v>680</v>
      </c>
      <c r="L277" s="1034" t="s">
        <v>1103</v>
      </c>
      <c r="M277" s="862" t="s">
        <v>60</v>
      </c>
      <c r="N277" s="864" t="s">
        <v>1103</v>
      </c>
      <c r="O277" s="865">
        <v>44859</v>
      </c>
      <c r="P277" s="859"/>
      <c r="Q277" s="861" t="s">
        <v>1521</v>
      </c>
      <c r="R277" s="861" t="s">
        <v>62</v>
      </c>
      <c r="S277" s="865" t="s">
        <v>1103</v>
      </c>
      <c r="T277" s="865" t="s">
        <v>1103</v>
      </c>
      <c r="U277" s="865" t="s">
        <v>1103</v>
      </c>
      <c r="V277" s="349" t="s">
        <v>63</v>
      </c>
      <c r="W277" s="310" t="s">
        <v>63</v>
      </c>
      <c r="X277" s="609" t="s">
        <v>1244</v>
      </c>
      <c r="Y277" s="310" t="s">
        <v>1652</v>
      </c>
      <c r="Z277" s="867"/>
      <c r="AA277" s="868"/>
      <c r="AB277" s="861"/>
      <c r="AC277" s="861"/>
      <c r="AD277" s="1031">
        <v>44883</v>
      </c>
      <c r="AE277" s="859"/>
      <c r="AF277" s="865">
        <v>45145</v>
      </c>
      <c r="AG277" s="1041">
        <v>45469</v>
      </c>
      <c r="AH277" s="991">
        <v>45150</v>
      </c>
      <c r="AI277" s="876">
        <v>45150</v>
      </c>
      <c r="AJ277" s="115" t="s">
        <v>1116</v>
      </c>
      <c r="AK277" s="115" t="s">
        <v>1400</v>
      </c>
      <c r="AL277" s="511"/>
      <c r="AM277" s="876">
        <v>45483</v>
      </c>
      <c r="AN277" s="3"/>
    </row>
    <row r="278" spans="1:40" ht="13.35" customHeight="1" x14ac:dyDescent="0.25">
      <c r="A278" s="996">
        <v>279</v>
      </c>
      <c r="B278" s="339">
        <v>30701</v>
      </c>
      <c r="C278" s="340" t="s">
        <v>64</v>
      </c>
      <c r="D278" s="362" t="s">
        <v>1744</v>
      </c>
      <c r="E278" s="335" t="s">
        <v>1739</v>
      </c>
      <c r="F278" s="314" t="s">
        <v>1740</v>
      </c>
      <c r="G278" s="335" t="s">
        <v>14</v>
      </c>
      <c r="H278" s="342">
        <v>43434</v>
      </c>
      <c r="I278" s="314">
        <v>1077</v>
      </c>
      <c r="J278" s="310" t="s">
        <v>58</v>
      </c>
      <c r="K278" s="491" t="s">
        <v>680</v>
      </c>
      <c r="L278" s="496">
        <v>44424</v>
      </c>
      <c r="M278" s="491" t="s">
        <v>60</v>
      </c>
      <c r="N278" s="496">
        <v>44424</v>
      </c>
      <c r="O278" s="343">
        <v>44887</v>
      </c>
      <c r="P278" s="314"/>
      <c r="Q278" s="310" t="s">
        <v>1521</v>
      </c>
      <c r="R278" s="310" t="s">
        <v>68</v>
      </c>
      <c r="S278" s="310" t="s">
        <v>68</v>
      </c>
      <c r="T278" s="310" t="s">
        <v>68</v>
      </c>
      <c r="U278" s="310" t="s">
        <v>68</v>
      </c>
      <c r="V278" s="364">
        <v>44424</v>
      </c>
      <c r="W278" s="309">
        <v>44424</v>
      </c>
      <c r="X278" s="609" t="s">
        <v>1244</v>
      </c>
      <c r="Y278" s="310" t="s">
        <v>1652</v>
      </c>
      <c r="Z278" s="491"/>
      <c r="AA278" s="552"/>
      <c r="AB278" s="310"/>
      <c r="AC278" s="310"/>
      <c r="AD278" s="344">
        <v>44648</v>
      </c>
      <c r="AE278" s="314"/>
      <c r="AF278" s="343">
        <v>44887</v>
      </c>
      <c r="AG278" s="343" t="s">
        <v>1745</v>
      </c>
      <c r="AH278" s="987">
        <v>45241</v>
      </c>
      <c r="AI278" s="52">
        <v>45166</v>
      </c>
      <c r="AJ278" s="3" t="s">
        <v>1116</v>
      </c>
      <c r="AK278" s="3"/>
      <c r="AM278" s="3" t="s">
        <v>1746</v>
      </c>
      <c r="AN278" s="3"/>
    </row>
    <row r="279" spans="1:40" ht="13.35" customHeight="1" x14ac:dyDescent="0.25">
      <c r="A279" s="996">
        <v>280</v>
      </c>
      <c r="B279" s="339">
        <v>30701</v>
      </c>
      <c r="C279" s="340" t="s">
        <v>54</v>
      </c>
      <c r="D279" s="362" t="s">
        <v>1747</v>
      </c>
      <c r="E279" s="335" t="s">
        <v>1739</v>
      </c>
      <c r="F279" s="314" t="s">
        <v>1740</v>
      </c>
      <c r="G279" s="335" t="s">
        <v>14</v>
      </c>
      <c r="H279" s="342">
        <v>43434</v>
      </c>
      <c r="I279" s="314">
        <v>1076</v>
      </c>
      <c r="J279" s="310" t="s">
        <v>58</v>
      </c>
      <c r="K279" s="491" t="s">
        <v>680</v>
      </c>
      <c r="L279" s="496">
        <v>44424</v>
      </c>
      <c r="M279" s="491" t="s">
        <v>60</v>
      </c>
      <c r="N279" s="496">
        <v>44424</v>
      </c>
      <c r="O279" s="343">
        <v>44887</v>
      </c>
      <c r="P279" s="314"/>
      <c r="Q279" s="310" t="s">
        <v>1521</v>
      </c>
      <c r="R279" s="310" t="s">
        <v>62</v>
      </c>
      <c r="S279" s="310" t="s">
        <v>62</v>
      </c>
      <c r="T279" s="310" t="s">
        <v>62</v>
      </c>
      <c r="U279" s="310" t="s">
        <v>62</v>
      </c>
      <c r="V279" s="364">
        <v>44424</v>
      </c>
      <c r="W279" s="309">
        <v>44424</v>
      </c>
      <c r="X279" s="609" t="s">
        <v>1244</v>
      </c>
      <c r="Y279" s="310" t="s">
        <v>1652</v>
      </c>
      <c r="Z279" s="491"/>
      <c r="AA279" s="552"/>
      <c r="AB279" s="310"/>
      <c r="AC279" s="310"/>
      <c r="AD279" s="344">
        <v>44648</v>
      </c>
      <c r="AE279" s="314"/>
      <c r="AF279" s="343">
        <v>44887</v>
      </c>
      <c r="AG279" s="343" t="s">
        <v>1745</v>
      </c>
      <c r="AH279" s="987">
        <v>45241</v>
      </c>
      <c r="AI279" s="52">
        <v>45166</v>
      </c>
      <c r="AJ279" s="3" t="s">
        <v>1116</v>
      </c>
      <c r="AK279" s="3"/>
      <c r="AM279" s="3" t="s">
        <v>1746</v>
      </c>
      <c r="AN279" s="3"/>
    </row>
    <row r="280" spans="1:40" ht="13.35" customHeight="1" x14ac:dyDescent="0.25">
      <c r="A280" s="996">
        <v>281</v>
      </c>
      <c r="B280" s="339">
        <v>30706</v>
      </c>
      <c r="C280" s="340" t="s">
        <v>64</v>
      </c>
      <c r="D280" s="362" t="s">
        <v>1748</v>
      </c>
      <c r="E280" s="335" t="s">
        <v>1739</v>
      </c>
      <c r="F280" s="314" t="s">
        <v>1740</v>
      </c>
      <c r="G280" s="335" t="s">
        <v>14</v>
      </c>
      <c r="H280" s="342">
        <v>44574</v>
      </c>
      <c r="I280" s="314">
        <v>1111</v>
      </c>
      <c r="J280" s="310" t="s">
        <v>58</v>
      </c>
      <c r="K280" s="491" t="s">
        <v>680</v>
      </c>
      <c r="L280" s="495" t="s">
        <v>1103</v>
      </c>
      <c r="M280" s="491" t="s">
        <v>60</v>
      </c>
      <c r="N280" s="491" t="s">
        <v>1308</v>
      </c>
      <c r="O280" s="343">
        <v>44983</v>
      </c>
      <c r="P280" s="314"/>
      <c r="Q280" s="310" t="s">
        <v>1521</v>
      </c>
      <c r="R280" s="310" t="s">
        <v>68</v>
      </c>
      <c r="S280" s="310" t="s">
        <v>68</v>
      </c>
      <c r="T280" s="310" t="s">
        <v>68</v>
      </c>
      <c r="U280" s="310" t="s">
        <v>68</v>
      </c>
      <c r="V280" s="349" t="s">
        <v>63</v>
      </c>
      <c r="W280" s="310" t="s">
        <v>63</v>
      </c>
      <c r="X280" s="310" t="s">
        <v>1244</v>
      </c>
      <c r="Y280" s="310" t="s">
        <v>1652</v>
      </c>
      <c r="Z280" s="491"/>
      <c r="AA280" s="552"/>
      <c r="AB280" s="310"/>
      <c r="AC280" s="310"/>
      <c r="AD280" s="344">
        <v>44883</v>
      </c>
      <c r="AE280" s="314"/>
      <c r="AF280" s="343">
        <v>45166</v>
      </c>
      <c r="AG280" s="343">
        <v>45540</v>
      </c>
      <c r="AH280" s="535">
        <v>45254</v>
      </c>
      <c r="AI280" s="52">
        <v>45166</v>
      </c>
      <c r="AJ280" s="3" t="s">
        <v>1116</v>
      </c>
      <c r="AK280" s="3"/>
      <c r="AM280" s="84">
        <v>45482</v>
      </c>
      <c r="AN280" s="3"/>
    </row>
    <row r="281" spans="1:40" ht="13.35" customHeight="1" x14ac:dyDescent="0.25">
      <c r="A281" s="996">
        <v>282</v>
      </c>
      <c r="B281" s="339">
        <v>30706</v>
      </c>
      <c r="C281" s="340" t="s">
        <v>54</v>
      </c>
      <c r="D281" s="362" t="s">
        <v>1749</v>
      </c>
      <c r="E281" s="335" t="s">
        <v>1739</v>
      </c>
      <c r="F281" s="314" t="s">
        <v>1740</v>
      </c>
      <c r="G281" s="335" t="s">
        <v>14</v>
      </c>
      <c r="H281" s="342">
        <v>44574</v>
      </c>
      <c r="I281" s="314">
        <v>1113</v>
      </c>
      <c r="J281" s="310" t="s">
        <v>58</v>
      </c>
      <c r="K281" s="491" t="s">
        <v>680</v>
      </c>
      <c r="L281" s="495" t="s">
        <v>1103</v>
      </c>
      <c r="M281" s="491" t="s">
        <v>60</v>
      </c>
      <c r="N281" s="491" t="s">
        <v>1308</v>
      </c>
      <c r="O281" s="343">
        <v>44983</v>
      </c>
      <c r="P281" s="314"/>
      <c r="Q281" s="310" t="s">
        <v>1521</v>
      </c>
      <c r="R281" s="310" t="s">
        <v>62</v>
      </c>
      <c r="S281" s="310" t="s">
        <v>62</v>
      </c>
      <c r="T281" s="310" t="s">
        <v>62</v>
      </c>
      <c r="U281" s="310" t="s">
        <v>62</v>
      </c>
      <c r="V281" s="349" t="s">
        <v>63</v>
      </c>
      <c r="W281" s="310" t="s">
        <v>63</v>
      </c>
      <c r="X281" s="310" t="s">
        <v>1244</v>
      </c>
      <c r="Y281" s="310" t="s">
        <v>1652</v>
      </c>
      <c r="Z281" s="491"/>
      <c r="AA281" s="552"/>
      <c r="AB281" s="310"/>
      <c r="AC281" s="310"/>
      <c r="AD281" s="344">
        <v>44883</v>
      </c>
      <c r="AE281" s="314"/>
      <c r="AF281" s="343">
        <v>45166</v>
      </c>
      <c r="AG281" s="343">
        <v>45540</v>
      </c>
      <c r="AH281" s="535">
        <v>45254</v>
      </c>
      <c r="AI281" s="52">
        <v>45166</v>
      </c>
      <c r="AJ281" s="3" t="s">
        <v>1116</v>
      </c>
      <c r="AK281" s="3"/>
      <c r="AM281" s="84">
        <v>45482</v>
      </c>
      <c r="AN281" s="3"/>
    </row>
    <row r="282" spans="1:40" ht="13.35" customHeight="1" x14ac:dyDescent="0.25">
      <c r="A282" s="996">
        <v>283</v>
      </c>
      <c r="B282" s="1073">
        <v>30707</v>
      </c>
      <c r="C282" s="1068" t="s">
        <v>64</v>
      </c>
      <c r="D282" s="588" t="s">
        <v>1750</v>
      </c>
      <c r="E282" s="578" t="s">
        <v>1739</v>
      </c>
      <c r="F282" s="1068" t="s">
        <v>1740</v>
      </c>
      <c r="G282" s="1068" t="s">
        <v>14</v>
      </c>
      <c r="H282" s="579">
        <v>44689</v>
      </c>
      <c r="I282" s="581">
        <v>1114</v>
      </c>
      <c r="J282" s="581" t="s">
        <v>58</v>
      </c>
      <c r="K282" s="582" t="s">
        <v>680</v>
      </c>
      <c r="L282" s="1058" t="s">
        <v>1308</v>
      </c>
      <c r="M282" s="582" t="s">
        <v>60</v>
      </c>
      <c r="N282" s="582" t="s">
        <v>1308</v>
      </c>
      <c r="O282" s="584">
        <v>44772</v>
      </c>
      <c r="P282" s="580"/>
      <c r="Q282" s="581" t="s">
        <v>1521</v>
      </c>
      <c r="R282" s="581" t="s">
        <v>68</v>
      </c>
      <c r="S282" s="581" t="s">
        <v>68</v>
      </c>
      <c r="T282" s="581" t="s">
        <v>68</v>
      </c>
      <c r="U282" s="581" t="s">
        <v>68</v>
      </c>
      <c r="V282" s="349" t="s">
        <v>63</v>
      </c>
      <c r="W282" s="310" t="s">
        <v>63</v>
      </c>
      <c r="X282" s="609" t="s">
        <v>1244</v>
      </c>
      <c r="Y282" s="310" t="s">
        <v>1652</v>
      </c>
      <c r="Z282" s="888"/>
      <c r="AA282" s="889"/>
      <c r="AB282" s="581"/>
      <c r="AC282" s="581"/>
      <c r="AD282" s="586">
        <v>44883</v>
      </c>
      <c r="AE282" s="580"/>
      <c r="AF282" s="584" t="s">
        <v>1751</v>
      </c>
      <c r="AG282" s="1083">
        <v>45469</v>
      </c>
      <c r="AH282" s="990">
        <v>45094</v>
      </c>
      <c r="AI282" s="644">
        <v>45094</v>
      </c>
      <c r="AJ282" s="239" t="s">
        <v>1116</v>
      </c>
      <c r="AK282" s="644">
        <v>45329</v>
      </c>
      <c r="AL282" s="649"/>
      <c r="AM282" s="239" t="s">
        <v>1452</v>
      </c>
      <c r="AN282" s="3"/>
    </row>
    <row r="283" spans="1:40" ht="13.35" customHeight="1" x14ac:dyDescent="0.25">
      <c r="A283" s="996">
        <v>284</v>
      </c>
      <c r="B283" s="311">
        <v>30707</v>
      </c>
      <c r="C283" s="345" t="s">
        <v>54</v>
      </c>
      <c r="D283" s="346" t="s">
        <v>1752</v>
      </c>
      <c r="E283" s="335" t="s">
        <v>1739</v>
      </c>
      <c r="F283" s="345" t="s">
        <v>1740</v>
      </c>
      <c r="G283" s="345" t="s">
        <v>14</v>
      </c>
      <c r="H283" s="342">
        <v>44689</v>
      </c>
      <c r="I283" s="310">
        <v>1192</v>
      </c>
      <c r="J283" s="310" t="s">
        <v>58</v>
      </c>
      <c r="K283" s="491" t="s">
        <v>680</v>
      </c>
      <c r="L283" s="592" t="s">
        <v>1308</v>
      </c>
      <c r="M283" s="491" t="s">
        <v>60</v>
      </c>
      <c r="N283" s="491" t="s">
        <v>1308</v>
      </c>
      <c r="O283" s="343">
        <v>44772</v>
      </c>
      <c r="P283" s="314"/>
      <c r="Q283" s="310" t="s">
        <v>1521</v>
      </c>
      <c r="R283" s="310" t="s">
        <v>62</v>
      </c>
      <c r="S283" s="310" t="s">
        <v>62</v>
      </c>
      <c r="T283" s="310" t="s">
        <v>62</v>
      </c>
      <c r="U283" s="310" t="s">
        <v>62</v>
      </c>
      <c r="V283" s="349" t="s">
        <v>63</v>
      </c>
      <c r="W283" s="310" t="s">
        <v>63</v>
      </c>
      <c r="X283" s="609" t="s">
        <v>1244</v>
      </c>
      <c r="Y283" s="310" t="s">
        <v>1652</v>
      </c>
      <c r="Z283" s="593"/>
      <c r="AA283" s="589"/>
      <c r="AB283" s="310"/>
      <c r="AC283" s="310"/>
      <c r="AD283" s="344">
        <v>44883</v>
      </c>
      <c r="AE283" s="314"/>
      <c r="AF283" s="343" t="s">
        <v>1751</v>
      </c>
      <c r="AG283" s="905">
        <v>45469</v>
      </c>
      <c r="AH283" s="609">
        <v>45094</v>
      </c>
      <c r="AI283" s="84">
        <v>45094</v>
      </c>
      <c r="AJ283" s="3" t="s">
        <v>1116</v>
      </c>
      <c r="AK283" s="84">
        <v>45329</v>
      </c>
      <c r="AM283" s="3" t="s">
        <v>1452</v>
      </c>
      <c r="AN283" s="3"/>
    </row>
    <row r="284" spans="1:40" ht="13.35" customHeight="1" x14ac:dyDescent="0.25">
      <c r="A284" s="996">
        <v>285</v>
      </c>
      <c r="B284" s="311">
        <v>30710</v>
      </c>
      <c r="C284" s="345" t="s">
        <v>64</v>
      </c>
      <c r="D284" s="346" t="s">
        <v>1753</v>
      </c>
      <c r="E284" s="335" t="s">
        <v>1739</v>
      </c>
      <c r="F284" s="345" t="s">
        <v>1740</v>
      </c>
      <c r="G284" s="345" t="s">
        <v>14</v>
      </c>
      <c r="H284" s="342">
        <v>44663</v>
      </c>
      <c r="I284" s="310">
        <v>1110</v>
      </c>
      <c r="J284" s="310" t="s">
        <v>58</v>
      </c>
      <c r="K284" s="491" t="s">
        <v>680</v>
      </c>
      <c r="L284" s="592" t="s">
        <v>1308</v>
      </c>
      <c r="M284" s="491" t="s">
        <v>60</v>
      </c>
      <c r="N284" s="491" t="s">
        <v>1308</v>
      </c>
      <c r="O284" s="343">
        <v>45031</v>
      </c>
      <c r="P284" s="314"/>
      <c r="Q284" s="310" t="s">
        <v>1521</v>
      </c>
      <c r="R284" s="310" t="s">
        <v>68</v>
      </c>
      <c r="S284" s="310" t="s">
        <v>68</v>
      </c>
      <c r="T284" s="310" t="s">
        <v>68</v>
      </c>
      <c r="U284" s="310" t="s">
        <v>68</v>
      </c>
      <c r="V284" s="349" t="s">
        <v>63</v>
      </c>
      <c r="W284" s="310" t="s">
        <v>63</v>
      </c>
      <c r="X284" s="609" t="s">
        <v>1244</v>
      </c>
      <c r="Y284" s="310" t="s">
        <v>1652</v>
      </c>
      <c r="Z284" s="593"/>
      <c r="AA284" s="589"/>
      <c r="AB284" s="310"/>
      <c r="AC284" s="310"/>
      <c r="AD284" s="344">
        <v>44657</v>
      </c>
      <c r="AE284" s="344"/>
      <c r="AF284" s="343" t="s">
        <v>1751</v>
      </c>
      <c r="AG284" s="602">
        <v>45469</v>
      </c>
      <c r="AH284" s="343">
        <v>45206</v>
      </c>
      <c r="AI284" s="52">
        <v>45156</v>
      </c>
      <c r="AJ284" s="3" t="s">
        <v>1116</v>
      </c>
      <c r="AK284" s="3" t="s">
        <v>1754</v>
      </c>
      <c r="AM284" s="84">
        <v>45483</v>
      </c>
      <c r="AN284" s="3"/>
    </row>
    <row r="285" spans="1:40" ht="13.35" customHeight="1" x14ac:dyDescent="0.25">
      <c r="A285" s="996">
        <v>286</v>
      </c>
      <c r="B285" s="311">
        <v>30710</v>
      </c>
      <c r="C285" s="345" t="s">
        <v>54</v>
      </c>
      <c r="D285" s="346" t="s">
        <v>1755</v>
      </c>
      <c r="E285" s="335" t="s">
        <v>1739</v>
      </c>
      <c r="F285" s="345" t="s">
        <v>1740</v>
      </c>
      <c r="G285" s="345" t="s">
        <v>14</v>
      </c>
      <c r="H285" s="342">
        <v>44663</v>
      </c>
      <c r="I285" s="310">
        <v>1112</v>
      </c>
      <c r="J285" s="310" t="s">
        <v>58</v>
      </c>
      <c r="K285" s="491" t="s">
        <v>680</v>
      </c>
      <c r="L285" s="592" t="s">
        <v>1308</v>
      </c>
      <c r="M285" s="491" t="s">
        <v>60</v>
      </c>
      <c r="N285" s="491" t="s">
        <v>1308</v>
      </c>
      <c r="O285" s="343">
        <v>45031</v>
      </c>
      <c r="P285" s="314"/>
      <c r="Q285" s="310" t="s">
        <v>1521</v>
      </c>
      <c r="R285" s="310" t="s">
        <v>62</v>
      </c>
      <c r="S285" s="310" t="s">
        <v>62</v>
      </c>
      <c r="T285" s="310" t="s">
        <v>62</v>
      </c>
      <c r="U285" s="310" t="s">
        <v>62</v>
      </c>
      <c r="V285" s="349" t="s">
        <v>63</v>
      </c>
      <c r="W285" s="310" t="s">
        <v>63</v>
      </c>
      <c r="X285" s="609" t="s">
        <v>1244</v>
      </c>
      <c r="Y285" s="310" t="s">
        <v>1652</v>
      </c>
      <c r="Z285" s="593"/>
      <c r="AA285" s="589"/>
      <c r="AB285" s="310"/>
      <c r="AC285" s="310"/>
      <c r="AD285" s="344">
        <v>44657</v>
      </c>
      <c r="AE285" s="314"/>
      <c r="AF285" s="343" t="s">
        <v>1751</v>
      </c>
      <c r="AG285" s="602">
        <v>45469</v>
      </c>
      <c r="AH285" s="343">
        <v>45206</v>
      </c>
      <c r="AI285" s="52">
        <v>45156</v>
      </c>
      <c r="AJ285" s="3" t="s">
        <v>1116</v>
      </c>
      <c r="AK285" s="3" t="s">
        <v>1754</v>
      </c>
      <c r="AL285" s="3"/>
      <c r="AM285" s="84">
        <v>45483</v>
      </c>
      <c r="AN285" s="3"/>
    </row>
    <row r="286" spans="1:40" ht="13.35" customHeight="1" x14ac:dyDescent="0.25">
      <c r="A286" s="996">
        <v>287</v>
      </c>
      <c r="B286" s="311">
        <v>30730</v>
      </c>
      <c r="C286" s="345" t="s">
        <v>64</v>
      </c>
      <c r="D286" s="346" t="s">
        <v>1756</v>
      </c>
      <c r="E286" s="335" t="s">
        <v>1739</v>
      </c>
      <c r="F286" s="345" t="s">
        <v>1740</v>
      </c>
      <c r="G286" s="345" t="s">
        <v>14</v>
      </c>
      <c r="H286" s="342">
        <v>44623</v>
      </c>
      <c r="I286" s="310">
        <v>1191</v>
      </c>
      <c r="J286" s="310" t="s">
        <v>58</v>
      </c>
      <c r="K286" s="491" t="s">
        <v>680</v>
      </c>
      <c r="L286" s="594" t="s">
        <v>1103</v>
      </c>
      <c r="M286" s="491" t="s">
        <v>60</v>
      </c>
      <c r="N286" s="495" t="s">
        <v>1103</v>
      </c>
      <c r="O286" s="343">
        <v>44974</v>
      </c>
      <c r="P286" s="520">
        <v>45719</v>
      </c>
      <c r="Q286" s="310" t="s">
        <v>1521</v>
      </c>
      <c r="R286" s="310" t="s">
        <v>68</v>
      </c>
      <c r="S286" s="343" t="s">
        <v>1103</v>
      </c>
      <c r="T286" s="343" t="s">
        <v>1103</v>
      </c>
      <c r="U286" s="343" t="s">
        <v>1103</v>
      </c>
      <c r="V286" s="349" t="s">
        <v>63</v>
      </c>
      <c r="W286" s="310" t="s">
        <v>63</v>
      </c>
      <c r="X286" s="609" t="s">
        <v>1244</v>
      </c>
      <c r="Y286" s="310" t="s">
        <v>1652</v>
      </c>
      <c r="Z286" s="593"/>
      <c r="AA286" s="589"/>
      <c r="AB286" s="310"/>
      <c r="AC286" s="310"/>
      <c r="AD286" s="344">
        <v>44719</v>
      </c>
      <c r="AE286" s="314"/>
      <c r="AF286" s="343" t="s">
        <v>1751</v>
      </c>
      <c r="AG286" s="602">
        <v>45471</v>
      </c>
      <c r="AH286" s="343">
        <v>45208</v>
      </c>
      <c r="AI286" s="52">
        <v>45148</v>
      </c>
      <c r="AJ286" s="3" t="s">
        <v>1116</v>
      </c>
      <c r="AK286" s="84">
        <v>45514</v>
      </c>
      <c r="AM286" s="84">
        <v>45514</v>
      </c>
      <c r="AN286" s="3"/>
    </row>
    <row r="287" spans="1:40" ht="13.35" customHeight="1" x14ac:dyDescent="0.25">
      <c r="A287" s="996">
        <v>288</v>
      </c>
      <c r="B287" s="311">
        <v>30730</v>
      </c>
      <c r="C287" s="345" t="s">
        <v>54</v>
      </c>
      <c r="D287" s="346" t="s">
        <v>1757</v>
      </c>
      <c r="E287" s="335" t="s">
        <v>1739</v>
      </c>
      <c r="F287" s="345" t="s">
        <v>1740</v>
      </c>
      <c r="G287" s="345" t="s">
        <v>14</v>
      </c>
      <c r="H287" s="342">
        <v>44623</v>
      </c>
      <c r="I287" s="310">
        <v>1190</v>
      </c>
      <c r="J287" s="310" t="s">
        <v>58</v>
      </c>
      <c r="K287" s="491" t="s">
        <v>680</v>
      </c>
      <c r="L287" s="594" t="s">
        <v>1103</v>
      </c>
      <c r="M287" s="491" t="s">
        <v>60</v>
      </c>
      <c r="N287" s="495" t="s">
        <v>1103</v>
      </c>
      <c r="O287" s="343">
        <v>44974</v>
      </c>
      <c r="P287" s="520">
        <v>45719</v>
      </c>
      <c r="Q287" s="310" t="s">
        <v>1521</v>
      </c>
      <c r="R287" s="310" t="s">
        <v>62</v>
      </c>
      <c r="S287" s="343" t="s">
        <v>1103</v>
      </c>
      <c r="T287" s="343" t="s">
        <v>1103</v>
      </c>
      <c r="U287" s="343" t="s">
        <v>1103</v>
      </c>
      <c r="V287" s="364">
        <v>44614</v>
      </c>
      <c r="W287" s="364">
        <v>44614</v>
      </c>
      <c r="X287" s="609" t="s">
        <v>1244</v>
      </c>
      <c r="Y287" s="310" t="s">
        <v>1652</v>
      </c>
      <c r="Z287" s="593"/>
      <c r="AA287" s="589"/>
      <c r="AB287" s="310"/>
      <c r="AC287" s="310"/>
      <c r="AD287" s="344">
        <v>44719</v>
      </c>
      <c r="AE287" s="314"/>
      <c r="AF287" s="343" t="s">
        <v>1751</v>
      </c>
      <c r="AG287" s="602">
        <v>45471</v>
      </c>
      <c r="AH287" s="343">
        <v>45208</v>
      </c>
      <c r="AI287" s="52">
        <v>45148</v>
      </c>
      <c r="AJ287" s="3" t="s">
        <v>1116</v>
      </c>
      <c r="AK287" s="84">
        <v>45514</v>
      </c>
      <c r="AM287" s="84">
        <v>45514</v>
      </c>
      <c r="AN287" s="3"/>
    </row>
    <row r="288" spans="1:40" ht="13.35" customHeight="1" x14ac:dyDescent="0.25">
      <c r="A288" s="996">
        <v>289</v>
      </c>
      <c r="B288" s="311">
        <v>30733</v>
      </c>
      <c r="C288" s="345" t="s">
        <v>64</v>
      </c>
      <c r="D288" s="346" t="s">
        <v>1758</v>
      </c>
      <c r="E288" s="335" t="s">
        <v>1739</v>
      </c>
      <c r="F288" s="345" t="s">
        <v>1740</v>
      </c>
      <c r="G288" s="345" t="s">
        <v>14</v>
      </c>
      <c r="H288" s="342">
        <v>44642</v>
      </c>
      <c r="I288" s="310">
        <v>1193</v>
      </c>
      <c r="J288" s="310" t="s">
        <v>58</v>
      </c>
      <c r="K288" s="491" t="s">
        <v>680</v>
      </c>
      <c r="L288" s="594" t="s">
        <v>1103</v>
      </c>
      <c r="M288" s="491" t="s">
        <v>60</v>
      </c>
      <c r="N288" s="495" t="s">
        <v>1103</v>
      </c>
      <c r="O288" s="343">
        <v>45104</v>
      </c>
      <c r="P288" s="314"/>
      <c r="Q288" s="310" t="s">
        <v>1521</v>
      </c>
      <c r="R288" s="310" t="s">
        <v>68</v>
      </c>
      <c r="S288" s="343" t="s">
        <v>1103</v>
      </c>
      <c r="T288" s="343" t="s">
        <v>1103</v>
      </c>
      <c r="U288" s="343" t="s">
        <v>1103</v>
      </c>
      <c r="V288" s="349" t="s">
        <v>63</v>
      </c>
      <c r="W288" s="310" t="s">
        <v>63</v>
      </c>
      <c r="X288" s="609" t="s">
        <v>1244</v>
      </c>
      <c r="Y288" s="310" t="s">
        <v>1652</v>
      </c>
      <c r="Z288" s="593"/>
      <c r="AA288" s="589"/>
      <c r="AB288" s="310"/>
      <c r="AC288" s="310"/>
      <c r="AD288" s="344">
        <v>44883</v>
      </c>
      <c r="AE288" s="314"/>
      <c r="AF288" s="343" t="s">
        <v>1751</v>
      </c>
      <c r="AG288" s="602">
        <v>45479</v>
      </c>
      <c r="AH288" s="987">
        <v>44935</v>
      </c>
      <c r="AI288" s="52">
        <v>45145</v>
      </c>
      <c r="AJ288" s="3" t="s">
        <v>1116</v>
      </c>
      <c r="AK288" s="52">
        <v>45826</v>
      </c>
      <c r="AM288" s="3" t="s">
        <v>1371</v>
      </c>
      <c r="AN288" s="3"/>
    </row>
    <row r="289" spans="1:40" ht="13.35" customHeight="1" x14ac:dyDescent="0.25">
      <c r="A289" s="996">
        <v>290</v>
      </c>
      <c r="B289" s="311">
        <v>30733</v>
      </c>
      <c r="C289" s="345" t="s">
        <v>54</v>
      </c>
      <c r="D289" s="346" t="s">
        <v>1759</v>
      </c>
      <c r="E289" s="335" t="s">
        <v>1739</v>
      </c>
      <c r="F289" s="345" t="s">
        <v>1740</v>
      </c>
      <c r="G289" s="345" t="s">
        <v>14</v>
      </c>
      <c r="H289" s="342">
        <v>44642</v>
      </c>
      <c r="I289" s="310">
        <v>1115</v>
      </c>
      <c r="J289" s="310" t="s">
        <v>58</v>
      </c>
      <c r="K289" s="491" t="s">
        <v>680</v>
      </c>
      <c r="L289" s="594" t="s">
        <v>1103</v>
      </c>
      <c r="M289" s="491" t="s">
        <v>60</v>
      </c>
      <c r="N289" s="495" t="s">
        <v>1103</v>
      </c>
      <c r="O289" s="343">
        <v>45104</v>
      </c>
      <c r="P289" s="314"/>
      <c r="Q289" s="310" t="s">
        <v>1521</v>
      </c>
      <c r="R289" s="310" t="s">
        <v>62</v>
      </c>
      <c r="S289" s="343" t="s">
        <v>1103</v>
      </c>
      <c r="T289" s="343" t="s">
        <v>1103</v>
      </c>
      <c r="U289" s="343" t="s">
        <v>1103</v>
      </c>
      <c r="V289" s="349" t="s">
        <v>63</v>
      </c>
      <c r="W289" s="310" t="s">
        <v>63</v>
      </c>
      <c r="X289" s="609" t="s">
        <v>1244</v>
      </c>
      <c r="Y289" s="310" t="s">
        <v>1652</v>
      </c>
      <c r="Z289" s="593"/>
      <c r="AA289" s="589"/>
      <c r="AB289" s="310"/>
      <c r="AC289" s="310"/>
      <c r="AD289" s="344">
        <v>44883</v>
      </c>
      <c r="AE289" s="314"/>
      <c r="AF289" s="343" t="s">
        <v>1751</v>
      </c>
      <c r="AG289" s="602">
        <v>45479</v>
      </c>
      <c r="AH289" s="987">
        <v>44935</v>
      </c>
      <c r="AI289" s="52">
        <v>45145</v>
      </c>
      <c r="AJ289" s="3" t="s">
        <v>1116</v>
      </c>
      <c r="AK289" s="52">
        <v>45826</v>
      </c>
      <c r="AM289" s="3" t="s">
        <v>1371</v>
      </c>
      <c r="AN289" s="3"/>
    </row>
    <row r="290" spans="1:40" ht="13.35" customHeight="1" x14ac:dyDescent="0.25">
      <c r="A290" s="996">
        <v>291</v>
      </c>
      <c r="B290" s="339">
        <v>37082</v>
      </c>
      <c r="C290" s="340" t="s">
        <v>64</v>
      </c>
      <c r="D290" s="341" t="s">
        <v>1760</v>
      </c>
      <c r="E290" s="335" t="s">
        <v>1739</v>
      </c>
      <c r="F290" s="314" t="s">
        <v>1740</v>
      </c>
      <c r="G290" s="335" t="s">
        <v>14</v>
      </c>
      <c r="H290" s="342">
        <v>43489</v>
      </c>
      <c r="I290" s="314">
        <v>271</v>
      </c>
      <c r="J290" s="310" t="s">
        <v>58</v>
      </c>
      <c r="K290" s="491" t="s">
        <v>680</v>
      </c>
      <c r="L290" s="594">
        <v>44197</v>
      </c>
      <c r="M290" s="491" t="s">
        <v>60</v>
      </c>
      <c r="N290" s="495">
        <v>44327</v>
      </c>
      <c r="O290" s="343">
        <v>44910</v>
      </c>
      <c r="P290" s="344">
        <v>45415</v>
      </c>
      <c r="Q290" s="310" t="s">
        <v>1289</v>
      </c>
      <c r="R290" s="310" t="s">
        <v>68</v>
      </c>
      <c r="S290" s="310" t="s">
        <v>68</v>
      </c>
      <c r="T290" s="310" t="s">
        <v>68</v>
      </c>
      <c r="U290" s="310" t="s">
        <v>68</v>
      </c>
      <c r="V290" s="363">
        <v>44327</v>
      </c>
      <c r="W290" s="343">
        <v>44327</v>
      </c>
      <c r="X290" s="310" t="s">
        <v>1761</v>
      </c>
      <c r="Y290" s="310" t="s">
        <v>1652</v>
      </c>
      <c r="Z290" s="593"/>
      <c r="AA290" s="589"/>
      <c r="AB290" s="310"/>
      <c r="AC290" s="310"/>
      <c r="AD290" s="344">
        <v>44719</v>
      </c>
      <c r="AE290" s="314"/>
      <c r="AF290" s="343">
        <v>45154</v>
      </c>
      <c r="AG290" s="602">
        <v>45484</v>
      </c>
      <c r="AH290" s="609">
        <v>45415</v>
      </c>
      <c r="AI290" s="519">
        <v>45096</v>
      </c>
      <c r="AJ290" s="3" t="s">
        <v>1116</v>
      </c>
      <c r="AK290" s="3" t="s">
        <v>1311</v>
      </c>
      <c r="AL290" s="84">
        <v>45415</v>
      </c>
      <c r="AM290" s="3" t="s">
        <v>1311</v>
      </c>
      <c r="AN290" s="52">
        <v>45765</v>
      </c>
    </row>
    <row r="291" spans="1:40" ht="13.35" customHeight="1" x14ac:dyDescent="0.25">
      <c r="A291" s="996">
        <v>292</v>
      </c>
      <c r="B291" s="339">
        <v>37082</v>
      </c>
      <c r="C291" s="340" t="s">
        <v>54</v>
      </c>
      <c r="D291" s="341" t="s">
        <v>1762</v>
      </c>
      <c r="E291" s="335" t="s">
        <v>1739</v>
      </c>
      <c r="F291" s="314" t="s">
        <v>1740</v>
      </c>
      <c r="G291" s="335" t="s">
        <v>14</v>
      </c>
      <c r="H291" s="342">
        <v>43489</v>
      </c>
      <c r="I291" s="314">
        <v>270</v>
      </c>
      <c r="J291" s="310" t="s">
        <v>58</v>
      </c>
      <c r="K291" s="491" t="s">
        <v>680</v>
      </c>
      <c r="L291" s="594">
        <v>44197</v>
      </c>
      <c r="M291" s="491" t="s">
        <v>60</v>
      </c>
      <c r="N291" s="495">
        <v>44327</v>
      </c>
      <c r="O291" s="343">
        <v>44910</v>
      </c>
      <c r="P291" s="344">
        <v>45415</v>
      </c>
      <c r="Q291" s="310" t="s">
        <v>1289</v>
      </c>
      <c r="R291" s="310" t="s">
        <v>62</v>
      </c>
      <c r="S291" s="310" t="s">
        <v>62</v>
      </c>
      <c r="T291" s="310" t="s">
        <v>62</v>
      </c>
      <c r="U291" s="310" t="s">
        <v>62</v>
      </c>
      <c r="V291" s="363">
        <v>44327</v>
      </c>
      <c r="W291" s="343">
        <v>44327</v>
      </c>
      <c r="X291" s="310" t="s">
        <v>1761</v>
      </c>
      <c r="Y291" s="310" t="s">
        <v>1652</v>
      </c>
      <c r="Z291" s="593"/>
      <c r="AA291" s="589"/>
      <c r="AB291" s="310"/>
      <c r="AC291" s="310"/>
      <c r="AD291" s="344">
        <v>44719</v>
      </c>
      <c r="AE291" s="314"/>
      <c r="AF291" s="343">
        <v>45154</v>
      </c>
      <c r="AG291" s="602">
        <v>45484</v>
      </c>
      <c r="AH291" s="609">
        <v>45415</v>
      </c>
      <c r="AI291" s="519">
        <v>45096</v>
      </c>
      <c r="AJ291" s="3" t="s">
        <v>1116</v>
      </c>
      <c r="AK291" s="3" t="s">
        <v>1311</v>
      </c>
      <c r="AL291" s="84">
        <v>45415</v>
      </c>
      <c r="AM291" s="3" t="s">
        <v>1311</v>
      </c>
      <c r="AN291" s="52"/>
    </row>
    <row r="292" spans="1:40" ht="13.35" customHeight="1" x14ac:dyDescent="0.25">
      <c r="A292" s="996">
        <v>293</v>
      </c>
      <c r="B292" s="339">
        <v>37083</v>
      </c>
      <c r="C292" s="340" t="s">
        <v>64</v>
      </c>
      <c r="D292" s="341" t="s">
        <v>1763</v>
      </c>
      <c r="E292" s="335" t="s">
        <v>1739</v>
      </c>
      <c r="F292" s="314" t="s">
        <v>1740</v>
      </c>
      <c r="G292" s="335" t="s">
        <v>14</v>
      </c>
      <c r="H292" s="342">
        <v>43490</v>
      </c>
      <c r="I292" s="314">
        <v>267</v>
      </c>
      <c r="J292" s="310" t="s">
        <v>58</v>
      </c>
      <c r="K292" s="491" t="s">
        <v>680</v>
      </c>
      <c r="L292" s="594">
        <v>44193</v>
      </c>
      <c r="M292" s="491" t="s">
        <v>60</v>
      </c>
      <c r="N292" s="495">
        <v>44334</v>
      </c>
      <c r="O292" s="343">
        <v>44959</v>
      </c>
      <c r="P292" s="344">
        <v>45283</v>
      </c>
      <c r="Q292" s="310" t="s">
        <v>1289</v>
      </c>
      <c r="R292" s="310" t="s">
        <v>68</v>
      </c>
      <c r="S292" s="310" t="s">
        <v>68</v>
      </c>
      <c r="T292" s="310" t="s">
        <v>68</v>
      </c>
      <c r="U292" s="310" t="s">
        <v>68</v>
      </c>
      <c r="V292" s="363">
        <v>44334</v>
      </c>
      <c r="W292" s="343">
        <v>44334</v>
      </c>
      <c r="X292" s="310" t="s">
        <v>1761</v>
      </c>
      <c r="Y292" s="310" t="s">
        <v>1652</v>
      </c>
      <c r="Z292" s="593"/>
      <c r="AA292" s="589"/>
      <c r="AB292" s="310"/>
      <c r="AC292" s="310"/>
      <c r="AD292" s="344">
        <v>44761</v>
      </c>
      <c r="AE292" s="344"/>
      <c r="AF292" s="343">
        <v>44761</v>
      </c>
      <c r="AG292" s="602">
        <v>45477</v>
      </c>
      <c r="AH292" s="535">
        <v>45210</v>
      </c>
      <c r="AI292" s="519">
        <v>45154</v>
      </c>
      <c r="AJ292" s="3" t="s">
        <v>1116</v>
      </c>
      <c r="AK292" s="84">
        <v>45283</v>
      </c>
      <c r="AM292" s="84">
        <v>45511</v>
      </c>
      <c r="AN292" s="3"/>
    </row>
    <row r="293" spans="1:40" ht="13.35" customHeight="1" x14ac:dyDescent="0.25">
      <c r="A293" s="996">
        <v>294</v>
      </c>
      <c r="B293" s="855">
        <v>37083</v>
      </c>
      <c r="C293" s="856" t="s">
        <v>54</v>
      </c>
      <c r="D293" s="857" t="s">
        <v>1764</v>
      </c>
      <c r="E293" s="858" t="s">
        <v>1739</v>
      </c>
      <c r="F293" s="859" t="s">
        <v>1740</v>
      </c>
      <c r="G293" s="858" t="s">
        <v>14</v>
      </c>
      <c r="H293" s="860">
        <v>43490</v>
      </c>
      <c r="I293" s="859">
        <v>266</v>
      </c>
      <c r="J293" s="861" t="s">
        <v>58</v>
      </c>
      <c r="K293" s="862" t="s">
        <v>680</v>
      </c>
      <c r="L293" s="1034">
        <v>44193</v>
      </c>
      <c r="M293" s="862" t="s">
        <v>60</v>
      </c>
      <c r="N293" s="864">
        <v>44334</v>
      </c>
      <c r="O293" s="865">
        <v>44959</v>
      </c>
      <c r="P293" s="1031">
        <v>45283</v>
      </c>
      <c r="Q293" s="861" t="s">
        <v>1289</v>
      </c>
      <c r="R293" s="861" t="s">
        <v>62</v>
      </c>
      <c r="S293" s="861" t="s">
        <v>62</v>
      </c>
      <c r="T293" s="861" t="s">
        <v>62</v>
      </c>
      <c r="U293" s="861" t="s">
        <v>62</v>
      </c>
      <c r="V293" s="1052">
        <v>44334</v>
      </c>
      <c r="W293" s="865">
        <v>44334</v>
      </c>
      <c r="X293" s="861" t="s">
        <v>1761</v>
      </c>
      <c r="Y293" s="310" t="s">
        <v>1652</v>
      </c>
      <c r="Z293" s="867"/>
      <c r="AA293" s="868"/>
      <c r="AB293" s="861" t="s">
        <v>1765</v>
      </c>
      <c r="AC293" s="861"/>
      <c r="AD293" s="1031">
        <v>44761</v>
      </c>
      <c r="AE293" s="1031"/>
      <c r="AF293" s="865">
        <v>44761</v>
      </c>
      <c r="AG293" s="1041">
        <v>45477</v>
      </c>
      <c r="AH293" s="877">
        <v>45210</v>
      </c>
      <c r="AI293" s="878">
        <v>45154</v>
      </c>
      <c r="AJ293" s="115" t="s">
        <v>1116</v>
      </c>
      <c r="AK293" s="876">
        <v>45283</v>
      </c>
      <c r="AL293" s="511"/>
      <c r="AM293" s="876">
        <v>45511</v>
      </c>
      <c r="AN293" s="3"/>
    </row>
    <row r="294" spans="1:40" ht="13.35" customHeight="1" x14ac:dyDescent="0.25">
      <c r="A294" s="996">
        <v>295</v>
      </c>
      <c r="B294" s="339">
        <v>37101</v>
      </c>
      <c r="C294" s="340" t="s">
        <v>64</v>
      </c>
      <c r="D294" s="341" t="s">
        <v>1766</v>
      </c>
      <c r="E294" s="335" t="s">
        <v>1739</v>
      </c>
      <c r="F294" s="314" t="s">
        <v>1740</v>
      </c>
      <c r="G294" s="335" t="s">
        <v>14</v>
      </c>
      <c r="H294" s="342">
        <v>43522</v>
      </c>
      <c r="I294" s="314">
        <v>263</v>
      </c>
      <c r="J294" s="310" t="s">
        <v>58</v>
      </c>
      <c r="K294" s="491" t="s">
        <v>680</v>
      </c>
      <c r="L294" s="495">
        <v>44202</v>
      </c>
      <c r="M294" s="491" t="s">
        <v>60</v>
      </c>
      <c r="N294" s="495">
        <v>44340</v>
      </c>
      <c r="O294" s="343">
        <v>45138</v>
      </c>
      <c r="P294" s="314"/>
      <c r="Q294" s="310" t="s">
        <v>1289</v>
      </c>
      <c r="R294" s="310" t="s">
        <v>68</v>
      </c>
      <c r="S294" s="310" t="s">
        <v>68</v>
      </c>
      <c r="T294" s="310" t="s">
        <v>68</v>
      </c>
      <c r="U294" s="310" t="s">
        <v>68</v>
      </c>
      <c r="V294" s="363">
        <v>44340</v>
      </c>
      <c r="W294" s="343">
        <v>44340</v>
      </c>
      <c r="X294" s="310" t="s">
        <v>1761</v>
      </c>
      <c r="Y294" s="310" t="s">
        <v>1652</v>
      </c>
      <c r="Z294" s="491"/>
      <c r="AA294" s="552"/>
      <c r="AB294" s="310"/>
      <c r="AC294" s="310"/>
      <c r="AD294" s="344">
        <v>44606</v>
      </c>
      <c r="AE294" s="314"/>
      <c r="AF294" s="343">
        <v>45138</v>
      </c>
      <c r="AG294" s="343" t="s">
        <v>1767</v>
      </c>
      <c r="AH294" s="535">
        <v>45280</v>
      </c>
      <c r="AI294" s="343">
        <v>45138</v>
      </c>
      <c r="AJ294" s="3" t="s">
        <v>1116</v>
      </c>
      <c r="AK294" s="52">
        <v>45337</v>
      </c>
      <c r="AL294" s="84">
        <v>45337</v>
      </c>
      <c r="AM294" s="3" t="s">
        <v>1623</v>
      </c>
      <c r="AN294" s="3"/>
    </row>
    <row r="295" spans="1:40" ht="13.35" customHeight="1" x14ac:dyDescent="0.25">
      <c r="A295" s="996">
        <v>296</v>
      </c>
      <c r="B295" s="339">
        <v>37101</v>
      </c>
      <c r="C295" s="340" t="s">
        <v>54</v>
      </c>
      <c r="D295" s="341" t="s">
        <v>1768</v>
      </c>
      <c r="E295" s="335" t="s">
        <v>1739</v>
      </c>
      <c r="F295" s="314" t="s">
        <v>1740</v>
      </c>
      <c r="G295" s="335" t="s">
        <v>14</v>
      </c>
      <c r="H295" s="342">
        <v>43522</v>
      </c>
      <c r="I295" s="314">
        <v>262</v>
      </c>
      <c r="J295" s="310" t="s">
        <v>58</v>
      </c>
      <c r="K295" s="491" t="s">
        <v>680</v>
      </c>
      <c r="L295" s="495">
        <v>44202</v>
      </c>
      <c r="M295" s="491" t="s">
        <v>60</v>
      </c>
      <c r="N295" s="495">
        <v>44340</v>
      </c>
      <c r="O295" s="343">
        <v>45138</v>
      </c>
      <c r="P295" s="314"/>
      <c r="Q295" s="310" t="s">
        <v>1289</v>
      </c>
      <c r="R295" s="310" t="s">
        <v>62</v>
      </c>
      <c r="S295" s="310" t="s">
        <v>62</v>
      </c>
      <c r="T295" s="310" t="s">
        <v>62</v>
      </c>
      <c r="U295" s="310" t="s">
        <v>62</v>
      </c>
      <c r="V295" s="363">
        <v>44340</v>
      </c>
      <c r="W295" s="343">
        <v>44340</v>
      </c>
      <c r="X295" s="310" t="s">
        <v>1761</v>
      </c>
      <c r="Y295" s="310" t="s">
        <v>1652</v>
      </c>
      <c r="Z295" s="491"/>
      <c r="AA295" s="552"/>
      <c r="AB295" s="310" t="s">
        <v>1769</v>
      </c>
      <c r="AC295" s="310"/>
      <c r="AD295" s="344">
        <v>44606</v>
      </c>
      <c r="AE295" s="314"/>
      <c r="AF295" s="343">
        <v>45138</v>
      </c>
      <c r="AG295" s="343" t="s">
        <v>1767</v>
      </c>
      <c r="AH295" s="535">
        <v>45280</v>
      </c>
      <c r="AI295" s="343">
        <v>45138</v>
      </c>
      <c r="AJ295" s="3" t="s">
        <v>1116</v>
      </c>
      <c r="AK295" s="52">
        <v>45337</v>
      </c>
      <c r="AL295" s="84">
        <v>45337</v>
      </c>
      <c r="AM295" s="3" t="s">
        <v>1623</v>
      </c>
      <c r="AN295" s="3"/>
    </row>
    <row r="296" spans="1:40" ht="13.35" customHeight="1" x14ac:dyDescent="0.25">
      <c r="A296" s="996">
        <v>297</v>
      </c>
      <c r="B296" s="339">
        <v>37115</v>
      </c>
      <c r="C296" s="340" t="s">
        <v>64</v>
      </c>
      <c r="D296" s="341" t="s">
        <v>1770</v>
      </c>
      <c r="E296" s="335" t="s">
        <v>1739</v>
      </c>
      <c r="F296" s="314" t="s">
        <v>1740</v>
      </c>
      <c r="G296" s="335" t="s">
        <v>14</v>
      </c>
      <c r="H296" s="342">
        <v>43542</v>
      </c>
      <c r="I296" s="314">
        <v>328</v>
      </c>
      <c r="J296" s="310" t="s">
        <v>58</v>
      </c>
      <c r="K296" s="491" t="s">
        <v>680</v>
      </c>
      <c r="L296" s="495">
        <v>44259</v>
      </c>
      <c r="M296" s="491" t="s">
        <v>60</v>
      </c>
      <c r="N296" s="495"/>
      <c r="O296" s="343">
        <v>45729</v>
      </c>
      <c r="P296" s="344">
        <v>45357</v>
      </c>
      <c r="Q296" s="310" t="s">
        <v>1289</v>
      </c>
      <c r="R296" s="310" t="s">
        <v>68</v>
      </c>
      <c r="S296" s="310" t="s">
        <v>68</v>
      </c>
      <c r="T296" s="310" t="s">
        <v>68</v>
      </c>
      <c r="U296" s="310" t="s">
        <v>68</v>
      </c>
      <c r="V296" s="363">
        <v>44340</v>
      </c>
      <c r="W296" s="343">
        <v>44340</v>
      </c>
      <c r="X296" s="837" t="s">
        <v>1290</v>
      </c>
      <c r="Y296" s="310" t="s">
        <v>1652</v>
      </c>
      <c r="Z296" s="491"/>
      <c r="AA296" s="552"/>
      <c r="AB296" s="310"/>
      <c r="AC296" s="310"/>
      <c r="AD296" s="344">
        <v>44662</v>
      </c>
      <c r="AE296" s="314"/>
      <c r="AF296" s="343">
        <v>44725</v>
      </c>
      <c r="AG296" s="343" t="s">
        <v>1568</v>
      </c>
      <c r="AH296" s="535">
        <v>45197</v>
      </c>
      <c r="AI296" s="519">
        <v>45104</v>
      </c>
      <c r="AJ296" s="3" t="s">
        <v>1116</v>
      </c>
      <c r="AK296" s="84">
        <v>45357</v>
      </c>
      <c r="AL296" s="84">
        <v>45357</v>
      </c>
      <c r="AM296" s="3" t="s">
        <v>1771</v>
      </c>
      <c r="AN296" s="3"/>
    </row>
    <row r="297" spans="1:40" ht="13.35" customHeight="1" x14ac:dyDescent="0.25">
      <c r="A297" s="996">
        <v>298</v>
      </c>
      <c r="B297" s="339">
        <v>37115</v>
      </c>
      <c r="C297" s="340" t="s">
        <v>54</v>
      </c>
      <c r="D297" s="341" t="s">
        <v>1772</v>
      </c>
      <c r="E297" s="335" t="s">
        <v>1739</v>
      </c>
      <c r="F297" s="314" t="s">
        <v>1740</v>
      </c>
      <c r="G297" s="335" t="s">
        <v>14</v>
      </c>
      <c r="H297" s="342">
        <v>43542</v>
      </c>
      <c r="I297" s="314">
        <v>329</v>
      </c>
      <c r="J297" s="310" t="s">
        <v>58</v>
      </c>
      <c r="K297" s="491" t="s">
        <v>680</v>
      </c>
      <c r="L297" s="495">
        <v>44259</v>
      </c>
      <c r="M297" s="491" t="s">
        <v>60</v>
      </c>
      <c r="N297" s="495">
        <v>44340</v>
      </c>
      <c r="O297" s="343">
        <v>45729</v>
      </c>
      <c r="P297" s="344">
        <v>45357</v>
      </c>
      <c r="Q297" s="310" t="s">
        <v>1289</v>
      </c>
      <c r="R297" s="310" t="s">
        <v>62</v>
      </c>
      <c r="S297" s="310" t="s">
        <v>62</v>
      </c>
      <c r="T297" s="310" t="s">
        <v>62</v>
      </c>
      <c r="U297" s="310" t="s">
        <v>62</v>
      </c>
      <c r="V297" s="363">
        <v>44340</v>
      </c>
      <c r="W297" s="343">
        <v>44340</v>
      </c>
      <c r="X297" s="837" t="s">
        <v>1290</v>
      </c>
      <c r="Y297" s="310" t="s">
        <v>1652</v>
      </c>
      <c r="Z297" s="491"/>
      <c r="AA297" s="552"/>
      <c r="AB297" s="310"/>
      <c r="AC297" s="310"/>
      <c r="AD297" s="344">
        <v>44662</v>
      </c>
      <c r="AE297" s="314"/>
      <c r="AF297" s="343">
        <v>44725</v>
      </c>
      <c r="AG297" s="343" t="s">
        <v>1568</v>
      </c>
      <c r="AH297" s="535">
        <v>45197</v>
      </c>
      <c r="AI297" s="519">
        <v>45104</v>
      </c>
      <c r="AJ297" s="3" t="s">
        <v>1116</v>
      </c>
      <c r="AK297" s="84">
        <v>45357</v>
      </c>
      <c r="AL297" s="84">
        <v>45357</v>
      </c>
      <c r="AM297" s="3" t="s">
        <v>1771</v>
      </c>
      <c r="AN297" s="3"/>
    </row>
    <row r="298" spans="1:40" ht="13.35" customHeight="1" x14ac:dyDescent="0.25">
      <c r="A298" s="996">
        <v>299</v>
      </c>
      <c r="B298" s="339">
        <v>37122</v>
      </c>
      <c r="C298" s="340" t="s">
        <v>64</v>
      </c>
      <c r="D298" s="341" t="s">
        <v>1773</v>
      </c>
      <c r="E298" s="335" t="s">
        <v>1739</v>
      </c>
      <c r="F298" s="314" t="s">
        <v>1740</v>
      </c>
      <c r="G298" s="335" t="s">
        <v>14</v>
      </c>
      <c r="H298" s="347">
        <v>43547</v>
      </c>
      <c r="I298" s="314">
        <v>321</v>
      </c>
      <c r="J298" s="310" t="s">
        <v>58</v>
      </c>
      <c r="K298" s="491" t="s">
        <v>680</v>
      </c>
      <c r="L298" s="495">
        <v>44189</v>
      </c>
      <c r="M298" s="491" t="s">
        <v>60</v>
      </c>
      <c r="N298" s="495">
        <v>44473</v>
      </c>
      <c r="O298" s="343">
        <v>45721</v>
      </c>
      <c r="P298" s="314"/>
      <c r="Q298" s="310" t="s">
        <v>1289</v>
      </c>
      <c r="R298" s="310" t="s">
        <v>68</v>
      </c>
      <c r="S298" s="310" t="s">
        <v>68</v>
      </c>
      <c r="T298" s="310" t="s">
        <v>68</v>
      </c>
      <c r="U298" s="310" t="s">
        <v>68</v>
      </c>
      <c r="V298" s="343">
        <v>44473</v>
      </c>
      <c r="W298" s="343">
        <v>44473</v>
      </c>
      <c r="X298" s="310" t="s">
        <v>1761</v>
      </c>
      <c r="Y298" s="310" t="s">
        <v>1652</v>
      </c>
      <c r="Z298" s="491"/>
      <c r="AA298" s="552"/>
      <c r="AB298" s="310"/>
      <c r="AC298" s="310"/>
      <c r="AD298" s="344">
        <v>44596</v>
      </c>
      <c r="AE298" s="314"/>
      <c r="AF298" s="343">
        <v>45159</v>
      </c>
      <c r="AG298" s="343">
        <v>45546</v>
      </c>
      <c r="AH298" s="535">
        <v>45294</v>
      </c>
      <c r="AI298" s="519">
        <v>45159</v>
      </c>
      <c r="AJ298" s="3" t="s">
        <v>1116</v>
      </c>
      <c r="AK298" s="84">
        <v>45444</v>
      </c>
      <c r="AL298" s="84">
        <v>45332</v>
      </c>
      <c r="AM298" s="84">
        <v>45605</v>
      </c>
      <c r="AN298" s="3"/>
    </row>
    <row r="299" spans="1:40" ht="13.35" customHeight="1" x14ac:dyDescent="0.25">
      <c r="A299" s="996">
        <v>300</v>
      </c>
      <c r="B299" s="339">
        <v>37122</v>
      </c>
      <c r="C299" s="340" t="s">
        <v>54</v>
      </c>
      <c r="D299" s="341" t="s">
        <v>1774</v>
      </c>
      <c r="E299" s="335" t="s">
        <v>1739</v>
      </c>
      <c r="F299" s="314" t="s">
        <v>1740</v>
      </c>
      <c r="G299" s="335" t="s">
        <v>14</v>
      </c>
      <c r="H299" s="347">
        <v>43547</v>
      </c>
      <c r="I299" s="314">
        <v>320</v>
      </c>
      <c r="J299" s="310" t="s">
        <v>58</v>
      </c>
      <c r="K299" s="491" t="s">
        <v>680</v>
      </c>
      <c r="L299" s="495">
        <v>44189</v>
      </c>
      <c r="M299" s="491" t="s">
        <v>60</v>
      </c>
      <c r="N299" s="495">
        <v>44473</v>
      </c>
      <c r="O299" s="343">
        <v>45721</v>
      </c>
      <c r="P299" s="314"/>
      <c r="Q299" s="310" t="s">
        <v>1289</v>
      </c>
      <c r="R299" s="310" t="s">
        <v>62</v>
      </c>
      <c r="S299" s="310" t="s">
        <v>62</v>
      </c>
      <c r="T299" s="310" t="s">
        <v>62</v>
      </c>
      <c r="U299" s="310" t="s">
        <v>62</v>
      </c>
      <c r="V299" s="343">
        <v>44473</v>
      </c>
      <c r="W299" s="343">
        <v>44473</v>
      </c>
      <c r="X299" s="310" t="s">
        <v>1761</v>
      </c>
      <c r="Y299" s="310" t="s">
        <v>1652</v>
      </c>
      <c r="Z299" s="491"/>
      <c r="AA299" s="552"/>
      <c r="AB299" s="310"/>
      <c r="AC299" s="310"/>
      <c r="AD299" s="344">
        <v>44596</v>
      </c>
      <c r="AE299" s="314"/>
      <c r="AF299" s="343">
        <v>45159</v>
      </c>
      <c r="AG299" s="343">
        <v>45546</v>
      </c>
      <c r="AH299" s="535">
        <v>45294</v>
      </c>
      <c r="AI299" s="519">
        <v>45159</v>
      </c>
      <c r="AJ299" s="3" t="s">
        <v>1116</v>
      </c>
      <c r="AK299" s="84">
        <v>45444</v>
      </c>
      <c r="AL299" s="84">
        <v>45332</v>
      </c>
      <c r="AM299" s="84">
        <v>45605</v>
      </c>
      <c r="AN299" s="3"/>
    </row>
    <row r="300" spans="1:40" ht="13.35" customHeight="1" x14ac:dyDescent="0.25">
      <c r="A300" s="996">
        <v>301</v>
      </c>
      <c r="B300" s="339">
        <v>37150</v>
      </c>
      <c r="C300" s="340" t="s">
        <v>64</v>
      </c>
      <c r="D300" s="341" t="s">
        <v>1775</v>
      </c>
      <c r="E300" s="335" t="s">
        <v>1739</v>
      </c>
      <c r="F300" s="314" t="s">
        <v>1740</v>
      </c>
      <c r="G300" s="335" t="s">
        <v>14</v>
      </c>
      <c r="H300" s="347">
        <v>43580</v>
      </c>
      <c r="I300" s="314">
        <v>424</v>
      </c>
      <c r="J300" s="310" t="s">
        <v>58</v>
      </c>
      <c r="K300" s="491" t="s">
        <v>680</v>
      </c>
      <c r="L300" s="495">
        <v>44196</v>
      </c>
      <c r="M300" s="491" t="s">
        <v>1776</v>
      </c>
      <c r="N300" s="495"/>
      <c r="O300" s="343">
        <v>45734</v>
      </c>
      <c r="P300" s="344">
        <v>45364</v>
      </c>
      <c r="Q300" s="310" t="s">
        <v>1289</v>
      </c>
      <c r="R300" s="310" t="s">
        <v>68</v>
      </c>
      <c r="S300" s="309" t="s">
        <v>68</v>
      </c>
      <c r="T300" s="310" t="s">
        <v>68</v>
      </c>
      <c r="U300" s="310" t="s">
        <v>68</v>
      </c>
      <c r="V300" s="363">
        <v>44293</v>
      </c>
      <c r="W300" s="343">
        <v>44293</v>
      </c>
      <c r="X300" s="310" t="s">
        <v>1761</v>
      </c>
      <c r="Y300" s="310" t="s">
        <v>1652</v>
      </c>
      <c r="Z300" s="491"/>
      <c r="AA300" s="552"/>
      <c r="AB300" s="310"/>
      <c r="AC300" s="310"/>
      <c r="AD300" s="344">
        <v>44595</v>
      </c>
      <c r="AE300" s="314"/>
      <c r="AF300" s="343">
        <v>45191</v>
      </c>
      <c r="AG300" s="343">
        <v>45542</v>
      </c>
      <c r="AH300" s="535">
        <v>45272</v>
      </c>
      <c r="AI300" s="519">
        <v>45164</v>
      </c>
      <c r="AJ300" s="3" t="s">
        <v>1116</v>
      </c>
      <c r="AK300" s="84">
        <v>45364</v>
      </c>
      <c r="AL300" s="84">
        <v>45364</v>
      </c>
      <c r="AM300" s="3" t="s">
        <v>296</v>
      </c>
      <c r="AN300" s="52">
        <v>45643</v>
      </c>
    </row>
    <row r="301" spans="1:40" ht="13.35" customHeight="1" x14ac:dyDescent="0.25">
      <c r="A301" s="996">
        <v>302</v>
      </c>
      <c r="B301" s="339">
        <v>37150</v>
      </c>
      <c r="C301" s="340" t="s">
        <v>54</v>
      </c>
      <c r="D301" s="341" t="s">
        <v>1777</v>
      </c>
      <c r="E301" s="335" t="s">
        <v>1739</v>
      </c>
      <c r="F301" s="314" t="s">
        <v>1740</v>
      </c>
      <c r="G301" s="335" t="s">
        <v>14</v>
      </c>
      <c r="H301" s="347">
        <v>43580</v>
      </c>
      <c r="I301" s="314">
        <v>365</v>
      </c>
      <c r="J301" s="310" t="s">
        <v>58</v>
      </c>
      <c r="K301" s="491" t="s">
        <v>680</v>
      </c>
      <c r="L301" s="495">
        <v>44196</v>
      </c>
      <c r="M301" s="491" t="s">
        <v>60</v>
      </c>
      <c r="N301" s="495">
        <v>44293</v>
      </c>
      <c r="O301" s="343">
        <v>45734</v>
      </c>
      <c r="P301" s="344">
        <v>45364</v>
      </c>
      <c r="Q301" s="310" t="s">
        <v>1289</v>
      </c>
      <c r="R301" s="310" t="s">
        <v>62</v>
      </c>
      <c r="S301" s="309" t="s">
        <v>62</v>
      </c>
      <c r="T301" s="310" t="s">
        <v>62</v>
      </c>
      <c r="U301" s="310" t="s">
        <v>62</v>
      </c>
      <c r="V301" s="363">
        <v>44293</v>
      </c>
      <c r="W301" s="343">
        <v>44293</v>
      </c>
      <c r="X301" s="837" t="s">
        <v>1290</v>
      </c>
      <c r="Y301" s="310" t="s">
        <v>1652</v>
      </c>
      <c r="Z301" s="491"/>
      <c r="AA301" s="552"/>
      <c r="AB301" s="310"/>
      <c r="AC301" s="310"/>
      <c r="AD301" s="344">
        <v>44595</v>
      </c>
      <c r="AE301" s="314"/>
      <c r="AF301" s="343">
        <v>45191</v>
      </c>
      <c r="AG301" s="343">
        <v>45542</v>
      </c>
      <c r="AH301" s="535">
        <v>45272</v>
      </c>
      <c r="AI301" s="519">
        <v>45164</v>
      </c>
      <c r="AJ301" s="3" t="s">
        <v>1116</v>
      </c>
      <c r="AK301" s="84">
        <v>45364</v>
      </c>
      <c r="AL301" s="84">
        <v>45364</v>
      </c>
      <c r="AM301" s="3" t="s">
        <v>296</v>
      </c>
      <c r="AN301" s="3"/>
    </row>
    <row r="302" spans="1:40" ht="13.35" customHeight="1" x14ac:dyDescent="0.25">
      <c r="A302" s="996">
        <v>303</v>
      </c>
      <c r="B302" s="576">
        <v>37154</v>
      </c>
      <c r="C302" s="577" t="s">
        <v>64</v>
      </c>
      <c r="D302" s="587" t="s">
        <v>1778</v>
      </c>
      <c r="E302" s="578" t="s">
        <v>1739</v>
      </c>
      <c r="F302" s="580" t="s">
        <v>1740</v>
      </c>
      <c r="G302" s="578" t="s">
        <v>14</v>
      </c>
      <c r="H302" s="1070">
        <v>43581</v>
      </c>
      <c r="I302" s="580">
        <v>427</v>
      </c>
      <c r="J302" s="581" t="s">
        <v>58</v>
      </c>
      <c r="K302" s="582" t="s">
        <v>680</v>
      </c>
      <c r="L302" s="886">
        <v>44195</v>
      </c>
      <c r="M302" s="582" t="s">
        <v>60</v>
      </c>
      <c r="N302" s="583">
        <v>44334</v>
      </c>
      <c r="O302" s="584">
        <v>45037</v>
      </c>
      <c r="P302" s="586">
        <v>45386</v>
      </c>
      <c r="Q302" s="581" t="s">
        <v>1289</v>
      </c>
      <c r="R302" s="581" t="s">
        <v>68</v>
      </c>
      <c r="S302" s="581" t="s">
        <v>68</v>
      </c>
      <c r="T302" s="581" t="s">
        <v>68</v>
      </c>
      <c r="U302" s="581" t="s">
        <v>68</v>
      </c>
      <c r="V302" s="1082">
        <v>44341</v>
      </c>
      <c r="W302" s="584">
        <v>44341</v>
      </c>
      <c r="X302" s="581" t="s">
        <v>1761</v>
      </c>
      <c r="Y302" s="310" t="s">
        <v>1652</v>
      </c>
      <c r="Z302" s="888"/>
      <c r="AA302" s="889"/>
      <c r="AB302" s="581"/>
      <c r="AC302" s="581"/>
      <c r="AD302" s="586">
        <v>44676</v>
      </c>
      <c r="AE302" s="580"/>
      <c r="AF302" s="584">
        <v>44761</v>
      </c>
      <c r="AG302" s="890">
        <v>45470</v>
      </c>
      <c r="AH302" s="994">
        <v>45278</v>
      </c>
      <c r="AI302" s="269">
        <v>45139</v>
      </c>
      <c r="AJ302" s="239" t="s">
        <v>1116</v>
      </c>
      <c r="AK302" s="644">
        <v>45386</v>
      </c>
      <c r="AL302" s="644">
        <v>45386</v>
      </c>
      <c r="AM302" s="239" t="s">
        <v>1779</v>
      </c>
      <c r="AN302" s="3"/>
    </row>
    <row r="303" spans="1:40" ht="13.35" customHeight="1" x14ac:dyDescent="0.25">
      <c r="A303" s="996">
        <v>304</v>
      </c>
      <c r="B303" s="339">
        <v>37154</v>
      </c>
      <c r="C303" s="340" t="s">
        <v>54</v>
      </c>
      <c r="D303" s="341" t="s">
        <v>1780</v>
      </c>
      <c r="E303" s="335" t="s">
        <v>1739</v>
      </c>
      <c r="F303" s="314" t="s">
        <v>1740</v>
      </c>
      <c r="G303" s="335" t="s">
        <v>14</v>
      </c>
      <c r="H303" s="347">
        <v>43581</v>
      </c>
      <c r="I303" s="314">
        <v>422</v>
      </c>
      <c r="J303" s="310" t="s">
        <v>58</v>
      </c>
      <c r="K303" s="491" t="s">
        <v>680</v>
      </c>
      <c r="L303" s="594">
        <v>44195</v>
      </c>
      <c r="M303" s="491" t="s">
        <v>60</v>
      </c>
      <c r="N303" s="495"/>
      <c r="O303" s="343">
        <v>45037</v>
      </c>
      <c r="P303" s="344">
        <v>45386</v>
      </c>
      <c r="Q303" s="310" t="s">
        <v>1289</v>
      </c>
      <c r="R303" s="310" t="s">
        <v>62</v>
      </c>
      <c r="S303" s="310" t="s">
        <v>62</v>
      </c>
      <c r="T303" s="310" t="s">
        <v>62</v>
      </c>
      <c r="U303" s="310" t="s">
        <v>62</v>
      </c>
      <c r="V303" s="363">
        <v>44341</v>
      </c>
      <c r="W303" s="343">
        <v>44341</v>
      </c>
      <c r="X303" s="310" t="s">
        <v>1761</v>
      </c>
      <c r="Y303" s="310" t="s">
        <v>1652</v>
      </c>
      <c r="Z303" s="593"/>
      <c r="AA303" s="589"/>
      <c r="AB303" s="310"/>
      <c r="AC303" s="310"/>
      <c r="AD303" s="344">
        <v>44676</v>
      </c>
      <c r="AE303" s="314"/>
      <c r="AF303" s="343">
        <v>44761</v>
      </c>
      <c r="AG303" s="602">
        <v>45470</v>
      </c>
      <c r="AH303" s="535">
        <v>45278</v>
      </c>
      <c r="AI303" s="52">
        <v>45139</v>
      </c>
      <c r="AJ303" s="3" t="s">
        <v>1116</v>
      </c>
      <c r="AK303" s="84">
        <v>45386</v>
      </c>
      <c r="AL303" s="84">
        <v>45386</v>
      </c>
      <c r="AM303" s="3" t="s">
        <v>1779</v>
      </c>
      <c r="AN303" s="3"/>
    </row>
    <row r="304" spans="1:40" ht="13.35" customHeight="1" x14ac:dyDescent="0.25">
      <c r="A304" s="996">
        <v>305</v>
      </c>
      <c r="B304" s="339">
        <v>37191</v>
      </c>
      <c r="C304" s="340" t="s">
        <v>64</v>
      </c>
      <c r="D304" s="341" t="s">
        <v>1781</v>
      </c>
      <c r="E304" s="335" t="s">
        <v>1739</v>
      </c>
      <c r="F304" s="314" t="s">
        <v>1740</v>
      </c>
      <c r="G304" s="335" t="s">
        <v>14</v>
      </c>
      <c r="H304" s="342">
        <v>43632</v>
      </c>
      <c r="I304" s="314">
        <v>478</v>
      </c>
      <c r="J304" s="310" t="s">
        <v>58</v>
      </c>
      <c r="K304" s="491" t="s">
        <v>680</v>
      </c>
      <c r="L304" s="594">
        <v>44251</v>
      </c>
      <c r="M304" s="491" t="s">
        <v>60</v>
      </c>
      <c r="N304" s="495">
        <v>44376</v>
      </c>
      <c r="O304" s="343">
        <v>44376</v>
      </c>
      <c r="P304" s="314"/>
      <c r="Q304" s="310" t="s">
        <v>1289</v>
      </c>
      <c r="R304" s="310" t="s">
        <v>68</v>
      </c>
      <c r="S304" s="310" t="s">
        <v>68</v>
      </c>
      <c r="T304" s="310" t="s">
        <v>68</v>
      </c>
      <c r="U304" s="310" t="s">
        <v>68</v>
      </c>
      <c r="V304" s="363">
        <v>44376</v>
      </c>
      <c r="W304" s="343">
        <v>44376</v>
      </c>
      <c r="X304" s="310" t="s">
        <v>1761</v>
      </c>
      <c r="Y304" s="310" t="s">
        <v>1652</v>
      </c>
      <c r="Z304" s="593"/>
      <c r="AA304" s="589"/>
      <c r="AB304" s="310"/>
      <c r="AC304" s="310"/>
      <c r="AD304" s="344">
        <v>44649</v>
      </c>
      <c r="AE304" s="314"/>
      <c r="AF304" s="343">
        <v>45154</v>
      </c>
      <c r="AG304" s="602">
        <v>45475</v>
      </c>
      <c r="AH304" s="535">
        <v>45342</v>
      </c>
      <c r="AI304" s="3" t="s">
        <v>63</v>
      </c>
      <c r="AJ304" s="3" t="s">
        <v>1116</v>
      </c>
      <c r="AK304" s="84">
        <v>45420</v>
      </c>
      <c r="AL304" s="84">
        <v>45342</v>
      </c>
      <c r="AM304" s="84">
        <v>45483</v>
      </c>
      <c r="AN304" s="3"/>
    </row>
    <row r="305" spans="1:40" ht="13.35" customHeight="1" x14ac:dyDescent="0.25">
      <c r="A305" s="996">
        <v>306</v>
      </c>
      <c r="B305" s="339">
        <v>37191</v>
      </c>
      <c r="C305" s="340" t="s">
        <v>54</v>
      </c>
      <c r="D305" s="341" t="s">
        <v>1782</v>
      </c>
      <c r="E305" s="335" t="s">
        <v>1739</v>
      </c>
      <c r="F305" s="314" t="s">
        <v>1740</v>
      </c>
      <c r="G305" s="335" t="s">
        <v>14</v>
      </c>
      <c r="H305" s="342">
        <v>43632</v>
      </c>
      <c r="I305" s="314">
        <v>479</v>
      </c>
      <c r="J305" s="310" t="s">
        <v>58</v>
      </c>
      <c r="K305" s="491" t="s">
        <v>680</v>
      </c>
      <c r="L305" s="594">
        <v>44251</v>
      </c>
      <c r="M305" s="491" t="s">
        <v>60</v>
      </c>
      <c r="N305" s="495">
        <v>44376</v>
      </c>
      <c r="O305" s="343">
        <v>44376</v>
      </c>
      <c r="P305" s="314"/>
      <c r="Q305" s="310" t="s">
        <v>1289</v>
      </c>
      <c r="R305" s="310" t="s">
        <v>62</v>
      </c>
      <c r="S305" s="310" t="s">
        <v>62</v>
      </c>
      <c r="T305" s="310" t="s">
        <v>62</v>
      </c>
      <c r="U305" s="310" t="s">
        <v>62</v>
      </c>
      <c r="V305" s="363">
        <v>44376</v>
      </c>
      <c r="W305" s="343">
        <v>44376</v>
      </c>
      <c r="X305" s="310" t="s">
        <v>1761</v>
      </c>
      <c r="Y305" s="310" t="s">
        <v>1652</v>
      </c>
      <c r="Z305" s="593"/>
      <c r="AA305" s="589"/>
      <c r="AB305" s="310"/>
      <c r="AC305" s="310"/>
      <c r="AD305" s="344">
        <v>44649</v>
      </c>
      <c r="AE305" s="314"/>
      <c r="AF305" s="343">
        <v>45154</v>
      </c>
      <c r="AG305" s="602">
        <v>45475</v>
      </c>
      <c r="AH305" s="535">
        <v>45342</v>
      </c>
      <c r="AI305" s="3" t="s">
        <v>63</v>
      </c>
      <c r="AJ305" s="3" t="s">
        <v>1116</v>
      </c>
      <c r="AK305" s="84">
        <v>45420</v>
      </c>
      <c r="AL305" s="84">
        <v>45342</v>
      </c>
      <c r="AM305" s="84">
        <v>45483</v>
      </c>
      <c r="AN305" s="3"/>
    </row>
    <row r="306" spans="1:40" ht="13.35" customHeight="1" x14ac:dyDescent="0.25">
      <c r="A306" s="996">
        <v>307</v>
      </c>
      <c r="B306" s="339">
        <v>37195</v>
      </c>
      <c r="C306" s="340" t="s">
        <v>64</v>
      </c>
      <c r="D306" s="341" t="s">
        <v>1783</v>
      </c>
      <c r="E306" s="335" t="s">
        <v>1739</v>
      </c>
      <c r="F306" s="314" t="s">
        <v>1740</v>
      </c>
      <c r="G306" s="335" t="s">
        <v>14</v>
      </c>
      <c r="H306" s="342">
        <v>43634</v>
      </c>
      <c r="I306" s="314">
        <v>456</v>
      </c>
      <c r="J306" s="310" t="s">
        <v>58</v>
      </c>
      <c r="K306" s="491" t="s">
        <v>680</v>
      </c>
      <c r="L306" s="594">
        <v>44226</v>
      </c>
      <c r="M306" s="491" t="s">
        <v>60</v>
      </c>
      <c r="N306" s="495">
        <v>44375</v>
      </c>
      <c r="O306" s="343">
        <v>44817</v>
      </c>
      <c r="P306" s="344">
        <v>45390</v>
      </c>
      <c r="Q306" s="310" t="s">
        <v>1289</v>
      </c>
      <c r="R306" s="310" t="s">
        <v>68</v>
      </c>
      <c r="S306" s="310" t="s">
        <v>68</v>
      </c>
      <c r="T306" s="310" t="s">
        <v>68</v>
      </c>
      <c r="U306" s="310" t="s">
        <v>68</v>
      </c>
      <c r="V306" s="363">
        <v>44375</v>
      </c>
      <c r="W306" s="343">
        <v>44375</v>
      </c>
      <c r="X306" s="310" t="s">
        <v>1761</v>
      </c>
      <c r="Y306" s="310" t="s">
        <v>1652</v>
      </c>
      <c r="Z306" s="593"/>
      <c r="AA306" s="589"/>
      <c r="AB306" s="310"/>
      <c r="AC306" s="310"/>
      <c r="AD306" s="344">
        <v>44673</v>
      </c>
      <c r="AE306" s="314"/>
      <c r="AF306" s="519">
        <v>45148</v>
      </c>
      <c r="AG306" s="602">
        <v>45484</v>
      </c>
      <c r="AH306" s="535">
        <v>45282</v>
      </c>
      <c r="AI306" s="52">
        <v>45148</v>
      </c>
      <c r="AJ306" s="3" t="s">
        <v>1116</v>
      </c>
      <c r="AK306" s="3"/>
      <c r="AL306" s="84">
        <v>45390</v>
      </c>
      <c r="AM306" s="84">
        <v>45302</v>
      </c>
      <c r="AN306" s="3"/>
    </row>
    <row r="307" spans="1:40" ht="13.35" customHeight="1" x14ac:dyDescent="0.25">
      <c r="A307" s="996">
        <v>308</v>
      </c>
      <c r="B307" s="339">
        <v>37195</v>
      </c>
      <c r="C307" s="340" t="s">
        <v>54</v>
      </c>
      <c r="D307" s="341" t="s">
        <v>1784</v>
      </c>
      <c r="E307" s="335" t="s">
        <v>1739</v>
      </c>
      <c r="F307" s="314" t="s">
        <v>1740</v>
      </c>
      <c r="G307" s="335" t="s">
        <v>14</v>
      </c>
      <c r="H307" s="342">
        <v>43634</v>
      </c>
      <c r="I307" s="314">
        <v>457</v>
      </c>
      <c r="J307" s="310" t="s">
        <v>58</v>
      </c>
      <c r="K307" s="491" t="s">
        <v>680</v>
      </c>
      <c r="L307" s="594">
        <v>44226</v>
      </c>
      <c r="M307" s="491" t="s">
        <v>60</v>
      </c>
      <c r="N307" s="495">
        <v>44375</v>
      </c>
      <c r="O307" s="343">
        <v>44817</v>
      </c>
      <c r="P307" s="344">
        <v>45390</v>
      </c>
      <c r="Q307" s="310" t="s">
        <v>1289</v>
      </c>
      <c r="R307" s="310" t="s">
        <v>62</v>
      </c>
      <c r="S307" s="310" t="s">
        <v>62</v>
      </c>
      <c r="T307" s="310" t="s">
        <v>62</v>
      </c>
      <c r="U307" s="310" t="s">
        <v>62</v>
      </c>
      <c r="V307" s="363">
        <v>44375</v>
      </c>
      <c r="W307" s="343">
        <v>44375</v>
      </c>
      <c r="X307" s="310" t="s">
        <v>1761</v>
      </c>
      <c r="Y307" s="310" t="s">
        <v>1652</v>
      </c>
      <c r="Z307" s="593"/>
      <c r="AA307" s="589"/>
      <c r="AB307" s="310"/>
      <c r="AC307" s="310"/>
      <c r="AD307" s="344">
        <v>44673</v>
      </c>
      <c r="AE307" s="314"/>
      <c r="AF307" s="519">
        <v>45148</v>
      </c>
      <c r="AG307" s="602">
        <v>45484</v>
      </c>
      <c r="AH307" s="535">
        <v>45282</v>
      </c>
      <c r="AI307" s="52">
        <v>45148</v>
      </c>
      <c r="AJ307" s="3" t="s">
        <v>1116</v>
      </c>
      <c r="AK307" s="3"/>
      <c r="AL307" s="84">
        <v>45390</v>
      </c>
      <c r="AM307" s="84">
        <v>45302</v>
      </c>
      <c r="AN307" s="3"/>
    </row>
    <row r="308" spans="1:40" ht="13.35" customHeight="1" x14ac:dyDescent="0.25">
      <c r="A308" s="996">
        <v>309</v>
      </c>
      <c r="B308" s="339">
        <v>37206</v>
      </c>
      <c r="C308" s="340" t="s">
        <v>64</v>
      </c>
      <c r="D308" s="341" t="s">
        <v>1785</v>
      </c>
      <c r="E308" s="335" t="s">
        <v>1739</v>
      </c>
      <c r="F308" s="314" t="s">
        <v>1740</v>
      </c>
      <c r="G308" s="335" t="s">
        <v>14</v>
      </c>
      <c r="H308" s="342">
        <v>43640</v>
      </c>
      <c r="I308" s="314">
        <v>490</v>
      </c>
      <c r="J308" s="310" t="s">
        <v>58</v>
      </c>
      <c r="K308" s="491" t="s">
        <v>680</v>
      </c>
      <c r="L308" s="594">
        <v>44194</v>
      </c>
      <c r="M308" s="491" t="s">
        <v>60</v>
      </c>
      <c r="N308" s="495"/>
      <c r="O308" s="343">
        <v>44923</v>
      </c>
      <c r="P308" s="344">
        <v>45429</v>
      </c>
      <c r="Q308" s="310" t="s">
        <v>1289</v>
      </c>
      <c r="R308" s="310" t="s">
        <v>68</v>
      </c>
      <c r="S308" s="310" t="s">
        <v>62</v>
      </c>
      <c r="T308" s="310" t="s">
        <v>68</v>
      </c>
      <c r="U308" s="310" t="s">
        <v>68</v>
      </c>
      <c r="V308" s="349" t="s">
        <v>63</v>
      </c>
      <c r="W308" s="310" t="s">
        <v>63</v>
      </c>
      <c r="X308" s="310" t="s">
        <v>1244</v>
      </c>
      <c r="Y308" s="310" t="s">
        <v>1652</v>
      </c>
      <c r="Z308" s="593"/>
      <c r="AA308" s="589"/>
      <c r="AB308" s="310"/>
      <c r="AC308" s="310"/>
      <c r="AD308" s="344">
        <v>44595</v>
      </c>
      <c r="AE308" s="314"/>
      <c r="AF308" s="343">
        <v>45210</v>
      </c>
      <c r="AG308" s="602">
        <v>45473</v>
      </c>
      <c r="AH308" s="535">
        <v>45334</v>
      </c>
      <c r="AI308" s="52">
        <v>45210</v>
      </c>
      <c r="AJ308" s="3" t="s">
        <v>1116</v>
      </c>
      <c r="AK308" s="84">
        <v>45429</v>
      </c>
      <c r="AL308" s="84">
        <v>45334</v>
      </c>
      <c r="AM308" s="3" t="s">
        <v>1786</v>
      </c>
      <c r="AN308" s="3"/>
    </row>
    <row r="309" spans="1:40" ht="13.35" customHeight="1" x14ac:dyDescent="0.25">
      <c r="A309" s="996">
        <v>310</v>
      </c>
      <c r="B309" s="855">
        <v>37206</v>
      </c>
      <c r="C309" s="856" t="s">
        <v>54</v>
      </c>
      <c r="D309" s="857" t="s">
        <v>1787</v>
      </c>
      <c r="E309" s="858" t="s">
        <v>1739</v>
      </c>
      <c r="F309" s="859" t="s">
        <v>1740</v>
      </c>
      <c r="G309" s="858" t="s">
        <v>14</v>
      </c>
      <c r="H309" s="860">
        <v>43640</v>
      </c>
      <c r="I309" s="859">
        <v>491</v>
      </c>
      <c r="J309" s="861" t="s">
        <v>58</v>
      </c>
      <c r="K309" s="862" t="s">
        <v>680</v>
      </c>
      <c r="L309" s="1034">
        <v>44194</v>
      </c>
      <c r="M309" s="862" t="s">
        <v>60</v>
      </c>
      <c r="N309" s="864"/>
      <c r="O309" s="865">
        <v>44923</v>
      </c>
      <c r="P309" s="1031">
        <v>45429</v>
      </c>
      <c r="Q309" s="861" t="s">
        <v>1289</v>
      </c>
      <c r="R309" s="861" t="s">
        <v>62</v>
      </c>
      <c r="S309" s="861" t="s">
        <v>62</v>
      </c>
      <c r="T309" s="861" t="s">
        <v>62</v>
      </c>
      <c r="U309" s="861" t="s">
        <v>62</v>
      </c>
      <c r="V309" s="349" t="s">
        <v>63</v>
      </c>
      <c r="W309" s="310" t="s">
        <v>63</v>
      </c>
      <c r="X309" s="310" t="s">
        <v>1244</v>
      </c>
      <c r="Y309" s="310" t="s">
        <v>1652</v>
      </c>
      <c r="Z309" s="867"/>
      <c r="AA309" s="868"/>
      <c r="AB309" s="861"/>
      <c r="AC309" s="861"/>
      <c r="AD309" s="1031">
        <v>44595</v>
      </c>
      <c r="AE309" s="859"/>
      <c r="AF309" s="865">
        <v>45210</v>
      </c>
      <c r="AG309" s="1041">
        <v>45473</v>
      </c>
      <c r="AH309" s="877">
        <v>45334</v>
      </c>
      <c r="AI309" s="405">
        <v>45210</v>
      </c>
      <c r="AJ309" s="115" t="s">
        <v>1116</v>
      </c>
      <c r="AK309" s="876">
        <v>45429</v>
      </c>
      <c r="AL309" s="876">
        <v>45334</v>
      </c>
      <c r="AM309" s="115" t="s">
        <v>1786</v>
      </c>
      <c r="AN309" s="3"/>
    </row>
    <row r="310" spans="1:40" ht="13.35" customHeight="1" x14ac:dyDescent="0.25">
      <c r="A310" s="996">
        <v>311</v>
      </c>
      <c r="B310" s="339">
        <v>37420</v>
      </c>
      <c r="C310" s="340" t="s">
        <v>64</v>
      </c>
      <c r="D310" s="341" t="s">
        <v>1788</v>
      </c>
      <c r="E310" s="335" t="s">
        <v>1739</v>
      </c>
      <c r="F310" s="314" t="s">
        <v>1740</v>
      </c>
      <c r="G310" s="335" t="s">
        <v>14</v>
      </c>
      <c r="H310" s="342">
        <v>44057</v>
      </c>
      <c r="I310" s="314">
        <v>812</v>
      </c>
      <c r="J310" s="310" t="s">
        <v>58</v>
      </c>
      <c r="K310" s="491" t="s">
        <v>680</v>
      </c>
      <c r="L310" s="495">
        <v>44189</v>
      </c>
      <c r="M310" s="491" t="s">
        <v>60</v>
      </c>
      <c r="N310" s="495">
        <v>44321</v>
      </c>
      <c r="O310" s="343">
        <v>44988</v>
      </c>
      <c r="P310" s="314"/>
      <c r="Q310" s="310" t="s">
        <v>1521</v>
      </c>
      <c r="R310" s="310" t="s">
        <v>68</v>
      </c>
      <c r="S310" s="310" t="s">
        <v>1789</v>
      </c>
      <c r="T310" s="310" t="s">
        <v>68</v>
      </c>
      <c r="U310" s="310" t="s">
        <v>68</v>
      </c>
      <c r="V310" s="363">
        <v>44321</v>
      </c>
      <c r="W310" s="343">
        <v>44321</v>
      </c>
      <c r="X310" s="609" t="s">
        <v>1244</v>
      </c>
      <c r="Y310" s="310" t="s">
        <v>1652</v>
      </c>
      <c r="Z310" s="491"/>
      <c r="AA310" s="552"/>
      <c r="AB310" s="310"/>
      <c r="AC310" s="310"/>
      <c r="AD310" s="344">
        <v>44613</v>
      </c>
      <c r="AE310" s="314"/>
      <c r="AF310" s="343">
        <v>44761</v>
      </c>
      <c r="AG310" s="343" t="s">
        <v>1790</v>
      </c>
      <c r="AH310" s="535">
        <v>45267</v>
      </c>
      <c r="AI310" s="52">
        <v>45094</v>
      </c>
      <c r="AJ310" s="3" t="s">
        <v>1116</v>
      </c>
      <c r="AK310" s="3" t="s">
        <v>1553</v>
      </c>
      <c r="AL310" s="84">
        <v>45351</v>
      </c>
      <c r="AM310" s="3" t="s">
        <v>1687</v>
      </c>
      <c r="AN310" s="3"/>
    </row>
    <row r="311" spans="1:40" ht="13.35" customHeight="1" x14ac:dyDescent="0.25">
      <c r="A311" s="996">
        <v>312</v>
      </c>
      <c r="B311" s="339">
        <v>37420</v>
      </c>
      <c r="C311" s="340" t="s">
        <v>54</v>
      </c>
      <c r="D311" s="341" t="s">
        <v>1791</v>
      </c>
      <c r="E311" s="335" t="s">
        <v>1739</v>
      </c>
      <c r="F311" s="314" t="s">
        <v>1740</v>
      </c>
      <c r="G311" s="335" t="s">
        <v>14</v>
      </c>
      <c r="H311" s="342">
        <v>44057</v>
      </c>
      <c r="I311" s="314">
        <v>785</v>
      </c>
      <c r="J311" s="310" t="s">
        <v>58</v>
      </c>
      <c r="K311" s="491" t="s">
        <v>680</v>
      </c>
      <c r="L311" s="495">
        <v>44189</v>
      </c>
      <c r="M311" s="491" t="s">
        <v>60</v>
      </c>
      <c r="N311" s="495">
        <v>44321</v>
      </c>
      <c r="O311" s="343">
        <v>44988</v>
      </c>
      <c r="P311" s="314"/>
      <c r="Q311" s="310" t="s">
        <v>1521</v>
      </c>
      <c r="R311" s="310" t="s">
        <v>62</v>
      </c>
      <c r="S311" s="310" t="s">
        <v>1789</v>
      </c>
      <c r="T311" s="310" t="s">
        <v>62</v>
      </c>
      <c r="U311" s="310" t="s">
        <v>62</v>
      </c>
      <c r="V311" s="363">
        <v>44321</v>
      </c>
      <c r="W311" s="343">
        <v>44321</v>
      </c>
      <c r="X311" s="609" t="s">
        <v>1244</v>
      </c>
      <c r="Y311" s="310" t="s">
        <v>1652</v>
      </c>
      <c r="Z311" s="491"/>
      <c r="AA311" s="552"/>
      <c r="AB311" s="310" t="s">
        <v>1792</v>
      </c>
      <c r="AC311" s="310"/>
      <c r="AD311" s="344">
        <v>44613</v>
      </c>
      <c r="AE311" s="314"/>
      <c r="AF311" s="343">
        <v>44761</v>
      </c>
      <c r="AG311" s="343" t="s">
        <v>1790</v>
      </c>
      <c r="AH311" s="535">
        <v>45267</v>
      </c>
      <c r="AI311" s="52">
        <v>45094</v>
      </c>
      <c r="AJ311" s="3" t="s">
        <v>1116</v>
      </c>
      <c r="AK311" s="3" t="s">
        <v>1793</v>
      </c>
      <c r="AL311" s="84">
        <v>45351</v>
      </c>
      <c r="AM311" s="3" t="s">
        <v>1687</v>
      </c>
      <c r="AN311" s="3"/>
    </row>
    <row r="312" spans="1:40" ht="13.35" customHeight="1" x14ac:dyDescent="0.25">
      <c r="A312" s="996">
        <v>313</v>
      </c>
      <c r="B312" s="576">
        <v>37428</v>
      </c>
      <c r="C312" s="577" t="s">
        <v>64</v>
      </c>
      <c r="D312" s="587" t="s">
        <v>1794</v>
      </c>
      <c r="E312" s="578" t="s">
        <v>1739</v>
      </c>
      <c r="F312" s="580" t="s">
        <v>1740</v>
      </c>
      <c r="G312" s="578" t="s">
        <v>14</v>
      </c>
      <c r="H312" s="579">
        <v>44067</v>
      </c>
      <c r="I312" s="580">
        <v>814</v>
      </c>
      <c r="J312" s="581" t="s">
        <v>58</v>
      </c>
      <c r="K312" s="582" t="s">
        <v>680</v>
      </c>
      <c r="L312" s="886">
        <v>44193</v>
      </c>
      <c r="M312" s="582" t="s">
        <v>60</v>
      </c>
      <c r="N312" s="583">
        <v>44306</v>
      </c>
      <c r="O312" s="584">
        <v>45745</v>
      </c>
      <c r="P312" s="580"/>
      <c r="Q312" s="581" t="s">
        <v>1521</v>
      </c>
      <c r="R312" s="581" t="s">
        <v>68</v>
      </c>
      <c r="S312" s="581" t="s">
        <v>1789</v>
      </c>
      <c r="T312" s="581" t="s">
        <v>68</v>
      </c>
      <c r="U312" s="581" t="s">
        <v>68</v>
      </c>
      <c r="V312" s="1082">
        <v>44306</v>
      </c>
      <c r="W312" s="584">
        <v>44306</v>
      </c>
      <c r="X312" s="609" t="s">
        <v>1244</v>
      </c>
      <c r="Y312" s="310" t="s">
        <v>1652</v>
      </c>
      <c r="Z312" s="888"/>
      <c r="AA312" s="889"/>
      <c r="AB312" s="581"/>
      <c r="AC312" s="581"/>
      <c r="AD312" s="586">
        <v>44638</v>
      </c>
      <c r="AE312" s="580"/>
      <c r="AF312" s="584">
        <v>44770</v>
      </c>
      <c r="AG312" s="890">
        <v>45473</v>
      </c>
      <c r="AH312" s="994">
        <v>45215</v>
      </c>
      <c r="AI312" s="269">
        <v>45162</v>
      </c>
      <c r="AJ312" s="239" t="s">
        <v>1116</v>
      </c>
      <c r="AK312" s="644">
        <v>45483</v>
      </c>
      <c r="AL312" s="649"/>
      <c r="AM312" s="239" t="s">
        <v>1795</v>
      </c>
      <c r="AN312" s="3"/>
    </row>
    <row r="313" spans="1:40" ht="13.35" customHeight="1" x14ac:dyDescent="0.25">
      <c r="A313" s="996">
        <v>314</v>
      </c>
      <c r="B313" s="339">
        <v>37428</v>
      </c>
      <c r="C313" s="340" t="s">
        <v>54</v>
      </c>
      <c r="D313" s="341" t="s">
        <v>1796</v>
      </c>
      <c r="E313" s="335" t="s">
        <v>1739</v>
      </c>
      <c r="F313" s="314" t="s">
        <v>1740</v>
      </c>
      <c r="G313" s="335" t="s">
        <v>14</v>
      </c>
      <c r="H313" s="342">
        <v>44067</v>
      </c>
      <c r="I313" s="314">
        <v>815</v>
      </c>
      <c r="J313" s="310" t="s">
        <v>58</v>
      </c>
      <c r="K313" s="491" t="s">
        <v>680</v>
      </c>
      <c r="L313" s="594">
        <v>44193</v>
      </c>
      <c r="M313" s="491" t="s">
        <v>60</v>
      </c>
      <c r="N313" s="495">
        <v>44306</v>
      </c>
      <c r="O313" s="343">
        <v>45745</v>
      </c>
      <c r="P313" s="314"/>
      <c r="Q313" s="310" t="s">
        <v>1521</v>
      </c>
      <c r="R313" s="310" t="s">
        <v>62</v>
      </c>
      <c r="S313" s="310" t="s">
        <v>1789</v>
      </c>
      <c r="T313" s="310" t="s">
        <v>62</v>
      </c>
      <c r="U313" s="310" t="s">
        <v>62</v>
      </c>
      <c r="V313" s="363">
        <v>44306</v>
      </c>
      <c r="W313" s="343">
        <v>44306</v>
      </c>
      <c r="X313" s="609" t="s">
        <v>1244</v>
      </c>
      <c r="Y313" s="310" t="s">
        <v>1652</v>
      </c>
      <c r="Z313" s="593"/>
      <c r="AA313" s="589"/>
      <c r="AB313" s="310"/>
      <c r="AC313" s="310"/>
      <c r="AD313" s="344">
        <v>44638</v>
      </c>
      <c r="AE313" s="314"/>
      <c r="AF313" s="343">
        <v>44770</v>
      </c>
      <c r="AG313" s="602">
        <v>45473</v>
      </c>
      <c r="AH313" s="535">
        <v>45215</v>
      </c>
      <c r="AI313" s="52">
        <v>45162</v>
      </c>
      <c r="AJ313" s="3" t="s">
        <v>1116</v>
      </c>
      <c r="AK313" s="84">
        <v>45483</v>
      </c>
      <c r="AM313" s="3" t="s">
        <v>1795</v>
      </c>
      <c r="AN313" s="3"/>
    </row>
    <row r="314" spans="1:40" ht="13.35" customHeight="1" x14ac:dyDescent="0.25">
      <c r="A314" s="996">
        <v>315</v>
      </c>
      <c r="B314" s="339">
        <v>37445</v>
      </c>
      <c r="C314" s="340" t="s">
        <v>64</v>
      </c>
      <c r="D314" s="362" t="s">
        <v>1797</v>
      </c>
      <c r="E314" s="335" t="s">
        <v>1739</v>
      </c>
      <c r="F314" s="314" t="s">
        <v>1740</v>
      </c>
      <c r="G314" s="335" t="s">
        <v>14</v>
      </c>
      <c r="H314" s="352">
        <v>43963</v>
      </c>
      <c r="I314" s="314">
        <v>866</v>
      </c>
      <c r="J314" s="310" t="s">
        <v>58</v>
      </c>
      <c r="K314" s="491" t="s">
        <v>680</v>
      </c>
      <c r="L314" s="594">
        <v>44189</v>
      </c>
      <c r="M314" s="491" t="s">
        <v>60</v>
      </c>
      <c r="N314" s="495">
        <v>44215</v>
      </c>
      <c r="O314" s="343">
        <v>45353</v>
      </c>
      <c r="P314" s="314"/>
      <c r="Q314" s="310" t="s">
        <v>1521</v>
      </c>
      <c r="R314" s="310" t="s">
        <v>1308</v>
      </c>
      <c r="S314" s="310" t="s">
        <v>68</v>
      </c>
      <c r="T314" s="310" t="s">
        <v>68</v>
      </c>
      <c r="U314" s="310" t="s">
        <v>68</v>
      </c>
      <c r="V314" s="363">
        <v>44486</v>
      </c>
      <c r="W314" s="363">
        <v>44486</v>
      </c>
      <c r="X314" s="609" t="s">
        <v>1244</v>
      </c>
      <c r="Y314" s="310" t="s">
        <v>1652</v>
      </c>
      <c r="Z314" s="593"/>
      <c r="AA314" s="589"/>
      <c r="AB314" s="310"/>
      <c r="AC314" s="310"/>
      <c r="AD314" s="344">
        <v>44761</v>
      </c>
      <c r="AE314" s="344"/>
      <c r="AF314" s="343">
        <v>44761</v>
      </c>
      <c r="AG314" s="602">
        <v>45470</v>
      </c>
      <c r="AH314" s="535">
        <v>45206</v>
      </c>
      <c r="AI314" s="519">
        <v>45164</v>
      </c>
      <c r="AJ314" s="3" t="s">
        <v>1116</v>
      </c>
      <c r="AK314" s="84">
        <v>45471</v>
      </c>
      <c r="AL314" s="84">
        <v>45353</v>
      </c>
      <c r="AM314" s="84">
        <v>45471</v>
      </c>
      <c r="AN314" s="3"/>
    </row>
    <row r="315" spans="1:40" ht="13.35" customHeight="1" x14ac:dyDescent="0.25">
      <c r="A315" s="996">
        <v>316</v>
      </c>
      <c r="B315" s="339">
        <v>37445</v>
      </c>
      <c r="C315" s="340" t="s">
        <v>54</v>
      </c>
      <c r="D315" s="362" t="s">
        <v>1798</v>
      </c>
      <c r="E315" s="335" t="s">
        <v>1739</v>
      </c>
      <c r="F315" s="314" t="s">
        <v>1740</v>
      </c>
      <c r="G315" s="335" t="s">
        <v>14</v>
      </c>
      <c r="H315" s="352">
        <v>43963</v>
      </c>
      <c r="I315" s="314">
        <v>867</v>
      </c>
      <c r="J315" s="310" t="s">
        <v>58</v>
      </c>
      <c r="K315" s="491" t="s">
        <v>680</v>
      </c>
      <c r="L315" s="594">
        <v>44189</v>
      </c>
      <c r="M315" s="491" t="s">
        <v>60</v>
      </c>
      <c r="N315" s="495">
        <v>44215</v>
      </c>
      <c r="O315" s="343">
        <v>45353</v>
      </c>
      <c r="P315" s="314"/>
      <c r="Q315" s="310" t="s">
        <v>1521</v>
      </c>
      <c r="R315" s="310" t="s">
        <v>1308</v>
      </c>
      <c r="S315" s="310" t="s">
        <v>62</v>
      </c>
      <c r="T315" s="310" t="s">
        <v>62</v>
      </c>
      <c r="U315" s="310" t="s">
        <v>62</v>
      </c>
      <c r="V315" s="363">
        <v>44486</v>
      </c>
      <c r="W315" s="363">
        <v>44486</v>
      </c>
      <c r="X315" s="609" t="s">
        <v>1244</v>
      </c>
      <c r="Y315" s="310" t="s">
        <v>1652</v>
      </c>
      <c r="Z315" s="593"/>
      <c r="AA315" s="589"/>
      <c r="AB315" s="310"/>
      <c r="AC315" s="310"/>
      <c r="AD315" s="344">
        <v>44761</v>
      </c>
      <c r="AE315" s="314"/>
      <c r="AF315" s="343">
        <v>44761</v>
      </c>
      <c r="AG315" s="602">
        <v>45470</v>
      </c>
      <c r="AH315" s="535">
        <v>45100</v>
      </c>
      <c r="AI315" s="519">
        <v>45164</v>
      </c>
      <c r="AJ315" s="3" t="s">
        <v>1116</v>
      </c>
      <c r="AK315" s="84">
        <v>45471</v>
      </c>
      <c r="AL315" s="84">
        <v>45353</v>
      </c>
      <c r="AM315" s="84">
        <v>45471</v>
      </c>
      <c r="AN315" s="3"/>
    </row>
    <row r="316" spans="1:40" ht="13.35" customHeight="1" x14ac:dyDescent="0.25">
      <c r="A316" s="996">
        <v>317</v>
      </c>
      <c r="B316" s="339">
        <v>37466</v>
      </c>
      <c r="C316" s="340" t="s">
        <v>64</v>
      </c>
      <c r="D316" s="341" t="s">
        <v>1799</v>
      </c>
      <c r="E316" s="335" t="s">
        <v>1739</v>
      </c>
      <c r="F316" s="314" t="s">
        <v>1740</v>
      </c>
      <c r="G316" s="335" t="s">
        <v>14</v>
      </c>
      <c r="H316" s="342">
        <v>44134</v>
      </c>
      <c r="I316" s="314">
        <v>804</v>
      </c>
      <c r="J316" s="310" t="s">
        <v>58</v>
      </c>
      <c r="K316" s="491" t="s">
        <v>680</v>
      </c>
      <c r="L316" s="594">
        <v>44259</v>
      </c>
      <c r="M316" s="491" t="s">
        <v>60</v>
      </c>
      <c r="N316" s="495">
        <v>44259</v>
      </c>
      <c r="O316" s="343">
        <v>44828</v>
      </c>
      <c r="P316" s="314"/>
      <c r="Q316" s="310" t="s">
        <v>1521</v>
      </c>
      <c r="R316" s="310" t="s">
        <v>1308</v>
      </c>
      <c r="S316" s="310" t="s">
        <v>68</v>
      </c>
      <c r="T316" s="310" t="s">
        <v>68</v>
      </c>
      <c r="U316" s="310" t="s">
        <v>68</v>
      </c>
      <c r="V316" s="363">
        <v>44308</v>
      </c>
      <c r="W316" s="343">
        <v>44491</v>
      </c>
      <c r="X316" s="609" t="s">
        <v>1244</v>
      </c>
      <c r="Y316" s="310" t="s">
        <v>1652</v>
      </c>
      <c r="Z316" s="593"/>
      <c r="AA316" s="589"/>
      <c r="AB316" s="310"/>
      <c r="AC316" s="310"/>
      <c r="AD316" s="344">
        <v>44658</v>
      </c>
      <c r="AE316" s="314"/>
      <c r="AF316" s="343">
        <v>45134</v>
      </c>
      <c r="AG316" s="602">
        <v>45472</v>
      </c>
      <c r="AH316" s="609">
        <v>45268</v>
      </c>
      <c r="AI316" s="52">
        <v>45136</v>
      </c>
      <c r="AJ316" s="3" t="s">
        <v>1116</v>
      </c>
      <c r="AK316" s="3"/>
      <c r="AL316" s="84">
        <v>45339</v>
      </c>
      <c r="AM316" s="3" t="s">
        <v>1800</v>
      </c>
      <c r="AN316" s="3"/>
    </row>
    <row r="317" spans="1:40" ht="13.35" customHeight="1" x14ac:dyDescent="0.25">
      <c r="A317" s="996">
        <v>318</v>
      </c>
      <c r="B317" s="339">
        <v>37466</v>
      </c>
      <c r="C317" s="340" t="s">
        <v>54</v>
      </c>
      <c r="D317" s="341" t="s">
        <v>1801</v>
      </c>
      <c r="E317" s="335" t="s">
        <v>1739</v>
      </c>
      <c r="F317" s="314" t="s">
        <v>1740</v>
      </c>
      <c r="G317" s="335" t="s">
        <v>14</v>
      </c>
      <c r="H317" s="342">
        <v>44134</v>
      </c>
      <c r="I317" s="314">
        <v>805</v>
      </c>
      <c r="J317" s="310" t="s">
        <v>58</v>
      </c>
      <c r="K317" s="491" t="s">
        <v>680</v>
      </c>
      <c r="L317" s="594">
        <v>44259</v>
      </c>
      <c r="M317" s="491" t="s">
        <v>60</v>
      </c>
      <c r="N317" s="495">
        <v>44259</v>
      </c>
      <c r="O317" s="343">
        <v>44828</v>
      </c>
      <c r="P317" s="314"/>
      <c r="Q317" s="310" t="s">
        <v>1521</v>
      </c>
      <c r="R317" s="310" t="s">
        <v>1308</v>
      </c>
      <c r="S317" s="310" t="s">
        <v>62</v>
      </c>
      <c r="T317" s="310" t="s">
        <v>62</v>
      </c>
      <c r="U317" s="310" t="s">
        <v>62</v>
      </c>
      <c r="V317" s="363">
        <v>44308</v>
      </c>
      <c r="W317" s="343">
        <v>44491</v>
      </c>
      <c r="X317" s="609" t="s">
        <v>1244</v>
      </c>
      <c r="Y317" s="310" t="s">
        <v>1652</v>
      </c>
      <c r="Z317" s="593"/>
      <c r="AA317" s="589"/>
      <c r="AB317" s="310"/>
      <c r="AC317" s="310"/>
      <c r="AD317" s="344">
        <v>44658</v>
      </c>
      <c r="AE317" s="314"/>
      <c r="AF317" s="343">
        <v>45134</v>
      </c>
      <c r="AG317" s="602">
        <v>45472</v>
      </c>
      <c r="AH317" s="609">
        <v>45268</v>
      </c>
      <c r="AI317" s="52">
        <v>45136</v>
      </c>
      <c r="AJ317" s="3" t="s">
        <v>1116</v>
      </c>
      <c r="AK317" s="3"/>
      <c r="AL317" s="84">
        <v>45339</v>
      </c>
      <c r="AM317" s="3" t="s">
        <v>1800</v>
      </c>
      <c r="AN317" s="3"/>
    </row>
    <row r="318" spans="1:40" ht="13.35" customHeight="1" x14ac:dyDescent="0.25">
      <c r="A318" s="996">
        <v>319</v>
      </c>
      <c r="B318" s="339">
        <v>39101</v>
      </c>
      <c r="C318" s="340" t="s">
        <v>64</v>
      </c>
      <c r="D318" s="341" t="s">
        <v>1802</v>
      </c>
      <c r="E318" s="335" t="s">
        <v>1739</v>
      </c>
      <c r="F318" s="314" t="s">
        <v>1740</v>
      </c>
      <c r="G318" s="335" t="s">
        <v>14</v>
      </c>
      <c r="H318" s="342">
        <v>43759</v>
      </c>
      <c r="I318" s="314">
        <v>537</v>
      </c>
      <c r="J318" s="310" t="s">
        <v>58</v>
      </c>
      <c r="K318" s="491" t="s">
        <v>680</v>
      </c>
      <c r="L318" s="594">
        <v>44200</v>
      </c>
      <c r="M318" s="491" t="s">
        <v>60</v>
      </c>
      <c r="N318" s="495">
        <v>44324</v>
      </c>
      <c r="O318" s="343">
        <v>45418</v>
      </c>
      <c r="P318" s="314"/>
      <c r="Q318" s="310" t="s">
        <v>1289</v>
      </c>
      <c r="R318" s="310" t="s">
        <v>1308</v>
      </c>
      <c r="S318" s="309" t="s">
        <v>68</v>
      </c>
      <c r="T318" s="310" t="s">
        <v>68</v>
      </c>
      <c r="U318" s="310" t="s">
        <v>68</v>
      </c>
      <c r="V318" s="363">
        <v>44324</v>
      </c>
      <c r="W318" s="343">
        <v>44324</v>
      </c>
      <c r="X318" s="310" t="s">
        <v>1761</v>
      </c>
      <c r="Y318" s="310" t="s">
        <v>1652</v>
      </c>
      <c r="Z318" s="593"/>
      <c r="AA318" s="589"/>
      <c r="AB318" s="310"/>
      <c r="AC318" s="310"/>
      <c r="AD318" s="344">
        <v>44648</v>
      </c>
      <c r="AE318" s="314"/>
      <c r="AF318" s="343">
        <v>45157</v>
      </c>
      <c r="AG318" s="602">
        <v>45477</v>
      </c>
      <c r="AH318" s="535">
        <v>45210</v>
      </c>
      <c r="AI318" s="84">
        <v>45157</v>
      </c>
      <c r="AJ318" s="3" t="s">
        <v>1116</v>
      </c>
      <c r="AK318" s="3" t="s">
        <v>1477</v>
      </c>
      <c r="AL318" s="84">
        <v>45418</v>
      </c>
      <c r="AM318" s="84">
        <v>45302</v>
      </c>
      <c r="AN318" s="3"/>
    </row>
    <row r="319" spans="1:40" ht="13.35" customHeight="1" x14ac:dyDescent="0.25">
      <c r="A319" s="996">
        <v>320</v>
      </c>
      <c r="B319" s="339">
        <v>39101</v>
      </c>
      <c r="C319" s="340" t="s">
        <v>54</v>
      </c>
      <c r="D319" s="341" t="s">
        <v>1803</v>
      </c>
      <c r="E319" s="335" t="s">
        <v>1739</v>
      </c>
      <c r="F319" s="314" t="s">
        <v>1740</v>
      </c>
      <c r="G319" s="335" t="s">
        <v>14</v>
      </c>
      <c r="H319" s="342">
        <v>43759</v>
      </c>
      <c r="I319" s="314">
        <v>530</v>
      </c>
      <c r="J319" s="310" t="s">
        <v>58</v>
      </c>
      <c r="K319" s="491" t="s">
        <v>680</v>
      </c>
      <c r="L319" s="594">
        <v>44200</v>
      </c>
      <c r="M319" s="491" t="s">
        <v>60</v>
      </c>
      <c r="N319" s="495">
        <v>44324</v>
      </c>
      <c r="O319" s="343">
        <v>45418</v>
      </c>
      <c r="P319" s="314"/>
      <c r="Q319" s="310" t="s">
        <v>1289</v>
      </c>
      <c r="R319" s="310" t="s">
        <v>1308</v>
      </c>
      <c r="S319" s="309" t="s">
        <v>62</v>
      </c>
      <c r="T319" s="310" t="s">
        <v>62</v>
      </c>
      <c r="U319" s="310" t="s">
        <v>62</v>
      </c>
      <c r="V319" s="363">
        <v>44324</v>
      </c>
      <c r="W319" s="343">
        <v>44324</v>
      </c>
      <c r="X319" s="310" t="s">
        <v>1761</v>
      </c>
      <c r="Y319" s="310" t="s">
        <v>1652</v>
      </c>
      <c r="Z319" s="593"/>
      <c r="AA319" s="589"/>
      <c r="AB319" s="310"/>
      <c r="AC319" s="310"/>
      <c r="AD319" s="344">
        <v>44648</v>
      </c>
      <c r="AE319" s="314"/>
      <c r="AF319" s="343">
        <v>45157</v>
      </c>
      <c r="AG319" s="602">
        <v>45477</v>
      </c>
      <c r="AH319" s="535">
        <v>45210</v>
      </c>
      <c r="AI319" s="84">
        <v>45157</v>
      </c>
      <c r="AJ319" s="3" t="s">
        <v>1116</v>
      </c>
      <c r="AK319" s="3" t="s">
        <v>1477</v>
      </c>
      <c r="AL319" s="84">
        <v>45418</v>
      </c>
      <c r="AM319" s="84">
        <v>45302</v>
      </c>
      <c r="AN319" s="3"/>
    </row>
    <row r="320" spans="1:40" ht="13.35" customHeight="1" x14ac:dyDescent="0.25">
      <c r="A320" s="996">
        <v>321</v>
      </c>
      <c r="B320" s="339">
        <v>39102</v>
      </c>
      <c r="C320" s="340" t="s">
        <v>64</v>
      </c>
      <c r="D320" s="341" t="s">
        <v>1804</v>
      </c>
      <c r="E320" s="335" t="s">
        <v>1739</v>
      </c>
      <c r="F320" s="314" t="s">
        <v>1740</v>
      </c>
      <c r="G320" s="335" t="s">
        <v>14</v>
      </c>
      <c r="H320" s="342">
        <v>43762</v>
      </c>
      <c r="I320" s="314">
        <v>531</v>
      </c>
      <c r="J320" s="310" t="s">
        <v>58</v>
      </c>
      <c r="K320" s="491" t="s">
        <v>680</v>
      </c>
      <c r="L320" s="594">
        <v>44193</v>
      </c>
      <c r="M320" s="491" t="s">
        <v>60</v>
      </c>
      <c r="N320" s="495"/>
      <c r="O320" s="343">
        <v>45736</v>
      </c>
      <c r="P320" s="314"/>
      <c r="Q320" s="310" t="s">
        <v>1289</v>
      </c>
      <c r="R320" s="310" t="s">
        <v>1308</v>
      </c>
      <c r="S320" s="310" t="s">
        <v>68</v>
      </c>
      <c r="T320" s="310" t="s">
        <v>68</v>
      </c>
      <c r="U320" s="310" t="s">
        <v>68</v>
      </c>
      <c r="V320" s="363">
        <v>44347</v>
      </c>
      <c r="W320" s="343">
        <v>44346</v>
      </c>
      <c r="X320" s="310" t="s">
        <v>1761</v>
      </c>
      <c r="Y320" s="310" t="s">
        <v>1652</v>
      </c>
      <c r="Z320" s="593"/>
      <c r="AA320" s="589"/>
      <c r="AB320" s="310" t="s">
        <v>1805</v>
      </c>
      <c r="AC320" s="310"/>
      <c r="AD320" s="344">
        <v>44607</v>
      </c>
      <c r="AE320" s="314"/>
      <c r="AF320" s="343">
        <v>44607</v>
      </c>
      <c r="AG320" s="602">
        <v>45468</v>
      </c>
      <c r="AH320" s="535">
        <v>45210</v>
      </c>
      <c r="AI320" s="84">
        <v>45155</v>
      </c>
      <c r="AJ320" s="3" t="s">
        <v>1116</v>
      </c>
      <c r="AK320" s="84">
        <v>45458</v>
      </c>
      <c r="AL320" s="84">
        <v>45365</v>
      </c>
      <c r="AM320" s="3" t="s">
        <v>1352</v>
      </c>
      <c r="AN320" s="3"/>
    </row>
    <row r="321" spans="1:40" ht="13.35" customHeight="1" x14ac:dyDescent="0.25">
      <c r="A321" s="996">
        <v>322</v>
      </c>
      <c r="B321" s="339">
        <v>39102</v>
      </c>
      <c r="C321" s="340" t="s">
        <v>54</v>
      </c>
      <c r="D321" s="341" t="s">
        <v>1806</v>
      </c>
      <c r="E321" s="335" t="s">
        <v>1739</v>
      </c>
      <c r="F321" s="314" t="s">
        <v>1740</v>
      </c>
      <c r="G321" s="335" t="s">
        <v>14</v>
      </c>
      <c r="H321" s="342">
        <v>43762</v>
      </c>
      <c r="I321" s="314">
        <v>533</v>
      </c>
      <c r="J321" s="310" t="s">
        <v>58</v>
      </c>
      <c r="K321" s="491" t="s">
        <v>680</v>
      </c>
      <c r="L321" s="594">
        <v>44193</v>
      </c>
      <c r="M321" s="491" t="s">
        <v>60</v>
      </c>
      <c r="N321" s="495">
        <v>44347</v>
      </c>
      <c r="O321" s="343">
        <v>45736</v>
      </c>
      <c r="P321" s="314"/>
      <c r="Q321" s="310" t="s">
        <v>1289</v>
      </c>
      <c r="R321" s="310" t="s">
        <v>1308</v>
      </c>
      <c r="S321" s="310" t="s">
        <v>62</v>
      </c>
      <c r="T321" s="310" t="s">
        <v>62</v>
      </c>
      <c r="U321" s="310" t="s">
        <v>62</v>
      </c>
      <c r="V321" s="363">
        <v>44347</v>
      </c>
      <c r="W321" s="343">
        <v>44347</v>
      </c>
      <c r="X321" s="310" t="s">
        <v>1761</v>
      </c>
      <c r="Y321" s="310" t="s">
        <v>1652</v>
      </c>
      <c r="Z321" s="593"/>
      <c r="AA321" s="589"/>
      <c r="AB321" s="310"/>
      <c r="AC321" s="310"/>
      <c r="AD321" s="344">
        <v>44607</v>
      </c>
      <c r="AE321" s="314"/>
      <c r="AF321" s="343">
        <v>44607</v>
      </c>
      <c r="AG321" s="602">
        <v>45468</v>
      </c>
      <c r="AH321" s="535">
        <v>45210</v>
      </c>
      <c r="AI321" s="84">
        <v>45155</v>
      </c>
      <c r="AJ321" s="3" t="s">
        <v>1116</v>
      </c>
      <c r="AK321" s="84">
        <v>45458</v>
      </c>
      <c r="AL321" s="84">
        <v>45365</v>
      </c>
      <c r="AM321" s="3" t="s">
        <v>1352</v>
      </c>
      <c r="AN321" s="3"/>
    </row>
    <row r="322" spans="1:40" ht="13.35" customHeight="1" x14ac:dyDescent="0.25">
      <c r="A322" s="996">
        <v>323</v>
      </c>
      <c r="B322" s="339">
        <v>39143</v>
      </c>
      <c r="C322" s="340" t="s">
        <v>64</v>
      </c>
      <c r="D322" s="341" t="s">
        <v>1807</v>
      </c>
      <c r="E322" s="335" t="s">
        <v>1739</v>
      </c>
      <c r="F322" s="314" t="s">
        <v>1740</v>
      </c>
      <c r="G322" s="335" t="s">
        <v>14</v>
      </c>
      <c r="H322" s="342">
        <v>44007</v>
      </c>
      <c r="I322" s="314">
        <v>767</v>
      </c>
      <c r="J322" s="310" t="s">
        <v>58</v>
      </c>
      <c r="K322" s="491" t="s">
        <v>680</v>
      </c>
      <c r="L322" s="594">
        <v>44196</v>
      </c>
      <c r="M322" s="491" t="s">
        <v>60</v>
      </c>
      <c r="N322" s="495">
        <v>44235</v>
      </c>
      <c r="O322" s="343">
        <v>44292</v>
      </c>
      <c r="P322" s="344">
        <v>45394</v>
      </c>
      <c r="Q322" s="310" t="s">
        <v>1521</v>
      </c>
      <c r="R322" s="343" t="s">
        <v>1103</v>
      </c>
      <c r="S322" s="310" t="s">
        <v>68</v>
      </c>
      <c r="T322" s="310" t="s">
        <v>68</v>
      </c>
      <c r="U322" s="310" t="s">
        <v>68</v>
      </c>
      <c r="V322" s="363">
        <v>44292</v>
      </c>
      <c r="W322" s="343">
        <v>44292</v>
      </c>
      <c r="X322" s="310" t="s">
        <v>1761</v>
      </c>
      <c r="Y322" s="310" t="s">
        <v>1652</v>
      </c>
      <c r="Z322" s="593"/>
      <c r="AA322" s="589"/>
      <c r="AB322" s="1117" t="s">
        <v>1808</v>
      </c>
      <c r="AC322" s="310"/>
      <c r="AD322" s="344">
        <v>44726</v>
      </c>
      <c r="AE322" s="344"/>
      <c r="AF322" s="343">
        <v>44726</v>
      </c>
      <c r="AG322" s="602">
        <v>45470</v>
      </c>
      <c r="AH322" s="535">
        <v>45302</v>
      </c>
      <c r="AI322" s="52">
        <v>45129</v>
      </c>
      <c r="AJ322" s="3" t="s">
        <v>1116</v>
      </c>
      <c r="AK322" s="3"/>
      <c r="AL322" s="84">
        <v>45394</v>
      </c>
      <c r="AM322" s="3" t="s">
        <v>1452</v>
      </c>
      <c r="AN322" s="3"/>
    </row>
    <row r="323" spans="1:40" ht="13.35" customHeight="1" x14ac:dyDescent="0.25">
      <c r="A323" s="996">
        <v>324</v>
      </c>
      <c r="B323" s="339">
        <v>39143</v>
      </c>
      <c r="C323" s="340" t="s">
        <v>54</v>
      </c>
      <c r="D323" s="341" t="s">
        <v>1809</v>
      </c>
      <c r="E323" s="335" t="s">
        <v>1739</v>
      </c>
      <c r="F323" s="314" t="s">
        <v>1740</v>
      </c>
      <c r="G323" s="335" t="s">
        <v>14</v>
      </c>
      <c r="H323" s="342">
        <v>44007</v>
      </c>
      <c r="I323" s="314">
        <v>766</v>
      </c>
      <c r="J323" s="310" t="s">
        <v>58</v>
      </c>
      <c r="K323" s="491" t="s">
        <v>680</v>
      </c>
      <c r="L323" s="594">
        <v>44196</v>
      </c>
      <c r="M323" s="491" t="s">
        <v>60</v>
      </c>
      <c r="N323" s="495">
        <v>44235</v>
      </c>
      <c r="O323" s="343">
        <v>44292</v>
      </c>
      <c r="P323" s="344">
        <v>45394</v>
      </c>
      <c r="Q323" s="310" t="s">
        <v>1521</v>
      </c>
      <c r="R323" s="343" t="s">
        <v>1103</v>
      </c>
      <c r="S323" s="310" t="s">
        <v>62</v>
      </c>
      <c r="T323" s="310" t="s">
        <v>62</v>
      </c>
      <c r="U323" s="310" t="s">
        <v>62</v>
      </c>
      <c r="V323" s="363">
        <v>44292</v>
      </c>
      <c r="W323" s="343">
        <v>44292</v>
      </c>
      <c r="X323" s="310" t="s">
        <v>1761</v>
      </c>
      <c r="Y323" s="310" t="s">
        <v>1652</v>
      </c>
      <c r="Z323" s="593"/>
      <c r="AA323" s="589"/>
      <c r="AB323" s="310"/>
      <c r="AC323" s="310"/>
      <c r="AD323" s="344">
        <v>44726</v>
      </c>
      <c r="AE323" s="314"/>
      <c r="AF323" s="343">
        <v>44726</v>
      </c>
      <c r="AG323" s="602">
        <v>45470</v>
      </c>
      <c r="AH323" s="535">
        <v>45302</v>
      </c>
      <c r="AI323" s="52">
        <v>45129</v>
      </c>
      <c r="AJ323" s="3" t="s">
        <v>1116</v>
      </c>
      <c r="AK323" s="3"/>
      <c r="AL323" s="84">
        <v>45394</v>
      </c>
      <c r="AM323" s="3" t="s">
        <v>1452</v>
      </c>
      <c r="AN323" s="3"/>
    </row>
    <row r="324" spans="1:40" ht="13.35" customHeight="1" x14ac:dyDescent="0.25">
      <c r="A324" s="996">
        <v>325</v>
      </c>
      <c r="B324" s="339">
        <v>39144</v>
      </c>
      <c r="C324" s="340" t="s">
        <v>64</v>
      </c>
      <c r="D324" s="20" t="s">
        <v>1810</v>
      </c>
      <c r="E324" s="335" t="s">
        <v>1739</v>
      </c>
      <c r="F324" s="314" t="s">
        <v>1740</v>
      </c>
      <c r="G324" s="335" t="s">
        <v>14</v>
      </c>
      <c r="H324" s="342">
        <v>44009</v>
      </c>
      <c r="I324" s="314">
        <v>770</v>
      </c>
      <c r="J324" s="310" t="s">
        <v>58</v>
      </c>
      <c r="K324" s="491" t="s">
        <v>680</v>
      </c>
      <c r="L324" s="594">
        <v>44189</v>
      </c>
      <c r="M324" s="491" t="s">
        <v>60</v>
      </c>
      <c r="N324" s="495">
        <v>44228</v>
      </c>
      <c r="O324" s="343">
        <v>44369</v>
      </c>
      <c r="P324" s="314"/>
      <c r="Q324" s="310" t="s">
        <v>1521</v>
      </c>
      <c r="R324" s="343" t="s">
        <v>1103</v>
      </c>
      <c r="S324" s="310" t="s">
        <v>68</v>
      </c>
      <c r="T324" s="310" t="s">
        <v>68</v>
      </c>
      <c r="U324" s="310" t="s">
        <v>68</v>
      </c>
      <c r="V324" s="363">
        <v>44369</v>
      </c>
      <c r="W324" s="343">
        <v>44369</v>
      </c>
      <c r="X324" s="310" t="s">
        <v>1761</v>
      </c>
      <c r="Y324" s="310" t="s">
        <v>1652</v>
      </c>
      <c r="Z324" s="593"/>
      <c r="AA324" s="589"/>
      <c r="AB324" s="52" t="s">
        <v>1811</v>
      </c>
      <c r="AC324" s="310"/>
      <c r="AD324" s="344">
        <v>44725</v>
      </c>
      <c r="AE324" s="344"/>
      <c r="AF324" s="343">
        <v>44725</v>
      </c>
      <c r="AG324" s="602" t="s">
        <v>1630</v>
      </c>
      <c r="AH324" s="535">
        <v>45278</v>
      </c>
      <c r="AI324" s="52">
        <v>45230</v>
      </c>
      <c r="AJ324" s="3" t="s">
        <v>1116</v>
      </c>
      <c r="AK324" s="3"/>
      <c r="AM324" s="3" t="s">
        <v>1812</v>
      </c>
      <c r="AN324" s="52" t="s">
        <v>1813</v>
      </c>
    </row>
    <row r="325" spans="1:40" ht="13.35" customHeight="1" x14ac:dyDescent="0.25">
      <c r="A325" s="996">
        <v>326</v>
      </c>
      <c r="B325" s="339">
        <v>39144</v>
      </c>
      <c r="C325" s="340" t="s">
        <v>54</v>
      </c>
      <c r="D325" s="20" t="s">
        <v>1814</v>
      </c>
      <c r="E325" s="335" t="s">
        <v>1739</v>
      </c>
      <c r="F325" s="314" t="s">
        <v>1740</v>
      </c>
      <c r="G325" s="335" t="s">
        <v>14</v>
      </c>
      <c r="H325" s="342">
        <v>44009</v>
      </c>
      <c r="I325" s="314">
        <v>764</v>
      </c>
      <c r="J325" s="310" t="s">
        <v>58</v>
      </c>
      <c r="K325" s="491" t="s">
        <v>680</v>
      </c>
      <c r="L325" s="594">
        <v>44189</v>
      </c>
      <c r="M325" s="491" t="s">
        <v>60</v>
      </c>
      <c r="N325" s="495">
        <v>44228</v>
      </c>
      <c r="O325" s="343">
        <v>44369</v>
      </c>
      <c r="P325" s="314"/>
      <c r="Q325" s="310" t="s">
        <v>1521</v>
      </c>
      <c r="R325" s="343" t="s">
        <v>1103</v>
      </c>
      <c r="S325" s="310" t="s">
        <v>62</v>
      </c>
      <c r="T325" s="310" t="s">
        <v>62</v>
      </c>
      <c r="U325" s="310" t="s">
        <v>62</v>
      </c>
      <c r="V325" s="363">
        <v>44369</v>
      </c>
      <c r="W325" s="343">
        <v>44369</v>
      </c>
      <c r="X325" s="310" t="s">
        <v>1761</v>
      </c>
      <c r="Y325" s="310" t="s">
        <v>1652</v>
      </c>
      <c r="Z325" s="593"/>
      <c r="AA325" s="589"/>
      <c r="AB325" s="310"/>
      <c r="AC325" s="310"/>
      <c r="AD325" s="344">
        <v>44725</v>
      </c>
      <c r="AE325" s="314"/>
      <c r="AF325" s="343">
        <v>44725</v>
      </c>
      <c r="AG325" s="602" t="s">
        <v>1630</v>
      </c>
      <c r="AH325" s="535">
        <v>45278</v>
      </c>
      <c r="AI325" s="52">
        <v>45230</v>
      </c>
      <c r="AJ325" s="3" t="s">
        <v>1116</v>
      </c>
      <c r="AK325" s="3"/>
      <c r="AM325" s="3" t="s">
        <v>1812</v>
      </c>
      <c r="AN325" s="52"/>
    </row>
    <row r="326" spans="1:40" ht="15" x14ac:dyDescent="0.25">
      <c r="A326" s="996">
        <v>327</v>
      </c>
      <c r="B326" s="339">
        <v>39145</v>
      </c>
      <c r="C326" s="340" t="s">
        <v>64</v>
      </c>
      <c r="D326" s="310" t="s">
        <v>1815</v>
      </c>
      <c r="E326" s="335" t="s">
        <v>1739</v>
      </c>
      <c r="F326" s="314" t="s">
        <v>1740</v>
      </c>
      <c r="G326" s="335" t="s">
        <v>14</v>
      </c>
      <c r="H326" s="342">
        <v>44022</v>
      </c>
      <c r="I326" s="314">
        <v>776</v>
      </c>
      <c r="J326" s="310" t="s">
        <v>58</v>
      </c>
      <c r="K326" s="491" t="s">
        <v>680</v>
      </c>
      <c r="L326" s="594">
        <v>44247</v>
      </c>
      <c r="M326" s="491" t="s">
        <v>60</v>
      </c>
      <c r="N326" s="495">
        <v>44247</v>
      </c>
      <c r="O326" s="343">
        <v>45660</v>
      </c>
      <c r="P326" s="344">
        <v>45376</v>
      </c>
      <c r="Q326" s="310" t="s">
        <v>1521</v>
      </c>
      <c r="R326" s="343" t="s">
        <v>1103</v>
      </c>
      <c r="S326" s="310" t="s">
        <v>68</v>
      </c>
      <c r="T326" s="310" t="s">
        <v>68</v>
      </c>
      <c r="U326" s="310" t="s">
        <v>68</v>
      </c>
      <c r="V326" s="363">
        <v>44303</v>
      </c>
      <c r="W326" s="343">
        <v>44303</v>
      </c>
      <c r="X326" s="310" t="s">
        <v>1761</v>
      </c>
      <c r="Y326" s="310" t="s">
        <v>1652</v>
      </c>
      <c r="Z326" s="593"/>
      <c r="AA326" s="589"/>
      <c r="AB326" s="310"/>
      <c r="AC326" s="310"/>
      <c r="AD326" s="344">
        <v>44796</v>
      </c>
      <c r="AE326" s="314"/>
      <c r="AF326" s="343">
        <v>44796</v>
      </c>
      <c r="AG326" s="602">
        <v>45468</v>
      </c>
      <c r="AH326" s="535">
        <v>45377</v>
      </c>
      <c r="AI326" s="519">
        <v>45180</v>
      </c>
      <c r="AJ326" s="3" t="s">
        <v>1116</v>
      </c>
      <c r="AK326" s="84">
        <v>45660</v>
      </c>
      <c r="AL326" s="84">
        <v>45376</v>
      </c>
      <c r="AM326" s="84">
        <v>45472</v>
      </c>
      <c r="AN326" s="3"/>
    </row>
    <row r="327" spans="1:40" ht="15" x14ac:dyDescent="0.25">
      <c r="A327" s="996">
        <v>328</v>
      </c>
      <c r="B327" s="339">
        <v>39145</v>
      </c>
      <c r="C327" s="340" t="s">
        <v>54</v>
      </c>
      <c r="D327" s="310" t="s">
        <v>1816</v>
      </c>
      <c r="E327" s="335" t="s">
        <v>1739</v>
      </c>
      <c r="F327" s="314" t="s">
        <v>1740</v>
      </c>
      <c r="G327" s="335" t="s">
        <v>14</v>
      </c>
      <c r="H327" s="342">
        <v>44022</v>
      </c>
      <c r="I327" s="314">
        <v>775</v>
      </c>
      <c r="J327" s="310" t="s">
        <v>58</v>
      </c>
      <c r="K327" s="491" t="s">
        <v>680</v>
      </c>
      <c r="L327" s="594">
        <v>44247</v>
      </c>
      <c r="M327" s="491" t="s">
        <v>60</v>
      </c>
      <c r="N327" s="495">
        <v>44247</v>
      </c>
      <c r="O327" s="343">
        <v>45660</v>
      </c>
      <c r="P327" s="344">
        <v>45376</v>
      </c>
      <c r="Q327" s="310" t="s">
        <v>1521</v>
      </c>
      <c r="R327" s="343" t="s">
        <v>1103</v>
      </c>
      <c r="S327" s="310" t="s">
        <v>62</v>
      </c>
      <c r="T327" s="310" t="s">
        <v>62</v>
      </c>
      <c r="U327" s="310" t="s">
        <v>62</v>
      </c>
      <c r="V327" s="363">
        <v>44303</v>
      </c>
      <c r="W327" s="343">
        <v>44303</v>
      </c>
      <c r="X327" s="310" t="s">
        <v>1761</v>
      </c>
      <c r="Y327" s="310" t="s">
        <v>1652</v>
      </c>
      <c r="Z327" s="593"/>
      <c r="AA327" s="589"/>
      <c r="AB327" s="310"/>
      <c r="AC327" s="310"/>
      <c r="AD327" s="344">
        <v>44796</v>
      </c>
      <c r="AE327" s="314"/>
      <c r="AF327" s="343">
        <v>44796</v>
      </c>
      <c r="AG327" s="602">
        <v>45468</v>
      </c>
      <c r="AH327" s="535">
        <v>45377</v>
      </c>
      <c r="AI327" s="519">
        <v>45180</v>
      </c>
      <c r="AJ327" s="3" t="s">
        <v>1116</v>
      </c>
      <c r="AK327" s="84">
        <v>45660</v>
      </c>
      <c r="AL327" s="84">
        <v>45376</v>
      </c>
      <c r="AM327" s="84">
        <v>45472</v>
      </c>
      <c r="AN327" s="3"/>
    </row>
    <row r="328" spans="1:40" ht="15" customHeight="1" x14ac:dyDescent="0.25">
      <c r="A328" s="996">
        <v>329</v>
      </c>
      <c r="B328" s="339">
        <v>39196</v>
      </c>
      <c r="C328" s="340" t="s">
        <v>64</v>
      </c>
      <c r="D328" s="362" t="s">
        <v>1817</v>
      </c>
      <c r="E328" s="335" t="s">
        <v>1739</v>
      </c>
      <c r="F328" s="314" t="s">
        <v>1740</v>
      </c>
      <c r="G328" s="335" t="s">
        <v>14</v>
      </c>
      <c r="H328" s="352">
        <v>44405</v>
      </c>
      <c r="I328" s="314">
        <v>1091</v>
      </c>
      <c r="J328" s="310" t="s">
        <v>58</v>
      </c>
      <c r="K328" s="491" t="s">
        <v>680</v>
      </c>
      <c r="L328" s="598">
        <v>44393</v>
      </c>
      <c r="M328" s="491" t="s">
        <v>60</v>
      </c>
      <c r="N328" s="496">
        <v>44393</v>
      </c>
      <c r="O328" s="343">
        <v>45426</v>
      </c>
      <c r="P328" s="314"/>
      <c r="Q328" s="310" t="s">
        <v>1521</v>
      </c>
      <c r="R328" s="310" t="s">
        <v>68</v>
      </c>
      <c r="S328" s="310" t="s">
        <v>68</v>
      </c>
      <c r="T328" s="310" t="s">
        <v>68</v>
      </c>
      <c r="U328" s="310" t="s">
        <v>68</v>
      </c>
      <c r="V328" s="364">
        <v>44393</v>
      </c>
      <c r="W328" s="309">
        <v>44393</v>
      </c>
      <c r="X328" s="609" t="s">
        <v>1244</v>
      </c>
      <c r="Y328" s="310" t="s">
        <v>1652</v>
      </c>
      <c r="Z328" s="593"/>
      <c r="AA328" s="589"/>
      <c r="AB328" s="310"/>
      <c r="AC328" s="310"/>
      <c r="AD328" s="344">
        <v>44825</v>
      </c>
      <c r="AE328" s="314"/>
      <c r="AF328" s="343">
        <v>45194</v>
      </c>
      <c r="AG328" s="602">
        <v>45474</v>
      </c>
      <c r="AH328" s="987">
        <v>45482</v>
      </c>
      <c r="AI328" s="519">
        <v>45093</v>
      </c>
      <c r="AJ328" s="3" t="s">
        <v>1116</v>
      </c>
      <c r="AK328" s="52">
        <v>45303</v>
      </c>
      <c r="AM328" s="3" t="s">
        <v>1812</v>
      </c>
      <c r="AN328" s="3"/>
    </row>
    <row r="329" spans="1:40" ht="19.350000000000001" customHeight="1" x14ac:dyDescent="0.25">
      <c r="A329" s="996">
        <v>330</v>
      </c>
      <c r="B329" s="339">
        <v>39196</v>
      </c>
      <c r="C329" s="340" t="s">
        <v>54</v>
      </c>
      <c r="D329" s="362" t="s">
        <v>1818</v>
      </c>
      <c r="E329" s="335" t="s">
        <v>1739</v>
      </c>
      <c r="F329" s="314" t="s">
        <v>1740</v>
      </c>
      <c r="G329" s="335" t="s">
        <v>14</v>
      </c>
      <c r="H329" s="352">
        <v>44405</v>
      </c>
      <c r="I329" s="314">
        <v>1090</v>
      </c>
      <c r="J329" s="310" t="s">
        <v>58</v>
      </c>
      <c r="K329" s="491" t="s">
        <v>680</v>
      </c>
      <c r="L329" s="598">
        <v>44393</v>
      </c>
      <c r="M329" s="491" t="s">
        <v>60</v>
      </c>
      <c r="N329" s="496">
        <v>44393</v>
      </c>
      <c r="O329" s="343">
        <v>45426</v>
      </c>
      <c r="P329" s="314"/>
      <c r="Q329" s="310" t="s">
        <v>1521</v>
      </c>
      <c r="R329" s="310" t="s">
        <v>62</v>
      </c>
      <c r="S329" s="310" t="s">
        <v>62</v>
      </c>
      <c r="T329" s="310" t="s">
        <v>62</v>
      </c>
      <c r="U329" s="310" t="s">
        <v>62</v>
      </c>
      <c r="V329" s="364">
        <v>44393</v>
      </c>
      <c r="W329" s="309">
        <v>44393</v>
      </c>
      <c r="X329" s="609" t="s">
        <v>1244</v>
      </c>
      <c r="Y329" s="310" t="s">
        <v>1652</v>
      </c>
      <c r="Z329" s="593"/>
      <c r="AA329" s="589"/>
      <c r="AB329" s="310"/>
      <c r="AC329" s="310"/>
      <c r="AD329" s="344">
        <v>44796</v>
      </c>
      <c r="AE329" s="314"/>
      <c r="AF329" s="343">
        <v>45194</v>
      </c>
      <c r="AG329" s="602">
        <v>45474</v>
      </c>
      <c r="AH329" s="987">
        <v>45482</v>
      </c>
      <c r="AI329" s="519">
        <v>45093</v>
      </c>
      <c r="AJ329" s="3" t="s">
        <v>1116</v>
      </c>
      <c r="AK329" s="84">
        <v>45482</v>
      </c>
      <c r="AM329" s="3" t="s">
        <v>1812</v>
      </c>
      <c r="AN329" s="3"/>
    </row>
    <row r="330" spans="1:40" ht="15" x14ac:dyDescent="0.25">
      <c r="A330" s="996">
        <v>331</v>
      </c>
      <c r="B330" s="339">
        <v>39198</v>
      </c>
      <c r="C330" s="340" t="s">
        <v>64</v>
      </c>
      <c r="D330" s="362" t="s">
        <v>1819</v>
      </c>
      <c r="E330" s="335" t="s">
        <v>1739</v>
      </c>
      <c r="F330" s="314" t="s">
        <v>1740</v>
      </c>
      <c r="G330" s="335" t="s">
        <v>14</v>
      </c>
      <c r="H330" s="309">
        <v>44393</v>
      </c>
      <c r="I330" s="314">
        <v>1088</v>
      </c>
      <c r="J330" s="310" t="s">
        <v>58</v>
      </c>
      <c r="K330" s="491" t="s">
        <v>680</v>
      </c>
      <c r="L330" s="592" t="s">
        <v>1308</v>
      </c>
      <c r="M330" s="491" t="s">
        <v>60</v>
      </c>
      <c r="N330" s="491" t="s">
        <v>1308</v>
      </c>
      <c r="O330" s="343">
        <v>45003</v>
      </c>
      <c r="P330" s="520">
        <v>45400</v>
      </c>
      <c r="Q330" s="310" t="s">
        <v>1521</v>
      </c>
      <c r="R330" s="310" t="s">
        <v>68</v>
      </c>
      <c r="S330" s="310" t="s">
        <v>68</v>
      </c>
      <c r="T330" s="310" t="s">
        <v>68</v>
      </c>
      <c r="U330" s="310" t="s">
        <v>68</v>
      </c>
      <c r="V330" s="310" t="s">
        <v>63</v>
      </c>
      <c r="W330" s="350" t="s">
        <v>63</v>
      </c>
      <c r="X330" s="310" t="s">
        <v>1244</v>
      </c>
      <c r="Y330" s="310" t="s">
        <v>1652</v>
      </c>
      <c r="Z330" s="593"/>
      <c r="AA330" s="589"/>
      <c r="AB330" s="310"/>
      <c r="AC330" s="310"/>
      <c r="AD330" s="344">
        <v>44725</v>
      </c>
      <c r="AE330" s="344"/>
      <c r="AF330" s="343">
        <v>44725</v>
      </c>
      <c r="AG330" s="602" t="s">
        <v>1378</v>
      </c>
      <c r="AH330" s="987">
        <v>45499</v>
      </c>
      <c r="AI330" s="519">
        <v>45155</v>
      </c>
      <c r="AJ330" s="3" t="s">
        <v>1116</v>
      </c>
      <c r="AK330" s="3" t="s">
        <v>1474</v>
      </c>
      <c r="AL330" s="84">
        <v>45400</v>
      </c>
      <c r="AM330" s="3" t="s">
        <v>1656</v>
      </c>
      <c r="AN330" s="3" t="s">
        <v>1820</v>
      </c>
    </row>
    <row r="331" spans="1:40" ht="15" x14ac:dyDescent="0.25">
      <c r="A331" s="996">
        <v>332</v>
      </c>
      <c r="B331" s="339">
        <v>39198</v>
      </c>
      <c r="C331" s="340" t="s">
        <v>54</v>
      </c>
      <c r="D331" s="362" t="s">
        <v>1821</v>
      </c>
      <c r="E331" s="335" t="s">
        <v>1739</v>
      </c>
      <c r="F331" s="314" t="s">
        <v>1740</v>
      </c>
      <c r="G331" s="335" t="s">
        <v>14</v>
      </c>
      <c r="H331" s="309">
        <v>44393</v>
      </c>
      <c r="I331" s="314">
        <v>1089</v>
      </c>
      <c r="J331" s="310" t="s">
        <v>58</v>
      </c>
      <c r="K331" s="491" t="s">
        <v>680</v>
      </c>
      <c r="L331" s="592" t="s">
        <v>1308</v>
      </c>
      <c r="M331" s="491" t="s">
        <v>60</v>
      </c>
      <c r="N331" s="491" t="s">
        <v>1308</v>
      </c>
      <c r="O331" s="343">
        <v>45003</v>
      </c>
      <c r="P331" s="520">
        <v>45400</v>
      </c>
      <c r="Q331" s="310" t="s">
        <v>1521</v>
      </c>
      <c r="R331" s="310" t="s">
        <v>62</v>
      </c>
      <c r="S331" s="310" t="s">
        <v>62</v>
      </c>
      <c r="T331" s="310" t="s">
        <v>62</v>
      </c>
      <c r="U331" s="310" t="s">
        <v>62</v>
      </c>
      <c r="V331" s="310" t="s">
        <v>63</v>
      </c>
      <c r="W331" s="350" t="s">
        <v>63</v>
      </c>
      <c r="X331" s="310" t="s">
        <v>1244</v>
      </c>
      <c r="Y331" s="310" t="s">
        <v>1652</v>
      </c>
      <c r="Z331" s="593"/>
      <c r="AA331" s="589"/>
      <c r="AB331" s="310"/>
      <c r="AC331" s="310"/>
      <c r="AD331" s="344">
        <v>44725</v>
      </c>
      <c r="AE331" s="314"/>
      <c r="AF331" s="343">
        <v>44725</v>
      </c>
      <c r="AG331" s="602" t="s">
        <v>1378</v>
      </c>
      <c r="AH331" s="987">
        <v>45499</v>
      </c>
      <c r="AI331" s="519">
        <v>45155</v>
      </c>
      <c r="AJ331" s="3" t="s">
        <v>1116</v>
      </c>
      <c r="AK331" s="3" t="s">
        <v>1474</v>
      </c>
      <c r="AL331" s="84">
        <v>45400</v>
      </c>
      <c r="AM331" s="3" t="s">
        <v>1656</v>
      </c>
      <c r="AN331" s="3" t="s">
        <v>1820</v>
      </c>
    </row>
    <row r="332" spans="1:40" ht="15" x14ac:dyDescent="0.25">
      <c r="A332" s="996">
        <v>333</v>
      </c>
      <c r="B332" s="339">
        <v>39199</v>
      </c>
      <c r="C332" s="340" t="s">
        <v>64</v>
      </c>
      <c r="D332" s="362" t="s">
        <v>1822</v>
      </c>
      <c r="E332" s="335" t="s">
        <v>1739</v>
      </c>
      <c r="F332" s="314" t="s">
        <v>1740</v>
      </c>
      <c r="G332" s="335" t="s">
        <v>14</v>
      </c>
      <c r="H332" s="352">
        <v>44407</v>
      </c>
      <c r="I332" s="314">
        <v>1093</v>
      </c>
      <c r="J332" s="310" t="s">
        <v>58</v>
      </c>
      <c r="K332" s="491" t="s">
        <v>680</v>
      </c>
      <c r="L332" s="592" t="s">
        <v>1308</v>
      </c>
      <c r="M332" s="491" t="s">
        <v>60</v>
      </c>
      <c r="N332" s="491" t="s">
        <v>1308</v>
      </c>
      <c r="O332" s="343">
        <v>44993</v>
      </c>
      <c r="P332" s="314"/>
      <c r="Q332" s="310" t="s">
        <v>1521</v>
      </c>
      <c r="R332" s="310" t="s">
        <v>68</v>
      </c>
      <c r="S332" s="310" t="s">
        <v>68</v>
      </c>
      <c r="T332" s="310" t="s">
        <v>68</v>
      </c>
      <c r="U332" s="310" t="s">
        <v>68</v>
      </c>
      <c r="V332" s="310" t="s">
        <v>63</v>
      </c>
      <c r="W332" s="310" t="s">
        <v>63</v>
      </c>
      <c r="X332" s="310" t="s">
        <v>1244</v>
      </c>
      <c r="Y332" s="310" t="s">
        <v>1652</v>
      </c>
      <c r="Z332" s="593"/>
      <c r="AA332" s="589"/>
      <c r="AB332" s="310"/>
      <c r="AC332" s="310"/>
      <c r="AD332" s="344">
        <v>44632</v>
      </c>
      <c r="AE332" s="314"/>
      <c r="AF332" s="343">
        <v>44726</v>
      </c>
      <c r="AG332" s="602">
        <v>45479</v>
      </c>
      <c r="AH332" s="609">
        <v>45268</v>
      </c>
      <c r="AI332" s="519">
        <v>45096</v>
      </c>
      <c r="AJ332" s="3" t="s">
        <v>1116</v>
      </c>
      <c r="AK332" s="84">
        <v>45479</v>
      </c>
      <c r="AL332" s="84">
        <v>45315</v>
      </c>
      <c r="AM332" s="84">
        <v>45479</v>
      </c>
      <c r="AN332" s="3"/>
    </row>
    <row r="333" spans="1:40" ht="15" x14ac:dyDescent="0.25">
      <c r="A333" s="996">
        <v>334</v>
      </c>
      <c r="B333" s="339">
        <v>39199</v>
      </c>
      <c r="C333" s="340" t="s">
        <v>54</v>
      </c>
      <c r="D333" s="362" t="s">
        <v>1823</v>
      </c>
      <c r="E333" s="335" t="s">
        <v>1739</v>
      </c>
      <c r="F333" s="314" t="s">
        <v>1740</v>
      </c>
      <c r="G333" s="335" t="s">
        <v>14</v>
      </c>
      <c r="H333" s="352">
        <v>44407</v>
      </c>
      <c r="I333" s="314">
        <v>1092</v>
      </c>
      <c r="J333" s="310" t="s">
        <v>58</v>
      </c>
      <c r="K333" s="491" t="s">
        <v>680</v>
      </c>
      <c r="L333" s="592" t="s">
        <v>1308</v>
      </c>
      <c r="M333" s="491" t="s">
        <v>60</v>
      </c>
      <c r="N333" s="491" t="s">
        <v>1308</v>
      </c>
      <c r="O333" s="343">
        <v>44993</v>
      </c>
      <c r="P333" s="314"/>
      <c r="Q333" s="310" t="s">
        <v>1521</v>
      </c>
      <c r="R333" s="310" t="s">
        <v>62</v>
      </c>
      <c r="S333" s="310" t="s">
        <v>62</v>
      </c>
      <c r="T333" s="310" t="s">
        <v>62</v>
      </c>
      <c r="U333" s="310" t="s">
        <v>62</v>
      </c>
      <c r="V333" s="310" t="s">
        <v>63</v>
      </c>
      <c r="W333" s="310" t="s">
        <v>63</v>
      </c>
      <c r="X333" s="310" t="s">
        <v>1244</v>
      </c>
      <c r="Y333" s="310" t="s">
        <v>1652</v>
      </c>
      <c r="Z333" s="593"/>
      <c r="AA333" s="589"/>
      <c r="AB333" s="310"/>
      <c r="AC333" s="310"/>
      <c r="AD333" s="344">
        <v>44632</v>
      </c>
      <c r="AE333" s="314"/>
      <c r="AF333" s="343">
        <v>44726</v>
      </c>
      <c r="AG333" s="602">
        <v>45479</v>
      </c>
      <c r="AH333" s="609">
        <v>45268</v>
      </c>
      <c r="AI333" s="519">
        <v>45096</v>
      </c>
      <c r="AJ333" s="3" t="s">
        <v>1116</v>
      </c>
      <c r="AK333" s="84">
        <v>45479</v>
      </c>
      <c r="AL333" s="84">
        <v>45315</v>
      </c>
      <c r="AM333" s="84">
        <v>45479</v>
      </c>
      <c r="AN333" s="3"/>
    </row>
    <row r="334" spans="1:40" ht="15" x14ac:dyDescent="0.25">
      <c r="A334" s="996">
        <v>335</v>
      </c>
      <c r="B334" s="20">
        <v>30765</v>
      </c>
      <c r="C334" s="523" t="s">
        <v>64</v>
      </c>
      <c r="D334" s="3" t="s">
        <v>1824</v>
      </c>
      <c r="E334" s="335" t="s">
        <v>1248</v>
      </c>
      <c r="F334" s="314" t="s">
        <v>1243</v>
      </c>
      <c r="G334" s="335" t="s">
        <v>14</v>
      </c>
      <c r="H334" s="84">
        <v>44754</v>
      </c>
      <c r="I334" s="3">
        <v>1134</v>
      </c>
      <c r="J334" s="3" t="s">
        <v>58</v>
      </c>
      <c r="K334" s="432"/>
      <c r="L334" s="599"/>
      <c r="M334" s="432"/>
      <c r="N334" s="432"/>
      <c r="O334" s="343">
        <v>45134</v>
      </c>
      <c r="P334" s="532">
        <v>45302</v>
      </c>
      <c r="Q334" s="310" t="s">
        <v>1301</v>
      </c>
      <c r="R334" s="310" t="s">
        <v>63</v>
      </c>
      <c r="S334" s="525" t="s">
        <v>63</v>
      </c>
      <c r="T334" s="310" t="s">
        <v>63</v>
      </c>
      <c r="U334" s="310" t="s">
        <v>68</v>
      </c>
      <c r="V334" s="310" t="s">
        <v>63</v>
      </c>
      <c r="W334" s="350" t="s">
        <v>63</v>
      </c>
      <c r="X334" s="525" t="s">
        <v>1290</v>
      </c>
      <c r="Y334" s="310" t="s">
        <v>1652</v>
      </c>
      <c r="Z334" s="534"/>
      <c r="AA334" s="534"/>
      <c r="AB334" s="534"/>
      <c r="AC334" s="534"/>
      <c r="AD334" s="350">
        <v>44754</v>
      </c>
      <c r="AE334" s="534"/>
      <c r="AF334" s="350">
        <v>44754</v>
      </c>
      <c r="AG334" s="605">
        <v>45514</v>
      </c>
      <c r="AH334" s="605">
        <v>45514</v>
      </c>
      <c r="AI334" s="52">
        <v>45302</v>
      </c>
      <c r="AJ334" s="3" t="s">
        <v>1116</v>
      </c>
      <c r="AK334" s="3" t="s">
        <v>297</v>
      </c>
      <c r="AL334" s="84">
        <v>45307</v>
      </c>
      <c r="AM334" s="525" t="s">
        <v>1825</v>
      </c>
      <c r="AN334" s="3"/>
    </row>
    <row r="335" spans="1:40" ht="15" x14ac:dyDescent="0.25">
      <c r="A335" s="996">
        <v>336</v>
      </c>
      <c r="B335" s="20">
        <v>30765</v>
      </c>
      <c r="C335" s="523" t="s">
        <v>54</v>
      </c>
      <c r="D335" s="3" t="s">
        <v>1826</v>
      </c>
      <c r="E335" s="335" t="s">
        <v>1248</v>
      </c>
      <c r="F335" s="314" t="s">
        <v>1243</v>
      </c>
      <c r="G335" s="335" t="s">
        <v>14</v>
      </c>
      <c r="H335" s="84">
        <v>44754</v>
      </c>
      <c r="I335" s="3">
        <v>1135</v>
      </c>
      <c r="J335" s="310" t="s">
        <v>58</v>
      </c>
      <c r="K335" s="432"/>
      <c r="L335" s="599"/>
      <c r="M335" s="432"/>
      <c r="N335" s="432"/>
      <c r="O335" s="343">
        <v>45134</v>
      </c>
      <c r="P335" s="532">
        <v>45302</v>
      </c>
      <c r="Q335" s="310" t="s">
        <v>1301</v>
      </c>
      <c r="R335" s="310" t="s">
        <v>63</v>
      </c>
      <c r="S335" s="525" t="s">
        <v>63</v>
      </c>
      <c r="T335" s="310" t="s">
        <v>63</v>
      </c>
      <c r="U335" s="310" t="s">
        <v>62</v>
      </c>
      <c r="V335" s="310" t="s">
        <v>63</v>
      </c>
      <c r="W335" s="350" t="s">
        <v>63</v>
      </c>
      <c r="X335" s="525" t="s">
        <v>1290</v>
      </c>
      <c r="Y335" s="310" t="s">
        <v>1652</v>
      </c>
      <c r="Z335" s="534"/>
      <c r="AA335" s="534"/>
      <c r="AB335" s="534"/>
      <c r="AC335" s="534"/>
      <c r="AD335" s="350">
        <v>44754</v>
      </c>
      <c r="AE335" s="534"/>
      <c r="AF335" s="350">
        <v>44754</v>
      </c>
      <c r="AG335" s="605">
        <v>45514</v>
      </c>
      <c r="AH335" s="605">
        <v>45514</v>
      </c>
      <c r="AI335" s="52">
        <v>45302</v>
      </c>
      <c r="AJ335" s="3" t="s">
        <v>1116</v>
      </c>
      <c r="AK335" s="3" t="s">
        <v>297</v>
      </c>
      <c r="AL335" s="84">
        <v>45307</v>
      </c>
      <c r="AM335" s="525" t="s">
        <v>1825</v>
      </c>
      <c r="AN335" s="3"/>
    </row>
    <row r="336" spans="1:40" ht="15" x14ac:dyDescent="0.25">
      <c r="A336" s="996">
        <v>337</v>
      </c>
      <c r="B336" s="524">
        <v>30672</v>
      </c>
      <c r="C336" s="329" t="s">
        <v>64</v>
      </c>
      <c r="D336" s="525" t="s">
        <v>1827</v>
      </c>
      <c r="E336" s="526" t="s">
        <v>1242</v>
      </c>
      <c r="F336" s="525" t="s">
        <v>1243</v>
      </c>
      <c r="G336" s="527" t="s">
        <v>14</v>
      </c>
      <c r="H336" s="520">
        <v>44895</v>
      </c>
      <c r="I336" s="525">
        <v>1171</v>
      </c>
      <c r="J336" s="310" t="s">
        <v>58</v>
      </c>
      <c r="K336" s="432"/>
      <c r="L336" s="599"/>
      <c r="M336" s="432"/>
      <c r="N336" s="432"/>
      <c r="O336" s="33">
        <v>45126</v>
      </c>
      <c r="P336" s="33">
        <v>45416</v>
      </c>
      <c r="Q336" s="310" t="s">
        <v>1301</v>
      </c>
      <c r="R336" s="310" t="s">
        <v>68</v>
      </c>
      <c r="S336" s="525" t="s">
        <v>63</v>
      </c>
      <c r="T336" s="310" t="s">
        <v>68</v>
      </c>
      <c r="U336" s="310" t="s">
        <v>68</v>
      </c>
      <c r="V336" s="16" t="s">
        <v>63</v>
      </c>
      <c r="W336" s="16"/>
      <c r="X336" s="609" t="s">
        <v>1244</v>
      </c>
      <c r="Y336" s="310" t="s">
        <v>1652</v>
      </c>
      <c r="Z336" s="457"/>
      <c r="AA336" s="591"/>
      <c r="AB336" s="16"/>
      <c r="AC336" s="16"/>
      <c r="AD336" s="43">
        <v>44902</v>
      </c>
      <c r="AE336" s="16"/>
      <c r="AF336" s="16" t="s">
        <v>63</v>
      </c>
      <c r="AG336" s="536">
        <v>45485</v>
      </c>
      <c r="AH336" s="535">
        <v>45485</v>
      </c>
      <c r="AI336" s="52">
        <v>45126</v>
      </c>
      <c r="AJ336" s="24" t="s">
        <v>1116</v>
      </c>
      <c r="AK336" s="251">
        <v>45633</v>
      </c>
      <c r="AM336" s="84">
        <v>45658</v>
      </c>
      <c r="AN336" s="3"/>
    </row>
    <row r="337" spans="1:40" ht="15" x14ac:dyDescent="0.25">
      <c r="A337" s="996">
        <v>338</v>
      </c>
      <c r="B337" s="524">
        <v>30672</v>
      </c>
      <c r="C337" s="329" t="s">
        <v>54</v>
      </c>
      <c r="D337" s="525" t="s">
        <v>1828</v>
      </c>
      <c r="E337" s="526" t="s">
        <v>1242</v>
      </c>
      <c r="F337" s="525" t="s">
        <v>1243</v>
      </c>
      <c r="G337" s="527" t="s">
        <v>14</v>
      </c>
      <c r="H337" s="520">
        <v>44895</v>
      </c>
      <c r="I337" s="525">
        <v>1169</v>
      </c>
      <c r="J337" s="310" t="s">
        <v>58</v>
      </c>
      <c r="K337" s="432"/>
      <c r="L337" s="599"/>
      <c r="M337" s="432"/>
      <c r="N337" s="432"/>
      <c r="O337" s="33">
        <v>45126</v>
      </c>
      <c r="P337" s="33">
        <v>45416</v>
      </c>
      <c r="Q337" s="310" t="s">
        <v>1301</v>
      </c>
      <c r="R337" s="310" t="s">
        <v>62</v>
      </c>
      <c r="S337" s="525" t="s">
        <v>63</v>
      </c>
      <c r="T337" s="310" t="s">
        <v>62</v>
      </c>
      <c r="U337" s="310" t="s">
        <v>62</v>
      </c>
      <c r="V337" s="16" t="s">
        <v>63</v>
      </c>
      <c r="W337" s="16"/>
      <c r="X337" s="609" t="s">
        <v>1244</v>
      </c>
      <c r="Y337" s="310" t="s">
        <v>1652</v>
      </c>
      <c r="Z337" s="457"/>
      <c r="AA337" s="591"/>
      <c r="AB337" s="16"/>
      <c r="AC337" s="16"/>
      <c r="AD337" s="43">
        <v>44902</v>
      </c>
      <c r="AE337" s="16"/>
      <c r="AF337" s="16" t="s">
        <v>63</v>
      </c>
      <c r="AG337" s="536">
        <v>45485</v>
      </c>
      <c r="AH337" s="535">
        <v>45485</v>
      </c>
      <c r="AI337" s="52">
        <v>45126</v>
      </c>
      <c r="AJ337" s="24" t="s">
        <v>1116</v>
      </c>
      <c r="AK337" s="251">
        <v>45633</v>
      </c>
      <c r="AM337" s="84">
        <v>45658</v>
      </c>
      <c r="AN337" s="3"/>
    </row>
    <row r="338" spans="1:40" ht="15" x14ac:dyDescent="0.25">
      <c r="A338" s="996">
        <v>339</v>
      </c>
      <c r="B338" s="524">
        <v>30699</v>
      </c>
      <c r="C338" s="329" t="s">
        <v>64</v>
      </c>
      <c r="D338" s="525" t="s">
        <v>1829</v>
      </c>
      <c r="E338" s="526" t="s">
        <v>1665</v>
      </c>
      <c r="F338" s="525" t="s">
        <v>1243</v>
      </c>
      <c r="G338" s="525" t="s">
        <v>14</v>
      </c>
      <c r="H338" s="520">
        <v>44910</v>
      </c>
      <c r="I338" s="525">
        <v>1172</v>
      </c>
      <c r="J338" s="310" t="s">
        <v>58</v>
      </c>
      <c r="K338" s="432"/>
      <c r="L338" s="599"/>
      <c r="M338" s="432"/>
      <c r="N338" s="432"/>
      <c r="O338" s="33">
        <v>45239</v>
      </c>
      <c r="P338" s="33"/>
      <c r="Q338" s="310" t="s">
        <v>1301</v>
      </c>
      <c r="R338" s="310" t="s">
        <v>68</v>
      </c>
      <c r="S338" s="525" t="s">
        <v>63</v>
      </c>
      <c r="T338" s="310" t="s">
        <v>68</v>
      </c>
      <c r="U338" s="310" t="s">
        <v>68</v>
      </c>
      <c r="V338" s="16" t="s">
        <v>63</v>
      </c>
      <c r="W338" s="16"/>
      <c r="X338" s="609" t="s">
        <v>1244</v>
      </c>
      <c r="Y338" s="310" t="s">
        <v>1652</v>
      </c>
      <c r="Z338" s="457"/>
      <c r="AA338" s="591"/>
      <c r="AB338" s="16"/>
      <c r="AC338" s="16"/>
      <c r="AD338" s="43">
        <v>44902</v>
      </c>
      <c r="AE338" s="16"/>
      <c r="AF338" s="16" t="s">
        <v>1324</v>
      </c>
      <c r="AG338" s="537">
        <v>45389</v>
      </c>
      <c r="AH338" s="990">
        <v>45239</v>
      </c>
      <c r="AI338" s="644">
        <v>45239</v>
      </c>
      <c r="AJ338" s="24" t="s">
        <v>1116</v>
      </c>
      <c r="AK338" s="251" t="s">
        <v>1830</v>
      </c>
      <c r="AM338" s="84">
        <v>45514</v>
      </c>
      <c r="AN338" s="3"/>
    </row>
    <row r="339" spans="1:40" ht="15" x14ac:dyDescent="0.25">
      <c r="A339" s="996">
        <v>340</v>
      </c>
      <c r="B339" s="524">
        <v>30699</v>
      </c>
      <c r="C339" s="329" t="s">
        <v>54</v>
      </c>
      <c r="D339" s="525" t="s">
        <v>1831</v>
      </c>
      <c r="E339" s="526" t="s">
        <v>1665</v>
      </c>
      <c r="F339" s="525" t="s">
        <v>1243</v>
      </c>
      <c r="G339" s="525" t="s">
        <v>14</v>
      </c>
      <c r="H339" s="520">
        <v>44910</v>
      </c>
      <c r="I339" s="525">
        <v>1173</v>
      </c>
      <c r="J339" s="310" t="s">
        <v>58</v>
      </c>
      <c r="K339" s="432"/>
      <c r="L339" s="599"/>
      <c r="M339" s="432"/>
      <c r="N339" s="432"/>
      <c r="O339" s="33">
        <v>45239</v>
      </c>
      <c r="P339" s="33"/>
      <c r="Q339" s="310" t="s">
        <v>1301</v>
      </c>
      <c r="R339" s="310" t="s">
        <v>62</v>
      </c>
      <c r="S339" s="525" t="s">
        <v>63</v>
      </c>
      <c r="T339" s="310" t="s">
        <v>62</v>
      </c>
      <c r="U339" s="310" t="s">
        <v>62</v>
      </c>
      <c r="V339" s="16" t="s">
        <v>63</v>
      </c>
      <c r="W339" s="16"/>
      <c r="X339" s="609" t="s">
        <v>1244</v>
      </c>
      <c r="Y339" s="310" t="s">
        <v>1652</v>
      </c>
      <c r="Z339" s="457"/>
      <c r="AA339" s="591"/>
      <c r="AB339" s="16"/>
      <c r="AC339" s="16"/>
      <c r="AD339" s="43">
        <v>44902</v>
      </c>
      <c r="AE339" s="16"/>
      <c r="AF339" s="16" t="s">
        <v>1324</v>
      </c>
      <c r="AG339" s="536">
        <v>45389</v>
      </c>
      <c r="AH339" s="609">
        <v>45239</v>
      </c>
      <c r="AI339" s="84">
        <v>45239</v>
      </c>
      <c r="AJ339" s="24" t="s">
        <v>1116</v>
      </c>
      <c r="AK339" s="251" t="s">
        <v>1832</v>
      </c>
      <c r="AM339" s="84">
        <v>45514</v>
      </c>
      <c r="AN339" s="3"/>
    </row>
    <row r="340" spans="1:40" ht="15" x14ac:dyDescent="0.25">
      <c r="A340" s="996">
        <v>341</v>
      </c>
      <c r="B340" s="20">
        <v>30663</v>
      </c>
      <c r="C340" s="340" t="s">
        <v>64</v>
      </c>
      <c r="D340" s="525" t="s">
        <v>1833</v>
      </c>
      <c r="E340" s="341" t="s">
        <v>1242</v>
      </c>
      <c r="F340" s="310" t="s">
        <v>1243</v>
      </c>
      <c r="G340" s="314" t="s">
        <v>14</v>
      </c>
      <c r="H340" s="520">
        <v>44581</v>
      </c>
      <c r="I340" s="525">
        <v>1158</v>
      </c>
      <c r="J340" s="310" t="s">
        <v>58</v>
      </c>
      <c r="K340" s="432"/>
      <c r="L340" s="599"/>
      <c r="M340" s="432"/>
      <c r="N340" s="432"/>
      <c r="O340" s="33">
        <v>45377</v>
      </c>
      <c r="P340" s="33"/>
      <c r="Q340" s="310" t="s">
        <v>1301</v>
      </c>
      <c r="R340" s="310" t="s">
        <v>68</v>
      </c>
      <c r="S340" s="525" t="s">
        <v>63</v>
      </c>
      <c r="T340" s="310" t="s">
        <v>68</v>
      </c>
      <c r="U340" s="310" t="s">
        <v>68</v>
      </c>
      <c r="V340" s="16" t="s">
        <v>63</v>
      </c>
      <c r="W340" s="16" t="s">
        <v>63</v>
      </c>
      <c r="X340" s="309" t="s">
        <v>1290</v>
      </c>
      <c r="Y340" s="310" t="s">
        <v>1652</v>
      </c>
      <c r="Z340" s="457"/>
      <c r="AA340" s="591"/>
      <c r="AB340" s="16"/>
      <c r="AC340" s="16"/>
      <c r="AD340" s="43">
        <v>44998</v>
      </c>
      <c r="AE340" s="16"/>
      <c r="AF340" s="16" t="s">
        <v>63</v>
      </c>
      <c r="AG340" s="536" t="s">
        <v>1443</v>
      </c>
      <c r="AH340" s="609">
        <v>45313</v>
      </c>
      <c r="AI340" s="52">
        <v>45141</v>
      </c>
      <c r="AJ340" s="24" t="s">
        <v>1116</v>
      </c>
      <c r="AK340" s="251" t="s">
        <v>1732</v>
      </c>
      <c r="AL340" s="382">
        <v>45833</v>
      </c>
      <c r="AM340" s="3" t="s">
        <v>1662</v>
      </c>
      <c r="AN340" s="3"/>
    </row>
    <row r="341" spans="1:40" ht="15" x14ac:dyDescent="0.25">
      <c r="A341" s="996">
        <v>342</v>
      </c>
      <c r="B341" s="20">
        <v>30663</v>
      </c>
      <c r="C341" s="340" t="s">
        <v>54</v>
      </c>
      <c r="D341" s="525" t="s">
        <v>1834</v>
      </c>
      <c r="E341" s="341" t="s">
        <v>1242</v>
      </c>
      <c r="F341" s="310" t="s">
        <v>1243</v>
      </c>
      <c r="G341" s="314" t="s">
        <v>14</v>
      </c>
      <c r="H341" s="520">
        <v>44581</v>
      </c>
      <c r="I341" s="525">
        <v>1149</v>
      </c>
      <c r="J341" s="310" t="s">
        <v>58</v>
      </c>
      <c r="K341" s="432"/>
      <c r="L341" s="443"/>
      <c r="M341" s="432"/>
      <c r="N341" s="432"/>
      <c r="O341" s="33">
        <v>45377</v>
      </c>
      <c r="P341" s="33"/>
      <c r="Q341" s="310" t="s">
        <v>1301</v>
      </c>
      <c r="R341" s="310" t="s">
        <v>62</v>
      </c>
      <c r="S341" s="525" t="s">
        <v>63</v>
      </c>
      <c r="T341" s="310" t="s">
        <v>62</v>
      </c>
      <c r="U341" s="310" t="s">
        <v>62</v>
      </c>
      <c r="V341" s="16" t="s">
        <v>63</v>
      </c>
      <c r="W341" s="16" t="s">
        <v>63</v>
      </c>
      <c r="X341" s="309" t="s">
        <v>1290</v>
      </c>
      <c r="Y341" s="310" t="s">
        <v>1652</v>
      </c>
      <c r="Z341" s="432"/>
      <c r="AA341" s="432"/>
      <c r="AB341" s="16"/>
      <c r="AC341" s="16"/>
      <c r="AD341" s="43">
        <v>44998</v>
      </c>
      <c r="AE341" s="16"/>
      <c r="AF341" s="16" t="s">
        <v>63</v>
      </c>
      <c r="AG341" s="84" t="s">
        <v>1443</v>
      </c>
      <c r="AH341" s="609">
        <v>45313</v>
      </c>
      <c r="AI341" s="52">
        <v>45141</v>
      </c>
      <c r="AJ341" s="24" t="s">
        <v>1116</v>
      </c>
      <c r="AK341" s="251" t="s">
        <v>1732</v>
      </c>
      <c r="AL341" s="382">
        <v>45833</v>
      </c>
      <c r="AM341" s="3" t="s">
        <v>1662</v>
      </c>
      <c r="AN341" s="3"/>
    </row>
    <row r="342" spans="1:40" ht="15" x14ac:dyDescent="0.25">
      <c r="A342" s="996">
        <v>343</v>
      </c>
      <c r="B342" s="1096">
        <v>30386</v>
      </c>
      <c r="C342" s="1097" t="s">
        <v>64</v>
      </c>
      <c r="D342" s="781" t="s">
        <v>1835</v>
      </c>
      <c r="E342" s="1098" t="s">
        <v>1288</v>
      </c>
      <c r="F342" s="1099" t="s">
        <v>1114</v>
      </c>
      <c r="G342" s="1099" t="s">
        <v>14</v>
      </c>
      <c r="H342" s="1100">
        <v>45135</v>
      </c>
      <c r="I342" s="786">
        <v>1271</v>
      </c>
      <c r="J342" s="983" t="s">
        <v>58</v>
      </c>
      <c r="K342" s="784"/>
      <c r="L342" s="982"/>
      <c r="M342" s="784"/>
      <c r="N342" s="784"/>
      <c r="O342" s="1101">
        <v>45272</v>
      </c>
      <c r="P342" s="1100"/>
      <c r="Q342" s="983" t="s">
        <v>1301</v>
      </c>
      <c r="R342" s="983" t="s">
        <v>63</v>
      </c>
      <c r="S342" s="1102" t="s">
        <v>63</v>
      </c>
      <c r="T342" s="983" t="s">
        <v>63</v>
      </c>
      <c r="U342" s="983" t="s">
        <v>63</v>
      </c>
      <c r="V342" s="983" t="s">
        <v>63</v>
      </c>
      <c r="W342" s="983" t="s">
        <v>63</v>
      </c>
      <c r="X342" s="983" t="s">
        <v>1290</v>
      </c>
      <c r="Y342" s="310" t="s">
        <v>1652</v>
      </c>
      <c r="Z342" s="1103"/>
      <c r="AA342" s="1103"/>
      <c r="AB342" s="1103"/>
      <c r="AC342" s="1103"/>
      <c r="AD342" s="1085">
        <v>45135</v>
      </c>
      <c r="AE342" s="1102"/>
      <c r="AF342" s="1104">
        <v>45135</v>
      </c>
      <c r="AG342" s="1105">
        <v>45485</v>
      </c>
      <c r="AH342" s="1173">
        <v>45633</v>
      </c>
      <c r="AI342" s="782">
        <v>45269</v>
      </c>
      <c r="AJ342" s="781" t="s">
        <v>1116</v>
      </c>
      <c r="AK342" s="1105">
        <v>45421</v>
      </c>
      <c r="AL342" s="1086" t="s">
        <v>1478</v>
      </c>
      <c r="AM342" s="782">
        <v>45540</v>
      </c>
      <c r="AN342" s="3"/>
    </row>
    <row r="343" spans="1:40" ht="15" x14ac:dyDescent="0.25">
      <c r="A343" s="996">
        <v>344</v>
      </c>
      <c r="B343" s="229">
        <v>30386</v>
      </c>
      <c r="C343" s="244" t="s">
        <v>54</v>
      </c>
      <c r="D343" s="103" t="s">
        <v>1836</v>
      </c>
      <c r="E343" s="104" t="s">
        <v>1288</v>
      </c>
      <c r="F343" s="834" t="s">
        <v>1114</v>
      </c>
      <c r="G343" s="834" t="s">
        <v>14</v>
      </c>
      <c r="H343" s="847">
        <v>45135</v>
      </c>
      <c r="I343" s="105">
        <v>1352</v>
      </c>
      <c r="J343" s="837" t="s">
        <v>58</v>
      </c>
      <c r="K343" s="438"/>
      <c r="L343" s="471"/>
      <c r="M343" s="438"/>
      <c r="N343" s="438"/>
      <c r="O343" s="840">
        <v>45272</v>
      </c>
      <c r="P343" s="847"/>
      <c r="Q343" s="837" t="s">
        <v>1301</v>
      </c>
      <c r="R343" s="837" t="s">
        <v>63</v>
      </c>
      <c r="S343" s="848" t="s">
        <v>63</v>
      </c>
      <c r="T343" s="837" t="s">
        <v>63</v>
      </c>
      <c r="U343" s="837" t="s">
        <v>63</v>
      </c>
      <c r="V343" s="837" t="s">
        <v>63</v>
      </c>
      <c r="W343" s="837" t="s">
        <v>63</v>
      </c>
      <c r="X343" s="837" t="s">
        <v>1290</v>
      </c>
      <c r="Y343" s="310" t="s">
        <v>1652</v>
      </c>
      <c r="Z343" s="849"/>
      <c r="AA343" s="849"/>
      <c r="AB343" s="849"/>
      <c r="AC343" s="849"/>
      <c r="AD343" s="850">
        <v>45135</v>
      </c>
      <c r="AE343" s="848"/>
      <c r="AF343" s="107">
        <v>45135</v>
      </c>
      <c r="AG343" s="1105">
        <v>45485</v>
      </c>
      <c r="AH343" s="992">
        <v>45633</v>
      </c>
      <c r="AI343" s="118">
        <v>45269</v>
      </c>
      <c r="AJ343" s="103" t="s">
        <v>1116</v>
      </c>
      <c r="AK343" s="851">
        <v>45421</v>
      </c>
      <c r="AL343" s="507" t="s">
        <v>1478</v>
      </c>
      <c r="AM343" s="782">
        <v>45540</v>
      </c>
      <c r="AN343" s="3"/>
    </row>
    <row r="344" spans="1:40" ht="15" x14ac:dyDescent="0.25">
      <c r="A344" s="996">
        <v>345</v>
      </c>
      <c r="B344" s="229">
        <v>30387</v>
      </c>
      <c r="C344" s="846" t="s">
        <v>64</v>
      </c>
      <c r="D344" s="103" t="s">
        <v>1837</v>
      </c>
      <c r="E344" s="244" t="s">
        <v>1288</v>
      </c>
      <c r="F344" s="834" t="s">
        <v>1114</v>
      </c>
      <c r="G344" s="834" t="s">
        <v>14</v>
      </c>
      <c r="H344" s="107">
        <v>45105</v>
      </c>
      <c r="I344" s="105">
        <v>1029</v>
      </c>
      <c r="J344" s="837" t="s">
        <v>58</v>
      </c>
      <c r="K344" s="438"/>
      <c r="L344" s="471"/>
      <c r="M344" s="438"/>
      <c r="N344" s="438"/>
      <c r="O344" s="106">
        <v>45356</v>
      </c>
      <c r="P344" s="106"/>
      <c r="Q344" s="837" t="s">
        <v>1301</v>
      </c>
      <c r="R344" s="837" t="s">
        <v>63</v>
      </c>
      <c r="S344" s="849" t="s">
        <v>63</v>
      </c>
      <c r="T344" s="837" t="s">
        <v>63</v>
      </c>
      <c r="U344" s="837" t="s">
        <v>63</v>
      </c>
      <c r="V344" s="837" t="s">
        <v>63</v>
      </c>
      <c r="W344" s="837" t="s">
        <v>63</v>
      </c>
      <c r="X344" s="834" t="s">
        <v>1290</v>
      </c>
      <c r="Y344" s="310" t="s">
        <v>1652</v>
      </c>
      <c r="Z344" s="438"/>
      <c r="AA344" s="438"/>
      <c r="AB344" s="105"/>
      <c r="AC344" s="105"/>
      <c r="AD344" s="716">
        <v>45105</v>
      </c>
      <c r="AE344" s="105"/>
      <c r="AF344" s="105" t="s">
        <v>63</v>
      </c>
      <c r="AG344" s="845">
        <v>45475</v>
      </c>
      <c r="AH344" s="992">
        <v>45105</v>
      </c>
      <c r="AI344" s="118">
        <v>45105</v>
      </c>
      <c r="AJ344" s="103" t="s">
        <v>1116</v>
      </c>
      <c r="AK344" s="187" t="s">
        <v>1838</v>
      </c>
      <c r="AL344" s="507"/>
      <c r="AM344" s="103" t="s">
        <v>1452</v>
      </c>
      <c r="AN344" s="3"/>
    </row>
    <row r="345" spans="1:40" ht="15" x14ac:dyDescent="0.25">
      <c r="A345" s="996">
        <v>346</v>
      </c>
      <c r="B345" s="974">
        <v>30387</v>
      </c>
      <c r="C345" s="1013" t="s">
        <v>54</v>
      </c>
      <c r="D345" s="134" t="s">
        <v>1839</v>
      </c>
      <c r="E345" s="1013" t="s">
        <v>1288</v>
      </c>
      <c r="F345" s="1014" t="s">
        <v>1114</v>
      </c>
      <c r="G345" s="1014" t="s">
        <v>14</v>
      </c>
      <c r="H345" s="139">
        <v>45105</v>
      </c>
      <c r="I345" s="137">
        <v>1353</v>
      </c>
      <c r="J345" s="946" t="s">
        <v>58</v>
      </c>
      <c r="K345" s="439"/>
      <c r="L345" s="472"/>
      <c r="M345" s="439"/>
      <c r="N345" s="439"/>
      <c r="O345" s="138">
        <v>45356</v>
      </c>
      <c r="P345" s="138"/>
      <c r="Q345" s="946" t="s">
        <v>1289</v>
      </c>
      <c r="R345" s="946" t="s">
        <v>63</v>
      </c>
      <c r="S345" s="1053" t="s">
        <v>63</v>
      </c>
      <c r="T345" s="946" t="s">
        <v>63</v>
      </c>
      <c r="U345" s="946" t="s">
        <v>63</v>
      </c>
      <c r="V345" s="946" t="s">
        <v>63</v>
      </c>
      <c r="W345" s="946" t="s">
        <v>63</v>
      </c>
      <c r="X345" s="1014" t="s">
        <v>1290</v>
      </c>
      <c r="Y345" s="310" t="s">
        <v>1652</v>
      </c>
      <c r="Z345" s="439"/>
      <c r="AA345" s="439"/>
      <c r="AB345" s="137"/>
      <c r="AC345" s="137"/>
      <c r="AD345" s="1054">
        <v>45105</v>
      </c>
      <c r="AE345" s="137"/>
      <c r="AF345" s="1054">
        <v>45105</v>
      </c>
      <c r="AG345" s="1023">
        <v>45475</v>
      </c>
      <c r="AH345" s="1055">
        <v>45105</v>
      </c>
      <c r="AI345" s="118">
        <v>45105</v>
      </c>
      <c r="AJ345" s="134" t="s">
        <v>1116</v>
      </c>
      <c r="AK345" s="190" t="s">
        <v>1838</v>
      </c>
      <c r="AL345" s="947"/>
      <c r="AM345" s="134" t="s">
        <v>1452</v>
      </c>
      <c r="AN345" s="3"/>
    </row>
    <row r="346" spans="1:40" ht="15" x14ac:dyDescent="0.25">
      <c r="A346" s="996">
        <v>347</v>
      </c>
      <c r="B346" s="17">
        <v>39208</v>
      </c>
      <c r="C346" s="334" t="s">
        <v>64</v>
      </c>
      <c r="D346" s="3" t="s">
        <v>1840</v>
      </c>
      <c r="E346" s="17" t="s">
        <v>1316</v>
      </c>
      <c r="F346" s="335" t="s">
        <v>1317</v>
      </c>
      <c r="G346" s="3" t="s">
        <v>14</v>
      </c>
      <c r="H346" s="520">
        <v>44908</v>
      </c>
      <c r="I346" s="3">
        <v>1207</v>
      </c>
      <c r="J346" s="310" t="s">
        <v>58</v>
      </c>
      <c r="K346" s="432"/>
      <c r="L346" s="443"/>
      <c r="M346" s="432"/>
      <c r="N346" s="432"/>
      <c r="O346" s="350">
        <v>45428</v>
      </c>
      <c r="P346" s="519"/>
      <c r="Q346" s="310" t="s">
        <v>1301</v>
      </c>
      <c r="R346" s="310" t="s">
        <v>63</v>
      </c>
      <c r="S346" s="310" t="s">
        <v>1127</v>
      </c>
      <c r="T346" s="310" t="s">
        <v>63</v>
      </c>
      <c r="U346" s="310" t="s">
        <v>63</v>
      </c>
      <c r="V346" s="310" t="s">
        <v>63</v>
      </c>
      <c r="W346" s="310" t="s">
        <v>63</v>
      </c>
      <c r="X346" s="310" t="s">
        <v>1290</v>
      </c>
      <c r="Y346" s="310" t="s">
        <v>1652</v>
      </c>
      <c r="Z346" s="432"/>
      <c r="AA346" s="432"/>
      <c r="AB346" s="16"/>
      <c r="AC346" s="16"/>
      <c r="AD346" s="516">
        <v>45003</v>
      </c>
      <c r="AE346" s="16"/>
      <c r="AF346" s="357" t="s">
        <v>63</v>
      </c>
      <c r="AG346" s="309">
        <v>45543</v>
      </c>
      <c r="AH346" s="535">
        <v>45286</v>
      </c>
      <c r="AI346" s="52">
        <v>45147</v>
      </c>
      <c r="AJ346" s="3" t="s">
        <v>1116</v>
      </c>
      <c r="AK346" s="3" t="s">
        <v>1390</v>
      </c>
      <c r="AL346" s="3"/>
      <c r="AM346" s="3" t="s">
        <v>1420</v>
      </c>
      <c r="AN346" s="3"/>
    </row>
    <row r="347" spans="1:40" ht="15" x14ac:dyDescent="0.25">
      <c r="A347" s="996">
        <v>348</v>
      </c>
      <c r="B347" s="17">
        <v>39208</v>
      </c>
      <c r="C347" s="334" t="s">
        <v>54</v>
      </c>
      <c r="D347" s="3" t="s">
        <v>1841</v>
      </c>
      <c r="E347" s="17" t="s">
        <v>1316</v>
      </c>
      <c r="F347" s="335" t="s">
        <v>1317</v>
      </c>
      <c r="G347" s="3" t="s">
        <v>14</v>
      </c>
      <c r="H347" s="520">
        <v>44908</v>
      </c>
      <c r="I347" s="3">
        <v>1206</v>
      </c>
      <c r="J347" s="310" t="s">
        <v>58</v>
      </c>
      <c r="K347" s="432"/>
      <c r="L347" s="443"/>
      <c r="M347" s="432"/>
      <c r="N347" s="432"/>
      <c r="O347" s="350">
        <v>45428</v>
      </c>
      <c r="P347" s="519"/>
      <c r="Q347" s="310" t="s">
        <v>1301</v>
      </c>
      <c r="R347" s="310" t="s">
        <v>63</v>
      </c>
      <c r="S347" s="310" t="s">
        <v>1127</v>
      </c>
      <c r="T347" s="310" t="s">
        <v>63</v>
      </c>
      <c r="U347" s="310" t="s">
        <v>63</v>
      </c>
      <c r="V347" s="310" t="s">
        <v>63</v>
      </c>
      <c r="W347" s="310" t="s">
        <v>63</v>
      </c>
      <c r="X347" s="310" t="s">
        <v>1290</v>
      </c>
      <c r="Y347" s="310" t="s">
        <v>1652</v>
      </c>
      <c r="Z347" s="432"/>
      <c r="AA347" s="432"/>
      <c r="AB347" s="16"/>
      <c r="AC347" s="16"/>
      <c r="AD347" s="516">
        <v>45003</v>
      </c>
      <c r="AE347" s="16"/>
      <c r="AF347" s="357" t="s">
        <v>63</v>
      </c>
      <c r="AG347" s="309">
        <v>45543</v>
      </c>
      <c r="AH347" s="535">
        <v>45286</v>
      </c>
      <c r="AI347" s="52">
        <v>45147</v>
      </c>
      <c r="AJ347" s="3" t="s">
        <v>1116</v>
      </c>
      <c r="AK347" s="3" t="s">
        <v>1390</v>
      </c>
      <c r="AL347" s="3"/>
      <c r="AM347" s="3" t="s">
        <v>1420</v>
      </c>
      <c r="AN347" s="3"/>
    </row>
    <row r="348" spans="1:40" ht="15" x14ac:dyDescent="0.25">
      <c r="A348" s="996">
        <v>349</v>
      </c>
      <c r="B348" s="263">
        <v>39209</v>
      </c>
      <c r="C348" s="577" t="s">
        <v>64</v>
      </c>
      <c r="D348" s="993" t="s">
        <v>1842</v>
      </c>
      <c r="E348" s="580" t="s">
        <v>1316</v>
      </c>
      <c r="F348" s="580" t="s">
        <v>1317</v>
      </c>
      <c r="G348" s="581" t="s">
        <v>14</v>
      </c>
      <c r="H348" s="994">
        <v>44909</v>
      </c>
      <c r="I348" s="580">
        <v>1214</v>
      </c>
      <c r="J348" s="581" t="s">
        <v>58</v>
      </c>
      <c r="K348" s="462"/>
      <c r="L348" s="622"/>
      <c r="M348" s="462"/>
      <c r="N348" s="462"/>
      <c r="O348" s="895">
        <v>45147</v>
      </c>
      <c r="P348" s="580"/>
      <c r="Q348" s="581" t="s">
        <v>1301</v>
      </c>
      <c r="R348" s="581" t="s">
        <v>63</v>
      </c>
      <c r="S348" s="525" t="s">
        <v>63</v>
      </c>
      <c r="T348" s="581" t="s">
        <v>63</v>
      </c>
      <c r="U348" s="581" t="s">
        <v>63</v>
      </c>
      <c r="V348" s="581" t="s">
        <v>63</v>
      </c>
      <c r="W348" s="581" t="s">
        <v>63</v>
      </c>
      <c r="X348" s="581" t="s">
        <v>1290</v>
      </c>
      <c r="Y348" s="310" t="s">
        <v>1652</v>
      </c>
      <c r="Z348" s="440"/>
      <c r="AA348" s="896"/>
      <c r="AB348" s="241"/>
      <c r="AC348" s="241"/>
      <c r="AD348" s="897">
        <v>45003</v>
      </c>
      <c r="AE348" s="1064"/>
      <c r="AF348" s="898" t="s">
        <v>63</v>
      </c>
      <c r="AG348" s="887">
        <v>45481</v>
      </c>
      <c r="AH348" s="994">
        <v>45307</v>
      </c>
      <c r="AI348" s="644">
        <v>45206</v>
      </c>
      <c r="AJ348" s="239" t="s">
        <v>1116</v>
      </c>
      <c r="AK348" s="239" t="s">
        <v>1843</v>
      </c>
      <c r="AL348" s="239"/>
      <c r="AM348" s="239" t="s">
        <v>1844</v>
      </c>
      <c r="AN348" s="3"/>
    </row>
    <row r="349" spans="1:40" ht="15" x14ac:dyDescent="0.25">
      <c r="A349" s="996">
        <v>350</v>
      </c>
      <c r="B349" s="510">
        <v>39209</v>
      </c>
      <c r="C349" s="856" t="s">
        <v>54</v>
      </c>
      <c r="D349" s="870" t="s">
        <v>1845</v>
      </c>
      <c r="E349" s="859" t="s">
        <v>1316</v>
      </c>
      <c r="F349" s="859" t="s">
        <v>1317</v>
      </c>
      <c r="G349" s="861" t="s">
        <v>14</v>
      </c>
      <c r="H349" s="877">
        <v>44909</v>
      </c>
      <c r="I349" s="859">
        <v>1215</v>
      </c>
      <c r="J349" s="861" t="s">
        <v>58</v>
      </c>
      <c r="K349" s="446"/>
      <c r="L349" s="872"/>
      <c r="M349" s="446"/>
      <c r="N349" s="446"/>
      <c r="O349" s="878">
        <v>45147</v>
      </c>
      <c r="P349" s="859"/>
      <c r="Q349" s="861" t="s">
        <v>1301</v>
      </c>
      <c r="R349" s="861" t="s">
        <v>63</v>
      </c>
      <c r="S349" s="525" t="s">
        <v>63</v>
      </c>
      <c r="T349" s="861" t="s">
        <v>63</v>
      </c>
      <c r="U349" s="861" t="s">
        <v>63</v>
      </c>
      <c r="V349" s="861" t="s">
        <v>63</v>
      </c>
      <c r="W349" s="861" t="s">
        <v>63</v>
      </c>
      <c r="X349" s="861" t="s">
        <v>1290</v>
      </c>
      <c r="Y349" s="310" t="s">
        <v>1652</v>
      </c>
      <c r="Z349" s="873"/>
      <c r="AA349" s="874"/>
      <c r="AB349" s="117"/>
      <c r="AC349" s="117"/>
      <c r="AD349" s="879">
        <v>45003</v>
      </c>
      <c r="AE349" s="880"/>
      <c r="AF349" s="881" t="s">
        <v>63</v>
      </c>
      <c r="AG349" s="939">
        <v>45481</v>
      </c>
      <c r="AH349" s="877">
        <v>45307</v>
      </c>
      <c r="AI349" s="876">
        <v>45206</v>
      </c>
      <c r="AJ349" s="115" t="s">
        <v>1116</v>
      </c>
      <c r="AK349" s="115" t="s">
        <v>1843</v>
      </c>
      <c r="AL349" s="115"/>
      <c r="AM349" s="115" t="s">
        <v>1844</v>
      </c>
      <c r="AN349" s="3"/>
    </row>
    <row r="350" spans="1:40" ht="15" x14ac:dyDescent="0.25">
      <c r="A350" s="996">
        <v>351</v>
      </c>
      <c r="B350" s="852">
        <v>30388</v>
      </c>
      <c r="C350" s="852" t="s">
        <v>64</v>
      </c>
      <c r="D350" s="844" t="s">
        <v>1846</v>
      </c>
      <c r="E350" s="244" t="s">
        <v>1288</v>
      </c>
      <c r="F350" s="837" t="s">
        <v>1114</v>
      </c>
      <c r="G350" s="834" t="s">
        <v>14</v>
      </c>
      <c r="H350" s="850">
        <v>45185</v>
      </c>
      <c r="I350" s="103">
        <v>1268</v>
      </c>
      <c r="J350" s="837" t="s">
        <v>58</v>
      </c>
      <c r="K350" s="438"/>
      <c r="L350" s="471"/>
      <c r="M350" s="438"/>
      <c r="N350" s="438"/>
      <c r="O350" s="106">
        <v>45805</v>
      </c>
      <c r="P350" s="106"/>
      <c r="Q350" s="837" t="s">
        <v>1289</v>
      </c>
      <c r="R350" s="837" t="s">
        <v>63</v>
      </c>
      <c r="S350" s="837" t="s">
        <v>63</v>
      </c>
      <c r="T350" s="837" t="s">
        <v>63</v>
      </c>
      <c r="U350" s="837" t="s">
        <v>63</v>
      </c>
      <c r="V350" s="837" t="s">
        <v>63</v>
      </c>
      <c r="W350" s="837" t="s">
        <v>63</v>
      </c>
      <c r="X350" s="837" t="s">
        <v>1290</v>
      </c>
      <c r="Y350" s="310" t="s">
        <v>1652</v>
      </c>
      <c r="Z350" s="438"/>
      <c r="AA350" s="438"/>
      <c r="AB350" s="105"/>
      <c r="AC350" s="105"/>
      <c r="AD350" s="716">
        <v>45185</v>
      </c>
      <c r="AE350" s="105"/>
      <c r="AF350" s="105" t="s">
        <v>63</v>
      </c>
      <c r="AG350" s="851">
        <v>45505</v>
      </c>
      <c r="AH350" s="992">
        <v>45185</v>
      </c>
      <c r="AI350" s="118">
        <v>45185</v>
      </c>
      <c r="AJ350" s="103" t="s">
        <v>1116</v>
      </c>
      <c r="AK350" s="103" t="s">
        <v>1847</v>
      </c>
      <c r="AL350" s="103" t="s">
        <v>1847</v>
      </c>
      <c r="AM350" s="118">
        <v>45558</v>
      </c>
      <c r="AN350" s="3"/>
    </row>
    <row r="351" spans="1:40" ht="15" x14ac:dyDescent="0.25">
      <c r="A351" s="996">
        <v>352</v>
      </c>
      <c r="B351" s="852">
        <v>30388</v>
      </c>
      <c r="C351" s="852" t="s">
        <v>54</v>
      </c>
      <c r="D351" s="844" t="s">
        <v>1848</v>
      </c>
      <c r="E351" s="244" t="s">
        <v>1288</v>
      </c>
      <c r="F351" s="837" t="s">
        <v>1114</v>
      </c>
      <c r="G351" s="834" t="s">
        <v>14</v>
      </c>
      <c r="H351" s="850">
        <v>45185</v>
      </c>
      <c r="I351" s="103">
        <v>1269</v>
      </c>
      <c r="J351" s="837" t="s">
        <v>58</v>
      </c>
      <c r="K351" s="438"/>
      <c r="L351" s="471"/>
      <c r="M351" s="438"/>
      <c r="N351" s="438"/>
      <c r="O351" s="106">
        <v>45805</v>
      </c>
      <c r="P351" s="106"/>
      <c r="Q351" s="837" t="s">
        <v>1289</v>
      </c>
      <c r="R351" s="837" t="s">
        <v>63</v>
      </c>
      <c r="S351" s="837" t="s">
        <v>63</v>
      </c>
      <c r="T351" s="837" t="s">
        <v>63</v>
      </c>
      <c r="U351" s="837" t="s">
        <v>63</v>
      </c>
      <c r="V351" s="837" t="s">
        <v>63</v>
      </c>
      <c r="W351" s="837" t="s">
        <v>63</v>
      </c>
      <c r="X351" s="837" t="s">
        <v>1290</v>
      </c>
      <c r="Y351" s="310" t="s">
        <v>1652</v>
      </c>
      <c r="Z351" s="438"/>
      <c r="AA351" s="438"/>
      <c r="AB351" s="105"/>
      <c r="AC351" s="105"/>
      <c r="AD351" s="716">
        <v>45185</v>
      </c>
      <c r="AE351" s="105"/>
      <c r="AF351" s="105" t="s">
        <v>63</v>
      </c>
      <c r="AG351" s="851">
        <v>45505</v>
      </c>
      <c r="AH351" s="992">
        <v>45185</v>
      </c>
      <c r="AI351" s="118">
        <v>45185</v>
      </c>
      <c r="AJ351" s="103" t="s">
        <v>1116</v>
      </c>
      <c r="AK351" s="103" t="s">
        <v>1847</v>
      </c>
      <c r="AL351" s="103" t="s">
        <v>1847</v>
      </c>
      <c r="AM351" s="118">
        <v>45558</v>
      </c>
      <c r="AN351" s="3"/>
    </row>
    <row r="352" spans="1:40" ht="15" x14ac:dyDescent="0.25">
      <c r="A352" s="996">
        <v>353</v>
      </c>
      <c r="B352" s="899">
        <v>37610</v>
      </c>
      <c r="C352" s="899" t="s">
        <v>64</v>
      </c>
      <c r="D352" s="588" t="s">
        <v>1849</v>
      </c>
      <c r="E352" s="343" t="s">
        <v>1500</v>
      </c>
      <c r="F352" s="581" t="s">
        <v>1102</v>
      </c>
      <c r="G352" s="581" t="s">
        <v>14</v>
      </c>
      <c r="H352" s="894">
        <v>45186</v>
      </c>
      <c r="I352" s="581">
        <v>1284</v>
      </c>
      <c r="J352" s="581" t="s">
        <v>58</v>
      </c>
      <c r="K352" s="462"/>
      <c r="M352" s="462"/>
      <c r="N352" s="462"/>
      <c r="O352" s="900">
        <v>45181</v>
      </c>
      <c r="P352" s="900">
        <v>45181</v>
      </c>
      <c r="Q352" s="310" t="s">
        <v>1301</v>
      </c>
      <c r="R352" s="241" t="s">
        <v>75</v>
      </c>
      <c r="S352" s="525" t="s">
        <v>63</v>
      </c>
      <c r="T352" s="241" t="s">
        <v>63</v>
      </c>
      <c r="U352" s="241" t="s">
        <v>63</v>
      </c>
      <c r="V352" s="241" t="s">
        <v>63</v>
      </c>
      <c r="W352" s="241" t="s">
        <v>63</v>
      </c>
      <c r="X352" s="241" t="s">
        <v>1244</v>
      </c>
      <c r="Y352" s="310" t="s">
        <v>1652</v>
      </c>
      <c r="Z352" s="462"/>
      <c r="AA352" s="462"/>
      <c r="AB352" s="241"/>
      <c r="AC352" s="241"/>
      <c r="AD352" s="901">
        <v>45181</v>
      </c>
      <c r="AE352" s="16" t="s">
        <v>1850</v>
      </c>
      <c r="AF352" s="241" t="s">
        <v>63</v>
      </c>
      <c r="AG352" s="537" t="s">
        <v>1535</v>
      </c>
      <c r="AH352" s="994">
        <v>45271</v>
      </c>
      <c r="AI352" s="644">
        <v>45181</v>
      </c>
      <c r="AJ352" s="239" t="s">
        <v>1116</v>
      </c>
      <c r="AK352" s="644"/>
      <c r="AL352" s="644">
        <v>45363</v>
      </c>
      <c r="AM352" s="644">
        <v>45393</v>
      </c>
      <c r="AN352" s="3"/>
    </row>
    <row r="353" spans="1:40" ht="15" x14ac:dyDescent="0.25">
      <c r="A353" s="996">
        <v>354</v>
      </c>
      <c r="B353" s="575">
        <v>37610</v>
      </c>
      <c r="C353" s="575" t="s">
        <v>54</v>
      </c>
      <c r="D353" s="346" t="s">
        <v>1851</v>
      </c>
      <c r="E353" s="343" t="s">
        <v>1500</v>
      </c>
      <c r="F353" s="310" t="s">
        <v>1102</v>
      </c>
      <c r="G353" s="310" t="s">
        <v>14</v>
      </c>
      <c r="H353" s="350">
        <v>45186</v>
      </c>
      <c r="I353" s="310">
        <v>1285</v>
      </c>
      <c r="J353" s="310" t="s">
        <v>58</v>
      </c>
      <c r="K353" s="432"/>
      <c r="L353" s="622"/>
      <c r="M353" s="432"/>
      <c r="N353" s="432"/>
      <c r="O353" s="33">
        <v>45181</v>
      </c>
      <c r="P353" s="33">
        <v>45181</v>
      </c>
      <c r="Q353" s="310" t="s">
        <v>1301</v>
      </c>
      <c r="R353" s="16" t="s">
        <v>75</v>
      </c>
      <c r="S353" s="525" t="s">
        <v>63</v>
      </c>
      <c r="T353" s="16" t="s">
        <v>63</v>
      </c>
      <c r="U353" s="16" t="s">
        <v>63</v>
      </c>
      <c r="V353" s="16" t="s">
        <v>63</v>
      </c>
      <c r="W353" s="16" t="s">
        <v>63</v>
      </c>
      <c r="X353" s="16" t="s">
        <v>1244</v>
      </c>
      <c r="Y353" s="310" t="s">
        <v>1652</v>
      </c>
      <c r="Z353" s="432"/>
      <c r="AA353" s="432"/>
      <c r="AB353" s="16"/>
      <c r="AC353" s="16"/>
      <c r="AD353" s="43">
        <v>45181</v>
      </c>
      <c r="AE353" s="16" t="s">
        <v>1850</v>
      </c>
      <c r="AF353" s="16" t="s">
        <v>63</v>
      </c>
      <c r="AG353" s="536" t="s">
        <v>1535</v>
      </c>
      <c r="AH353" s="535">
        <v>45271</v>
      </c>
      <c r="AI353" s="84">
        <v>45181</v>
      </c>
      <c r="AJ353" s="3" t="s">
        <v>1116</v>
      </c>
      <c r="AK353" s="84"/>
      <c r="AL353" s="84">
        <v>45363</v>
      </c>
      <c r="AM353" s="84">
        <v>45393</v>
      </c>
      <c r="AN353" s="3"/>
    </row>
    <row r="354" spans="1:40" ht="15.6" x14ac:dyDescent="0.25">
      <c r="A354" s="996">
        <v>355</v>
      </c>
      <c r="B354" s="20">
        <v>37616</v>
      </c>
      <c r="C354" s="574" t="s">
        <v>64</v>
      </c>
      <c r="D354" s="3" t="s">
        <v>1852</v>
      </c>
      <c r="E354" s="341" t="s">
        <v>1375</v>
      </c>
      <c r="F354" s="335" t="s">
        <v>1317</v>
      </c>
      <c r="G354" s="310" t="s">
        <v>14</v>
      </c>
      <c r="H354" s="52">
        <v>45231</v>
      </c>
      <c r="I354" s="3">
        <v>1290</v>
      </c>
      <c r="J354" s="310" t="s">
        <v>58</v>
      </c>
      <c r="K354" s="432"/>
      <c r="L354" s="443"/>
      <c r="M354" s="432"/>
      <c r="N354" s="432"/>
      <c r="O354" s="33"/>
      <c r="P354" s="33"/>
      <c r="Q354" s="310" t="s">
        <v>1376</v>
      </c>
      <c r="R354" s="310" t="s">
        <v>63</v>
      </c>
      <c r="S354" s="350" t="s">
        <v>206</v>
      </c>
      <c r="T354" s="59">
        <v>45231</v>
      </c>
      <c r="U354" s="310" t="s">
        <v>1103</v>
      </c>
      <c r="V354" s="349" t="s">
        <v>63</v>
      </c>
      <c r="W354" s="310" t="s">
        <v>63</v>
      </c>
      <c r="X354" s="16" t="s">
        <v>1244</v>
      </c>
      <c r="Y354" s="310" t="s">
        <v>1652</v>
      </c>
      <c r="Z354" s="432"/>
      <c r="AA354" s="432"/>
      <c r="AB354" s="16"/>
      <c r="AC354" s="16"/>
      <c r="AD354" s="16" t="s">
        <v>1324</v>
      </c>
      <c r="AE354" s="16" t="s">
        <v>1850</v>
      </c>
      <c r="AF354" s="16" t="s">
        <v>1324</v>
      </c>
      <c r="AG354" s="43">
        <v>45542</v>
      </c>
      <c r="AH354" s="535">
        <v>45227</v>
      </c>
      <c r="AI354" s="84">
        <v>45275</v>
      </c>
      <c r="AJ354" s="58" t="s">
        <v>1116</v>
      </c>
      <c r="AK354" s="84">
        <v>45751</v>
      </c>
      <c r="AL354" s="3"/>
      <c r="AM354" s="3" t="s">
        <v>1853</v>
      </c>
      <c r="AN354" s="3"/>
    </row>
    <row r="355" spans="1:40" ht="15.6" x14ac:dyDescent="0.25">
      <c r="A355" s="996">
        <v>356</v>
      </c>
      <c r="B355" s="20">
        <v>37616</v>
      </c>
      <c r="C355" s="574" t="s">
        <v>54</v>
      </c>
      <c r="D355" s="3" t="s">
        <v>1854</v>
      </c>
      <c r="E355" s="341" t="s">
        <v>1375</v>
      </c>
      <c r="F355" s="335" t="s">
        <v>1317</v>
      </c>
      <c r="G355" s="310" t="s">
        <v>14</v>
      </c>
      <c r="H355" s="52">
        <v>45231</v>
      </c>
      <c r="I355" s="3">
        <v>1287</v>
      </c>
      <c r="J355" s="310" t="s">
        <v>58</v>
      </c>
      <c r="K355" s="432"/>
      <c r="L355" s="443"/>
      <c r="M355" s="432"/>
      <c r="N355" s="432"/>
      <c r="O355" s="33"/>
      <c r="P355" s="33"/>
      <c r="Q355" s="310" t="s">
        <v>1376</v>
      </c>
      <c r="R355" s="310" t="s">
        <v>63</v>
      </c>
      <c r="S355" s="885" t="s">
        <v>206</v>
      </c>
      <c r="T355" s="59">
        <v>45231</v>
      </c>
      <c r="U355" s="310" t="s">
        <v>1103</v>
      </c>
      <c r="V355" s="349" t="s">
        <v>63</v>
      </c>
      <c r="W355" s="310" t="s">
        <v>63</v>
      </c>
      <c r="X355" s="16" t="s">
        <v>1244</v>
      </c>
      <c r="Y355" s="310" t="s">
        <v>1652</v>
      </c>
      <c r="Z355" s="432"/>
      <c r="AA355" s="432"/>
      <c r="AB355" s="16"/>
      <c r="AC355" s="16"/>
      <c r="AD355" s="16" t="s">
        <v>1324</v>
      </c>
      <c r="AE355" s="16" t="s">
        <v>1850</v>
      </c>
      <c r="AF355" s="16" t="s">
        <v>1324</v>
      </c>
      <c r="AG355" s="43">
        <v>45542</v>
      </c>
      <c r="AH355" s="535">
        <v>45227</v>
      </c>
      <c r="AI355" s="84">
        <v>45275</v>
      </c>
      <c r="AJ355" s="58" t="s">
        <v>1116</v>
      </c>
      <c r="AK355" s="84">
        <v>45751</v>
      </c>
      <c r="AM355" s="3" t="s">
        <v>1853</v>
      </c>
      <c r="AN355" s="3"/>
    </row>
    <row r="356" spans="1:40" ht="15.6" x14ac:dyDescent="0.25">
      <c r="A356" s="996">
        <v>357</v>
      </c>
      <c r="B356" s="20">
        <v>37617</v>
      </c>
      <c r="C356" s="575" t="s">
        <v>64</v>
      </c>
      <c r="D356" s="3" t="s">
        <v>1855</v>
      </c>
      <c r="E356" s="341" t="s">
        <v>1375</v>
      </c>
      <c r="F356" s="335" t="s">
        <v>1317</v>
      </c>
      <c r="G356" s="310" t="s">
        <v>14</v>
      </c>
      <c r="H356" s="52">
        <v>45220</v>
      </c>
      <c r="I356" s="3">
        <v>1286</v>
      </c>
      <c r="J356" s="310" t="s">
        <v>58</v>
      </c>
      <c r="K356" s="432"/>
      <c r="L356" s="443"/>
      <c r="M356" s="432"/>
      <c r="N356" s="432"/>
      <c r="O356" s="33"/>
      <c r="P356" s="33"/>
      <c r="Q356" s="310" t="s">
        <v>1376</v>
      </c>
      <c r="R356" s="310" t="s">
        <v>63</v>
      </c>
      <c r="S356" s="350" t="s">
        <v>206</v>
      </c>
      <c r="T356" s="59">
        <v>45220</v>
      </c>
      <c r="U356" s="310" t="s">
        <v>1103</v>
      </c>
      <c r="V356" s="349" t="s">
        <v>63</v>
      </c>
      <c r="W356" s="310" t="s">
        <v>63</v>
      </c>
      <c r="X356" s="16" t="s">
        <v>1244</v>
      </c>
      <c r="Y356" s="310" t="s">
        <v>1652</v>
      </c>
      <c r="Z356" s="432"/>
      <c r="AA356" s="432"/>
      <c r="AB356" s="16"/>
      <c r="AC356" s="16"/>
      <c r="AD356" s="16" t="s">
        <v>1324</v>
      </c>
      <c r="AE356" s="16" t="s">
        <v>1850</v>
      </c>
      <c r="AF356" s="16" t="s">
        <v>1324</v>
      </c>
      <c r="AG356" s="16" t="s">
        <v>1630</v>
      </c>
      <c r="AH356" s="535">
        <v>45213</v>
      </c>
      <c r="AI356" s="3" t="s">
        <v>1630</v>
      </c>
      <c r="AM356" s="84">
        <v>45637</v>
      </c>
      <c r="AN356" s="3"/>
    </row>
    <row r="357" spans="1:40" ht="15.6" x14ac:dyDescent="0.25">
      <c r="A357" s="996">
        <v>358</v>
      </c>
      <c r="B357" s="20">
        <v>37617</v>
      </c>
      <c r="C357" s="575" t="s">
        <v>54</v>
      </c>
      <c r="D357" s="3" t="s">
        <v>1856</v>
      </c>
      <c r="E357" s="341" t="s">
        <v>1375</v>
      </c>
      <c r="F357" s="335" t="s">
        <v>1317</v>
      </c>
      <c r="G357" s="310" t="s">
        <v>14</v>
      </c>
      <c r="H357" s="52">
        <v>45220</v>
      </c>
      <c r="I357" s="3">
        <v>1291</v>
      </c>
      <c r="J357" s="310" t="s">
        <v>58</v>
      </c>
      <c r="K357" s="432"/>
      <c r="L357" s="443"/>
      <c r="M357" s="432"/>
      <c r="N357" s="432"/>
      <c r="O357" s="33"/>
      <c r="P357" s="33"/>
      <c r="Q357" s="310" t="s">
        <v>1376</v>
      </c>
      <c r="R357" s="310" t="s">
        <v>63</v>
      </c>
      <c r="S357" s="885" t="s">
        <v>206</v>
      </c>
      <c r="T357" s="59">
        <v>45220</v>
      </c>
      <c r="U357" s="310" t="s">
        <v>1103</v>
      </c>
      <c r="V357" s="349" t="s">
        <v>63</v>
      </c>
      <c r="W357" s="310" t="s">
        <v>63</v>
      </c>
      <c r="X357" s="16" t="s">
        <v>1244</v>
      </c>
      <c r="Y357" s="310" t="s">
        <v>1652</v>
      </c>
      <c r="Z357" s="432"/>
      <c r="AA357" s="432"/>
      <c r="AB357" s="16"/>
      <c r="AC357" s="16"/>
      <c r="AD357" s="16" t="s">
        <v>1324</v>
      </c>
      <c r="AE357" s="16" t="s">
        <v>1850</v>
      </c>
      <c r="AF357" s="16" t="s">
        <v>1324</v>
      </c>
      <c r="AG357" s="16" t="s">
        <v>1630</v>
      </c>
      <c r="AH357" s="535">
        <v>45213</v>
      </c>
      <c r="AI357" s="3" t="s">
        <v>1630</v>
      </c>
      <c r="AM357" s="84">
        <v>45637</v>
      </c>
      <c r="AN357" s="3"/>
    </row>
    <row r="358" spans="1:40" ht="15" x14ac:dyDescent="0.25">
      <c r="A358" s="996">
        <v>359</v>
      </c>
      <c r="B358" s="648">
        <v>39303</v>
      </c>
      <c r="C358" s="575" t="s">
        <v>64</v>
      </c>
      <c r="D358" s="346" t="s">
        <v>1857</v>
      </c>
      <c r="E358" s="341" t="s">
        <v>1375</v>
      </c>
      <c r="F358" s="310" t="s">
        <v>1317</v>
      </c>
      <c r="G358" s="314" t="s">
        <v>14</v>
      </c>
      <c r="H358" s="350">
        <v>45301</v>
      </c>
      <c r="I358" s="310">
        <v>1444</v>
      </c>
      <c r="J358" s="310" t="s">
        <v>58</v>
      </c>
      <c r="K358" s="432"/>
      <c r="L358" s="443"/>
      <c r="M358" s="432"/>
      <c r="N358" s="432"/>
      <c r="O358" s="343"/>
      <c r="P358" s="343"/>
      <c r="Q358" s="310" t="s">
        <v>1301</v>
      </c>
      <c r="R358" s="310" t="s">
        <v>63</v>
      </c>
      <c r="S358" s="310" t="s">
        <v>63</v>
      </c>
      <c r="T358" s="310" t="s">
        <v>63</v>
      </c>
      <c r="U358" s="310" t="s">
        <v>63</v>
      </c>
      <c r="V358" s="310" t="s">
        <v>63</v>
      </c>
      <c r="W358" s="310" t="s">
        <v>63</v>
      </c>
      <c r="X358" s="310" t="s">
        <v>1244</v>
      </c>
      <c r="Y358" s="310" t="s">
        <v>1652</v>
      </c>
      <c r="Z358" s="310"/>
      <c r="AA358" s="310"/>
      <c r="AB358" s="310"/>
      <c r="AC358" s="310"/>
      <c r="AD358" s="343">
        <v>45297</v>
      </c>
      <c r="AE358" s="16" t="s">
        <v>1850</v>
      </c>
      <c r="AF358" s="343">
        <v>45297</v>
      </c>
      <c r="AG358" s="3" t="s">
        <v>1325</v>
      </c>
      <c r="AH358" s="525" t="s">
        <v>63</v>
      </c>
      <c r="AI358" s="3" t="s">
        <v>63</v>
      </c>
      <c r="AJ358" s="3" t="s">
        <v>1116</v>
      </c>
      <c r="AM358" s="3" t="s">
        <v>1452</v>
      </c>
      <c r="AN358" s="3"/>
    </row>
    <row r="359" spans="1:40" ht="15" x14ac:dyDescent="0.25">
      <c r="A359" s="996">
        <v>360</v>
      </c>
      <c r="B359" s="882">
        <v>39303</v>
      </c>
      <c r="C359" s="883" t="s">
        <v>54</v>
      </c>
      <c r="D359" s="884" t="s">
        <v>1858</v>
      </c>
      <c r="E359" s="857" t="s">
        <v>1375</v>
      </c>
      <c r="F359" s="861" t="s">
        <v>1317</v>
      </c>
      <c r="G359" s="859" t="s">
        <v>14</v>
      </c>
      <c r="H359" s="885">
        <v>45301</v>
      </c>
      <c r="I359" s="861">
        <v>1432</v>
      </c>
      <c r="J359" s="861" t="s">
        <v>58</v>
      </c>
      <c r="K359" s="446"/>
      <c r="L359" s="447"/>
      <c r="M359" s="446"/>
      <c r="N359" s="446"/>
      <c r="O359" s="865"/>
      <c r="P359" s="865"/>
      <c r="Q359" s="861" t="s">
        <v>1301</v>
      </c>
      <c r="R359" s="861" t="s">
        <v>63</v>
      </c>
      <c r="S359" s="861" t="s">
        <v>63</v>
      </c>
      <c r="T359" s="861" t="s">
        <v>63</v>
      </c>
      <c r="U359" s="861" t="s">
        <v>63</v>
      </c>
      <c r="V359" s="861" t="s">
        <v>63</v>
      </c>
      <c r="W359" s="861" t="s">
        <v>63</v>
      </c>
      <c r="X359" s="609" t="s">
        <v>1244</v>
      </c>
      <c r="Y359" s="310" t="s">
        <v>1652</v>
      </c>
      <c r="Z359" s="861"/>
      <c r="AA359" s="861"/>
      <c r="AB359" s="861"/>
      <c r="AC359" s="861"/>
      <c r="AD359" s="865">
        <v>45297</v>
      </c>
      <c r="AE359" s="16" t="s">
        <v>1850</v>
      </c>
      <c r="AF359" s="865">
        <v>45297</v>
      </c>
      <c r="AG359" s="115" t="s">
        <v>1325</v>
      </c>
      <c r="AH359" s="870" t="s">
        <v>63</v>
      </c>
      <c r="AI359" s="115" t="s">
        <v>63</v>
      </c>
      <c r="AJ359" s="115" t="s">
        <v>1116</v>
      </c>
      <c r="AK359" s="511"/>
      <c r="AL359" s="511"/>
      <c r="AM359" s="115" t="s">
        <v>1452</v>
      </c>
      <c r="AN359" s="3"/>
    </row>
    <row r="360" spans="1:40" ht="15" x14ac:dyDescent="0.25">
      <c r="A360" s="996">
        <v>361</v>
      </c>
      <c r="B360" s="229">
        <v>30385</v>
      </c>
      <c r="C360" s="853" t="s">
        <v>64</v>
      </c>
      <c r="D360" s="844" t="s">
        <v>1859</v>
      </c>
      <c r="E360" s="244" t="s">
        <v>1288</v>
      </c>
      <c r="F360" s="837" t="s">
        <v>1114</v>
      </c>
      <c r="G360" s="834" t="s">
        <v>14</v>
      </c>
      <c r="H360" s="118">
        <v>45219</v>
      </c>
      <c r="I360" s="103">
        <v>1381</v>
      </c>
      <c r="J360" s="837" t="s">
        <v>58</v>
      </c>
      <c r="K360" s="438"/>
      <c r="L360" s="471"/>
      <c r="M360" s="438"/>
      <c r="N360" s="438"/>
      <c r="O360" s="847"/>
      <c r="P360" s="847"/>
      <c r="Q360" s="837" t="s">
        <v>1289</v>
      </c>
      <c r="R360" s="837" t="s">
        <v>63</v>
      </c>
      <c r="S360" s="837" t="s">
        <v>63</v>
      </c>
      <c r="T360" s="837" t="s">
        <v>63</v>
      </c>
      <c r="U360" s="837" t="s">
        <v>63</v>
      </c>
      <c r="V360" s="837" t="s">
        <v>63</v>
      </c>
      <c r="W360" s="837" t="s">
        <v>63</v>
      </c>
      <c r="X360" s="837" t="s">
        <v>1290</v>
      </c>
      <c r="Y360" s="310" t="s">
        <v>1652</v>
      </c>
      <c r="Z360" s="849"/>
      <c r="AA360" s="849"/>
      <c r="AB360" s="849"/>
      <c r="AC360" s="849"/>
      <c r="AD360" s="850">
        <v>45217</v>
      </c>
      <c r="AE360" s="16" t="s">
        <v>1850</v>
      </c>
      <c r="AF360" s="850">
        <v>45217</v>
      </c>
      <c r="AG360" s="118">
        <v>45478</v>
      </c>
      <c r="AH360" s="850">
        <v>45220</v>
      </c>
      <c r="AI360" s="118">
        <v>45219</v>
      </c>
      <c r="AJ360" s="103" t="s">
        <v>1116</v>
      </c>
      <c r="AK360" s="507"/>
      <c r="AL360" s="103" t="s">
        <v>1860</v>
      </c>
      <c r="AM360" s="118">
        <v>45558</v>
      </c>
      <c r="AN360" s="3"/>
    </row>
    <row r="361" spans="1:40" ht="15" x14ac:dyDescent="0.25">
      <c r="A361" s="996">
        <v>362</v>
      </c>
      <c r="B361" s="229">
        <v>30385</v>
      </c>
      <c r="C361" s="853" t="s">
        <v>54</v>
      </c>
      <c r="D361" s="844" t="s">
        <v>1861</v>
      </c>
      <c r="E361" s="244" t="s">
        <v>1288</v>
      </c>
      <c r="F361" s="837" t="s">
        <v>1114</v>
      </c>
      <c r="G361" s="834" t="s">
        <v>14</v>
      </c>
      <c r="H361" s="118">
        <v>45219</v>
      </c>
      <c r="I361" s="103">
        <v>1383</v>
      </c>
      <c r="J361" s="837" t="s">
        <v>58</v>
      </c>
      <c r="K361" s="438"/>
      <c r="L361" s="471"/>
      <c r="M361" s="438"/>
      <c r="N361" s="438"/>
      <c r="O361" s="847"/>
      <c r="P361" s="847"/>
      <c r="Q361" s="837" t="s">
        <v>1289</v>
      </c>
      <c r="R361" s="837" t="s">
        <v>63</v>
      </c>
      <c r="S361" s="837" t="s">
        <v>63</v>
      </c>
      <c r="T361" s="837" t="s">
        <v>63</v>
      </c>
      <c r="U361" s="837" t="s">
        <v>63</v>
      </c>
      <c r="V361" s="837" t="s">
        <v>63</v>
      </c>
      <c r="W361" s="837" t="s">
        <v>63</v>
      </c>
      <c r="X361" s="837" t="s">
        <v>1290</v>
      </c>
      <c r="Y361" s="310" t="s">
        <v>1652</v>
      </c>
      <c r="Z361" s="849"/>
      <c r="AA361" s="849"/>
      <c r="AB361" s="849"/>
      <c r="AC361" s="849"/>
      <c r="AD361" s="850">
        <v>45217</v>
      </c>
      <c r="AE361" s="16" t="s">
        <v>1850</v>
      </c>
      <c r="AF361" s="850">
        <v>45217</v>
      </c>
      <c r="AG361" s="118">
        <v>45478</v>
      </c>
      <c r="AH361" s="850">
        <v>45220</v>
      </c>
      <c r="AI361" s="118">
        <v>45219</v>
      </c>
      <c r="AJ361" s="103" t="s">
        <v>1116</v>
      </c>
      <c r="AK361" s="507"/>
      <c r="AL361" s="103" t="s">
        <v>1860</v>
      </c>
      <c r="AM361" s="118">
        <v>45558</v>
      </c>
      <c r="AN361" s="3"/>
    </row>
    <row r="362" spans="1:40" ht="15" x14ac:dyDescent="0.25">
      <c r="A362" s="996">
        <v>363</v>
      </c>
      <c r="B362" s="238">
        <v>37645</v>
      </c>
      <c r="C362" s="899" t="s">
        <v>64</v>
      </c>
      <c r="D362" s="239" t="s">
        <v>1862</v>
      </c>
      <c r="E362" s="263" t="s">
        <v>1665</v>
      </c>
      <c r="F362" s="239" t="s">
        <v>1243</v>
      </c>
      <c r="G362" s="580" t="s">
        <v>14</v>
      </c>
      <c r="H362" s="269">
        <v>45328</v>
      </c>
      <c r="I362" s="239">
        <v>1506</v>
      </c>
      <c r="J362" s="239" t="s">
        <v>58</v>
      </c>
      <c r="K362" s="462"/>
      <c r="L362" s="776"/>
      <c r="M362" s="462"/>
      <c r="N362" s="462"/>
      <c r="O362" s="900"/>
      <c r="P362" s="900"/>
      <c r="Q362" s="837" t="s">
        <v>1289</v>
      </c>
      <c r="R362" s="581" t="s">
        <v>63</v>
      </c>
      <c r="S362" s="581" t="s">
        <v>63</v>
      </c>
      <c r="T362" s="581" t="s">
        <v>63</v>
      </c>
      <c r="U362" s="241"/>
      <c r="V362" s="581" t="s">
        <v>63</v>
      </c>
      <c r="W362" s="241"/>
      <c r="X362" s="609" t="s">
        <v>1244</v>
      </c>
      <c r="Y362" s="310" t="s">
        <v>1652</v>
      </c>
      <c r="Z362" s="462"/>
      <c r="AA362" s="462"/>
      <c r="AB362" s="241"/>
      <c r="AC362" s="241"/>
      <c r="AD362" s="241" t="s">
        <v>1324</v>
      </c>
      <c r="AE362" s="16" t="s">
        <v>1850</v>
      </c>
      <c r="AF362" s="3" t="s">
        <v>1324</v>
      </c>
      <c r="AG362" s="644">
        <v>45467</v>
      </c>
      <c r="AH362" s="644">
        <v>45467</v>
      </c>
      <c r="AI362" s="239" t="s">
        <v>1863</v>
      </c>
      <c r="AJ362" s="239" t="s">
        <v>1116</v>
      </c>
      <c r="AK362" s="239" t="s">
        <v>1864</v>
      </c>
      <c r="AL362" s="239"/>
      <c r="AM362" s="239" t="s">
        <v>1865</v>
      </c>
      <c r="AN362" s="3"/>
    </row>
    <row r="363" spans="1:40" ht="15" x14ac:dyDescent="0.25">
      <c r="A363" s="996">
        <v>364</v>
      </c>
      <c r="B363" s="111">
        <v>37645</v>
      </c>
      <c r="C363" s="883" t="s">
        <v>54</v>
      </c>
      <c r="D363" s="115" t="s">
        <v>1866</v>
      </c>
      <c r="E363" s="510" t="s">
        <v>1665</v>
      </c>
      <c r="F363" s="115" t="s">
        <v>1243</v>
      </c>
      <c r="G363" s="859" t="s">
        <v>14</v>
      </c>
      <c r="H363" s="405">
        <v>45328</v>
      </c>
      <c r="I363" s="115">
        <v>1507</v>
      </c>
      <c r="J363" s="115" t="s">
        <v>58</v>
      </c>
      <c r="K363" s="446"/>
      <c r="L363" s="1056"/>
      <c r="M363" s="446"/>
      <c r="N363" s="446"/>
      <c r="O363" s="406"/>
      <c r="P363" s="406"/>
      <c r="Q363" s="837" t="s">
        <v>1289</v>
      </c>
      <c r="R363" s="861" t="s">
        <v>63</v>
      </c>
      <c r="S363" s="861" t="s">
        <v>63</v>
      </c>
      <c r="T363" s="861" t="s">
        <v>63</v>
      </c>
      <c r="U363" s="117"/>
      <c r="V363" s="861" t="s">
        <v>63</v>
      </c>
      <c r="W363" s="117"/>
      <c r="X363" s="609" t="s">
        <v>1244</v>
      </c>
      <c r="Y363" s="310" t="s">
        <v>1652</v>
      </c>
      <c r="Z363" s="446"/>
      <c r="AA363" s="446"/>
      <c r="AB363" s="117"/>
      <c r="AC363" s="117"/>
      <c r="AD363" s="117" t="s">
        <v>1324</v>
      </c>
      <c r="AE363" s="16" t="s">
        <v>1850</v>
      </c>
      <c r="AF363" s="3" t="s">
        <v>1324</v>
      </c>
      <c r="AG363" s="876">
        <v>45467</v>
      </c>
      <c r="AH363" s="876">
        <v>45467</v>
      </c>
      <c r="AI363" s="115" t="s">
        <v>1863</v>
      </c>
      <c r="AJ363" s="115" t="s">
        <v>1116</v>
      </c>
      <c r="AK363" s="115" t="s">
        <v>1864</v>
      </c>
      <c r="AL363" s="511"/>
      <c r="AM363" s="115" t="s">
        <v>1865</v>
      </c>
      <c r="AN363" s="3"/>
    </row>
    <row r="364" spans="1:40" ht="15" x14ac:dyDescent="0.25">
      <c r="A364" s="996">
        <v>365</v>
      </c>
      <c r="B364" s="17">
        <v>37682</v>
      </c>
      <c r="C364" s="575" t="s">
        <v>64</v>
      </c>
      <c r="D364" s="3" t="s">
        <v>1867</v>
      </c>
      <c r="E364" s="335" t="s">
        <v>1739</v>
      </c>
      <c r="F364" s="314" t="s">
        <v>1740</v>
      </c>
      <c r="G364" s="314" t="s">
        <v>14</v>
      </c>
      <c r="H364" s="52">
        <v>45397</v>
      </c>
      <c r="I364" s="3">
        <v>1518</v>
      </c>
      <c r="J364" s="3" t="s">
        <v>58</v>
      </c>
      <c r="K364" s="432"/>
      <c r="L364" s="443"/>
      <c r="M364" s="432"/>
      <c r="N364" s="432"/>
      <c r="O364" s="33">
        <v>45743</v>
      </c>
      <c r="P364" s="33"/>
      <c r="Q364" s="837" t="s">
        <v>1289</v>
      </c>
      <c r="R364" s="310" t="s">
        <v>68</v>
      </c>
      <c r="S364" s="310" t="s">
        <v>63</v>
      </c>
      <c r="T364" s="310" t="s">
        <v>63</v>
      </c>
      <c r="U364" s="310" t="s">
        <v>63</v>
      </c>
      <c r="V364" s="310" t="s">
        <v>63</v>
      </c>
      <c r="W364" s="310" t="s">
        <v>63</v>
      </c>
      <c r="X364" s="534" t="s">
        <v>1244</v>
      </c>
      <c r="Y364" s="310" t="s">
        <v>1652</v>
      </c>
      <c r="Z364" s="534"/>
      <c r="AA364" s="534"/>
      <c r="AB364" s="534"/>
      <c r="AC364" s="534"/>
      <c r="AD364" s="343" t="s">
        <v>1324</v>
      </c>
      <c r="AE364" s="16" t="s">
        <v>1850</v>
      </c>
      <c r="AF364" s="3" t="s">
        <v>1324</v>
      </c>
      <c r="AG364" s="84">
        <v>45392</v>
      </c>
      <c r="AH364" s="644">
        <v>45486</v>
      </c>
      <c r="AI364" s="84">
        <v>45382</v>
      </c>
      <c r="AJ364" s="3" t="s">
        <v>1116</v>
      </c>
      <c r="AK364" s="3"/>
      <c r="AM364" s="1299"/>
      <c r="AN364" s="3"/>
    </row>
    <row r="365" spans="1:40" ht="15" x14ac:dyDescent="0.25">
      <c r="A365" s="996">
        <v>366</v>
      </c>
      <c r="B365" s="17">
        <v>37682</v>
      </c>
      <c r="C365" s="575" t="s">
        <v>54</v>
      </c>
      <c r="D365" s="3" t="s">
        <v>1868</v>
      </c>
      <c r="E365" s="335" t="s">
        <v>1739</v>
      </c>
      <c r="F365" s="314" t="s">
        <v>1740</v>
      </c>
      <c r="G365" s="314" t="s">
        <v>14</v>
      </c>
      <c r="H365" s="52">
        <v>45397</v>
      </c>
      <c r="I365" s="3">
        <v>1519</v>
      </c>
      <c r="J365" s="3" t="s">
        <v>58</v>
      </c>
      <c r="K365" s="432"/>
      <c r="L365" s="443"/>
      <c r="M365" s="432"/>
      <c r="N365" s="432"/>
      <c r="O365" s="33">
        <v>45743</v>
      </c>
      <c r="P365" s="33"/>
      <c r="Q365" s="837" t="s">
        <v>1289</v>
      </c>
      <c r="R365" s="310" t="s">
        <v>62</v>
      </c>
      <c r="S365" s="310" t="s">
        <v>63</v>
      </c>
      <c r="T365" s="310" t="s">
        <v>63</v>
      </c>
      <c r="U365" s="310" t="s">
        <v>63</v>
      </c>
      <c r="V365" s="310" t="s">
        <v>63</v>
      </c>
      <c r="W365" s="310" t="s">
        <v>63</v>
      </c>
      <c r="X365" s="534" t="s">
        <v>1244</v>
      </c>
      <c r="Y365" s="310" t="s">
        <v>1652</v>
      </c>
      <c r="Z365" s="534"/>
      <c r="AA365" s="534"/>
      <c r="AB365" s="534"/>
      <c r="AC365" s="534"/>
      <c r="AD365" s="343" t="s">
        <v>1324</v>
      </c>
      <c r="AE365" s="16" t="s">
        <v>1850</v>
      </c>
      <c r="AF365" s="3" t="s">
        <v>1324</v>
      </c>
      <c r="AG365" s="84">
        <v>45392</v>
      </c>
      <c r="AH365" s="84">
        <v>45486</v>
      </c>
      <c r="AI365" s="84">
        <v>45382</v>
      </c>
      <c r="AJ365" s="3" t="s">
        <v>1116</v>
      </c>
      <c r="AM365" s="1299"/>
      <c r="AN365" s="3"/>
    </row>
    <row r="366" spans="1:40" ht="15" x14ac:dyDescent="0.25">
      <c r="A366" s="996">
        <v>367</v>
      </c>
      <c r="B366" s="238">
        <v>37683</v>
      </c>
      <c r="C366" s="899" t="s">
        <v>64</v>
      </c>
      <c r="D366" s="239" t="s">
        <v>1869</v>
      </c>
      <c r="E366" s="578" t="s">
        <v>1739</v>
      </c>
      <c r="F366" s="581" t="s">
        <v>1740</v>
      </c>
      <c r="G366" s="580" t="s">
        <v>14</v>
      </c>
      <c r="H366" s="269">
        <v>45402</v>
      </c>
      <c r="I366" s="239">
        <v>1571</v>
      </c>
      <c r="J366" s="239" t="s">
        <v>58</v>
      </c>
      <c r="K366" s="462"/>
      <c r="L366" s="776"/>
      <c r="M366" s="462"/>
      <c r="N366" s="462"/>
      <c r="O366" s="900"/>
      <c r="P366" s="900"/>
      <c r="Q366" s="837" t="s">
        <v>1289</v>
      </c>
      <c r="R366" s="241" t="s">
        <v>63</v>
      </c>
      <c r="S366" s="581" t="s">
        <v>63</v>
      </c>
      <c r="T366" s="581" t="s">
        <v>63</v>
      </c>
      <c r="U366" s="581" t="s">
        <v>63</v>
      </c>
      <c r="V366" s="581" t="s">
        <v>63</v>
      </c>
      <c r="W366" s="581" t="s">
        <v>63</v>
      </c>
      <c r="X366" s="609" t="s">
        <v>1244</v>
      </c>
      <c r="Y366" s="310" t="s">
        <v>1652</v>
      </c>
      <c r="Z366" s="1084"/>
      <c r="AA366" s="1084"/>
      <c r="AB366" s="1084"/>
      <c r="AC366" s="1084"/>
      <c r="AD366" s="584" t="s">
        <v>1324</v>
      </c>
      <c r="AE366" s="16" t="s">
        <v>1850</v>
      </c>
      <c r="AF366" s="3" t="s">
        <v>1324</v>
      </c>
      <c r="AG366" s="269">
        <v>45473</v>
      </c>
      <c r="AH366" s="990">
        <v>45400</v>
      </c>
      <c r="AI366" s="644">
        <v>45388</v>
      </c>
      <c r="AJ366" s="239" t="s">
        <v>1116</v>
      </c>
      <c r="AK366" s="649"/>
      <c r="AL366" s="649"/>
      <c r="AM366" s="1301"/>
      <c r="AN366" s="3"/>
    </row>
    <row r="367" spans="1:40" ht="15" x14ac:dyDescent="0.25">
      <c r="A367" s="996">
        <v>368</v>
      </c>
      <c r="B367" s="20">
        <v>37683</v>
      </c>
      <c r="C367" s="575" t="s">
        <v>54</v>
      </c>
      <c r="D367" s="3" t="s">
        <v>1870</v>
      </c>
      <c r="E367" s="335" t="s">
        <v>1739</v>
      </c>
      <c r="F367" s="310" t="s">
        <v>1740</v>
      </c>
      <c r="G367" s="314" t="s">
        <v>14</v>
      </c>
      <c r="H367" s="52">
        <v>45402</v>
      </c>
      <c r="I367" s="3">
        <v>1545</v>
      </c>
      <c r="J367" s="3" t="s">
        <v>58</v>
      </c>
      <c r="K367" s="432"/>
      <c r="L367" s="443"/>
      <c r="M367" s="432"/>
      <c r="N367" s="432"/>
      <c r="O367" s="33"/>
      <c r="P367" s="33"/>
      <c r="Q367" s="837" t="s">
        <v>1289</v>
      </c>
      <c r="R367" s="16" t="s">
        <v>63</v>
      </c>
      <c r="S367" s="310" t="s">
        <v>63</v>
      </c>
      <c r="T367" s="310" t="s">
        <v>63</v>
      </c>
      <c r="U367" s="310" t="s">
        <v>63</v>
      </c>
      <c r="V367" s="310" t="s">
        <v>63</v>
      </c>
      <c r="W367" s="310" t="s">
        <v>63</v>
      </c>
      <c r="X367" s="609" t="s">
        <v>1244</v>
      </c>
      <c r="Y367" s="310" t="s">
        <v>1652</v>
      </c>
      <c r="Z367" s="534"/>
      <c r="AA367" s="534"/>
      <c r="AB367" s="534"/>
      <c r="AC367" s="534"/>
      <c r="AD367" s="343" t="s">
        <v>1324</v>
      </c>
      <c r="AE367" s="16" t="s">
        <v>1850</v>
      </c>
      <c r="AF367" s="3" t="s">
        <v>1324</v>
      </c>
      <c r="AG367" s="52">
        <v>45473</v>
      </c>
      <c r="AH367" s="609">
        <v>45400</v>
      </c>
      <c r="AI367" s="84">
        <v>45388</v>
      </c>
      <c r="AJ367" s="3" t="s">
        <v>1116</v>
      </c>
      <c r="AM367" s="1299"/>
      <c r="AN367" s="3"/>
    </row>
    <row r="368" spans="1:40" ht="15" x14ac:dyDescent="0.25">
      <c r="A368" s="996">
        <v>369</v>
      </c>
      <c r="B368" s="17">
        <v>39293</v>
      </c>
      <c r="C368" s="575" t="s">
        <v>64</v>
      </c>
      <c r="D368" s="826" t="s">
        <v>1871</v>
      </c>
      <c r="E368" s="335" t="s">
        <v>1739</v>
      </c>
      <c r="F368" s="310" t="s">
        <v>1740</v>
      </c>
      <c r="G368" s="314" t="s">
        <v>14</v>
      </c>
      <c r="H368" s="52">
        <v>45323</v>
      </c>
      <c r="I368" s="3">
        <v>1421</v>
      </c>
      <c r="J368" s="3" t="s">
        <v>58</v>
      </c>
      <c r="K368" s="432"/>
      <c r="L368" s="443"/>
      <c r="M368" s="432"/>
      <c r="N368" s="432"/>
      <c r="O368" s="343">
        <v>45310</v>
      </c>
      <c r="P368" s="343">
        <v>45310</v>
      </c>
      <c r="Q368" s="310" t="s">
        <v>1289</v>
      </c>
      <c r="R368" s="310" t="s">
        <v>63</v>
      </c>
      <c r="S368" s="310" t="s">
        <v>63</v>
      </c>
      <c r="T368" s="310" t="s">
        <v>63</v>
      </c>
      <c r="U368" s="310" t="s">
        <v>63</v>
      </c>
      <c r="V368" s="310" t="s">
        <v>63</v>
      </c>
      <c r="W368" s="310" t="s">
        <v>63</v>
      </c>
      <c r="X368" s="609" t="s">
        <v>1244</v>
      </c>
      <c r="Y368" s="310" t="s">
        <v>1652</v>
      </c>
      <c r="Z368" s="310"/>
      <c r="AA368" s="310"/>
      <c r="AB368" s="310"/>
      <c r="AC368" s="310"/>
      <c r="AD368" s="343" t="s">
        <v>1872</v>
      </c>
      <c r="AE368" s="16" t="s">
        <v>1850</v>
      </c>
      <c r="AF368" s="3" t="s">
        <v>1324</v>
      </c>
      <c r="AG368" s="52" t="s">
        <v>1630</v>
      </c>
      <c r="AH368" s="535">
        <v>45310</v>
      </c>
      <c r="AI368" s="52">
        <v>45310</v>
      </c>
      <c r="AJ368" s="3" t="s">
        <v>1116</v>
      </c>
      <c r="AM368" s="3" t="s">
        <v>1662</v>
      </c>
      <c r="AN368" s="3"/>
    </row>
    <row r="369" spans="1:40" ht="15" x14ac:dyDescent="0.25">
      <c r="A369" s="996">
        <v>370</v>
      </c>
      <c r="B369" s="510">
        <v>39293</v>
      </c>
      <c r="C369" s="883" t="s">
        <v>54</v>
      </c>
      <c r="D369" s="1057" t="s">
        <v>1873</v>
      </c>
      <c r="E369" s="858" t="s">
        <v>1739</v>
      </c>
      <c r="F369" s="861" t="s">
        <v>1740</v>
      </c>
      <c r="G369" s="859" t="s">
        <v>14</v>
      </c>
      <c r="H369" s="405">
        <v>45323</v>
      </c>
      <c r="I369" s="115">
        <v>1420</v>
      </c>
      <c r="J369" s="115" t="s">
        <v>58</v>
      </c>
      <c r="K369" s="446"/>
      <c r="L369" s="447"/>
      <c r="M369" s="446"/>
      <c r="N369" s="446"/>
      <c r="O369" s="865">
        <v>45310</v>
      </c>
      <c r="P369" s="865">
        <v>45310</v>
      </c>
      <c r="Q369" s="861" t="s">
        <v>1289</v>
      </c>
      <c r="R369" s="861" t="s">
        <v>63</v>
      </c>
      <c r="S369" s="861" t="s">
        <v>63</v>
      </c>
      <c r="T369" s="861" t="s">
        <v>63</v>
      </c>
      <c r="U369" s="861" t="s">
        <v>63</v>
      </c>
      <c r="V369" s="861" t="s">
        <v>63</v>
      </c>
      <c r="W369" s="861" t="s">
        <v>63</v>
      </c>
      <c r="X369" s="609" t="s">
        <v>1244</v>
      </c>
      <c r="Y369" s="310" t="s">
        <v>1652</v>
      </c>
      <c r="Z369" s="861"/>
      <c r="AA369" s="861"/>
      <c r="AB369" s="861"/>
      <c r="AC369" s="861"/>
      <c r="AD369" s="865" t="s">
        <v>1872</v>
      </c>
      <c r="AE369" s="16" t="s">
        <v>1850</v>
      </c>
      <c r="AF369" s="3" t="s">
        <v>1324</v>
      </c>
      <c r="AG369" s="405" t="s">
        <v>1630</v>
      </c>
      <c r="AH369" s="877">
        <v>45310</v>
      </c>
      <c r="AI369" s="405">
        <v>45310</v>
      </c>
      <c r="AJ369" s="115" t="s">
        <v>1116</v>
      </c>
      <c r="AK369" s="511"/>
      <c r="AL369" s="511"/>
      <c r="AM369" s="115" t="s">
        <v>1662</v>
      </c>
      <c r="AN369" s="3"/>
    </row>
    <row r="370" spans="1:40" ht="15" x14ac:dyDescent="0.25">
      <c r="A370" s="996">
        <v>371</v>
      </c>
      <c r="B370" s="17">
        <v>39306</v>
      </c>
      <c r="C370" s="17" t="s">
        <v>64</v>
      </c>
      <c r="D370" s="3" t="s">
        <v>1874</v>
      </c>
      <c r="E370" s="17" t="s">
        <v>1375</v>
      </c>
      <c r="F370" s="3" t="s">
        <v>1317</v>
      </c>
      <c r="G370" s="314" t="s">
        <v>14</v>
      </c>
      <c r="H370" s="52">
        <v>45322</v>
      </c>
      <c r="I370" s="3">
        <v>1470</v>
      </c>
      <c r="J370" s="3" t="s">
        <v>58</v>
      </c>
      <c r="K370" s="432"/>
      <c r="L370" s="443"/>
      <c r="M370" s="432"/>
      <c r="N370" s="432"/>
      <c r="O370" s="33"/>
      <c r="P370" s="33"/>
      <c r="Q370" s="837" t="s">
        <v>1289</v>
      </c>
      <c r="R370" s="310" t="s">
        <v>63</v>
      </c>
      <c r="S370" s="16"/>
      <c r="T370" s="310" t="s">
        <v>63</v>
      </c>
      <c r="U370" s="16"/>
      <c r="V370" s="310" t="s">
        <v>63</v>
      </c>
      <c r="W370" s="310" t="s">
        <v>63</v>
      </c>
      <c r="X370" s="609" t="s">
        <v>1244</v>
      </c>
      <c r="Y370" s="310" t="s">
        <v>1652</v>
      </c>
      <c r="Z370" s="432"/>
      <c r="AA370" s="432"/>
      <c r="AB370" s="16"/>
      <c r="AC370" s="16"/>
      <c r="AD370" s="16" t="s">
        <v>1324</v>
      </c>
      <c r="AE370" s="16" t="s">
        <v>1850</v>
      </c>
      <c r="AF370" s="3" t="s">
        <v>1324</v>
      </c>
      <c r="AG370" s="52" t="s">
        <v>1463</v>
      </c>
      <c r="AH370" s="525" t="s">
        <v>63</v>
      </c>
      <c r="AI370" s="84">
        <v>45317</v>
      </c>
      <c r="AJ370" s="3" t="s">
        <v>1116</v>
      </c>
      <c r="AM370" s="84">
        <v>45392</v>
      </c>
      <c r="AN370" s="3"/>
    </row>
    <row r="371" spans="1:40" ht="15" x14ac:dyDescent="0.25">
      <c r="A371" s="996">
        <v>372</v>
      </c>
      <c r="B371" s="17">
        <v>39306</v>
      </c>
      <c r="C371" s="17" t="s">
        <v>54</v>
      </c>
      <c r="D371" s="3" t="s">
        <v>1875</v>
      </c>
      <c r="E371" s="17" t="s">
        <v>1375</v>
      </c>
      <c r="F371" s="3" t="s">
        <v>1317</v>
      </c>
      <c r="G371" s="314" t="s">
        <v>14</v>
      </c>
      <c r="H371" s="52">
        <v>45322</v>
      </c>
      <c r="I371" s="3">
        <v>1471</v>
      </c>
      <c r="J371" s="3" t="s">
        <v>58</v>
      </c>
      <c r="K371" s="432"/>
      <c r="L371" s="443"/>
      <c r="M371" s="432"/>
      <c r="N371" s="432"/>
      <c r="O371" s="33"/>
      <c r="P371" s="33"/>
      <c r="Q371" s="837" t="s">
        <v>1289</v>
      </c>
      <c r="R371" s="310" t="s">
        <v>63</v>
      </c>
      <c r="S371" s="16"/>
      <c r="T371" s="310" t="s">
        <v>63</v>
      </c>
      <c r="U371" s="16"/>
      <c r="V371" s="310" t="s">
        <v>63</v>
      </c>
      <c r="W371" s="310" t="s">
        <v>63</v>
      </c>
      <c r="X371" s="609" t="s">
        <v>1244</v>
      </c>
      <c r="Y371" s="310" t="s">
        <v>1652</v>
      </c>
      <c r="Z371" s="432"/>
      <c r="AA371" s="432"/>
      <c r="AB371" s="16"/>
      <c r="AC371" s="16"/>
      <c r="AD371" s="16" t="s">
        <v>1324</v>
      </c>
      <c r="AE371" s="16" t="s">
        <v>1850</v>
      </c>
      <c r="AF371" s="3" t="s">
        <v>1324</v>
      </c>
      <c r="AG371" s="52" t="s">
        <v>1463</v>
      </c>
      <c r="AH371" s="525" t="s">
        <v>63</v>
      </c>
      <c r="AI371" s="84">
        <v>45317</v>
      </c>
      <c r="AJ371" s="3" t="s">
        <v>1116</v>
      </c>
      <c r="AM371" s="84">
        <v>45392</v>
      </c>
      <c r="AN371" s="3"/>
    </row>
    <row r="372" spans="1:40" ht="15" x14ac:dyDescent="0.25">
      <c r="A372" s="996">
        <v>373</v>
      </c>
      <c r="B372" s="229">
        <v>30438</v>
      </c>
      <c r="C372" s="980" t="s">
        <v>64</v>
      </c>
      <c r="D372" s="981" t="s">
        <v>1876</v>
      </c>
      <c r="E372" s="780" t="s">
        <v>1288</v>
      </c>
      <c r="F372" s="781" t="s">
        <v>1114</v>
      </c>
      <c r="G372" s="781" t="s">
        <v>14</v>
      </c>
      <c r="H372" s="52">
        <v>45427</v>
      </c>
      <c r="I372" s="781">
        <v>1347</v>
      </c>
      <c r="J372" s="781" t="s">
        <v>58</v>
      </c>
      <c r="K372" s="784"/>
      <c r="L372" s="982"/>
      <c r="M372" s="784"/>
      <c r="N372" s="784"/>
      <c r="O372" s="785"/>
      <c r="P372" s="785"/>
      <c r="Q372" s="983" t="s">
        <v>1289</v>
      </c>
      <c r="R372" s="581" t="s">
        <v>63</v>
      </c>
      <c r="S372" s="786" t="s">
        <v>63</v>
      </c>
      <c r="T372" s="786" t="s">
        <v>63</v>
      </c>
      <c r="U372" s="786" t="s">
        <v>63</v>
      </c>
      <c r="V372" s="786" t="s">
        <v>63</v>
      </c>
      <c r="W372" s="984" t="s">
        <v>63</v>
      </c>
      <c r="X372" s="786" t="s">
        <v>1244</v>
      </c>
      <c r="Y372" s="310" t="s">
        <v>1652</v>
      </c>
      <c r="Z372" s="784"/>
      <c r="AA372" s="784"/>
      <c r="AB372" s="786"/>
      <c r="AC372" s="786"/>
      <c r="AD372" s="786" t="s">
        <v>63</v>
      </c>
      <c r="AE372" s="16" t="s">
        <v>1850</v>
      </c>
      <c r="AF372" s="3" t="s">
        <v>1324</v>
      </c>
      <c r="AG372" s="782">
        <v>45482</v>
      </c>
      <c r="AH372" s="1085">
        <v>45425</v>
      </c>
      <c r="AI372" s="782">
        <v>45427</v>
      </c>
      <c r="AJ372" s="781" t="s">
        <v>1116</v>
      </c>
      <c r="AK372" s="1086"/>
      <c r="AL372" s="782">
        <v>45659</v>
      </c>
      <c r="AM372" s="782">
        <v>45591</v>
      </c>
      <c r="AN372" s="3"/>
    </row>
    <row r="373" spans="1:40" ht="15" x14ac:dyDescent="0.25">
      <c r="A373" s="996">
        <v>374</v>
      </c>
      <c r="B373" s="229">
        <v>30438</v>
      </c>
      <c r="C373" s="944" t="s">
        <v>54</v>
      </c>
      <c r="D373" s="945" t="s">
        <v>1877</v>
      </c>
      <c r="E373" s="1013" t="s">
        <v>1288</v>
      </c>
      <c r="F373" s="134" t="s">
        <v>1114</v>
      </c>
      <c r="G373" s="134" t="s">
        <v>14</v>
      </c>
      <c r="H373" s="52">
        <v>45427</v>
      </c>
      <c r="I373" s="134">
        <v>1358</v>
      </c>
      <c r="J373" s="134" t="s">
        <v>58</v>
      </c>
      <c r="K373" s="439"/>
      <c r="L373" s="472"/>
      <c r="M373" s="439"/>
      <c r="N373" s="439"/>
      <c r="O373" s="138"/>
      <c r="P373" s="138"/>
      <c r="Q373" s="946" t="s">
        <v>1289</v>
      </c>
      <c r="R373" s="861" t="s">
        <v>63</v>
      </c>
      <c r="S373" s="137" t="s">
        <v>63</v>
      </c>
      <c r="T373" s="137" t="s">
        <v>63</v>
      </c>
      <c r="U373" s="137" t="s">
        <v>63</v>
      </c>
      <c r="V373" s="137" t="s">
        <v>63</v>
      </c>
      <c r="W373" s="861" t="s">
        <v>63</v>
      </c>
      <c r="X373" s="137" t="s">
        <v>1244</v>
      </c>
      <c r="Y373" s="310" t="s">
        <v>1652</v>
      </c>
      <c r="Z373" s="439"/>
      <c r="AA373" s="439"/>
      <c r="AB373" s="137"/>
      <c r="AC373" s="137"/>
      <c r="AD373" s="137" t="s">
        <v>63</v>
      </c>
      <c r="AE373" s="16" t="s">
        <v>1850</v>
      </c>
      <c r="AF373" s="3" t="s">
        <v>1324</v>
      </c>
      <c r="AG373" s="136">
        <v>45482</v>
      </c>
      <c r="AH373" s="995">
        <v>45425</v>
      </c>
      <c r="AI373" s="782">
        <v>45427</v>
      </c>
      <c r="AJ373" s="134" t="s">
        <v>1116</v>
      </c>
      <c r="AK373" s="947"/>
      <c r="AL373" s="782">
        <v>45659</v>
      </c>
      <c r="AM373" s="782">
        <v>45591</v>
      </c>
      <c r="AN373" s="3"/>
    </row>
    <row r="374" spans="1:40" ht="15" x14ac:dyDescent="0.25">
      <c r="A374" s="996">
        <v>375</v>
      </c>
      <c r="B374" s="229">
        <v>30435</v>
      </c>
      <c r="C374" s="575" t="s">
        <v>64</v>
      </c>
      <c r="D374" s="126" t="s">
        <v>1878</v>
      </c>
      <c r="E374" s="17" t="s">
        <v>1288</v>
      </c>
      <c r="F374" s="3" t="s">
        <v>1114</v>
      </c>
      <c r="G374" s="3" t="s">
        <v>14</v>
      </c>
      <c r="H374" s="782">
        <v>45443</v>
      </c>
      <c r="I374" s="3">
        <v>1355</v>
      </c>
      <c r="J374" s="3" t="s">
        <v>58</v>
      </c>
      <c r="K374" s="432"/>
      <c r="L374" s="443"/>
      <c r="M374" s="432"/>
      <c r="N374" s="432"/>
      <c r="O374" s="33"/>
      <c r="P374" s="33"/>
      <c r="Q374" s="310" t="s">
        <v>1289</v>
      </c>
      <c r="R374" s="310" t="s">
        <v>63</v>
      </c>
      <c r="S374" s="16" t="s">
        <v>63</v>
      </c>
      <c r="T374" s="16" t="s">
        <v>63</v>
      </c>
      <c r="U374" s="16" t="s">
        <v>63</v>
      </c>
      <c r="V374" s="16" t="s">
        <v>63</v>
      </c>
      <c r="W374" s="310" t="s">
        <v>63</v>
      </c>
      <c r="X374" s="137" t="s">
        <v>1244</v>
      </c>
      <c r="Y374" s="310" t="s">
        <v>1652</v>
      </c>
      <c r="Z374" s="432"/>
      <c r="AA374" s="432"/>
      <c r="AB374" s="16"/>
      <c r="AC374" s="16"/>
      <c r="AD374" s="16" t="s">
        <v>63</v>
      </c>
      <c r="AE374" s="16" t="s">
        <v>1850</v>
      </c>
      <c r="AF374" s="3" t="s">
        <v>1324</v>
      </c>
      <c r="AG374" s="52">
        <v>45510</v>
      </c>
      <c r="AH374" s="535">
        <v>45447</v>
      </c>
      <c r="AI374" s="52">
        <v>45443</v>
      </c>
      <c r="AJ374" s="3" t="s">
        <v>1116</v>
      </c>
      <c r="AM374" s="52">
        <v>45684</v>
      </c>
      <c r="AN374" s="3"/>
    </row>
    <row r="375" spans="1:40" ht="15" x14ac:dyDescent="0.25">
      <c r="A375" s="996">
        <v>376</v>
      </c>
      <c r="B375" s="229">
        <v>30435</v>
      </c>
      <c r="C375" s="575" t="s">
        <v>54</v>
      </c>
      <c r="D375" s="126" t="s">
        <v>1879</v>
      </c>
      <c r="E375" s="17" t="s">
        <v>1288</v>
      </c>
      <c r="F375" s="3" t="s">
        <v>1114</v>
      </c>
      <c r="G375" s="3" t="s">
        <v>14</v>
      </c>
      <c r="H375" s="782">
        <v>45443</v>
      </c>
      <c r="I375" s="3">
        <v>1349</v>
      </c>
      <c r="J375" s="3" t="s">
        <v>58</v>
      </c>
      <c r="K375" s="432"/>
      <c r="L375" s="443"/>
      <c r="M375" s="432"/>
      <c r="N375" s="432"/>
      <c r="O375" s="33"/>
      <c r="P375" s="33"/>
      <c r="Q375" s="310" t="s">
        <v>1289</v>
      </c>
      <c r="R375" s="310" t="s">
        <v>63</v>
      </c>
      <c r="S375" s="16" t="s">
        <v>63</v>
      </c>
      <c r="T375" s="16" t="s">
        <v>63</v>
      </c>
      <c r="U375" s="16" t="s">
        <v>63</v>
      </c>
      <c r="V375" s="16" t="s">
        <v>63</v>
      </c>
      <c r="W375" s="310" t="s">
        <v>63</v>
      </c>
      <c r="X375" s="137" t="s">
        <v>1244</v>
      </c>
      <c r="Y375" s="310" t="s">
        <v>1652</v>
      </c>
      <c r="Z375" s="432"/>
      <c r="AA375" s="432"/>
      <c r="AB375" s="16"/>
      <c r="AC375" s="16"/>
      <c r="AD375" s="16" t="s">
        <v>63</v>
      </c>
      <c r="AE375" s="16" t="s">
        <v>1850</v>
      </c>
      <c r="AF375" s="3" t="s">
        <v>1324</v>
      </c>
      <c r="AG375" s="52">
        <v>45510</v>
      </c>
      <c r="AH375" s="535">
        <v>45447</v>
      </c>
      <c r="AI375" s="52">
        <v>45443</v>
      </c>
      <c r="AJ375" s="3" t="s">
        <v>1116</v>
      </c>
      <c r="AM375" s="52">
        <v>45684</v>
      </c>
      <c r="AN375" s="3"/>
    </row>
    <row r="376" spans="1:40" ht="15" x14ac:dyDescent="0.3">
      <c r="A376" s="996">
        <v>377</v>
      </c>
      <c r="B376" s="263">
        <v>37717</v>
      </c>
      <c r="C376" s="899" t="s">
        <v>64</v>
      </c>
      <c r="D376" s="1087" t="s">
        <v>1880</v>
      </c>
      <c r="E376" s="263" t="s">
        <v>1881</v>
      </c>
      <c r="F376" s="239" t="s">
        <v>1882</v>
      </c>
      <c r="G376" s="239" t="s">
        <v>14</v>
      </c>
      <c r="H376" s="269">
        <v>45486</v>
      </c>
      <c r="I376" s="239">
        <v>1584</v>
      </c>
      <c r="J376" s="239" t="s">
        <v>58</v>
      </c>
      <c r="K376" s="462"/>
      <c r="L376" s="776"/>
      <c r="M376" s="462"/>
      <c r="N376" s="462"/>
      <c r="O376" s="900"/>
      <c r="P376" s="900"/>
      <c r="Q376" s="581" t="s">
        <v>1289</v>
      </c>
      <c r="R376" s="581" t="s">
        <v>63</v>
      </c>
      <c r="S376" s="241" t="s">
        <v>63</v>
      </c>
      <c r="T376" s="241" t="s">
        <v>63</v>
      </c>
      <c r="U376" s="241" t="s">
        <v>63</v>
      </c>
      <c r="V376" s="241" t="s">
        <v>63</v>
      </c>
      <c r="W376" s="581" t="s">
        <v>63</v>
      </c>
      <c r="X376" s="609" t="s">
        <v>1244</v>
      </c>
      <c r="Y376" s="310" t="s">
        <v>1652</v>
      </c>
      <c r="Z376" s="462"/>
      <c r="AA376" s="462"/>
      <c r="AB376" s="241"/>
      <c r="AC376" s="241"/>
      <c r="AD376" s="584" t="s">
        <v>1324</v>
      </c>
      <c r="AE376" s="16" t="s">
        <v>1850</v>
      </c>
      <c r="AF376" s="3" t="s">
        <v>1324</v>
      </c>
      <c r="AG376" s="644">
        <v>45486</v>
      </c>
      <c r="AH376" s="644">
        <v>45486</v>
      </c>
      <c r="AI376" s="781" t="s">
        <v>1883</v>
      </c>
      <c r="AJ376" s="239" t="s">
        <v>1116</v>
      </c>
      <c r="AK376" s="649"/>
      <c r="AL376" s="649"/>
      <c r="AM376" s="239" t="s">
        <v>1884</v>
      </c>
      <c r="AN376" s="3"/>
    </row>
    <row r="377" spans="1:40" ht="15" x14ac:dyDescent="0.3">
      <c r="A377" s="996">
        <v>378</v>
      </c>
      <c r="B377" s="17">
        <v>37717</v>
      </c>
      <c r="C377" s="575" t="s">
        <v>54</v>
      </c>
      <c r="D377" s="943" t="s">
        <v>1885</v>
      </c>
      <c r="E377" s="17" t="s">
        <v>1881</v>
      </c>
      <c r="F377" s="3" t="s">
        <v>1882</v>
      </c>
      <c r="G377" s="3" t="s">
        <v>14</v>
      </c>
      <c r="H377" s="52">
        <v>45486</v>
      </c>
      <c r="I377" s="3">
        <v>1585</v>
      </c>
      <c r="J377" s="3" t="s">
        <v>58</v>
      </c>
      <c r="K377" s="432"/>
      <c r="L377" s="443"/>
      <c r="M377" s="432"/>
      <c r="N377" s="432"/>
      <c r="O377" s="33"/>
      <c r="P377" s="33"/>
      <c r="Q377" s="310" t="s">
        <v>1289</v>
      </c>
      <c r="R377" s="310" t="s">
        <v>63</v>
      </c>
      <c r="S377" s="16" t="s">
        <v>63</v>
      </c>
      <c r="T377" s="16" t="s">
        <v>63</v>
      </c>
      <c r="U377" s="16" t="s">
        <v>63</v>
      </c>
      <c r="V377" s="16" t="s">
        <v>63</v>
      </c>
      <c r="W377" s="310" t="s">
        <v>63</v>
      </c>
      <c r="X377" s="609" t="s">
        <v>1244</v>
      </c>
      <c r="Y377" s="310" t="s">
        <v>1652</v>
      </c>
      <c r="Z377" s="432"/>
      <c r="AA377" s="432"/>
      <c r="AB377" s="16"/>
      <c r="AC377" s="16"/>
      <c r="AD377" s="343" t="s">
        <v>1324</v>
      </c>
      <c r="AE377" s="16" t="s">
        <v>1850</v>
      </c>
      <c r="AF377" s="3" t="s">
        <v>1324</v>
      </c>
      <c r="AG377" s="84">
        <v>45486</v>
      </c>
      <c r="AH377" s="84">
        <v>45486</v>
      </c>
      <c r="AI377" s="103" t="s">
        <v>1883</v>
      </c>
      <c r="AJ377" s="3" t="s">
        <v>1116</v>
      </c>
      <c r="AM377" s="3" t="s">
        <v>1884</v>
      </c>
      <c r="AN377" s="3"/>
    </row>
    <row r="378" spans="1:40" ht="15.6" x14ac:dyDescent="0.25">
      <c r="A378" s="996">
        <v>379</v>
      </c>
      <c r="B378" s="55">
        <v>39300</v>
      </c>
      <c r="C378" s="575" t="s">
        <v>64</v>
      </c>
      <c r="D378" s="3" t="s">
        <v>1886</v>
      </c>
      <c r="E378" s="55" t="s">
        <v>1484</v>
      </c>
      <c r="F378" s="3" t="s">
        <v>1317</v>
      </c>
      <c r="G378" s="3" t="s">
        <v>14</v>
      </c>
      <c r="H378" s="52">
        <v>45309</v>
      </c>
      <c r="I378" s="3">
        <v>1436</v>
      </c>
      <c r="J378" s="3" t="s">
        <v>58</v>
      </c>
      <c r="K378" s="432"/>
      <c r="L378" s="443"/>
      <c r="M378" s="432"/>
      <c r="N378" s="432"/>
      <c r="O378" s="33"/>
      <c r="P378" s="33"/>
      <c r="Q378" s="837" t="s">
        <v>1289</v>
      </c>
      <c r="R378" s="310" t="s">
        <v>63</v>
      </c>
      <c r="S378" s="16" t="s">
        <v>63</v>
      </c>
      <c r="T378" s="16" t="s">
        <v>63</v>
      </c>
      <c r="U378" s="16" t="s">
        <v>63</v>
      </c>
      <c r="V378" s="349" t="s">
        <v>63</v>
      </c>
      <c r="W378" s="310" t="s">
        <v>63</v>
      </c>
      <c r="X378" s="16" t="s">
        <v>1244</v>
      </c>
      <c r="Y378" s="310" t="s">
        <v>1652</v>
      </c>
      <c r="Z378" s="432"/>
      <c r="AA378" s="432"/>
      <c r="AB378" s="16"/>
      <c r="AC378" s="16"/>
      <c r="AD378" s="343" t="s">
        <v>1324</v>
      </c>
      <c r="AE378" s="16" t="s">
        <v>1850</v>
      </c>
      <c r="AF378" s="3" t="s">
        <v>1324</v>
      </c>
      <c r="AG378" s="239" t="s">
        <v>1745</v>
      </c>
      <c r="AH378" s="84">
        <v>45486</v>
      </c>
      <c r="AI378" s="103" t="s">
        <v>1745</v>
      </c>
      <c r="AJ378" s="239" t="s">
        <v>1116</v>
      </c>
      <c r="AK378" s="649"/>
      <c r="AL378" s="649"/>
      <c r="AM378" s="1174"/>
      <c r="AN378" s="3"/>
    </row>
    <row r="379" spans="1:40" ht="15" x14ac:dyDescent="0.25">
      <c r="A379" s="996">
        <v>380</v>
      </c>
      <c r="B379" s="55">
        <v>39300</v>
      </c>
      <c r="C379" s="575" t="s">
        <v>54</v>
      </c>
      <c r="D379" s="3" t="s">
        <v>1887</v>
      </c>
      <c r="E379" s="55" t="s">
        <v>1484</v>
      </c>
      <c r="F379" s="3" t="s">
        <v>1317</v>
      </c>
      <c r="G379" s="3" t="s">
        <v>14</v>
      </c>
      <c r="H379" s="52">
        <v>45309</v>
      </c>
      <c r="I379" s="3">
        <v>1443</v>
      </c>
      <c r="J379" s="3" t="s">
        <v>58</v>
      </c>
      <c r="K379" s="432"/>
      <c r="L379" s="443"/>
      <c r="M379" s="432"/>
      <c r="N379" s="432"/>
      <c r="O379" s="33"/>
      <c r="P379" s="33"/>
      <c r="Q379" s="837" t="s">
        <v>1289</v>
      </c>
      <c r="R379" s="310" t="s">
        <v>63</v>
      </c>
      <c r="S379" s="16" t="s">
        <v>63</v>
      </c>
      <c r="T379" s="16" t="s">
        <v>63</v>
      </c>
      <c r="U379" s="16" t="s">
        <v>63</v>
      </c>
      <c r="V379" s="16" t="s">
        <v>63</v>
      </c>
      <c r="W379" s="16" t="s">
        <v>63</v>
      </c>
      <c r="X379" s="16" t="s">
        <v>1244</v>
      </c>
      <c r="Y379" s="310" t="s">
        <v>1652</v>
      </c>
      <c r="Z379" s="432"/>
      <c r="AA379" s="432"/>
      <c r="AB379" s="16"/>
      <c r="AC379" s="16"/>
      <c r="AD379" s="343" t="s">
        <v>1324</v>
      </c>
      <c r="AE379" s="16" t="s">
        <v>1850</v>
      </c>
      <c r="AF379" s="3" t="s">
        <v>1324</v>
      </c>
      <c r="AG379" s="3" t="s">
        <v>1745</v>
      </c>
      <c r="AH379" s="84">
        <v>45486</v>
      </c>
      <c r="AI379" s="3" t="s">
        <v>1745</v>
      </c>
      <c r="AJ379" s="3" t="s">
        <v>1116</v>
      </c>
      <c r="AM379" s="1150"/>
      <c r="AN379" s="3"/>
    </row>
    <row r="380" spans="1:40" ht="21" customHeight="1" x14ac:dyDescent="0.25">
      <c r="A380" s="996">
        <v>381</v>
      </c>
      <c r="B380" s="20">
        <v>37299</v>
      </c>
      <c r="C380" s="27" t="s">
        <v>64</v>
      </c>
      <c r="D380" s="12" t="s">
        <v>1888</v>
      </c>
      <c r="E380" s="345" t="s">
        <v>1739</v>
      </c>
      <c r="F380" s="29" t="s">
        <v>1889</v>
      </c>
      <c r="G380" s="3" t="s">
        <v>14</v>
      </c>
      <c r="H380" s="19">
        <v>43808</v>
      </c>
      <c r="I380" s="3">
        <v>593</v>
      </c>
      <c r="J380" s="3" t="s">
        <v>58</v>
      </c>
      <c r="K380" s="429" t="s">
        <v>59</v>
      </c>
      <c r="L380" s="450">
        <v>44061</v>
      </c>
      <c r="M380" s="433" t="s">
        <v>722</v>
      </c>
      <c r="N380" s="450" t="s">
        <v>294</v>
      </c>
      <c r="O380" s="48">
        <v>45421</v>
      </c>
      <c r="P380" s="48"/>
      <c r="Q380" s="16" t="s">
        <v>75</v>
      </c>
      <c r="R380" s="16" t="s">
        <v>75</v>
      </c>
      <c r="S380" s="32" t="s">
        <v>68</v>
      </c>
      <c r="T380" s="32" t="s">
        <v>68</v>
      </c>
      <c r="U380" s="32" t="s">
        <v>68</v>
      </c>
      <c r="V380" s="349" t="s">
        <v>63</v>
      </c>
      <c r="W380" s="310" t="s">
        <v>63</v>
      </c>
      <c r="X380" s="609" t="s">
        <v>1244</v>
      </c>
      <c r="Y380" s="310" t="s">
        <v>1652</v>
      </c>
      <c r="Z380" s="558"/>
      <c r="AA380" s="558"/>
      <c r="AB380" s="16"/>
      <c r="AC380" s="16"/>
      <c r="AD380" s="140" t="s">
        <v>68</v>
      </c>
      <c r="AE380" s="58"/>
      <c r="AF380" s="283" t="s">
        <v>68</v>
      </c>
      <c r="AG380" s="3" t="s">
        <v>1890</v>
      </c>
      <c r="AH380" s="52">
        <v>45563</v>
      </c>
      <c r="AI380" s="52">
        <v>45421</v>
      </c>
      <c r="AJ380" s="3" t="s">
        <v>63</v>
      </c>
      <c r="AK380" s="52">
        <v>45481</v>
      </c>
      <c r="AL380" s="52">
        <v>45421</v>
      </c>
      <c r="AM380" s="3" t="s">
        <v>1890</v>
      </c>
      <c r="AN380" s="52">
        <v>45749</v>
      </c>
    </row>
    <row r="381" spans="1:40" ht="22.35" customHeight="1" x14ac:dyDescent="0.25">
      <c r="A381" s="996">
        <v>382</v>
      </c>
      <c r="B381" s="20">
        <v>37299</v>
      </c>
      <c r="C381" s="27" t="s">
        <v>54</v>
      </c>
      <c r="D381" s="12" t="s">
        <v>1891</v>
      </c>
      <c r="E381" s="345" t="s">
        <v>1739</v>
      </c>
      <c r="F381" s="29" t="s">
        <v>1889</v>
      </c>
      <c r="G381" s="3" t="s">
        <v>14</v>
      </c>
      <c r="H381" s="19">
        <v>43808</v>
      </c>
      <c r="I381" s="3">
        <v>576</v>
      </c>
      <c r="J381" s="3" t="s">
        <v>58</v>
      </c>
      <c r="K381" s="429" t="s">
        <v>59</v>
      </c>
      <c r="L381" s="450">
        <v>44061</v>
      </c>
      <c r="M381" s="433" t="s">
        <v>722</v>
      </c>
      <c r="N381" s="450" t="s">
        <v>294</v>
      </c>
      <c r="O381" s="48">
        <v>45421</v>
      </c>
      <c r="P381" s="48"/>
      <c r="Q381" s="16" t="s">
        <v>75</v>
      </c>
      <c r="R381" s="16" t="s">
        <v>75</v>
      </c>
      <c r="S381" s="32" t="s">
        <v>62</v>
      </c>
      <c r="T381" s="32" t="s">
        <v>62</v>
      </c>
      <c r="U381" s="32" t="s">
        <v>62</v>
      </c>
      <c r="V381" s="349" t="s">
        <v>63</v>
      </c>
      <c r="W381" s="310" t="s">
        <v>63</v>
      </c>
      <c r="X381" s="609" t="s">
        <v>1244</v>
      </c>
      <c r="Y381" s="310" t="s">
        <v>1652</v>
      </c>
      <c r="Z381" s="558"/>
      <c r="AA381" s="558"/>
      <c r="AB381" s="16"/>
      <c r="AC381" s="16"/>
      <c r="AD381" s="140" t="s">
        <v>62</v>
      </c>
      <c r="AE381" s="58"/>
      <c r="AF381" s="283" t="s">
        <v>62</v>
      </c>
      <c r="AG381" s="3" t="s">
        <v>1890</v>
      </c>
      <c r="AH381" s="52">
        <v>45563</v>
      </c>
      <c r="AI381" s="52">
        <v>45421</v>
      </c>
      <c r="AJ381" s="3" t="s">
        <v>63</v>
      </c>
      <c r="AK381" s="52">
        <v>45481</v>
      </c>
      <c r="AL381" s="52">
        <v>45421</v>
      </c>
      <c r="AM381" s="3" t="s">
        <v>1890</v>
      </c>
      <c r="AN381" s="52"/>
    </row>
    <row r="382" spans="1:40" ht="32.85" customHeight="1" x14ac:dyDescent="0.25">
      <c r="A382" s="996">
        <v>383</v>
      </c>
      <c r="B382" s="20">
        <v>37300</v>
      </c>
      <c r="C382" s="27" t="s">
        <v>64</v>
      </c>
      <c r="D382" s="12" t="s">
        <v>1892</v>
      </c>
      <c r="E382" s="345" t="s">
        <v>1739</v>
      </c>
      <c r="F382" s="29" t="s">
        <v>1889</v>
      </c>
      <c r="G382" s="3" t="s">
        <v>14</v>
      </c>
      <c r="H382" s="19">
        <v>43815</v>
      </c>
      <c r="I382" s="3">
        <v>592</v>
      </c>
      <c r="J382" s="3" t="s">
        <v>58</v>
      </c>
      <c r="K382" s="429" t="s">
        <v>59</v>
      </c>
      <c r="L382" s="450">
        <v>44081</v>
      </c>
      <c r="M382" s="433" t="s">
        <v>722</v>
      </c>
      <c r="N382" s="450" t="s">
        <v>294</v>
      </c>
      <c r="O382" s="48">
        <v>45301</v>
      </c>
      <c r="P382" s="48"/>
      <c r="Q382" s="16" t="s">
        <v>75</v>
      </c>
      <c r="R382" s="16" t="s">
        <v>75</v>
      </c>
      <c r="S382" s="32" t="s">
        <v>68</v>
      </c>
      <c r="T382" s="32" t="s">
        <v>68</v>
      </c>
      <c r="U382" s="32" t="s">
        <v>68</v>
      </c>
      <c r="V382" s="349" t="s">
        <v>63</v>
      </c>
      <c r="W382" s="32" t="s">
        <v>68</v>
      </c>
      <c r="X382" s="32" t="s">
        <v>68</v>
      </c>
      <c r="Y382" s="310" t="s">
        <v>1652</v>
      </c>
      <c r="Z382" s="558"/>
      <c r="AA382" s="558"/>
      <c r="AB382" s="16"/>
      <c r="AC382" s="16"/>
      <c r="AD382" s="140" t="s">
        <v>68</v>
      </c>
      <c r="AE382" s="58"/>
      <c r="AF382" s="283" t="s">
        <v>68</v>
      </c>
      <c r="AG382" s="3" t="s">
        <v>1736</v>
      </c>
      <c r="AH382" s="283" t="s">
        <v>68</v>
      </c>
      <c r="AI382" s="18" t="s">
        <v>847</v>
      </c>
      <c r="AJ382" s="283" t="s">
        <v>68</v>
      </c>
      <c r="AK382" s="52">
        <v>45471</v>
      </c>
      <c r="AL382" s="52">
        <v>45301</v>
      </c>
      <c r="AM382" s="3" t="s">
        <v>1736</v>
      </c>
      <c r="AN382" s="3"/>
    </row>
    <row r="383" spans="1:40" ht="36.6" customHeight="1" x14ac:dyDescent="0.25">
      <c r="A383" s="996">
        <v>384</v>
      </c>
      <c r="B383" s="20">
        <v>37300</v>
      </c>
      <c r="C383" s="27" t="s">
        <v>54</v>
      </c>
      <c r="D383" s="12" t="s">
        <v>1893</v>
      </c>
      <c r="E383" s="345" t="s">
        <v>1739</v>
      </c>
      <c r="F383" s="29" t="s">
        <v>1889</v>
      </c>
      <c r="G383" s="3" t="s">
        <v>14</v>
      </c>
      <c r="H383" s="19">
        <v>43815</v>
      </c>
      <c r="I383" s="3">
        <v>575</v>
      </c>
      <c r="J383" s="3" t="s">
        <v>58</v>
      </c>
      <c r="K383" s="429" t="s">
        <v>59</v>
      </c>
      <c r="L383" s="450">
        <v>44081</v>
      </c>
      <c r="M383" s="433" t="s">
        <v>722</v>
      </c>
      <c r="N383" s="450" t="s">
        <v>294</v>
      </c>
      <c r="O383" s="48">
        <v>45301</v>
      </c>
      <c r="P383" s="48"/>
      <c r="Q383" s="16" t="s">
        <v>75</v>
      </c>
      <c r="R383" s="16" t="s">
        <v>75</v>
      </c>
      <c r="S383" s="32" t="s">
        <v>62</v>
      </c>
      <c r="T383" s="32" t="s">
        <v>62</v>
      </c>
      <c r="U383" s="32" t="s">
        <v>62</v>
      </c>
      <c r="V383" s="349" t="s">
        <v>63</v>
      </c>
      <c r="W383" s="32" t="s">
        <v>62</v>
      </c>
      <c r="X383" s="32" t="s">
        <v>62</v>
      </c>
      <c r="Y383" s="310" t="s">
        <v>1652</v>
      </c>
      <c r="Z383" s="558"/>
      <c r="AA383" s="558"/>
      <c r="AB383" s="16"/>
      <c r="AC383" s="16"/>
      <c r="AD383" s="140" t="s">
        <v>62</v>
      </c>
      <c r="AE383" s="58"/>
      <c r="AF383" s="283" t="s">
        <v>62</v>
      </c>
      <c r="AG383" s="3" t="s">
        <v>1736</v>
      </c>
      <c r="AH383" s="283" t="s">
        <v>62</v>
      </c>
      <c r="AI383" s="18" t="s">
        <v>847</v>
      </c>
      <c r="AJ383" s="283" t="s">
        <v>62</v>
      </c>
      <c r="AK383" s="52">
        <v>45471</v>
      </c>
      <c r="AL383" s="52">
        <v>45301</v>
      </c>
      <c r="AM383" s="3" t="s">
        <v>1736</v>
      </c>
      <c r="AN383" s="3"/>
    </row>
    <row r="384" spans="1:40" ht="41.85" customHeight="1" x14ac:dyDescent="0.25">
      <c r="A384" s="996">
        <v>385</v>
      </c>
      <c r="B384" s="20">
        <v>37314</v>
      </c>
      <c r="C384" s="27" t="s">
        <v>64</v>
      </c>
      <c r="D384" s="12" t="s">
        <v>1894</v>
      </c>
      <c r="E384" s="345" t="s">
        <v>1739</v>
      </c>
      <c r="F384" s="29" t="s">
        <v>1889</v>
      </c>
      <c r="G384" s="3" t="s">
        <v>14</v>
      </c>
      <c r="H384" s="19">
        <v>43846</v>
      </c>
      <c r="I384" s="3">
        <v>727</v>
      </c>
      <c r="J384" s="3" t="s">
        <v>58</v>
      </c>
      <c r="K384" s="429" t="s">
        <v>59</v>
      </c>
      <c r="L384" s="450">
        <v>44068</v>
      </c>
      <c r="M384" s="433" t="s">
        <v>722</v>
      </c>
      <c r="N384" s="450" t="s">
        <v>294</v>
      </c>
      <c r="O384" s="48">
        <v>45568</v>
      </c>
      <c r="P384" s="48"/>
      <c r="Q384" s="16" t="s">
        <v>75</v>
      </c>
      <c r="R384" s="16" t="s">
        <v>75</v>
      </c>
      <c r="S384" s="32" t="s">
        <v>68</v>
      </c>
      <c r="T384" s="32" t="s">
        <v>68</v>
      </c>
      <c r="U384" s="32" t="s">
        <v>68</v>
      </c>
      <c r="V384" s="349" t="s">
        <v>63</v>
      </c>
      <c r="W384" s="32" t="s">
        <v>68</v>
      </c>
      <c r="X384" s="609" t="s">
        <v>1244</v>
      </c>
      <c r="Y384" s="310" t="s">
        <v>1652</v>
      </c>
      <c r="Z384" s="558"/>
      <c r="AA384" s="558"/>
      <c r="AB384" s="16"/>
      <c r="AC384" s="16"/>
      <c r="AD384" s="140" t="s">
        <v>68</v>
      </c>
      <c r="AE384" s="140" t="s">
        <v>68</v>
      </c>
      <c r="AF384" s="3" t="s">
        <v>68</v>
      </c>
      <c r="AG384" s="52">
        <v>45568</v>
      </c>
      <c r="AH384" s="52">
        <v>45596</v>
      </c>
      <c r="AI384" s="1112" t="s">
        <v>1895</v>
      </c>
      <c r="AJ384" s="52" t="s">
        <v>68</v>
      </c>
      <c r="AK384" s="52">
        <v>45493</v>
      </c>
      <c r="AL384" s="52" t="s">
        <v>68</v>
      </c>
      <c r="AM384" s="52">
        <v>45568</v>
      </c>
      <c r="AN384" s="3"/>
    </row>
    <row r="385" spans="1:45" ht="32.1" customHeight="1" x14ac:dyDescent="0.25">
      <c r="A385" s="996">
        <v>386</v>
      </c>
      <c r="B385" s="20">
        <v>37314</v>
      </c>
      <c r="C385" s="27" t="s">
        <v>54</v>
      </c>
      <c r="D385" s="12" t="s">
        <v>1896</v>
      </c>
      <c r="E385" s="345" t="s">
        <v>1739</v>
      </c>
      <c r="F385" s="29" t="s">
        <v>1889</v>
      </c>
      <c r="G385" s="3" t="s">
        <v>14</v>
      </c>
      <c r="H385" s="19">
        <v>43846</v>
      </c>
      <c r="I385" s="3">
        <v>726</v>
      </c>
      <c r="J385" s="3" t="s">
        <v>58</v>
      </c>
      <c r="K385" s="429" t="s">
        <v>59</v>
      </c>
      <c r="L385" s="450">
        <v>44068</v>
      </c>
      <c r="M385" s="433" t="s">
        <v>722</v>
      </c>
      <c r="N385" s="450" t="s">
        <v>294</v>
      </c>
      <c r="O385" s="48">
        <v>45568</v>
      </c>
      <c r="P385" s="48"/>
      <c r="Q385" s="16" t="s">
        <v>75</v>
      </c>
      <c r="R385" s="16" t="s">
        <v>75</v>
      </c>
      <c r="S385" s="32" t="s">
        <v>62</v>
      </c>
      <c r="T385" s="32" t="s">
        <v>62</v>
      </c>
      <c r="U385" s="32" t="s">
        <v>62</v>
      </c>
      <c r="V385" s="349" t="s">
        <v>63</v>
      </c>
      <c r="W385" s="32" t="s">
        <v>62</v>
      </c>
      <c r="X385" s="609" t="s">
        <v>1244</v>
      </c>
      <c r="Y385" s="310" t="s">
        <v>1652</v>
      </c>
      <c r="Z385" s="558"/>
      <c r="AA385" s="558"/>
      <c r="AB385" s="16"/>
      <c r="AC385" s="16"/>
      <c r="AD385" s="140" t="s">
        <v>62</v>
      </c>
      <c r="AE385" s="140" t="s">
        <v>62</v>
      </c>
      <c r="AF385" s="3" t="s">
        <v>62</v>
      </c>
      <c r="AG385" s="52">
        <v>45568</v>
      </c>
      <c r="AH385" s="52">
        <v>45596</v>
      </c>
      <c r="AI385" s="1112" t="s">
        <v>1895</v>
      </c>
      <c r="AJ385" s="52" t="s">
        <v>62</v>
      </c>
      <c r="AK385" s="52">
        <v>45493</v>
      </c>
      <c r="AL385" s="52" t="s">
        <v>62</v>
      </c>
      <c r="AM385" s="52">
        <v>45568</v>
      </c>
      <c r="AN385" s="3"/>
    </row>
    <row r="386" spans="1:45" x14ac:dyDescent="0.25">
      <c r="A386" s="3">
        <v>387</v>
      </c>
      <c r="B386" s="55">
        <v>39400</v>
      </c>
      <c r="C386" s="575" t="s">
        <v>64</v>
      </c>
      <c r="D386" s="3" t="s">
        <v>1897</v>
      </c>
      <c r="E386" s="335" t="s">
        <v>1665</v>
      </c>
      <c r="F386" s="3" t="s">
        <v>1243</v>
      </c>
      <c r="G386" s="3" t="s">
        <v>14</v>
      </c>
      <c r="H386" s="52">
        <v>45580</v>
      </c>
      <c r="I386" s="3">
        <v>1603</v>
      </c>
      <c r="J386" s="3" t="s">
        <v>58</v>
      </c>
      <c r="K386" s="432"/>
      <c r="L386" s="443"/>
      <c r="M386" s="432">
        <f ca="1">M386</f>
        <v>0</v>
      </c>
      <c r="N386" s="432"/>
      <c r="O386" s="33"/>
      <c r="P386" s="33"/>
      <c r="Q386" s="16" t="s">
        <v>75</v>
      </c>
      <c r="R386" s="16" t="s">
        <v>75</v>
      </c>
      <c r="S386" s="32" t="s">
        <v>68</v>
      </c>
      <c r="T386" s="16" t="s">
        <v>63</v>
      </c>
      <c r="U386" s="16" t="s">
        <v>63</v>
      </c>
      <c r="V386" s="16" t="s">
        <v>63</v>
      </c>
      <c r="W386" s="16" t="s">
        <v>63</v>
      </c>
      <c r="X386" s="609" t="s">
        <v>1244</v>
      </c>
      <c r="Y386" s="310" t="s">
        <v>1652</v>
      </c>
      <c r="Z386" s="432"/>
      <c r="AA386" s="432"/>
      <c r="AB386" s="16"/>
      <c r="AC386" s="16"/>
      <c r="AD386" s="16" t="s">
        <v>63</v>
      </c>
      <c r="AE386" s="16" t="s">
        <v>1850</v>
      </c>
      <c r="AF386" s="16" t="s">
        <v>63</v>
      </c>
      <c r="AG386" s="3" t="s">
        <v>1898</v>
      </c>
      <c r="AH386" s="3" t="s">
        <v>1898</v>
      </c>
      <c r="AI386" s="3" t="s">
        <v>63</v>
      </c>
      <c r="AJ386" s="3" t="s">
        <v>1116</v>
      </c>
      <c r="AM386" s="3" t="s">
        <v>1865</v>
      </c>
      <c r="AN386" s="3"/>
    </row>
    <row r="387" spans="1:45" x14ac:dyDescent="0.25">
      <c r="A387" s="3">
        <v>388</v>
      </c>
      <c r="B387" s="55">
        <v>39400</v>
      </c>
      <c r="C387" s="575" t="s">
        <v>54</v>
      </c>
      <c r="D387" s="3" t="s">
        <v>1899</v>
      </c>
      <c r="E387" s="335" t="s">
        <v>1665</v>
      </c>
      <c r="F387" s="3" t="s">
        <v>1243</v>
      </c>
      <c r="G387" s="3" t="s">
        <v>14</v>
      </c>
      <c r="H387" s="52">
        <v>45580</v>
      </c>
      <c r="I387" s="3">
        <v>1602</v>
      </c>
      <c r="J387" s="3" t="s">
        <v>58</v>
      </c>
      <c r="K387" s="432"/>
      <c r="L387" s="443"/>
      <c r="M387" s="432"/>
      <c r="N387" s="432"/>
      <c r="O387" s="33"/>
      <c r="P387" s="33"/>
      <c r="Q387" s="16" t="s">
        <v>75</v>
      </c>
      <c r="R387" s="16" t="s">
        <v>75</v>
      </c>
      <c r="S387" s="32" t="s">
        <v>62</v>
      </c>
      <c r="T387" s="16" t="s">
        <v>63</v>
      </c>
      <c r="U387" s="16" t="s">
        <v>63</v>
      </c>
      <c r="V387" s="16" t="s">
        <v>63</v>
      </c>
      <c r="W387" s="16" t="s">
        <v>63</v>
      </c>
      <c r="X387" s="609" t="s">
        <v>1244</v>
      </c>
      <c r="Y387" s="310" t="s">
        <v>1652</v>
      </c>
      <c r="Z387" s="432"/>
      <c r="AA387" s="432"/>
      <c r="AB387" s="16"/>
      <c r="AC387" s="16"/>
      <c r="AD387" s="16" t="s">
        <v>63</v>
      </c>
      <c r="AE387" s="16" t="s">
        <v>1850</v>
      </c>
      <c r="AF387" s="16" t="s">
        <v>63</v>
      </c>
      <c r="AG387" s="3" t="s">
        <v>1898</v>
      </c>
      <c r="AH387" s="3" t="s">
        <v>1898</v>
      </c>
      <c r="AI387" s="3" t="s">
        <v>63</v>
      </c>
      <c r="AJ387" s="3" t="s">
        <v>1116</v>
      </c>
      <c r="AM387" s="3" t="s">
        <v>1865</v>
      </c>
      <c r="AN387" s="3"/>
    </row>
    <row r="388" spans="1:45" x14ac:dyDescent="0.25">
      <c r="A388" s="3">
        <v>389</v>
      </c>
      <c r="B388" s="55">
        <v>30321</v>
      </c>
      <c r="C388" s="575" t="s">
        <v>64</v>
      </c>
      <c r="D388" s="3" t="s">
        <v>1900</v>
      </c>
      <c r="E388" s="343" t="s">
        <v>1500</v>
      </c>
      <c r="F388" s="3" t="s">
        <v>1102</v>
      </c>
      <c r="G388" s="3" t="s">
        <v>14</v>
      </c>
      <c r="H388" s="52">
        <v>45707</v>
      </c>
      <c r="I388" s="3">
        <v>1657</v>
      </c>
      <c r="J388" s="3" t="s">
        <v>58</v>
      </c>
      <c r="K388" s="432"/>
      <c r="L388" s="443"/>
      <c r="M388" s="432"/>
      <c r="N388" s="432"/>
      <c r="O388" s="33"/>
      <c r="P388" s="33"/>
      <c r="Q388" s="16" t="s">
        <v>75</v>
      </c>
      <c r="R388" s="16" t="s">
        <v>75</v>
      </c>
      <c r="S388" s="32" t="s">
        <v>68</v>
      </c>
      <c r="T388" s="16" t="s">
        <v>63</v>
      </c>
      <c r="U388" s="16" t="s">
        <v>63</v>
      </c>
      <c r="V388" s="16" t="s">
        <v>63</v>
      </c>
      <c r="W388" s="16" t="s">
        <v>63</v>
      </c>
      <c r="X388" s="609" t="s">
        <v>1244</v>
      </c>
      <c r="Y388" s="310" t="s">
        <v>1652</v>
      </c>
      <c r="Z388" s="432"/>
      <c r="AA388" s="432"/>
      <c r="AB388" s="16"/>
      <c r="AC388" s="16"/>
      <c r="AD388" s="16" t="s">
        <v>63</v>
      </c>
      <c r="AE388" s="16" t="s">
        <v>1850</v>
      </c>
      <c r="AF388" s="16" t="s">
        <v>63</v>
      </c>
      <c r="AG388" s="3" t="s">
        <v>1324</v>
      </c>
      <c r="AH388" s="525" t="s">
        <v>63</v>
      </c>
      <c r="AI388" s="3" t="s">
        <v>63</v>
      </c>
      <c r="AJ388" s="3" t="s">
        <v>1116</v>
      </c>
      <c r="AM388" s="84" t="s">
        <v>1901</v>
      </c>
      <c r="AN388" s="3"/>
    </row>
    <row r="389" spans="1:45" x14ac:dyDescent="0.25">
      <c r="A389" s="115">
        <v>390</v>
      </c>
      <c r="B389" s="55">
        <v>30321</v>
      </c>
      <c r="C389" s="575" t="s">
        <v>54</v>
      </c>
      <c r="D389" s="3" t="s">
        <v>1902</v>
      </c>
      <c r="E389" s="343" t="s">
        <v>1500</v>
      </c>
      <c r="F389" s="3" t="s">
        <v>1102</v>
      </c>
      <c r="G389" s="3" t="s">
        <v>14</v>
      </c>
      <c r="H389" s="52">
        <v>45707</v>
      </c>
      <c r="I389" s="3">
        <v>1656</v>
      </c>
      <c r="J389" s="3" t="s">
        <v>58</v>
      </c>
      <c r="K389" s="432"/>
      <c r="L389" s="443"/>
      <c r="M389" s="432"/>
      <c r="N389" s="432"/>
      <c r="O389" s="33"/>
      <c r="P389" s="33"/>
      <c r="Q389" s="16" t="s">
        <v>75</v>
      </c>
      <c r="R389" s="16" t="s">
        <v>75</v>
      </c>
      <c r="S389" s="32" t="s">
        <v>62</v>
      </c>
      <c r="T389" s="16" t="s">
        <v>63</v>
      </c>
      <c r="U389" s="16" t="s">
        <v>63</v>
      </c>
      <c r="V389" s="16" t="s">
        <v>63</v>
      </c>
      <c r="W389" s="16" t="s">
        <v>63</v>
      </c>
      <c r="X389" s="609" t="s">
        <v>1244</v>
      </c>
      <c r="Y389" s="310" t="s">
        <v>1652</v>
      </c>
      <c r="Z389" s="432"/>
      <c r="AA389" s="432"/>
      <c r="AB389" s="16"/>
      <c r="AC389" s="16"/>
      <c r="AD389" s="16" t="s">
        <v>63</v>
      </c>
      <c r="AE389" s="16" t="s">
        <v>1850</v>
      </c>
      <c r="AF389" s="16" t="s">
        <v>63</v>
      </c>
      <c r="AG389" s="3" t="s">
        <v>1324</v>
      </c>
      <c r="AH389" s="525" t="s">
        <v>63</v>
      </c>
      <c r="AI389" s="3" t="s">
        <v>63</v>
      </c>
      <c r="AJ389" s="3" t="s">
        <v>1116</v>
      </c>
      <c r="AM389" s="3" t="s">
        <v>1901</v>
      </c>
      <c r="AN389" s="3"/>
    </row>
    <row r="390" spans="1:45" x14ac:dyDescent="0.25">
      <c r="A390" s="103">
        <v>391</v>
      </c>
      <c r="B390" s="1303">
        <v>39436</v>
      </c>
      <c r="C390" s="575" t="s">
        <v>64</v>
      </c>
      <c r="D390" s="126" t="s">
        <v>1903</v>
      </c>
      <c r="E390" s="17" t="s">
        <v>1288</v>
      </c>
      <c r="F390" s="3" t="s">
        <v>1114</v>
      </c>
      <c r="G390" s="3" t="s">
        <v>14</v>
      </c>
      <c r="H390" s="782">
        <v>45726</v>
      </c>
      <c r="I390" s="3">
        <v>1682</v>
      </c>
      <c r="J390" s="3" t="s">
        <v>58</v>
      </c>
      <c r="K390" s="432"/>
      <c r="L390" s="443"/>
      <c r="M390" s="432"/>
      <c r="N390" s="432"/>
      <c r="O390" s="33"/>
      <c r="P390" s="33"/>
      <c r="Q390" s="16" t="s">
        <v>75</v>
      </c>
      <c r="R390" s="16" t="s">
        <v>75</v>
      </c>
      <c r="S390" s="16" t="s">
        <v>63</v>
      </c>
      <c r="T390" s="16" t="s">
        <v>63</v>
      </c>
      <c r="U390" s="16" t="s">
        <v>63</v>
      </c>
      <c r="V390" s="16" t="s">
        <v>63</v>
      </c>
      <c r="W390" s="310" t="s">
        <v>63</v>
      </c>
      <c r="X390" s="16" t="s">
        <v>1244</v>
      </c>
      <c r="Y390" s="310" t="s">
        <v>869</v>
      </c>
      <c r="Z390" s="432"/>
      <c r="AA390" s="432"/>
      <c r="AB390" s="16"/>
      <c r="AC390" s="16"/>
      <c r="AD390" s="16" t="s">
        <v>63</v>
      </c>
      <c r="AE390" s="16" t="s">
        <v>1850</v>
      </c>
      <c r="AF390" s="3" t="s">
        <v>1324</v>
      </c>
      <c r="AG390" s="52">
        <v>45726</v>
      </c>
      <c r="AH390" s="535">
        <v>45726</v>
      </c>
      <c r="AI390" s="52" t="s">
        <v>63</v>
      </c>
      <c r="AJ390" s="3" t="s">
        <v>63</v>
      </c>
      <c r="AL390" s="3" t="s">
        <v>1000</v>
      </c>
      <c r="AM390" s="52"/>
      <c r="AN390" s="3"/>
    </row>
    <row r="391" spans="1:45" x14ac:dyDescent="0.25">
      <c r="A391" s="134">
        <v>392</v>
      </c>
      <c r="B391" s="1304">
        <v>39436</v>
      </c>
      <c r="C391" s="883" t="s">
        <v>54</v>
      </c>
      <c r="D391" s="977" t="s">
        <v>1904</v>
      </c>
      <c r="E391" s="510" t="s">
        <v>1288</v>
      </c>
      <c r="F391" s="115" t="s">
        <v>1114</v>
      </c>
      <c r="G391" s="115" t="s">
        <v>14</v>
      </c>
      <c r="H391" s="1305">
        <v>45726</v>
      </c>
      <c r="I391" s="115">
        <v>1683</v>
      </c>
      <c r="J391" s="115" t="s">
        <v>58</v>
      </c>
      <c r="K391" s="432"/>
      <c r="L391" s="443"/>
      <c r="M391" s="432"/>
      <c r="N391" s="432"/>
      <c r="O391" s="33"/>
      <c r="P391" s="33"/>
      <c r="Q391" s="16" t="s">
        <v>75</v>
      </c>
      <c r="R391" s="16" t="s">
        <v>75</v>
      </c>
      <c r="S391" s="16" t="s">
        <v>63</v>
      </c>
      <c r="T391" s="16" t="s">
        <v>63</v>
      </c>
      <c r="U391" s="16" t="s">
        <v>63</v>
      </c>
      <c r="V391" s="16" t="s">
        <v>63</v>
      </c>
      <c r="W391" s="310" t="s">
        <v>63</v>
      </c>
      <c r="X391" s="16" t="s">
        <v>1244</v>
      </c>
      <c r="Y391" s="310" t="s">
        <v>869</v>
      </c>
      <c r="Z391" s="432"/>
      <c r="AA391" s="432"/>
      <c r="AB391" s="16"/>
      <c r="AC391" s="16"/>
      <c r="AD391" s="16" t="s">
        <v>63</v>
      </c>
      <c r="AE391" s="16" t="s">
        <v>1850</v>
      </c>
      <c r="AF391" s="3" t="s">
        <v>1324</v>
      </c>
      <c r="AG391" s="52">
        <v>45726</v>
      </c>
      <c r="AH391" s="535">
        <v>45726</v>
      </c>
      <c r="AI391" s="52" t="s">
        <v>63</v>
      </c>
      <c r="AJ391" s="3" t="s">
        <v>63</v>
      </c>
      <c r="AL391" s="3" t="s">
        <v>1000</v>
      </c>
      <c r="AM391" s="52"/>
      <c r="AN391" s="3"/>
    </row>
    <row r="392" spans="1:45" ht="15" x14ac:dyDescent="0.25">
      <c r="A392" s="332">
        <v>393</v>
      </c>
      <c r="B392" s="55">
        <v>30492</v>
      </c>
      <c r="C392" s="55" t="s">
        <v>64</v>
      </c>
      <c r="D392" s="3" t="s">
        <v>1905</v>
      </c>
      <c r="E392" s="343" t="s">
        <v>1500</v>
      </c>
      <c r="F392" s="3" t="s">
        <v>1102</v>
      </c>
      <c r="G392" s="3" t="s">
        <v>14</v>
      </c>
      <c r="H392" s="52">
        <v>45756</v>
      </c>
      <c r="I392" s="3">
        <v>1646</v>
      </c>
      <c r="J392" s="3" t="s">
        <v>58</v>
      </c>
      <c r="K392" s="432"/>
      <c r="L392" s="443"/>
      <c r="M392" s="432"/>
      <c r="N392" s="432"/>
      <c r="O392" s="33"/>
      <c r="P392" s="33"/>
      <c r="Q392" s="16" t="s">
        <v>75</v>
      </c>
      <c r="R392" s="16" t="s">
        <v>75</v>
      </c>
      <c r="S392" s="16" t="s">
        <v>63</v>
      </c>
      <c r="T392" s="16" t="s">
        <v>63</v>
      </c>
      <c r="U392" s="16" t="s">
        <v>63</v>
      </c>
      <c r="V392" s="16" t="s">
        <v>63</v>
      </c>
      <c r="W392" s="16" t="s">
        <v>63</v>
      </c>
      <c r="X392" s="609" t="s">
        <v>1244</v>
      </c>
      <c r="Y392" s="16" t="s">
        <v>1652</v>
      </c>
      <c r="Z392" s="432"/>
      <c r="AA392" s="432"/>
      <c r="AB392" s="16"/>
      <c r="AC392" s="16"/>
      <c r="AD392" s="16" t="s">
        <v>63</v>
      </c>
      <c r="AE392" s="16" t="s">
        <v>1850</v>
      </c>
      <c r="AF392" s="16" t="s">
        <v>63</v>
      </c>
      <c r="AG392" s="52">
        <v>45756</v>
      </c>
      <c r="AH392" s="1306">
        <v>45756</v>
      </c>
      <c r="AI392" s="3" t="s">
        <v>63</v>
      </c>
      <c r="AJ392" s="3" t="s">
        <v>1116</v>
      </c>
      <c r="AM392" s="1150"/>
      <c r="AN392" s="3"/>
    </row>
    <row r="393" spans="1:45" ht="15" x14ac:dyDescent="0.25">
      <c r="A393" s="332">
        <v>394</v>
      </c>
      <c r="B393" s="55">
        <v>30492</v>
      </c>
      <c r="C393" s="55" t="s">
        <v>54</v>
      </c>
      <c r="D393" s="3" t="s">
        <v>1906</v>
      </c>
      <c r="E393" s="343" t="s">
        <v>1500</v>
      </c>
      <c r="F393" s="3" t="s">
        <v>1102</v>
      </c>
      <c r="G393" s="3" t="s">
        <v>14</v>
      </c>
      <c r="H393" s="52">
        <v>45756</v>
      </c>
      <c r="I393" s="3">
        <v>1647</v>
      </c>
      <c r="J393" s="3" t="s">
        <v>58</v>
      </c>
      <c r="K393" s="432"/>
      <c r="L393" s="443"/>
      <c r="M393" s="432"/>
      <c r="N393" s="432"/>
      <c r="O393" s="33"/>
      <c r="P393" s="33"/>
      <c r="Q393" s="16" t="s">
        <v>75</v>
      </c>
      <c r="R393" s="16" t="s">
        <v>75</v>
      </c>
      <c r="S393" s="16" t="s">
        <v>63</v>
      </c>
      <c r="T393" s="16" t="s">
        <v>63</v>
      </c>
      <c r="U393" s="16" t="s">
        <v>63</v>
      </c>
      <c r="V393" s="16" t="s">
        <v>63</v>
      </c>
      <c r="W393" s="16" t="s">
        <v>63</v>
      </c>
      <c r="X393" s="609" t="s">
        <v>1244</v>
      </c>
      <c r="Y393" s="16" t="s">
        <v>1652</v>
      </c>
      <c r="Z393" s="432"/>
      <c r="AA393" s="432"/>
      <c r="AB393" s="16"/>
      <c r="AC393" s="16"/>
      <c r="AD393" s="16" t="s">
        <v>63</v>
      </c>
      <c r="AE393" s="16" t="s">
        <v>1850</v>
      </c>
      <c r="AF393" s="16" t="s">
        <v>63</v>
      </c>
      <c r="AG393" s="52">
        <v>45756</v>
      </c>
      <c r="AH393" s="1306">
        <v>45756</v>
      </c>
      <c r="AI393" s="3" t="s">
        <v>63</v>
      </c>
      <c r="AJ393" s="3" t="s">
        <v>1116</v>
      </c>
      <c r="AM393" s="1150"/>
      <c r="AN393" s="3"/>
    </row>
    <row r="394" spans="1:45" x14ac:dyDescent="0.25">
      <c r="A394" s="3">
        <v>395</v>
      </c>
      <c r="B394" s="55">
        <v>30204</v>
      </c>
      <c r="C394" s="55" t="s">
        <v>64</v>
      </c>
      <c r="D394" s="3" t="s">
        <v>1907</v>
      </c>
      <c r="E394" s="343" t="s">
        <v>1500</v>
      </c>
      <c r="F394" s="3" t="s">
        <v>1102</v>
      </c>
      <c r="G394" s="3" t="s">
        <v>14</v>
      </c>
      <c r="H394" s="52">
        <v>45791</v>
      </c>
      <c r="I394" s="3">
        <v>1645</v>
      </c>
      <c r="J394" s="3" t="s">
        <v>58</v>
      </c>
      <c r="K394" s="432"/>
      <c r="L394" s="443"/>
      <c r="M394" s="432"/>
      <c r="N394" s="432"/>
      <c r="O394" s="33"/>
      <c r="P394" s="33"/>
      <c r="Q394" s="16" t="s">
        <v>75</v>
      </c>
      <c r="R394" s="16" t="s">
        <v>75</v>
      </c>
      <c r="S394" s="16" t="s">
        <v>63</v>
      </c>
      <c r="T394" s="16" t="s">
        <v>63</v>
      </c>
      <c r="U394" s="16" t="s">
        <v>63</v>
      </c>
      <c r="V394" s="16" t="s">
        <v>63</v>
      </c>
      <c r="W394" s="16" t="s">
        <v>63</v>
      </c>
      <c r="X394" s="609" t="s">
        <v>1244</v>
      </c>
      <c r="Y394" s="16" t="s">
        <v>1652</v>
      </c>
      <c r="Z394" s="432"/>
      <c r="AA394" s="432"/>
      <c r="AB394" s="16"/>
      <c r="AC394" s="16"/>
      <c r="AD394" s="16" t="s">
        <v>63</v>
      </c>
      <c r="AE394" s="16" t="s">
        <v>1850</v>
      </c>
      <c r="AF394" s="16" t="s">
        <v>1324</v>
      </c>
      <c r="AG394" s="52">
        <v>45793</v>
      </c>
      <c r="AH394" s="1306">
        <v>45793</v>
      </c>
      <c r="AI394" s="3" t="s">
        <v>63</v>
      </c>
      <c r="AJ394" s="3" t="s">
        <v>1116</v>
      </c>
      <c r="AL394" s="3"/>
      <c r="AM394" s="1150"/>
      <c r="AN394" s="3"/>
    </row>
    <row r="395" spans="1:45" x14ac:dyDescent="0.25">
      <c r="A395" s="3">
        <v>396</v>
      </c>
      <c r="B395" s="55">
        <v>30204</v>
      </c>
      <c r="C395" s="55" t="s">
        <v>54</v>
      </c>
      <c r="D395" s="3" t="s">
        <v>1908</v>
      </c>
      <c r="E395" s="343" t="s">
        <v>1500</v>
      </c>
      <c r="F395" s="3" t="s">
        <v>1102</v>
      </c>
      <c r="G395" s="3" t="s">
        <v>14</v>
      </c>
      <c r="H395" s="52">
        <v>45791</v>
      </c>
      <c r="I395" s="3">
        <v>1648</v>
      </c>
      <c r="J395" s="3" t="s">
        <v>58</v>
      </c>
      <c r="K395" s="432"/>
      <c r="L395" s="443"/>
      <c r="M395" s="432"/>
      <c r="N395" s="432"/>
      <c r="O395" s="33"/>
      <c r="P395" s="33"/>
      <c r="Q395" s="16" t="s">
        <v>75</v>
      </c>
      <c r="R395" s="16" t="s">
        <v>75</v>
      </c>
      <c r="S395" s="16" t="s">
        <v>63</v>
      </c>
      <c r="T395" s="16" t="s">
        <v>63</v>
      </c>
      <c r="U395" s="16" t="s">
        <v>63</v>
      </c>
      <c r="V395" s="16" t="s">
        <v>63</v>
      </c>
      <c r="W395" s="16" t="s">
        <v>63</v>
      </c>
      <c r="X395" s="609" t="s">
        <v>1244</v>
      </c>
      <c r="Y395" s="16" t="s">
        <v>1652</v>
      </c>
      <c r="Z395" s="432"/>
      <c r="AA395" s="432"/>
      <c r="AB395" s="16"/>
      <c r="AC395" s="16"/>
      <c r="AD395" s="16" t="s">
        <v>63</v>
      </c>
      <c r="AE395" s="16" t="s">
        <v>1850</v>
      </c>
      <c r="AF395" s="16" t="s">
        <v>1324</v>
      </c>
      <c r="AG395" s="52">
        <v>45793</v>
      </c>
      <c r="AH395" s="1306">
        <v>45793</v>
      </c>
      <c r="AI395" s="3" t="s">
        <v>63</v>
      </c>
      <c r="AJ395" s="3" t="s">
        <v>1116</v>
      </c>
      <c r="AM395" s="1150"/>
      <c r="AN395" s="3"/>
    </row>
    <row r="396" spans="1:45" ht="15" x14ac:dyDescent="0.25">
      <c r="A396" s="332">
        <v>397</v>
      </c>
      <c r="B396" s="55">
        <v>39482</v>
      </c>
      <c r="C396" s="55" t="s">
        <v>64</v>
      </c>
      <c r="D396" s="3" t="s">
        <v>1909</v>
      </c>
      <c r="E396" s="343" t="s">
        <v>1307</v>
      </c>
      <c r="F396" s="3" t="s">
        <v>1102</v>
      </c>
      <c r="G396" s="3" t="s">
        <v>14</v>
      </c>
      <c r="H396" s="52">
        <v>45822</v>
      </c>
      <c r="I396" s="3">
        <v>1688</v>
      </c>
      <c r="J396" s="3" t="s">
        <v>58</v>
      </c>
      <c r="K396" s="432"/>
      <c r="L396" s="443"/>
      <c r="M396" s="432"/>
      <c r="N396" s="432"/>
      <c r="O396" s="33"/>
      <c r="P396" s="33"/>
      <c r="Q396" s="16" t="s">
        <v>63</v>
      </c>
      <c r="R396" s="16" t="s">
        <v>75</v>
      </c>
      <c r="S396" s="16" t="s">
        <v>63</v>
      </c>
      <c r="T396" s="16" t="s">
        <v>63</v>
      </c>
      <c r="U396" s="16" t="s">
        <v>63</v>
      </c>
      <c r="V396" s="16" t="s">
        <v>63</v>
      </c>
      <c r="W396" s="16" t="s">
        <v>63</v>
      </c>
      <c r="X396" s="16" t="s">
        <v>1244</v>
      </c>
      <c r="Y396" s="16" t="s">
        <v>1652</v>
      </c>
      <c r="Z396" s="432"/>
      <c r="AA396" s="432"/>
      <c r="AB396" s="16"/>
      <c r="AC396" s="16"/>
      <c r="AD396" s="16" t="s">
        <v>63</v>
      </c>
      <c r="AE396" s="16" t="s">
        <v>1850</v>
      </c>
      <c r="AF396" s="16" t="s">
        <v>63</v>
      </c>
      <c r="AG396" s="52">
        <v>45824</v>
      </c>
      <c r="AH396" s="1306">
        <v>45824</v>
      </c>
      <c r="AI396" s="3" t="s">
        <v>63</v>
      </c>
      <c r="AJ396" s="3" t="s">
        <v>1116</v>
      </c>
      <c r="AM396" s="1150"/>
    </row>
    <row r="397" spans="1:45" x14ac:dyDescent="0.25">
      <c r="A397" s="3">
        <v>398</v>
      </c>
      <c r="B397" s="55">
        <v>39482</v>
      </c>
      <c r="C397" s="55" t="s">
        <v>54</v>
      </c>
      <c r="D397" s="3" t="s">
        <v>1910</v>
      </c>
      <c r="E397" s="343" t="s">
        <v>1307</v>
      </c>
      <c r="F397" s="3" t="s">
        <v>1102</v>
      </c>
      <c r="G397" s="3" t="s">
        <v>14</v>
      </c>
      <c r="H397" s="52">
        <v>45822</v>
      </c>
      <c r="I397" s="3">
        <v>1689</v>
      </c>
      <c r="J397" s="3" t="s">
        <v>58</v>
      </c>
      <c r="K397" s="432"/>
      <c r="L397" s="443"/>
      <c r="M397" s="432"/>
      <c r="N397" s="432"/>
      <c r="O397" s="33"/>
      <c r="P397" s="33"/>
      <c r="Q397" s="16" t="s">
        <v>63</v>
      </c>
      <c r="R397" s="16" t="s">
        <v>75</v>
      </c>
      <c r="S397" s="16" t="s">
        <v>63</v>
      </c>
      <c r="T397" s="16" t="s">
        <v>63</v>
      </c>
      <c r="U397" s="16" t="s">
        <v>63</v>
      </c>
      <c r="V397" s="16" t="s">
        <v>63</v>
      </c>
      <c r="W397" s="16" t="s">
        <v>63</v>
      </c>
      <c r="X397" s="16" t="s">
        <v>1244</v>
      </c>
      <c r="Y397" s="16" t="s">
        <v>1652</v>
      </c>
      <c r="Z397" s="432"/>
      <c r="AA397" s="432"/>
      <c r="AB397" s="16"/>
      <c r="AC397" s="16"/>
      <c r="AD397" s="16" t="s">
        <v>63</v>
      </c>
      <c r="AE397" s="16" t="s">
        <v>1850</v>
      </c>
      <c r="AF397" s="16" t="s">
        <v>63</v>
      </c>
      <c r="AG397" s="52">
        <v>45824</v>
      </c>
      <c r="AH397" s="1306">
        <v>45824</v>
      </c>
      <c r="AI397" s="3" t="s">
        <v>63</v>
      </c>
      <c r="AJ397" s="3" t="s">
        <v>1116</v>
      </c>
      <c r="AM397" s="1150"/>
    </row>
    <row r="398" spans="1:45" x14ac:dyDescent="0.25">
      <c r="A398" s="16">
        <v>399</v>
      </c>
      <c r="B398" s="1400">
        <v>39481</v>
      </c>
      <c r="C398" s="55" t="s">
        <v>64</v>
      </c>
      <c r="D398" s="3" t="s">
        <v>1911</v>
      </c>
      <c r="E398" s="1399" t="s">
        <v>1307</v>
      </c>
      <c r="F398" s="3" t="s">
        <v>1102</v>
      </c>
      <c r="G398" s="3" t="s">
        <v>14</v>
      </c>
      <c r="H398" s="52">
        <v>45838</v>
      </c>
      <c r="I398" s="3">
        <v>1699</v>
      </c>
      <c r="J398" s="3" t="s">
        <v>58</v>
      </c>
      <c r="K398" s="432"/>
      <c r="L398" s="443"/>
      <c r="M398" s="432"/>
      <c r="N398" s="432"/>
      <c r="O398" s="33"/>
      <c r="P398" s="33"/>
      <c r="Q398" s="16" t="s">
        <v>63</v>
      </c>
      <c r="R398" s="16" t="s">
        <v>75</v>
      </c>
      <c r="S398" s="16" t="s">
        <v>63</v>
      </c>
      <c r="T398" s="16" t="s">
        <v>63</v>
      </c>
      <c r="U398" s="16" t="s">
        <v>63</v>
      </c>
      <c r="V398" s="16" t="s">
        <v>63</v>
      </c>
      <c r="W398" s="16" t="s">
        <v>63</v>
      </c>
      <c r="X398" s="16" t="s">
        <v>1244</v>
      </c>
      <c r="Y398" s="16" t="s">
        <v>1652</v>
      </c>
      <c r="Z398" s="432"/>
      <c r="AA398" s="432"/>
      <c r="AB398" s="16"/>
      <c r="AC398" s="16"/>
      <c r="AD398" s="16" t="s">
        <v>63</v>
      </c>
      <c r="AE398" s="16" t="s">
        <v>1850</v>
      </c>
      <c r="AF398" s="16" t="s">
        <v>63</v>
      </c>
      <c r="AG398" s="52">
        <v>45838</v>
      </c>
      <c r="AH398" s="1306">
        <v>45838</v>
      </c>
      <c r="AI398" s="3" t="s">
        <v>63</v>
      </c>
      <c r="AJ398" s="3" t="s">
        <v>1116</v>
      </c>
      <c r="AM398" s="1150"/>
      <c r="AP398" s="16"/>
      <c r="AQ398" s="16"/>
      <c r="AR398" s="432"/>
      <c r="AS398" s="432"/>
    </row>
    <row r="399" spans="1:45" x14ac:dyDescent="0.25">
      <c r="A399" s="1401">
        <v>400</v>
      </c>
      <c r="B399" s="1400">
        <v>39481</v>
      </c>
      <c r="C399" s="55" t="s">
        <v>54</v>
      </c>
      <c r="D399" s="3" t="s">
        <v>1912</v>
      </c>
      <c r="E399" s="1399" t="s">
        <v>1307</v>
      </c>
      <c r="F399" s="3" t="s">
        <v>1102</v>
      </c>
      <c r="G399" s="3" t="s">
        <v>14</v>
      </c>
      <c r="H399" s="52">
        <v>45838</v>
      </c>
      <c r="I399" s="3">
        <v>1698</v>
      </c>
      <c r="J399" s="3" t="s">
        <v>58</v>
      </c>
      <c r="K399" s="432"/>
      <c r="L399" s="443"/>
      <c r="M399" s="432"/>
      <c r="N399" s="432"/>
      <c r="O399" s="33"/>
      <c r="P399" s="33"/>
      <c r="Q399" s="16" t="s">
        <v>63</v>
      </c>
      <c r="R399" s="16" t="s">
        <v>75</v>
      </c>
      <c r="S399" s="16" t="s">
        <v>63</v>
      </c>
      <c r="T399" s="16" t="s">
        <v>63</v>
      </c>
      <c r="U399" s="16" t="s">
        <v>63</v>
      </c>
      <c r="V399" s="16" t="s">
        <v>63</v>
      </c>
      <c r="W399" s="16" t="s">
        <v>63</v>
      </c>
      <c r="X399" s="16" t="s">
        <v>1244</v>
      </c>
      <c r="Y399" s="16" t="s">
        <v>1652</v>
      </c>
      <c r="AB399" s="16"/>
      <c r="AC399" s="16"/>
      <c r="AD399" s="16" t="s">
        <v>63</v>
      </c>
      <c r="AE399" s="16" t="s">
        <v>1850</v>
      </c>
      <c r="AF399" s="16" t="s">
        <v>63</v>
      </c>
      <c r="AG399" s="52">
        <v>45838</v>
      </c>
      <c r="AH399" s="1306">
        <v>45838</v>
      </c>
      <c r="AI399" s="3" t="s">
        <v>63</v>
      </c>
      <c r="AJ399" s="3" t="s">
        <v>1116</v>
      </c>
      <c r="AM399" s="1150"/>
      <c r="AP399" s="16"/>
      <c r="AQ399" s="16"/>
      <c r="AR399" s="432"/>
      <c r="AS399" s="432"/>
    </row>
    <row r="400" spans="1:45" x14ac:dyDescent="0.25">
      <c r="A400" s="3">
        <v>401</v>
      </c>
      <c r="B400" s="55">
        <v>30203</v>
      </c>
      <c r="C400" s="55" t="s">
        <v>64</v>
      </c>
      <c r="D400" s="3" t="s">
        <v>1913</v>
      </c>
      <c r="E400" s="343" t="s">
        <v>1500</v>
      </c>
      <c r="F400" s="3" t="s">
        <v>1102</v>
      </c>
      <c r="G400" s="3" t="s">
        <v>14</v>
      </c>
      <c r="H400" s="52">
        <v>45852</v>
      </c>
      <c r="I400" s="3">
        <v>1654</v>
      </c>
      <c r="J400" s="3" t="s">
        <v>58</v>
      </c>
      <c r="K400" s="432"/>
      <c r="L400" s="443"/>
      <c r="M400" s="432"/>
      <c r="N400" s="432"/>
      <c r="O400" s="33"/>
      <c r="P400" s="33"/>
      <c r="Q400" s="16"/>
      <c r="R400" s="16"/>
      <c r="S400" s="16"/>
      <c r="T400" s="16" t="s">
        <v>63</v>
      </c>
      <c r="U400" s="16" t="s">
        <v>63</v>
      </c>
      <c r="V400" s="16" t="s">
        <v>63</v>
      </c>
      <c r="W400" s="16" t="s">
        <v>63</v>
      </c>
      <c r="X400" s="61" t="s">
        <v>1244</v>
      </c>
      <c r="Y400" s="61" t="s">
        <v>1652</v>
      </c>
      <c r="AB400" s="16"/>
      <c r="AC400" s="16"/>
      <c r="AD400" s="16" t="s">
        <v>63</v>
      </c>
      <c r="AE400" s="16" t="s">
        <v>1850</v>
      </c>
      <c r="AF400" s="16" t="s">
        <v>63</v>
      </c>
      <c r="AH400" s="1306">
        <v>45853</v>
      </c>
      <c r="AI400" s="3" t="s">
        <v>63</v>
      </c>
      <c r="AJ400" s="3" t="s">
        <v>1116</v>
      </c>
      <c r="AM400" s="1150"/>
      <c r="AP400" s="16"/>
      <c r="AQ400" s="16"/>
      <c r="AR400" s="432"/>
      <c r="AS400" s="432"/>
    </row>
    <row r="401" spans="1:39" x14ac:dyDescent="0.25">
      <c r="A401" s="3">
        <v>402</v>
      </c>
      <c r="B401" s="55">
        <v>30203</v>
      </c>
      <c r="C401" s="55" t="s">
        <v>54</v>
      </c>
      <c r="D401" s="3" t="s">
        <v>1914</v>
      </c>
      <c r="E401" s="343" t="s">
        <v>1500</v>
      </c>
      <c r="F401" s="3" t="s">
        <v>1102</v>
      </c>
      <c r="G401" s="3" t="s">
        <v>14</v>
      </c>
      <c r="H401" s="52">
        <v>45852</v>
      </c>
      <c r="I401" s="3">
        <v>1655</v>
      </c>
      <c r="J401" s="3" t="s">
        <v>58</v>
      </c>
      <c r="K401" s="432"/>
      <c r="L401" s="443"/>
      <c r="M401" s="432"/>
      <c r="N401" s="432"/>
      <c r="O401" s="33"/>
      <c r="P401" s="33"/>
      <c r="Q401" s="16"/>
      <c r="R401" s="16"/>
      <c r="S401" s="16"/>
      <c r="T401" s="16" t="s">
        <v>63</v>
      </c>
      <c r="U401" s="16" t="s">
        <v>63</v>
      </c>
      <c r="V401" s="16" t="s">
        <v>63</v>
      </c>
      <c r="W401" s="16" t="s">
        <v>63</v>
      </c>
      <c r="X401" s="61" t="s">
        <v>1244</v>
      </c>
      <c r="Y401" s="61" t="s">
        <v>1652</v>
      </c>
      <c r="AB401" s="16"/>
      <c r="AC401" s="16"/>
      <c r="AD401" s="16" t="s">
        <v>63</v>
      </c>
      <c r="AE401" s="16" t="s">
        <v>1850</v>
      </c>
      <c r="AF401" s="16" t="s">
        <v>63</v>
      </c>
      <c r="AH401" s="1306">
        <v>45853</v>
      </c>
      <c r="AI401" s="3" t="s">
        <v>63</v>
      </c>
      <c r="AJ401" s="3" t="s">
        <v>1116</v>
      </c>
      <c r="AM401" s="1150"/>
    </row>
  </sheetData>
  <protectedRanges>
    <protectedRange sqref="AB80" name="Range1_6"/>
    <protectedRange sqref="AB81" name="Range1_7"/>
    <protectedRange sqref="AB60" name="Range1_4"/>
    <protectedRange sqref="AB61" name="Range1_5"/>
    <protectedRange sqref="AB63" name="Range1_3_1_1"/>
    <protectedRange sqref="AB241" name="Range1_2_1_2"/>
    <protectedRange sqref="AB165" name="Range1_1"/>
    <protectedRange sqref="AB162" name="Range1_5_1_2"/>
    <protectedRange sqref="AB271" name="Range1_7_1"/>
  </protectedRanges>
  <autoFilter ref="A1:AN401" xr:uid="{22F5CF3B-EE07-4C42-A663-13FD2746BD4C}"/>
  <phoneticPr fontId="19" type="noConversion"/>
  <conditionalFormatting sqref="B4:B9 B14:B31">
    <cfRule type="duplicateValues" dxfId="1209" priority="9510"/>
  </conditionalFormatting>
  <conditionalFormatting sqref="B32:B34">
    <cfRule type="duplicateValues" dxfId="1208" priority="243"/>
  </conditionalFormatting>
  <conditionalFormatting sqref="B32:B35 B94:B95 B100:B105 B108:B115 B120:B131 B38:B91">
    <cfRule type="duplicateValues" dxfId="1207" priority="258"/>
  </conditionalFormatting>
  <conditionalFormatting sqref="B35">
    <cfRule type="duplicateValues" dxfId="1206" priority="259"/>
  </conditionalFormatting>
  <conditionalFormatting sqref="B38">
    <cfRule type="duplicateValues" dxfId="1205" priority="247"/>
  </conditionalFormatting>
  <conditionalFormatting sqref="B70">
    <cfRule type="duplicateValues" dxfId="1204" priority="245"/>
  </conditionalFormatting>
  <conditionalFormatting sqref="B71:B74 B64:B69">
    <cfRule type="duplicateValues" dxfId="1203" priority="244"/>
  </conditionalFormatting>
  <conditionalFormatting sqref="B75:B91 B39:B63 B94:B95 B100:B105 B108:B115 B125:B131">
    <cfRule type="duplicateValues" dxfId="1202" priority="257"/>
  </conditionalFormatting>
  <conditionalFormatting sqref="B118:B119">
    <cfRule type="duplicateValues" dxfId="1201" priority="55"/>
    <cfRule type="duplicateValues" dxfId="1200" priority="56"/>
  </conditionalFormatting>
  <conditionalFormatting sqref="B120:B124">
    <cfRule type="duplicateValues" dxfId="1199" priority="246"/>
  </conditionalFormatting>
  <conditionalFormatting sqref="B134">
    <cfRule type="duplicateValues" dxfId="1198" priority="241"/>
  </conditionalFormatting>
  <conditionalFormatting sqref="B135">
    <cfRule type="duplicateValues" dxfId="1197" priority="242"/>
  </conditionalFormatting>
  <conditionalFormatting sqref="B144:B147">
    <cfRule type="duplicateValues" dxfId="1196" priority="253"/>
  </conditionalFormatting>
  <conditionalFormatting sqref="B224:B225">
    <cfRule type="duplicateValues" dxfId="1195" priority="64"/>
    <cfRule type="duplicateValues" dxfId="1194" priority="65"/>
  </conditionalFormatting>
  <conditionalFormatting sqref="B250:B251">
    <cfRule type="duplicateValues" dxfId="1193" priority="251"/>
  </conditionalFormatting>
  <conditionalFormatting sqref="B267">
    <cfRule type="duplicateValues" dxfId="1192" priority="250"/>
  </conditionalFormatting>
  <conditionalFormatting sqref="B268:B275 B106:B107 B212:B215 B218 B222:B223 B230:B233 B236:B241 B244:B249 B254:B266 B278:B281 B290:B302 B305:B333 B226:B227">
    <cfRule type="duplicateValues" dxfId="1191" priority="252"/>
  </conditionalFormatting>
  <conditionalFormatting sqref="B276:B277">
    <cfRule type="duplicateValues" dxfId="1190" priority="254"/>
  </conditionalFormatting>
  <conditionalFormatting sqref="B290:B302 B106:B107 B4:B9 B212:B215 B218 B222:B223 B230:B233 B236:B241 B244:B249 B254:B281 B305:B333 B226:B227 B14:B31">
    <cfRule type="duplicateValues" dxfId="1189" priority="255"/>
  </conditionalFormatting>
  <conditionalFormatting sqref="B303">
    <cfRule type="duplicateValues" dxfId="1188" priority="240"/>
  </conditionalFormatting>
  <conditionalFormatting sqref="B336:B337">
    <cfRule type="duplicateValues" dxfId="1187" priority="66"/>
  </conditionalFormatting>
  <conditionalFormatting sqref="B338:B339">
    <cfRule type="duplicateValues" dxfId="1186" priority="62"/>
  </conditionalFormatting>
  <conditionalFormatting sqref="B358:B359 C360:C369">
    <cfRule type="duplicateValues" dxfId="1185" priority="29"/>
  </conditionalFormatting>
  <conditionalFormatting sqref="B358:B359">
    <cfRule type="duplicateValues" dxfId="1184" priority="27"/>
  </conditionalFormatting>
  <conditionalFormatting sqref="B380:B383 B385">
    <cfRule type="duplicateValues" dxfId="1183" priority="11"/>
  </conditionalFormatting>
  <conditionalFormatting sqref="B380:B385">
    <cfRule type="duplicateValues" dxfId="1182" priority="21"/>
  </conditionalFormatting>
  <conditionalFormatting sqref="B384">
    <cfRule type="duplicateValues" dxfId="1181" priority="10"/>
  </conditionalFormatting>
  <conditionalFormatting sqref="B398:B399">
    <cfRule type="duplicateValues" dxfId="1180" priority="3"/>
  </conditionalFormatting>
  <conditionalFormatting sqref="B350:C351">
    <cfRule type="duplicateValues" dxfId="1179" priority="43"/>
    <cfRule type="duplicateValues" dxfId="1178" priority="44"/>
  </conditionalFormatting>
  <conditionalFormatting sqref="B352:C353">
    <cfRule type="duplicateValues" dxfId="1177" priority="41"/>
  </conditionalFormatting>
  <conditionalFormatting sqref="B370:C371 B334:C335 B340:B349 B354:B357 B360:B369 B386:B391 B394:C397 B372:B379 B400:C1048576">
    <cfRule type="duplicateValues" dxfId="1176" priority="256"/>
  </conditionalFormatting>
  <conditionalFormatting sqref="C10">
    <cfRule type="duplicateValues" dxfId="1175" priority="93"/>
  </conditionalFormatting>
  <conditionalFormatting sqref="C11">
    <cfRule type="duplicateValues" dxfId="1174" priority="92"/>
  </conditionalFormatting>
  <conditionalFormatting sqref="C12">
    <cfRule type="duplicateValues" dxfId="1173" priority="91"/>
  </conditionalFormatting>
  <conditionalFormatting sqref="C13">
    <cfRule type="duplicateValues" dxfId="1172" priority="90"/>
  </conditionalFormatting>
  <conditionalFormatting sqref="C36">
    <cfRule type="duplicateValues" dxfId="1171" priority="87"/>
  </conditionalFormatting>
  <conditionalFormatting sqref="C37">
    <cfRule type="duplicateValues" dxfId="1170" priority="86"/>
  </conditionalFormatting>
  <conditionalFormatting sqref="C116">
    <cfRule type="duplicateValues" dxfId="1169" priority="58"/>
  </conditionalFormatting>
  <conditionalFormatting sqref="C116:C117">
    <cfRule type="duplicateValues" dxfId="1168" priority="57"/>
  </conditionalFormatting>
  <conditionalFormatting sqref="C117">
    <cfRule type="duplicateValues" dxfId="1167" priority="59"/>
  </conditionalFormatting>
  <conditionalFormatting sqref="C132 C186 C188 C190 C192 C194 C196 C198 C200">
    <cfRule type="duplicateValues" dxfId="1166" priority="123"/>
  </conditionalFormatting>
  <conditionalFormatting sqref="C133 C187 C189 C191 C193 C195 C197 C199 C201">
    <cfRule type="duplicateValues" dxfId="1165" priority="122"/>
  </conditionalFormatting>
  <conditionalFormatting sqref="C134 C136 C138 C140 C142 C148 C150 C152 C154">
    <cfRule type="duplicateValues" dxfId="1164" priority="124"/>
  </conditionalFormatting>
  <conditionalFormatting sqref="C135 C137 C139 C141 C143 C149 C151 C153 C155">
    <cfRule type="duplicateValues" dxfId="1163" priority="127"/>
  </conditionalFormatting>
  <conditionalFormatting sqref="C144 C146">
    <cfRule type="duplicateValues" dxfId="1162" priority="88"/>
  </conditionalFormatting>
  <conditionalFormatting sqref="C145 C147">
    <cfRule type="duplicateValues" dxfId="1161" priority="89"/>
  </conditionalFormatting>
  <conditionalFormatting sqref="C156 C206">
    <cfRule type="duplicateValues" dxfId="1160" priority="119"/>
  </conditionalFormatting>
  <conditionalFormatting sqref="C157 C207">
    <cfRule type="duplicateValues" dxfId="1159" priority="118"/>
  </conditionalFormatting>
  <conditionalFormatting sqref="C158 C160 C162 C164 C166 C168 C170 C172 C174 C176 C178 C180 C182 C184">
    <cfRule type="duplicateValues" dxfId="1158" priority="128"/>
  </conditionalFormatting>
  <conditionalFormatting sqref="C159 C161 C163 C165 C167 C169 C171 C173 C175 C177 C179 C181 C183 C185">
    <cfRule type="duplicateValues" dxfId="1157" priority="125"/>
  </conditionalFormatting>
  <conditionalFormatting sqref="C202">
    <cfRule type="duplicateValues" dxfId="1156" priority="121"/>
  </conditionalFormatting>
  <conditionalFormatting sqref="C203">
    <cfRule type="duplicateValues" dxfId="1155" priority="126"/>
  </conditionalFormatting>
  <conditionalFormatting sqref="C204">
    <cfRule type="duplicateValues" dxfId="1154" priority="129"/>
  </conditionalFormatting>
  <conditionalFormatting sqref="C205">
    <cfRule type="duplicateValues" dxfId="1153" priority="120"/>
  </conditionalFormatting>
  <conditionalFormatting sqref="C208">
    <cfRule type="duplicateValues" dxfId="1152" priority="117"/>
  </conditionalFormatting>
  <conditionalFormatting sqref="C209">
    <cfRule type="duplicateValues" dxfId="1151" priority="116"/>
  </conditionalFormatting>
  <conditionalFormatting sqref="C210">
    <cfRule type="duplicateValues" dxfId="1150" priority="115"/>
  </conditionalFormatting>
  <conditionalFormatting sqref="C211">
    <cfRule type="duplicateValues" dxfId="1149" priority="114"/>
  </conditionalFormatting>
  <conditionalFormatting sqref="C216">
    <cfRule type="duplicateValues" dxfId="1148" priority="113"/>
  </conditionalFormatting>
  <conditionalFormatting sqref="C217">
    <cfRule type="duplicateValues" dxfId="1147" priority="112"/>
  </conditionalFormatting>
  <conditionalFormatting sqref="C220">
    <cfRule type="duplicateValues" dxfId="1146" priority="111"/>
  </conditionalFormatting>
  <conditionalFormatting sqref="C221">
    <cfRule type="duplicateValues" dxfId="1145" priority="110"/>
  </conditionalFormatting>
  <conditionalFormatting sqref="C228">
    <cfRule type="duplicateValues" dxfId="1144" priority="108"/>
  </conditionalFormatting>
  <conditionalFormatting sqref="C229">
    <cfRule type="duplicateValues" dxfId="1143" priority="109"/>
  </conditionalFormatting>
  <conditionalFormatting sqref="C234">
    <cfRule type="duplicateValues" dxfId="1142" priority="107"/>
  </conditionalFormatting>
  <conditionalFormatting sqref="C235">
    <cfRule type="duplicateValues" dxfId="1141" priority="106"/>
  </conditionalFormatting>
  <conditionalFormatting sqref="C242">
    <cfRule type="duplicateValues" dxfId="1140" priority="105"/>
  </conditionalFormatting>
  <conditionalFormatting sqref="C243">
    <cfRule type="duplicateValues" dxfId="1139" priority="104"/>
  </conditionalFormatting>
  <conditionalFormatting sqref="C252">
    <cfRule type="duplicateValues" dxfId="1138" priority="103"/>
  </conditionalFormatting>
  <conditionalFormatting sqref="C253">
    <cfRule type="duplicateValues" dxfId="1137" priority="102"/>
  </conditionalFormatting>
  <conditionalFormatting sqref="C282">
    <cfRule type="duplicateValues" dxfId="1136" priority="95"/>
  </conditionalFormatting>
  <conditionalFormatting sqref="C283">
    <cfRule type="duplicateValues" dxfId="1135" priority="96"/>
  </conditionalFormatting>
  <conditionalFormatting sqref="C284">
    <cfRule type="duplicateValues" dxfId="1134" priority="94"/>
  </conditionalFormatting>
  <conditionalFormatting sqref="C285">
    <cfRule type="duplicateValues" dxfId="1133" priority="101"/>
  </conditionalFormatting>
  <conditionalFormatting sqref="C286">
    <cfRule type="duplicateValues" dxfId="1132" priority="99"/>
  </conditionalFormatting>
  <conditionalFormatting sqref="C287:C289">
    <cfRule type="duplicateValues" dxfId="1131" priority="100"/>
  </conditionalFormatting>
  <conditionalFormatting sqref="C288">
    <cfRule type="duplicateValues" dxfId="1130" priority="98"/>
  </conditionalFormatting>
  <conditionalFormatting sqref="C289">
    <cfRule type="duplicateValues" dxfId="1129" priority="97"/>
  </conditionalFormatting>
  <conditionalFormatting sqref="C303">
    <cfRule type="duplicateValues" dxfId="1128" priority="131"/>
  </conditionalFormatting>
  <conditionalFormatting sqref="C304">
    <cfRule type="duplicateValues" dxfId="1127" priority="130"/>
  </conditionalFormatting>
  <conditionalFormatting sqref="C342:C343">
    <cfRule type="duplicateValues" dxfId="1126" priority="53"/>
    <cfRule type="duplicateValues" dxfId="1125" priority="52"/>
  </conditionalFormatting>
  <conditionalFormatting sqref="C344:C345">
    <cfRule type="duplicateValues" dxfId="1124" priority="50"/>
    <cfRule type="duplicateValues" dxfId="1123" priority="51"/>
  </conditionalFormatting>
  <conditionalFormatting sqref="C348:C349">
    <cfRule type="duplicateValues" dxfId="1122" priority="49"/>
  </conditionalFormatting>
  <conditionalFormatting sqref="C352">
    <cfRule type="duplicateValues" dxfId="1121" priority="40"/>
  </conditionalFormatting>
  <conditionalFormatting sqref="C353">
    <cfRule type="duplicateValues" dxfId="1120" priority="39"/>
  </conditionalFormatting>
  <conditionalFormatting sqref="C354:C355">
    <cfRule type="duplicateValues" dxfId="1119" priority="36"/>
    <cfRule type="duplicateValues" dxfId="1118" priority="37"/>
  </conditionalFormatting>
  <conditionalFormatting sqref="C356">
    <cfRule type="duplicateValues" dxfId="1117" priority="34"/>
  </conditionalFormatting>
  <conditionalFormatting sqref="C356:C357">
    <cfRule type="duplicateValues" dxfId="1116" priority="35"/>
  </conditionalFormatting>
  <conditionalFormatting sqref="C357">
    <cfRule type="duplicateValues" dxfId="1115" priority="33"/>
  </conditionalFormatting>
  <conditionalFormatting sqref="C358:C359">
    <cfRule type="duplicateValues" dxfId="1114" priority="26"/>
  </conditionalFormatting>
  <conditionalFormatting sqref="C372:C373">
    <cfRule type="duplicateValues" dxfId="1113" priority="23"/>
  </conditionalFormatting>
  <conditionalFormatting sqref="C374:C379">
    <cfRule type="duplicateValues" dxfId="1112" priority="22"/>
  </conditionalFormatting>
  <conditionalFormatting sqref="C386:C389">
    <cfRule type="duplicateValues" dxfId="1111" priority="9"/>
  </conditionalFormatting>
  <conditionalFormatting sqref="C390:C391">
    <cfRule type="duplicateValues" dxfId="1110" priority="6"/>
  </conditionalFormatting>
  <conditionalFormatting sqref="C398:C399">
    <cfRule type="duplicateValues" dxfId="1109" priority="1"/>
  </conditionalFormatting>
  <conditionalFormatting sqref="D4">
    <cfRule type="duplicateValues" dxfId="1108" priority="207"/>
  </conditionalFormatting>
  <conditionalFormatting sqref="D5">
    <cfRule type="duplicateValues" dxfId="1107" priority="162"/>
  </conditionalFormatting>
  <conditionalFormatting sqref="D6:D7">
    <cfRule type="duplicateValues" dxfId="1106" priority="178"/>
  </conditionalFormatting>
  <conditionalFormatting sqref="D8">
    <cfRule type="duplicateValues" dxfId="1105" priority="163"/>
  </conditionalFormatting>
  <conditionalFormatting sqref="D9">
    <cfRule type="duplicateValues" dxfId="1104" priority="164"/>
  </conditionalFormatting>
  <conditionalFormatting sqref="D10:D11">
    <cfRule type="duplicateValues" dxfId="1103" priority="216"/>
  </conditionalFormatting>
  <conditionalFormatting sqref="D12:D13">
    <cfRule type="duplicateValues" dxfId="1102" priority="217"/>
  </conditionalFormatting>
  <conditionalFormatting sqref="D14:D15">
    <cfRule type="duplicateValues" dxfId="1101" priority="165"/>
  </conditionalFormatting>
  <conditionalFormatting sqref="D16:D17">
    <cfRule type="duplicateValues" dxfId="1100" priority="166"/>
  </conditionalFormatting>
  <conditionalFormatting sqref="D18:D19">
    <cfRule type="duplicateValues" dxfId="1099" priority="167"/>
  </conditionalFormatting>
  <conditionalFormatting sqref="D20">
    <cfRule type="duplicateValues" dxfId="1098" priority="168"/>
  </conditionalFormatting>
  <conditionalFormatting sqref="D21">
    <cfRule type="duplicateValues" dxfId="1097" priority="169"/>
  </conditionalFormatting>
  <conditionalFormatting sqref="D22:D23">
    <cfRule type="duplicateValues" dxfId="1096" priority="170"/>
  </conditionalFormatting>
  <conditionalFormatting sqref="D24">
    <cfRule type="duplicateValues" dxfId="1095" priority="172"/>
  </conditionalFormatting>
  <conditionalFormatting sqref="D27">
    <cfRule type="duplicateValues" dxfId="1094" priority="142"/>
  </conditionalFormatting>
  <conditionalFormatting sqref="D27:D28">
    <cfRule type="duplicateValues" dxfId="1093" priority="141"/>
  </conditionalFormatting>
  <conditionalFormatting sqref="D28">
    <cfRule type="duplicateValues" dxfId="1092" priority="143"/>
  </conditionalFormatting>
  <conditionalFormatting sqref="D29">
    <cfRule type="duplicateValues" dxfId="1091" priority="145"/>
  </conditionalFormatting>
  <conditionalFormatting sqref="D33">
    <cfRule type="duplicateValues" dxfId="1090" priority="218"/>
    <cfRule type="duplicateValues" dxfId="1089" priority="219"/>
  </conditionalFormatting>
  <conditionalFormatting sqref="D34">
    <cfRule type="duplicateValues" dxfId="1088" priority="70"/>
  </conditionalFormatting>
  <conditionalFormatting sqref="D35">
    <cfRule type="duplicateValues" dxfId="1087" priority="69"/>
  </conditionalFormatting>
  <conditionalFormatting sqref="D36:D37">
    <cfRule type="duplicateValues" dxfId="1086" priority="238"/>
  </conditionalFormatting>
  <conditionalFormatting sqref="D42">
    <cfRule type="duplicateValues" dxfId="1085" priority="68"/>
  </conditionalFormatting>
  <conditionalFormatting sqref="D43">
    <cfRule type="duplicateValues" dxfId="1084" priority="67"/>
  </conditionalFormatting>
  <conditionalFormatting sqref="D46:D47">
    <cfRule type="duplicateValues" dxfId="1083" priority="227"/>
  </conditionalFormatting>
  <conditionalFormatting sqref="D49">
    <cfRule type="duplicateValues" dxfId="1082" priority="234"/>
  </conditionalFormatting>
  <conditionalFormatting sqref="D61">
    <cfRule type="duplicateValues" dxfId="1081" priority="225"/>
  </conditionalFormatting>
  <conditionalFormatting sqref="D61:D62">
    <cfRule type="duplicateValues" dxfId="1080" priority="224"/>
  </conditionalFormatting>
  <conditionalFormatting sqref="D62">
    <cfRule type="duplicateValues" dxfId="1079" priority="226"/>
  </conditionalFormatting>
  <conditionalFormatting sqref="D71">
    <cfRule type="duplicateValues" dxfId="1078" priority="220"/>
  </conditionalFormatting>
  <conditionalFormatting sqref="D72">
    <cfRule type="duplicateValues" dxfId="1077" priority="221"/>
  </conditionalFormatting>
  <conditionalFormatting sqref="D87">
    <cfRule type="duplicateValues" dxfId="1076" priority="232"/>
  </conditionalFormatting>
  <conditionalFormatting sqref="D88">
    <cfRule type="duplicateValues" dxfId="1075" priority="233"/>
  </conditionalFormatting>
  <conditionalFormatting sqref="D91">
    <cfRule type="duplicateValues" dxfId="1074" priority="237"/>
  </conditionalFormatting>
  <conditionalFormatting sqref="D92">
    <cfRule type="duplicateValues" dxfId="1073" priority="78"/>
  </conditionalFormatting>
  <conditionalFormatting sqref="D93">
    <cfRule type="duplicateValues" dxfId="1072" priority="77"/>
  </conditionalFormatting>
  <conditionalFormatting sqref="D94">
    <cfRule type="duplicateValues" dxfId="1071" priority="80"/>
  </conditionalFormatting>
  <conditionalFormatting sqref="D95">
    <cfRule type="duplicateValues" dxfId="1070" priority="79"/>
  </conditionalFormatting>
  <conditionalFormatting sqref="D96">
    <cfRule type="duplicateValues" dxfId="1069" priority="76"/>
  </conditionalFormatting>
  <conditionalFormatting sqref="D97">
    <cfRule type="duplicateValues" dxfId="1068" priority="75"/>
  </conditionalFormatting>
  <conditionalFormatting sqref="D98">
    <cfRule type="duplicateValues" dxfId="1067" priority="74"/>
  </conditionalFormatting>
  <conditionalFormatting sqref="D99">
    <cfRule type="duplicateValues" dxfId="1066" priority="73"/>
  </conditionalFormatting>
  <conditionalFormatting sqref="D100 D48">
    <cfRule type="duplicateValues" dxfId="1065" priority="228"/>
  </conditionalFormatting>
  <conditionalFormatting sqref="D106">
    <cfRule type="duplicateValues" dxfId="1064" priority="202"/>
  </conditionalFormatting>
  <conditionalFormatting sqref="D107">
    <cfRule type="duplicateValues" dxfId="1063" priority="206"/>
  </conditionalFormatting>
  <conditionalFormatting sqref="D109:D110">
    <cfRule type="duplicateValues" dxfId="1062" priority="235"/>
  </conditionalFormatting>
  <conditionalFormatting sqref="D115">
    <cfRule type="duplicateValues" dxfId="1061" priority="236"/>
  </conditionalFormatting>
  <conditionalFormatting sqref="D116:D117">
    <cfRule type="duplicateValues" dxfId="1060" priority="60"/>
  </conditionalFormatting>
  <conditionalFormatting sqref="D119">
    <cfRule type="duplicateValues" dxfId="1059" priority="54"/>
  </conditionalFormatting>
  <conditionalFormatting sqref="D120">
    <cfRule type="duplicateValues" dxfId="1058" priority="222"/>
  </conditionalFormatting>
  <conditionalFormatting sqref="D123">
    <cfRule type="duplicateValues" dxfId="1057" priority="229"/>
  </conditionalFormatting>
  <conditionalFormatting sqref="D124">
    <cfRule type="duplicateValues" dxfId="1056" priority="61"/>
  </conditionalFormatting>
  <conditionalFormatting sqref="D126">
    <cfRule type="duplicateValues" dxfId="1055" priority="230"/>
  </conditionalFormatting>
  <conditionalFormatting sqref="D127">
    <cfRule type="duplicateValues" dxfId="1054" priority="231"/>
  </conditionalFormatting>
  <conditionalFormatting sqref="D132:D133 D194:D195">
    <cfRule type="duplicateValues" dxfId="1053" priority="188"/>
  </conditionalFormatting>
  <conditionalFormatting sqref="D136:D137">
    <cfRule type="duplicateValues" dxfId="1052" priority="183"/>
  </conditionalFormatting>
  <conditionalFormatting sqref="D138:D139">
    <cfRule type="duplicateValues" dxfId="1051" priority="184"/>
  </conditionalFormatting>
  <conditionalFormatting sqref="D140:D141">
    <cfRule type="duplicateValues" dxfId="1050" priority="185"/>
  </conditionalFormatting>
  <conditionalFormatting sqref="D142:D143">
    <cfRule type="duplicateValues" dxfId="1049" priority="186"/>
  </conditionalFormatting>
  <conditionalFormatting sqref="D148:D149">
    <cfRule type="duplicateValues" dxfId="1048" priority="182"/>
  </conditionalFormatting>
  <conditionalFormatting sqref="D150:D151">
    <cfRule type="duplicateValues" dxfId="1047" priority="179"/>
  </conditionalFormatting>
  <conditionalFormatting sqref="D152:D153">
    <cfRule type="duplicateValues" dxfId="1046" priority="180"/>
  </conditionalFormatting>
  <conditionalFormatting sqref="D154:D155">
    <cfRule type="duplicateValues" dxfId="1045" priority="181"/>
  </conditionalFormatting>
  <conditionalFormatting sqref="D156:D157">
    <cfRule type="duplicateValues" dxfId="1044" priority="196"/>
  </conditionalFormatting>
  <conditionalFormatting sqref="D158:D187">
    <cfRule type="duplicateValues" dxfId="1043" priority="197"/>
  </conditionalFormatting>
  <conditionalFormatting sqref="D188:D189">
    <cfRule type="duplicateValues" dxfId="1042" priority="189"/>
  </conditionalFormatting>
  <conditionalFormatting sqref="D190:D191">
    <cfRule type="duplicateValues" dxfId="1041" priority="187"/>
  </conditionalFormatting>
  <conditionalFormatting sqref="D192:D193">
    <cfRule type="duplicateValues" dxfId="1040" priority="190"/>
  </conditionalFormatting>
  <conditionalFormatting sqref="D196:D197">
    <cfRule type="duplicateValues" dxfId="1039" priority="191"/>
  </conditionalFormatting>
  <conditionalFormatting sqref="D198:D199">
    <cfRule type="duplicateValues" dxfId="1038" priority="192"/>
  </conditionalFormatting>
  <conditionalFormatting sqref="D200:D203">
    <cfRule type="duplicateValues" dxfId="1037" priority="194"/>
  </conditionalFormatting>
  <conditionalFormatting sqref="D204:D205">
    <cfRule type="duplicateValues" dxfId="1036" priority="193"/>
  </conditionalFormatting>
  <conditionalFormatting sqref="D206:D207">
    <cfRule type="duplicateValues" dxfId="1035" priority="195"/>
  </conditionalFormatting>
  <conditionalFormatting sqref="D208:D209">
    <cfRule type="duplicateValues" dxfId="1034" priority="199"/>
  </conditionalFormatting>
  <conditionalFormatting sqref="D210:D211">
    <cfRule type="duplicateValues" dxfId="1033" priority="200"/>
  </conditionalFormatting>
  <conditionalFormatting sqref="D216:D217">
    <cfRule type="duplicateValues" dxfId="1032" priority="201"/>
  </conditionalFormatting>
  <conditionalFormatting sqref="D225">
    <cfRule type="duplicateValues" dxfId="1031" priority="63"/>
  </conditionalFormatting>
  <conditionalFormatting sqref="D234:D235">
    <cfRule type="duplicateValues" dxfId="1030" priority="203"/>
  </conditionalFormatting>
  <conditionalFormatting sqref="D242:D243">
    <cfRule type="duplicateValues" dxfId="1029" priority="204"/>
  </conditionalFormatting>
  <conditionalFormatting sqref="D248:D249">
    <cfRule type="duplicateValues" dxfId="1028" priority="160"/>
  </conditionalFormatting>
  <conditionalFormatting sqref="D250:D251">
    <cfRule type="duplicateValues" dxfId="1027" priority="205"/>
  </conditionalFormatting>
  <conditionalFormatting sqref="D254:D255">
    <cfRule type="duplicateValues" dxfId="1026" priority="161"/>
  </conditionalFormatting>
  <conditionalFormatting sqref="D266:D267">
    <cfRule type="duplicateValues" dxfId="1025" priority="155"/>
  </conditionalFormatting>
  <conditionalFormatting sqref="D268:D269">
    <cfRule type="duplicateValues" dxfId="1024" priority="156"/>
  </conditionalFormatting>
  <conditionalFormatting sqref="D270:D271">
    <cfRule type="duplicateValues" dxfId="1023" priority="157"/>
  </conditionalFormatting>
  <conditionalFormatting sqref="D272:D273">
    <cfRule type="duplicateValues" dxfId="1022" priority="214"/>
  </conditionalFormatting>
  <conditionalFormatting sqref="D274 D331:D333">
    <cfRule type="duplicateValues" dxfId="1021" priority="159"/>
  </conditionalFormatting>
  <conditionalFormatting sqref="D275 D277 D281">
    <cfRule type="duplicateValues" dxfId="1020" priority="215"/>
  </conditionalFormatting>
  <conditionalFormatting sqref="D276">
    <cfRule type="duplicateValues" dxfId="1019" priority="174"/>
  </conditionalFormatting>
  <conditionalFormatting sqref="D278 D315 D328">
    <cfRule type="duplicateValues" dxfId="1018" priority="213"/>
  </conditionalFormatting>
  <conditionalFormatting sqref="D279 D314">
    <cfRule type="duplicateValues" dxfId="1017" priority="208"/>
  </conditionalFormatting>
  <conditionalFormatting sqref="D280">
    <cfRule type="duplicateValues" dxfId="1016" priority="177"/>
  </conditionalFormatting>
  <conditionalFormatting sqref="D282:D283">
    <cfRule type="duplicateValues" dxfId="1015" priority="210"/>
  </conditionalFormatting>
  <conditionalFormatting sqref="D284:D285">
    <cfRule type="duplicateValues" dxfId="1014" priority="212"/>
  </conditionalFormatting>
  <conditionalFormatting sqref="D286:D289">
    <cfRule type="duplicateValues" dxfId="1013" priority="211"/>
  </conditionalFormatting>
  <conditionalFormatting sqref="D288:D289">
    <cfRule type="duplicateValues" dxfId="1012" priority="209"/>
  </conditionalFormatting>
  <conditionalFormatting sqref="D290:D291">
    <cfRule type="duplicateValues" dxfId="1011" priority="154"/>
  </conditionalFormatting>
  <conditionalFormatting sqref="D292:D293">
    <cfRule type="duplicateValues" dxfId="1010" priority="150"/>
  </conditionalFormatting>
  <conditionalFormatting sqref="D294:D295">
    <cfRule type="duplicateValues" dxfId="1009" priority="151"/>
  </conditionalFormatting>
  <conditionalFormatting sqref="D296:D297">
    <cfRule type="duplicateValues" dxfId="1008" priority="152"/>
  </conditionalFormatting>
  <conditionalFormatting sqref="D298">
    <cfRule type="duplicateValues" dxfId="1007" priority="175"/>
  </conditionalFormatting>
  <conditionalFormatting sqref="D299">
    <cfRule type="duplicateValues" dxfId="1006" priority="153"/>
  </conditionalFormatting>
  <conditionalFormatting sqref="D300:D301 D303:D313 D316:D323 D326:D327">
    <cfRule type="duplicateValues" dxfId="1005" priority="239"/>
  </conditionalFormatting>
  <conditionalFormatting sqref="D302">
    <cfRule type="duplicateValues" dxfId="1004" priority="176"/>
  </conditionalFormatting>
  <conditionalFormatting sqref="D324">
    <cfRule type="duplicateValues" dxfId="1003" priority="5"/>
  </conditionalFormatting>
  <conditionalFormatting sqref="D325">
    <cfRule type="duplicateValues" dxfId="1002" priority="4"/>
  </conditionalFormatting>
  <conditionalFormatting sqref="D329:D330">
    <cfRule type="duplicateValues" dxfId="1001" priority="158"/>
  </conditionalFormatting>
  <conditionalFormatting sqref="D350:D351">
    <cfRule type="duplicateValues" dxfId="1000" priority="42"/>
  </conditionalFormatting>
  <conditionalFormatting sqref="D352:D353">
    <cfRule type="duplicateValues" dxfId="999" priority="38"/>
  </conditionalFormatting>
  <conditionalFormatting sqref="D359">
    <cfRule type="duplicateValues" dxfId="998" priority="28"/>
  </conditionalFormatting>
  <conditionalFormatting sqref="D360:D361">
    <cfRule type="duplicateValues" dxfId="997" priority="25"/>
  </conditionalFormatting>
  <conditionalFormatting sqref="D368:D369">
    <cfRule type="duplicateValues" dxfId="996" priority="24"/>
  </conditionalFormatting>
  <conditionalFormatting sqref="D380">
    <cfRule type="duplicateValues" dxfId="995" priority="19"/>
  </conditionalFormatting>
  <conditionalFormatting sqref="D380:D381">
    <cfRule type="duplicateValues" dxfId="994" priority="20"/>
  </conditionalFormatting>
  <conditionalFormatting sqref="D381">
    <cfRule type="duplicateValues" dxfId="993" priority="18"/>
  </conditionalFormatting>
  <conditionalFormatting sqref="D382">
    <cfRule type="duplicateValues" dxfId="992" priority="16"/>
  </conditionalFormatting>
  <conditionalFormatting sqref="D382:D383">
    <cfRule type="duplicateValues" dxfId="991" priority="17"/>
  </conditionalFormatting>
  <conditionalFormatting sqref="D383">
    <cfRule type="duplicateValues" dxfId="990" priority="15"/>
  </conditionalFormatting>
  <conditionalFormatting sqref="D384">
    <cfRule type="duplicateValues" dxfId="989" priority="13"/>
  </conditionalFormatting>
  <conditionalFormatting sqref="D384:D385">
    <cfRule type="duplicateValues" dxfId="988" priority="14"/>
  </conditionalFormatting>
  <conditionalFormatting sqref="D385">
    <cfRule type="duplicateValues" dxfId="987" priority="12"/>
  </conditionalFormatting>
  <conditionalFormatting sqref="H206:H207">
    <cfRule type="expression" dxfId="986" priority="81">
      <formula>IF(G206&gt;1,FALSE,TRUE)</formula>
    </cfRule>
  </conditionalFormatting>
  <dataValidations count="5">
    <dataValidation type="list" allowBlank="1" showInputMessage="1" showErrorMessage="1" sqref="Z380:AA385 V156:V161 V167:V177 V185:V187 V183 V165 V4:W23 V26:V27 AD2:AD3 S4:S23 X382:X383 Z2:AA3 V30:V31 AD380:AD385 AF380:AF383 Q386:S389 AE384:AE385 AH382:AH383 AJ382:AJ383 V179:V181 V209:V216 V189 V191 V200:V207 V130:V131 V126:V127 Q380:U385 Q390:R395 W382:W385 Q2:W3 R396:R399" xr:uid="{BED33EE6-2189-460E-A379-43B3F6426CB1}">
      <formula1>"Conv-A DONE,Conv-B DONE"</formula1>
    </dataValidation>
    <dataValidation type="list" allowBlank="1" showInputMessage="1" showErrorMessage="1" sqref="W134:W139 W142:W143 R342:W345 V132:V133 R346:R349 AF346:AF349 R350:W351 V330:W335 AF134:AF143 S218:S219 W34:W35 V34:V63 V116:V117 T346:W349 AF38:AF41 W82:W85 R354:R357 W354:W357 W372:W377 R358:W361 R370:R379 R362:T363 V362:V363 S364:W367 R368:W369 V370:W371 T370:T371 R334:R335 T334:T335 S334:S341 S348:S349 S352:S353 S266:S273 S258:S261 S180:S181 S184:S187 S192 S200:S201 S204:S205 S212:S215 R34:R35 T34:U35" xr:uid="{CE16203B-5D89-4F4D-B142-359112F3D274}">
      <formula1>"Done"</formula1>
    </dataValidation>
    <dataValidation type="list" allowBlank="1" showInputMessage="1" showErrorMessage="1" sqref="X342:X351 X328:X339 X358:X371 X46:X57 X2:X29 X116:X118 X132:X147 X156:X157 X179 X188:X197 X200:X203 X210:X211 X216:X217 X276:X279 X282:X289 X310:X317 X376:X377 X380:X381 X384:X389 X392:X395 X301 X32:X35 X64:X65 X76 X112:X113 X122:X125 X296:X297 X262:X273 X220:X225 X228:X229 X234:X237 X240:X243 X246:X258 X104:X107" xr:uid="{9492485D-E31A-47E9-AF25-47F55E9466B2}">
      <formula1>"Both Not Available, PWR side available, 4QC side available, Both side available"</formula1>
    </dataValidation>
    <dataValidation type="list" allowBlank="1" showInputMessage="1" showErrorMessage="1" sqref="Q132:Q133 Q34:Q63 Q116:Q117 Q24:Q29 Q358:Q379 Q334:Q353" xr:uid="{B5F10E1B-1AE1-4824-B386-3E26DF4A2A0E}">
      <formula1>"Done with wire"</formula1>
    </dataValidation>
    <dataValidation type="list" allowBlank="1" showInputMessage="1" showErrorMessage="1" sqref="J1:J391 J394:J1048576" xr:uid="{8136F15D-7B92-4A1E-8B90-21A21BCDA625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7903-43D7-40B1-B2E9-EEA411094822}">
  <dimension ref="A3:U16"/>
  <sheetViews>
    <sheetView tabSelected="1" zoomScale="84" workbookViewId="0">
      <selection activeCell="E7" sqref="E7"/>
    </sheetView>
  </sheetViews>
  <sheetFormatPr defaultColWidth="10.44140625" defaultRowHeight="13.2" x14ac:dyDescent="0.25"/>
  <cols>
    <col min="1" max="1" width="16.77734375" bestFit="1" customWidth="1"/>
    <col min="2" max="2" width="11.109375" bestFit="1" customWidth="1"/>
    <col min="3" max="3" width="25.33203125" bestFit="1" customWidth="1"/>
    <col min="4" max="4" width="31.33203125" bestFit="1" customWidth="1"/>
    <col min="5" max="5" width="47.88671875" bestFit="1" customWidth="1"/>
    <col min="6" max="6" width="39.21875" bestFit="1" customWidth="1"/>
    <col min="7" max="7" width="33.21875" bestFit="1" customWidth="1"/>
    <col min="8" max="8" width="23.5546875" bestFit="1" customWidth="1"/>
    <col min="9" max="9" width="46.21875" bestFit="1" customWidth="1"/>
    <col min="10" max="10" width="30.109375" bestFit="1" customWidth="1"/>
    <col min="11" max="11" width="60.77734375" bestFit="1" customWidth="1"/>
    <col min="12" max="12" width="19.5546875" bestFit="1" customWidth="1"/>
    <col min="13" max="13" width="9.21875" bestFit="1" customWidth="1"/>
    <col min="14" max="14" width="14.77734375" bestFit="1" customWidth="1"/>
    <col min="15" max="15" width="25.6640625" bestFit="1" customWidth="1"/>
    <col min="16" max="16" width="23.5546875" bestFit="1" customWidth="1"/>
    <col min="17" max="17" width="29" bestFit="1" customWidth="1"/>
    <col min="18" max="18" width="12.5546875" bestFit="1" customWidth="1"/>
    <col min="19" max="19" width="9.109375" bestFit="1" customWidth="1"/>
    <col min="20" max="20" width="37" bestFit="1" customWidth="1"/>
    <col min="21" max="21" width="48.109375" bestFit="1" customWidth="1"/>
  </cols>
  <sheetData>
    <row r="3" spans="1:21" s="18" customFormat="1" ht="12.75" customHeight="1" x14ac:dyDescent="0.25">
      <c r="A3" s="643" t="s">
        <v>472</v>
      </c>
      <c r="B3" s="18" t="s">
        <v>473</v>
      </c>
      <c r="C3" s="1118" t="s">
        <v>474</v>
      </c>
      <c r="D3" s="18" t="s">
        <v>475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487</v>
      </c>
      <c r="Q3" s="18" t="s">
        <v>488</v>
      </c>
      <c r="R3" s="18" t="s">
        <v>489</v>
      </c>
      <c r="S3" s="18" t="s">
        <v>490</v>
      </c>
      <c r="T3" s="18" t="s">
        <v>491</v>
      </c>
      <c r="U3" s="18" t="s">
        <v>1231</v>
      </c>
    </row>
    <row r="4" spans="1:21" s="3" customFormat="1" x14ac:dyDescent="0.25">
      <c r="A4" s="3" t="s">
        <v>1248</v>
      </c>
      <c r="B4" s="1448">
        <v>12</v>
      </c>
      <c r="C4" s="1448"/>
      <c r="D4" s="1448">
        <v>8</v>
      </c>
      <c r="E4" s="1448">
        <v>12</v>
      </c>
      <c r="F4" s="1448">
        <v>12</v>
      </c>
      <c r="G4" s="1448">
        <v>12</v>
      </c>
      <c r="H4" s="1448">
        <v>12</v>
      </c>
      <c r="I4" s="1448">
        <v>12</v>
      </c>
      <c r="J4" s="1448">
        <v>12</v>
      </c>
      <c r="K4" s="1448">
        <v>12</v>
      </c>
      <c r="L4" s="1448"/>
      <c r="M4" s="1448">
        <v>12</v>
      </c>
      <c r="N4" s="1448">
        <v>2</v>
      </c>
      <c r="O4" s="1448">
        <v>12</v>
      </c>
      <c r="P4" s="1448">
        <v>12</v>
      </c>
      <c r="Q4" s="1448">
        <v>12</v>
      </c>
      <c r="R4" s="1448">
        <v>12</v>
      </c>
      <c r="S4" s="1448">
        <v>12</v>
      </c>
      <c r="T4" s="1448">
        <v>12</v>
      </c>
      <c r="U4" s="1448">
        <v>8</v>
      </c>
    </row>
    <row r="5" spans="1:21" s="3" customFormat="1" x14ac:dyDescent="0.25">
      <c r="A5" s="3" t="s">
        <v>1288</v>
      </c>
      <c r="B5" s="1448">
        <v>20</v>
      </c>
      <c r="C5" s="1448">
        <v>6</v>
      </c>
      <c r="D5" s="1448">
        <v>6</v>
      </c>
      <c r="E5" s="1448">
        <v>20</v>
      </c>
      <c r="F5" s="1448">
        <v>20</v>
      </c>
      <c r="G5" s="1448">
        <v>20</v>
      </c>
      <c r="H5" s="1448">
        <v>20</v>
      </c>
      <c r="I5" s="1448">
        <v>20</v>
      </c>
      <c r="J5" s="1448">
        <v>20</v>
      </c>
      <c r="K5" s="1448">
        <v>20</v>
      </c>
      <c r="L5" s="1448"/>
      <c r="M5" s="1448">
        <v>20</v>
      </c>
      <c r="N5" s="1448">
        <v>8</v>
      </c>
      <c r="O5" s="1448">
        <v>20</v>
      </c>
      <c r="P5" s="1448">
        <v>20</v>
      </c>
      <c r="Q5" s="1448">
        <v>20</v>
      </c>
      <c r="R5" s="1448">
        <v>20</v>
      </c>
      <c r="S5" s="1448">
        <v>12</v>
      </c>
      <c r="T5" s="1448">
        <v>16</v>
      </c>
      <c r="U5" s="1448">
        <v>18</v>
      </c>
    </row>
    <row r="6" spans="1:21" s="3" customFormat="1" x14ac:dyDescent="0.25">
      <c r="A6" s="3" t="s">
        <v>1484</v>
      </c>
      <c r="B6" s="1448">
        <v>6</v>
      </c>
      <c r="C6" s="1448">
        <v>4</v>
      </c>
      <c r="D6" s="1448">
        <v>4</v>
      </c>
      <c r="E6" s="1448">
        <v>6</v>
      </c>
      <c r="F6" s="1448">
        <v>6</v>
      </c>
      <c r="G6" s="1448">
        <v>6</v>
      </c>
      <c r="H6" s="1448">
        <v>6</v>
      </c>
      <c r="I6" s="1448">
        <v>6</v>
      </c>
      <c r="J6" s="1448">
        <v>6</v>
      </c>
      <c r="K6" s="1448">
        <v>6</v>
      </c>
      <c r="L6" s="1448"/>
      <c r="M6" s="1448">
        <v>6</v>
      </c>
      <c r="N6" s="1448">
        <v>2</v>
      </c>
      <c r="O6" s="1448">
        <v>2</v>
      </c>
      <c r="P6" s="1448">
        <v>6</v>
      </c>
      <c r="Q6" s="1448">
        <v>6</v>
      </c>
      <c r="R6" s="1448">
        <v>6</v>
      </c>
      <c r="S6" s="1448">
        <v>4</v>
      </c>
      <c r="T6" s="1448">
        <v>2</v>
      </c>
      <c r="U6" s="1448">
        <v>4</v>
      </c>
    </row>
    <row r="7" spans="1:21" s="3" customFormat="1" x14ac:dyDescent="0.25">
      <c r="A7" s="3" t="s">
        <v>1316</v>
      </c>
      <c r="B7" s="1448">
        <v>40</v>
      </c>
      <c r="C7" s="1448">
        <v>32</v>
      </c>
      <c r="D7" s="1448">
        <v>31</v>
      </c>
      <c r="E7" s="1448">
        <v>40</v>
      </c>
      <c r="F7" s="1448">
        <v>40</v>
      </c>
      <c r="G7" s="1448">
        <v>40</v>
      </c>
      <c r="H7" s="1448">
        <v>40</v>
      </c>
      <c r="I7" s="1448">
        <v>40</v>
      </c>
      <c r="J7" s="1448">
        <v>40</v>
      </c>
      <c r="K7" s="1448">
        <v>40</v>
      </c>
      <c r="L7" s="1448">
        <v>5</v>
      </c>
      <c r="M7" s="1448">
        <v>40</v>
      </c>
      <c r="N7" s="1448"/>
      <c r="O7" s="1448">
        <v>26</v>
      </c>
      <c r="P7" s="1448">
        <v>40</v>
      </c>
      <c r="Q7" s="1448">
        <v>40</v>
      </c>
      <c r="R7" s="1448">
        <v>40</v>
      </c>
      <c r="S7" s="1448">
        <v>38</v>
      </c>
      <c r="T7" s="1448">
        <v>12</v>
      </c>
      <c r="U7" s="1448">
        <v>40</v>
      </c>
    </row>
    <row r="8" spans="1:21" s="58" customFormat="1" x14ac:dyDescent="0.25">
      <c r="A8" s="3" t="s">
        <v>1307</v>
      </c>
      <c r="B8" s="1448">
        <v>74</v>
      </c>
      <c r="C8" s="1448">
        <v>70</v>
      </c>
      <c r="D8" s="1448">
        <v>70</v>
      </c>
      <c r="E8" s="1448">
        <v>74</v>
      </c>
      <c r="F8" s="1448">
        <v>74</v>
      </c>
      <c r="G8" s="1448">
        <v>74</v>
      </c>
      <c r="H8" s="1448">
        <v>74</v>
      </c>
      <c r="I8" s="1448">
        <v>74</v>
      </c>
      <c r="J8" s="1448">
        <v>74</v>
      </c>
      <c r="K8" s="1448">
        <v>74</v>
      </c>
      <c r="L8" s="1448">
        <v>18</v>
      </c>
      <c r="M8" s="1448">
        <v>74</v>
      </c>
      <c r="N8" s="1448">
        <v>10</v>
      </c>
      <c r="O8" s="1448">
        <v>74</v>
      </c>
      <c r="P8" s="1448">
        <v>74</v>
      </c>
      <c r="Q8" s="1448">
        <v>74</v>
      </c>
      <c r="R8" s="1448">
        <v>74</v>
      </c>
      <c r="S8" s="1448">
        <v>70</v>
      </c>
      <c r="T8" s="1448">
        <v>22</v>
      </c>
      <c r="U8" s="1448">
        <v>64</v>
      </c>
    </row>
    <row r="9" spans="1:21" s="58" customFormat="1" x14ac:dyDescent="0.25">
      <c r="A9" s="3" t="s">
        <v>1500</v>
      </c>
      <c r="B9" s="1448">
        <v>26</v>
      </c>
      <c r="C9" s="1448">
        <v>16</v>
      </c>
      <c r="D9" s="1448">
        <v>16</v>
      </c>
      <c r="E9" s="1448">
        <v>24</v>
      </c>
      <c r="F9" s="1448">
        <v>24</v>
      </c>
      <c r="G9" s="1448">
        <v>24</v>
      </c>
      <c r="H9" s="1448">
        <v>26</v>
      </c>
      <c r="I9" s="1448">
        <v>26</v>
      </c>
      <c r="J9" s="1448">
        <v>26</v>
      </c>
      <c r="K9" s="1448">
        <v>26</v>
      </c>
      <c r="L9" s="1448">
        <v>2</v>
      </c>
      <c r="M9" s="1448">
        <v>26</v>
      </c>
      <c r="N9" s="1448">
        <v>10</v>
      </c>
      <c r="O9" s="1448">
        <v>26</v>
      </c>
      <c r="P9" s="1448">
        <v>26</v>
      </c>
      <c r="Q9" s="1448">
        <v>26</v>
      </c>
      <c r="R9" s="1448">
        <v>24</v>
      </c>
      <c r="S9" s="1448">
        <v>12</v>
      </c>
      <c r="T9" s="1448">
        <v>16</v>
      </c>
      <c r="U9" s="1448">
        <v>8</v>
      </c>
    </row>
    <row r="10" spans="1:21" s="58" customFormat="1" x14ac:dyDescent="0.25">
      <c r="A10" s="3" t="s">
        <v>1881</v>
      </c>
      <c r="B10" s="1448">
        <v>2</v>
      </c>
      <c r="C10" s="1448"/>
      <c r="D10" s="1448"/>
      <c r="E10" s="1448">
        <v>2</v>
      </c>
      <c r="F10" s="1448">
        <v>2</v>
      </c>
      <c r="G10" s="1448">
        <v>2</v>
      </c>
      <c r="H10" s="1448">
        <v>2</v>
      </c>
      <c r="I10" s="1448">
        <v>2</v>
      </c>
      <c r="J10" s="1448">
        <v>2</v>
      </c>
      <c r="K10" s="1448">
        <v>2</v>
      </c>
      <c r="L10" s="1448"/>
      <c r="M10" s="1448">
        <v>2</v>
      </c>
      <c r="N10" s="1448">
        <v>2</v>
      </c>
      <c r="O10" s="1448">
        <v>2</v>
      </c>
      <c r="P10" s="1448">
        <v>2</v>
      </c>
      <c r="Q10" s="1448">
        <v>2</v>
      </c>
      <c r="R10" s="1448">
        <v>2</v>
      </c>
      <c r="S10" s="1448"/>
      <c r="T10" s="1448"/>
      <c r="U10" s="1448">
        <v>2</v>
      </c>
    </row>
    <row r="11" spans="1:21" s="58" customFormat="1" x14ac:dyDescent="0.25">
      <c r="A11" s="3" t="s">
        <v>1375</v>
      </c>
      <c r="B11" s="1448">
        <v>70</v>
      </c>
      <c r="C11" s="1448">
        <v>50</v>
      </c>
      <c r="D11" s="1448">
        <v>52</v>
      </c>
      <c r="E11" s="1448">
        <v>70</v>
      </c>
      <c r="F11" s="1448">
        <v>70</v>
      </c>
      <c r="G11" s="1448">
        <v>68</v>
      </c>
      <c r="H11" s="1448">
        <v>70</v>
      </c>
      <c r="I11" s="1448">
        <v>68</v>
      </c>
      <c r="J11" s="1448">
        <v>70</v>
      </c>
      <c r="K11" s="1448">
        <v>70</v>
      </c>
      <c r="L11" s="1448">
        <v>10</v>
      </c>
      <c r="M11" s="1448">
        <v>70</v>
      </c>
      <c r="N11" s="1448">
        <v>8</v>
      </c>
      <c r="O11" s="1448">
        <v>48</v>
      </c>
      <c r="P11" s="1448">
        <v>70</v>
      </c>
      <c r="Q11" s="1448">
        <v>70</v>
      </c>
      <c r="R11" s="1448">
        <v>70</v>
      </c>
      <c r="S11" s="1448">
        <v>48</v>
      </c>
      <c r="T11" s="1448">
        <v>19</v>
      </c>
      <c r="U11" s="1448">
        <v>66</v>
      </c>
    </row>
    <row r="12" spans="1:21" s="58" customFormat="1" x14ac:dyDescent="0.25">
      <c r="A12" s="3" t="s">
        <v>1665</v>
      </c>
      <c r="B12" s="1448">
        <v>16</v>
      </c>
      <c r="C12" s="1448">
        <v>10</v>
      </c>
      <c r="D12" s="1448">
        <v>8</v>
      </c>
      <c r="E12" s="1448">
        <v>16</v>
      </c>
      <c r="F12" s="1448">
        <v>16</v>
      </c>
      <c r="G12" s="1448">
        <v>16</v>
      </c>
      <c r="H12" s="1448">
        <v>16</v>
      </c>
      <c r="I12" s="1448">
        <v>14</v>
      </c>
      <c r="J12" s="1448">
        <v>16</v>
      </c>
      <c r="K12" s="1448">
        <v>12</v>
      </c>
      <c r="L12" s="1448">
        <v>3</v>
      </c>
      <c r="M12" s="1448">
        <v>16</v>
      </c>
      <c r="N12" s="1448">
        <v>5</v>
      </c>
      <c r="O12" s="1448">
        <v>16</v>
      </c>
      <c r="P12" s="1448">
        <v>16</v>
      </c>
      <c r="Q12" s="1448">
        <v>16</v>
      </c>
      <c r="R12" s="1448">
        <v>16</v>
      </c>
      <c r="S12" s="1448">
        <v>14</v>
      </c>
      <c r="T12" s="1448">
        <v>2</v>
      </c>
      <c r="U12" s="1448">
        <v>16</v>
      </c>
    </row>
    <row r="13" spans="1:21" s="58" customFormat="1" x14ac:dyDescent="0.25">
      <c r="A13" s="3" t="s">
        <v>1242</v>
      </c>
      <c r="B13" s="1448">
        <v>60</v>
      </c>
      <c r="C13" s="1448">
        <v>36</v>
      </c>
      <c r="D13" s="1448">
        <v>47</v>
      </c>
      <c r="E13" s="1448">
        <v>60</v>
      </c>
      <c r="F13" s="1448">
        <v>60</v>
      </c>
      <c r="G13" s="1448">
        <v>60</v>
      </c>
      <c r="H13" s="1448">
        <v>60</v>
      </c>
      <c r="I13" s="1448">
        <v>60</v>
      </c>
      <c r="J13" s="1448">
        <v>60</v>
      </c>
      <c r="K13" s="1448">
        <v>58</v>
      </c>
      <c r="L13" s="1448">
        <v>14</v>
      </c>
      <c r="M13" s="1448">
        <v>60</v>
      </c>
      <c r="N13" s="1448">
        <v>21</v>
      </c>
      <c r="O13" s="1448">
        <v>60</v>
      </c>
      <c r="P13" s="1448">
        <v>60</v>
      </c>
      <c r="Q13" s="1448">
        <v>60</v>
      </c>
      <c r="R13" s="1448">
        <v>60</v>
      </c>
      <c r="S13" s="1448">
        <v>60</v>
      </c>
      <c r="T13" s="1448">
        <v>18</v>
      </c>
      <c r="U13" s="1448">
        <v>52</v>
      </c>
    </row>
    <row r="14" spans="1:21" s="58" customFormat="1" x14ac:dyDescent="0.25">
      <c r="A14" s="3" t="s">
        <v>1739</v>
      </c>
      <c r="B14" s="1448">
        <v>72</v>
      </c>
      <c r="C14" s="1448">
        <v>66</v>
      </c>
      <c r="D14" s="1448">
        <v>60</v>
      </c>
      <c r="E14" s="1448">
        <v>72</v>
      </c>
      <c r="F14" s="1448">
        <v>72</v>
      </c>
      <c r="G14" s="1448">
        <v>72</v>
      </c>
      <c r="H14" s="1448">
        <v>72</v>
      </c>
      <c r="I14" s="1448">
        <v>72</v>
      </c>
      <c r="J14" s="1448">
        <v>72</v>
      </c>
      <c r="K14" s="1448">
        <v>72</v>
      </c>
      <c r="L14" s="1448">
        <v>6</v>
      </c>
      <c r="M14" s="1448">
        <v>72</v>
      </c>
      <c r="N14" s="1448">
        <v>8</v>
      </c>
      <c r="O14" s="1448">
        <v>72</v>
      </c>
      <c r="P14" s="1448">
        <v>72</v>
      </c>
      <c r="Q14" s="1448">
        <v>72</v>
      </c>
      <c r="R14" s="1448">
        <v>72</v>
      </c>
      <c r="S14" s="1448">
        <v>52</v>
      </c>
      <c r="T14" s="1448">
        <v>44</v>
      </c>
      <c r="U14" s="1448">
        <v>68</v>
      </c>
    </row>
    <row r="15" spans="1:21" s="58" customFormat="1" x14ac:dyDescent="0.25">
      <c r="A15" s="3" t="s">
        <v>493</v>
      </c>
      <c r="B15" s="1448"/>
      <c r="C15" s="1448"/>
      <c r="D15" s="1448"/>
      <c r="E15" s="1448"/>
      <c r="F15" s="1448"/>
      <c r="G15" s="1448"/>
      <c r="H15" s="1448"/>
      <c r="I15" s="1448"/>
      <c r="J15" s="1448">
        <v>2</v>
      </c>
      <c r="K15" s="1448"/>
      <c r="L15" s="1448"/>
      <c r="M15" s="1448"/>
      <c r="N15" s="1448"/>
      <c r="O15" s="1448"/>
      <c r="P15" s="1448"/>
      <c r="Q15" s="1448"/>
      <c r="R15" s="1448"/>
      <c r="S15" s="1448"/>
      <c r="T15" s="1448"/>
      <c r="U15" s="1448"/>
    </row>
    <row r="16" spans="1:21" x14ac:dyDescent="0.25">
      <c r="A16" s="3" t="s">
        <v>494</v>
      </c>
      <c r="B16" s="1448">
        <v>398</v>
      </c>
      <c r="C16" s="1448">
        <v>290</v>
      </c>
      <c r="D16" s="1448">
        <v>302</v>
      </c>
      <c r="E16" s="1448">
        <v>396</v>
      </c>
      <c r="F16" s="1448">
        <v>396</v>
      </c>
      <c r="G16" s="1448">
        <v>394</v>
      </c>
      <c r="H16" s="1448">
        <v>398</v>
      </c>
      <c r="I16" s="1448">
        <v>394</v>
      </c>
      <c r="J16" s="1448">
        <v>400</v>
      </c>
      <c r="K16" s="1448">
        <v>392</v>
      </c>
      <c r="L16" s="1448">
        <v>58</v>
      </c>
      <c r="M16" s="1448">
        <v>398</v>
      </c>
      <c r="N16" s="1448">
        <v>76</v>
      </c>
      <c r="O16" s="1448">
        <v>358</v>
      </c>
      <c r="P16" s="1448">
        <v>398</v>
      </c>
      <c r="Q16" s="1448">
        <v>398</v>
      </c>
      <c r="R16" s="1448">
        <v>396</v>
      </c>
      <c r="S16" s="1448">
        <v>322</v>
      </c>
      <c r="T16" s="1448">
        <v>163</v>
      </c>
      <c r="U16" s="1448">
        <v>346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C3A6-E8DF-4C8C-A52B-3CD0B0D9AC6C}">
  <dimension ref="A2:U36"/>
  <sheetViews>
    <sheetView topLeftCell="A22" workbookViewId="0">
      <selection activeCell="K34" sqref="K34"/>
    </sheetView>
  </sheetViews>
  <sheetFormatPr defaultRowHeight="13.2" x14ac:dyDescent="0.25"/>
  <cols>
    <col min="2" max="2" width="17.44140625" customWidth="1"/>
    <col min="6" max="6" width="7.5546875" bestFit="1" customWidth="1"/>
    <col min="8" max="8" width="14" customWidth="1"/>
    <col min="9" max="9" width="10.44140625" customWidth="1"/>
    <col min="11" max="11" width="11.5546875" customWidth="1"/>
    <col min="15" max="15" width="10" customWidth="1"/>
  </cols>
  <sheetData>
    <row r="2" spans="2:21" x14ac:dyDescent="0.25">
      <c r="B2" s="1447" t="s">
        <v>1915</v>
      </c>
      <c r="C2" s="1447"/>
      <c r="D2" s="1447"/>
      <c r="E2" s="1447"/>
      <c r="H2" s="1447" t="s">
        <v>1916</v>
      </c>
      <c r="I2" s="1447"/>
      <c r="J2" s="1447"/>
      <c r="K2" s="1447"/>
    </row>
    <row r="3" spans="2:21" ht="52.8" x14ac:dyDescent="0.25">
      <c r="B3" s="3" t="s">
        <v>1917</v>
      </c>
      <c r="C3" s="3" t="s">
        <v>1918</v>
      </c>
      <c r="D3" s="18" t="s">
        <v>1919</v>
      </c>
      <c r="E3" s="24" t="s">
        <v>1920</v>
      </c>
      <c r="H3" s="3" t="s">
        <v>1917</v>
      </c>
      <c r="I3" s="3" t="s">
        <v>1918</v>
      </c>
      <c r="J3" s="18" t="s">
        <v>1919</v>
      </c>
      <c r="K3" s="18" t="s">
        <v>46</v>
      </c>
      <c r="N3" s="1445" t="s">
        <v>1919</v>
      </c>
      <c r="O3" s="1445"/>
      <c r="Q3" s="1445" t="s">
        <v>46</v>
      </c>
      <c r="R3" s="1445"/>
      <c r="T3" s="1445" t="s">
        <v>1921</v>
      </c>
      <c r="U3" s="1445"/>
    </row>
    <row r="4" spans="2:21" x14ac:dyDescent="0.25">
      <c r="B4" s="19" t="s">
        <v>522</v>
      </c>
      <c r="C4" s="24">
        <v>82</v>
      </c>
      <c r="D4" s="24">
        <v>82</v>
      </c>
      <c r="E4" s="24">
        <f>C4-D4</f>
        <v>0</v>
      </c>
      <c r="H4" s="19" t="s">
        <v>522</v>
      </c>
      <c r="I4" s="24">
        <v>84</v>
      </c>
      <c r="J4" s="24">
        <v>84</v>
      </c>
      <c r="K4" s="24">
        <v>72</v>
      </c>
      <c r="N4" s="24" t="s">
        <v>1922</v>
      </c>
      <c r="O4" s="24" t="s">
        <v>1923</v>
      </c>
      <c r="P4" s="23"/>
      <c r="Q4" s="24" t="s">
        <v>1922</v>
      </c>
      <c r="R4" s="24" t="s">
        <v>1923</v>
      </c>
      <c r="T4" s="24" t="s">
        <v>1922</v>
      </c>
      <c r="U4" s="24" t="s">
        <v>1923</v>
      </c>
    </row>
    <row r="5" spans="2:21" x14ac:dyDescent="0.25">
      <c r="B5" s="20" t="s">
        <v>56</v>
      </c>
      <c r="C5" s="24">
        <v>124</v>
      </c>
      <c r="D5" s="24">
        <v>122</v>
      </c>
      <c r="E5" s="24">
        <f t="shared" ref="E5:E24" si="0">C5-D5</f>
        <v>2</v>
      </c>
      <c r="H5" s="20" t="s">
        <v>56</v>
      </c>
      <c r="I5" s="24">
        <v>74</v>
      </c>
      <c r="J5" s="24">
        <v>72</v>
      </c>
      <c r="K5" s="24">
        <v>74</v>
      </c>
      <c r="N5" s="24">
        <v>1038</v>
      </c>
      <c r="O5" s="24">
        <v>70</v>
      </c>
      <c r="Q5" s="24">
        <v>726</v>
      </c>
      <c r="R5" s="24">
        <v>382</v>
      </c>
      <c r="T5" s="24">
        <v>122</v>
      </c>
      <c r="U5" s="24">
        <f>200-122</f>
        <v>78</v>
      </c>
    </row>
    <row r="6" spans="2:21" x14ac:dyDescent="0.25">
      <c r="B6" s="20" t="s">
        <v>203</v>
      </c>
      <c r="C6" s="24">
        <v>70</v>
      </c>
      <c r="D6" s="24">
        <v>54</v>
      </c>
      <c r="E6" s="24">
        <f t="shared" si="0"/>
        <v>16</v>
      </c>
      <c r="H6" s="20" t="s">
        <v>203</v>
      </c>
      <c r="I6" s="24">
        <f>39*2</f>
        <v>78</v>
      </c>
      <c r="J6" s="24">
        <f>36*2</f>
        <v>72</v>
      </c>
      <c r="K6" s="24">
        <f>28*2</f>
        <v>56</v>
      </c>
    </row>
    <row r="7" spans="2:21" x14ac:dyDescent="0.25">
      <c r="B7" s="20" t="s">
        <v>805</v>
      </c>
      <c r="C7" s="24">
        <v>86</v>
      </c>
      <c r="D7" s="24">
        <v>70</v>
      </c>
      <c r="E7" s="24">
        <f t="shared" si="0"/>
        <v>16</v>
      </c>
      <c r="H7" s="20" t="s">
        <v>1924</v>
      </c>
      <c r="I7" s="24">
        <v>22</v>
      </c>
      <c r="J7" s="24">
        <v>22</v>
      </c>
      <c r="K7" s="24">
        <v>0</v>
      </c>
    </row>
    <row r="8" spans="2:21" x14ac:dyDescent="0.25">
      <c r="B8" s="260" t="s">
        <v>932</v>
      </c>
      <c r="C8" s="24">
        <v>8</v>
      </c>
      <c r="D8" s="24">
        <v>8</v>
      </c>
      <c r="E8" s="24">
        <f t="shared" si="0"/>
        <v>0</v>
      </c>
      <c r="H8" s="20" t="s">
        <v>805</v>
      </c>
      <c r="I8" s="24">
        <v>88</v>
      </c>
      <c r="J8" s="24">
        <v>88</v>
      </c>
      <c r="K8" s="24">
        <v>80</v>
      </c>
    </row>
    <row r="9" spans="2:21" x14ac:dyDescent="0.25">
      <c r="B9" s="20" t="s">
        <v>660</v>
      </c>
      <c r="C9" s="24">
        <v>64</v>
      </c>
      <c r="D9" s="24">
        <v>52</v>
      </c>
      <c r="E9" s="24">
        <f t="shared" si="0"/>
        <v>12</v>
      </c>
      <c r="H9" s="260" t="s">
        <v>932</v>
      </c>
      <c r="I9" s="24">
        <v>6</v>
      </c>
      <c r="J9" s="24">
        <v>6</v>
      </c>
      <c r="K9" s="24">
        <v>6</v>
      </c>
    </row>
    <row r="10" spans="2:21" x14ac:dyDescent="0.25">
      <c r="B10" s="20" t="s">
        <v>828</v>
      </c>
      <c r="C10" s="24">
        <v>2</v>
      </c>
      <c r="D10" s="24">
        <v>2</v>
      </c>
      <c r="E10" s="24">
        <f t="shared" si="0"/>
        <v>0</v>
      </c>
      <c r="H10" s="20" t="s">
        <v>660</v>
      </c>
      <c r="I10" s="24">
        <v>64</v>
      </c>
      <c r="J10" s="24">
        <v>52</v>
      </c>
      <c r="K10" s="24">
        <v>30</v>
      </c>
    </row>
    <row r="11" spans="2:21" x14ac:dyDescent="0.25">
      <c r="B11" s="20" t="s">
        <v>862</v>
      </c>
      <c r="C11" s="24">
        <v>70</v>
      </c>
      <c r="D11" s="24">
        <v>64</v>
      </c>
      <c r="E11" s="24">
        <f t="shared" si="0"/>
        <v>6</v>
      </c>
      <c r="H11" s="20" t="s">
        <v>828</v>
      </c>
      <c r="I11" s="24">
        <v>2</v>
      </c>
      <c r="J11" s="24">
        <v>2</v>
      </c>
      <c r="K11" s="24">
        <v>2</v>
      </c>
    </row>
    <row r="12" spans="2:21" x14ac:dyDescent="0.25">
      <c r="B12" s="260" t="s">
        <v>1248</v>
      </c>
      <c r="C12" s="24">
        <v>20</v>
      </c>
      <c r="D12" s="24">
        <v>16</v>
      </c>
      <c r="E12" s="24">
        <f t="shared" si="0"/>
        <v>4</v>
      </c>
      <c r="H12" s="20" t="s">
        <v>862</v>
      </c>
      <c r="I12" s="24">
        <v>70</v>
      </c>
      <c r="J12" s="24">
        <v>64</v>
      </c>
      <c r="K12" s="24">
        <v>24</v>
      </c>
    </row>
    <row r="13" spans="2:21" x14ac:dyDescent="0.25">
      <c r="B13" s="260" t="s">
        <v>1925</v>
      </c>
      <c r="C13" s="24">
        <v>34</v>
      </c>
      <c r="D13" s="24">
        <v>20</v>
      </c>
      <c r="E13" s="24">
        <f t="shared" si="0"/>
        <v>14</v>
      </c>
      <c r="H13" s="260" t="s">
        <v>1248</v>
      </c>
      <c r="I13" s="24">
        <v>22</v>
      </c>
      <c r="J13" s="24">
        <v>18</v>
      </c>
      <c r="K13" s="24">
        <v>4</v>
      </c>
    </row>
    <row r="14" spans="2:21" x14ac:dyDescent="0.25">
      <c r="B14" s="20" t="s">
        <v>1484</v>
      </c>
      <c r="C14" s="24">
        <v>28</v>
      </c>
      <c r="D14" s="24">
        <v>26</v>
      </c>
      <c r="E14" s="24">
        <f t="shared" si="0"/>
        <v>2</v>
      </c>
      <c r="H14" s="260" t="s">
        <v>1925</v>
      </c>
      <c r="I14" s="24">
        <v>36</v>
      </c>
      <c r="J14" s="24">
        <v>36</v>
      </c>
      <c r="K14" s="24">
        <v>26</v>
      </c>
    </row>
    <row r="15" spans="2:21" x14ac:dyDescent="0.25">
      <c r="B15" s="20" t="s">
        <v>1926</v>
      </c>
      <c r="C15" s="24">
        <v>38</v>
      </c>
      <c r="D15" s="24">
        <v>34</v>
      </c>
      <c r="E15" s="24">
        <f t="shared" si="0"/>
        <v>4</v>
      </c>
      <c r="H15" s="20" t="s">
        <v>1484</v>
      </c>
      <c r="I15" s="24">
        <v>14</v>
      </c>
      <c r="J15" s="24">
        <v>14</v>
      </c>
      <c r="K15" s="24">
        <v>0</v>
      </c>
    </row>
    <row r="16" spans="2:21" x14ac:dyDescent="0.25">
      <c r="B16" s="20" t="s">
        <v>1927</v>
      </c>
      <c r="C16" s="24">
        <v>84</v>
      </c>
      <c r="D16" s="24">
        <v>78</v>
      </c>
      <c r="E16" s="24">
        <f t="shared" si="0"/>
        <v>6</v>
      </c>
      <c r="H16" s="20" t="s">
        <v>1926</v>
      </c>
      <c r="I16" s="24">
        <v>30</v>
      </c>
      <c r="J16" s="24">
        <v>24</v>
      </c>
      <c r="K16" s="24">
        <v>0</v>
      </c>
    </row>
    <row r="17" spans="2:11" x14ac:dyDescent="0.25">
      <c r="B17" s="260" t="s">
        <v>1928</v>
      </c>
      <c r="C17" s="24">
        <v>30</v>
      </c>
      <c r="D17" s="24">
        <v>22</v>
      </c>
      <c r="E17" s="24">
        <f t="shared" si="0"/>
        <v>8</v>
      </c>
      <c r="H17" s="20" t="s">
        <v>1927</v>
      </c>
      <c r="I17" s="24">
        <v>76</v>
      </c>
      <c r="J17" s="24">
        <v>76</v>
      </c>
      <c r="K17" s="24">
        <v>74</v>
      </c>
    </row>
    <row r="18" spans="2:11" x14ac:dyDescent="0.25">
      <c r="B18" s="260" t="s">
        <v>1929</v>
      </c>
      <c r="C18" s="24">
        <v>30</v>
      </c>
      <c r="D18" s="24">
        <v>20</v>
      </c>
      <c r="E18" s="24">
        <f t="shared" si="0"/>
        <v>10</v>
      </c>
      <c r="H18" s="20" t="s">
        <v>1930</v>
      </c>
      <c r="I18" s="24">
        <v>14</v>
      </c>
      <c r="J18" s="24">
        <v>14</v>
      </c>
      <c r="K18" s="24">
        <v>4</v>
      </c>
    </row>
    <row r="19" spans="2:11" x14ac:dyDescent="0.25">
      <c r="B19" s="260" t="s">
        <v>1242</v>
      </c>
      <c r="C19" s="24">
        <v>26</v>
      </c>
      <c r="D19" s="24">
        <v>10</v>
      </c>
      <c r="E19" s="24">
        <f t="shared" si="0"/>
        <v>16</v>
      </c>
      <c r="H19" s="260" t="s">
        <v>1929</v>
      </c>
      <c r="I19" s="24">
        <v>46</v>
      </c>
      <c r="J19" s="24">
        <v>40</v>
      </c>
      <c r="K19" s="24">
        <v>0</v>
      </c>
    </row>
    <row r="20" spans="2:11" x14ac:dyDescent="0.25">
      <c r="B20" s="260" t="s">
        <v>1739</v>
      </c>
      <c r="C20" s="24">
        <v>56</v>
      </c>
      <c r="D20" s="24">
        <v>46</v>
      </c>
      <c r="E20" s="24">
        <f t="shared" si="0"/>
        <v>10</v>
      </c>
      <c r="H20" s="260" t="s">
        <v>1928</v>
      </c>
      <c r="I20" s="24">
        <v>38</v>
      </c>
      <c r="J20" s="24">
        <v>30</v>
      </c>
      <c r="K20" s="24">
        <v>18</v>
      </c>
    </row>
    <row r="21" spans="2:11" x14ac:dyDescent="0.25">
      <c r="B21" s="24" t="s">
        <v>1931</v>
      </c>
      <c r="C21" s="24">
        <v>48</v>
      </c>
      <c r="D21" s="24">
        <v>46</v>
      </c>
      <c r="E21" s="24">
        <f t="shared" si="0"/>
        <v>2</v>
      </c>
      <c r="H21" s="260" t="s">
        <v>1242</v>
      </c>
      <c r="I21" s="24">
        <v>20</v>
      </c>
      <c r="J21" s="24">
        <v>18</v>
      </c>
      <c r="K21" s="24">
        <v>0</v>
      </c>
    </row>
    <row r="22" spans="2:11" x14ac:dyDescent="0.25">
      <c r="B22" s="24" t="s">
        <v>1932</v>
      </c>
      <c r="C22" s="24">
        <v>22</v>
      </c>
      <c r="D22" s="24">
        <v>22</v>
      </c>
      <c r="E22" s="24">
        <f t="shared" si="0"/>
        <v>0</v>
      </c>
      <c r="H22" s="260" t="s">
        <v>1739</v>
      </c>
      <c r="I22" s="24">
        <v>60</v>
      </c>
      <c r="J22" s="24">
        <v>54</v>
      </c>
      <c r="K22" s="24">
        <v>48</v>
      </c>
    </row>
    <row r="23" spans="2:11" x14ac:dyDescent="0.25">
      <c r="B23" s="24" t="s">
        <v>1933</v>
      </c>
      <c r="C23" s="24">
        <v>84</v>
      </c>
      <c r="D23" s="24">
        <v>78</v>
      </c>
      <c r="E23" s="24">
        <f t="shared" si="0"/>
        <v>6</v>
      </c>
      <c r="H23" s="24" t="s">
        <v>1931</v>
      </c>
      <c r="I23" s="24">
        <v>48</v>
      </c>
      <c r="J23" s="24">
        <v>46</v>
      </c>
      <c r="K23" s="24">
        <v>30</v>
      </c>
    </row>
    <row r="24" spans="2:11" x14ac:dyDescent="0.25">
      <c r="B24" s="24" t="s">
        <v>1934</v>
      </c>
      <c r="C24" s="24">
        <v>106</v>
      </c>
      <c r="D24" s="24">
        <v>102</v>
      </c>
      <c r="E24" s="24">
        <f t="shared" si="0"/>
        <v>4</v>
      </c>
      <c r="H24" s="24" t="s">
        <v>1932</v>
      </c>
      <c r="I24" s="24">
        <v>22</v>
      </c>
      <c r="J24" s="24">
        <v>22</v>
      </c>
      <c r="K24" s="24">
        <v>6</v>
      </c>
    </row>
    <row r="25" spans="2:11" x14ac:dyDescent="0.25">
      <c r="B25" s="24" t="s">
        <v>1918</v>
      </c>
      <c r="C25" s="24">
        <f>SUM(C4:C24)</f>
        <v>1112</v>
      </c>
      <c r="D25" s="24">
        <f t="shared" ref="D25:E25" si="1">SUM(D4:D24)</f>
        <v>974</v>
      </c>
      <c r="E25" s="24">
        <f t="shared" si="1"/>
        <v>138</v>
      </c>
      <c r="H25" s="24" t="s">
        <v>1933</v>
      </c>
      <c r="I25" s="24">
        <v>88</v>
      </c>
      <c r="J25" s="24">
        <v>80</v>
      </c>
      <c r="K25" s="24">
        <v>84</v>
      </c>
    </row>
    <row r="26" spans="2:11" ht="14.4" x14ac:dyDescent="0.3">
      <c r="B26" s="308" t="s">
        <v>1935</v>
      </c>
      <c r="C26" s="308">
        <f>C25/2</f>
        <v>556</v>
      </c>
      <c r="D26" s="308">
        <f t="shared" ref="D26:E26" si="2">D25/2</f>
        <v>487</v>
      </c>
      <c r="E26" s="308">
        <f t="shared" si="2"/>
        <v>69</v>
      </c>
      <c r="H26" s="24" t="s">
        <v>1934</v>
      </c>
      <c r="I26" s="24">
        <v>106</v>
      </c>
      <c r="J26" s="24">
        <v>104</v>
      </c>
      <c r="K26" s="24">
        <v>88</v>
      </c>
    </row>
    <row r="27" spans="2:11" x14ac:dyDescent="0.25">
      <c r="H27" s="24" t="s">
        <v>1918</v>
      </c>
      <c r="I27" s="24">
        <f>SUM(I4:I26)</f>
        <v>1108</v>
      </c>
      <c r="J27" s="24">
        <f>SUM(J4:J26)</f>
        <v>1038</v>
      </c>
      <c r="K27" s="24">
        <f>SUM(K4:K26)</f>
        <v>726</v>
      </c>
    </row>
    <row r="28" spans="2:11" ht="14.4" x14ac:dyDescent="0.3">
      <c r="H28" s="308" t="s">
        <v>1935</v>
      </c>
      <c r="I28" s="308">
        <f>I27/2</f>
        <v>554</v>
      </c>
      <c r="J28" s="308">
        <f t="shared" ref="J28:K28" si="3">J27/2</f>
        <v>519</v>
      </c>
      <c r="K28" s="308">
        <f t="shared" si="3"/>
        <v>363</v>
      </c>
    </row>
    <row r="30" spans="2:11" x14ac:dyDescent="0.25">
      <c r="H30" s="23" t="s">
        <v>1920</v>
      </c>
      <c r="J30">
        <f>I27-J27</f>
        <v>70</v>
      </c>
      <c r="K30">
        <f>I27-K27</f>
        <v>382</v>
      </c>
    </row>
    <row r="33" spans="1:7" x14ac:dyDescent="0.25">
      <c r="A33" t="s">
        <v>1936</v>
      </c>
    </row>
    <row r="34" spans="1:7" ht="100.8" x14ac:dyDescent="0.3">
      <c r="B34" s="10" t="s">
        <v>473</v>
      </c>
      <c r="C34" s="380" t="s">
        <v>1937</v>
      </c>
      <c r="D34" s="380" t="s">
        <v>1938</v>
      </c>
      <c r="F34" s="1446" t="s">
        <v>483</v>
      </c>
      <c r="G34" s="1446"/>
    </row>
    <row r="35" spans="1:7" x14ac:dyDescent="0.25">
      <c r="B35" s="58">
        <v>1160</v>
      </c>
      <c r="C35" s="24">
        <v>1088</v>
      </c>
      <c r="D35" s="24">
        <v>771</v>
      </c>
      <c r="F35" s="58" t="s">
        <v>1922</v>
      </c>
      <c r="G35" s="58" t="s">
        <v>1939</v>
      </c>
    </row>
    <row r="36" spans="1:7" x14ac:dyDescent="0.25">
      <c r="F36" s="58">
        <v>125</v>
      </c>
      <c r="G36" s="58">
        <f>200-F36</f>
        <v>75</v>
      </c>
    </row>
  </sheetData>
  <mergeCells count="6">
    <mergeCell ref="T3:U3"/>
    <mergeCell ref="F34:G34"/>
    <mergeCell ref="H2:K2"/>
    <mergeCell ref="B2:E2"/>
    <mergeCell ref="N3:O3"/>
    <mergeCell ref="Q3:R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56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4" sqref="Q4"/>
    </sheetView>
  </sheetViews>
  <sheetFormatPr defaultColWidth="8.5546875" defaultRowHeight="13.2" x14ac:dyDescent="0.25"/>
  <cols>
    <col min="1" max="1" width="5.5546875" style="2" customWidth="1"/>
    <col min="2" max="2" width="9.44140625" style="72" customWidth="1"/>
    <col min="3" max="3" width="8.44140625" style="72" customWidth="1"/>
    <col min="4" max="4" width="16.5546875" style="2" bestFit="1" customWidth="1"/>
    <col min="5" max="5" width="17.5546875" style="72" customWidth="1"/>
    <col min="6" max="9" width="11" style="2" customWidth="1"/>
    <col min="10" max="10" width="15.44140625" style="2" customWidth="1"/>
    <col min="11" max="11" width="20.44140625" style="61" customWidth="1"/>
    <col min="12" max="12" width="27.5546875" style="68" customWidth="1"/>
    <col min="13" max="13" width="13.44140625" style="61" customWidth="1"/>
    <col min="14" max="14" width="16.44140625" style="61" customWidth="1"/>
    <col min="15" max="16" width="14.44140625" style="68" customWidth="1"/>
    <col min="17" max="17" width="16" style="61" customWidth="1"/>
    <col min="18" max="18" width="19.5546875" style="61" hidden="1" customWidth="1"/>
    <col min="19" max="19" width="17.5546875" style="61" customWidth="1"/>
    <col min="20" max="20" width="16.44140625" style="61" customWidth="1"/>
    <col min="21" max="21" width="15.5546875" style="61" customWidth="1"/>
    <col min="22" max="22" width="13.5546875" style="61" customWidth="1"/>
    <col min="23" max="23" width="16.44140625" style="61" customWidth="1"/>
    <col min="24" max="24" width="16" style="61" customWidth="1"/>
    <col min="25" max="31" width="15.5546875" style="61" customWidth="1"/>
    <col min="34" max="34" width="20.44140625" customWidth="1"/>
    <col min="35" max="35" width="13.5546875" bestFit="1" customWidth="1"/>
  </cols>
  <sheetData>
    <row r="1" spans="1:35" s="80" customFormat="1" ht="96" x14ac:dyDescent="0.3">
      <c r="A1" s="25" t="s">
        <v>18</v>
      </c>
      <c r="B1" s="26" t="s">
        <v>1940</v>
      </c>
      <c r="C1" s="26" t="s">
        <v>20</v>
      </c>
      <c r="D1" s="25" t="s">
        <v>21</v>
      </c>
      <c r="E1" s="25" t="s">
        <v>22</v>
      </c>
      <c r="F1" s="25" t="s">
        <v>23</v>
      </c>
      <c r="G1" s="25" t="s">
        <v>0</v>
      </c>
      <c r="H1" s="25" t="s">
        <v>24</v>
      </c>
      <c r="I1" s="27" t="s">
        <v>25</v>
      </c>
      <c r="J1" s="13" t="s">
        <v>26</v>
      </c>
      <c r="K1" s="13" t="s">
        <v>27</v>
      </c>
      <c r="L1" s="14" t="s">
        <v>1941</v>
      </c>
      <c r="M1" s="13" t="s">
        <v>29</v>
      </c>
      <c r="N1" s="13" t="s">
        <v>1942</v>
      </c>
      <c r="O1" s="14" t="s">
        <v>518</v>
      </c>
      <c r="P1" s="14" t="s">
        <v>519</v>
      </c>
      <c r="Q1" s="13" t="s">
        <v>33</v>
      </c>
      <c r="R1" s="13" t="s">
        <v>34</v>
      </c>
      <c r="S1" s="13" t="s">
        <v>35</v>
      </c>
      <c r="T1" s="13" t="s">
        <v>36</v>
      </c>
      <c r="U1" s="15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13" t="s">
        <v>42</v>
      </c>
      <c r="AA1" s="13" t="s">
        <v>43</v>
      </c>
      <c r="AB1" s="13" t="s">
        <v>483</v>
      </c>
      <c r="AC1" s="13" t="s">
        <v>1943</v>
      </c>
      <c r="AD1" s="13" t="s">
        <v>46</v>
      </c>
      <c r="AE1" s="80" t="s">
        <v>1944</v>
      </c>
      <c r="AH1" s="81" t="s">
        <v>200</v>
      </c>
      <c r="AI1" s="82" t="s">
        <v>201</v>
      </c>
    </row>
    <row r="2" spans="1:35" x14ac:dyDescent="0.25">
      <c r="A2" s="254"/>
      <c r="B2" s="20">
        <v>30622</v>
      </c>
      <c r="C2" s="27" t="s">
        <v>64</v>
      </c>
      <c r="D2" s="20" t="s">
        <v>1945</v>
      </c>
      <c r="E2" s="20" t="s">
        <v>1946</v>
      </c>
      <c r="F2" s="29" t="s">
        <v>1947</v>
      </c>
      <c r="G2" s="29" t="s">
        <v>10</v>
      </c>
      <c r="H2" s="19">
        <v>43081</v>
      </c>
      <c r="I2" s="3">
        <v>168</v>
      </c>
      <c r="J2" s="3" t="s">
        <v>58</v>
      </c>
      <c r="K2" s="37"/>
      <c r="L2" s="40"/>
      <c r="M2" s="16" t="s">
        <v>60</v>
      </c>
      <c r="N2" s="40" t="s">
        <v>1948</v>
      </c>
      <c r="O2" s="33"/>
      <c r="P2" s="33"/>
      <c r="Q2" s="42" t="s">
        <v>68</v>
      </c>
      <c r="R2" s="42"/>
      <c r="S2" s="42"/>
      <c r="T2" s="42"/>
      <c r="U2" s="42" t="s">
        <v>68</v>
      </c>
      <c r="V2" s="42"/>
      <c r="W2" s="42"/>
      <c r="X2" s="42"/>
      <c r="Y2" s="42"/>
      <c r="Z2" s="42"/>
      <c r="AA2" s="42"/>
      <c r="AB2" s="24"/>
      <c r="AC2" s="24"/>
      <c r="AD2" s="42"/>
      <c r="AE2"/>
      <c r="AH2" s="83" t="s">
        <v>1949</v>
      </c>
      <c r="AI2" s="83" t="s">
        <v>1950</v>
      </c>
    </row>
    <row r="3" spans="1:35" x14ac:dyDescent="0.25">
      <c r="A3" s="254"/>
      <c r="B3" s="20">
        <v>30622</v>
      </c>
      <c r="C3" s="27" t="s">
        <v>54</v>
      </c>
      <c r="D3" s="20" t="s">
        <v>1951</v>
      </c>
      <c r="E3" s="20" t="s">
        <v>1946</v>
      </c>
      <c r="F3" s="29" t="s">
        <v>1947</v>
      </c>
      <c r="G3" s="29" t="s">
        <v>10</v>
      </c>
      <c r="H3" s="19">
        <v>43081</v>
      </c>
      <c r="I3" s="3">
        <v>169</v>
      </c>
      <c r="J3" s="3" t="s">
        <v>58</v>
      </c>
      <c r="K3" s="37"/>
      <c r="L3" s="40"/>
      <c r="M3" s="16" t="s">
        <v>60</v>
      </c>
      <c r="N3" s="40" t="s">
        <v>1948</v>
      </c>
      <c r="O3" s="33"/>
      <c r="P3" s="33"/>
      <c r="Q3" s="42" t="s">
        <v>62</v>
      </c>
      <c r="R3" s="42"/>
      <c r="S3" s="42"/>
      <c r="T3" s="42"/>
      <c r="U3" s="42" t="s">
        <v>62</v>
      </c>
      <c r="V3" s="42"/>
      <c r="W3" s="42"/>
      <c r="X3" s="42"/>
      <c r="Y3" s="42"/>
      <c r="Z3" s="42"/>
      <c r="AA3" s="42"/>
      <c r="AB3" s="24"/>
      <c r="AC3" s="24"/>
      <c r="AD3" s="42"/>
      <c r="AE3" s="90"/>
      <c r="AH3" s="83" t="s">
        <v>1952</v>
      </c>
      <c r="AI3" s="83">
        <v>893</v>
      </c>
    </row>
    <row r="4" spans="1:35" ht="22.8" x14ac:dyDescent="0.25">
      <c r="A4" s="254"/>
      <c r="B4" s="20">
        <v>30631</v>
      </c>
      <c r="C4" s="27" t="s">
        <v>64</v>
      </c>
      <c r="D4" s="20" t="s">
        <v>1953</v>
      </c>
      <c r="E4" s="20" t="s">
        <v>1946</v>
      </c>
      <c r="F4" s="29" t="s">
        <v>1947</v>
      </c>
      <c r="G4" s="29" t="s">
        <v>10</v>
      </c>
      <c r="H4" s="19">
        <v>43100</v>
      </c>
      <c r="I4" s="3">
        <v>158</v>
      </c>
      <c r="J4" s="3" t="s">
        <v>58</v>
      </c>
      <c r="K4" s="37" t="s">
        <v>59</v>
      </c>
      <c r="L4" s="33">
        <v>44645</v>
      </c>
      <c r="M4" s="16" t="s">
        <v>60</v>
      </c>
      <c r="N4" s="33" t="s">
        <v>1954</v>
      </c>
      <c r="O4" s="33" t="s">
        <v>1955</v>
      </c>
      <c r="P4" s="33"/>
      <c r="Q4" s="16" t="s">
        <v>68</v>
      </c>
      <c r="R4" s="37"/>
      <c r="S4" s="16" t="s">
        <v>68</v>
      </c>
      <c r="T4" s="16" t="s">
        <v>68</v>
      </c>
      <c r="U4" s="16" t="s">
        <v>68</v>
      </c>
      <c r="V4" s="16"/>
      <c r="W4" s="16"/>
      <c r="X4" s="16"/>
      <c r="Y4" s="16"/>
      <c r="Z4" s="16" t="s">
        <v>68</v>
      </c>
      <c r="AA4" s="16"/>
      <c r="AB4" s="24"/>
      <c r="AC4" s="24"/>
      <c r="AD4" s="16" t="s">
        <v>68</v>
      </c>
      <c r="AH4" t="s">
        <v>1956</v>
      </c>
      <c r="AI4">
        <v>504</v>
      </c>
    </row>
    <row r="5" spans="1:35" ht="22.8" x14ac:dyDescent="0.25">
      <c r="A5" s="254"/>
      <c r="B5" s="20">
        <v>30631</v>
      </c>
      <c r="C5" s="27" t="s">
        <v>54</v>
      </c>
      <c r="D5" s="20" t="s">
        <v>1957</v>
      </c>
      <c r="E5" s="20" t="s">
        <v>1946</v>
      </c>
      <c r="F5" s="29" t="s">
        <v>1947</v>
      </c>
      <c r="G5" s="29" t="s">
        <v>10</v>
      </c>
      <c r="H5" s="19">
        <v>43100</v>
      </c>
      <c r="I5" s="3">
        <v>116</v>
      </c>
      <c r="J5" s="3" t="s">
        <v>58</v>
      </c>
      <c r="K5" s="37" t="s">
        <v>59</v>
      </c>
      <c r="L5" s="33">
        <v>44645</v>
      </c>
      <c r="M5" s="16" t="s">
        <v>60</v>
      </c>
      <c r="N5" s="33" t="s">
        <v>1954</v>
      </c>
      <c r="O5" s="33" t="s">
        <v>1955</v>
      </c>
      <c r="P5" s="21"/>
      <c r="Q5" s="42" t="s">
        <v>62</v>
      </c>
      <c r="R5" s="42"/>
      <c r="S5" s="42" t="s">
        <v>62</v>
      </c>
      <c r="T5" s="42" t="s">
        <v>62</v>
      </c>
      <c r="U5" s="42" t="s">
        <v>62</v>
      </c>
      <c r="V5" s="42"/>
      <c r="W5" s="42"/>
      <c r="X5" s="42"/>
      <c r="Y5" s="42"/>
      <c r="Z5" s="42" t="s">
        <v>62</v>
      </c>
      <c r="AA5" s="42"/>
      <c r="AB5" s="24"/>
      <c r="AC5" s="24"/>
      <c r="AD5" s="42" t="s">
        <v>62</v>
      </c>
      <c r="AE5" s="90"/>
    </row>
    <row r="6" spans="1:35" ht="22.8" x14ac:dyDescent="0.25">
      <c r="A6" s="255"/>
      <c r="B6" s="20">
        <v>30773</v>
      </c>
      <c r="C6" s="27" t="s">
        <v>64</v>
      </c>
      <c r="D6" s="20" t="s">
        <v>1958</v>
      </c>
      <c r="E6" s="20" t="s">
        <v>1946</v>
      </c>
      <c r="F6" s="29" t="s">
        <v>1947</v>
      </c>
      <c r="G6" s="29" t="s">
        <v>10</v>
      </c>
      <c r="H6" s="19">
        <v>44253</v>
      </c>
      <c r="I6" s="3">
        <v>984</v>
      </c>
      <c r="J6" s="3" t="s">
        <v>58</v>
      </c>
      <c r="K6" s="37" t="s">
        <v>59</v>
      </c>
      <c r="L6" s="16" t="s">
        <v>75</v>
      </c>
      <c r="M6" s="16" t="s">
        <v>60</v>
      </c>
      <c r="N6" s="16" t="s">
        <v>1959</v>
      </c>
      <c r="O6" s="24"/>
      <c r="P6" s="251" t="s">
        <v>1960</v>
      </c>
      <c r="Q6" s="16" t="s">
        <v>75</v>
      </c>
      <c r="R6" s="16" t="s">
        <v>75</v>
      </c>
      <c r="S6" s="24" t="s">
        <v>68</v>
      </c>
      <c r="T6" s="24" t="s">
        <v>68</v>
      </c>
      <c r="U6" s="24" t="s">
        <v>68</v>
      </c>
      <c r="V6" s="24"/>
      <c r="W6" s="24"/>
      <c r="X6" s="16" t="s">
        <v>75</v>
      </c>
      <c r="Y6" s="24"/>
      <c r="Z6" s="24" t="s">
        <v>68</v>
      </c>
      <c r="AA6" s="24"/>
      <c r="AB6" s="24"/>
      <c r="AC6" s="24"/>
      <c r="AD6" s="24" t="s">
        <v>68</v>
      </c>
      <c r="AE6"/>
    </row>
    <row r="7" spans="1:35" ht="22.8" x14ac:dyDescent="0.25">
      <c r="A7" s="255"/>
      <c r="B7" s="20">
        <v>30773</v>
      </c>
      <c r="C7" s="27" t="s">
        <v>54</v>
      </c>
      <c r="D7" s="20" t="s">
        <v>1961</v>
      </c>
      <c r="E7" s="20" t="s">
        <v>1946</v>
      </c>
      <c r="F7" s="29" t="s">
        <v>1947</v>
      </c>
      <c r="G7" s="29" t="s">
        <v>10</v>
      </c>
      <c r="H7" s="19">
        <v>44253</v>
      </c>
      <c r="I7" s="3">
        <v>985</v>
      </c>
      <c r="J7" s="3" t="s">
        <v>58</v>
      </c>
      <c r="K7" s="37" t="s">
        <v>59</v>
      </c>
      <c r="L7" s="16" t="s">
        <v>75</v>
      </c>
      <c r="M7" s="16" t="s">
        <v>60</v>
      </c>
      <c r="N7" s="3" t="s">
        <v>1962</v>
      </c>
      <c r="O7" s="24"/>
      <c r="P7" s="251" t="s">
        <v>1960</v>
      </c>
      <c r="Q7" s="16" t="s">
        <v>75</v>
      </c>
      <c r="R7" s="16" t="s">
        <v>75</v>
      </c>
      <c r="S7" s="24" t="s">
        <v>62</v>
      </c>
      <c r="T7" s="24" t="s">
        <v>62</v>
      </c>
      <c r="U7" s="24" t="s">
        <v>62</v>
      </c>
      <c r="V7" s="24"/>
      <c r="W7" s="24"/>
      <c r="X7" s="16" t="s">
        <v>75</v>
      </c>
      <c r="Y7" s="24"/>
      <c r="Z7" s="24" t="s">
        <v>62</v>
      </c>
      <c r="AA7" s="24"/>
      <c r="AB7" s="24"/>
      <c r="AC7" s="24"/>
      <c r="AD7" s="24" t="s">
        <v>62</v>
      </c>
      <c r="AE7"/>
    </row>
    <row r="8" spans="1:35" x14ac:dyDescent="0.25">
      <c r="A8" s="254"/>
      <c r="B8" s="20">
        <v>37368</v>
      </c>
      <c r="C8" s="27" t="s">
        <v>64</v>
      </c>
      <c r="D8" s="20" t="s">
        <v>1963</v>
      </c>
      <c r="E8" s="20" t="s">
        <v>1946</v>
      </c>
      <c r="F8" s="29" t="s">
        <v>1947</v>
      </c>
      <c r="G8" s="29" t="s">
        <v>10</v>
      </c>
      <c r="H8" s="19">
        <v>43990</v>
      </c>
      <c r="I8" s="3">
        <v>734</v>
      </c>
      <c r="J8" s="3" t="s">
        <v>58</v>
      </c>
      <c r="K8" s="16"/>
      <c r="L8" s="33"/>
      <c r="M8" s="16" t="s">
        <v>60</v>
      </c>
      <c r="N8" s="33" t="s">
        <v>1964</v>
      </c>
      <c r="O8" s="33"/>
      <c r="P8" s="33"/>
      <c r="Q8" s="16" t="s">
        <v>75</v>
      </c>
      <c r="R8" s="16" t="s">
        <v>75</v>
      </c>
      <c r="S8" s="16"/>
      <c r="T8" s="16"/>
      <c r="U8" s="16" t="s">
        <v>68</v>
      </c>
      <c r="V8" s="16"/>
      <c r="W8" s="16"/>
      <c r="X8" s="16"/>
      <c r="Y8" s="16"/>
      <c r="Z8" s="16"/>
      <c r="AA8" s="16"/>
      <c r="AB8" s="24"/>
      <c r="AC8" s="24"/>
      <c r="AD8" s="16"/>
    </row>
    <row r="9" spans="1:35" x14ac:dyDescent="0.25">
      <c r="A9" s="254"/>
      <c r="B9" s="20">
        <v>37368</v>
      </c>
      <c r="C9" s="27" t="s">
        <v>54</v>
      </c>
      <c r="D9" s="20" t="s">
        <v>1965</v>
      </c>
      <c r="E9" s="20" t="s">
        <v>1946</v>
      </c>
      <c r="F9" s="29" t="s">
        <v>1947</v>
      </c>
      <c r="G9" s="29" t="s">
        <v>10</v>
      </c>
      <c r="H9" s="19">
        <v>43990</v>
      </c>
      <c r="I9" s="3">
        <v>744</v>
      </c>
      <c r="J9" s="3" t="s">
        <v>58</v>
      </c>
      <c r="K9" s="30"/>
      <c r="L9" s="31"/>
      <c r="M9" s="16" t="s">
        <v>60</v>
      </c>
      <c r="N9" s="33" t="s">
        <v>1964</v>
      </c>
      <c r="O9" s="48"/>
      <c r="P9" s="48"/>
      <c r="Q9" s="16" t="s">
        <v>75</v>
      </c>
      <c r="R9" s="16" t="s">
        <v>75</v>
      </c>
      <c r="S9" s="30"/>
      <c r="T9" s="32"/>
      <c r="U9" s="32" t="s">
        <v>62</v>
      </c>
      <c r="V9" s="30"/>
      <c r="W9" s="30"/>
      <c r="X9" s="30"/>
      <c r="Y9" s="30"/>
      <c r="Z9" s="30"/>
      <c r="AA9" s="30"/>
      <c r="AB9" s="24"/>
      <c r="AC9" s="24"/>
      <c r="AD9" s="30"/>
      <c r="AE9" s="91"/>
    </row>
    <row r="10" spans="1:35" ht="22.8" x14ac:dyDescent="0.25">
      <c r="A10" s="254"/>
      <c r="B10" s="20">
        <v>37386</v>
      </c>
      <c r="C10" s="27" t="s">
        <v>64</v>
      </c>
      <c r="D10" s="20" t="s">
        <v>1966</v>
      </c>
      <c r="E10" s="20" t="s">
        <v>1946</v>
      </c>
      <c r="F10" s="29" t="s">
        <v>1947</v>
      </c>
      <c r="G10" s="29" t="s">
        <v>10</v>
      </c>
      <c r="H10" s="19">
        <v>44033</v>
      </c>
      <c r="I10" s="3">
        <v>713</v>
      </c>
      <c r="J10" s="3" t="s">
        <v>58</v>
      </c>
      <c r="K10" s="37" t="s">
        <v>59</v>
      </c>
      <c r="L10" s="38">
        <v>44612</v>
      </c>
      <c r="M10" s="16" t="s">
        <v>60</v>
      </c>
      <c r="N10" s="33" t="s">
        <v>1967</v>
      </c>
      <c r="O10" s="33"/>
      <c r="P10" s="33"/>
      <c r="Q10" s="16" t="s">
        <v>75</v>
      </c>
      <c r="R10" s="16" t="s">
        <v>75</v>
      </c>
      <c r="S10" s="16" t="s">
        <v>68</v>
      </c>
      <c r="T10" s="16" t="s">
        <v>68</v>
      </c>
      <c r="U10" s="16" t="s">
        <v>68</v>
      </c>
      <c r="V10" s="15"/>
      <c r="W10" s="16"/>
      <c r="X10" s="16"/>
      <c r="Y10" s="16"/>
      <c r="Z10" s="16" t="s">
        <v>68</v>
      </c>
      <c r="AA10" s="16"/>
      <c r="AB10" s="24"/>
      <c r="AC10" s="24"/>
      <c r="AD10" s="16"/>
    </row>
    <row r="11" spans="1:35" ht="22.8" x14ac:dyDescent="0.25">
      <c r="A11" s="254"/>
      <c r="B11" s="20">
        <v>37386</v>
      </c>
      <c r="C11" s="27" t="s">
        <v>54</v>
      </c>
      <c r="D11" s="20" t="s">
        <v>1968</v>
      </c>
      <c r="E11" s="20" t="s">
        <v>1946</v>
      </c>
      <c r="F11" s="29" t="s">
        <v>1947</v>
      </c>
      <c r="G11" s="29" t="s">
        <v>10</v>
      </c>
      <c r="H11" s="19">
        <v>44033</v>
      </c>
      <c r="I11" s="3">
        <v>751</v>
      </c>
      <c r="J11" s="3" t="s">
        <v>58</v>
      </c>
      <c r="K11" s="37" t="s">
        <v>59</v>
      </c>
      <c r="L11" s="38">
        <v>44612</v>
      </c>
      <c r="M11" s="16" t="s">
        <v>60</v>
      </c>
      <c r="N11" s="33" t="s">
        <v>1967</v>
      </c>
      <c r="O11" s="33"/>
      <c r="P11" s="33"/>
      <c r="Q11" s="16" t="s">
        <v>75</v>
      </c>
      <c r="R11" s="16" t="s">
        <v>75</v>
      </c>
      <c r="S11" s="16" t="s">
        <v>62</v>
      </c>
      <c r="T11" s="16" t="s">
        <v>62</v>
      </c>
      <c r="U11" s="16" t="s">
        <v>62</v>
      </c>
      <c r="V11" s="16"/>
      <c r="W11" s="16"/>
      <c r="X11" s="16"/>
      <c r="Y11" s="16"/>
      <c r="Z11" s="16" t="s">
        <v>62</v>
      </c>
      <c r="AA11" s="16"/>
      <c r="AB11" s="24"/>
      <c r="AC11" s="24"/>
      <c r="AD11" s="16"/>
    </row>
    <row r="12" spans="1:35" ht="22.8" x14ac:dyDescent="0.25">
      <c r="A12" s="28"/>
      <c r="B12" s="20">
        <v>37522</v>
      </c>
      <c r="C12" s="27" t="s">
        <v>64</v>
      </c>
      <c r="D12" s="20" t="s">
        <v>625</v>
      </c>
      <c r="E12" s="20"/>
      <c r="F12" s="29"/>
      <c r="G12" s="29"/>
      <c r="H12" s="19">
        <v>44210</v>
      </c>
      <c r="I12" s="3">
        <v>872</v>
      </c>
      <c r="J12" s="3" t="s">
        <v>58</v>
      </c>
      <c r="K12" s="37" t="s">
        <v>59</v>
      </c>
      <c r="L12" s="33">
        <v>44299</v>
      </c>
      <c r="M12" s="16" t="s">
        <v>60</v>
      </c>
      <c r="N12" s="16" t="s">
        <v>626</v>
      </c>
      <c r="O12" s="33"/>
      <c r="P12" s="33"/>
      <c r="Q12" s="16" t="s">
        <v>75</v>
      </c>
      <c r="R12" s="16" t="s">
        <v>75</v>
      </c>
      <c r="S12" s="16" t="s">
        <v>68</v>
      </c>
      <c r="T12" s="16" t="s">
        <v>68</v>
      </c>
      <c r="U12" s="16" t="s">
        <v>68</v>
      </c>
      <c r="V12" s="16"/>
      <c r="W12" s="16" t="s">
        <v>68</v>
      </c>
      <c r="X12" s="16" t="s">
        <v>75</v>
      </c>
      <c r="Y12" s="16"/>
      <c r="Z12" s="3"/>
      <c r="AA12" s="3"/>
      <c r="AB12" s="24"/>
      <c r="AC12" s="24"/>
      <c r="AD12" s="3"/>
      <c r="AE12" s="2"/>
    </row>
    <row r="13" spans="1:35" ht="22.8" x14ac:dyDescent="0.25">
      <c r="A13" s="28"/>
      <c r="B13" s="20">
        <v>37522</v>
      </c>
      <c r="C13" s="27" t="s">
        <v>54</v>
      </c>
      <c r="D13" s="20" t="s">
        <v>627</v>
      </c>
      <c r="E13" s="20"/>
      <c r="F13" s="29"/>
      <c r="G13" s="29"/>
      <c r="H13" s="19">
        <v>44210</v>
      </c>
      <c r="I13" s="3">
        <v>873</v>
      </c>
      <c r="J13" s="3" t="s">
        <v>58</v>
      </c>
      <c r="K13" s="37" t="s">
        <v>59</v>
      </c>
      <c r="L13" s="33">
        <v>44299</v>
      </c>
      <c r="M13" s="16" t="s">
        <v>60</v>
      </c>
      <c r="N13" s="16" t="s">
        <v>626</v>
      </c>
      <c r="O13" s="33"/>
      <c r="P13" s="33"/>
      <c r="Q13" s="16" t="s">
        <v>75</v>
      </c>
      <c r="R13" s="16" t="s">
        <v>75</v>
      </c>
      <c r="S13" s="16" t="s">
        <v>62</v>
      </c>
      <c r="T13" s="16" t="s">
        <v>62</v>
      </c>
      <c r="U13" s="16" t="s">
        <v>62</v>
      </c>
      <c r="V13" s="16"/>
      <c r="W13" s="16" t="s">
        <v>62</v>
      </c>
      <c r="X13" s="16" t="s">
        <v>75</v>
      </c>
      <c r="Y13" s="16"/>
      <c r="Z13" s="3"/>
      <c r="AA13" s="3"/>
      <c r="AB13" s="24"/>
      <c r="AC13" s="24"/>
      <c r="AD13" s="3"/>
      <c r="AE13" s="2"/>
    </row>
    <row r="14" spans="1:35" ht="22.8" x14ac:dyDescent="0.25">
      <c r="A14" s="255"/>
      <c r="B14" s="20">
        <v>37526</v>
      </c>
      <c r="C14" s="27" t="s">
        <v>64</v>
      </c>
      <c r="D14" s="20" t="s">
        <v>1969</v>
      </c>
      <c r="E14" s="20" t="s">
        <v>1946</v>
      </c>
      <c r="F14" s="29" t="s">
        <v>1947</v>
      </c>
      <c r="G14" s="29" t="s">
        <v>10</v>
      </c>
      <c r="H14" s="19">
        <v>44210</v>
      </c>
      <c r="I14" s="3">
        <v>1002</v>
      </c>
      <c r="J14" s="3" t="s">
        <v>58</v>
      </c>
      <c r="K14" s="37" t="s">
        <v>59</v>
      </c>
      <c r="L14" s="16" t="s">
        <v>75</v>
      </c>
      <c r="M14" s="16" t="s">
        <v>60</v>
      </c>
      <c r="N14" s="16" t="s">
        <v>75</v>
      </c>
      <c r="O14" s="24"/>
      <c r="P14" s="24"/>
      <c r="Q14" s="16" t="s">
        <v>75</v>
      </c>
      <c r="R14" s="16" t="s">
        <v>75</v>
      </c>
      <c r="S14" s="16" t="s">
        <v>68</v>
      </c>
      <c r="T14" s="24" t="s">
        <v>68</v>
      </c>
      <c r="U14" s="16" t="s">
        <v>68</v>
      </c>
      <c r="V14" s="24"/>
      <c r="W14" s="24"/>
      <c r="X14" s="16" t="s">
        <v>75</v>
      </c>
      <c r="Y14" s="24"/>
      <c r="Z14" s="24" t="s">
        <v>68</v>
      </c>
      <c r="AA14" s="24"/>
      <c r="AB14" s="24"/>
      <c r="AC14" s="24"/>
      <c r="AD14" s="24"/>
      <c r="AE14"/>
    </row>
    <row r="15" spans="1:35" ht="22.8" x14ac:dyDescent="0.25">
      <c r="A15" s="255"/>
      <c r="B15" s="20">
        <v>37526</v>
      </c>
      <c r="C15" s="27" t="s">
        <v>54</v>
      </c>
      <c r="D15" s="20" t="s">
        <v>1970</v>
      </c>
      <c r="E15" s="20" t="s">
        <v>1946</v>
      </c>
      <c r="F15" s="29" t="s">
        <v>1947</v>
      </c>
      <c r="G15" s="29" t="s">
        <v>10</v>
      </c>
      <c r="H15" s="19">
        <v>44210</v>
      </c>
      <c r="I15" s="3">
        <v>974</v>
      </c>
      <c r="J15" s="3" t="s">
        <v>58</v>
      </c>
      <c r="K15" s="37" t="s">
        <v>59</v>
      </c>
      <c r="L15" s="16" t="s">
        <v>75</v>
      </c>
      <c r="M15" s="16" t="s">
        <v>60</v>
      </c>
      <c r="N15" s="16" t="s">
        <v>75</v>
      </c>
      <c r="O15" s="24"/>
      <c r="P15" s="24"/>
      <c r="Q15" s="16" t="s">
        <v>75</v>
      </c>
      <c r="R15" s="16" t="s">
        <v>75</v>
      </c>
      <c r="S15" s="16" t="s">
        <v>62</v>
      </c>
      <c r="T15" s="24" t="s">
        <v>62</v>
      </c>
      <c r="U15" s="16" t="s">
        <v>62</v>
      </c>
      <c r="V15" s="24"/>
      <c r="W15" s="24"/>
      <c r="X15" s="16" t="s">
        <v>75</v>
      </c>
      <c r="Y15" s="24"/>
      <c r="Z15" s="24" t="s">
        <v>62</v>
      </c>
      <c r="AA15" s="24"/>
      <c r="AB15" s="24"/>
      <c r="AC15" s="24"/>
      <c r="AD15" s="24"/>
      <c r="AE15"/>
    </row>
    <row r="16" spans="1:35" ht="22.8" x14ac:dyDescent="0.25">
      <c r="A16" s="255"/>
      <c r="B16" s="20">
        <v>37528</v>
      </c>
      <c r="C16" s="27" t="s">
        <v>64</v>
      </c>
      <c r="D16" s="20" t="s">
        <v>1971</v>
      </c>
      <c r="E16" s="20" t="s">
        <v>1946</v>
      </c>
      <c r="F16" s="29" t="s">
        <v>1947</v>
      </c>
      <c r="G16" s="29" t="s">
        <v>10</v>
      </c>
      <c r="H16" s="19">
        <v>44211</v>
      </c>
      <c r="I16" s="3">
        <v>966</v>
      </c>
      <c r="J16" s="3" t="s">
        <v>58</v>
      </c>
      <c r="K16" s="37" t="s">
        <v>59</v>
      </c>
      <c r="L16" s="16" t="s">
        <v>75</v>
      </c>
      <c r="M16" s="16" t="s">
        <v>60</v>
      </c>
      <c r="N16" s="16" t="s">
        <v>1972</v>
      </c>
      <c r="O16" s="24"/>
      <c r="P16" s="24"/>
      <c r="Q16" s="16" t="s">
        <v>75</v>
      </c>
      <c r="R16" s="16" t="s">
        <v>75</v>
      </c>
      <c r="S16" s="16"/>
      <c r="T16" s="24"/>
      <c r="U16" s="16" t="s">
        <v>68</v>
      </c>
      <c r="V16" s="24"/>
      <c r="W16" s="24"/>
      <c r="X16" s="16" t="s">
        <v>75</v>
      </c>
      <c r="Y16" s="24"/>
      <c r="Z16" s="24" t="s">
        <v>68</v>
      </c>
      <c r="AA16" s="24"/>
      <c r="AB16" s="24"/>
      <c r="AC16" s="24"/>
      <c r="AD16" s="24"/>
      <c r="AE16"/>
    </row>
    <row r="17" spans="1:31" ht="22.8" x14ac:dyDescent="0.25">
      <c r="A17" s="255"/>
      <c r="B17" s="20">
        <v>37528</v>
      </c>
      <c r="C17" s="27" t="s">
        <v>54</v>
      </c>
      <c r="D17" s="20" t="s">
        <v>1973</v>
      </c>
      <c r="E17" s="20" t="s">
        <v>1946</v>
      </c>
      <c r="F17" s="29" t="s">
        <v>1947</v>
      </c>
      <c r="G17" s="29" t="s">
        <v>10</v>
      </c>
      <c r="H17" s="19">
        <v>44211</v>
      </c>
      <c r="I17" s="3">
        <v>968</v>
      </c>
      <c r="J17" s="3" t="s">
        <v>58</v>
      </c>
      <c r="K17" s="37" t="s">
        <v>59</v>
      </c>
      <c r="L17" s="16" t="s">
        <v>75</v>
      </c>
      <c r="M17" s="16" t="s">
        <v>60</v>
      </c>
      <c r="N17" s="16" t="s">
        <v>1972</v>
      </c>
      <c r="O17" s="24"/>
      <c r="P17" s="24"/>
      <c r="Q17" s="16" t="s">
        <v>75</v>
      </c>
      <c r="R17" s="16" t="s">
        <v>75</v>
      </c>
      <c r="S17" s="16"/>
      <c r="T17" s="24"/>
      <c r="U17" s="16" t="s">
        <v>62</v>
      </c>
      <c r="V17" s="24"/>
      <c r="W17" s="24"/>
      <c r="X17" s="16" t="s">
        <v>75</v>
      </c>
      <c r="Y17" s="24"/>
      <c r="Z17" s="24" t="s">
        <v>62</v>
      </c>
      <c r="AA17" s="24"/>
      <c r="AB17" s="24"/>
      <c r="AC17" s="24"/>
      <c r="AD17" s="24"/>
      <c r="AE17"/>
    </row>
    <row r="18" spans="1:31" ht="22.8" x14ac:dyDescent="0.25">
      <c r="A18" s="255"/>
      <c r="B18" s="20">
        <v>37529</v>
      </c>
      <c r="C18" s="27" t="s">
        <v>64</v>
      </c>
      <c r="D18" s="20" t="s">
        <v>1974</v>
      </c>
      <c r="E18" s="20" t="s">
        <v>1946</v>
      </c>
      <c r="F18" s="29" t="s">
        <v>1947</v>
      </c>
      <c r="G18" s="29" t="s">
        <v>10</v>
      </c>
      <c r="H18" s="19">
        <v>44279</v>
      </c>
      <c r="I18" s="3">
        <v>1006</v>
      </c>
      <c r="J18" s="3" t="s">
        <v>58</v>
      </c>
      <c r="K18" s="37" t="s">
        <v>59</v>
      </c>
      <c r="L18" s="16" t="s">
        <v>75</v>
      </c>
      <c r="M18" s="16" t="s">
        <v>60</v>
      </c>
      <c r="N18" s="3" t="s">
        <v>1975</v>
      </c>
      <c r="O18" s="24"/>
      <c r="P18" s="24"/>
      <c r="Q18" s="16" t="s">
        <v>75</v>
      </c>
      <c r="R18" s="16" t="s">
        <v>75</v>
      </c>
      <c r="S18" s="16" t="s">
        <v>68</v>
      </c>
      <c r="T18" s="24" t="s">
        <v>68</v>
      </c>
      <c r="U18" s="16" t="s">
        <v>68</v>
      </c>
      <c r="V18" s="24"/>
      <c r="W18" s="24"/>
      <c r="X18" s="16" t="s">
        <v>75</v>
      </c>
      <c r="Y18" s="24"/>
      <c r="Z18" s="24" t="s">
        <v>68</v>
      </c>
      <c r="AA18" s="24"/>
      <c r="AB18" s="24"/>
      <c r="AC18" s="24"/>
      <c r="AD18" s="24"/>
      <c r="AE18"/>
    </row>
    <row r="19" spans="1:31" ht="22.8" x14ac:dyDescent="0.25">
      <c r="A19" s="255"/>
      <c r="B19" s="20">
        <v>37529</v>
      </c>
      <c r="C19" s="27" t="s">
        <v>54</v>
      </c>
      <c r="D19" s="20" t="s">
        <v>1976</v>
      </c>
      <c r="E19" s="20" t="s">
        <v>1946</v>
      </c>
      <c r="F19" s="29" t="s">
        <v>1947</v>
      </c>
      <c r="G19" s="29" t="s">
        <v>10</v>
      </c>
      <c r="H19" s="19">
        <v>44279</v>
      </c>
      <c r="I19" s="3">
        <v>1009</v>
      </c>
      <c r="J19" s="3" t="s">
        <v>58</v>
      </c>
      <c r="K19" s="37" t="s">
        <v>59</v>
      </c>
      <c r="L19" s="16" t="s">
        <v>75</v>
      </c>
      <c r="M19" s="16" t="s">
        <v>60</v>
      </c>
      <c r="N19" s="16" t="s">
        <v>1977</v>
      </c>
      <c r="O19" s="24"/>
      <c r="P19" s="24"/>
      <c r="Q19" s="16" t="s">
        <v>75</v>
      </c>
      <c r="R19" s="16" t="s">
        <v>75</v>
      </c>
      <c r="S19" s="16" t="s">
        <v>62</v>
      </c>
      <c r="T19" s="24" t="s">
        <v>62</v>
      </c>
      <c r="U19" s="16" t="s">
        <v>62</v>
      </c>
      <c r="V19" s="24"/>
      <c r="W19" s="24"/>
      <c r="X19" s="16" t="s">
        <v>75</v>
      </c>
      <c r="Y19" s="24"/>
      <c r="Z19" s="24" t="s">
        <v>62</v>
      </c>
      <c r="AA19" s="24"/>
      <c r="AB19" s="24"/>
      <c r="AC19" s="24"/>
      <c r="AD19" s="24"/>
      <c r="AE19"/>
    </row>
    <row r="20" spans="1:31" ht="22.8" x14ac:dyDescent="0.25">
      <c r="A20" s="255"/>
      <c r="B20" s="20">
        <v>37531</v>
      </c>
      <c r="C20" s="27" t="s">
        <v>64</v>
      </c>
      <c r="D20" s="20" t="s">
        <v>1978</v>
      </c>
      <c r="E20" s="20" t="s">
        <v>1946</v>
      </c>
      <c r="F20" s="29" t="s">
        <v>1947</v>
      </c>
      <c r="G20" s="19" t="s">
        <v>10</v>
      </c>
      <c r="H20" s="19">
        <v>44217</v>
      </c>
      <c r="I20" s="3" t="s">
        <v>1979</v>
      </c>
      <c r="J20" s="3" t="s">
        <v>58</v>
      </c>
      <c r="K20" s="37" t="s">
        <v>59</v>
      </c>
      <c r="L20" s="16" t="s">
        <v>75</v>
      </c>
      <c r="M20" s="16" t="s">
        <v>60</v>
      </c>
      <c r="N20" s="16" t="s">
        <v>75</v>
      </c>
      <c r="O20" s="33"/>
      <c r="P20" s="33" t="s">
        <v>1980</v>
      </c>
      <c r="Q20" s="16" t="s">
        <v>75</v>
      </c>
      <c r="R20" s="16" t="s">
        <v>75</v>
      </c>
      <c r="S20" s="16" t="s">
        <v>68</v>
      </c>
      <c r="T20" s="24" t="s">
        <v>68</v>
      </c>
      <c r="U20" s="16" t="s">
        <v>68</v>
      </c>
      <c r="V20" s="24"/>
      <c r="W20" s="24"/>
      <c r="X20" s="16" t="s">
        <v>75</v>
      </c>
      <c r="Y20" s="24"/>
      <c r="Z20" s="24" t="s">
        <v>68</v>
      </c>
      <c r="AA20" s="24"/>
      <c r="AB20" s="24"/>
      <c r="AC20" s="24"/>
      <c r="AD20" s="24" t="s">
        <v>68</v>
      </c>
      <c r="AE20"/>
    </row>
    <row r="21" spans="1:31" ht="22.8" x14ac:dyDescent="0.25">
      <c r="A21" s="255"/>
      <c r="B21" s="20">
        <v>37531</v>
      </c>
      <c r="C21" s="27" t="s">
        <v>54</v>
      </c>
      <c r="D21" s="20" t="s">
        <v>1981</v>
      </c>
      <c r="E21" s="20" t="s">
        <v>1946</v>
      </c>
      <c r="F21" s="29" t="s">
        <v>1947</v>
      </c>
      <c r="G21" s="29" t="s">
        <v>10</v>
      </c>
      <c r="H21" s="19">
        <v>44217</v>
      </c>
      <c r="I21" s="3">
        <v>992</v>
      </c>
      <c r="J21" s="3" t="s">
        <v>58</v>
      </c>
      <c r="K21" s="37" t="s">
        <v>59</v>
      </c>
      <c r="L21" s="16" t="s">
        <v>75</v>
      </c>
      <c r="M21" s="16" t="s">
        <v>60</v>
      </c>
      <c r="N21" s="3" t="s">
        <v>1982</v>
      </c>
      <c r="O21" s="24"/>
      <c r="P21" s="33" t="s">
        <v>1980</v>
      </c>
      <c r="Q21" s="16" t="s">
        <v>75</v>
      </c>
      <c r="R21" s="16" t="s">
        <v>75</v>
      </c>
      <c r="S21" s="16" t="s">
        <v>62</v>
      </c>
      <c r="T21" s="24" t="s">
        <v>62</v>
      </c>
      <c r="U21" s="16" t="s">
        <v>62</v>
      </c>
      <c r="V21" s="24"/>
      <c r="W21" s="24"/>
      <c r="X21" s="16" t="s">
        <v>75</v>
      </c>
      <c r="Y21" s="24"/>
      <c r="Z21" s="24" t="s">
        <v>62</v>
      </c>
      <c r="AA21" s="24"/>
      <c r="AB21" s="24"/>
      <c r="AC21" s="24"/>
      <c r="AD21" s="24" t="s">
        <v>62</v>
      </c>
      <c r="AE21"/>
    </row>
    <row r="22" spans="1:31" ht="22.8" x14ac:dyDescent="0.25">
      <c r="A22" s="256"/>
      <c r="B22" s="20">
        <v>37568</v>
      </c>
      <c r="C22" s="27" t="s">
        <v>64</v>
      </c>
      <c r="D22" s="20" t="s">
        <v>1983</v>
      </c>
      <c r="E22" s="20" t="s">
        <v>1946</v>
      </c>
      <c r="F22" s="3" t="s">
        <v>1947</v>
      </c>
      <c r="G22" s="3" t="s">
        <v>10</v>
      </c>
      <c r="H22" s="84">
        <v>44292</v>
      </c>
      <c r="I22" s="3">
        <v>1016</v>
      </c>
      <c r="J22" s="3" t="s">
        <v>58</v>
      </c>
      <c r="K22" s="37" t="s">
        <v>59</v>
      </c>
      <c r="L22" s="16" t="s">
        <v>75</v>
      </c>
      <c r="M22" s="16" t="s">
        <v>60</v>
      </c>
      <c r="N22" s="33" t="s">
        <v>1984</v>
      </c>
      <c r="O22" s="33"/>
      <c r="P22" s="33"/>
      <c r="Q22" s="16" t="s">
        <v>75</v>
      </c>
      <c r="R22" s="16" t="s">
        <v>75</v>
      </c>
      <c r="S22" s="16" t="s">
        <v>68</v>
      </c>
      <c r="T22" s="16" t="s">
        <v>68</v>
      </c>
      <c r="U22" s="16" t="s">
        <v>68</v>
      </c>
      <c r="V22" s="16"/>
      <c r="W22" s="16"/>
      <c r="X22" s="16" t="s">
        <v>75</v>
      </c>
      <c r="Y22" s="16"/>
      <c r="Z22" s="16" t="s">
        <v>68</v>
      </c>
      <c r="AA22" s="16"/>
      <c r="AB22" s="24"/>
      <c r="AC22" s="24"/>
      <c r="AD22" s="16" t="s">
        <v>68</v>
      </c>
    </row>
    <row r="23" spans="1:31" ht="22.8" x14ac:dyDescent="0.25">
      <c r="A23" s="256"/>
      <c r="B23" s="20">
        <v>37568</v>
      </c>
      <c r="C23" s="27" t="s">
        <v>54</v>
      </c>
      <c r="D23" s="20" t="s">
        <v>1985</v>
      </c>
      <c r="E23" s="20" t="s">
        <v>1946</v>
      </c>
      <c r="F23" s="3" t="s">
        <v>1947</v>
      </c>
      <c r="G23" s="3" t="s">
        <v>10</v>
      </c>
      <c r="H23" s="84">
        <v>44292</v>
      </c>
      <c r="I23" s="3">
        <v>1017</v>
      </c>
      <c r="J23" s="3" t="s">
        <v>58</v>
      </c>
      <c r="K23" s="37" t="s">
        <v>59</v>
      </c>
      <c r="L23" s="16" t="s">
        <v>75</v>
      </c>
      <c r="M23" s="16" t="s">
        <v>60</v>
      </c>
      <c r="N23" s="33" t="s">
        <v>1984</v>
      </c>
      <c r="O23" s="33"/>
      <c r="P23" s="33"/>
      <c r="Q23" s="16" t="s">
        <v>75</v>
      </c>
      <c r="R23" s="16" t="s">
        <v>75</v>
      </c>
      <c r="S23" s="16" t="s">
        <v>62</v>
      </c>
      <c r="T23" s="16" t="s">
        <v>62</v>
      </c>
      <c r="U23" s="16" t="s">
        <v>62</v>
      </c>
      <c r="V23" s="16"/>
      <c r="W23" s="16"/>
      <c r="X23" s="16" t="s">
        <v>75</v>
      </c>
      <c r="Y23" s="16"/>
      <c r="Z23" s="16" t="s">
        <v>62</v>
      </c>
      <c r="AA23" s="16"/>
      <c r="AB23" s="24"/>
      <c r="AC23" s="24"/>
      <c r="AD23" s="16" t="s">
        <v>62</v>
      </c>
    </row>
    <row r="24" spans="1:31" ht="22.8" x14ac:dyDescent="0.25">
      <c r="A24" s="254"/>
      <c r="B24" s="20">
        <v>39140</v>
      </c>
      <c r="C24" s="27" t="s">
        <v>64</v>
      </c>
      <c r="D24" s="20" t="s">
        <v>1986</v>
      </c>
      <c r="E24" s="20" t="s">
        <v>1946</v>
      </c>
      <c r="F24" s="29" t="s">
        <v>1947</v>
      </c>
      <c r="G24" s="29" t="s">
        <v>10</v>
      </c>
      <c r="H24" s="19">
        <v>43979</v>
      </c>
      <c r="I24" s="3">
        <v>773</v>
      </c>
      <c r="J24" s="3" t="s">
        <v>58</v>
      </c>
      <c r="K24" s="37" t="s">
        <v>59</v>
      </c>
      <c r="L24" s="33">
        <v>44750</v>
      </c>
      <c r="M24" s="16" t="s">
        <v>60</v>
      </c>
      <c r="N24" s="33" t="s">
        <v>1987</v>
      </c>
      <c r="O24" s="33"/>
      <c r="P24" s="33" t="s">
        <v>1980</v>
      </c>
      <c r="Q24" s="16" t="s">
        <v>75</v>
      </c>
      <c r="R24" s="16" t="s">
        <v>75</v>
      </c>
      <c r="S24" s="16" t="s">
        <v>68</v>
      </c>
      <c r="T24" s="16" t="s">
        <v>68</v>
      </c>
      <c r="U24" s="16" t="s">
        <v>68</v>
      </c>
      <c r="V24" s="16"/>
      <c r="W24" s="16"/>
      <c r="X24" s="16"/>
      <c r="Y24" s="16"/>
      <c r="Z24" s="16" t="s">
        <v>68</v>
      </c>
      <c r="AA24" s="16"/>
      <c r="AB24" s="24"/>
      <c r="AC24" s="24"/>
      <c r="AD24" s="16" t="s">
        <v>68</v>
      </c>
    </row>
    <row r="25" spans="1:31" ht="22.8" x14ac:dyDescent="0.25">
      <c r="A25" s="254"/>
      <c r="B25" s="20">
        <v>39140</v>
      </c>
      <c r="C25" s="27" t="s">
        <v>54</v>
      </c>
      <c r="D25" s="20" t="s">
        <v>1988</v>
      </c>
      <c r="E25" s="20" t="s">
        <v>1946</v>
      </c>
      <c r="F25" s="29" t="s">
        <v>1947</v>
      </c>
      <c r="G25" s="29" t="s">
        <v>10</v>
      </c>
      <c r="H25" s="19">
        <v>43979</v>
      </c>
      <c r="I25" s="3">
        <v>671</v>
      </c>
      <c r="J25" s="3" t="s">
        <v>58</v>
      </c>
      <c r="K25" s="37" t="s">
        <v>59</v>
      </c>
      <c r="L25" s="33">
        <v>44750</v>
      </c>
      <c r="M25" s="16" t="s">
        <v>60</v>
      </c>
      <c r="N25" s="33" t="s">
        <v>1987</v>
      </c>
      <c r="O25" s="33"/>
      <c r="P25" s="33" t="s">
        <v>1980</v>
      </c>
      <c r="Q25" s="16" t="s">
        <v>75</v>
      </c>
      <c r="R25" s="16" t="s">
        <v>75</v>
      </c>
      <c r="S25" s="16" t="s">
        <v>62</v>
      </c>
      <c r="T25" s="16" t="s">
        <v>62</v>
      </c>
      <c r="U25" s="16" t="s">
        <v>62</v>
      </c>
      <c r="V25" s="16"/>
      <c r="W25" s="16"/>
      <c r="X25" s="16"/>
      <c r="Y25" s="16"/>
      <c r="Z25" s="16" t="s">
        <v>62</v>
      </c>
      <c r="AA25" s="16"/>
      <c r="AB25" s="24"/>
      <c r="AC25" s="24"/>
      <c r="AD25" s="16" t="s">
        <v>62</v>
      </c>
    </row>
    <row r="26" spans="1:31" ht="22.8" x14ac:dyDescent="0.25">
      <c r="A26" s="254"/>
      <c r="B26" s="20">
        <v>39157</v>
      </c>
      <c r="C26" s="27" t="s">
        <v>64</v>
      </c>
      <c r="D26" s="20" t="s">
        <v>1989</v>
      </c>
      <c r="E26" s="20" t="s">
        <v>1946</v>
      </c>
      <c r="F26" s="29" t="s">
        <v>1947</v>
      </c>
      <c r="G26" s="29" t="s">
        <v>10</v>
      </c>
      <c r="H26" s="19">
        <v>44083</v>
      </c>
      <c r="I26" s="3">
        <v>877</v>
      </c>
      <c r="J26" s="3" t="s">
        <v>58</v>
      </c>
      <c r="K26" s="37" t="s">
        <v>59</v>
      </c>
      <c r="L26" s="33">
        <v>44653</v>
      </c>
      <c r="M26" s="16" t="s">
        <v>60</v>
      </c>
      <c r="N26" s="33" t="s">
        <v>1990</v>
      </c>
      <c r="O26" s="33"/>
      <c r="P26" s="33"/>
      <c r="Q26" s="16" t="s">
        <v>75</v>
      </c>
      <c r="R26" s="16" t="s">
        <v>75</v>
      </c>
      <c r="S26" s="16" t="s">
        <v>68</v>
      </c>
      <c r="T26" s="16" t="s">
        <v>68</v>
      </c>
      <c r="U26" s="16" t="s">
        <v>68</v>
      </c>
      <c r="V26" s="16"/>
      <c r="W26" s="16"/>
      <c r="X26" s="16" t="s">
        <v>75</v>
      </c>
      <c r="Y26" s="16"/>
      <c r="Z26" s="16"/>
      <c r="AA26" s="16"/>
      <c r="AB26" s="24"/>
      <c r="AC26" s="24"/>
      <c r="AD26" s="16"/>
    </row>
    <row r="27" spans="1:31" ht="22.8" x14ac:dyDescent="0.25">
      <c r="A27" s="254"/>
      <c r="B27" s="20">
        <v>39157</v>
      </c>
      <c r="C27" s="27" t="s">
        <v>54</v>
      </c>
      <c r="D27" s="20" t="s">
        <v>1991</v>
      </c>
      <c r="E27" s="20" t="s">
        <v>1946</v>
      </c>
      <c r="F27" s="29" t="s">
        <v>1947</v>
      </c>
      <c r="G27" s="29" t="s">
        <v>10</v>
      </c>
      <c r="H27" s="19">
        <v>44083</v>
      </c>
      <c r="I27" s="3">
        <v>876</v>
      </c>
      <c r="J27" s="3" t="s">
        <v>58</v>
      </c>
      <c r="K27" s="37" t="s">
        <v>59</v>
      </c>
      <c r="L27" s="33">
        <v>44653</v>
      </c>
      <c r="M27" s="16" t="s">
        <v>60</v>
      </c>
      <c r="N27" s="33" t="s">
        <v>1990</v>
      </c>
      <c r="O27" s="33"/>
      <c r="P27" s="33"/>
      <c r="Q27" s="16" t="s">
        <v>75</v>
      </c>
      <c r="R27" s="16" t="s">
        <v>75</v>
      </c>
      <c r="S27" s="16" t="s">
        <v>62</v>
      </c>
      <c r="T27" s="16" t="s">
        <v>62</v>
      </c>
      <c r="U27" s="16" t="s">
        <v>62</v>
      </c>
      <c r="V27" s="16"/>
      <c r="W27" s="16"/>
      <c r="X27" s="16" t="s">
        <v>75</v>
      </c>
      <c r="Y27" s="16"/>
      <c r="Z27" s="16"/>
      <c r="AA27" s="16"/>
      <c r="AB27" s="24"/>
      <c r="AC27" s="24"/>
      <c r="AD27" s="16"/>
    </row>
    <row r="28" spans="1:31" ht="22.8" x14ac:dyDescent="0.25">
      <c r="A28" s="254"/>
      <c r="B28" s="20">
        <v>39158</v>
      </c>
      <c r="C28" s="27" t="s">
        <v>64</v>
      </c>
      <c r="D28" s="20" t="s">
        <v>1992</v>
      </c>
      <c r="E28" s="20" t="s">
        <v>1946</v>
      </c>
      <c r="F28" s="29" t="s">
        <v>1947</v>
      </c>
      <c r="G28" s="29" t="s">
        <v>10</v>
      </c>
      <c r="H28" s="19">
        <v>44085</v>
      </c>
      <c r="I28" s="3">
        <v>879</v>
      </c>
      <c r="J28" s="3" t="s">
        <v>58</v>
      </c>
      <c r="K28" s="37" t="s">
        <v>59</v>
      </c>
      <c r="L28" s="33">
        <v>44620</v>
      </c>
      <c r="M28" s="16" t="s">
        <v>60</v>
      </c>
      <c r="N28" s="35" t="s">
        <v>1993</v>
      </c>
      <c r="O28" s="33"/>
      <c r="P28" s="33" t="s">
        <v>1980</v>
      </c>
      <c r="Q28" s="16" t="s">
        <v>75</v>
      </c>
      <c r="R28" s="16" t="s">
        <v>75</v>
      </c>
      <c r="S28" s="16" t="s">
        <v>68</v>
      </c>
      <c r="T28" s="16" t="s">
        <v>68</v>
      </c>
      <c r="U28" s="16" t="s">
        <v>68</v>
      </c>
      <c r="V28" s="16"/>
      <c r="W28" s="16"/>
      <c r="X28" s="16" t="s">
        <v>75</v>
      </c>
      <c r="Y28" s="16"/>
      <c r="Z28" s="16" t="s">
        <v>68</v>
      </c>
      <c r="AA28" s="16"/>
      <c r="AB28" s="24"/>
      <c r="AC28" s="24"/>
      <c r="AD28" s="16"/>
    </row>
    <row r="29" spans="1:31" ht="22.8" x14ac:dyDescent="0.25">
      <c r="A29" s="255"/>
      <c r="B29" s="20">
        <v>39158</v>
      </c>
      <c r="C29" s="27" t="s">
        <v>54</v>
      </c>
      <c r="D29" s="20" t="s">
        <v>1994</v>
      </c>
      <c r="E29" s="20" t="s">
        <v>1946</v>
      </c>
      <c r="F29" s="29" t="s">
        <v>1947</v>
      </c>
      <c r="G29" s="29" t="s">
        <v>10</v>
      </c>
      <c r="H29" s="19">
        <v>44085</v>
      </c>
      <c r="I29" s="3">
        <v>885</v>
      </c>
      <c r="J29" s="3" t="s">
        <v>58</v>
      </c>
      <c r="K29" s="37" t="s">
        <v>59</v>
      </c>
      <c r="L29" s="33">
        <v>44620</v>
      </c>
      <c r="M29" s="16" t="s">
        <v>60</v>
      </c>
      <c r="N29" s="3" t="s">
        <v>1993</v>
      </c>
      <c r="O29" s="24"/>
      <c r="P29" s="24" t="s">
        <v>1980</v>
      </c>
      <c r="Q29" s="16" t="s">
        <v>75</v>
      </c>
      <c r="R29" s="16" t="s">
        <v>75</v>
      </c>
      <c r="S29" s="16" t="s">
        <v>62</v>
      </c>
      <c r="T29" s="24" t="s">
        <v>62</v>
      </c>
      <c r="U29" s="16" t="s">
        <v>62</v>
      </c>
      <c r="V29" s="24"/>
      <c r="W29" s="24"/>
      <c r="X29" s="16" t="s">
        <v>75</v>
      </c>
      <c r="Y29" s="24"/>
      <c r="Z29" s="24" t="s">
        <v>62</v>
      </c>
      <c r="AA29" s="24"/>
      <c r="AB29" s="24"/>
      <c r="AC29" s="24"/>
      <c r="AD29" s="24"/>
      <c r="AE29"/>
    </row>
    <row r="30" spans="1:31" ht="22.8" x14ac:dyDescent="0.25">
      <c r="A30" s="255"/>
      <c r="B30" s="20">
        <v>39165</v>
      </c>
      <c r="C30" s="27" t="s">
        <v>64</v>
      </c>
      <c r="D30" s="20" t="s">
        <v>1995</v>
      </c>
      <c r="E30" s="20" t="s">
        <v>1946</v>
      </c>
      <c r="F30" s="29" t="s">
        <v>1947</v>
      </c>
      <c r="G30" s="29" t="s">
        <v>10</v>
      </c>
      <c r="H30" s="19">
        <v>44151</v>
      </c>
      <c r="I30" s="3">
        <v>981</v>
      </c>
      <c r="J30" s="3" t="s">
        <v>58</v>
      </c>
      <c r="K30" s="37" t="s">
        <v>59</v>
      </c>
      <c r="L30" s="16" t="s">
        <v>75</v>
      </c>
      <c r="M30" s="16" t="s">
        <v>60</v>
      </c>
      <c r="N30" s="3" t="s">
        <v>1987</v>
      </c>
      <c r="O30" s="24"/>
      <c r="P30" s="24"/>
      <c r="Q30" s="16" t="s">
        <v>75</v>
      </c>
      <c r="R30" s="16" t="s">
        <v>75</v>
      </c>
      <c r="S30" s="16" t="s">
        <v>68</v>
      </c>
      <c r="T30" s="24" t="s">
        <v>68</v>
      </c>
      <c r="U30" s="16" t="s">
        <v>68</v>
      </c>
      <c r="V30" s="24"/>
      <c r="W30" s="24"/>
      <c r="X30" s="16" t="s">
        <v>75</v>
      </c>
      <c r="Y30" s="24"/>
      <c r="Z30" s="24" t="s">
        <v>68</v>
      </c>
      <c r="AA30" s="24"/>
      <c r="AB30" s="24"/>
      <c r="AC30" s="24"/>
      <c r="AD30" s="24" t="s">
        <v>68</v>
      </c>
      <c r="AE30"/>
    </row>
    <row r="31" spans="1:31" ht="22.8" x14ac:dyDescent="0.25">
      <c r="A31" s="255"/>
      <c r="B31" s="20">
        <v>39165</v>
      </c>
      <c r="C31" s="27" t="s">
        <v>54</v>
      </c>
      <c r="D31" s="20" t="s">
        <v>1996</v>
      </c>
      <c r="E31" s="20" t="s">
        <v>1946</v>
      </c>
      <c r="F31" s="29" t="s">
        <v>1947</v>
      </c>
      <c r="G31" s="29" t="s">
        <v>10</v>
      </c>
      <c r="H31" s="19">
        <v>44151</v>
      </c>
      <c r="I31" s="3">
        <v>980</v>
      </c>
      <c r="J31" s="3" t="s">
        <v>58</v>
      </c>
      <c r="K31" s="37" t="s">
        <v>59</v>
      </c>
      <c r="L31" s="16" t="s">
        <v>75</v>
      </c>
      <c r="M31" s="16" t="s">
        <v>60</v>
      </c>
      <c r="N31" s="3" t="s">
        <v>1987</v>
      </c>
      <c r="O31" s="24"/>
      <c r="P31" s="24"/>
      <c r="Q31" s="16" t="s">
        <v>75</v>
      </c>
      <c r="R31" s="16" t="s">
        <v>75</v>
      </c>
      <c r="S31" s="16" t="s">
        <v>62</v>
      </c>
      <c r="T31" s="24" t="s">
        <v>62</v>
      </c>
      <c r="U31" s="16" t="s">
        <v>62</v>
      </c>
      <c r="V31" s="24"/>
      <c r="W31" s="24"/>
      <c r="X31" s="16" t="s">
        <v>75</v>
      </c>
      <c r="Y31" s="24"/>
      <c r="Z31" s="24" t="s">
        <v>62</v>
      </c>
      <c r="AA31" s="24"/>
      <c r="AB31" s="24"/>
      <c r="AC31" s="24"/>
      <c r="AD31" s="24" t="s">
        <v>62</v>
      </c>
      <c r="AE31"/>
    </row>
    <row r="32" spans="1:31" ht="22.8" x14ac:dyDescent="0.25">
      <c r="A32" s="254"/>
      <c r="B32" s="20">
        <v>39166</v>
      </c>
      <c r="C32" s="27" t="s">
        <v>64</v>
      </c>
      <c r="D32" s="20" t="s">
        <v>1997</v>
      </c>
      <c r="E32" s="20" t="s">
        <v>1946</v>
      </c>
      <c r="F32" s="29" t="s">
        <v>1947</v>
      </c>
      <c r="G32" s="29" t="s">
        <v>10</v>
      </c>
      <c r="H32" s="19">
        <v>44131</v>
      </c>
      <c r="I32" s="3">
        <v>881</v>
      </c>
      <c r="J32" s="3" t="s">
        <v>58</v>
      </c>
      <c r="K32" s="37" t="s">
        <v>59</v>
      </c>
      <c r="L32" s="33">
        <v>44610</v>
      </c>
      <c r="M32" s="16" t="s">
        <v>60</v>
      </c>
      <c r="N32" s="35" t="s">
        <v>1998</v>
      </c>
      <c r="O32" s="33"/>
      <c r="P32" s="33"/>
      <c r="Q32" s="16" t="s">
        <v>75</v>
      </c>
      <c r="R32" s="16" t="s">
        <v>75</v>
      </c>
      <c r="S32" s="16" t="s">
        <v>68</v>
      </c>
      <c r="T32" s="16" t="s">
        <v>68</v>
      </c>
      <c r="U32" s="16" t="s">
        <v>68</v>
      </c>
      <c r="V32" s="16"/>
      <c r="W32" s="16"/>
      <c r="X32" s="16" t="s">
        <v>75</v>
      </c>
      <c r="Y32" s="16"/>
      <c r="Z32" s="16" t="s">
        <v>68</v>
      </c>
      <c r="AA32" s="16"/>
      <c r="AB32" s="24"/>
      <c r="AC32" s="24"/>
      <c r="AD32" s="16"/>
    </row>
    <row r="33" spans="1:31" ht="22.8" x14ac:dyDescent="0.25">
      <c r="A33" s="254"/>
      <c r="B33" s="20">
        <v>39166</v>
      </c>
      <c r="C33" s="27" t="s">
        <v>54</v>
      </c>
      <c r="D33" s="20" t="s">
        <v>1999</v>
      </c>
      <c r="E33" s="20" t="s">
        <v>1946</v>
      </c>
      <c r="F33" s="29" t="s">
        <v>1947</v>
      </c>
      <c r="G33" s="29" t="s">
        <v>10</v>
      </c>
      <c r="H33" s="19">
        <v>44131</v>
      </c>
      <c r="I33" s="3">
        <v>880</v>
      </c>
      <c r="J33" s="3" t="s">
        <v>58</v>
      </c>
      <c r="K33" s="37" t="s">
        <v>59</v>
      </c>
      <c r="L33" s="33">
        <v>44610</v>
      </c>
      <c r="M33" s="16" t="s">
        <v>60</v>
      </c>
      <c r="N33" s="35" t="s">
        <v>1998</v>
      </c>
      <c r="O33" s="33"/>
      <c r="P33" s="33"/>
      <c r="Q33" s="16" t="s">
        <v>75</v>
      </c>
      <c r="R33" s="16" t="s">
        <v>75</v>
      </c>
      <c r="S33" s="16" t="s">
        <v>62</v>
      </c>
      <c r="T33" s="16" t="s">
        <v>62</v>
      </c>
      <c r="U33" s="16" t="s">
        <v>62</v>
      </c>
      <c r="V33" s="16"/>
      <c r="W33" s="16"/>
      <c r="X33" s="16" t="s">
        <v>75</v>
      </c>
      <c r="Y33" s="16"/>
      <c r="Z33" s="16" t="s">
        <v>62</v>
      </c>
      <c r="AA33" s="16"/>
      <c r="AB33" s="24"/>
      <c r="AC33" s="24"/>
      <c r="AD33" s="16"/>
    </row>
    <row r="34" spans="1:31" ht="22.8" x14ac:dyDescent="0.25">
      <c r="A34" s="28"/>
      <c r="B34" s="20">
        <v>30782</v>
      </c>
      <c r="C34" s="27" t="s">
        <v>64</v>
      </c>
      <c r="D34" s="3" t="s">
        <v>145</v>
      </c>
      <c r="E34" s="20" t="s">
        <v>522</v>
      </c>
      <c r="F34" s="3" t="s">
        <v>57</v>
      </c>
      <c r="G34" s="3" t="s">
        <v>11</v>
      </c>
      <c r="H34" s="19">
        <v>43818</v>
      </c>
      <c r="I34" s="3">
        <v>346</v>
      </c>
      <c r="J34" s="3" t="s">
        <v>58</v>
      </c>
      <c r="K34" s="37" t="s">
        <v>59</v>
      </c>
      <c r="L34" s="33">
        <v>44266</v>
      </c>
      <c r="M34" s="16" t="s">
        <v>60</v>
      </c>
      <c r="N34" s="33">
        <v>44179</v>
      </c>
      <c r="O34" s="33"/>
      <c r="P34" s="33"/>
      <c r="Q34" s="16"/>
      <c r="R34" s="16" t="s">
        <v>68</v>
      </c>
      <c r="S34" s="16" t="s">
        <v>68</v>
      </c>
      <c r="T34" s="16" t="s">
        <v>68</v>
      </c>
      <c r="U34" s="16" t="s">
        <v>68</v>
      </c>
      <c r="V34" s="16"/>
      <c r="W34" s="16" t="s">
        <v>68</v>
      </c>
      <c r="X34" s="16" t="s">
        <v>68</v>
      </c>
      <c r="Y34" s="16" t="s">
        <v>68</v>
      </c>
      <c r="Z34" s="16" t="s">
        <v>68</v>
      </c>
      <c r="AA34" s="16"/>
      <c r="AB34" s="24"/>
      <c r="AC34" s="24"/>
      <c r="AD34" s="16"/>
    </row>
    <row r="35" spans="1:31" ht="22.8" x14ac:dyDescent="0.25">
      <c r="A35" s="28"/>
      <c r="B35" s="20">
        <v>30782</v>
      </c>
      <c r="C35" s="27" t="s">
        <v>54</v>
      </c>
      <c r="D35" s="3" t="s">
        <v>146</v>
      </c>
      <c r="E35" s="20" t="s">
        <v>522</v>
      </c>
      <c r="F35" s="3" t="s">
        <v>57</v>
      </c>
      <c r="G35" s="3" t="s">
        <v>11</v>
      </c>
      <c r="H35" s="19">
        <v>43818</v>
      </c>
      <c r="I35" s="3">
        <v>347</v>
      </c>
      <c r="J35" s="3" t="s">
        <v>58</v>
      </c>
      <c r="K35" s="37" t="s">
        <v>59</v>
      </c>
      <c r="L35" s="33">
        <v>44266</v>
      </c>
      <c r="M35" s="16" t="s">
        <v>60</v>
      </c>
      <c r="N35" s="33">
        <v>44179</v>
      </c>
      <c r="O35" s="33"/>
      <c r="P35" s="33"/>
      <c r="Q35" s="16"/>
      <c r="R35" s="16" t="s">
        <v>62</v>
      </c>
      <c r="S35" s="16" t="s">
        <v>62</v>
      </c>
      <c r="T35" s="16" t="s">
        <v>62</v>
      </c>
      <c r="U35" s="16" t="s">
        <v>62</v>
      </c>
      <c r="V35" s="16"/>
      <c r="W35" s="16" t="s">
        <v>62</v>
      </c>
      <c r="X35" s="16" t="s">
        <v>62</v>
      </c>
      <c r="Y35" s="16" t="s">
        <v>62</v>
      </c>
      <c r="Z35" s="16" t="s">
        <v>62</v>
      </c>
      <c r="AA35" s="16"/>
      <c r="AB35" s="24"/>
      <c r="AC35" s="24"/>
      <c r="AD35" s="16"/>
    </row>
    <row r="36" spans="1:31" ht="22.8" x14ac:dyDescent="0.25">
      <c r="A36" s="28"/>
      <c r="B36" s="20">
        <v>30783</v>
      </c>
      <c r="C36" s="27" t="s">
        <v>64</v>
      </c>
      <c r="D36" s="3" t="s">
        <v>147</v>
      </c>
      <c r="E36" s="20" t="s">
        <v>522</v>
      </c>
      <c r="F36" s="3" t="s">
        <v>57</v>
      </c>
      <c r="G36" s="3" t="s">
        <v>11</v>
      </c>
      <c r="H36" s="19">
        <v>43834</v>
      </c>
      <c r="I36" s="3">
        <v>361</v>
      </c>
      <c r="J36" s="3" t="s">
        <v>58</v>
      </c>
      <c r="K36" s="37" t="s">
        <v>59</v>
      </c>
      <c r="L36" s="33">
        <v>44217</v>
      </c>
      <c r="M36" s="16" t="s">
        <v>60</v>
      </c>
      <c r="N36" s="33">
        <v>44198</v>
      </c>
      <c r="O36" s="33"/>
      <c r="P36" s="33"/>
      <c r="Q36" s="16"/>
      <c r="R36" s="16" t="s">
        <v>68</v>
      </c>
      <c r="S36" s="16"/>
      <c r="T36" s="16" t="s">
        <v>68</v>
      </c>
      <c r="U36" s="16" t="s">
        <v>68</v>
      </c>
      <c r="V36" s="16"/>
      <c r="W36" s="16"/>
      <c r="X36" s="16"/>
      <c r="Y36" s="16"/>
      <c r="Z36" s="16"/>
      <c r="AA36" s="16"/>
      <c r="AB36" s="24"/>
      <c r="AC36" s="24"/>
      <c r="AD36" s="16"/>
    </row>
    <row r="37" spans="1:31" ht="22.8" x14ac:dyDescent="0.25">
      <c r="A37" s="28"/>
      <c r="B37" s="20">
        <v>30783</v>
      </c>
      <c r="C37" s="27" t="s">
        <v>54</v>
      </c>
      <c r="D37" s="3" t="s">
        <v>148</v>
      </c>
      <c r="E37" s="20" t="s">
        <v>522</v>
      </c>
      <c r="F37" s="3" t="s">
        <v>57</v>
      </c>
      <c r="G37" s="3" t="s">
        <v>11</v>
      </c>
      <c r="H37" s="19">
        <v>43834</v>
      </c>
      <c r="I37" s="3">
        <v>352</v>
      </c>
      <c r="J37" s="3" t="s">
        <v>58</v>
      </c>
      <c r="K37" s="37" t="s">
        <v>59</v>
      </c>
      <c r="L37" s="33">
        <v>44217</v>
      </c>
      <c r="M37" s="16" t="s">
        <v>60</v>
      </c>
      <c r="N37" s="33">
        <v>44198</v>
      </c>
      <c r="O37" s="33"/>
      <c r="P37" s="33"/>
      <c r="Q37" s="16"/>
      <c r="R37" s="16" t="s">
        <v>62</v>
      </c>
      <c r="S37" s="16"/>
      <c r="T37" s="16" t="s">
        <v>62</v>
      </c>
      <c r="U37" s="16" t="s">
        <v>62</v>
      </c>
      <c r="V37" s="16"/>
      <c r="W37" s="16"/>
      <c r="X37" s="16"/>
      <c r="Y37" s="16"/>
      <c r="Z37" s="16"/>
      <c r="AA37" s="16"/>
      <c r="AB37" s="24"/>
      <c r="AC37" s="24"/>
      <c r="AD37" s="16"/>
    </row>
    <row r="38" spans="1:31" ht="22.8" x14ac:dyDescent="0.25">
      <c r="A38" s="28"/>
      <c r="B38" s="20">
        <v>30784</v>
      </c>
      <c r="C38" s="27" t="s">
        <v>64</v>
      </c>
      <c r="D38" s="3" t="s">
        <v>521</v>
      </c>
      <c r="E38" s="20" t="s">
        <v>522</v>
      </c>
      <c r="F38" s="3" t="s">
        <v>57</v>
      </c>
      <c r="G38" s="3" t="s">
        <v>11</v>
      </c>
      <c r="H38" s="19">
        <v>43836</v>
      </c>
      <c r="I38" s="3">
        <v>360</v>
      </c>
      <c r="J38" s="3" t="s">
        <v>58</v>
      </c>
      <c r="K38" s="37" t="s">
        <v>59</v>
      </c>
      <c r="L38" s="33">
        <v>44203</v>
      </c>
      <c r="M38" s="16" t="s">
        <v>60</v>
      </c>
      <c r="N38" s="33">
        <v>44203</v>
      </c>
      <c r="O38" s="33"/>
      <c r="P38" s="33"/>
      <c r="Q38" s="16"/>
      <c r="R38" s="16" t="s">
        <v>68</v>
      </c>
      <c r="S38" s="16"/>
      <c r="T38" s="16" t="s">
        <v>68</v>
      </c>
      <c r="U38" s="16" t="s">
        <v>68</v>
      </c>
      <c r="V38" s="16"/>
      <c r="W38" s="16"/>
      <c r="X38" s="16"/>
      <c r="Y38" s="16"/>
      <c r="Z38" s="16"/>
      <c r="AA38" s="16"/>
      <c r="AB38" s="24"/>
      <c r="AC38" s="24"/>
      <c r="AD38" s="16"/>
    </row>
    <row r="39" spans="1:31" ht="22.8" x14ac:dyDescent="0.25">
      <c r="A39" s="28"/>
      <c r="B39" s="20">
        <v>30784</v>
      </c>
      <c r="C39" s="27" t="s">
        <v>54</v>
      </c>
      <c r="D39" s="3" t="s">
        <v>523</v>
      </c>
      <c r="E39" s="20" t="s">
        <v>522</v>
      </c>
      <c r="F39" s="3" t="s">
        <v>57</v>
      </c>
      <c r="G39" s="3" t="s">
        <v>11</v>
      </c>
      <c r="H39" s="19">
        <v>43836</v>
      </c>
      <c r="I39" s="3">
        <v>353</v>
      </c>
      <c r="J39" s="3" t="s">
        <v>58</v>
      </c>
      <c r="K39" s="37" t="s">
        <v>59</v>
      </c>
      <c r="L39" s="33">
        <v>44203</v>
      </c>
      <c r="M39" s="16" t="s">
        <v>60</v>
      </c>
      <c r="N39" s="33">
        <v>44203</v>
      </c>
      <c r="O39" s="33"/>
      <c r="P39" s="33"/>
      <c r="Q39" s="16"/>
      <c r="R39" s="16" t="s">
        <v>62</v>
      </c>
      <c r="S39" s="16"/>
      <c r="T39" s="16" t="s">
        <v>62</v>
      </c>
      <c r="U39" s="16" t="s">
        <v>62</v>
      </c>
      <c r="V39" s="16"/>
      <c r="W39" s="16"/>
      <c r="X39" s="16"/>
      <c r="Y39" s="16"/>
      <c r="Z39" s="16"/>
      <c r="AA39" s="16"/>
      <c r="AB39" s="24"/>
      <c r="AC39" s="24"/>
      <c r="AD39" s="16"/>
    </row>
    <row r="40" spans="1:31" ht="22.8" x14ac:dyDescent="0.25">
      <c r="A40" s="28"/>
      <c r="B40" s="17">
        <v>30802</v>
      </c>
      <c r="C40" s="17" t="s">
        <v>64</v>
      </c>
      <c r="D40" s="3" t="s">
        <v>524</v>
      </c>
      <c r="E40" s="20" t="s">
        <v>522</v>
      </c>
      <c r="F40" s="3" t="s">
        <v>57</v>
      </c>
      <c r="G40" s="3" t="s">
        <v>11</v>
      </c>
      <c r="H40" s="3"/>
      <c r="I40" s="3" t="s">
        <v>525</v>
      </c>
      <c r="J40" s="3" t="s">
        <v>58</v>
      </c>
      <c r="K40" s="37" t="s">
        <v>59</v>
      </c>
      <c r="L40" s="16" t="s">
        <v>75</v>
      </c>
      <c r="M40" s="16" t="s">
        <v>60</v>
      </c>
      <c r="N40" s="16" t="s">
        <v>75</v>
      </c>
      <c r="O40" s="33"/>
      <c r="P40" s="33"/>
      <c r="Q40" s="16" t="s">
        <v>75</v>
      </c>
      <c r="R40" s="16" t="s">
        <v>75</v>
      </c>
      <c r="S40" s="16" t="s">
        <v>68</v>
      </c>
      <c r="T40" s="16" t="s">
        <v>68</v>
      </c>
      <c r="U40" s="16" t="s">
        <v>68</v>
      </c>
      <c r="V40" s="16"/>
      <c r="W40" s="16" t="s">
        <v>68</v>
      </c>
      <c r="X40" s="16" t="s">
        <v>75</v>
      </c>
      <c r="Y40" s="16" t="s">
        <v>68</v>
      </c>
      <c r="Z40" s="3"/>
      <c r="AA40" s="3"/>
      <c r="AB40" s="24"/>
      <c r="AC40" s="24"/>
      <c r="AD40" s="16" t="s">
        <v>68</v>
      </c>
      <c r="AE40" s="2"/>
    </row>
    <row r="41" spans="1:31" ht="22.8" x14ac:dyDescent="0.25">
      <c r="A41" s="28"/>
      <c r="B41" s="17">
        <v>30802</v>
      </c>
      <c r="C41" s="17" t="s">
        <v>54</v>
      </c>
      <c r="D41" s="3" t="s">
        <v>526</v>
      </c>
      <c r="E41" s="20" t="s">
        <v>522</v>
      </c>
      <c r="F41" s="3" t="s">
        <v>57</v>
      </c>
      <c r="G41" s="3" t="s">
        <v>11</v>
      </c>
      <c r="H41" s="3"/>
      <c r="I41" s="3" t="s">
        <v>527</v>
      </c>
      <c r="J41" s="3" t="s">
        <v>58</v>
      </c>
      <c r="K41" s="37" t="s">
        <v>59</v>
      </c>
      <c r="L41" s="16" t="s">
        <v>75</v>
      </c>
      <c r="M41" s="16" t="s">
        <v>60</v>
      </c>
      <c r="N41" s="16" t="s">
        <v>75</v>
      </c>
      <c r="O41" s="33"/>
      <c r="P41" s="33"/>
      <c r="Q41" s="16" t="s">
        <v>75</v>
      </c>
      <c r="R41" s="16" t="s">
        <v>75</v>
      </c>
      <c r="S41" s="16" t="s">
        <v>68</v>
      </c>
      <c r="T41" s="16" t="s">
        <v>62</v>
      </c>
      <c r="U41" s="16" t="s">
        <v>62</v>
      </c>
      <c r="V41" s="16"/>
      <c r="W41" s="16" t="s">
        <v>62</v>
      </c>
      <c r="X41" s="16" t="s">
        <v>75</v>
      </c>
      <c r="Y41" s="16" t="s">
        <v>62</v>
      </c>
      <c r="Z41" s="3"/>
      <c r="AA41" s="3"/>
      <c r="AB41" s="24"/>
      <c r="AC41" s="24"/>
      <c r="AD41" s="16" t="s">
        <v>62</v>
      </c>
      <c r="AE41" s="2"/>
    </row>
    <row r="42" spans="1:31" ht="22.8" x14ac:dyDescent="0.25">
      <c r="A42" s="28"/>
      <c r="B42" s="20">
        <v>37142</v>
      </c>
      <c r="C42" s="27" t="s">
        <v>64</v>
      </c>
      <c r="D42" s="3" t="s">
        <v>528</v>
      </c>
      <c r="E42" s="20" t="s">
        <v>522</v>
      </c>
      <c r="F42" s="3" t="s">
        <v>57</v>
      </c>
      <c r="G42" s="3" t="s">
        <v>11</v>
      </c>
      <c r="H42" s="49">
        <v>43571</v>
      </c>
      <c r="I42" s="3">
        <v>367</v>
      </c>
      <c r="J42" s="3" t="s">
        <v>58</v>
      </c>
      <c r="K42" s="37" t="s">
        <v>59</v>
      </c>
      <c r="L42" s="33">
        <v>44200</v>
      </c>
      <c r="M42" s="16" t="s">
        <v>60</v>
      </c>
      <c r="N42" s="33">
        <v>44180</v>
      </c>
      <c r="O42" s="33"/>
      <c r="P42" s="33"/>
      <c r="Q42" s="16"/>
      <c r="R42" s="16" t="s">
        <v>68</v>
      </c>
      <c r="S42" s="16" t="s">
        <v>68</v>
      </c>
      <c r="T42" s="16" t="s">
        <v>68</v>
      </c>
      <c r="U42" s="16" t="s">
        <v>68</v>
      </c>
      <c r="V42" s="16"/>
      <c r="W42" s="16" t="s">
        <v>68</v>
      </c>
      <c r="X42" s="16" t="s">
        <v>68</v>
      </c>
      <c r="Y42" s="16"/>
      <c r="Z42" s="16"/>
      <c r="AA42" s="16"/>
      <c r="AB42" s="24"/>
      <c r="AC42" s="24"/>
      <c r="AD42" s="16"/>
    </row>
    <row r="43" spans="1:31" ht="22.8" x14ac:dyDescent="0.25">
      <c r="A43" s="28"/>
      <c r="B43" s="20">
        <v>37142</v>
      </c>
      <c r="C43" s="27" t="s">
        <v>54</v>
      </c>
      <c r="D43" s="3" t="s">
        <v>529</v>
      </c>
      <c r="E43" s="20" t="s">
        <v>522</v>
      </c>
      <c r="F43" s="3" t="s">
        <v>57</v>
      </c>
      <c r="G43" s="3" t="s">
        <v>11</v>
      </c>
      <c r="H43" s="49">
        <v>43571</v>
      </c>
      <c r="I43" s="3">
        <v>334</v>
      </c>
      <c r="J43" s="3" t="s">
        <v>58</v>
      </c>
      <c r="K43" s="37" t="s">
        <v>59</v>
      </c>
      <c r="L43" s="33">
        <v>44200</v>
      </c>
      <c r="M43" s="16" t="s">
        <v>60</v>
      </c>
      <c r="N43" s="33">
        <v>44180</v>
      </c>
      <c r="O43" s="33"/>
      <c r="P43" s="33"/>
      <c r="Q43" s="16"/>
      <c r="R43" s="16" t="s">
        <v>62</v>
      </c>
      <c r="S43" s="16" t="s">
        <v>62</v>
      </c>
      <c r="T43" s="16" t="s">
        <v>62</v>
      </c>
      <c r="U43" s="16" t="s">
        <v>62</v>
      </c>
      <c r="V43" s="16"/>
      <c r="W43" s="16" t="s">
        <v>62</v>
      </c>
      <c r="X43" s="16" t="s">
        <v>62</v>
      </c>
      <c r="Y43" s="16"/>
      <c r="Z43" s="16"/>
      <c r="AA43" s="16"/>
      <c r="AB43" s="24"/>
      <c r="AC43" s="24"/>
      <c r="AD43" s="16"/>
    </row>
    <row r="44" spans="1:31" ht="22.8" x14ac:dyDescent="0.25">
      <c r="A44" s="28"/>
      <c r="B44" s="20">
        <v>37149</v>
      </c>
      <c r="C44" s="27" t="s">
        <v>64</v>
      </c>
      <c r="D44" s="3" t="s">
        <v>530</v>
      </c>
      <c r="E44" s="20" t="s">
        <v>522</v>
      </c>
      <c r="F44" s="29" t="s">
        <v>57</v>
      </c>
      <c r="G44" s="3" t="s">
        <v>11</v>
      </c>
      <c r="H44" s="49">
        <v>43580</v>
      </c>
      <c r="I44" s="3">
        <v>438</v>
      </c>
      <c r="J44" s="3" t="s">
        <v>58</v>
      </c>
      <c r="K44" s="37" t="s">
        <v>59</v>
      </c>
      <c r="L44" s="33">
        <v>44205</v>
      </c>
      <c r="M44" s="16" t="s">
        <v>60</v>
      </c>
      <c r="N44" s="33">
        <v>44205</v>
      </c>
      <c r="O44" s="33">
        <v>44236</v>
      </c>
      <c r="P44" s="33"/>
      <c r="Q44" s="16"/>
      <c r="R44" s="16" t="s">
        <v>68</v>
      </c>
      <c r="S44" s="16"/>
      <c r="T44" s="16" t="s">
        <v>68</v>
      </c>
      <c r="U44" s="16" t="s">
        <v>68</v>
      </c>
      <c r="V44" s="16"/>
      <c r="W44" s="16" t="s">
        <v>68</v>
      </c>
      <c r="X44" s="16" t="s">
        <v>68</v>
      </c>
      <c r="Y44" s="16"/>
      <c r="Z44" s="16"/>
      <c r="AA44" s="16"/>
      <c r="AB44" s="24"/>
      <c r="AC44" s="24"/>
      <c r="AD44" s="16"/>
    </row>
    <row r="45" spans="1:31" ht="22.8" x14ac:dyDescent="0.25">
      <c r="A45" s="28"/>
      <c r="B45" s="20">
        <v>37149</v>
      </c>
      <c r="C45" s="27" t="s">
        <v>54</v>
      </c>
      <c r="D45" s="3" t="s">
        <v>531</v>
      </c>
      <c r="E45" s="20" t="s">
        <v>522</v>
      </c>
      <c r="F45" s="29" t="s">
        <v>57</v>
      </c>
      <c r="G45" s="3" t="s">
        <v>11</v>
      </c>
      <c r="H45" s="49">
        <v>43580</v>
      </c>
      <c r="I45" s="3">
        <v>315</v>
      </c>
      <c r="J45" s="3" t="s">
        <v>58</v>
      </c>
      <c r="K45" s="37" t="s">
        <v>59</v>
      </c>
      <c r="L45" s="33">
        <v>44205</v>
      </c>
      <c r="M45" s="16" t="s">
        <v>60</v>
      </c>
      <c r="N45" s="33">
        <v>44205</v>
      </c>
      <c r="O45" s="33"/>
      <c r="P45" s="33"/>
      <c r="Q45" s="16"/>
      <c r="R45" s="16" t="s">
        <v>62</v>
      </c>
      <c r="S45" s="16"/>
      <c r="T45" s="16" t="s">
        <v>62</v>
      </c>
      <c r="U45" s="16" t="s">
        <v>62</v>
      </c>
      <c r="V45" s="16"/>
      <c r="W45" s="16" t="s">
        <v>62</v>
      </c>
      <c r="X45" s="16" t="s">
        <v>62</v>
      </c>
      <c r="Y45" s="16"/>
      <c r="Z45" s="16"/>
      <c r="AA45" s="16"/>
      <c r="AB45" s="24"/>
      <c r="AC45" s="24"/>
      <c r="AD45" s="16"/>
    </row>
    <row r="46" spans="1:31" ht="22.8" x14ac:dyDescent="0.25">
      <c r="A46" s="28"/>
      <c r="B46" s="20">
        <v>37151</v>
      </c>
      <c r="C46" s="27" t="s">
        <v>64</v>
      </c>
      <c r="D46" s="3" t="s">
        <v>532</v>
      </c>
      <c r="E46" s="20" t="s">
        <v>522</v>
      </c>
      <c r="F46" s="29" t="s">
        <v>57</v>
      </c>
      <c r="G46" s="3" t="s">
        <v>11</v>
      </c>
      <c r="H46" s="49">
        <v>43580</v>
      </c>
      <c r="I46" s="3">
        <v>426</v>
      </c>
      <c r="J46" s="3" t="s">
        <v>58</v>
      </c>
      <c r="K46" s="37" t="s">
        <v>59</v>
      </c>
      <c r="L46" s="33">
        <v>44209</v>
      </c>
      <c r="M46" s="16" t="s">
        <v>60</v>
      </c>
      <c r="N46" s="33">
        <v>44209</v>
      </c>
      <c r="O46" s="33"/>
      <c r="P46" s="33"/>
      <c r="Q46" s="16"/>
      <c r="R46" s="16" t="s">
        <v>68</v>
      </c>
      <c r="S46" s="16"/>
      <c r="T46" s="16"/>
      <c r="U46" s="16" t="s">
        <v>68</v>
      </c>
      <c r="V46" s="16"/>
      <c r="W46" s="16" t="s">
        <v>68</v>
      </c>
      <c r="X46" s="16" t="s">
        <v>68</v>
      </c>
      <c r="Y46" s="16"/>
      <c r="Z46" s="16"/>
      <c r="AA46" s="16"/>
      <c r="AB46" s="24"/>
      <c r="AC46" s="24"/>
      <c r="AD46" s="16"/>
    </row>
    <row r="47" spans="1:31" ht="22.8" x14ac:dyDescent="0.25">
      <c r="A47" s="28"/>
      <c r="B47" s="20">
        <v>37151</v>
      </c>
      <c r="C47" s="27" t="s">
        <v>54</v>
      </c>
      <c r="D47" s="3" t="s">
        <v>533</v>
      </c>
      <c r="E47" s="20" t="s">
        <v>522</v>
      </c>
      <c r="F47" s="29" t="s">
        <v>57</v>
      </c>
      <c r="G47" s="3" t="s">
        <v>11</v>
      </c>
      <c r="H47" s="49">
        <v>43580</v>
      </c>
      <c r="I47" s="3">
        <v>419</v>
      </c>
      <c r="J47" s="3" t="s">
        <v>58</v>
      </c>
      <c r="K47" s="37" t="s">
        <v>59</v>
      </c>
      <c r="L47" s="33">
        <v>44209</v>
      </c>
      <c r="M47" s="16" t="s">
        <v>60</v>
      </c>
      <c r="N47" s="33">
        <v>44209</v>
      </c>
      <c r="O47" s="33"/>
      <c r="P47" s="33"/>
      <c r="Q47" s="16"/>
      <c r="R47" s="16" t="s">
        <v>62</v>
      </c>
      <c r="S47" s="16"/>
      <c r="T47" s="16"/>
      <c r="U47" s="16" t="s">
        <v>62</v>
      </c>
      <c r="V47" s="16"/>
      <c r="W47" s="16" t="s">
        <v>62</v>
      </c>
      <c r="X47" s="16" t="s">
        <v>62</v>
      </c>
      <c r="Y47" s="16"/>
      <c r="Z47" s="16"/>
      <c r="AA47" s="16"/>
      <c r="AB47" s="24"/>
      <c r="AC47" s="24"/>
      <c r="AD47" s="16"/>
    </row>
    <row r="48" spans="1:31" ht="22.8" x14ac:dyDescent="0.25">
      <c r="A48" s="28"/>
      <c r="B48" s="20">
        <v>37153</v>
      </c>
      <c r="C48" s="27" t="s">
        <v>64</v>
      </c>
      <c r="D48" s="3" t="s">
        <v>534</v>
      </c>
      <c r="E48" s="20" t="s">
        <v>522</v>
      </c>
      <c r="F48" s="3" t="s">
        <v>57</v>
      </c>
      <c r="G48" s="3" t="s">
        <v>11</v>
      </c>
      <c r="H48" s="49">
        <v>43581</v>
      </c>
      <c r="I48" s="3">
        <v>423</v>
      </c>
      <c r="J48" s="3" t="s">
        <v>58</v>
      </c>
      <c r="K48" s="37" t="s">
        <v>59</v>
      </c>
      <c r="L48" s="33">
        <v>44212</v>
      </c>
      <c r="M48" s="16" t="s">
        <v>60</v>
      </c>
      <c r="N48" s="33">
        <v>44212</v>
      </c>
      <c r="O48" s="33"/>
      <c r="P48" s="33"/>
      <c r="Q48" s="16"/>
      <c r="R48" s="16" t="s">
        <v>68</v>
      </c>
      <c r="S48" s="16"/>
      <c r="T48" s="16" t="s">
        <v>68</v>
      </c>
      <c r="U48" s="16" t="s">
        <v>68</v>
      </c>
      <c r="V48" s="16"/>
      <c r="W48" s="16" t="s">
        <v>68</v>
      </c>
      <c r="X48" s="16"/>
      <c r="Y48" s="16"/>
      <c r="Z48" s="16"/>
      <c r="AA48" s="16"/>
      <c r="AB48" s="24"/>
      <c r="AC48" s="24"/>
      <c r="AD48" s="16"/>
    </row>
    <row r="49" spans="1:30" ht="22.8" x14ac:dyDescent="0.25">
      <c r="A49" s="28"/>
      <c r="B49" s="20">
        <v>37153</v>
      </c>
      <c r="C49" s="27" t="s">
        <v>54</v>
      </c>
      <c r="D49" s="3" t="s">
        <v>536</v>
      </c>
      <c r="E49" s="20" t="s">
        <v>522</v>
      </c>
      <c r="F49" s="3" t="s">
        <v>57</v>
      </c>
      <c r="G49" s="3" t="s">
        <v>11</v>
      </c>
      <c r="H49" s="49">
        <v>43581</v>
      </c>
      <c r="I49" s="3">
        <v>442</v>
      </c>
      <c r="J49" s="3" t="s">
        <v>58</v>
      </c>
      <c r="K49" s="37" t="s">
        <v>59</v>
      </c>
      <c r="L49" s="33">
        <v>44212</v>
      </c>
      <c r="M49" s="16" t="s">
        <v>60</v>
      </c>
      <c r="N49" s="33">
        <v>44212</v>
      </c>
      <c r="O49" s="33"/>
      <c r="P49" s="33"/>
      <c r="Q49" s="16"/>
      <c r="R49" s="16" t="s">
        <v>62</v>
      </c>
      <c r="S49" s="16"/>
      <c r="T49" s="16" t="s">
        <v>62</v>
      </c>
      <c r="U49" s="16" t="s">
        <v>62</v>
      </c>
      <c r="V49" s="16"/>
      <c r="W49" s="16" t="s">
        <v>62</v>
      </c>
      <c r="X49" s="16"/>
      <c r="Y49" s="16"/>
      <c r="Z49" s="16"/>
      <c r="AA49" s="16"/>
      <c r="AB49" s="24"/>
      <c r="AC49" s="24"/>
      <c r="AD49" s="16"/>
    </row>
    <row r="50" spans="1:30" ht="22.8" x14ac:dyDescent="0.25">
      <c r="A50" s="28"/>
      <c r="B50" s="20">
        <v>37179</v>
      </c>
      <c r="C50" s="27" t="s">
        <v>64</v>
      </c>
      <c r="D50" s="3" t="s">
        <v>537</v>
      </c>
      <c r="E50" s="20" t="s">
        <v>522</v>
      </c>
      <c r="F50" s="29" t="s">
        <v>57</v>
      </c>
      <c r="G50" s="3" t="s">
        <v>11</v>
      </c>
      <c r="H50" s="19">
        <v>43607</v>
      </c>
      <c r="I50" s="3">
        <v>454</v>
      </c>
      <c r="J50" s="3" t="s">
        <v>58</v>
      </c>
      <c r="K50" s="37" t="s">
        <v>59</v>
      </c>
      <c r="L50" s="33">
        <v>44208</v>
      </c>
      <c r="M50" s="16" t="s">
        <v>60</v>
      </c>
      <c r="N50" s="33">
        <v>44208</v>
      </c>
      <c r="O50" s="33"/>
      <c r="P50" s="33"/>
      <c r="Q50" s="16"/>
      <c r="R50" s="16" t="s">
        <v>68</v>
      </c>
      <c r="S50" s="16"/>
      <c r="T50" s="16" t="s">
        <v>68</v>
      </c>
      <c r="U50" s="16" t="s">
        <v>68</v>
      </c>
      <c r="V50" s="16"/>
      <c r="W50" s="16" t="s">
        <v>68</v>
      </c>
      <c r="X50" s="16"/>
      <c r="Y50" s="16"/>
      <c r="Z50" s="16"/>
      <c r="AA50" s="16"/>
      <c r="AB50" s="24"/>
      <c r="AC50" s="24"/>
      <c r="AD50" s="16"/>
    </row>
    <row r="51" spans="1:30" ht="22.8" x14ac:dyDescent="0.25">
      <c r="A51" s="28"/>
      <c r="B51" s="20">
        <v>37179</v>
      </c>
      <c r="C51" s="27" t="s">
        <v>54</v>
      </c>
      <c r="D51" s="3" t="s">
        <v>538</v>
      </c>
      <c r="E51" s="20" t="s">
        <v>522</v>
      </c>
      <c r="F51" s="29" t="s">
        <v>57</v>
      </c>
      <c r="G51" s="3" t="s">
        <v>11</v>
      </c>
      <c r="H51" s="19">
        <v>43607</v>
      </c>
      <c r="I51" s="3">
        <v>455</v>
      </c>
      <c r="J51" s="3" t="s">
        <v>58</v>
      </c>
      <c r="K51" s="37" t="s">
        <v>59</v>
      </c>
      <c r="L51" s="33">
        <v>44208</v>
      </c>
      <c r="M51" s="16" t="s">
        <v>60</v>
      </c>
      <c r="N51" s="33">
        <v>44208</v>
      </c>
      <c r="O51" s="33"/>
      <c r="P51" s="33"/>
      <c r="Q51" s="16"/>
      <c r="R51" s="16" t="s">
        <v>62</v>
      </c>
      <c r="S51" s="16"/>
      <c r="T51" s="16" t="s">
        <v>62</v>
      </c>
      <c r="U51" s="16" t="s">
        <v>62</v>
      </c>
      <c r="V51" s="16"/>
      <c r="W51" s="16" t="s">
        <v>62</v>
      </c>
      <c r="X51" s="16"/>
      <c r="Y51" s="16"/>
      <c r="Z51" s="16"/>
      <c r="AA51" s="16"/>
      <c r="AB51" s="24"/>
      <c r="AC51" s="24"/>
      <c r="AD51" s="16"/>
    </row>
    <row r="52" spans="1:30" ht="22.8" x14ac:dyDescent="0.25">
      <c r="A52" s="28"/>
      <c r="B52" s="20">
        <v>37180</v>
      </c>
      <c r="C52" s="27" t="s">
        <v>64</v>
      </c>
      <c r="D52" s="3" t="s">
        <v>539</v>
      </c>
      <c r="E52" s="20" t="s">
        <v>522</v>
      </c>
      <c r="F52" s="29" t="s">
        <v>57</v>
      </c>
      <c r="G52" s="3" t="s">
        <v>11</v>
      </c>
      <c r="H52" s="19">
        <v>43608</v>
      </c>
      <c r="I52" s="3">
        <v>386</v>
      </c>
      <c r="J52" s="3" t="s">
        <v>58</v>
      </c>
      <c r="K52" s="37" t="s">
        <v>59</v>
      </c>
      <c r="L52" s="33">
        <v>44229</v>
      </c>
      <c r="M52" s="16" t="s">
        <v>60</v>
      </c>
      <c r="N52" s="33">
        <v>44174</v>
      </c>
      <c r="O52" s="33"/>
      <c r="P52" s="33"/>
      <c r="Q52" s="16"/>
      <c r="R52" s="16" t="s">
        <v>62</v>
      </c>
      <c r="S52" s="16"/>
      <c r="T52" s="16" t="s">
        <v>62</v>
      </c>
      <c r="U52" s="16" t="s">
        <v>62</v>
      </c>
      <c r="V52" s="16"/>
      <c r="W52" s="16" t="s">
        <v>62</v>
      </c>
      <c r="X52" s="16"/>
      <c r="Y52" s="16" t="s">
        <v>62</v>
      </c>
      <c r="Z52" s="16" t="s">
        <v>62</v>
      </c>
      <c r="AA52" s="16"/>
      <c r="AB52" s="24"/>
      <c r="AC52" s="24"/>
      <c r="AD52" s="16"/>
    </row>
    <row r="53" spans="1:30" ht="22.8" x14ac:dyDescent="0.25">
      <c r="A53" s="28"/>
      <c r="B53" s="20">
        <v>37180</v>
      </c>
      <c r="C53" s="27" t="s">
        <v>54</v>
      </c>
      <c r="D53" s="3" t="s">
        <v>540</v>
      </c>
      <c r="E53" s="20" t="s">
        <v>522</v>
      </c>
      <c r="F53" s="29" t="s">
        <v>57</v>
      </c>
      <c r="G53" s="3" t="s">
        <v>11</v>
      </c>
      <c r="H53" s="19">
        <v>43608</v>
      </c>
      <c r="I53" s="3">
        <v>387</v>
      </c>
      <c r="J53" s="3" t="s">
        <v>58</v>
      </c>
      <c r="K53" s="37" t="s">
        <v>59</v>
      </c>
      <c r="L53" s="33">
        <v>44229</v>
      </c>
      <c r="M53" s="16" t="s">
        <v>60</v>
      </c>
      <c r="N53" s="33">
        <v>44174</v>
      </c>
      <c r="O53" s="33"/>
      <c r="P53" s="33"/>
      <c r="Q53" s="16"/>
      <c r="R53" s="16" t="s">
        <v>68</v>
      </c>
      <c r="S53" s="16"/>
      <c r="T53" s="16" t="s">
        <v>68</v>
      </c>
      <c r="U53" s="16" t="s">
        <v>68</v>
      </c>
      <c r="V53" s="16"/>
      <c r="W53" s="16" t="s">
        <v>68</v>
      </c>
      <c r="X53" s="16"/>
      <c r="Y53" s="16" t="s">
        <v>68</v>
      </c>
      <c r="Z53" s="16" t="s">
        <v>68</v>
      </c>
      <c r="AA53" s="16"/>
      <c r="AB53" s="24"/>
      <c r="AC53" s="24"/>
      <c r="AD53" s="16"/>
    </row>
    <row r="54" spans="1:30" ht="22.8" x14ac:dyDescent="0.25">
      <c r="A54" s="28"/>
      <c r="B54" s="20">
        <v>37183</v>
      </c>
      <c r="C54" s="27" t="s">
        <v>64</v>
      </c>
      <c r="D54" s="3" t="s">
        <v>541</v>
      </c>
      <c r="E54" s="20" t="s">
        <v>522</v>
      </c>
      <c r="F54" s="29" t="s">
        <v>57</v>
      </c>
      <c r="G54" s="3" t="s">
        <v>11</v>
      </c>
      <c r="H54" s="19">
        <v>43609</v>
      </c>
      <c r="I54" s="3">
        <v>469</v>
      </c>
      <c r="J54" s="3" t="s">
        <v>58</v>
      </c>
      <c r="K54" s="37" t="s">
        <v>59</v>
      </c>
      <c r="L54" s="33">
        <v>44215</v>
      </c>
      <c r="M54" s="16" t="s">
        <v>60</v>
      </c>
      <c r="N54" s="33">
        <v>44214</v>
      </c>
      <c r="O54" s="33"/>
      <c r="P54" s="33"/>
      <c r="Q54" s="16"/>
      <c r="R54" s="16" t="s">
        <v>68</v>
      </c>
      <c r="S54" s="16"/>
      <c r="T54" s="16" t="s">
        <v>68</v>
      </c>
      <c r="U54" s="16" t="s">
        <v>68</v>
      </c>
      <c r="V54" s="16"/>
      <c r="W54" s="16" t="s">
        <v>68</v>
      </c>
      <c r="X54" s="16"/>
      <c r="Y54" s="16"/>
      <c r="Z54" s="16"/>
      <c r="AA54" s="16"/>
      <c r="AB54" s="24"/>
      <c r="AC54" s="24"/>
      <c r="AD54" s="16"/>
    </row>
    <row r="55" spans="1:30" ht="22.8" x14ac:dyDescent="0.25">
      <c r="A55" s="28"/>
      <c r="B55" s="20">
        <v>37183</v>
      </c>
      <c r="C55" s="27" t="s">
        <v>54</v>
      </c>
      <c r="D55" s="20" t="s">
        <v>542</v>
      </c>
      <c r="E55" s="20" t="s">
        <v>522</v>
      </c>
      <c r="F55" s="29" t="s">
        <v>57</v>
      </c>
      <c r="G55" s="3" t="s">
        <v>11</v>
      </c>
      <c r="H55" s="19">
        <v>43609</v>
      </c>
      <c r="I55" s="3">
        <v>468</v>
      </c>
      <c r="J55" s="3" t="s">
        <v>58</v>
      </c>
      <c r="K55" s="95" t="s">
        <v>59</v>
      </c>
      <c r="L55" s="96">
        <v>44215</v>
      </c>
      <c r="M55" s="97" t="s">
        <v>60</v>
      </c>
      <c r="N55" s="96">
        <v>44214</v>
      </c>
      <c r="O55" s="33"/>
      <c r="P55" s="33"/>
      <c r="Q55" s="16"/>
      <c r="R55" s="16" t="s">
        <v>62</v>
      </c>
      <c r="S55" s="16"/>
      <c r="T55" s="16"/>
      <c r="U55" s="16"/>
      <c r="V55" s="37"/>
      <c r="W55" s="16"/>
      <c r="X55" s="16"/>
      <c r="Y55" s="16"/>
      <c r="Z55" s="16"/>
      <c r="AA55" s="16"/>
      <c r="AB55" s="24"/>
      <c r="AC55" s="24"/>
      <c r="AD55" s="16"/>
    </row>
    <row r="56" spans="1:30" ht="22.8" x14ac:dyDescent="0.25">
      <c r="A56" s="28"/>
      <c r="B56" s="20">
        <v>37202</v>
      </c>
      <c r="C56" s="27" t="s">
        <v>64</v>
      </c>
      <c r="D56" s="3" t="s">
        <v>544</v>
      </c>
      <c r="E56" s="20" t="s">
        <v>522</v>
      </c>
      <c r="F56" s="29" t="s">
        <v>57</v>
      </c>
      <c r="G56" s="3" t="s">
        <v>11</v>
      </c>
      <c r="H56" s="19">
        <v>43638</v>
      </c>
      <c r="I56" s="3">
        <v>211</v>
      </c>
      <c r="J56" s="3" t="s">
        <v>58</v>
      </c>
      <c r="K56" s="37" t="s">
        <v>59</v>
      </c>
      <c r="L56" s="98">
        <v>44372</v>
      </c>
      <c r="M56" s="16" t="s">
        <v>60</v>
      </c>
      <c r="N56" s="33">
        <v>44180</v>
      </c>
      <c r="O56" s="33">
        <v>44179</v>
      </c>
      <c r="P56" s="33"/>
      <c r="Q56" s="16"/>
      <c r="R56" s="16" t="s">
        <v>68</v>
      </c>
      <c r="S56" s="16" t="s">
        <v>68</v>
      </c>
      <c r="T56" s="16" t="s">
        <v>68</v>
      </c>
      <c r="U56" s="16" t="s">
        <v>68</v>
      </c>
      <c r="V56" s="16"/>
      <c r="W56" s="16" t="s">
        <v>68</v>
      </c>
      <c r="X56" s="16"/>
      <c r="Y56" s="16"/>
      <c r="Z56" s="16"/>
      <c r="AA56" s="16"/>
      <c r="AB56" s="24"/>
      <c r="AC56" s="24"/>
      <c r="AD56" s="16" t="s">
        <v>68</v>
      </c>
    </row>
    <row r="57" spans="1:30" ht="22.8" x14ac:dyDescent="0.25">
      <c r="A57" s="28"/>
      <c r="B57" s="20">
        <v>37202</v>
      </c>
      <c r="C57" s="27" t="s">
        <v>54</v>
      </c>
      <c r="D57" s="3" t="s">
        <v>546</v>
      </c>
      <c r="E57" s="20" t="s">
        <v>522</v>
      </c>
      <c r="F57" s="29" t="s">
        <v>57</v>
      </c>
      <c r="G57" s="3" t="s">
        <v>11</v>
      </c>
      <c r="H57" s="19">
        <v>43638</v>
      </c>
      <c r="I57" s="3">
        <v>213</v>
      </c>
      <c r="J57" s="3" t="s">
        <v>58</v>
      </c>
      <c r="K57" s="37" t="s">
        <v>59</v>
      </c>
      <c r="L57" s="98">
        <v>44372</v>
      </c>
      <c r="M57" s="16" t="s">
        <v>60</v>
      </c>
      <c r="N57" s="33">
        <v>44180</v>
      </c>
      <c r="O57" s="33">
        <v>44179</v>
      </c>
      <c r="P57" s="33"/>
      <c r="Q57" s="16"/>
      <c r="R57" s="16" t="s">
        <v>62</v>
      </c>
      <c r="S57" s="16" t="s">
        <v>62</v>
      </c>
      <c r="T57" s="16" t="s">
        <v>62</v>
      </c>
      <c r="U57" s="16" t="s">
        <v>62</v>
      </c>
      <c r="V57" s="16"/>
      <c r="W57" s="16" t="s">
        <v>62</v>
      </c>
      <c r="X57" s="16"/>
      <c r="Y57" s="16"/>
      <c r="Z57" s="16"/>
      <c r="AA57" s="16"/>
      <c r="AB57" s="24"/>
      <c r="AC57" s="24"/>
      <c r="AD57" s="16" t="s">
        <v>62</v>
      </c>
    </row>
    <row r="58" spans="1:30" ht="22.8" x14ac:dyDescent="0.25">
      <c r="A58" s="28"/>
      <c r="B58" s="20">
        <v>37204</v>
      </c>
      <c r="C58" s="27" t="s">
        <v>64</v>
      </c>
      <c r="D58" s="3" t="s">
        <v>547</v>
      </c>
      <c r="E58" s="20" t="s">
        <v>522</v>
      </c>
      <c r="F58" s="29" t="s">
        <v>57</v>
      </c>
      <c r="G58" s="3" t="s">
        <v>11</v>
      </c>
      <c r="H58" s="19">
        <v>43639</v>
      </c>
      <c r="I58" s="3">
        <v>500</v>
      </c>
      <c r="J58" s="3" t="s">
        <v>58</v>
      </c>
      <c r="K58" s="37" t="s">
        <v>59</v>
      </c>
      <c r="L58" s="98">
        <v>44372</v>
      </c>
      <c r="M58" s="16" t="s">
        <v>60</v>
      </c>
      <c r="N58" s="33">
        <v>44198</v>
      </c>
      <c r="O58" s="33">
        <v>44145</v>
      </c>
      <c r="P58" s="33"/>
      <c r="Q58" s="16"/>
      <c r="R58" s="16" t="s">
        <v>68</v>
      </c>
      <c r="S58" s="16" t="s">
        <v>68</v>
      </c>
      <c r="T58" s="16" t="s">
        <v>68</v>
      </c>
      <c r="U58" s="16" t="s">
        <v>68</v>
      </c>
      <c r="V58" s="16"/>
      <c r="W58" s="16" t="s">
        <v>68</v>
      </c>
      <c r="X58" s="16"/>
      <c r="Y58" s="16"/>
      <c r="Z58" s="16"/>
      <c r="AA58" s="16"/>
      <c r="AB58" s="24"/>
      <c r="AC58" s="24"/>
      <c r="AD58" s="16" t="s">
        <v>68</v>
      </c>
    </row>
    <row r="59" spans="1:30" ht="22.8" x14ac:dyDescent="0.25">
      <c r="A59" s="28"/>
      <c r="B59" s="20">
        <v>37204</v>
      </c>
      <c r="C59" s="27" t="s">
        <v>54</v>
      </c>
      <c r="D59" s="3" t="s">
        <v>548</v>
      </c>
      <c r="E59" s="20" t="s">
        <v>522</v>
      </c>
      <c r="F59" s="29" t="s">
        <v>57</v>
      </c>
      <c r="G59" s="3" t="s">
        <v>11</v>
      </c>
      <c r="H59" s="19">
        <v>43639</v>
      </c>
      <c r="I59" s="3">
        <v>501</v>
      </c>
      <c r="J59" s="3" t="s">
        <v>58</v>
      </c>
      <c r="K59" s="37" t="s">
        <v>59</v>
      </c>
      <c r="L59" s="33">
        <v>44198</v>
      </c>
      <c r="M59" s="16" t="s">
        <v>60</v>
      </c>
      <c r="N59" s="33">
        <v>44198</v>
      </c>
      <c r="O59" s="33">
        <v>44145</v>
      </c>
      <c r="P59" s="33"/>
      <c r="Q59" s="16"/>
      <c r="R59" s="16" t="s">
        <v>62</v>
      </c>
      <c r="S59" s="16" t="s">
        <v>62</v>
      </c>
      <c r="T59" s="16" t="s">
        <v>62</v>
      </c>
      <c r="U59" s="16" t="s">
        <v>62</v>
      </c>
      <c r="V59" s="16"/>
      <c r="W59" s="16" t="s">
        <v>62</v>
      </c>
      <c r="X59" s="16"/>
      <c r="Y59" s="16"/>
      <c r="Z59" s="16"/>
      <c r="AA59" s="16"/>
      <c r="AB59" s="24"/>
      <c r="AC59" s="24"/>
      <c r="AD59" s="16" t="s">
        <v>62</v>
      </c>
    </row>
    <row r="60" spans="1:30" ht="22.8" x14ac:dyDescent="0.25">
      <c r="A60" s="28"/>
      <c r="B60" s="20">
        <v>37222</v>
      </c>
      <c r="C60" s="27" t="s">
        <v>64</v>
      </c>
      <c r="D60" s="3" t="s">
        <v>550</v>
      </c>
      <c r="E60" s="20" t="s">
        <v>522</v>
      </c>
      <c r="F60" s="29" t="s">
        <v>57</v>
      </c>
      <c r="G60" s="3" t="s">
        <v>11</v>
      </c>
      <c r="H60" s="19">
        <v>43674</v>
      </c>
      <c r="I60" s="3">
        <v>507</v>
      </c>
      <c r="J60" s="3" t="s">
        <v>58</v>
      </c>
      <c r="K60" s="37" t="s">
        <v>59</v>
      </c>
      <c r="L60" s="33">
        <v>44208</v>
      </c>
      <c r="M60" s="16" t="s">
        <v>60</v>
      </c>
      <c r="N60" s="33">
        <v>44180</v>
      </c>
      <c r="O60" s="33">
        <v>44176</v>
      </c>
      <c r="P60" s="33"/>
      <c r="Q60" s="16" t="s">
        <v>75</v>
      </c>
      <c r="R60" s="16" t="s">
        <v>68</v>
      </c>
      <c r="S60" s="16" t="s">
        <v>68</v>
      </c>
      <c r="T60" s="16" t="s">
        <v>68</v>
      </c>
      <c r="U60" s="16" t="s">
        <v>68</v>
      </c>
      <c r="V60" s="16"/>
      <c r="W60" s="16" t="s">
        <v>68</v>
      </c>
      <c r="X60" s="16"/>
      <c r="Y60" s="16" t="s">
        <v>68</v>
      </c>
      <c r="Z60" s="16" t="s">
        <v>68</v>
      </c>
      <c r="AA60" s="16"/>
      <c r="AB60" s="24"/>
      <c r="AC60" s="24"/>
      <c r="AD60" s="16" t="s">
        <v>68</v>
      </c>
    </row>
    <row r="61" spans="1:30" ht="22.8" x14ac:dyDescent="0.25">
      <c r="A61" s="28"/>
      <c r="B61" s="20">
        <v>37222</v>
      </c>
      <c r="C61" s="27" t="s">
        <v>54</v>
      </c>
      <c r="D61" s="3" t="s">
        <v>551</v>
      </c>
      <c r="E61" s="20" t="s">
        <v>522</v>
      </c>
      <c r="F61" s="29" t="s">
        <v>57</v>
      </c>
      <c r="G61" s="3" t="s">
        <v>11</v>
      </c>
      <c r="H61" s="19">
        <v>43674</v>
      </c>
      <c r="I61" s="3">
        <v>506</v>
      </c>
      <c r="J61" s="3" t="s">
        <v>58</v>
      </c>
      <c r="K61" s="37" t="s">
        <v>59</v>
      </c>
      <c r="L61" s="33">
        <v>44208</v>
      </c>
      <c r="M61" s="16" t="s">
        <v>60</v>
      </c>
      <c r="N61" s="33">
        <v>44180</v>
      </c>
      <c r="O61" s="33">
        <v>44176</v>
      </c>
      <c r="P61" s="33"/>
      <c r="Q61" s="16" t="s">
        <v>75</v>
      </c>
      <c r="R61" s="16" t="s">
        <v>62</v>
      </c>
      <c r="S61" s="16" t="s">
        <v>62</v>
      </c>
      <c r="T61" s="16" t="s">
        <v>62</v>
      </c>
      <c r="U61" s="16" t="s">
        <v>62</v>
      </c>
      <c r="V61" s="16"/>
      <c r="W61" s="16" t="s">
        <v>62</v>
      </c>
      <c r="X61" s="16"/>
      <c r="Y61" s="16" t="s">
        <v>62</v>
      </c>
      <c r="Z61" s="16" t="s">
        <v>62</v>
      </c>
      <c r="AA61" s="16"/>
      <c r="AB61" s="24"/>
      <c r="AC61" s="24"/>
      <c r="AD61" s="16" t="s">
        <v>62</v>
      </c>
    </row>
    <row r="62" spans="1:30" ht="22.8" x14ac:dyDescent="0.25">
      <c r="A62" s="28"/>
      <c r="B62" s="20">
        <v>37297</v>
      </c>
      <c r="C62" s="27" t="s">
        <v>64</v>
      </c>
      <c r="D62" s="3" t="s">
        <v>553</v>
      </c>
      <c r="E62" s="20" t="s">
        <v>522</v>
      </c>
      <c r="F62" s="3" t="s">
        <v>57</v>
      </c>
      <c r="G62" s="3" t="s">
        <v>11</v>
      </c>
      <c r="H62" s="19">
        <v>43806</v>
      </c>
      <c r="I62" s="3">
        <v>542</v>
      </c>
      <c r="J62" s="3" t="s">
        <v>58</v>
      </c>
      <c r="K62" s="37" t="s">
        <v>59</v>
      </c>
      <c r="L62" s="33">
        <v>44223</v>
      </c>
      <c r="M62" s="16" t="s">
        <v>60</v>
      </c>
      <c r="N62" s="33">
        <v>44181</v>
      </c>
      <c r="O62" s="33"/>
      <c r="P62" s="33"/>
      <c r="Q62" s="16" t="s">
        <v>75</v>
      </c>
      <c r="R62" s="16" t="s">
        <v>68</v>
      </c>
      <c r="S62" s="16" t="s">
        <v>68</v>
      </c>
      <c r="T62" s="16" t="s">
        <v>68</v>
      </c>
      <c r="U62" s="16" t="s">
        <v>68</v>
      </c>
      <c r="V62" s="16"/>
      <c r="W62" s="16" t="s">
        <v>68</v>
      </c>
      <c r="X62" s="16"/>
      <c r="Y62" s="16"/>
      <c r="Z62" s="16"/>
      <c r="AA62" s="16"/>
      <c r="AB62" s="24"/>
      <c r="AC62" s="24"/>
      <c r="AD62" s="16"/>
    </row>
    <row r="63" spans="1:30" ht="22.8" x14ac:dyDescent="0.25">
      <c r="A63" s="28"/>
      <c r="B63" s="20">
        <v>37297</v>
      </c>
      <c r="C63" s="27" t="s">
        <v>54</v>
      </c>
      <c r="D63" s="3" t="s">
        <v>555</v>
      </c>
      <c r="E63" s="20" t="s">
        <v>522</v>
      </c>
      <c r="F63" s="3" t="s">
        <v>57</v>
      </c>
      <c r="G63" s="3" t="s">
        <v>11</v>
      </c>
      <c r="H63" s="19">
        <v>43806</v>
      </c>
      <c r="I63" s="3">
        <v>543</v>
      </c>
      <c r="J63" s="3" t="s">
        <v>58</v>
      </c>
      <c r="K63" s="37" t="s">
        <v>59</v>
      </c>
      <c r="L63" s="33">
        <v>44223</v>
      </c>
      <c r="M63" s="16" t="s">
        <v>60</v>
      </c>
      <c r="N63" s="33">
        <v>44181</v>
      </c>
      <c r="O63" s="33"/>
      <c r="P63" s="33"/>
      <c r="Q63" s="16" t="s">
        <v>75</v>
      </c>
      <c r="R63" s="16" t="s">
        <v>62</v>
      </c>
      <c r="S63" s="16" t="s">
        <v>62</v>
      </c>
      <c r="T63" s="16" t="s">
        <v>62</v>
      </c>
      <c r="U63" s="16" t="s">
        <v>62</v>
      </c>
      <c r="V63" s="16"/>
      <c r="W63" s="16" t="s">
        <v>62</v>
      </c>
      <c r="X63" s="16"/>
      <c r="Y63" s="16"/>
      <c r="Z63" s="16"/>
      <c r="AA63" s="16"/>
      <c r="AB63" s="24"/>
      <c r="AC63" s="24"/>
      <c r="AD63" s="16"/>
    </row>
    <row r="64" spans="1:30" ht="22.8" x14ac:dyDescent="0.25">
      <c r="A64" s="28"/>
      <c r="B64" s="20">
        <v>37306</v>
      </c>
      <c r="C64" s="27" t="s">
        <v>64</v>
      </c>
      <c r="D64" s="3" t="s">
        <v>556</v>
      </c>
      <c r="E64" s="20" t="s">
        <v>522</v>
      </c>
      <c r="F64" s="3" t="s">
        <v>57</v>
      </c>
      <c r="G64" s="3" t="s">
        <v>11</v>
      </c>
      <c r="H64" s="19">
        <v>43830</v>
      </c>
      <c r="I64" s="3">
        <v>709</v>
      </c>
      <c r="J64" s="3" t="s">
        <v>58</v>
      </c>
      <c r="K64" s="37" t="s">
        <v>59</v>
      </c>
      <c r="L64" s="33">
        <v>44216</v>
      </c>
      <c r="M64" s="16" t="s">
        <v>60</v>
      </c>
      <c r="N64" s="33">
        <v>44193</v>
      </c>
      <c r="O64" s="33"/>
      <c r="P64" s="33"/>
      <c r="Q64" s="16" t="s">
        <v>75</v>
      </c>
      <c r="R64" s="16" t="s">
        <v>75</v>
      </c>
      <c r="S64" s="16"/>
      <c r="T64" s="16" t="s">
        <v>68</v>
      </c>
      <c r="U64" s="16" t="s">
        <v>68</v>
      </c>
      <c r="V64" s="16"/>
      <c r="W64" s="16" t="s">
        <v>68</v>
      </c>
      <c r="X64" s="16"/>
      <c r="Y64" s="16"/>
      <c r="Z64" s="16"/>
      <c r="AA64" s="16"/>
      <c r="AB64" s="24"/>
      <c r="AC64" s="24"/>
      <c r="AD64" s="16"/>
    </row>
    <row r="65" spans="1:30" ht="22.8" x14ac:dyDescent="0.25">
      <c r="A65" s="28"/>
      <c r="B65" s="20">
        <v>37306</v>
      </c>
      <c r="C65" s="27" t="s">
        <v>54</v>
      </c>
      <c r="D65" s="3" t="s">
        <v>557</v>
      </c>
      <c r="E65" s="20" t="s">
        <v>522</v>
      </c>
      <c r="F65" s="3" t="s">
        <v>57</v>
      </c>
      <c r="G65" s="3" t="s">
        <v>11</v>
      </c>
      <c r="H65" s="19">
        <v>43830</v>
      </c>
      <c r="I65" s="3">
        <v>690</v>
      </c>
      <c r="J65" s="3" t="s">
        <v>58</v>
      </c>
      <c r="K65" s="37" t="s">
        <v>59</v>
      </c>
      <c r="L65" s="33">
        <v>44216</v>
      </c>
      <c r="M65" s="16" t="s">
        <v>60</v>
      </c>
      <c r="N65" s="33">
        <v>44193</v>
      </c>
      <c r="O65" s="33"/>
      <c r="P65" s="33"/>
      <c r="Q65" s="16" t="s">
        <v>75</v>
      </c>
      <c r="R65" s="16" t="s">
        <v>75</v>
      </c>
      <c r="S65" s="16"/>
      <c r="T65" s="16" t="s">
        <v>62</v>
      </c>
      <c r="U65" s="16" t="s">
        <v>62</v>
      </c>
      <c r="V65" s="16"/>
      <c r="W65" s="16" t="s">
        <v>62</v>
      </c>
      <c r="X65" s="16"/>
      <c r="Y65" s="16"/>
      <c r="Z65" s="16"/>
      <c r="AA65" s="16"/>
      <c r="AB65" s="24"/>
      <c r="AC65" s="24"/>
      <c r="AD65" s="16"/>
    </row>
    <row r="66" spans="1:30" ht="22.8" x14ac:dyDescent="0.25">
      <c r="A66" s="28"/>
      <c r="B66" s="20">
        <v>37308</v>
      </c>
      <c r="C66" s="27" t="s">
        <v>64</v>
      </c>
      <c r="D66" s="3" t="s">
        <v>558</v>
      </c>
      <c r="E66" s="20" t="s">
        <v>522</v>
      </c>
      <c r="F66" s="3" t="s">
        <v>57</v>
      </c>
      <c r="G66" s="3" t="s">
        <v>11</v>
      </c>
      <c r="H66" s="19">
        <v>43838</v>
      </c>
      <c r="I66" s="3">
        <v>679</v>
      </c>
      <c r="J66" s="3" t="s">
        <v>58</v>
      </c>
      <c r="K66" s="37" t="s">
        <v>59</v>
      </c>
      <c r="L66" s="33">
        <v>44232</v>
      </c>
      <c r="M66" s="16" t="s">
        <v>60</v>
      </c>
      <c r="N66" s="33">
        <v>44184</v>
      </c>
      <c r="O66" s="33">
        <v>44153</v>
      </c>
      <c r="P66" s="33"/>
      <c r="Q66" s="16" t="s">
        <v>75</v>
      </c>
      <c r="R66" s="16" t="s">
        <v>75</v>
      </c>
      <c r="S66" s="16" t="s">
        <v>68</v>
      </c>
      <c r="T66" s="16" t="s">
        <v>68</v>
      </c>
      <c r="U66" s="16" t="s">
        <v>68</v>
      </c>
      <c r="V66" s="16"/>
      <c r="W66" s="16" t="s">
        <v>68</v>
      </c>
      <c r="X66" s="16"/>
      <c r="Y66" s="16"/>
      <c r="Z66" s="16"/>
      <c r="AA66" s="16"/>
      <c r="AB66" s="24"/>
      <c r="AC66" s="24"/>
      <c r="AD66" s="16"/>
    </row>
    <row r="67" spans="1:30" ht="22.8" x14ac:dyDescent="0.25">
      <c r="A67" s="28"/>
      <c r="B67" s="20">
        <v>37308</v>
      </c>
      <c r="C67" s="27" t="s">
        <v>54</v>
      </c>
      <c r="D67" s="3" t="s">
        <v>559</v>
      </c>
      <c r="E67" s="20" t="s">
        <v>522</v>
      </c>
      <c r="F67" s="3" t="s">
        <v>57</v>
      </c>
      <c r="G67" s="3" t="s">
        <v>11</v>
      </c>
      <c r="H67" s="19">
        <v>43838</v>
      </c>
      <c r="I67" s="3">
        <v>678</v>
      </c>
      <c r="J67" s="3" t="s">
        <v>58</v>
      </c>
      <c r="K67" s="37" t="s">
        <v>59</v>
      </c>
      <c r="L67" s="33">
        <v>44232</v>
      </c>
      <c r="M67" s="16" t="s">
        <v>60</v>
      </c>
      <c r="N67" s="33">
        <v>44184</v>
      </c>
      <c r="O67" s="33">
        <v>44153</v>
      </c>
      <c r="P67" s="33"/>
      <c r="Q67" s="16" t="s">
        <v>75</v>
      </c>
      <c r="R67" s="16" t="s">
        <v>75</v>
      </c>
      <c r="S67" s="16" t="s">
        <v>62</v>
      </c>
      <c r="T67" s="16" t="s">
        <v>62</v>
      </c>
      <c r="U67" s="16" t="s">
        <v>62</v>
      </c>
      <c r="V67" s="16"/>
      <c r="W67" s="16" t="s">
        <v>62</v>
      </c>
      <c r="X67" s="16"/>
      <c r="Y67" s="16"/>
      <c r="Z67" s="16"/>
      <c r="AA67" s="16"/>
      <c r="AB67" s="24"/>
      <c r="AC67" s="24"/>
      <c r="AD67" s="16"/>
    </row>
    <row r="68" spans="1:30" ht="22.8" x14ac:dyDescent="0.25">
      <c r="A68" s="28"/>
      <c r="B68" s="20">
        <v>37310</v>
      </c>
      <c r="C68" s="27" t="s">
        <v>64</v>
      </c>
      <c r="D68" s="3" t="s">
        <v>560</v>
      </c>
      <c r="E68" s="20" t="s">
        <v>522</v>
      </c>
      <c r="F68" s="3" t="s">
        <v>57</v>
      </c>
      <c r="G68" s="3" t="s">
        <v>11</v>
      </c>
      <c r="H68" s="19">
        <v>43839</v>
      </c>
      <c r="I68" s="3">
        <v>683</v>
      </c>
      <c r="J68" s="3" t="s">
        <v>58</v>
      </c>
      <c r="K68" s="37" t="s">
        <v>59</v>
      </c>
      <c r="L68" s="33">
        <v>44229</v>
      </c>
      <c r="M68" s="16" t="s">
        <v>60</v>
      </c>
      <c r="N68" s="33">
        <v>44175</v>
      </c>
      <c r="O68" s="33">
        <v>44327</v>
      </c>
      <c r="P68" s="33"/>
      <c r="Q68" s="16" t="s">
        <v>75</v>
      </c>
      <c r="R68" s="16" t="s">
        <v>75</v>
      </c>
      <c r="S68" s="16" t="s">
        <v>68</v>
      </c>
      <c r="T68" s="16" t="s">
        <v>68</v>
      </c>
      <c r="U68" s="16" t="s">
        <v>68</v>
      </c>
      <c r="V68" s="16"/>
      <c r="W68" s="16"/>
      <c r="X68" s="16"/>
      <c r="Y68" s="16"/>
      <c r="Z68" s="16"/>
      <c r="AA68" s="16"/>
      <c r="AB68" s="24"/>
      <c r="AC68" s="24"/>
      <c r="AD68" s="16"/>
    </row>
    <row r="69" spans="1:30" ht="22.8" x14ac:dyDescent="0.25">
      <c r="A69" s="28"/>
      <c r="B69" s="20">
        <v>37310</v>
      </c>
      <c r="C69" s="27" t="s">
        <v>54</v>
      </c>
      <c r="D69" s="3" t="s">
        <v>561</v>
      </c>
      <c r="E69" s="20" t="s">
        <v>522</v>
      </c>
      <c r="F69" s="3" t="s">
        <v>57</v>
      </c>
      <c r="G69" s="3" t="s">
        <v>11</v>
      </c>
      <c r="H69" s="19">
        <v>43839</v>
      </c>
      <c r="I69" s="3">
        <v>682</v>
      </c>
      <c r="J69" s="3" t="s">
        <v>58</v>
      </c>
      <c r="K69" s="37" t="s">
        <v>59</v>
      </c>
      <c r="L69" s="33">
        <v>44229</v>
      </c>
      <c r="M69" s="16" t="s">
        <v>60</v>
      </c>
      <c r="N69" s="33">
        <v>44175</v>
      </c>
      <c r="O69" s="33">
        <v>44327</v>
      </c>
      <c r="P69" s="33"/>
      <c r="Q69" s="16" t="s">
        <v>75</v>
      </c>
      <c r="R69" s="16" t="s">
        <v>75</v>
      </c>
      <c r="S69" s="16" t="s">
        <v>62</v>
      </c>
      <c r="T69" s="16" t="s">
        <v>62</v>
      </c>
      <c r="U69" s="16" t="s">
        <v>62</v>
      </c>
      <c r="V69" s="16"/>
      <c r="W69" s="16"/>
      <c r="X69" s="16"/>
      <c r="Y69" s="16"/>
      <c r="Z69" s="16"/>
      <c r="AA69" s="16"/>
      <c r="AB69" s="24"/>
      <c r="AC69" s="24"/>
      <c r="AD69" s="16"/>
    </row>
    <row r="70" spans="1:30" ht="22.8" x14ac:dyDescent="0.25">
      <c r="A70" s="28"/>
      <c r="B70" s="20">
        <v>37312</v>
      </c>
      <c r="C70" s="27" t="s">
        <v>64</v>
      </c>
      <c r="D70" s="3" t="s">
        <v>562</v>
      </c>
      <c r="E70" s="20" t="s">
        <v>522</v>
      </c>
      <c r="F70" s="3" t="s">
        <v>57</v>
      </c>
      <c r="G70" s="3" t="s">
        <v>11</v>
      </c>
      <c r="H70" s="19">
        <v>43844</v>
      </c>
      <c r="I70" s="3">
        <v>680</v>
      </c>
      <c r="J70" s="3" t="s">
        <v>58</v>
      </c>
      <c r="K70" s="37" t="s">
        <v>59</v>
      </c>
      <c r="L70" s="33">
        <v>44231</v>
      </c>
      <c r="M70" s="16" t="s">
        <v>60</v>
      </c>
      <c r="N70" s="33">
        <v>44182</v>
      </c>
      <c r="O70" s="33"/>
      <c r="P70" s="33"/>
      <c r="Q70" s="16" t="s">
        <v>75</v>
      </c>
      <c r="R70" s="16" t="s">
        <v>75</v>
      </c>
      <c r="S70" s="16"/>
      <c r="T70" s="16" t="s">
        <v>68</v>
      </c>
      <c r="U70" s="16" t="s">
        <v>68</v>
      </c>
      <c r="V70" s="16"/>
      <c r="W70" s="16"/>
      <c r="X70" s="16"/>
      <c r="Y70" s="16"/>
      <c r="Z70" s="16"/>
      <c r="AA70" s="16"/>
      <c r="AB70" s="24"/>
      <c r="AC70" s="24"/>
      <c r="AD70" s="16"/>
    </row>
    <row r="71" spans="1:30" ht="22.8" x14ac:dyDescent="0.25">
      <c r="A71" s="28"/>
      <c r="B71" s="20">
        <v>37312</v>
      </c>
      <c r="C71" s="27" t="s">
        <v>54</v>
      </c>
      <c r="D71" s="3" t="s">
        <v>563</v>
      </c>
      <c r="E71" s="20" t="s">
        <v>522</v>
      </c>
      <c r="F71" s="3" t="s">
        <v>57</v>
      </c>
      <c r="G71" s="3" t="s">
        <v>11</v>
      </c>
      <c r="H71" s="19">
        <v>43844</v>
      </c>
      <c r="I71" s="3">
        <v>681</v>
      </c>
      <c r="J71" s="3" t="s">
        <v>58</v>
      </c>
      <c r="K71" s="37" t="s">
        <v>59</v>
      </c>
      <c r="L71" s="33">
        <v>44231</v>
      </c>
      <c r="M71" s="16" t="s">
        <v>60</v>
      </c>
      <c r="N71" s="33">
        <v>44182</v>
      </c>
      <c r="O71" s="33"/>
      <c r="P71" s="33"/>
      <c r="Q71" s="16" t="s">
        <v>75</v>
      </c>
      <c r="R71" s="16" t="s">
        <v>75</v>
      </c>
      <c r="S71" s="16"/>
      <c r="T71" s="16" t="s">
        <v>62</v>
      </c>
      <c r="U71" s="16" t="s">
        <v>62</v>
      </c>
      <c r="V71" s="16"/>
      <c r="W71" s="16"/>
      <c r="X71" s="16"/>
      <c r="Y71" s="16"/>
      <c r="Z71" s="16"/>
      <c r="AA71" s="16"/>
      <c r="AB71" s="24"/>
      <c r="AC71" s="24"/>
      <c r="AD71" s="16"/>
    </row>
    <row r="72" spans="1:30" ht="22.8" x14ac:dyDescent="0.25">
      <c r="A72" s="28"/>
      <c r="B72" s="20">
        <v>37315</v>
      </c>
      <c r="C72" s="27" t="s">
        <v>64</v>
      </c>
      <c r="D72" s="3" t="s">
        <v>564</v>
      </c>
      <c r="E72" s="20" t="s">
        <v>522</v>
      </c>
      <c r="F72" s="3" t="s">
        <v>57</v>
      </c>
      <c r="G72" s="3" t="s">
        <v>11</v>
      </c>
      <c r="H72" s="19">
        <v>43846</v>
      </c>
      <c r="I72" s="3">
        <v>724</v>
      </c>
      <c r="J72" s="3" t="s">
        <v>58</v>
      </c>
      <c r="K72" s="37" t="s">
        <v>59</v>
      </c>
      <c r="L72" s="33">
        <v>44191</v>
      </c>
      <c r="M72" s="16" t="s">
        <v>60</v>
      </c>
      <c r="N72" s="33">
        <v>44176</v>
      </c>
      <c r="O72" s="33"/>
      <c r="P72" s="33"/>
      <c r="Q72" s="16" t="s">
        <v>75</v>
      </c>
      <c r="R72" s="16" t="s">
        <v>75</v>
      </c>
      <c r="S72" s="16" t="s">
        <v>68</v>
      </c>
      <c r="T72" s="16" t="s">
        <v>68</v>
      </c>
      <c r="U72" s="16" t="s">
        <v>68</v>
      </c>
      <c r="V72" s="16"/>
      <c r="W72" s="16" t="s">
        <v>68</v>
      </c>
      <c r="X72" s="16"/>
      <c r="Y72" s="16"/>
      <c r="Z72" s="16"/>
      <c r="AA72" s="16"/>
      <c r="AB72" s="24"/>
      <c r="AC72" s="24"/>
      <c r="AD72" s="16" t="s">
        <v>68</v>
      </c>
    </row>
    <row r="73" spans="1:30" ht="22.8" x14ac:dyDescent="0.25">
      <c r="A73" s="28"/>
      <c r="B73" s="20">
        <v>37315</v>
      </c>
      <c r="C73" s="27" t="s">
        <v>54</v>
      </c>
      <c r="D73" s="3" t="s">
        <v>565</v>
      </c>
      <c r="E73" s="20" t="s">
        <v>522</v>
      </c>
      <c r="F73" s="3" t="s">
        <v>57</v>
      </c>
      <c r="G73" s="3" t="s">
        <v>11</v>
      </c>
      <c r="H73" s="19">
        <v>43846</v>
      </c>
      <c r="I73" s="3">
        <v>725</v>
      </c>
      <c r="J73" s="3" t="s">
        <v>58</v>
      </c>
      <c r="K73" s="37" t="s">
        <v>59</v>
      </c>
      <c r="L73" s="33">
        <v>44191</v>
      </c>
      <c r="M73" s="16" t="s">
        <v>60</v>
      </c>
      <c r="N73" s="33">
        <v>44176</v>
      </c>
      <c r="O73" s="33"/>
      <c r="P73" s="33"/>
      <c r="Q73" s="16" t="s">
        <v>75</v>
      </c>
      <c r="R73" s="16" t="s">
        <v>75</v>
      </c>
      <c r="S73" s="16" t="s">
        <v>62</v>
      </c>
      <c r="T73" s="16" t="s">
        <v>62</v>
      </c>
      <c r="U73" s="16" t="s">
        <v>62</v>
      </c>
      <c r="V73" s="16"/>
      <c r="W73" s="16" t="s">
        <v>62</v>
      </c>
      <c r="X73" s="16"/>
      <c r="Y73" s="16"/>
      <c r="Z73" s="16"/>
      <c r="AA73" s="16"/>
      <c r="AB73" s="24"/>
      <c r="AC73" s="24"/>
      <c r="AD73" s="16" t="s">
        <v>62</v>
      </c>
    </row>
    <row r="74" spans="1:30" ht="22.8" x14ac:dyDescent="0.25">
      <c r="A74" s="28"/>
      <c r="B74" s="20">
        <v>37317</v>
      </c>
      <c r="C74" s="27" t="s">
        <v>64</v>
      </c>
      <c r="D74" s="3" t="s">
        <v>566</v>
      </c>
      <c r="E74" s="20" t="s">
        <v>522</v>
      </c>
      <c r="F74" s="3" t="s">
        <v>57</v>
      </c>
      <c r="G74" s="3" t="s">
        <v>11</v>
      </c>
      <c r="H74" s="19">
        <v>43853</v>
      </c>
      <c r="I74" s="3">
        <v>723</v>
      </c>
      <c r="J74" s="3" t="s">
        <v>58</v>
      </c>
      <c r="K74" s="37" t="s">
        <v>59</v>
      </c>
      <c r="L74" s="33">
        <v>44221</v>
      </c>
      <c r="M74" s="16" t="s">
        <v>60</v>
      </c>
      <c r="N74" s="33">
        <v>44221</v>
      </c>
      <c r="O74" s="33"/>
      <c r="P74" s="33"/>
      <c r="Q74" s="16" t="s">
        <v>75</v>
      </c>
      <c r="R74" s="16" t="s">
        <v>75</v>
      </c>
      <c r="S74" s="16"/>
      <c r="T74" s="16" t="s">
        <v>68</v>
      </c>
      <c r="U74" s="16" t="s">
        <v>68</v>
      </c>
      <c r="V74" s="16"/>
      <c r="W74" s="16" t="s">
        <v>68</v>
      </c>
      <c r="X74" s="16"/>
      <c r="Y74" s="16"/>
      <c r="Z74" s="16"/>
      <c r="AA74" s="16"/>
      <c r="AB74" s="24"/>
      <c r="AC74" s="24"/>
      <c r="AD74" s="16" t="s">
        <v>68</v>
      </c>
    </row>
    <row r="75" spans="1:30" ht="22.8" x14ac:dyDescent="0.25">
      <c r="A75" s="28"/>
      <c r="B75" s="20">
        <v>37317</v>
      </c>
      <c r="C75" s="27" t="s">
        <v>54</v>
      </c>
      <c r="D75" s="3" t="s">
        <v>567</v>
      </c>
      <c r="E75" s="20" t="s">
        <v>522</v>
      </c>
      <c r="F75" s="3" t="s">
        <v>57</v>
      </c>
      <c r="G75" s="3" t="s">
        <v>11</v>
      </c>
      <c r="H75" s="19">
        <v>43853</v>
      </c>
      <c r="I75" s="3">
        <v>728</v>
      </c>
      <c r="J75" s="3" t="s">
        <v>58</v>
      </c>
      <c r="K75" s="37" t="s">
        <v>59</v>
      </c>
      <c r="L75" s="33">
        <v>44221</v>
      </c>
      <c r="M75" s="16" t="s">
        <v>60</v>
      </c>
      <c r="N75" s="33">
        <v>44221</v>
      </c>
      <c r="O75" s="33"/>
      <c r="P75" s="33"/>
      <c r="Q75" s="16" t="s">
        <v>75</v>
      </c>
      <c r="R75" s="16" t="s">
        <v>75</v>
      </c>
      <c r="S75" s="16"/>
      <c r="T75" s="16" t="s">
        <v>62</v>
      </c>
      <c r="U75" s="16" t="s">
        <v>62</v>
      </c>
      <c r="V75" s="16"/>
      <c r="W75" s="16" t="s">
        <v>62</v>
      </c>
      <c r="X75" s="16"/>
      <c r="Y75" s="16"/>
      <c r="Z75" s="16"/>
      <c r="AA75" s="16"/>
      <c r="AB75" s="24"/>
      <c r="AC75" s="24"/>
      <c r="AD75" s="16" t="s">
        <v>62</v>
      </c>
    </row>
    <row r="76" spans="1:30" ht="22.8" x14ac:dyDescent="0.25">
      <c r="A76" s="28"/>
      <c r="B76" s="20">
        <v>37319</v>
      </c>
      <c r="C76" s="27" t="s">
        <v>64</v>
      </c>
      <c r="D76" s="3" t="s">
        <v>568</v>
      </c>
      <c r="E76" s="20" t="s">
        <v>522</v>
      </c>
      <c r="F76" s="3" t="s">
        <v>57</v>
      </c>
      <c r="G76" s="3" t="s">
        <v>11</v>
      </c>
      <c r="H76" s="19">
        <v>43857</v>
      </c>
      <c r="I76" s="3">
        <v>695</v>
      </c>
      <c r="J76" s="3" t="s">
        <v>58</v>
      </c>
      <c r="K76" s="37" t="s">
        <v>59</v>
      </c>
      <c r="L76" s="33">
        <v>44224</v>
      </c>
      <c r="M76" s="16" t="s">
        <v>60</v>
      </c>
      <c r="N76" s="33">
        <v>44224</v>
      </c>
      <c r="O76" s="33">
        <v>44237</v>
      </c>
      <c r="P76" s="33"/>
      <c r="Q76" s="16" t="s">
        <v>75</v>
      </c>
      <c r="R76" s="16" t="s">
        <v>75</v>
      </c>
      <c r="S76" s="16" t="s">
        <v>68</v>
      </c>
      <c r="T76" s="16" t="s">
        <v>68</v>
      </c>
      <c r="U76" s="16" t="s">
        <v>68</v>
      </c>
      <c r="V76" s="16"/>
      <c r="W76" s="16" t="s">
        <v>68</v>
      </c>
      <c r="X76" s="16"/>
      <c r="Y76" s="16"/>
      <c r="Z76" s="16"/>
      <c r="AA76" s="16"/>
      <c r="AB76" s="24"/>
      <c r="AC76" s="24"/>
      <c r="AD76" s="16" t="s">
        <v>68</v>
      </c>
    </row>
    <row r="77" spans="1:30" ht="22.8" x14ac:dyDescent="0.25">
      <c r="A77" s="28"/>
      <c r="B77" s="20">
        <v>37319</v>
      </c>
      <c r="C77" s="27" t="s">
        <v>54</v>
      </c>
      <c r="D77" s="3" t="s">
        <v>570</v>
      </c>
      <c r="E77" s="20" t="s">
        <v>522</v>
      </c>
      <c r="F77" s="3" t="s">
        <v>57</v>
      </c>
      <c r="G77" s="3" t="s">
        <v>11</v>
      </c>
      <c r="H77" s="19">
        <v>43857</v>
      </c>
      <c r="I77" s="3">
        <v>691</v>
      </c>
      <c r="J77" s="3" t="s">
        <v>58</v>
      </c>
      <c r="K77" s="37" t="s">
        <v>59</v>
      </c>
      <c r="L77" s="33">
        <v>44224</v>
      </c>
      <c r="M77" s="16" t="s">
        <v>60</v>
      </c>
      <c r="N77" s="33">
        <v>44224</v>
      </c>
      <c r="O77" s="33"/>
      <c r="P77" s="33"/>
      <c r="Q77" s="16" t="s">
        <v>75</v>
      </c>
      <c r="R77" s="16" t="s">
        <v>75</v>
      </c>
      <c r="S77" s="16" t="s">
        <v>62</v>
      </c>
      <c r="T77" s="16" t="s">
        <v>62</v>
      </c>
      <c r="U77" s="16" t="s">
        <v>62</v>
      </c>
      <c r="V77" s="16"/>
      <c r="W77" s="16" t="s">
        <v>62</v>
      </c>
      <c r="X77" s="16"/>
      <c r="Y77" s="16"/>
      <c r="Z77" s="16"/>
      <c r="AA77" s="16"/>
      <c r="AB77" s="24"/>
      <c r="AC77" s="24"/>
      <c r="AD77" s="16" t="s">
        <v>62</v>
      </c>
    </row>
    <row r="78" spans="1:30" ht="22.8" x14ac:dyDescent="0.25">
      <c r="A78" s="28"/>
      <c r="B78" s="20">
        <v>37371</v>
      </c>
      <c r="C78" s="27" t="s">
        <v>64</v>
      </c>
      <c r="D78" s="3" t="s">
        <v>571</v>
      </c>
      <c r="E78" s="20" t="s">
        <v>522</v>
      </c>
      <c r="F78" s="3" t="s">
        <v>57</v>
      </c>
      <c r="G78" s="3" t="s">
        <v>11</v>
      </c>
      <c r="H78" s="19">
        <v>43995</v>
      </c>
      <c r="I78" s="3">
        <v>746</v>
      </c>
      <c r="J78" s="3" t="s">
        <v>58</v>
      </c>
      <c r="K78" s="37" t="s">
        <v>59</v>
      </c>
      <c r="L78" s="33">
        <v>44231</v>
      </c>
      <c r="M78" s="16" t="s">
        <v>60</v>
      </c>
      <c r="N78" s="33">
        <v>44175</v>
      </c>
      <c r="O78" s="33"/>
      <c r="P78" s="33"/>
      <c r="Q78" s="16" t="s">
        <v>75</v>
      </c>
      <c r="R78" s="16" t="s">
        <v>75</v>
      </c>
      <c r="S78" s="16" t="s">
        <v>68</v>
      </c>
      <c r="T78" s="16" t="s">
        <v>68</v>
      </c>
      <c r="U78" s="16" t="s">
        <v>68</v>
      </c>
      <c r="V78" s="16"/>
      <c r="W78" s="16" t="s">
        <v>68</v>
      </c>
      <c r="X78" s="16" t="s">
        <v>68</v>
      </c>
      <c r="Y78" s="16" t="s">
        <v>68</v>
      </c>
      <c r="Z78" s="16" t="s">
        <v>68</v>
      </c>
      <c r="AA78" s="16"/>
      <c r="AB78" s="24"/>
      <c r="AC78" s="24"/>
      <c r="AD78" s="16" t="s">
        <v>68</v>
      </c>
    </row>
    <row r="79" spans="1:30" ht="22.8" x14ac:dyDescent="0.25">
      <c r="A79" s="28"/>
      <c r="B79" s="20">
        <v>37371</v>
      </c>
      <c r="C79" s="27" t="s">
        <v>54</v>
      </c>
      <c r="D79" s="3" t="s">
        <v>572</v>
      </c>
      <c r="E79" s="20" t="s">
        <v>522</v>
      </c>
      <c r="F79" s="3" t="s">
        <v>57</v>
      </c>
      <c r="G79" s="3" t="s">
        <v>11</v>
      </c>
      <c r="H79" s="19">
        <v>43995</v>
      </c>
      <c r="I79" s="3">
        <v>733</v>
      </c>
      <c r="J79" s="3" t="s">
        <v>58</v>
      </c>
      <c r="K79" s="37" t="s">
        <v>59</v>
      </c>
      <c r="L79" s="33">
        <v>44231</v>
      </c>
      <c r="M79" s="16" t="s">
        <v>60</v>
      </c>
      <c r="N79" s="33">
        <v>44175</v>
      </c>
      <c r="O79" s="33"/>
      <c r="P79" s="33"/>
      <c r="Q79" s="16" t="s">
        <v>75</v>
      </c>
      <c r="R79" s="16" t="s">
        <v>75</v>
      </c>
      <c r="S79" s="16" t="s">
        <v>62</v>
      </c>
      <c r="T79" s="16" t="s">
        <v>62</v>
      </c>
      <c r="U79" s="16" t="s">
        <v>62</v>
      </c>
      <c r="V79" s="16"/>
      <c r="W79" s="16" t="s">
        <v>62</v>
      </c>
      <c r="X79" s="16" t="s">
        <v>62</v>
      </c>
      <c r="Y79" s="16" t="s">
        <v>62</v>
      </c>
      <c r="Z79" s="16" t="s">
        <v>62</v>
      </c>
      <c r="AA79" s="16"/>
      <c r="AB79" s="24"/>
      <c r="AC79" s="24"/>
      <c r="AD79" s="16" t="s">
        <v>62</v>
      </c>
    </row>
    <row r="80" spans="1:30" ht="22.8" x14ac:dyDescent="0.25">
      <c r="A80" s="28"/>
      <c r="B80" s="20">
        <v>37373</v>
      </c>
      <c r="C80" s="27" t="s">
        <v>64</v>
      </c>
      <c r="D80" s="3" t="s">
        <v>573</v>
      </c>
      <c r="E80" s="20" t="s">
        <v>522</v>
      </c>
      <c r="F80" s="3" t="s">
        <v>57</v>
      </c>
      <c r="G80" s="3" t="s">
        <v>11</v>
      </c>
      <c r="H80" s="19">
        <v>43998</v>
      </c>
      <c r="I80" s="3">
        <v>749</v>
      </c>
      <c r="J80" s="3" t="s">
        <v>58</v>
      </c>
      <c r="K80" s="37" t="s">
        <v>59</v>
      </c>
      <c r="L80" s="33">
        <v>44206</v>
      </c>
      <c r="M80" s="16" t="s">
        <v>60</v>
      </c>
      <c r="N80" s="33">
        <v>44176</v>
      </c>
      <c r="O80" s="33"/>
      <c r="P80" s="33"/>
      <c r="Q80" s="16" t="s">
        <v>75</v>
      </c>
      <c r="R80" s="16" t="s">
        <v>75</v>
      </c>
      <c r="S80" s="16" t="s">
        <v>68</v>
      </c>
      <c r="T80" s="16" t="s">
        <v>68</v>
      </c>
      <c r="U80" s="16" t="s">
        <v>68</v>
      </c>
      <c r="V80" s="16"/>
      <c r="W80" s="16" t="s">
        <v>68</v>
      </c>
      <c r="X80" s="16"/>
      <c r="Y80" s="16"/>
      <c r="Z80" s="16"/>
      <c r="AA80" s="16"/>
      <c r="AB80" s="24"/>
      <c r="AC80" s="24"/>
      <c r="AD80" s="16" t="s">
        <v>68</v>
      </c>
    </row>
    <row r="81" spans="1:31" ht="22.8" x14ac:dyDescent="0.25">
      <c r="A81" s="28"/>
      <c r="B81" s="20">
        <v>37373</v>
      </c>
      <c r="C81" s="27" t="s">
        <v>54</v>
      </c>
      <c r="D81" s="3" t="s">
        <v>574</v>
      </c>
      <c r="E81" s="20" t="s">
        <v>522</v>
      </c>
      <c r="F81" s="3" t="s">
        <v>57</v>
      </c>
      <c r="G81" s="3" t="s">
        <v>11</v>
      </c>
      <c r="H81" s="19">
        <v>43998</v>
      </c>
      <c r="I81" s="3">
        <v>731</v>
      </c>
      <c r="J81" s="3" t="s">
        <v>58</v>
      </c>
      <c r="K81" s="37" t="s">
        <v>59</v>
      </c>
      <c r="L81" s="33">
        <v>44206</v>
      </c>
      <c r="M81" s="16" t="s">
        <v>60</v>
      </c>
      <c r="N81" s="33">
        <v>44176</v>
      </c>
      <c r="O81" s="33"/>
      <c r="P81" s="33"/>
      <c r="Q81" s="16" t="s">
        <v>75</v>
      </c>
      <c r="R81" s="16" t="s">
        <v>75</v>
      </c>
      <c r="S81" s="16" t="s">
        <v>62</v>
      </c>
      <c r="T81" s="16" t="s">
        <v>62</v>
      </c>
      <c r="U81" s="16" t="s">
        <v>62</v>
      </c>
      <c r="V81" s="16"/>
      <c r="W81" s="16" t="s">
        <v>62</v>
      </c>
      <c r="X81" s="16"/>
      <c r="Y81" s="16"/>
      <c r="Z81" s="16"/>
      <c r="AA81" s="16"/>
      <c r="AB81" s="24"/>
      <c r="AC81" s="24"/>
      <c r="AD81" s="16" t="s">
        <v>62</v>
      </c>
    </row>
    <row r="82" spans="1:31" ht="22.8" x14ac:dyDescent="0.25">
      <c r="A82" s="28"/>
      <c r="B82" s="20">
        <v>37436</v>
      </c>
      <c r="C82" s="27" t="s">
        <v>64</v>
      </c>
      <c r="D82" s="3" t="s">
        <v>575</v>
      </c>
      <c r="E82" s="20" t="s">
        <v>522</v>
      </c>
      <c r="F82" s="3" t="s">
        <v>57</v>
      </c>
      <c r="G82" s="3" t="s">
        <v>11</v>
      </c>
      <c r="H82" s="19">
        <v>44071</v>
      </c>
      <c r="I82" s="3">
        <v>828</v>
      </c>
      <c r="J82" s="3" t="s">
        <v>58</v>
      </c>
      <c r="K82" s="37" t="s">
        <v>59</v>
      </c>
      <c r="L82" s="33">
        <v>44203</v>
      </c>
      <c r="M82" s="16" t="s">
        <v>60</v>
      </c>
      <c r="N82" s="33">
        <v>44193</v>
      </c>
      <c r="O82" s="33"/>
      <c r="P82" s="33"/>
      <c r="Q82" s="16" t="s">
        <v>75</v>
      </c>
      <c r="R82" s="16" t="s">
        <v>75</v>
      </c>
      <c r="S82" s="16" t="s">
        <v>62</v>
      </c>
      <c r="T82" s="16" t="s">
        <v>62</v>
      </c>
      <c r="U82" s="16" t="s">
        <v>62</v>
      </c>
      <c r="V82" s="16"/>
      <c r="W82" s="16" t="s">
        <v>62</v>
      </c>
      <c r="X82" s="16" t="s">
        <v>75</v>
      </c>
      <c r="Y82" s="16" t="s">
        <v>62</v>
      </c>
      <c r="Z82" s="16" t="s">
        <v>62</v>
      </c>
      <c r="AA82" s="16"/>
      <c r="AB82" s="24"/>
      <c r="AC82" s="24"/>
      <c r="AD82" s="16"/>
    </row>
    <row r="83" spans="1:31" ht="22.8" x14ac:dyDescent="0.25">
      <c r="A83" s="28"/>
      <c r="B83" s="20">
        <v>37436</v>
      </c>
      <c r="C83" s="27" t="s">
        <v>54</v>
      </c>
      <c r="D83" s="3" t="s">
        <v>576</v>
      </c>
      <c r="E83" s="20" t="s">
        <v>522</v>
      </c>
      <c r="F83" s="3" t="s">
        <v>57</v>
      </c>
      <c r="G83" s="3" t="s">
        <v>11</v>
      </c>
      <c r="H83" s="19">
        <v>44071</v>
      </c>
      <c r="I83" s="3">
        <v>829</v>
      </c>
      <c r="J83" s="3" t="s">
        <v>58</v>
      </c>
      <c r="K83" s="37" t="s">
        <v>59</v>
      </c>
      <c r="L83" s="33">
        <v>44203</v>
      </c>
      <c r="M83" s="16" t="s">
        <v>60</v>
      </c>
      <c r="N83" s="33">
        <v>44193</v>
      </c>
      <c r="O83" s="33"/>
      <c r="P83" s="33"/>
      <c r="Q83" s="16" t="s">
        <v>75</v>
      </c>
      <c r="R83" s="16" t="s">
        <v>75</v>
      </c>
      <c r="S83" s="16" t="s">
        <v>68</v>
      </c>
      <c r="T83" s="16" t="s">
        <v>68</v>
      </c>
      <c r="U83" s="16" t="s">
        <v>68</v>
      </c>
      <c r="V83" s="16"/>
      <c r="W83" s="16" t="s">
        <v>68</v>
      </c>
      <c r="X83" s="16" t="s">
        <v>75</v>
      </c>
      <c r="Y83" s="16" t="s">
        <v>68</v>
      </c>
      <c r="Z83" s="16" t="s">
        <v>68</v>
      </c>
      <c r="AA83" s="16"/>
      <c r="AB83" s="24"/>
      <c r="AC83" s="24"/>
      <c r="AD83" s="16"/>
    </row>
    <row r="84" spans="1:31" ht="22.8" x14ac:dyDescent="0.25">
      <c r="A84" s="28"/>
      <c r="B84" s="20">
        <v>37448</v>
      </c>
      <c r="C84" s="27" t="s">
        <v>64</v>
      </c>
      <c r="D84" s="3" t="s">
        <v>578</v>
      </c>
      <c r="E84" s="20" t="s">
        <v>522</v>
      </c>
      <c r="F84" s="3" t="s">
        <v>57</v>
      </c>
      <c r="G84" s="3" t="s">
        <v>11</v>
      </c>
      <c r="H84" s="19">
        <v>44088</v>
      </c>
      <c r="I84" s="3">
        <v>852</v>
      </c>
      <c r="J84" s="3" t="s">
        <v>58</v>
      </c>
      <c r="K84" s="37" t="s">
        <v>59</v>
      </c>
      <c r="L84" s="33">
        <v>44217</v>
      </c>
      <c r="M84" s="16" t="s">
        <v>60</v>
      </c>
      <c r="N84" s="33">
        <v>44184</v>
      </c>
      <c r="O84" s="33"/>
      <c r="P84" s="33"/>
      <c r="Q84" s="16" t="s">
        <v>75</v>
      </c>
      <c r="R84" s="16" t="s">
        <v>75</v>
      </c>
      <c r="S84" s="16"/>
      <c r="T84" s="16" t="s">
        <v>68</v>
      </c>
      <c r="U84" s="16" t="s">
        <v>68</v>
      </c>
      <c r="V84" s="16"/>
      <c r="W84" s="16" t="s">
        <v>68</v>
      </c>
      <c r="X84" s="16" t="s">
        <v>75</v>
      </c>
      <c r="Y84" s="16" t="s">
        <v>68</v>
      </c>
      <c r="Z84" s="16" t="s">
        <v>68</v>
      </c>
      <c r="AA84" s="16"/>
      <c r="AB84" s="24"/>
      <c r="AC84" s="24"/>
      <c r="AD84" s="16"/>
    </row>
    <row r="85" spans="1:31" ht="22.8" x14ac:dyDescent="0.25">
      <c r="A85" s="28"/>
      <c r="B85" s="20">
        <v>37448</v>
      </c>
      <c r="C85" s="27" t="s">
        <v>54</v>
      </c>
      <c r="D85" s="3" t="s">
        <v>579</v>
      </c>
      <c r="E85" s="20" t="s">
        <v>522</v>
      </c>
      <c r="F85" s="3" t="s">
        <v>57</v>
      </c>
      <c r="G85" s="3" t="s">
        <v>11</v>
      </c>
      <c r="H85" s="19">
        <v>44088</v>
      </c>
      <c r="I85" s="3">
        <v>853</v>
      </c>
      <c r="J85" s="3" t="s">
        <v>58</v>
      </c>
      <c r="K85" s="37" t="s">
        <v>59</v>
      </c>
      <c r="L85" s="33">
        <v>44217</v>
      </c>
      <c r="M85" s="16" t="s">
        <v>60</v>
      </c>
      <c r="N85" s="33">
        <v>44184</v>
      </c>
      <c r="O85" s="33"/>
      <c r="P85" s="33"/>
      <c r="Q85" s="16" t="s">
        <v>75</v>
      </c>
      <c r="R85" s="16" t="s">
        <v>75</v>
      </c>
      <c r="S85" s="16"/>
      <c r="T85" s="16" t="s">
        <v>62</v>
      </c>
      <c r="U85" s="16" t="s">
        <v>62</v>
      </c>
      <c r="V85" s="16"/>
      <c r="W85" s="16" t="s">
        <v>62</v>
      </c>
      <c r="X85" s="16" t="s">
        <v>75</v>
      </c>
      <c r="Y85" s="16" t="s">
        <v>62</v>
      </c>
      <c r="Z85" s="16" t="s">
        <v>62</v>
      </c>
      <c r="AA85" s="16"/>
      <c r="AB85" s="24"/>
      <c r="AC85" s="24"/>
      <c r="AD85" s="16"/>
    </row>
    <row r="86" spans="1:31" ht="22.8" x14ac:dyDescent="0.25">
      <c r="A86" s="28"/>
      <c r="B86" s="20">
        <v>37462</v>
      </c>
      <c r="C86" s="27" t="s">
        <v>64</v>
      </c>
      <c r="D86" s="24" t="s">
        <v>580</v>
      </c>
      <c r="E86" s="20" t="s">
        <v>522</v>
      </c>
      <c r="F86" s="3" t="s">
        <v>57</v>
      </c>
      <c r="G86" s="3" t="s">
        <v>11</v>
      </c>
      <c r="H86" s="19">
        <v>44173</v>
      </c>
      <c r="I86" s="3">
        <v>943</v>
      </c>
      <c r="J86" s="3" t="s">
        <v>58</v>
      </c>
      <c r="K86" s="37" t="s">
        <v>59</v>
      </c>
      <c r="L86" s="16" t="s">
        <v>75</v>
      </c>
      <c r="M86" s="16" t="s">
        <v>60</v>
      </c>
      <c r="N86" s="33">
        <v>44214</v>
      </c>
      <c r="O86" s="33"/>
      <c r="P86" s="33"/>
      <c r="Q86" s="16" t="s">
        <v>75</v>
      </c>
      <c r="R86" s="16" t="s">
        <v>75</v>
      </c>
      <c r="S86" s="37"/>
      <c r="T86" s="37" t="s">
        <v>68</v>
      </c>
      <c r="U86" s="37" t="s">
        <v>68</v>
      </c>
      <c r="V86" s="37"/>
      <c r="W86" s="37" t="s">
        <v>68</v>
      </c>
      <c r="X86" s="16" t="s">
        <v>75</v>
      </c>
      <c r="Y86" s="37"/>
      <c r="Z86" s="37"/>
      <c r="AA86" s="37"/>
      <c r="AB86" s="24"/>
      <c r="AC86" s="24"/>
      <c r="AD86" s="37"/>
      <c r="AE86" s="92"/>
    </row>
    <row r="87" spans="1:31" ht="22.8" x14ac:dyDescent="0.25">
      <c r="A87" s="28"/>
      <c r="B87" s="20">
        <v>37462</v>
      </c>
      <c r="C87" s="27" t="s">
        <v>54</v>
      </c>
      <c r="D87" s="24" t="s">
        <v>581</v>
      </c>
      <c r="E87" s="20" t="s">
        <v>522</v>
      </c>
      <c r="F87" s="3" t="s">
        <v>57</v>
      </c>
      <c r="G87" s="3" t="s">
        <v>11</v>
      </c>
      <c r="H87" s="19">
        <v>44173</v>
      </c>
      <c r="I87" s="3">
        <v>942</v>
      </c>
      <c r="J87" s="3" t="s">
        <v>58</v>
      </c>
      <c r="K87" s="37" t="s">
        <v>59</v>
      </c>
      <c r="L87" s="16" t="s">
        <v>75</v>
      </c>
      <c r="M87" s="16" t="s">
        <v>60</v>
      </c>
      <c r="N87" s="33">
        <v>44214</v>
      </c>
      <c r="O87" s="33"/>
      <c r="P87" s="33"/>
      <c r="Q87" s="16" t="s">
        <v>75</v>
      </c>
      <c r="R87" s="16" t="s">
        <v>75</v>
      </c>
      <c r="S87" s="37"/>
      <c r="T87" s="37" t="s">
        <v>62</v>
      </c>
      <c r="U87" s="37" t="s">
        <v>62</v>
      </c>
      <c r="V87" s="37"/>
      <c r="W87" s="37" t="s">
        <v>62</v>
      </c>
      <c r="X87" s="16" t="s">
        <v>75</v>
      </c>
      <c r="Y87" s="37"/>
      <c r="Z87" s="37"/>
      <c r="AA87" s="37"/>
      <c r="AB87" s="24"/>
      <c r="AC87" s="24"/>
      <c r="AD87" s="37"/>
      <c r="AE87" s="92"/>
    </row>
    <row r="88" spans="1:31" ht="22.8" x14ac:dyDescent="0.25">
      <c r="A88" s="28"/>
      <c r="B88" s="20">
        <v>37482</v>
      </c>
      <c r="C88" s="27" t="s">
        <v>64</v>
      </c>
      <c r="D88" s="24" t="s">
        <v>582</v>
      </c>
      <c r="E88" s="20" t="s">
        <v>522</v>
      </c>
      <c r="F88" s="3" t="s">
        <v>57</v>
      </c>
      <c r="G88" s="3" t="s">
        <v>11</v>
      </c>
      <c r="H88" s="19">
        <v>44153</v>
      </c>
      <c r="I88" s="3">
        <v>904</v>
      </c>
      <c r="J88" s="3" t="s">
        <v>58</v>
      </c>
      <c r="K88" s="37" t="s">
        <v>59</v>
      </c>
      <c r="L88" s="16" t="s">
        <v>75</v>
      </c>
      <c r="M88" s="16" t="s">
        <v>60</v>
      </c>
      <c r="N88" s="33">
        <v>44193</v>
      </c>
      <c r="O88" s="33"/>
      <c r="P88" s="33"/>
      <c r="Q88" s="16" t="s">
        <v>75</v>
      </c>
      <c r="R88" s="16" t="s">
        <v>75</v>
      </c>
      <c r="S88" s="37"/>
      <c r="T88" s="37" t="s">
        <v>68</v>
      </c>
      <c r="U88" s="37" t="s">
        <v>68</v>
      </c>
      <c r="V88" s="37"/>
      <c r="W88" s="37" t="s">
        <v>68</v>
      </c>
      <c r="X88" s="16" t="s">
        <v>75</v>
      </c>
      <c r="Y88" s="37"/>
      <c r="Z88" s="37"/>
      <c r="AA88" s="37"/>
      <c r="AB88" s="24"/>
      <c r="AC88" s="24"/>
      <c r="AD88" s="37"/>
      <c r="AE88" s="92"/>
    </row>
    <row r="89" spans="1:31" ht="22.8" x14ac:dyDescent="0.25">
      <c r="A89" s="28"/>
      <c r="B89" s="20">
        <v>37482</v>
      </c>
      <c r="C89" s="27" t="s">
        <v>54</v>
      </c>
      <c r="D89" s="24" t="s">
        <v>583</v>
      </c>
      <c r="E89" s="20" t="s">
        <v>522</v>
      </c>
      <c r="F89" s="3" t="s">
        <v>57</v>
      </c>
      <c r="G89" s="3" t="s">
        <v>11</v>
      </c>
      <c r="H89" s="19">
        <v>44153</v>
      </c>
      <c r="I89" s="3">
        <v>905</v>
      </c>
      <c r="J89" s="3" t="s">
        <v>58</v>
      </c>
      <c r="K89" s="37" t="s">
        <v>59</v>
      </c>
      <c r="L89" s="16" t="s">
        <v>75</v>
      </c>
      <c r="M89" s="16" t="s">
        <v>60</v>
      </c>
      <c r="N89" s="33">
        <v>44193</v>
      </c>
      <c r="O89" s="33"/>
      <c r="P89" s="33"/>
      <c r="Q89" s="16" t="s">
        <v>75</v>
      </c>
      <c r="R89" s="16" t="s">
        <v>75</v>
      </c>
      <c r="S89" s="37"/>
      <c r="T89" s="37" t="s">
        <v>62</v>
      </c>
      <c r="U89" s="37" t="s">
        <v>62</v>
      </c>
      <c r="V89" s="37"/>
      <c r="W89" s="37" t="s">
        <v>62</v>
      </c>
      <c r="X89" s="16" t="s">
        <v>75</v>
      </c>
      <c r="Y89" s="37"/>
      <c r="Z89" s="37"/>
      <c r="AA89" s="37"/>
      <c r="AB89" s="24"/>
      <c r="AC89" s="24"/>
      <c r="AD89" s="37"/>
      <c r="AE89" s="92"/>
    </row>
    <row r="90" spans="1:31" ht="22.8" x14ac:dyDescent="0.25">
      <c r="A90" s="28"/>
      <c r="B90" s="20">
        <v>37485</v>
      </c>
      <c r="C90" s="27" t="s">
        <v>64</v>
      </c>
      <c r="D90" s="24" t="s">
        <v>584</v>
      </c>
      <c r="E90" s="20" t="s">
        <v>522</v>
      </c>
      <c r="F90" s="3" t="s">
        <v>57</v>
      </c>
      <c r="G90" s="3" t="s">
        <v>11</v>
      </c>
      <c r="H90" s="19">
        <v>44162</v>
      </c>
      <c r="I90" s="3">
        <v>970</v>
      </c>
      <c r="J90" s="3" t="s">
        <v>58</v>
      </c>
      <c r="K90" s="37" t="s">
        <v>59</v>
      </c>
      <c r="L90" s="16" t="s">
        <v>75</v>
      </c>
      <c r="M90" s="16" t="s">
        <v>60</v>
      </c>
      <c r="N90" s="33">
        <v>44219</v>
      </c>
      <c r="O90" s="33"/>
      <c r="P90" s="33"/>
      <c r="Q90" s="16" t="s">
        <v>75</v>
      </c>
      <c r="R90" s="16" t="s">
        <v>75</v>
      </c>
      <c r="S90" s="37"/>
      <c r="T90" s="37" t="s">
        <v>68</v>
      </c>
      <c r="U90" s="37" t="s">
        <v>68</v>
      </c>
      <c r="V90" s="37"/>
      <c r="W90" s="37" t="s">
        <v>68</v>
      </c>
      <c r="X90" s="16" t="s">
        <v>75</v>
      </c>
      <c r="Y90" s="37"/>
      <c r="Z90" s="37"/>
      <c r="AA90" s="37"/>
      <c r="AB90" s="24"/>
      <c r="AC90" s="24"/>
      <c r="AD90" s="37"/>
      <c r="AE90" s="92"/>
    </row>
    <row r="91" spans="1:31" ht="22.8" x14ac:dyDescent="0.25">
      <c r="A91" s="28"/>
      <c r="B91" s="20">
        <v>37485</v>
      </c>
      <c r="C91" s="27" t="s">
        <v>54</v>
      </c>
      <c r="D91" s="24" t="s">
        <v>585</v>
      </c>
      <c r="E91" s="20" t="s">
        <v>522</v>
      </c>
      <c r="F91" s="3" t="s">
        <v>57</v>
      </c>
      <c r="G91" s="3" t="s">
        <v>11</v>
      </c>
      <c r="H91" s="19">
        <v>44162</v>
      </c>
      <c r="I91" s="3">
        <v>971</v>
      </c>
      <c r="J91" s="3" t="s">
        <v>58</v>
      </c>
      <c r="K91" s="37" t="s">
        <v>59</v>
      </c>
      <c r="L91" s="16" t="s">
        <v>75</v>
      </c>
      <c r="M91" s="16" t="s">
        <v>60</v>
      </c>
      <c r="N91" s="33">
        <v>44219</v>
      </c>
      <c r="O91" s="33"/>
      <c r="P91" s="33"/>
      <c r="Q91" s="16" t="s">
        <v>75</v>
      </c>
      <c r="R91" s="16" t="s">
        <v>75</v>
      </c>
      <c r="S91" s="37"/>
      <c r="T91" s="37" t="s">
        <v>62</v>
      </c>
      <c r="U91" s="37" t="s">
        <v>62</v>
      </c>
      <c r="V91" s="37"/>
      <c r="W91" s="37" t="s">
        <v>62</v>
      </c>
      <c r="X91" s="16" t="s">
        <v>75</v>
      </c>
      <c r="Y91" s="37"/>
      <c r="Z91" s="37"/>
      <c r="AA91" s="37"/>
      <c r="AB91" s="24"/>
      <c r="AC91" s="24"/>
      <c r="AD91" s="37"/>
      <c r="AE91" s="92"/>
    </row>
    <row r="92" spans="1:31" ht="22.8" x14ac:dyDescent="0.25">
      <c r="A92" s="28"/>
      <c r="B92" s="20">
        <v>37494</v>
      </c>
      <c r="C92" s="27" t="s">
        <v>64</v>
      </c>
      <c r="D92" s="24" t="s">
        <v>586</v>
      </c>
      <c r="E92" s="20" t="s">
        <v>522</v>
      </c>
      <c r="F92" s="3" t="s">
        <v>57</v>
      </c>
      <c r="G92" s="3" t="s">
        <v>11</v>
      </c>
      <c r="H92" s="19">
        <v>44184</v>
      </c>
      <c r="I92" s="3">
        <v>950</v>
      </c>
      <c r="J92" s="3" t="s">
        <v>58</v>
      </c>
      <c r="K92" s="37" t="s">
        <v>59</v>
      </c>
      <c r="L92" s="16" t="s">
        <v>75</v>
      </c>
      <c r="M92" s="16" t="s">
        <v>60</v>
      </c>
      <c r="N92" s="33">
        <v>44229</v>
      </c>
      <c r="O92" s="33"/>
      <c r="P92" s="33"/>
      <c r="Q92" s="16" t="s">
        <v>75</v>
      </c>
      <c r="R92" s="16" t="s">
        <v>75</v>
      </c>
      <c r="S92" s="37"/>
      <c r="T92" s="37" t="s">
        <v>68</v>
      </c>
      <c r="U92" s="37" t="s">
        <v>68</v>
      </c>
      <c r="V92" s="37"/>
      <c r="W92" s="37" t="s">
        <v>68</v>
      </c>
      <c r="X92" s="16" t="s">
        <v>75</v>
      </c>
      <c r="Y92" s="37"/>
      <c r="Z92" s="37"/>
      <c r="AA92" s="37"/>
      <c r="AB92" s="24"/>
      <c r="AC92" s="24"/>
      <c r="AD92" s="37"/>
      <c r="AE92" s="92"/>
    </row>
    <row r="93" spans="1:31" ht="22.8" x14ac:dyDescent="0.25">
      <c r="A93" s="28"/>
      <c r="B93" s="20">
        <v>37494</v>
      </c>
      <c r="C93" s="27" t="s">
        <v>54</v>
      </c>
      <c r="D93" s="24" t="s">
        <v>587</v>
      </c>
      <c r="E93" s="20" t="s">
        <v>522</v>
      </c>
      <c r="F93" s="3" t="s">
        <v>57</v>
      </c>
      <c r="G93" s="3" t="s">
        <v>11</v>
      </c>
      <c r="H93" s="19">
        <v>44184</v>
      </c>
      <c r="I93" s="3">
        <v>1001</v>
      </c>
      <c r="J93" s="3" t="s">
        <v>58</v>
      </c>
      <c r="K93" s="37" t="s">
        <v>59</v>
      </c>
      <c r="L93" s="16" t="s">
        <v>75</v>
      </c>
      <c r="M93" s="16" t="s">
        <v>60</v>
      </c>
      <c r="N93" s="33">
        <v>44229</v>
      </c>
      <c r="O93" s="33"/>
      <c r="P93" s="33"/>
      <c r="Q93" s="16" t="s">
        <v>75</v>
      </c>
      <c r="R93" s="16" t="s">
        <v>75</v>
      </c>
      <c r="S93" s="37"/>
      <c r="T93" s="37" t="s">
        <v>62</v>
      </c>
      <c r="U93" s="37" t="s">
        <v>62</v>
      </c>
      <c r="V93" s="37"/>
      <c r="W93" s="37" t="s">
        <v>62</v>
      </c>
      <c r="X93" s="16" t="s">
        <v>75</v>
      </c>
      <c r="Y93" s="37"/>
      <c r="Z93" s="37"/>
      <c r="AA93" s="37"/>
      <c r="AB93" s="24"/>
      <c r="AC93" s="24"/>
      <c r="AD93" s="37"/>
      <c r="AE93" s="92"/>
    </row>
    <row r="94" spans="1:31" ht="22.8" x14ac:dyDescent="0.25">
      <c r="A94" s="28"/>
      <c r="B94" s="20">
        <v>37544</v>
      </c>
      <c r="C94" s="27" t="s">
        <v>64</v>
      </c>
      <c r="D94" s="3" t="s">
        <v>588</v>
      </c>
      <c r="E94" s="20" t="s">
        <v>522</v>
      </c>
      <c r="F94" s="3" t="s">
        <v>57</v>
      </c>
      <c r="G94" s="3" t="s">
        <v>11</v>
      </c>
      <c r="H94" s="19">
        <v>44255</v>
      </c>
      <c r="I94" s="3">
        <v>906</v>
      </c>
      <c r="J94" s="3" t="s">
        <v>58</v>
      </c>
      <c r="K94" s="37" t="s">
        <v>59</v>
      </c>
      <c r="L94" s="16" t="s">
        <v>75</v>
      </c>
      <c r="M94" s="16" t="s">
        <v>60</v>
      </c>
      <c r="N94" s="16" t="s">
        <v>589</v>
      </c>
      <c r="O94" s="33"/>
      <c r="P94" s="33"/>
      <c r="Q94" s="16" t="s">
        <v>75</v>
      </c>
      <c r="R94" s="16" t="s">
        <v>75</v>
      </c>
      <c r="S94" s="16"/>
      <c r="T94" s="16" t="s">
        <v>68</v>
      </c>
      <c r="U94" s="16" t="s">
        <v>68</v>
      </c>
      <c r="V94" s="16"/>
      <c r="W94" s="16" t="s">
        <v>68</v>
      </c>
      <c r="X94" s="16" t="s">
        <v>75</v>
      </c>
      <c r="Y94" s="16"/>
      <c r="Z94" s="3"/>
      <c r="AA94" s="3"/>
      <c r="AB94" s="24"/>
      <c r="AC94" s="24"/>
      <c r="AD94" s="3"/>
      <c r="AE94" s="2"/>
    </row>
    <row r="95" spans="1:31" ht="22.8" x14ac:dyDescent="0.25">
      <c r="A95" s="28"/>
      <c r="B95" s="20">
        <v>37544</v>
      </c>
      <c r="C95" s="27" t="s">
        <v>54</v>
      </c>
      <c r="D95" s="3" t="s">
        <v>590</v>
      </c>
      <c r="E95" s="20" t="s">
        <v>522</v>
      </c>
      <c r="F95" s="3" t="s">
        <v>57</v>
      </c>
      <c r="G95" s="3" t="s">
        <v>11</v>
      </c>
      <c r="H95" s="19">
        <v>44255</v>
      </c>
      <c r="I95" s="3">
        <v>907</v>
      </c>
      <c r="J95" s="3" t="s">
        <v>58</v>
      </c>
      <c r="K95" s="37" t="s">
        <v>59</v>
      </c>
      <c r="L95" s="16" t="s">
        <v>75</v>
      </c>
      <c r="M95" s="16" t="s">
        <v>60</v>
      </c>
      <c r="N95" s="16" t="s">
        <v>589</v>
      </c>
      <c r="O95" s="33"/>
      <c r="P95" s="33"/>
      <c r="Q95" s="16" t="s">
        <v>75</v>
      </c>
      <c r="R95" s="16" t="s">
        <v>75</v>
      </c>
      <c r="S95" s="16"/>
      <c r="T95" s="16" t="s">
        <v>62</v>
      </c>
      <c r="U95" s="16" t="s">
        <v>62</v>
      </c>
      <c r="V95" s="16"/>
      <c r="W95" s="16" t="s">
        <v>62</v>
      </c>
      <c r="X95" s="16" t="s">
        <v>75</v>
      </c>
      <c r="Y95" s="16"/>
      <c r="Z95" s="3"/>
      <c r="AA95" s="3"/>
      <c r="AB95" s="24"/>
      <c r="AC95" s="24"/>
      <c r="AD95" s="3"/>
      <c r="AE95" s="2"/>
    </row>
    <row r="96" spans="1:31" ht="22.8" x14ac:dyDescent="0.25">
      <c r="A96" s="28"/>
      <c r="B96" s="20">
        <v>37546</v>
      </c>
      <c r="C96" s="27" t="s">
        <v>64</v>
      </c>
      <c r="D96" s="3" t="s">
        <v>591</v>
      </c>
      <c r="E96" s="20" t="s">
        <v>522</v>
      </c>
      <c r="F96" s="3" t="s">
        <v>57</v>
      </c>
      <c r="G96" s="3" t="s">
        <v>11</v>
      </c>
      <c r="H96" s="19">
        <v>44255</v>
      </c>
      <c r="I96" s="3">
        <v>1007</v>
      </c>
      <c r="J96" s="3" t="s">
        <v>58</v>
      </c>
      <c r="K96" s="37" t="s">
        <v>59</v>
      </c>
      <c r="L96" s="16" t="s">
        <v>75</v>
      </c>
      <c r="M96" s="16" t="s">
        <v>60</v>
      </c>
      <c r="N96" s="16" t="s">
        <v>592</v>
      </c>
      <c r="O96" s="33"/>
      <c r="P96" s="33"/>
      <c r="Q96" s="16" t="s">
        <v>75</v>
      </c>
      <c r="R96" s="16" t="s">
        <v>75</v>
      </c>
      <c r="S96" s="16"/>
      <c r="T96" s="16" t="s">
        <v>68</v>
      </c>
      <c r="U96" s="16" t="s">
        <v>68</v>
      </c>
      <c r="V96" s="16"/>
      <c r="W96" s="16" t="s">
        <v>68</v>
      </c>
      <c r="X96" s="16" t="s">
        <v>75</v>
      </c>
      <c r="Y96" s="16"/>
      <c r="Z96" s="3"/>
      <c r="AA96" s="3"/>
      <c r="AB96" s="24"/>
      <c r="AC96" s="24"/>
      <c r="AD96" s="3"/>
      <c r="AE96" s="2"/>
    </row>
    <row r="97" spans="1:31" ht="22.8" x14ac:dyDescent="0.25">
      <c r="A97" s="28"/>
      <c r="B97" s="20">
        <v>37546</v>
      </c>
      <c r="C97" s="27" t="s">
        <v>54</v>
      </c>
      <c r="D97" s="3" t="s">
        <v>593</v>
      </c>
      <c r="E97" s="20" t="s">
        <v>522</v>
      </c>
      <c r="F97" s="3" t="s">
        <v>57</v>
      </c>
      <c r="G97" s="3" t="s">
        <v>11</v>
      </c>
      <c r="H97" s="19">
        <v>44255</v>
      </c>
      <c r="I97" s="3">
        <v>1013</v>
      </c>
      <c r="J97" s="3" t="s">
        <v>58</v>
      </c>
      <c r="K97" s="37" t="s">
        <v>59</v>
      </c>
      <c r="L97" s="16" t="s">
        <v>75</v>
      </c>
      <c r="M97" s="16" t="s">
        <v>60</v>
      </c>
      <c r="N97" s="16" t="s">
        <v>592</v>
      </c>
      <c r="O97" s="33"/>
      <c r="P97" s="33"/>
      <c r="Q97" s="16" t="s">
        <v>75</v>
      </c>
      <c r="R97" s="16" t="s">
        <v>75</v>
      </c>
      <c r="S97" s="16"/>
      <c r="T97" s="16" t="s">
        <v>62</v>
      </c>
      <c r="U97" s="16" t="s">
        <v>62</v>
      </c>
      <c r="V97" s="16"/>
      <c r="W97" s="16" t="s">
        <v>62</v>
      </c>
      <c r="X97" s="16" t="s">
        <v>75</v>
      </c>
      <c r="Y97" s="16"/>
      <c r="Z97" s="3"/>
      <c r="AA97" s="3"/>
      <c r="AB97" s="24"/>
      <c r="AC97" s="24"/>
      <c r="AD97" s="3"/>
      <c r="AE97" s="2"/>
    </row>
    <row r="98" spans="1:31" x14ac:dyDescent="0.25">
      <c r="A98" s="28"/>
      <c r="B98" s="20">
        <v>37563</v>
      </c>
      <c r="C98" s="27" t="s">
        <v>64</v>
      </c>
      <c r="D98" s="20" t="s">
        <v>2000</v>
      </c>
      <c r="E98" s="20" t="s">
        <v>56</v>
      </c>
      <c r="F98" s="3" t="s">
        <v>57</v>
      </c>
      <c r="G98" s="3" t="s">
        <v>11</v>
      </c>
      <c r="H98" s="19">
        <v>44291</v>
      </c>
      <c r="I98" s="3">
        <v>865</v>
      </c>
      <c r="J98" s="3" t="s">
        <v>58</v>
      </c>
      <c r="K98" s="16"/>
      <c r="L98" s="33"/>
      <c r="M98" s="16"/>
      <c r="N98" s="33"/>
      <c r="O98" s="33"/>
      <c r="P98" s="33"/>
      <c r="Q98" s="16" t="s">
        <v>75</v>
      </c>
      <c r="R98" s="16" t="s">
        <v>75</v>
      </c>
      <c r="S98" s="16"/>
      <c r="T98" s="16"/>
      <c r="U98" s="16"/>
      <c r="V98" s="15"/>
      <c r="W98" s="16"/>
      <c r="X98" s="16" t="s">
        <v>75</v>
      </c>
      <c r="Y98" s="16"/>
      <c r="Z98" s="16"/>
      <c r="AA98" s="16"/>
      <c r="AB98" s="24"/>
      <c r="AC98" s="24"/>
      <c r="AD98" s="37" t="s">
        <v>68</v>
      </c>
    </row>
    <row r="99" spans="1:31" x14ac:dyDescent="0.25">
      <c r="A99" s="28"/>
      <c r="B99" s="20">
        <v>37563</v>
      </c>
      <c r="C99" s="27" t="s">
        <v>54</v>
      </c>
      <c r="D99" s="20" t="s">
        <v>2001</v>
      </c>
      <c r="E99" s="20" t="s">
        <v>56</v>
      </c>
      <c r="F99" s="3" t="s">
        <v>57</v>
      </c>
      <c r="G99" s="3" t="s">
        <v>11</v>
      </c>
      <c r="H99" s="19">
        <v>44291</v>
      </c>
      <c r="I99" s="3">
        <v>864</v>
      </c>
      <c r="J99" s="3" t="s">
        <v>58</v>
      </c>
      <c r="K99" s="16"/>
      <c r="L99" s="33"/>
      <c r="M99" s="16"/>
      <c r="N99" s="33"/>
      <c r="O99" s="33"/>
      <c r="P99" s="33"/>
      <c r="Q99" s="16" t="s">
        <v>75</v>
      </c>
      <c r="R99" s="16" t="s">
        <v>75</v>
      </c>
      <c r="S99" s="16"/>
      <c r="T99" s="16"/>
      <c r="U99" s="16"/>
      <c r="V99" s="15"/>
      <c r="W99" s="16"/>
      <c r="X99" s="16" t="s">
        <v>75</v>
      </c>
      <c r="Y99" s="16"/>
      <c r="Z99" s="16"/>
      <c r="AA99" s="16"/>
      <c r="AB99" s="24"/>
      <c r="AC99" s="24"/>
      <c r="AD99" s="37" t="s">
        <v>62</v>
      </c>
    </row>
    <row r="100" spans="1:31" ht="22.8" x14ac:dyDescent="0.25">
      <c r="A100" s="28"/>
      <c r="B100" s="20">
        <v>39123</v>
      </c>
      <c r="C100" s="27" t="s">
        <v>64</v>
      </c>
      <c r="D100" s="3" t="s">
        <v>594</v>
      </c>
      <c r="E100" s="20" t="s">
        <v>522</v>
      </c>
      <c r="F100" s="3" t="s">
        <v>57</v>
      </c>
      <c r="G100" s="3" t="s">
        <v>11</v>
      </c>
      <c r="H100" s="19">
        <v>43851</v>
      </c>
      <c r="I100" s="3">
        <v>666</v>
      </c>
      <c r="J100" s="3" t="s">
        <v>58</v>
      </c>
      <c r="K100" s="37" t="s">
        <v>59</v>
      </c>
      <c r="L100" s="33">
        <v>44543</v>
      </c>
      <c r="M100" s="16" t="s">
        <v>60</v>
      </c>
      <c r="N100" s="33">
        <v>44175</v>
      </c>
      <c r="O100" s="33"/>
      <c r="P100" s="33"/>
      <c r="Q100" s="16" t="s">
        <v>75</v>
      </c>
      <c r="R100" s="16" t="s">
        <v>75</v>
      </c>
      <c r="S100" s="16" t="s">
        <v>68</v>
      </c>
      <c r="T100" s="16" t="s">
        <v>68</v>
      </c>
      <c r="U100" s="16" t="s">
        <v>68</v>
      </c>
      <c r="V100" s="16"/>
      <c r="W100" s="16" t="s">
        <v>68</v>
      </c>
      <c r="X100" s="16"/>
      <c r="Y100" s="16" t="s">
        <v>68</v>
      </c>
      <c r="Z100" s="16" t="s">
        <v>68</v>
      </c>
      <c r="AA100" s="16"/>
      <c r="AB100" s="24"/>
      <c r="AC100" s="24"/>
      <c r="AD100" s="16"/>
    </row>
    <row r="101" spans="1:31" ht="22.8" x14ac:dyDescent="0.25">
      <c r="A101" s="28"/>
      <c r="B101" s="20">
        <v>39123</v>
      </c>
      <c r="C101" s="27" t="s">
        <v>54</v>
      </c>
      <c r="D101" s="3" t="s">
        <v>595</v>
      </c>
      <c r="E101" s="20" t="s">
        <v>522</v>
      </c>
      <c r="F101" s="3" t="s">
        <v>57</v>
      </c>
      <c r="G101" s="3" t="s">
        <v>11</v>
      </c>
      <c r="H101" s="19">
        <v>43851</v>
      </c>
      <c r="I101" s="3">
        <v>652</v>
      </c>
      <c r="J101" s="3" t="s">
        <v>58</v>
      </c>
      <c r="K101" s="37" t="s">
        <v>59</v>
      </c>
      <c r="L101" s="33">
        <v>44543</v>
      </c>
      <c r="M101" s="16" t="s">
        <v>60</v>
      </c>
      <c r="N101" s="33">
        <v>44175</v>
      </c>
      <c r="O101" s="33"/>
      <c r="P101" s="33"/>
      <c r="Q101" s="16" t="s">
        <v>75</v>
      </c>
      <c r="R101" s="16" t="s">
        <v>75</v>
      </c>
      <c r="S101" s="16" t="s">
        <v>62</v>
      </c>
      <c r="T101" s="16" t="s">
        <v>62</v>
      </c>
      <c r="U101" s="16" t="s">
        <v>62</v>
      </c>
      <c r="V101" s="16"/>
      <c r="W101" s="16" t="s">
        <v>62</v>
      </c>
      <c r="X101" s="16"/>
      <c r="Y101" s="16" t="s">
        <v>62</v>
      </c>
      <c r="Z101" s="16" t="s">
        <v>62</v>
      </c>
      <c r="AA101" s="16"/>
      <c r="AB101" s="24"/>
      <c r="AC101" s="24"/>
      <c r="AD101" s="16"/>
    </row>
    <row r="102" spans="1:31" ht="22.8" x14ac:dyDescent="0.25">
      <c r="A102" s="28"/>
      <c r="B102" s="20">
        <v>39125</v>
      </c>
      <c r="C102" s="27" t="s">
        <v>64</v>
      </c>
      <c r="D102" s="3" t="s">
        <v>596</v>
      </c>
      <c r="E102" s="20" t="s">
        <v>522</v>
      </c>
      <c r="F102" s="3" t="s">
        <v>57</v>
      </c>
      <c r="G102" s="3" t="s">
        <v>11</v>
      </c>
      <c r="H102" s="19">
        <v>43858</v>
      </c>
      <c r="I102" s="3">
        <v>669</v>
      </c>
      <c r="J102" s="3" t="s">
        <v>58</v>
      </c>
      <c r="K102" s="37" t="s">
        <v>59</v>
      </c>
      <c r="L102" s="33">
        <v>44268</v>
      </c>
      <c r="M102" s="16" t="s">
        <v>60</v>
      </c>
      <c r="N102" s="33">
        <v>44175</v>
      </c>
      <c r="O102" s="33"/>
      <c r="P102" s="33"/>
      <c r="Q102" s="16" t="s">
        <v>75</v>
      </c>
      <c r="R102" s="16" t="s">
        <v>75</v>
      </c>
      <c r="S102" s="16" t="s">
        <v>68</v>
      </c>
      <c r="T102" s="16" t="s">
        <v>68</v>
      </c>
      <c r="U102" s="16" t="s">
        <v>68</v>
      </c>
      <c r="V102" s="16"/>
      <c r="W102" s="16"/>
      <c r="X102" s="16"/>
      <c r="Y102" s="16"/>
      <c r="Z102" s="16"/>
      <c r="AA102" s="16"/>
      <c r="AB102" s="24"/>
      <c r="AC102" s="24"/>
      <c r="AD102" s="16"/>
    </row>
    <row r="103" spans="1:31" ht="22.8" x14ac:dyDescent="0.25">
      <c r="A103" s="28"/>
      <c r="B103" s="20">
        <v>39125</v>
      </c>
      <c r="C103" s="27" t="s">
        <v>54</v>
      </c>
      <c r="D103" s="3" t="s">
        <v>598</v>
      </c>
      <c r="E103" s="20" t="s">
        <v>522</v>
      </c>
      <c r="F103" s="3" t="s">
        <v>57</v>
      </c>
      <c r="G103" s="3" t="s">
        <v>11</v>
      </c>
      <c r="H103" s="19">
        <v>43858</v>
      </c>
      <c r="I103" s="3">
        <v>529</v>
      </c>
      <c r="J103" s="3" t="s">
        <v>58</v>
      </c>
      <c r="K103" s="37" t="s">
        <v>59</v>
      </c>
      <c r="L103" s="33">
        <v>44268</v>
      </c>
      <c r="M103" s="16" t="s">
        <v>60</v>
      </c>
      <c r="N103" s="33">
        <v>44175</v>
      </c>
      <c r="O103" s="33"/>
      <c r="P103" s="33"/>
      <c r="Q103" s="16" t="s">
        <v>75</v>
      </c>
      <c r="R103" s="16" t="s">
        <v>62</v>
      </c>
      <c r="S103" s="16" t="s">
        <v>62</v>
      </c>
      <c r="T103" s="16" t="s">
        <v>62</v>
      </c>
      <c r="U103" s="16" t="s">
        <v>62</v>
      </c>
      <c r="V103" s="16"/>
      <c r="W103" s="16"/>
      <c r="X103" s="16"/>
      <c r="Y103" s="16"/>
      <c r="Z103" s="16"/>
      <c r="AA103" s="16"/>
      <c r="AB103" s="24"/>
      <c r="AC103" s="24"/>
      <c r="AD103" s="16"/>
    </row>
    <row r="104" spans="1:31" ht="22.8" x14ac:dyDescent="0.25">
      <c r="A104" s="28"/>
      <c r="B104" s="20">
        <v>30475</v>
      </c>
      <c r="C104" s="27" t="s">
        <v>64</v>
      </c>
      <c r="D104" s="3" t="s">
        <v>158</v>
      </c>
      <c r="E104" s="19" t="s">
        <v>56</v>
      </c>
      <c r="F104" s="29" t="s">
        <v>57</v>
      </c>
      <c r="G104" s="3" t="s">
        <v>11</v>
      </c>
      <c r="H104" s="19">
        <v>42511</v>
      </c>
      <c r="I104" s="3">
        <v>47</v>
      </c>
      <c r="J104" s="3" t="s">
        <v>66</v>
      </c>
      <c r="K104" s="37" t="s">
        <v>59</v>
      </c>
      <c r="L104" s="33">
        <v>44168</v>
      </c>
      <c r="M104" s="30" t="s">
        <v>67</v>
      </c>
      <c r="N104" s="33" t="s">
        <v>63</v>
      </c>
      <c r="O104" s="33">
        <v>44168</v>
      </c>
      <c r="P104" s="33"/>
      <c r="Q104" s="36"/>
      <c r="R104" s="37" t="s">
        <v>68</v>
      </c>
      <c r="S104" s="36"/>
      <c r="T104" s="37" t="s">
        <v>68</v>
      </c>
      <c r="U104" s="36"/>
      <c r="V104" s="36"/>
      <c r="W104" s="36"/>
      <c r="X104" s="36"/>
      <c r="Y104" s="37" t="s">
        <v>68</v>
      </c>
      <c r="Z104" s="37" t="s">
        <v>68</v>
      </c>
      <c r="AA104" s="37"/>
      <c r="AB104" s="24"/>
      <c r="AC104" s="24"/>
      <c r="AD104" s="37" t="s">
        <v>68</v>
      </c>
      <c r="AE104" s="92"/>
    </row>
    <row r="105" spans="1:31" ht="22.8" x14ac:dyDescent="0.25">
      <c r="A105" s="28"/>
      <c r="B105" s="20">
        <v>30475</v>
      </c>
      <c r="C105" s="27" t="s">
        <v>54</v>
      </c>
      <c r="D105" s="3" t="s">
        <v>159</v>
      </c>
      <c r="E105" s="19" t="s">
        <v>56</v>
      </c>
      <c r="F105" s="29" t="s">
        <v>57</v>
      </c>
      <c r="G105" s="3" t="s">
        <v>11</v>
      </c>
      <c r="H105" s="19">
        <v>42511</v>
      </c>
      <c r="I105" s="3">
        <v>48</v>
      </c>
      <c r="J105" s="3" t="s">
        <v>66</v>
      </c>
      <c r="K105" s="37" t="s">
        <v>59</v>
      </c>
      <c r="L105" s="33">
        <v>44168</v>
      </c>
      <c r="M105" s="30" t="s">
        <v>67</v>
      </c>
      <c r="N105" s="33" t="s">
        <v>63</v>
      </c>
      <c r="O105" s="33">
        <v>44168</v>
      </c>
      <c r="P105" s="33"/>
      <c r="Q105" s="36"/>
      <c r="R105" s="37" t="s">
        <v>62</v>
      </c>
      <c r="S105" s="36"/>
      <c r="T105" s="37" t="s">
        <v>62</v>
      </c>
      <c r="U105" s="36"/>
      <c r="V105" s="36"/>
      <c r="W105" s="36"/>
      <c r="X105" s="36"/>
      <c r="Y105" s="37" t="s">
        <v>62</v>
      </c>
      <c r="Z105" s="37" t="s">
        <v>62</v>
      </c>
      <c r="AA105" s="37"/>
      <c r="AB105" s="24"/>
      <c r="AC105" s="24"/>
      <c r="AD105" s="37" t="s">
        <v>62</v>
      </c>
      <c r="AE105" s="92"/>
    </row>
    <row r="106" spans="1:31" ht="22.8" x14ac:dyDescent="0.25">
      <c r="A106" s="28"/>
      <c r="B106" s="20">
        <v>30477</v>
      </c>
      <c r="C106" s="27" t="s">
        <v>64</v>
      </c>
      <c r="D106" s="3" t="s">
        <v>160</v>
      </c>
      <c r="E106" s="19" t="s">
        <v>56</v>
      </c>
      <c r="F106" s="29" t="s">
        <v>57</v>
      </c>
      <c r="G106" s="3" t="s">
        <v>11</v>
      </c>
      <c r="H106" s="19">
        <v>42520</v>
      </c>
      <c r="I106" s="3">
        <v>42</v>
      </c>
      <c r="J106" s="3" t="s">
        <v>66</v>
      </c>
      <c r="K106" s="37" t="s">
        <v>59</v>
      </c>
      <c r="L106" s="33">
        <v>44124</v>
      </c>
      <c r="M106" s="30" t="s">
        <v>67</v>
      </c>
      <c r="N106" s="33" t="s">
        <v>63</v>
      </c>
      <c r="O106" s="33">
        <v>44187</v>
      </c>
      <c r="P106" s="33"/>
      <c r="Q106" s="36"/>
      <c r="R106" s="37" t="s">
        <v>68</v>
      </c>
      <c r="S106" s="36"/>
      <c r="T106" s="37" t="s">
        <v>68</v>
      </c>
      <c r="U106" s="36"/>
      <c r="V106" s="36"/>
      <c r="W106" s="36"/>
      <c r="X106" s="36"/>
      <c r="Y106" s="37" t="s">
        <v>68</v>
      </c>
      <c r="Z106" s="37" t="s">
        <v>68</v>
      </c>
      <c r="AA106" s="37"/>
      <c r="AB106" s="24"/>
      <c r="AC106" s="24"/>
      <c r="AD106" s="37" t="s">
        <v>68</v>
      </c>
      <c r="AE106" s="92"/>
    </row>
    <row r="107" spans="1:31" ht="22.8" x14ac:dyDescent="0.25">
      <c r="A107" s="28"/>
      <c r="B107" s="20">
        <v>30477</v>
      </c>
      <c r="C107" s="27" t="s">
        <v>54</v>
      </c>
      <c r="D107" s="3" t="s">
        <v>161</v>
      </c>
      <c r="E107" s="19" t="s">
        <v>56</v>
      </c>
      <c r="F107" s="29" t="s">
        <v>57</v>
      </c>
      <c r="G107" s="3" t="s">
        <v>11</v>
      </c>
      <c r="H107" s="19">
        <v>42520</v>
      </c>
      <c r="I107" s="3">
        <v>37</v>
      </c>
      <c r="J107" s="3" t="s">
        <v>66</v>
      </c>
      <c r="K107" s="37" t="s">
        <v>59</v>
      </c>
      <c r="L107" s="33">
        <v>44124</v>
      </c>
      <c r="M107" s="30" t="s">
        <v>67</v>
      </c>
      <c r="N107" s="33" t="s">
        <v>63</v>
      </c>
      <c r="O107" s="33">
        <v>44187</v>
      </c>
      <c r="P107" s="33"/>
      <c r="Q107" s="36"/>
      <c r="R107" s="37" t="s">
        <v>62</v>
      </c>
      <c r="S107" s="36"/>
      <c r="T107" s="37" t="s">
        <v>62</v>
      </c>
      <c r="U107" s="36"/>
      <c r="V107" s="36"/>
      <c r="W107" s="36"/>
      <c r="X107" s="36"/>
      <c r="Y107" s="37" t="s">
        <v>62</v>
      </c>
      <c r="Z107" s="37" t="s">
        <v>62</v>
      </c>
      <c r="AA107" s="37"/>
      <c r="AB107" s="24"/>
      <c r="AC107" s="24"/>
      <c r="AD107" s="37" t="s">
        <v>62</v>
      </c>
      <c r="AE107" s="92"/>
    </row>
    <row r="108" spans="1:31" ht="22.8" x14ac:dyDescent="0.25">
      <c r="A108" s="28"/>
      <c r="B108" s="20">
        <v>30479</v>
      </c>
      <c r="C108" s="27" t="s">
        <v>64</v>
      </c>
      <c r="D108" s="3" t="s">
        <v>162</v>
      </c>
      <c r="E108" s="19" t="s">
        <v>56</v>
      </c>
      <c r="F108" s="29" t="s">
        <v>57</v>
      </c>
      <c r="G108" s="3" t="s">
        <v>11</v>
      </c>
      <c r="H108" s="19">
        <v>42516</v>
      </c>
      <c r="I108" s="3">
        <v>30</v>
      </c>
      <c r="J108" s="3" t="s">
        <v>66</v>
      </c>
      <c r="K108" s="37" t="s">
        <v>59</v>
      </c>
      <c r="L108" s="33">
        <v>44170</v>
      </c>
      <c r="M108" s="30" t="s">
        <v>67</v>
      </c>
      <c r="N108" s="33" t="s">
        <v>63</v>
      </c>
      <c r="O108" s="33">
        <v>44124</v>
      </c>
      <c r="P108" s="33"/>
      <c r="Q108" s="36"/>
      <c r="R108" s="37" t="s">
        <v>68</v>
      </c>
      <c r="S108" s="36"/>
      <c r="T108" s="37" t="s">
        <v>68</v>
      </c>
      <c r="U108" s="36"/>
      <c r="V108" s="36"/>
      <c r="W108" s="36"/>
      <c r="X108" s="36"/>
      <c r="Y108" s="37" t="s">
        <v>68</v>
      </c>
      <c r="Z108" s="37" t="s">
        <v>68</v>
      </c>
      <c r="AA108" s="37"/>
      <c r="AB108" s="24"/>
      <c r="AC108" s="24"/>
      <c r="AD108" s="37" t="s">
        <v>68</v>
      </c>
      <c r="AE108" s="92"/>
    </row>
    <row r="109" spans="1:31" ht="22.8" x14ac:dyDescent="0.25">
      <c r="A109" s="28"/>
      <c r="B109" s="20">
        <v>30479</v>
      </c>
      <c r="C109" s="27" t="s">
        <v>54</v>
      </c>
      <c r="D109" s="3" t="s">
        <v>163</v>
      </c>
      <c r="E109" s="19" t="s">
        <v>56</v>
      </c>
      <c r="F109" s="29" t="s">
        <v>57</v>
      </c>
      <c r="G109" s="3" t="s">
        <v>11</v>
      </c>
      <c r="H109" s="19">
        <v>42516</v>
      </c>
      <c r="I109" s="3">
        <v>29</v>
      </c>
      <c r="J109" s="3" t="s">
        <v>66</v>
      </c>
      <c r="K109" s="37" t="s">
        <v>59</v>
      </c>
      <c r="L109" s="33">
        <v>44170</v>
      </c>
      <c r="M109" s="30" t="s">
        <v>67</v>
      </c>
      <c r="N109" s="33" t="s">
        <v>63</v>
      </c>
      <c r="O109" s="33">
        <v>44124</v>
      </c>
      <c r="P109" s="33"/>
      <c r="Q109" s="36"/>
      <c r="R109" s="37" t="s">
        <v>62</v>
      </c>
      <c r="S109" s="36"/>
      <c r="T109" s="37" t="s">
        <v>62</v>
      </c>
      <c r="U109" s="36"/>
      <c r="V109" s="36"/>
      <c r="W109" s="36"/>
      <c r="X109" s="36"/>
      <c r="Y109" s="37" t="s">
        <v>62</v>
      </c>
      <c r="Z109" s="37" t="s">
        <v>62</v>
      </c>
      <c r="AA109" s="37"/>
      <c r="AB109" s="24"/>
      <c r="AC109" s="24"/>
      <c r="AD109" s="37" t="s">
        <v>62</v>
      </c>
      <c r="AE109" s="92"/>
    </row>
    <row r="110" spans="1:31" ht="22.8" x14ac:dyDescent="0.25">
      <c r="A110" s="28"/>
      <c r="B110" s="20">
        <v>30482</v>
      </c>
      <c r="C110" s="27" t="s">
        <v>64</v>
      </c>
      <c r="D110" s="3" t="s">
        <v>65</v>
      </c>
      <c r="E110" s="19" t="s">
        <v>56</v>
      </c>
      <c r="F110" s="29" t="s">
        <v>57</v>
      </c>
      <c r="G110" s="3" t="s">
        <v>11</v>
      </c>
      <c r="H110" s="19">
        <v>42570</v>
      </c>
      <c r="I110" s="3">
        <v>22</v>
      </c>
      <c r="J110" s="3" t="s">
        <v>66</v>
      </c>
      <c r="K110" s="37" t="s">
        <v>59</v>
      </c>
      <c r="L110" s="33" t="s">
        <v>63</v>
      </c>
      <c r="M110" s="30" t="s">
        <v>67</v>
      </c>
      <c r="N110" s="33" t="s">
        <v>63</v>
      </c>
      <c r="O110" s="33">
        <v>44131</v>
      </c>
      <c r="P110" s="33"/>
      <c r="Q110" s="36" t="s">
        <v>68</v>
      </c>
      <c r="R110" s="37" t="s">
        <v>68</v>
      </c>
      <c r="S110" s="36"/>
      <c r="T110" s="37" t="s">
        <v>68</v>
      </c>
      <c r="U110" s="36"/>
      <c r="V110" s="36"/>
      <c r="W110" s="36"/>
      <c r="X110" s="36"/>
      <c r="Y110" s="37" t="s">
        <v>68</v>
      </c>
      <c r="Z110" s="37" t="s">
        <v>68</v>
      </c>
      <c r="AA110" s="37"/>
      <c r="AB110" s="24"/>
      <c r="AC110" s="24"/>
      <c r="AD110" s="37" t="s">
        <v>68</v>
      </c>
      <c r="AE110" s="92"/>
    </row>
    <row r="111" spans="1:31" ht="22.8" x14ac:dyDescent="0.25">
      <c r="A111" s="28"/>
      <c r="B111" s="20">
        <v>30482</v>
      </c>
      <c r="C111" s="27" t="s">
        <v>54</v>
      </c>
      <c r="D111" s="3" t="s">
        <v>71</v>
      </c>
      <c r="E111" s="19" t="s">
        <v>56</v>
      </c>
      <c r="F111" s="29" t="s">
        <v>57</v>
      </c>
      <c r="G111" s="3" t="s">
        <v>11</v>
      </c>
      <c r="H111" s="19">
        <v>42570</v>
      </c>
      <c r="I111" s="3">
        <v>46</v>
      </c>
      <c r="J111" s="3" t="s">
        <v>66</v>
      </c>
      <c r="K111" s="37" t="s">
        <v>59</v>
      </c>
      <c r="L111" s="33" t="s">
        <v>63</v>
      </c>
      <c r="M111" s="30" t="s">
        <v>67</v>
      </c>
      <c r="N111" s="33" t="s">
        <v>63</v>
      </c>
      <c r="O111" s="33">
        <v>44131</v>
      </c>
      <c r="P111" s="33"/>
      <c r="Q111" s="36" t="s">
        <v>62</v>
      </c>
      <c r="R111" s="37" t="s">
        <v>62</v>
      </c>
      <c r="S111" s="36"/>
      <c r="T111" s="37" t="s">
        <v>62</v>
      </c>
      <c r="U111" s="36"/>
      <c r="V111" s="36"/>
      <c r="W111" s="36"/>
      <c r="X111" s="36"/>
      <c r="Y111" s="37" t="s">
        <v>62</v>
      </c>
      <c r="Z111" s="37" t="s">
        <v>62</v>
      </c>
      <c r="AA111" s="37"/>
      <c r="AB111" s="24"/>
      <c r="AC111" s="24"/>
      <c r="AD111" s="37" t="s">
        <v>62</v>
      </c>
      <c r="AE111" s="92"/>
    </row>
    <row r="112" spans="1:31" ht="22.8" x14ac:dyDescent="0.25">
      <c r="A112" s="28"/>
      <c r="B112" s="20">
        <v>30528</v>
      </c>
      <c r="C112" s="27" t="s">
        <v>64</v>
      </c>
      <c r="D112" s="3" t="s">
        <v>69</v>
      </c>
      <c r="E112" s="19" t="s">
        <v>56</v>
      </c>
      <c r="F112" s="29" t="s">
        <v>57</v>
      </c>
      <c r="G112" s="3" t="s">
        <v>11</v>
      </c>
      <c r="H112" s="19">
        <v>42849</v>
      </c>
      <c r="I112" s="3">
        <v>68</v>
      </c>
      <c r="J112" s="3" t="s">
        <v>66</v>
      </c>
      <c r="K112" s="37" t="s">
        <v>59</v>
      </c>
      <c r="L112" s="33">
        <v>44265</v>
      </c>
      <c r="M112" s="16" t="s">
        <v>60</v>
      </c>
      <c r="N112" s="33">
        <v>44265</v>
      </c>
      <c r="O112" s="33">
        <v>44133</v>
      </c>
      <c r="P112" s="33"/>
      <c r="Q112" s="36" t="s">
        <v>68</v>
      </c>
      <c r="R112" s="37" t="s">
        <v>68</v>
      </c>
      <c r="S112" s="36"/>
      <c r="T112" s="37" t="s">
        <v>68</v>
      </c>
      <c r="U112" s="36"/>
      <c r="V112" s="36"/>
      <c r="W112" s="36"/>
      <c r="X112" s="36"/>
      <c r="Y112" s="37" t="s">
        <v>68</v>
      </c>
      <c r="Z112" s="37" t="s">
        <v>68</v>
      </c>
      <c r="AA112" s="37"/>
      <c r="AB112" s="24"/>
      <c r="AC112" s="24"/>
      <c r="AD112" s="37" t="s">
        <v>68</v>
      </c>
      <c r="AE112" s="92"/>
    </row>
    <row r="113" spans="1:31" ht="22.8" x14ac:dyDescent="0.25">
      <c r="A113" s="28"/>
      <c r="B113" s="20">
        <v>30528</v>
      </c>
      <c r="C113" s="27" t="s">
        <v>54</v>
      </c>
      <c r="D113" s="3" t="s">
        <v>72</v>
      </c>
      <c r="E113" s="19" t="s">
        <v>56</v>
      </c>
      <c r="F113" s="29" t="s">
        <v>57</v>
      </c>
      <c r="G113" s="3" t="s">
        <v>11</v>
      </c>
      <c r="H113" s="19">
        <v>42849</v>
      </c>
      <c r="I113" s="3">
        <v>71</v>
      </c>
      <c r="J113" s="3" t="s">
        <v>66</v>
      </c>
      <c r="K113" s="37" t="s">
        <v>59</v>
      </c>
      <c r="L113" s="33">
        <v>44265</v>
      </c>
      <c r="M113" s="16" t="s">
        <v>60</v>
      </c>
      <c r="N113" s="33">
        <v>44265</v>
      </c>
      <c r="O113" s="33">
        <v>44133</v>
      </c>
      <c r="P113" s="33"/>
      <c r="Q113" s="36" t="s">
        <v>62</v>
      </c>
      <c r="R113" s="37" t="s">
        <v>62</v>
      </c>
      <c r="S113" s="36"/>
      <c r="T113" s="37" t="s">
        <v>62</v>
      </c>
      <c r="U113" s="36"/>
      <c r="V113" s="36"/>
      <c r="W113" s="36"/>
      <c r="X113" s="36"/>
      <c r="Y113" s="37" t="s">
        <v>62</v>
      </c>
      <c r="Z113" s="37" t="s">
        <v>62</v>
      </c>
      <c r="AA113" s="37"/>
      <c r="AB113" s="24"/>
      <c r="AC113" s="24"/>
      <c r="AD113" s="37" t="s">
        <v>62</v>
      </c>
      <c r="AE113" s="92"/>
    </row>
    <row r="114" spans="1:31" ht="22.8" x14ac:dyDescent="0.25">
      <c r="A114" s="28"/>
      <c r="B114" s="20">
        <v>30545</v>
      </c>
      <c r="C114" s="27" t="s">
        <v>64</v>
      </c>
      <c r="D114" s="3" t="s">
        <v>164</v>
      </c>
      <c r="E114" s="19" t="s">
        <v>56</v>
      </c>
      <c r="F114" s="29" t="s">
        <v>57</v>
      </c>
      <c r="G114" s="3" t="s">
        <v>11</v>
      </c>
      <c r="H114" s="19">
        <v>42886</v>
      </c>
      <c r="I114" s="3">
        <v>83</v>
      </c>
      <c r="J114" s="3" t="s">
        <v>66</v>
      </c>
      <c r="K114" s="37" t="s">
        <v>59</v>
      </c>
      <c r="L114" s="33">
        <v>44176</v>
      </c>
      <c r="M114" s="16" t="s">
        <v>60</v>
      </c>
      <c r="N114" s="33">
        <v>44196</v>
      </c>
      <c r="O114" s="33">
        <v>44091</v>
      </c>
      <c r="P114" s="33"/>
      <c r="Q114" s="36"/>
      <c r="R114" s="37" t="s">
        <v>68</v>
      </c>
      <c r="S114" s="36"/>
      <c r="T114" s="37" t="s">
        <v>68</v>
      </c>
      <c r="U114" s="36"/>
      <c r="V114" s="36"/>
      <c r="W114" s="36"/>
      <c r="X114" s="36"/>
      <c r="Y114" s="37" t="s">
        <v>68</v>
      </c>
      <c r="Z114" s="37" t="s">
        <v>68</v>
      </c>
      <c r="AA114" s="37"/>
      <c r="AB114" s="24"/>
      <c r="AC114" s="24"/>
      <c r="AD114" s="37" t="s">
        <v>68</v>
      </c>
      <c r="AE114" s="92"/>
    </row>
    <row r="115" spans="1:31" ht="22.8" x14ac:dyDescent="0.25">
      <c r="A115" s="28"/>
      <c r="B115" s="20">
        <v>30545</v>
      </c>
      <c r="C115" s="27" t="s">
        <v>54</v>
      </c>
      <c r="D115" s="3" t="s">
        <v>165</v>
      </c>
      <c r="E115" s="19" t="s">
        <v>56</v>
      </c>
      <c r="F115" s="29" t="s">
        <v>57</v>
      </c>
      <c r="G115" s="3" t="s">
        <v>11</v>
      </c>
      <c r="H115" s="19">
        <v>42886</v>
      </c>
      <c r="I115" s="3">
        <v>82</v>
      </c>
      <c r="J115" s="3" t="s">
        <v>66</v>
      </c>
      <c r="K115" s="37" t="s">
        <v>59</v>
      </c>
      <c r="L115" s="33">
        <v>44176</v>
      </c>
      <c r="M115" s="16" t="s">
        <v>60</v>
      </c>
      <c r="N115" s="33">
        <v>44196</v>
      </c>
      <c r="O115" s="33">
        <v>44091</v>
      </c>
      <c r="P115" s="33"/>
      <c r="Q115" s="36"/>
      <c r="R115" s="37" t="s">
        <v>62</v>
      </c>
      <c r="S115" s="36"/>
      <c r="T115" s="37" t="s">
        <v>62</v>
      </c>
      <c r="U115" s="36"/>
      <c r="V115" s="36"/>
      <c r="W115" s="36"/>
      <c r="X115" s="36"/>
      <c r="Y115" s="37" t="s">
        <v>62</v>
      </c>
      <c r="Z115" s="37" t="s">
        <v>62</v>
      </c>
      <c r="AA115" s="37"/>
      <c r="AB115" s="24"/>
      <c r="AC115" s="24"/>
      <c r="AD115" s="37" t="s">
        <v>62</v>
      </c>
      <c r="AE115" s="92"/>
    </row>
    <row r="116" spans="1:31" ht="22.8" x14ac:dyDescent="0.25">
      <c r="A116" s="28"/>
      <c r="B116" s="20">
        <v>30597</v>
      </c>
      <c r="C116" s="27" t="s">
        <v>64</v>
      </c>
      <c r="D116" s="3" t="s">
        <v>166</v>
      </c>
      <c r="E116" s="19" t="s">
        <v>56</v>
      </c>
      <c r="F116" s="29" t="s">
        <v>57</v>
      </c>
      <c r="G116" s="3" t="s">
        <v>11</v>
      </c>
      <c r="H116" s="19">
        <v>43053</v>
      </c>
      <c r="I116" s="3">
        <v>110</v>
      </c>
      <c r="J116" s="3" t="s">
        <v>58</v>
      </c>
      <c r="K116" s="37" t="s">
        <v>59</v>
      </c>
      <c r="L116" s="33">
        <v>44335</v>
      </c>
      <c r="M116" s="16" t="s">
        <v>60</v>
      </c>
      <c r="N116" s="33">
        <v>44335</v>
      </c>
      <c r="O116" s="33"/>
      <c r="P116" s="33"/>
      <c r="Q116" s="36"/>
      <c r="R116" s="37" t="s">
        <v>68</v>
      </c>
      <c r="S116" s="36"/>
      <c r="T116" s="37" t="s">
        <v>68</v>
      </c>
      <c r="U116" s="36"/>
      <c r="V116" s="36"/>
      <c r="W116" s="36"/>
      <c r="X116" s="36"/>
      <c r="Y116" s="36"/>
      <c r="Z116" s="36"/>
      <c r="AA116" s="36"/>
      <c r="AB116" s="24"/>
      <c r="AC116" s="24"/>
      <c r="AD116" s="37" t="s">
        <v>68</v>
      </c>
      <c r="AE116" s="62"/>
    </row>
    <row r="117" spans="1:31" ht="22.8" x14ac:dyDescent="0.25">
      <c r="A117" s="28"/>
      <c r="B117" s="20">
        <v>30597</v>
      </c>
      <c r="C117" s="27" t="s">
        <v>54</v>
      </c>
      <c r="D117" s="3" t="s">
        <v>167</v>
      </c>
      <c r="E117" s="19" t="s">
        <v>56</v>
      </c>
      <c r="F117" s="29" t="s">
        <v>57</v>
      </c>
      <c r="G117" s="3" t="s">
        <v>11</v>
      </c>
      <c r="H117" s="19">
        <v>43053</v>
      </c>
      <c r="I117" s="3">
        <v>113</v>
      </c>
      <c r="J117" s="3" t="s">
        <v>58</v>
      </c>
      <c r="K117" s="37" t="s">
        <v>59</v>
      </c>
      <c r="L117" s="33">
        <v>44335</v>
      </c>
      <c r="M117" s="16" t="s">
        <v>60</v>
      </c>
      <c r="N117" s="33">
        <v>44335</v>
      </c>
      <c r="O117" s="33"/>
      <c r="P117" s="33"/>
      <c r="Q117" s="36"/>
      <c r="R117" s="37" t="s">
        <v>62</v>
      </c>
      <c r="S117" s="36"/>
      <c r="T117" s="37" t="s">
        <v>62</v>
      </c>
      <c r="U117" s="36"/>
      <c r="V117" s="36"/>
      <c r="W117" s="36"/>
      <c r="X117" s="36"/>
      <c r="Y117" s="36"/>
      <c r="Z117" s="36"/>
      <c r="AA117" s="36"/>
      <c r="AB117" s="24"/>
      <c r="AC117" s="24"/>
      <c r="AD117" s="37" t="s">
        <v>62</v>
      </c>
      <c r="AE117" s="62"/>
    </row>
    <row r="118" spans="1:31" ht="22.8" x14ac:dyDescent="0.25">
      <c r="A118" s="28"/>
      <c r="B118" s="20">
        <v>30615</v>
      </c>
      <c r="C118" s="27" t="s">
        <v>64</v>
      </c>
      <c r="D118" s="3" t="s">
        <v>70</v>
      </c>
      <c r="E118" s="19" t="s">
        <v>56</v>
      </c>
      <c r="F118" s="29" t="s">
        <v>57</v>
      </c>
      <c r="G118" s="3" t="s">
        <v>11</v>
      </c>
      <c r="H118" s="19">
        <v>43071</v>
      </c>
      <c r="I118" s="3">
        <v>137</v>
      </c>
      <c r="J118" s="3" t="s">
        <v>58</v>
      </c>
      <c r="K118" s="37" t="s">
        <v>59</v>
      </c>
      <c r="L118" s="33">
        <v>44185</v>
      </c>
      <c r="M118" s="16" t="s">
        <v>60</v>
      </c>
      <c r="N118" s="33">
        <v>44185</v>
      </c>
      <c r="O118" s="33"/>
      <c r="P118" s="33"/>
      <c r="Q118" s="16" t="s">
        <v>68</v>
      </c>
      <c r="R118" s="37" t="s">
        <v>68</v>
      </c>
      <c r="S118" s="16"/>
      <c r="T118" s="16"/>
      <c r="U118" s="16"/>
      <c r="V118" s="16"/>
      <c r="W118" s="16"/>
      <c r="X118" s="16"/>
      <c r="Y118" s="16"/>
      <c r="Z118" s="16"/>
      <c r="AA118" s="16"/>
      <c r="AB118" s="24"/>
      <c r="AC118" s="24"/>
      <c r="AD118" s="37" t="s">
        <v>68</v>
      </c>
    </row>
    <row r="119" spans="1:31" ht="22.8" x14ac:dyDescent="0.25">
      <c r="A119" s="28"/>
      <c r="B119" s="20">
        <v>30615</v>
      </c>
      <c r="C119" s="27" t="s">
        <v>54</v>
      </c>
      <c r="D119" s="3" t="s">
        <v>73</v>
      </c>
      <c r="E119" s="19" t="s">
        <v>56</v>
      </c>
      <c r="F119" s="29" t="s">
        <v>57</v>
      </c>
      <c r="G119" s="3" t="s">
        <v>11</v>
      </c>
      <c r="H119" s="19">
        <v>43071</v>
      </c>
      <c r="I119" s="3">
        <v>157</v>
      </c>
      <c r="J119" s="3" t="s">
        <v>58</v>
      </c>
      <c r="K119" s="37" t="s">
        <v>59</v>
      </c>
      <c r="L119" s="33">
        <v>44185</v>
      </c>
      <c r="M119" s="16" t="s">
        <v>60</v>
      </c>
      <c r="N119" s="33">
        <v>44185</v>
      </c>
      <c r="O119" s="33"/>
      <c r="P119" s="33"/>
      <c r="Q119" s="16" t="s">
        <v>62</v>
      </c>
      <c r="R119" s="37" t="s">
        <v>62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24"/>
      <c r="AC119" s="24"/>
      <c r="AD119" s="37" t="s">
        <v>62</v>
      </c>
    </row>
    <row r="120" spans="1:31" ht="22.8" x14ac:dyDescent="0.25">
      <c r="A120" s="28"/>
      <c r="B120" s="20">
        <v>30749</v>
      </c>
      <c r="C120" s="27" t="s">
        <v>64</v>
      </c>
      <c r="D120" s="3" t="s">
        <v>601</v>
      </c>
      <c r="E120" s="19" t="s">
        <v>56</v>
      </c>
      <c r="F120" s="29" t="s">
        <v>57</v>
      </c>
      <c r="G120" s="3" t="s">
        <v>11</v>
      </c>
      <c r="H120" s="19">
        <v>43649</v>
      </c>
      <c r="I120" s="3">
        <v>227</v>
      </c>
      <c r="J120" s="3" t="s">
        <v>58</v>
      </c>
      <c r="K120" s="37" t="s">
        <v>59</v>
      </c>
      <c r="L120" s="33">
        <v>44215</v>
      </c>
      <c r="M120" s="16" t="s">
        <v>60</v>
      </c>
      <c r="N120" s="33">
        <v>44181</v>
      </c>
      <c r="O120" s="33"/>
      <c r="P120" s="33"/>
      <c r="Q120" s="16"/>
      <c r="R120" s="16" t="s">
        <v>68</v>
      </c>
      <c r="S120" s="16"/>
      <c r="T120" s="16" t="s">
        <v>68</v>
      </c>
      <c r="U120" s="16" t="s">
        <v>68</v>
      </c>
      <c r="V120" s="16"/>
      <c r="W120" s="16" t="s">
        <v>68</v>
      </c>
      <c r="X120" s="16"/>
      <c r="Y120" s="16"/>
      <c r="Z120" s="16"/>
      <c r="AA120" s="16"/>
      <c r="AB120" s="24"/>
      <c r="AC120" s="24"/>
      <c r="AD120" s="248"/>
    </row>
    <row r="121" spans="1:31" ht="22.8" x14ac:dyDescent="0.25">
      <c r="A121" s="28"/>
      <c r="B121" s="20">
        <v>30749</v>
      </c>
      <c r="C121" s="27" t="s">
        <v>54</v>
      </c>
      <c r="D121" s="3" t="s">
        <v>603</v>
      </c>
      <c r="E121" s="19" t="s">
        <v>56</v>
      </c>
      <c r="F121" s="29" t="s">
        <v>57</v>
      </c>
      <c r="G121" s="3" t="s">
        <v>11</v>
      </c>
      <c r="H121" s="19">
        <v>43649</v>
      </c>
      <c r="I121" s="3">
        <v>228</v>
      </c>
      <c r="J121" s="3" t="s">
        <v>58</v>
      </c>
      <c r="K121" s="37" t="s">
        <v>59</v>
      </c>
      <c r="L121" s="33">
        <v>44215</v>
      </c>
      <c r="M121" s="16" t="s">
        <v>60</v>
      </c>
      <c r="N121" s="33">
        <v>44181</v>
      </c>
      <c r="O121" s="33"/>
      <c r="P121" s="33"/>
      <c r="Q121" s="16"/>
      <c r="R121" s="16" t="s">
        <v>62</v>
      </c>
      <c r="S121" s="16"/>
      <c r="T121" s="16" t="s">
        <v>62</v>
      </c>
      <c r="U121" s="16" t="s">
        <v>62</v>
      </c>
      <c r="V121" s="16"/>
      <c r="W121" s="16" t="s">
        <v>62</v>
      </c>
      <c r="X121" s="16"/>
      <c r="Y121" s="16"/>
      <c r="Z121" s="16"/>
      <c r="AA121" s="16"/>
      <c r="AB121" s="24"/>
      <c r="AC121" s="24"/>
      <c r="AD121" s="248"/>
    </row>
    <row r="122" spans="1:31" ht="22.8" x14ac:dyDescent="0.25">
      <c r="A122" s="28"/>
      <c r="B122" s="20">
        <v>37068</v>
      </c>
      <c r="C122" s="27" t="s">
        <v>64</v>
      </c>
      <c r="D122" s="3" t="s">
        <v>169</v>
      </c>
      <c r="E122" s="19" t="s">
        <v>56</v>
      </c>
      <c r="F122" s="29" t="s">
        <v>57</v>
      </c>
      <c r="G122" s="3" t="s">
        <v>11</v>
      </c>
      <c r="H122" s="19">
        <v>43459</v>
      </c>
      <c r="I122" s="3">
        <v>255</v>
      </c>
      <c r="J122" s="3" t="s">
        <v>58</v>
      </c>
      <c r="K122" s="37" t="s">
        <v>59</v>
      </c>
      <c r="L122" s="33">
        <v>44342</v>
      </c>
      <c r="M122" s="16" t="s">
        <v>60</v>
      </c>
      <c r="N122" s="33">
        <v>44203</v>
      </c>
      <c r="O122" s="33"/>
      <c r="P122" s="33"/>
      <c r="Q122" s="36"/>
      <c r="R122" s="37" t="s">
        <v>68</v>
      </c>
      <c r="S122" s="36"/>
      <c r="T122" s="16" t="s">
        <v>68</v>
      </c>
      <c r="U122" s="37" t="s">
        <v>68</v>
      </c>
      <c r="V122" s="36"/>
      <c r="W122" s="36"/>
      <c r="X122" s="36"/>
      <c r="Y122" s="37" t="s">
        <v>68</v>
      </c>
      <c r="Z122" s="37" t="s">
        <v>68</v>
      </c>
      <c r="AA122" s="37"/>
      <c r="AB122" s="24"/>
      <c r="AC122" s="24"/>
      <c r="AD122" s="246"/>
      <c r="AE122" s="92"/>
    </row>
    <row r="123" spans="1:31" ht="22.8" x14ac:dyDescent="0.25">
      <c r="A123" s="28"/>
      <c r="B123" s="20">
        <v>37068</v>
      </c>
      <c r="C123" s="27" t="s">
        <v>54</v>
      </c>
      <c r="D123" s="3" t="s">
        <v>171</v>
      </c>
      <c r="E123" s="19" t="s">
        <v>56</v>
      </c>
      <c r="F123" s="29" t="s">
        <v>57</v>
      </c>
      <c r="G123" s="3" t="s">
        <v>11</v>
      </c>
      <c r="H123" s="19">
        <v>43459</v>
      </c>
      <c r="I123" s="3">
        <v>265</v>
      </c>
      <c r="J123" s="3" t="s">
        <v>58</v>
      </c>
      <c r="K123" s="37" t="s">
        <v>59</v>
      </c>
      <c r="L123" s="33">
        <v>44342</v>
      </c>
      <c r="M123" s="16" t="s">
        <v>60</v>
      </c>
      <c r="N123" s="33">
        <v>44203</v>
      </c>
      <c r="O123" s="33"/>
      <c r="P123" s="33"/>
      <c r="Q123" s="36"/>
      <c r="R123" s="37" t="s">
        <v>62</v>
      </c>
      <c r="S123" s="36"/>
      <c r="T123" s="16" t="s">
        <v>62</v>
      </c>
      <c r="U123" s="37" t="s">
        <v>62</v>
      </c>
      <c r="V123" s="36"/>
      <c r="W123" s="36"/>
      <c r="X123" s="36"/>
      <c r="Y123" s="37" t="s">
        <v>62</v>
      </c>
      <c r="Z123" s="37" t="s">
        <v>62</v>
      </c>
      <c r="AA123" s="37"/>
      <c r="AB123" s="24"/>
      <c r="AC123" s="24"/>
      <c r="AD123" s="246"/>
      <c r="AE123" s="92"/>
    </row>
    <row r="124" spans="1:31" ht="22.8" x14ac:dyDescent="0.25">
      <c r="A124" s="28"/>
      <c r="B124" s="20">
        <v>37069</v>
      </c>
      <c r="C124" s="27" t="s">
        <v>64</v>
      </c>
      <c r="D124" s="3" t="s">
        <v>172</v>
      </c>
      <c r="E124" s="19" t="s">
        <v>56</v>
      </c>
      <c r="F124" s="29" t="s">
        <v>57</v>
      </c>
      <c r="G124" s="3" t="s">
        <v>11</v>
      </c>
      <c r="H124" s="19">
        <v>43461</v>
      </c>
      <c r="I124" s="3">
        <v>254</v>
      </c>
      <c r="J124" s="3" t="s">
        <v>58</v>
      </c>
      <c r="K124" s="37" t="s">
        <v>59</v>
      </c>
      <c r="L124" s="33">
        <v>44270</v>
      </c>
      <c r="M124" s="16" t="s">
        <v>60</v>
      </c>
      <c r="N124" s="33">
        <v>44270</v>
      </c>
      <c r="O124" s="33"/>
      <c r="P124" s="33"/>
      <c r="Q124" s="36"/>
      <c r="R124" s="37" t="s">
        <v>68</v>
      </c>
      <c r="S124" s="36"/>
      <c r="T124" s="16" t="s">
        <v>68</v>
      </c>
      <c r="U124" s="37" t="s">
        <v>68</v>
      </c>
      <c r="V124" s="36"/>
      <c r="W124" s="36"/>
      <c r="X124" s="36"/>
      <c r="Y124" s="37" t="s">
        <v>68</v>
      </c>
      <c r="Z124" s="37" t="s">
        <v>68</v>
      </c>
      <c r="AA124" s="37"/>
      <c r="AB124" s="24"/>
      <c r="AC124" s="24"/>
      <c r="AD124" s="246"/>
      <c r="AE124" s="92"/>
    </row>
    <row r="125" spans="1:31" ht="22.8" x14ac:dyDescent="0.25">
      <c r="A125" s="28"/>
      <c r="B125" s="20">
        <v>37069</v>
      </c>
      <c r="C125" s="27" t="s">
        <v>54</v>
      </c>
      <c r="D125" s="3" t="s">
        <v>173</v>
      </c>
      <c r="E125" s="19" t="s">
        <v>56</v>
      </c>
      <c r="F125" s="29" t="s">
        <v>57</v>
      </c>
      <c r="G125" s="3" t="s">
        <v>11</v>
      </c>
      <c r="H125" s="19">
        <v>43461</v>
      </c>
      <c r="I125" s="3">
        <v>264</v>
      </c>
      <c r="J125" s="3" t="s">
        <v>58</v>
      </c>
      <c r="K125" s="37" t="s">
        <v>59</v>
      </c>
      <c r="L125" s="33">
        <v>44270</v>
      </c>
      <c r="M125" s="16" t="s">
        <v>60</v>
      </c>
      <c r="N125" s="33">
        <v>44270</v>
      </c>
      <c r="O125" s="33"/>
      <c r="P125" s="33"/>
      <c r="Q125" s="36"/>
      <c r="R125" s="37" t="s">
        <v>62</v>
      </c>
      <c r="S125" s="36"/>
      <c r="T125" s="16" t="s">
        <v>62</v>
      </c>
      <c r="U125" s="37" t="s">
        <v>62</v>
      </c>
      <c r="V125" s="36"/>
      <c r="W125" s="36"/>
      <c r="X125" s="36"/>
      <c r="Y125" s="37" t="s">
        <v>62</v>
      </c>
      <c r="Z125" s="37" t="s">
        <v>62</v>
      </c>
      <c r="AA125" s="37"/>
      <c r="AB125" s="24"/>
      <c r="AC125" s="24"/>
      <c r="AD125" s="246"/>
      <c r="AE125" s="92"/>
    </row>
    <row r="126" spans="1:31" ht="22.8" x14ac:dyDescent="0.25">
      <c r="A126" s="28"/>
      <c r="B126" s="20">
        <v>37114</v>
      </c>
      <c r="C126" s="27" t="s">
        <v>64</v>
      </c>
      <c r="D126" s="3" t="s">
        <v>174</v>
      </c>
      <c r="E126" s="19" t="s">
        <v>56</v>
      </c>
      <c r="F126" s="29" t="s">
        <v>57</v>
      </c>
      <c r="G126" s="3" t="s">
        <v>11</v>
      </c>
      <c r="H126" s="19">
        <v>43542</v>
      </c>
      <c r="I126" s="3">
        <v>317</v>
      </c>
      <c r="J126" s="3" t="s">
        <v>58</v>
      </c>
      <c r="K126" s="37" t="s">
        <v>59</v>
      </c>
      <c r="L126" s="33">
        <v>44191</v>
      </c>
      <c r="M126" s="16" t="s">
        <v>60</v>
      </c>
      <c r="N126" s="33">
        <v>44191</v>
      </c>
      <c r="O126" s="33"/>
      <c r="P126" s="33"/>
      <c r="Q126" s="36"/>
      <c r="R126" s="37" t="s">
        <v>68</v>
      </c>
      <c r="S126" s="36"/>
      <c r="T126" s="16" t="s">
        <v>68</v>
      </c>
      <c r="U126" s="16" t="s">
        <v>68</v>
      </c>
      <c r="V126" s="36"/>
      <c r="W126" s="36"/>
      <c r="X126" s="36"/>
      <c r="Y126" s="36"/>
      <c r="Z126" s="36"/>
      <c r="AA126" s="36"/>
      <c r="AB126" s="24"/>
      <c r="AC126" s="24"/>
      <c r="AD126" s="37" t="s">
        <v>68</v>
      </c>
      <c r="AE126" s="62"/>
    </row>
    <row r="127" spans="1:31" ht="22.8" x14ac:dyDescent="0.25">
      <c r="A127" s="28"/>
      <c r="B127" s="20">
        <v>37114</v>
      </c>
      <c r="C127" s="27" t="s">
        <v>54</v>
      </c>
      <c r="D127" s="3" t="s">
        <v>175</v>
      </c>
      <c r="E127" s="19" t="s">
        <v>56</v>
      </c>
      <c r="F127" s="29" t="s">
        <v>57</v>
      </c>
      <c r="G127" s="3" t="s">
        <v>11</v>
      </c>
      <c r="H127" s="19">
        <v>43542</v>
      </c>
      <c r="I127" s="3">
        <v>316</v>
      </c>
      <c r="J127" s="3" t="s">
        <v>58</v>
      </c>
      <c r="K127" s="37" t="s">
        <v>59</v>
      </c>
      <c r="L127" s="33">
        <v>44191</v>
      </c>
      <c r="M127" s="16" t="s">
        <v>60</v>
      </c>
      <c r="N127" s="33">
        <v>44191</v>
      </c>
      <c r="O127" s="33"/>
      <c r="P127" s="33"/>
      <c r="Q127" s="36"/>
      <c r="R127" s="37" t="s">
        <v>62</v>
      </c>
      <c r="S127" s="36"/>
      <c r="T127" s="16" t="s">
        <v>62</v>
      </c>
      <c r="U127" s="16" t="s">
        <v>62</v>
      </c>
      <c r="V127" s="36"/>
      <c r="W127" s="36"/>
      <c r="X127" s="36"/>
      <c r="Y127" s="36"/>
      <c r="Z127" s="36"/>
      <c r="AA127" s="36"/>
      <c r="AB127" s="24"/>
      <c r="AC127" s="24"/>
      <c r="AD127" s="37" t="s">
        <v>62</v>
      </c>
      <c r="AE127" s="62"/>
    </row>
    <row r="128" spans="1:31" ht="22.8" x14ac:dyDescent="0.25">
      <c r="A128" s="28"/>
      <c r="B128" s="20">
        <v>37143</v>
      </c>
      <c r="C128" s="27" t="s">
        <v>64</v>
      </c>
      <c r="D128" s="3" t="s">
        <v>176</v>
      </c>
      <c r="E128" s="19" t="s">
        <v>56</v>
      </c>
      <c r="F128" s="29" t="s">
        <v>57</v>
      </c>
      <c r="G128" s="3" t="s">
        <v>11</v>
      </c>
      <c r="H128" s="49">
        <v>43571</v>
      </c>
      <c r="I128" s="3">
        <v>413</v>
      </c>
      <c r="J128" s="3" t="s">
        <v>58</v>
      </c>
      <c r="K128" s="37" t="s">
        <v>59</v>
      </c>
      <c r="L128" s="33">
        <v>44180</v>
      </c>
      <c r="M128" s="16" t="s">
        <v>60</v>
      </c>
      <c r="N128" s="33">
        <v>44180</v>
      </c>
      <c r="O128" s="33"/>
      <c r="P128" s="33"/>
      <c r="Q128" s="36"/>
      <c r="R128" s="37" t="s">
        <v>68</v>
      </c>
      <c r="S128" s="36"/>
      <c r="T128" s="36"/>
      <c r="U128" s="36"/>
      <c r="V128" s="36"/>
      <c r="W128" s="36"/>
      <c r="X128" s="36"/>
      <c r="Y128" s="36"/>
      <c r="Z128" s="36"/>
      <c r="AA128" s="36"/>
      <c r="AB128" s="24"/>
      <c r="AC128" s="24"/>
      <c r="AD128" s="37" t="s">
        <v>68</v>
      </c>
      <c r="AE128" s="62"/>
    </row>
    <row r="129" spans="1:31" ht="22.8" x14ac:dyDescent="0.25">
      <c r="A129" s="28"/>
      <c r="B129" s="20">
        <v>37143</v>
      </c>
      <c r="C129" s="27" t="s">
        <v>54</v>
      </c>
      <c r="D129" s="3" t="s">
        <v>55</v>
      </c>
      <c r="E129" s="19" t="s">
        <v>56</v>
      </c>
      <c r="F129" s="29" t="s">
        <v>57</v>
      </c>
      <c r="G129" s="3" t="s">
        <v>11</v>
      </c>
      <c r="H129" s="49">
        <v>43571</v>
      </c>
      <c r="I129" s="3">
        <v>412</v>
      </c>
      <c r="J129" s="3" t="s">
        <v>58</v>
      </c>
      <c r="K129" s="37" t="s">
        <v>59</v>
      </c>
      <c r="L129" s="33">
        <v>44180</v>
      </c>
      <c r="M129" s="16" t="s">
        <v>60</v>
      </c>
      <c r="N129" s="33">
        <v>44180</v>
      </c>
      <c r="O129" s="33"/>
      <c r="P129" s="33"/>
      <c r="Q129" s="36"/>
      <c r="R129" s="37" t="s">
        <v>62</v>
      </c>
      <c r="S129" s="36"/>
      <c r="T129" s="36"/>
      <c r="U129" s="36"/>
      <c r="V129" s="36"/>
      <c r="W129" s="36"/>
      <c r="X129" s="36"/>
      <c r="Y129" s="36"/>
      <c r="Z129" s="36"/>
      <c r="AA129" s="36"/>
      <c r="AB129" s="24"/>
      <c r="AC129" s="24"/>
      <c r="AD129" s="37" t="s">
        <v>62</v>
      </c>
      <c r="AE129" s="62"/>
    </row>
    <row r="130" spans="1:31" ht="22.8" x14ac:dyDescent="0.25">
      <c r="A130" s="28"/>
      <c r="B130" s="20">
        <v>37201</v>
      </c>
      <c r="C130" s="27" t="s">
        <v>64</v>
      </c>
      <c r="D130" s="3" t="s">
        <v>177</v>
      </c>
      <c r="E130" s="19" t="s">
        <v>56</v>
      </c>
      <c r="F130" s="29" t="s">
        <v>57</v>
      </c>
      <c r="G130" s="3" t="s">
        <v>11</v>
      </c>
      <c r="H130" s="19">
        <v>43637</v>
      </c>
      <c r="I130" s="3">
        <v>470</v>
      </c>
      <c r="J130" s="3" t="s">
        <v>58</v>
      </c>
      <c r="K130" s="37" t="s">
        <v>59</v>
      </c>
      <c r="L130" s="33">
        <v>44111</v>
      </c>
      <c r="M130" s="16" t="s">
        <v>60</v>
      </c>
      <c r="N130" s="33">
        <v>44188</v>
      </c>
      <c r="O130" s="33"/>
      <c r="P130" s="33"/>
      <c r="Q130" s="36"/>
      <c r="R130" s="37" t="s">
        <v>68</v>
      </c>
      <c r="S130" s="36"/>
      <c r="T130" s="36" t="s">
        <v>68</v>
      </c>
      <c r="U130" s="36" t="s">
        <v>68</v>
      </c>
      <c r="V130" s="36"/>
      <c r="W130" s="36"/>
      <c r="X130" s="36"/>
      <c r="Y130" s="36"/>
      <c r="Z130" s="36"/>
      <c r="AA130" s="36"/>
      <c r="AB130" s="24"/>
      <c r="AC130" s="24"/>
      <c r="AD130" s="247"/>
      <c r="AE130" s="62"/>
    </row>
    <row r="131" spans="1:31" ht="22.8" x14ac:dyDescent="0.25">
      <c r="A131" s="28"/>
      <c r="B131" s="20">
        <v>37201</v>
      </c>
      <c r="C131" s="27" t="s">
        <v>54</v>
      </c>
      <c r="D131" s="3" t="s">
        <v>178</v>
      </c>
      <c r="E131" s="19" t="s">
        <v>56</v>
      </c>
      <c r="F131" s="29" t="s">
        <v>57</v>
      </c>
      <c r="G131" s="3" t="s">
        <v>11</v>
      </c>
      <c r="H131" s="19">
        <v>43637</v>
      </c>
      <c r="I131" s="3">
        <v>497</v>
      </c>
      <c r="J131" s="3" t="s">
        <v>58</v>
      </c>
      <c r="K131" s="37" t="s">
        <v>59</v>
      </c>
      <c r="L131" s="33">
        <v>44111</v>
      </c>
      <c r="M131" s="16" t="s">
        <v>60</v>
      </c>
      <c r="N131" s="33">
        <v>44188</v>
      </c>
      <c r="O131" s="33"/>
      <c r="P131" s="33"/>
      <c r="Q131" s="36"/>
      <c r="R131" s="37" t="s">
        <v>62</v>
      </c>
      <c r="S131" s="36"/>
      <c r="T131" s="36" t="s">
        <v>62</v>
      </c>
      <c r="U131" s="36" t="s">
        <v>62</v>
      </c>
      <c r="V131" s="36"/>
      <c r="W131" s="36"/>
      <c r="X131" s="36"/>
      <c r="Y131" s="36"/>
      <c r="Z131" s="36"/>
      <c r="AA131" s="36"/>
      <c r="AB131" s="24"/>
      <c r="AC131" s="24"/>
      <c r="AD131" s="247"/>
      <c r="AE131" s="62"/>
    </row>
    <row r="132" spans="1:31" ht="22.8" x14ac:dyDescent="0.25">
      <c r="A132" s="28"/>
      <c r="B132" s="20">
        <v>37203</v>
      </c>
      <c r="C132" s="27" t="s">
        <v>64</v>
      </c>
      <c r="D132" s="3" t="s">
        <v>180</v>
      </c>
      <c r="E132" s="19" t="s">
        <v>56</v>
      </c>
      <c r="F132" s="29" t="s">
        <v>57</v>
      </c>
      <c r="G132" s="3" t="s">
        <v>11</v>
      </c>
      <c r="H132" s="19">
        <v>43638</v>
      </c>
      <c r="I132" s="3">
        <v>496</v>
      </c>
      <c r="J132" s="3" t="s">
        <v>58</v>
      </c>
      <c r="K132" s="37" t="s">
        <v>59</v>
      </c>
      <c r="L132" s="33">
        <v>44291</v>
      </c>
      <c r="M132" s="16" t="s">
        <v>60</v>
      </c>
      <c r="N132" s="33">
        <v>44196</v>
      </c>
      <c r="O132" s="33"/>
      <c r="P132" s="33"/>
      <c r="Q132" s="36"/>
      <c r="R132" s="37" t="s">
        <v>68</v>
      </c>
      <c r="S132" s="36"/>
      <c r="T132" s="36" t="s">
        <v>68</v>
      </c>
      <c r="U132" s="37" t="s">
        <v>68</v>
      </c>
      <c r="V132" s="36"/>
      <c r="W132" s="36"/>
      <c r="X132" s="36"/>
      <c r="Y132" s="37" t="s">
        <v>68</v>
      </c>
      <c r="Z132" s="37" t="s">
        <v>68</v>
      </c>
      <c r="AA132" s="37"/>
      <c r="AB132" s="24"/>
      <c r="AC132" s="24"/>
      <c r="AD132" s="37" t="s">
        <v>68</v>
      </c>
      <c r="AE132" s="92"/>
    </row>
    <row r="133" spans="1:31" ht="22.8" x14ac:dyDescent="0.25">
      <c r="A133" s="28"/>
      <c r="B133" s="20">
        <v>37203</v>
      </c>
      <c r="C133" s="27" t="s">
        <v>54</v>
      </c>
      <c r="D133" s="3" t="s">
        <v>181</v>
      </c>
      <c r="E133" s="19" t="s">
        <v>56</v>
      </c>
      <c r="F133" s="29" t="s">
        <v>57</v>
      </c>
      <c r="G133" s="3" t="s">
        <v>11</v>
      </c>
      <c r="H133" s="19">
        <v>43638</v>
      </c>
      <c r="I133" s="3">
        <v>471</v>
      </c>
      <c r="J133" s="3" t="s">
        <v>58</v>
      </c>
      <c r="K133" s="37" t="s">
        <v>59</v>
      </c>
      <c r="L133" s="33">
        <v>44291</v>
      </c>
      <c r="M133" s="16" t="s">
        <v>60</v>
      </c>
      <c r="N133" s="33">
        <v>44196</v>
      </c>
      <c r="O133" s="33"/>
      <c r="P133" s="33"/>
      <c r="Q133" s="36"/>
      <c r="R133" s="37" t="s">
        <v>62</v>
      </c>
      <c r="S133" s="36"/>
      <c r="T133" s="36" t="s">
        <v>62</v>
      </c>
      <c r="U133" s="37" t="s">
        <v>62</v>
      </c>
      <c r="V133" s="36"/>
      <c r="W133" s="36"/>
      <c r="X133" s="36"/>
      <c r="Y133" s="37" t="s">
        <v>62</v>
      </c>
      <c r="Z133" s="37" t="s">
        <v>62</v>
      </c>
      <c r="AA133" s="37"/>
      <c r="AB133" s="24"/>
      <c r="AC133" s="24"/>
      <c r="AD133" s="37" t="s">
        <v>62</v>
      </c>
      <c r="AE133" s="92"/>
    </row>
    <row r="134" spans="1:31" ht="22.8" x14ac:dyDescent="0.25">
      <c r="A134" s="28"/>
      <c r="B134" s="20">
        <v>37205</v>
      </c>
      <c r="C134" s="27" t="s">
        <v>64</v>
      </c>
      <c r="D134" s="3" t="s">
        <v>182</v>
      </c>
      <c r="E134" s="19" t="s">
        <v>56</v>
      </c>
      <c r="F134" s="29" t="s">
        <v>57</v>
      </c>
      <c r="G134" s="3" t="s">
        <v>11</v>
      </c>
      <c r="H134" s="19">
        <v>43639</v>
      </c>
      <c r="I134" s="3">
        <v>502</v>
      </c>
      <c r="J134" s="3" t="s">
        <v>58</v>
      </c>
      <c r="K134" s="37" t="s">
        <v>59</v>
      </c>
      <c r="L134" s="33">
        <v>44558</v>
      </c>
      <c r="M134" s="16" t="s">
        <v>60</v>
      </c>
      <c r="N134" s="33">
        <v>44193</v>
      </c>
      <c r="O134" s="33"/>
      <c r="P134" s="33"/>
      <c r="Q134" s="36"/>
      <c r="R134" s="37" t="s">
        <v>68</v>
      </c>
      <c r="S134" s="36"/>
      <c r="T134" s="37" t="s">
        <v>68</v>
      </c>
      <c r="U134" s="37" t="s">
        <v>68</v>
      </c>
      <c r="V134" s="36"/>
      <c r="W134" s="36"/>
      <c r="X134" s="36"/>
      <c r="Y134" s="37" t="s">
        <v>68</v>
      </c>
      <c r="Z134" s="37" t="s">
        <v>68</v>
      </c>
      <c r="AA134" s="37"/>
      <c r="AB134" s="24"/>
      <c r="AC134" s="24"/>
      <c r="AD134" s="37" t="s">
        <v>68</v>
      </c>
      <c r="AE134" s="92"/>
    </row>
    <row r="135" spans="1:31" ht="22.8" x14ac:dyDescent="0.25">
      <c r="A135" s="28"/>
      <c r="B135" s="20">
        <v>37205</v>
      </c>
      <c r="C135" s="27" t="s">
        <v>54</v>
      </c>
      <c r="D135" s="3" t="s">
        <v>141</v>
      </c>
      <c r="E135" s="19" t="s">
        <v>56</v>
      </c>
      <c r="F135" s="29" t="s">
        <v>57</v>
      </c>
      <c r="G135" s="3" t="s">
        <v>11</v>
      </c>
      <c r="H135" s="19">
        <v>43639</v>
      </c>
      <c r="I135" s="3">
        <v>511</v>
      </c>
      <c r="J135" s="3" t="s">
        <v>58</v>
      </c>
      <c r="K135" s="37" t="s">
        <v>59</v>
      </c>
      <c r="L135" s="33">
        <v>44558</v>
      </c>
      <c r="M135" s="16" t="s">
        <v>60</v>
      </c>
      <c r="N135" s="33">
        <v>44193</v>
      </c>
      <c r="O135" s="33"/>
      <c r="P135" s="33"/>
      <c r="Q135" s="16" t="s">
        <v>75</v>
      </c>
      <c r="R135" s="37" t="s">
        <v>62</v>
      </c>
      <c r="S135" s="36"/>
      <c r="T135" s="37" t="s">
        <v>62</v>
      </c>
      <c r="U135" s="37" t="s">
        <v>62</v>
      </c>
      <c r="V135" s="36"/>
      <c r="W135" s="36"/>
      <c r="X135" s="36"/>
      <c r="Y135" s="37" t="s">
        <v>62</v>
      </c>
      <c r="Z135" s="37" t="s">
        <v>62</v>
      </c>
      <c r="AA135" s="37"/>
      <c r="AB135" s="24"/>
      <c r="AC135" s="24"/>
      <c r="AD135" s="37" t="s">
        <v>62</v>
      </c>
      <c r="AE135" s="92"/>
    </row>
    <row r="136" spans="1:31" ht="22.8" x14ac:dyDescent="0.25">
      <c r="A136" s="28"/>
      <c r="B136" s="20">
        <v>37207</v>
      </c>
      <c r="C136" s="27" t="s">
        <v>64</v>
      </c>
      <c r="D136" s="3" t="s">
        <v>183</v>
      </c>
      <c r="E136" s="19" t="s">
        <v>56</v>
      </c>
      <c r="F136" s="29" t="s">
        <v>57</v>
      </c>
      <c r="G136" s="3" t="s">
        <v>11</v>
      </c>
      <c r="H136" s="19">
        <v>43640</v>
      </c>
      <c r="I136" s="3">
        <v>503</v>
      </c>
      <c r="J136" s="3" t="s">
        <v>58</v>
      </c>
      <c r="K136" s="37" t="s">
        <v>59</v>
      </c>
      <c r="L136" s="33">
        <v>44217</v>
      </c>
      <c r="M136" s="16" t="s">
        <v>60</v>
      </c>
      <c r="N136" s="33">
        <v>44217</v>
      </c>
      <c r="O136" s="33"/>
      <c r="P136" s="33"/>
      <c r="Q136" s="16"/>
      <c r="R136" s="37" t="s">
        <v>68</v>
      </c>
      <c r="S136" s="16"/>
      <c r="T136" s="37" t="s">
        <v>68</v>
      </c>
      <c r="U136" s="37" t="s">
        <v>68</v>
      </c>
      <c r="V136" s="16"/>
      <c r="W136" s="16"/>
      <c r="X136" s="16"/>
      <c r="Y136" s="37" t="s">
        <v>68</v>
      </c>
      <c r="Z136" s="37" t="s">
        <v>68</v>
      </c>
      <c r="AA136" s="37"/>
      <c r="AB136" s="24"/>
      <c r="AC136" s="24"/>
      <c r="AD136" s="37" t="s">
        <v>68</v>
      </c>
      <c r="AE136" s="92"/>
    </row>
    <row r="137" spans="1:31" ht="22.8" x14ac:dyDescent="0.25">
      <c r="A137" s="28"/>
      <c r="B137" s="20">
        <v>37207</v>
      </c>
      <c r="C137" s="27" t="s">
        <v>54</v>
      </c>
      <c r="D137" s="3" t="s">
        <v>142</v>
      </c>
      <c r="E137" s="19" t="s">
        <v>56</v>
      </c>
      <c r="F137" s="29" t="s">
        <v>57</v>
      </c>
      <c r="G137" s="3" t="s">
        <v>11</v>
      </c>
      <c r="H137" s="19">
        <v>43640</v>
      </c>
      <c r="I137" s="3">
        <v>510</v>
      </c>
      <c r="J137" s="3" t="s">
        <v>58</v>
      </c>
      <c r="K137" s="37" t="s">
        <v>59</v>
      </c>
      <c r="L137" s="33">
        <v>44217</v>
      </c>
      <c r="M137" s="16" t="s">
        <v>60</v>
      </c>
      <c r="N137" s="33">
        <v>44217</v>
      </c>
      <c r="O137" s="33"/>
      <c r="P137" s="33"/>
      <c r="Q137" s="16" t="s">
        <v>75</v>
      </c>
      <c r="R137" s="16" t="s">
        <v>62</v>
      </c>
      <c r="S137" s="16"/>
      <c r="T137" s="16" t="s">
        <v>62</v>
      </c>
      <c r="U137" s="16" t="s">
        <v>62</v>
      </c>
      <c r="V137" s="16"/>
      <c r="W137" s="16"/>
      <c r="X137" s="16"/>
      <c r="Y137" s="37" t="s">
        <v>62</v>
      </c>
      <c r="Z137" s="37" t="s">
        <v>62</v>
      </c>
      <c r="AA137" s="37"/>
      <c r="AB137" s="24"/>
      <c r="AC137" s="24"/>
      <c r="AD137" s="37" t="s">
        <v>62</v>
      </c>
      <c r="AE137" s="92"/>
    </row>
    <row r="138" spans="1:31" ht="22.8" x14ac:dyDescent="0.25">
      <c r="A138" s="28"/>
      <c r="B138" s="20">
        <v>37208</v>
      </c>
      <c r="C138" s="27" t="s">
        <v>64</v>
      </c>
      <c r="D138" s="3" t="s">
        <v>185</v>
      </c>
      <c r="E138" s="19" t="s">
        <v>56</v>
      </c>
      <c r="F138" s="29" t="s">
        <v>57</v>
      </c>
      <c r="G138" s="3" t="s">
        <v>11</v>
      </c>
      <c r="H138" s="19">
        <v>43641</v>
      </c>
      <c r="I138" s="3">
        <v>499</v>
      </c>
      <c r="J138" s="3" t="s">
        <v>58</v>
      </c>
      <c r="K138" s="37" t="s">
        <v>59</v>
      </c>
      <c r="L138" s="33">
        <v>44250</v>
      </c>
      <c r="M138" s="16" t="s">
        <v>60</v>
      </c>
      <c r="N138" s="33">
        <v>44188</v>
      </c>
      <c r="O138" s="33"/>
      <c r="P138" s="33"/>
      <c r="Q138" s="36"/>
      <c r="R138" s="37" t="s">
        <v>68</v>
      </c>
      <c r="S138" s="36"/>
      <c r="T138" s="36"/>
      <c r="U138" s="36" t="s">
        <v>68</v>
      </c>
      <c r="V138" s="36"/>
      <c r="W138" s="36"/>
      <c r="X138" s="36"/>
      <c r="Y138" s="36"/>
      <c r="Z138" s="36"/>
      <c r="AA138" s="36"/>
      <c r="AB138" s="24"/>
      <c r="AC138" s="24"/>
      <c r="AD138" s="37" t="s">
        <v>68</v>
      </c>
      <c r="AE138" s="62"/>
    </row>
    <row r="139" spans="1:31" ht="22.8" x14ac:dyDescent="0.25">
      <c r="A139" s="28"/>
      <c r="B139" s="20">
        <v>37208</v>
      </c>
      <c r="C139" s="27" t="s">
        <v>54</v>
      </c>
      <c r="D139" s="20" t="s">
        <v>143</v>
      </c>
      <c r="E139" s="19" t="s">
        <v>56</v>
      </c>
      <c r="F139" s="29" t="s">
        <v>57</v>
      </c>
      <c r="G139" s="3" t="s">
        <v>11</v>
      </c>
      <c r="H139" s="19">
        <v>43641</v>
      </c>
      <c r="I139" s="3">
        <v>519</v>
      </c>
      <c r="J139" s="3" t="s">
        <v>58</v>
      </c>
      <c r="K139" s="37" t="s">
        <v>59</v>
      </c>
      <c r="L139" s="33" t="s">
        <v>63</v>
      </c>
      <c r="M139" s="16" t="s">
        <v>60</v>
      </c>
      <c r="N139" s="33">
        <v>44375</v>
      </c>
      <c r="O139" s="33"/>
      <c r="P139" s="33"/>
      <c r="Q139" s="16" t="s">
        <v>75</v>
      </c>
      <c r="R139" s="43" t="s">
        <v>62</v>
      </c>
      <c r="S139" s="16"/>
      <c r="T139" s="16"/>
      <c r="U139" s="16"/>
      <c r="V139" s="16"/>
      <c r="W139" s="16"/>
      <c r="X139" s="16"/>
      <c r="Y139" s="16"/>
      <c r="Z139" s="16"/>
      <c r="AA139" s="16"/>
      <c r="AB139" s="24"/>
      <c r="AC139" s="24"/>
      <c r="AD139" s="37" t="s">
        <v>62</v>
      </c>
    </row>
    <row r="140" spans="1:31" ht="22.8" x14ac:dyDescent="0.25">
      <c r="A140" s="28"/>
      <c r="B140" s="20">
        <v>37210</v>
      </c>
      <c r="C140" s="27" t="s">
        <v>64</v>
      </c>
      <c r="D140" s="3" t="s">
        <v>186</v>
      </c>
      <c r="E140" s="19" t="s">
        <v>56</v>
      </c>
      <c r="F140" s="29" t="s">
        <v>57</v>
      </c>
      <c r="G140" s="3" t="s">
        <v>11</v>
      </c>
      <c r="H140" s="19">
        <v>43669</v>
      </c>
      <c r="I140" s="3">
        <v>381</v>
      </c>
      <c r="J140" s="3" t="s">
        <v>58</v>
      </c>
      <c r="K140" s="37" t="s">
        <v>59</v>
      </c>
      <c r="L140" s="33">
        <v>44521</v>
      </c>
      <c r="M140" s="16" t="s">
        <v>60</v>
      </c>
      <c r="N140" s="33">
        <v>44204</v>
      </c>
      <c r="O140" s="33"/>
      <c r="P140" s="33"/>
      <c r="Q140" s="36"/>
      <c r="R140" s="37" t="s">
        <v>68</v>
      </c>
      <c r="S140" s="36"/>
      <c r="T140" s="36" t="s">
        <v>68</v>
      </c>
      <c r="U140" s="36" t="s">
        <v>68</v>
      </c>
      <c r="V140" s="36"/>
      <c r="W140" s="36"/>
      <c r="X140" s="36"/>
      <c r="Y140" s="36"/>
      <c r="Z140" s="36"/>
      <c r="AA140" s="36"/>
      <c r="AB140" s="24"/>
      <c r="AC140" s="24"/>
      <c r="AD140" s="37" t="s">
        <v>68</v>
      </c>
      <c r="AE140" s="62"/>
    </row>
    <row r="141" spans="1:31" ht="22.8" x14ac:dyDescent="0.25">
      <c r="A141" s="28"/>
      <c r="B141" s="20">
        <v>37210</v>
      </c>
      <c r="C141" s="27" t="s">
        <v>54</v>
      </c>
      <c r="D141" s="3" t="s">
        <v>144</v>
      </c>
      <c r="E141" s="19" t="s">
        <v>56</v>
      </c>
      <c r="F141" s="29" t="s">
        <v>57</v>
      </c>
      <c r="G141" s="3" t="s">
        <v>11</v>
      </c>
      <c r="H141" s="19">
        <v>43669</v>
      </c>
      <c r="I141" s="3">
        <v>514</v>
      </c>
      <c r="J141" s="3" t="s">
        <v>58</v>
      </c>
      <c r="K141" s="37" t="s">
        <v>59</v>
      </c>
      <c r="L141" s="33">
        <v>44521</v>
      </c>
      <c r="M141" s="16" t="s">
        <v>60</v>
      </c>
      <c r="N141" s="33">
        <v>44204</v>
      </c>
      <c r="O141" s="33"/>
      <c r="P141" s="33"/>
      <c r="Q141" s="16" t="s">
        <v>75</v>
      </c>
      <c r="R141" s="37" t="s">
        <v>62</v>
      </c>
      <c r="S141" s="36"/>
      <c r="T141" s="36" t="s">
        <v>62</v>
      </c>
      <c r="U141" s="36" t="s">
        <v>62</v>
      </c>
      <c r="V141" s="36"/>
      <c r="W141" s="36"/>
      <c r="X141" s="36"/>
      <c r="Y141" s="36"/>
      <c r="Z141" s="36"/>
      <c r="AA141" s="36"/>
      <c r="AB141" s="24"/>
      <c r="AC141" s="24"/>
      <c r="AD141" s="37" t="s">
        <v>62</v>
      </c>
      <c r="AE141" s="62"/>
    </row>
    <row r="142" spans="1:31" ht="22.8" x14ac:dyDescent="0.25">
      <c r="A142" s="28"/>
      <c r="B142" s="20">
        <v>37211</v>
      </c>
      <c r="C142" s="27" t="s">
        <v>64</v>
      </c>
      <c r="D142" s="3" t="s">
        <v>139</v>
      </c>
      <c r="E142" s="19" t="s">
        <v>56</v>
      </c>
      <c r="F142" s="29" t="s">
        <v>57</v>
      </c>
      <c r="G142" s="3" t="s">
        <v>11</v>
      </c>
      <c r="H142" s="19">
        <v>43669</v>
      </c>
      <c r="I142" s="3">
        <v>515</v>
      </c>
      <c r="J142" s="3" t="s">
        <v>58</v>
      </c>
      <c r="K142" s="37" t="s">
        <v>59</v>
      </c>
      <c r="L142" s="33">
        <v>44189</v>
      </c>
      <c r="M142" s="16" t="s">
        <v>60</v>
      </c>
      <c r="N142" s="33">
        <v>44189</v>
      </c>
      <c r="O142" s="33"/>
      <c r="P142" s="33"/>
      <c r="Q142" s="16" t="s">
        <v>75</v>
      </c>
      <c r="R142" s="37" t="s">
        <v>68</v>
      </c>
      <c r="S142" s="16"/>
      <c r="T142" s="16" t="s">
        <v>140</v>
      </c>
      <c r="U142" s="16" t="s">
        <v>68</v>
      </c>
      <c r="V142" s="16"/>
      <c r="W142" s="16"/>
      <c r="X142" s="16"/>
      <c r="Y142" s="37" t="s">
        <v>68</v>
      </c>
      <c r="Z142" s="37" t="s">
        <v>68</v>
      </c>
      <c r="AA142" s="37"/>
      <c r="AB142" s="24"/>
      <c r="AC142" s="24"/>
      <c r="AD142" s="37" t="s">
        <v>68</v>
      </c>
      <c r="AE142" s="92"/>
    </row>
    <row r="143" spans="1:31" ht="22.8" x14ac:dyDescent="0.25">
      <c r="A143" s="28"/>
      <c r="B143" s="20">
        <v>37211</v>
      </c>
      <c r="C143" s="27" t="s">
        <v>54</v>
      </c>
      <c r="D143" s="3" t="s">
        <v>168</v>
      </c>
      <c r="E143" s="19" t="s">
        <v>56</v>
      </c>
      <c r="F143" s="29" t="s">
        <v>57</v>
      </c>
      <c r="G143" s="3" t="s">
        <v>11</v>
      </c>
      <c r="H143" s="19">
        <v>43669</v>
      </c>
      <c r="I143" s="3">
        <v>380</v>
      </c>
      <c r="J143" s="3" t="s">
        <v>58</v>
      </c>
      <c r="K143" s="37" t="s">
        <v>59</v>
      </c>
      <c r="L143" s="33">
        <v>44189</v>
      </c>
      <c r="M143" s="16" t="s">
        <v>60</v>
      </c>
      <c r="N143" s="33">
        <v>44189</v>
      </c>
      <c r="O143" s="33"/>
      <c r="P143" s="33"/>
      <c r="Q143" s="16"/>
      <c r="R143" s="37" t="s">
        <v>62</v>
      </c>
      <c r="S143" s="16"/>
      <c r="T143" s="16" t="s">
        <v>62</v>
      </c>
      <c r="U143" s="16" t="s">
        <v>62</v>
      </c>
      <c r="V143" s="16"/>
      <c r="W143" s="16"/>
      <c r="X143" s="16"/>
      <c r="Y143" s="37" t="s">
        <v>62</v>
      </c>
      <c r="Z143" s="37" t="s">
        <v>62</v>
      </c>
      <c r="AA143" s="37"/>
      <c r="AB143" s="24"/>
      <c r="AC143" s="24"/>
      <c r="AD143" s="37" t="s">
        <v>62</v>
      </c>
      <c r="AE143" s="92"/>
    </row>
    <row r="144" spans="1:31" ht="22.8" x14ac:dyDescent="0.25">
      <c r="A144" s="28"/>
      <c r="B144" s="20">
        <v>37213</v>
      </c>
      <c r="C144" s="27" t="s">
        <v>64</v>
      </c>
      <c r="D144" s="3" t="s">
        <v>138</v>
      </c>
      <c r="E144" s="19" t="s">
        <v>56</v>
      </c>
      <c r="F144" s="29" t="s">
        <v>57</v>
      </c>
      <c r="G144" s="3" t="s">
        <v>11</v>
      </c>
      <c r="H144" s="19">
        <v>43670</v>
      </c>
      <c r="I144" s="3">
        <v>509</v>
      </c>
      <c r="J144" s="3" t="s">
        <v>58</v>
      </c>
      <c r="K144" s="37" t="s">
        <v>59</v>
      </c>
      <c r="L144" s="33">
        <v>44255</v>
      </c>
      <c r="M144" s="16" t="s">
        <v>60</v>
      </c>
      <c r="N144" s="33">
        <v>44199</v>
      </c>
      <c r="O144" s="33"/>
      <c r="P144" s="33"/>
      <c r="Q144" s="16" t="s">
        <v>75</v>
      </c>
      <c r="R144" s="16" t="s">
        <v>68</v>
      </c>
      <c r="S144" s="36"/>
      <c r="T144" s="36" t="s">
        <v>68</v>
      </c>
      <c r="U144" s="36" t="s">
        <v>68</v>
      </c>
      <c r="V144" s="36"/>
      <c r="W144" s="36"/>
      <c r="X144" s="36"/>
      <c r="Y144" s="36"/>
      <c r="Z144" s="36"/>
      <c r="AA144" s="36"/>
      <c r="AB144" s="24"/>
      <c r="AC144" s="24"/>
      <c r="AD144" s="37" t="s">
        <v>68</v>
      </c>
      <c r="AE144" s="62"/>
    </row>
    <row r="145" spans="1:31" ht="22.8" x14ac:dyDescent="0.25">
      <c r="A145" s="28"/>
      <c r="B145" s="20">
        <v>37213</v>
      </c>
      <c r="C145" s="27" t="s">
        <v>54</v>
      </c>
      <c r="D145" s="3" t="s">
        <v>157</v>
      </c>
      <c r="E145" s="19" t="s">
        <v>56</v>
      </c>
      <c r="F145" s="29" t="s">
        <v>57</v>
      </c>
      <c r="G145" s="3" t="s">
        <v>11</v>
      </c>
      <c r="H145" s="19">
        <v>43670</v>
      </c>
      <c r="I145" s="3">
        <v>492</v>
      </c>
      <c r="J145" s="3" t="s">
        <v>58</v>
      </c>
      <c r="K145" s="37" t="s">
        <v>59</v>
      </c>
      <c r="L145" s="33">
        <v>44255</v>
      </c>
      <c r="M145" s="16" t="s">
        <v>60</v>
      </c>
      <c r="N145" s="33">
        <v>44199</v>
      </c>
      <c r="O145" s="33"/>
      <c r="P145" s="33"/>
      <c r="Q145" s="36"/>
      <c r="R145" s="16" t="s">
        <v>62</v>
      </c>
      <c r="S145" s="36"/>
      <c r="T145" s="36"/>
      <c r="U145" s="36" t="s">
        <v>62</v>
      </c>
      <c r="V145" s="36"/>
      <c r="W145" s="36"/>
      <c r="X145" s="36"/>
      <c r="Y145" s="36"/>
      <c r="Z145" s="36"/>
      <c r="AA145" s="36"/>
      <c r="AB145" s="24"/>
      <c r="AC145" s="24"/>
      <c r="AD145" s="37" t="s">
        <v>62</v>
      </c>
      <c r="AE145" s="62"/>
    </row>
    <row r="146" spans="1:31" ht="22.8" x14ac:dyDescent="0.25">
      <c r="A146" s="28"/>
      <c r="B146" s="20">
        <v>37301</v>
      </c>
      <c r="C146" s="27" t="s">
        <v>64</v>
      </c>
      <c r="D146" s="3" t="s">
        <v>137</v>
      </c>
      <c r="E146" s="19" t="s">
        <v>56</v>
      </c>
      <c r="F146" s="29" t="s">
        <v>57</v>
      </c>
      <c r="G146" s="3" t="s">
        <v>11</v>
      </c>
      <c r="H146" s="19">
        <v>43815</v>
      </c>
      <c r="I146" s="3">
        <v>574</v>
      </c>
      <c r="J146" s="3" t="s">
        <v>58</v>
      </c>
      <c r="K146" s="37" t="s">
        <v>59</v>
      </c>
      <c r="L146" s="33">
        <v>44180</v>
      </c>
      <c r="M146" s="16" t="s">
        <v>60</v>
      </c>
      <c r="N146" s="33">
        <v>44180</v>
      </c>
      <c r="O146" s="33"/>
      <c r="P146" s="33"/>
      <c r="Q146" s="16" t="s">
        <v>75</v>
      </c>
      <c r="R146" s="16" t="s">
        <v>75</v>
      </c>
      <c r="S146" s="36"/>
      <c r="T146" s="36"/>
      <c r="U146" s="36" t="s">
        <v>68</v>
      </c>
      <c r="V146" s="36"/>
      <c r="W146" s="36"/>
      <c r="X146" s="36"/>
      <c r="Y146" s="36" t="s">
        <v>68</v>
      </c>
      <c r="Z146" s="36" t="s">
        <v>68</v>
      </c>
      <c r="AA146" s="36"/>
      <c r="AB146" s="24"/>
      <c r="AC146" s="24"/>
      <c r="AD146" s="37" t="s">
        <v>68</v>
      </c>
      <c r="AE146" s="62"/>
    </row>
    <row r="147" spans="1:31" ht="22.8" x14ac:dyDescent="0.25">
      <c r="A147" s="28"/>
      <c r="B147" s="20">
        <v>37301</v>
      </c>
      <c r="C147" s="27" t="s">
        <v>54</v>
      </c>
      <c r="D147" s="3" t="s">
        <v>134</v>
      </c>
      <c r="E147" s="19" t="s">
        <v>56</v>
      </c>
      <c r="F147" s="29" t="s">
        <v>57</v>
      </c>
      <c r="G147" s="3" t="s">
        <v>11</v>
      </c>
      <c r="H147" s="19">
        <v>43815</v>
      </c>
      <c r="I147" s="3">
        <v>557</v>
      </c>
      <c r="J147" s="3" t="s">
        <v>58</v>
      </c>
      <c r="K147" s="37" t="s">
        <v>59</v>
      </c>
      <c r="L147" s="33">
        <v>44180</v>
      </c>
      <c r="M147" s="16" t="s">
        <v>60</v>
      </c>
      <c r="N147" s="33">
        <v>44180</v>
      </c>
      <c r="O147" s="33"/>
      <c r="P147" s="33"/>
      <c r="Q147" s="16" t="s">
        <v>75</v>
      </c>
      <c r="R147" s="16" t="s">
        <v>75</v>
      </c>
      <c r="S147" s="36"/>
      <c r="T147" s="36"/>
      <c r="U147" s="36" t="s">
        <v>62</v>
      </c>
      <c r="V147" s="36"/>
      <c r="W147" s="36"/>
      <c r="X147" s="36"/>
      <c r="Y147" s="36" t="s">
        <v>62</v>
      </c>
      <c r="Z147" s="36" t="s">
        <v>62</v>
      </c>
      <c r="AA147" s="36"/>
      <c r="AB147" s="24"/>
      <c r="AC147" s="24"/>
      <c r="AD147" s="37" t="s">
        <v>62</v>
      </c>
      <c r="AE147" s="62"/>
    </row>
    <row r="148" spans="1:31" ht="22.8" x14ac:dyDescent="0.25">
      <c r="A148" s="29"/>
      <c r="B148" s="20">
        <v>37514</v>
      </c>
      <c r="C148" s="27" t="s">
        <v>64</v>
      </c>
      <c r="D148" s="20" t="s">
        <v>2002</v>
      </c>
      <c r="E148" s="19" t="s">
        <v>56</v>
      </c>
      <c r="F148" s="29" t="s">
        <v>57</v>
      </c>
      <c r="G148" s="3" t="s">
        <v>11</v>
      </c>
      <c r="H148" s="19">
        <v>44195</v>
      </c>
      <c r="I148" s="3">
        <v>925</v>
      </c>
      <c r="J148" s="3" t="s">
        <v>58</v>
      </c>
      <c r="K148" s="37" t="s">
        <v>59</v>
      </c>
      <c r="L148" s="16" t="s">
        <v>75</v>
      </c>
      <c r="M148" s="16" t="s">
        <v>60</v>
      </c>
      <c r="N148" s="33">
        <v>44346</v>
      </c>
      <c r="O148" s="24"/>
      <c r="P148" s="24"/>
      <c r="Q148" s="16" t="s">
        <v>75</v>
      </c>
      <c r="R148" s="16" t="s">
        <v>75</v>
      </c>
      <c r="S148" s="24"/>
      <c r="T148" s="36" t="s">
        <v>68</v>
      </c>
      <c r="U148" s="24"/>
      <c r="V148" s="24"/>
      <c r="W148" s="24"/>
      <c r="X148" s="16" t="s">
        <v>75</v>
      </c>
      <c r="Y148" s="24"/>
      <c r="Z148" s="24"/>
      <c r="AA148" s="24"/>
      <c r="AB148" s="24"/>
      <c r="AC148" s="24"/>
      <c r="AD148" s="249"/>
      <c r="AE148"/>
    </row>
    <row r="149" spans="1:31" ht="22.8" x14ac:dyDescent="0.25">
      <c r="A149" s="28"/>
      <c r="B149" s="20">
        <v>37514</v>
      </c>
      <c r="C149" s="27" t="s">
        <v>54</v>
      </c>
      <c r="D149" s="20" t="s">
        <v>2003</v>
      </c>
      <c r="E149" s="19" t="s">
        <v>56</v>
      </c>
      <c r="F149" s="29" t="s">
        <v>57</v>
      </c>
      <c r="G149" s="3" t="s">
        <v>11</v>
      </c>
      <c r="H149" s="19">
        <v>44195</v>
      </c>
      <c r="I149" s="3">
        <v>759</v>
      </c>
      <c r="J149" s="3" t="s">
        <v>58</v>
      </c>
      <c r="K149" s="37" t="s">
        <v>59</v>
      </c>
      <c r="L149" s="33">
        <v>44327</v>
      </c>
      <c r="M149" s="16" t="s">
        <v>60</v>
      </c>
      <c r="N149" s="33">
        <v>44346</v>
      </c>
      <c r="O149" s="33"/>
      <c r="P149" s="33"/>
      <c r="Q149" s="16" t="s">
        <v>75</v>
      </c>
      <c r="R149" s="16" t="s">
        <v>75</v>
      </c>
      <c r="S149" s="16"/>
      <c r="T149" s="36" t="s">
        <v>62</v>
      </c>
      <c r="U149" s="51"/>
      <c r="V149" s="16"/>
      <c r="W149" s="16"/>
      <c r="X149" s="16"/>
      <c r="Y149" s="16"/>
      <c r="Z149" s="16"/>
      <c r="AA149" s="16"/>
      <c r="AB149" s="24"/>
      <c r="AC149" s="24"/>
      <c r="AD149" s="248"/>
    </row>
    <row r="150" spans="1:31" ht="22.8" x14ac:dyDescent="0.25">
      <c r="A150" s="29"/>
      <c r="B150" s="20">
        <v>37547</v>
      </c>
      <c r="C150" s="27" t="s">
        <v>64</v>
      </c>
      <c r="D150" s="20" t="s">
        <v>2004</v>
      </c>
      <c r="E150" s="19" t="s">
        <v>56</v>
      </c>
      <c r="F150" s="29" t="s">
        <v>57</v>
      </c>
      <c r="G150" s="3" t="s">
        <v>11</v>
      </c>
      <c r="H150" s="19">
        <v>44285</v>
      </c>
      <c r="I150" s="3">
        <v>1012</v>
      </c>
      <c r="J150" s="3" t="s">
        <v>58</v>
      </c>
      <c r="K150" s="37" t="s">
        <v>59</v>
      </c>
      <c r="L150" s="16" t="s">
        <v>75</v>
      </c>
      <c r="M150" s="16" t="s">
        <v>60</v>
      </c>
      <c r="N150" s="33">
        <v>44337</v>
      </c>
      <c r="O150" s="24"/>
      <c r="P150" s="24"/>
      <c r="Q150" s="16" t="s">
        <v>75</v>
      </c>
      <c r="R150" s="16" t="s">
        <v>75</v>
      </c>
      <c r="S150" s="24"/>
      <c r="U150" s="24"/>
      <c r="V150" s="24"/>
      <c r="W150" s="24"/>
      <c r="X150" s="16" t="s">
        <v>75</v>
      </c>
      <c r="Y150" s="24"/>
      <c r="Z150" s="24"/>
      <c r="AA150" s="24"/>
      <c r="AB150" s="24"/>
      <c r="AC150" s="24"/>
      <c r="AD150" s="249"/>
      <c r="AE150"/>
    </row>
    <row r="151" spans="1:31" ht="22.8" x14ac:dyDescent="0.25">
      <c r="A151" s="29"/>
      <c r="B151" s="20">
        <v>37547</v>
      </c>
      <c r="C151" s="27" t="s">
        <v>54</v>
      </c>
      <c r="D151" s="20" t="s">
        <v>2005</v>
      </c>
      <c r="E151" s="19" t="s">
        <v>56</v>
      </c>
      <c r="F151" s="29" t="s">
        <v>57</v>
      </c>
      <c r="G151" s="3" t="s">
        <v>11</v>
      </c>
      <c r="H151" s="19">
        <v>44285</v>
      </c>
      <c r="I151" s="3">
        <v>915</v>
      </c>
      <c r="J151" s="3" t="s">
        <v>58</v>
      </c>
      <c r="K151" s="37" t="s">
        <v>59</v>
      </c>
      <c r="L151" s="16" t="s">
        <v>75</v>
      </c>
      <c r="M151" s="16" t="s">
        <v>60</v>
      </c>
      <c r="N151" s="33">
        <v>44337</v>
      </c>
      <c r="O151" s="24"/>
      <c r="P151" s="24"/>
      <c r="Q151" s="16" t="s">
        <v>75</v>
      </c>
      <c r="R151" s="16" t="s">
        <v>75</v>
      </c>
      <c r="S151" s="24"/>
      <c r="T151" s="24"/>
      <c r="U151" s="24"/>
      <c r="V151" s="24"/>
      <c r="W151" s="24"/>
      <c r="X151" s="16" t="s">
        <v>75</v>
      </c>
      <c r="Y151" s="24"/>
      <c r="Z151" s="24"/>
      <c r="AA151" s="24"/>
      <c r="AB151" s="24"/>
      <c r="AC151" s="24"/>
      <c r="AD151" s="249"/>
      <c r="AE151"/>
    </row>
    <row r="152" spans="1:31" ht="22.8" x14ac:dyDescent="0.25">
      <c r="A152" s="28"/>
      <c r="B152" s="20">
        <v>39002</v>
      </c>
      <c r="C152" s="27" t="s">
        <v>64</v>
      </c>
      <c r="D152" s="3" t="s">
        <v>155</v>
      </c>
      <c r="E152" s="19" t="s">
        <v>56</v>
      </c>
      <c r="F152" s="29" t="s">
        <v>57</v>
      </c>
      <c r="G152" s="3" t="s">
        <v>11</v>
      </c>
      <c r="H152" s="19">
        <v>43434</v>
      </c>
      <c r="I152" s="3">
        <v>206</v>
      </c>
      <c r="J152" s="3" t="s">
        <v>58</v>
      </c>
      <c r="K152" s="37" t="s">
        <v>59</v>
      </c>
      <c r="L152" s="33">
        <v>44407</v>
      </c>
      <c r="M152" s="16" t="s">
        <v>60</v>
      </c>
      <c r="N152" s="33">
        <v>44195</v>
      </c>
      <c r="O152" s="33"/>
      <c r="P152" s="33"/>
      <c r="Q152" s="36"/>
      <c r="R152" s="37" t="s">
        <v>68</v>
      </c>
      <c r="S152" s="36"/>
      <c r="T152" s="36"/>
      <c r="U152" s="36" t="s">
        <v>68</v>
      </c>
      <c r="V152" s="36"/>
      <c r="W152" s="36"/>
      <c r="X152" s="36"/>
      <c r="Y152" s="36"/>
      <c r="Z152" s="36"/>
      <c r="AA152" s="36"/>
      <c r="AB152" s="24"/>
      <c r="AC152" s="24"/>
      <c r="AD152" s="37" t="s">
        <v>68</v>
      </c>
      <c r="AE152" s="62"/>
    </row>
    <row r="153" spans="1:31" ht="22.8" x14ac:dyDescent="0.25">
      <c r="A153" s="28"/>
      <c r="B153" s="20">
        <v>39002</v>
      </c>
      <c r="C153" s="27" t="s">
        <v>54</v>
      </c>
      <c r="D153" s="3" t="s">
        <v>154</v>
      </c>
      <c r="E153" s="19" t="s">
        <v>56</v>
      </c>
      <c r="F153" s="29" t="s">
        <v>57</v>
      </c>
      <c r="G153" s="3" t="s">
        <v>11</v>
      </c>
      <c r="H153" s="19">
        <v>43434</v>
      </c>
      <c r="I153" s="3">
        <v>207</v>
      </c>
      <c r="J153" s="3" t="s">
        <v>58</v>
      </c>
      <c r="K153" s="37" t="s">
        <v>59</v>
      </c>
      <c r="L153" s="33">
        <v>44407</v>
      </c>
      <c r="M153" s="16" t="s">
        <v>60</v>
      </c>
      <c r="N153" s="33">
        <v>44185</v>
      </c>
      <c r="O153" s="33"/>
      <c r="P153" s="33"/>
      <c r="Q153" s="36"/>
      <c r="R153" s="37" t="s">
        <v>62</v>
      </c>
      <c r="S153" s="36"/>
      <c r="T153" s="36"/>
      <c r="U153" s="36" t="s">
        <v>62</v>
      </c>
      <c r="V153" s="36"/>
      <c r="W153" s="36"/>
      <c r="X153" s="36"/>
      <c r="Y153" s="36"/>
      <c r="Z153" s="36"/>
      <c r="AA153" s="36"/>
      <c r="AB153" s="24"/>
      <c r="AC153" s="24"/>
      <c r="AD153" s="37" t="s">
        <v>62</v>
      </c>
      <c r="AE153" s="62"/>
    </row>
    <row r="154" spans="1:31" ht="22.8" x14ac:dyDescent="0.25">
      <c r="A154" s="28"/>
      <c r="B154" s="20">
        <v>39081</v>
      </c>
      <c r="C154" s="27" t="s">
        <v>64</v>
      </c>
      <c r="D154" s="3" t="s">
        <v>153</v>
      </c>
      <c r="E154" s="19" t="s">
        <v>56</v>
      </c>
      <c r="F154" s="29" t="s">
        <v>57</v>
      </c>
      <c r="G154" s="3" t="s">
        <v>11</v>
      </c>
      <c r="H154" s="19">
        <v>43691</v>
      </c>
      <c r="I154" s="3">
        <v>485</v>
      </c>
      <c r="J154" s="3" t="s">
        <v>58</v>
      </c>
      <c r="K154" s="37" t="s">
        <v>59</v>
      </c>
      <c r="L154" s="33">
        <v>44161</v>
      </c>
      <c r="M154" s="16" t="s">
        <v>60</v>
      </c>
      <c r="N154" s="33">
        <v>44182</v>
      </c>
      <c r="O154" s="33"/>
      <c r="P154" s="33"/>
      <c r="Q154" s="36"/>
      <c r="R154" s="36" t="s">
        <v>68</v>
      </c>
      <c r="S154" s="36"/>
      <c r="T154" s="36"/>
      <c r="U154" s="36" t="s">
        <v>68</v>
      </c>
      <c r="V154" s="36"/>
      <c r="W154" s="36"/>
      <c r="X154" s="36"/>
      <c r="Y154" s="36" t="s">
        <v>68</v>
      </c>
      <c r="Z154" s="36" t="s">
        <v>68</v>
      </c>
      <c r="AA154" s="36"/>
      <c r="AB154" s="24"/>
      <c r="AC154" s="24"/>
      <c r="AD154" s="37" t="s">
        <v>68</v>
      </c>
      <c r="AE154" s="62"/>
    </row>
    <row r="155" spans="1:31" ht="22.8" x14ac:dyDescent="0.25">
      <c r="A155" s="28"/>
      <c r="B155" s="20">
        <v>39081</v>
      </c>
      <c r="C155" s="27" t="s">
        <v>54</v>
      </c>
      <c r="D155" s="3" t="s">
        <v>152</v>
      </c>
      <c r="E155" s="19" t="s">
        <v>56</v>
      </c>
      <c r="F155" s="29" t="s">
        <v>57</v>
      </c>
      <c r="G155" s="3" t="s">
        <v>11</v>
      </c>
      <c r="H155" s="19">
        <v>43691</v>
      </c>
      <c r="I155" s="3">
        <v>480</v>
      </c>
      <c r="J155" s="3" t="s">
        <v>58</v>
      </c>
      <c r="K155" s="37" t="s">
        <v>59</v>
      </c>
      <c r="L155" s="33">
        <v>44161</v>
      </c>
      <c r="M155" s="16" t="s">
        <v>60</v>
      </c>
      <c r="N155" s="33">
        <v>44182</v>
      </c>
      <c r="O155" s="33"/>
      <c r="P155" s="33"/>
      <c r="Q155" s="36"/>
      <c r="R155" s="36" t="s">
        <v>62</v>
      </c>
      <c r="S155" s="36"/>
      <c r="T155" s="36"/>
      <c r="U155" s="36" t="s">
        <v>62</v>
      </c>
      <c r="V155" s="36"/>
      <c r="W155" s="36"/>
      <c r="X155" s="36"/>
      <c r="Y155" s="36" t="s">
        <v>62</v>
      </c>
      <c r="Z155" s="36" t="s">
        <v>62</v>
      </c>
      <c r="AA155" s="36"/>
      <c r="AB155" s="24"/>
      <c r="AC155" s="24"/>
      <c r="AD155" s="37" t="s">
        <v>62</v>
      </c>
      <c r="AE155" s="62"/>
    </row>
    <row r="156" spans="1:31" ht="22.8" x14ac:dyDescent="0.25">
      <c r="A156" s="28"/>
      <c r="B156" s="20">
        <v>39082</v>
      </c>
      <c r="C156" s="27" t="s">
        <v>64</v>
      </c>
      <c r="D156" s="3" t="s">
        <v>150</v>
      </c>
      <c r="E156" s="19" t="s">
        <v>56</v>
      </c>
      <c r="F156" s="29" t="s">
        <v>57</v>
      </c>
      <c r="G156" s="3" t="s">
        <v>11</v>
      </c>
      <c r="H156" s="19">
        <v>43686</v>
      </c>
      <c r="I156" s="3">
        <v>488</v>
      </c>
      <c r="J156" s="3" t="s">
        <v>58</v>
      </c>
      <c r="K156" s="37" t="s">
        <v>59</v>
      </c>
      <c r="L156" s="33">
        <v>44246</v>
      </c>
      <c r="M156" s="16" t="s">
        <v>60</v>
      </c>
      <c r="N156" s="33">
        <v>44199</v>
      </c>
      <c r="O156" s="33"/>
      <c r="P156" s="33"/>
      <c r="Q156" s="36"/>
      <c r="R156" s="36" t="s">
        <v>68</v>
      </c>
      <c r="S156" s="36"/>
      <c r="T156" s="36" t="s">
        <v>68</v>
      </c>
      <c r="U156" s="36" t="s">
        <v>68</v>
      </c>
      <c r="V156" s="36"/>
      <c r="W156" s="36"/>
      <c r="X156" s="36"/>
      <c r="Y156" s="36"/>
      <c r="Z156" s="36"/>
      <c r="AA156" s="36"/>
      <c r="AB156" s="24"/>
      <c r="AC156" s="24"/>
      <c r="AD156" s="37" t="s">
        <v>68</v>
      </c>
      <c r="AE156" s="62"/>
    </row>
    <row r="157" spans="1:31" ht="22.8" x14ac:dyDescent="0.25">
      <c r="A157" s="28"/>
      <c r="B157" s="20">
        <v>39082</v>
      </c>
      <c r="C157" s="27" t="s">
        <v>54</v>
      </c>
      <c r="D157" s="3" t="s">
        <v>149</v>
      </c>
      <c r="E157" s="19" t="s">
        <v>56</v>
      </c>
      <c r="F157" s="29" t="s">
        <v>57</v>
      </c>
      <c r="G157" s="3" t="s">
        <v>11</v>
      </c>
      <c r="H157" s="19">
        <v>43686</v>
      </c>
      <c r="I157" s="3">
        <v>486</v>
      </c>
      <c r="J157" s="3" t="s">
        <v>58</v>
      </c>
      <c r="K157" s="37" t="s">
        <v>59</v>
      </c>
      <c r="L157" s="33">
        <v>44246</v>
      </c>
      <c r="M157" s="16" t="s">
        <v>60</v>
      </c>
      <c r="N157" s="33">
        <v>44199</v>
      </c>
      <c r="O157" s="33"/>
      <c r="P157" s="33"/>
      <c r="Q157" s="36"/>
      <c r="R157" s="36" t="s">
        <v>62</v>
      </c>
      <c r="S157" s="36"/>
      <c r="T157" s="36" t="s">
        <v>62</v>
      </c>
      <c r="U157" s="36" t="s">
        <v>62</v>
      </c>
      <c r="V157" s="36"/>
      <c r="W157" s="36"/>
      <c r="X157" s="36"/>
      <c r="Y157" s="36"/>
      <c r="Z157" s="36"/>
      <c r="AA157" s="36"/>
      <c r="AB157" s="24"/>
      <c r="AC157" s="24"/>
      <c r="AD157" s="37" t="s">
        <v>62</v>
      </c>
      <c r="AE157" s="62"/>
    </row>
    <row r="158" spans="1:31" ht="22.8" x14ac:dyDescent="0.25">
      <c r="A158" s="28"/>
      <c r="B158" s="20">
        <v>39119</v>
      </c>
      <c r="C158" s="27" t="s">
        <v>64</v>
      </c>
      <c r="D158" s="3" t="s">
        <v>127</v>
      </c>
      <c r="E158" s="19" t="s">
        <v>56</v>
      </c>
      <c r="F158" s="29" t="s">
        <v>57</v>
      </c>
      <c r="G158" s="3" t="s">
        <v>11</v>
      </c>
      <c r="H158" s="19">
        <v>43830</v>
      </c>
      <c r="I158" s="3">
        <v>660</v>
      </c>
      <c r="J158" s="3" t="s">
        <v>58</v>
      </c>
      <c r="K158" s="37" t="s">
        <v>59</v>
      </c>
      <c r="L158" s="33">
        <v>44256</v>
      </c>
      <c r="M158" s="16" t="s">
        <v>60</v>
      </c>
      <c r="N158" s="33">
        <v>44362</v>
      </c>
      <c r="O158" s="33"/>
      <c r="P158" s="33"/>
      <c r="Q158" s="16" t="s">
        <v>75</v>
      </c>
      <c r="R158" s="16" t="s">
        <v>75</v>
      </c>
      <c r="S158" s="36"/>
      <c r="T158" s="36"/>
      <c r="U158" s="36" t="s">
        <v>68</v>
      </c>
      <c r="V158" s="36"/>
      <c r="W158" s="36"/>
      <c r="X158" s="36"/>
      <c r="Y158" s="36"/>
      <c r="Z158" s="36"/>
      <c r="AA158" s="36"/>
      <c r="AB158" s="24"/>
      <c r="AC158" s="24"/>
      <c r="AD158" s="37" t="s">
        <v>68</v>
      </c>
      <c r="AE158" s="62"/>
    </row>
    <row r="159" spans="1:31" ht="22.8" x14ac:dyDescent="0.25">
      <c r="A159" s="28"/>
      <c r="B159" s="20">
        <v>39119</v>
      </c>
      <c r="C159" s="27" t="s">
        <v>54</v>
      </c>
      <c r="D159" s="3" t="s">
        <v>126</v>
      </c>
      <c r="E159" s="19" t="s">
        <v>56</v>
      </c>
      <c r="F159" s="29" t="s">
        <v>57</v>
      </c>
      <c r="G159" s="3" t="s">
        <v>11</v>
      </c>
      <c r="H159" s="19">
        <v>43830</v>
      </c>
      <c r="I159" s="3">
        <v>657</v>
      </c>
      <c r="J159" s="3" t="s">
        <v>58</v>
      </c>
      <c r="K159" s="37" t="s">
        <v>59</v>
      </c>
      <c r="L159" s="33">
        <v>44256</v>
      </c>
      <c r="M159" s="16" t="s">
        <v>60</v>
      </c>
      <c r="N159" s="33">
        <v>44362</v>
      </c>
      <c r="O159" s="33"/>
      <c r="P159" s="33"/>
      <c r="Q159" s="16" t="s">
        <v>75</v>
      </c>
      <c r="R159" s="16" t="s">
        <v>75</v>
      </c>
      <c r="S159" s="36"/>
      <c r="T159" s="36"/>
      <c r="U159" s="36" t="s">
        <v>62</v>
      </c>
      <c r="V159" s="36"/>
      <c r="W159" s="36"/>
      <c r="X159" s="36"/>
      <c r="Y159" s="36"/>
      <c r="Z159" s="36"/>
      <c r="AA159" s="36"/>
      <c r="AB159" s="24"/>
      <c r="AC159" s="24"/>
      <c r="AD159" s="37" t="s">
        <v>62</v>
      </c>
      <c r="AE159" s="62"/>
    </row>
    <row r="160" spans="1:31" ht="22.8" x14ac:dyDescent="0.25">
      <c r="A160" s="28"/>
      <c r="B160" s="20">
        <v>39121</v>
      </c>
      <c r="C160" s="27" t="s">
        <v>64</v>
      </c>
      <c r="D160" s="3" t="s">
        <v>125</v>
      </c>
      <c r="E160" s="19" t="s">
        <v>56</v>
      </c>
      <c r="F160" s="29" t="s">
        <v>57</v>
      </c>
      <c r="G160" s="3" t="s">
        <v>11</v>
      </c>
      <c r="H160" s="19">
        <v>43840</v>
      </c>
      <c r="I160" s="3">
        <v>670</v>
      </c>
      <c r="J160" s="3" t="s">
        <v>58</v>
      </c>
      <c r="K160" s="37" t="s">
        <v>59</v>
      </c>
      <c r="L160" s="33">
        <v>44551</v>
      </c>
      <c r="M160" s="16" t="s">
        <v>60</v>
      </c>
      <c r="N160" s="33">
        <v>44549</v>
      </c>
      <c r="O160" s="33"/>
      <c r="P160" s="33"/>
      <c r="Q160" s="16" t="s">
        <v>75</v>
      </c>
      <c r="R160" s="16" t="s">
        <v>75</v>
      </c>
      <c r="S160" s="16"/>
      <c r="T160" s="16" t="s">
        <v>68</v>
      </c>
      <c r="U160" s="16" t="s">
        <v>68</v>
      </c>
      <c r="V160" s="16"/>
      <c r="W160" s="16" t="s">
        <v>68</v>
      </c>
      <c r="X160" s="16"/>
      <c r="Y160" s="16"/>
      <c r="Z160" s="16"/>
      <c r="AA160" s="16"/>
      <c r="AB160" s="24"/>
      <c r="AC160" s="24"/>
      <c r="AD160" s="248"/>
    </row>
    <row r="161" spans="1:31" ht="22.8" x14ac:dyDescent="0.25">
      <c r="A161" s="28"/>
      <c r="B161" s="20">
        <v>39121</v>
      </c>
      <c r="C161" s="27" t="s">
        <v>54</v>
      </c>
      <c r="D161" s="3" t="s">
        <v>124</v>
      </c>
      <c r="E161" s="19" t="s">
        <v>56</v>
      </c>
      <c r="F161" s="29" t="s">
        <v>57</v>
      </c>
      <c r="G161" s="3" t="s">
        <v>11</v>
      </c>
      <c r="H161" s="19">
        <v>43840</v>
      </c>
      <c r="I161" s="3">
        <v>675</v>
      </c>
      <c r="J161" s="3" t="s">
        <v>58</v>
      </c>
      <c r="K161" s="37" t="s">
        <v>59</v>
      </c>
      <c r="L161" s="33">
        <v>44551</v>
      </c>
      <c r="M161" s="16" t="s">
        <v>60</v>
      </c>
      <c r="N161" s="33">
        <v>44549</v>
      </c>
      <c r="O161" s="33"/>
      <c r="P161" s="33"/>
      <c r="Q161" s="16" t="s">
        <v>75</v>
      </c>
      <c r="R161" s="16" t="s">
        <v>75</v>
      </c>
      <c r="S161" s="16"/>
      <c r="T161" s="16" t="s">
        <v>62</v>
      </c>
      <c r="U161" s="117" t="s">
        <v>62</v>
      </c>
      <c r="V161" s="16"/>
      <c r="W161" s="16" t="s">
        <v>62</v>
      </c>
      <c r="X161" s="16"/>
      <c r="Y161" s="16"/>
      <c r="Z161" s="16"/>
      <c r="AA161" s="16"/>
      <c r="AB161" s="24"/>
      <c r="AC161" s="24"/>
      <c r="AD161" s="248"/>
    </row>
    <row r="162" spans="1:31" ht="22.8" x14ac:dyDescent="0.25">
      <c r="A162" s="28"/>
      <c r="B162" s="20">
        <v>30277</v>
      </c>
      <c r="C162" s="27" t="s">
        <v>64</v>
      </c>
      <c r="D162" s="20" t="s">
        <v>804</v>
      </c>
      <c r="E162" s="20" t="s">
        <v>805</v>
      </c>
      <c r="F162" s="29" t="s">
        <v>806</v>
      </c>
      <c r="G162" s="29" t="s">
        <v>13</v>
      </c>
      <c r="H162" s="19">
        <v>40360</v>
      </c>
      <c r="I162" s="3">
        <v>1</v>
      </c>
      <c r="J162" s="3" t="s">
        <v>66</v>
      </c>
      <c r="K162" s="37" t="s">
        <v>59</v>
      </c>
      <c r="L162" s="31">
        <v>44154</v>
      </c>
      <c r="M162" s="30" t="s">
        <v>67</v>
      </c>
      <c r="N162" s="33" t="s">
        <v>63</v>
      </c>
      <c r="O162" s="31" t="s">
        <v>807</v>
      </c>
      <c r="P162" s="31"/>
      <c r="Q162" s="32" t="s">
        <v>68</v>
      </c>
      <c r="R162" s="32" t="s">
        <v>68</v>
      </c>
      <c r="S162" s="32" t="s">
        <v>68</v>
      </c>
      <c r="T162" s="140" t="s">
        <v>68</v>
      </c>
      <c r="U162" s="105"/>
      <c r="V162" s="141"/>
      <c r="W162" s="32"/>
      <c r="X162" s="32" t="s">
        <v>68</v>
      </c>
      <c r="Y162" s="32"/>
      <c r="Z162" s="32"/>
      <c r="AA162" s="32"/>
      <c r="AB162" s="24"/>
      <c r="AC162" s="24"/>
      <c r="AD162" s="99">
        <v>44658</v>
      </c>
      <c r="AE162" s="93"/>
    </row>
    <row r="163" spans="1:31" ht="22.8" x14ac:dyDescent="0.25">
      <c r="A163" s="28"/>
      <c r="B163" s="20">
        <v>30277</v>
      </c>
      <c r="C163" s="27" t="s">
        <v>54</v>
      </c>
      <c r="D163" s="20" t="s">
        <v>810</v>
      </c>
      <c r="E163" s="20" t="s">
        <v>805</v>
      </c>
      <c r="F163" s="29" t="s">
        <v>806</v>
      </c>
      <c r="G163" s="29" t="s">
        <v>13</v>
      </c>
      <c r="H163" s="19">
        <v>40360</v>
      </c>
      <c r="I163" s="3">
        <v>2</v>
      </c>
      <c r="J163" s="3" t="s">
        <v>66</v>
      </c>
      <c r="K163" s="37" t="s">
        <v>59</v>
      </c>
      <c r="L163" s="31">
        <v>44154</v>
      </c>
      <c r="M163" s="30" t="s">
        <v>67</v>
      </c>
      <c r="N163" s="33" t="s">
        <v>63</v>
      </c>
      <c r="O163" s="31" t="s">
        <v>807</v>
      </c>
      <c r="P163" s="31"/>
      <c r="Q163" s="32" t="s">
        <v>62</v>
      </c>
      <c r="R163" s="32" t="s">
        <v>62</v>
      </c>
      <c r="S163" s="32" t="s">
        <v>62</v>
      </c>
      <c r="T163" s="140" t="s">
        <v>62</v>
      </c>
      <c r="U163" s="105"/>
      <c r="V163" s="141"/>
      <c r="W163" s="32"/>
      <c r="X163" s="32" t="s">
        <v>62</v>
      </c>
      <c r="Y163" s="32"/>
      <c r="Z163" s="32"/>
      <c r="AA163" s="32"/>
      <c r="AB163" s="24"/>
      <c r="AC163" s="24"/>
      <c r="AD163" s="99">
        <v>44658</v>
      </c>
      <c r="AE163" s="93"/>
    </row>
    <row r="164" spans="1:31" ht="22.8" x14ac:dyDescent="0.25">
      <c r="A164" s="28"/>
      <c r="B164" s="20">
        <v>30365</v>
      </c>
      <c r="C164" s="27" t="s">
        <v>64</v>
      </c>
      <c r="D164" s="20" t="s">
        <v>811</v>
      </c>
      <c r="E164" s="20" t="s">
        <v>805</v>
      </c>
      <c r="F164" s="29" t="s">
        <v>806</v>
      </c>
      <c r="G164" s="29" t="s">
        <v>13</v>
      </c>
      <c r="H164" s="19">
        <v>41579</v>
      </c>
      <c r="I164" s="3">
        <v>4</v>
      </c>
      <c r="J164" s="3" t="s">
        <v>66</v>
      </c>
      <c r="K164" s="37" t="s">
        <v>59</v>
      </c>
      <c r="L164" s="31">
        <v>44093</v>
      </c>
      <c r="M164" s="30" t="s">
        <v>67</v>
      </c>
      <c r="N164" s="33" t="s">
        <v>63</v>
      </c>
      <c r="O164" s="31" t="s">
        <v>807</v>
      </c>
      <c r="P164" s="31"/>
      <c r="Q164" s="32" t="s">
        <v>68</v>
      </c>
      <c r="R164" s="32" t="s">
        <v>68</v>
      </c>
      <c r="S164" s="32" t="s">
        <v>68</v>
      </c>
      <c r="T164" s="32" t="s">
        <v>68</v>
      </c>
      <c r="U164" s="142"/>
      <c r="V164" s="32"/>
      <c r="W164" s="32"/>
      <c r="X164" s="32" t="s">
        <v>68</v>
      </c>
      <c r="Y164" s="32"/>
      <c r="Z164" s="32"/>
      <c r="AA164" s="32"/>
      <c r="AB164" s="24"/>
      <c r="AC164" s="24"/>
      <c r="AD164" s="99">
        <v>44599</v>
      </c>
      <c r="AE164" s="93"/>
    </row>
    <row r="165" spans="1:31" ht="22.8" x14ac:dyDescent="0.25">
      <c r="A165" s="28"/>
      <c r="B165" s="20">
        <v>30365</v>
      </c>
      <c r="C165" s="27" t="s">
        <v>54</v>
      </c>
      <c r="D165" s="20" t="s">
        <v>812</v>
      </c>
      <c r="E165" s="20" t="s">
        <v>805</v>
      </c>
      <c r="F165" s="29" t="s">
        <v>806</v>
      </c>
      <c r="G165" s="29" t="s">
        <v>13</v>
      </c>
      <c r="H165" s="19">
        <v>41579</v>
      </c>
      <c r="I165" s="3">
        <v>6</v>
      </c>
      <c r="J165" s="3" t="s">
        <v>66</v>
      </c>
      <c r="K165" s="37" t="s">
        <v>59</v>
      </c>
      <c r="L165" s="31">
        <v>44093</v>
      </c>
      <c r="M165" s="30" t="s">
        <v>67</v>
      </c>
      <c r="N165" s="33" t="s">
        <v>63</v>
      </c>
      <c r="O165" s="31" t="s">
        <v>807</v>
      </c>
      <c r="P165" s="31"/>
      <c r="Q165" s="32" t="s">
        <v>62</v>
      </c>
      <c r="R165" s="32" t="s">
        <v>62</v>
      </c>
      <c r="S165" s="32" t="s">
        <v>62</v>
      </c>
      <c r="T165" s="32" t="s">
        <v>62</v>
      </c>
      <c r="U165" s="32"/>
      <c r="V165" s="32"/>
      <c r="W165" s="32"/>
      <c r="X165" s="32" t="s">
        <v>62</v>
      </c>
      <c r="Y165" s="32"/>
      <c r="Z165" s="32"/>
      <c r="AA165" s="32"/>
      <c r="AB165" s="24"/>
      <c r="AC165" s="24"/>
      <c r="AD165" s="99">
        <v>44599</v>
      </c>
      <c r="AE165" s="93"/>
    </row>
    <row r="166" spans="1:31" ht="22.8" x14ac:dyDescent="0.25">
      <c r="A166" s="28"/>
      <c r="B166" s="20">
        <v>30406</v>
      </c>
      <c r="C166" s="27" t="s">
        <v>64</v>
      </c>
      <c r="D166" s="20" t="s">
        <v>813</v>
      </c>
      <c r="E166" s="20" t="s">
        <v>805</v>
      </c>
      <c r="F166" s="29" t="s">
        <v>806</v>
      </c>
      <c r="G166" s="29" t="s">
        <v>13</v>
      </c>
      <c r="H166" s="19">
        <v>42005</v>
      </c>
      <c r="I166" s="3">
        <v>7</v>
      </c>
      <c r="J166" s="3" t="s">
        <v>58</v>
      </c>
      <c r="K166" s="37" t="s">
        <v>59</v>
      </c>
      <c r="L166" s="31">
        <v>44081</v>
      </c>
      <c r="M166" s="30" t="s">
        <v>60</v>
      </c>
      <c r="N166" s="33" t="s">
        <v>63</v>
      </c>
      <c r="O166" s="31" t="s">
        <v>807</v>
      </c>
      <c r="P166" s="31"/>
      <c r="Q166" s="32" t="s">
        <v>68</v>
      </c>
      <c r="R166" s="32" t="s">
        <v>68</v>
      </c>
      <c r="S166" s="32" t="s">
        <v>68</v>
      </c>
      <c r="T166" s="32" t="s">
        <v>68</v>
      </c>
      <c r="U166" s="32"/>
      <c r="V166" s="32"/>
      <c r="W166" s="32"/>
      <c r="X166" s="32" t="s">
        <v>68</v>
      </c>
      <c r="Y166" s="32"/>
      <c r="Z166" s="32"/>
      <c r="AA166" s="32"/>
      <c r="AB166" s="24"/>
      <c r="AC166" s="24"/>
      <c r="AD166" s="99">
        <v>44588</v>
      </c>
      <c r="AE166" s="93"/>
    </row>
    <row r="167" spans="1:31" ht="22.8" x14ac:dyDescent="0.25">
      <c r="A167" s="28"/>
      <c r="B167" s="20">
        <v>30406</v>
      </c>
      <c r="C167" s="27" t="s">
        <v>54</v>
      </c>
      <c r="D167" s="12" t="s">
        <v>815</v>
      </c>
      <c r="E167" s="20" t="s">
        <v>805</v>
      </c>
      <c r="F167" s="29" t="s">
        <v>806</v>
      </c>
      <c r="G167" s="29" t="s">
        <v>13</v>
      </c>
      <c r="H167" s="19">
        <v>42005</v>
      </c>
      <c r="I167" s="3">
        <v>36</v>
      </c>
      <c r="J167" s="3" t="s">
        <v>66</v>
      </c>
      <c r="K167" s="37" t="s">
        <v>59</v>
      </c>
      <c r="L167" s="31">
        <v>44081</v>
      </c>
      <c r="M167" s="30" t="s">
        <v>67</v>
      </c>
      <c r="N167" s="33" t="s">
        <v>63</v>
      </c>
      <c r="O167" s="31" t="s">
        <v>807</v>
      </c>
      <c r="P167" s="31"/>
      <c r="Q167" s="32" t="s">
        <v>62</v>
      </c>
      <c r="R167" s="32" t="s">
        <v>62</v>
      </c>
      <c r="S167" s="32" t="s">
        <v>62</v>
      </c>
      <c r="T167" s="32" t="s">
        <v>62</v>
      </c>
      <c r="U167" s="32"/>
      <c r="V167" s="32"/>
      <c r="W167" s="32"/>
      <c r="X167" s="32" t="s">
        <v>62</v>
      </c>
      <c r="Y167" s="32"/>
      <c r="Z167" s="32"/>
      <c r="AA167" s="32"/>
      <c r="AB167" s="24"/>
      <c r="AC167" s="24"/>
      <c r="AD167" s="99">
        <v>44588</v>
      </c>
      <c r="AE167" s="93"/>
    </row>
    <row r="168" spans="1:31" ht="22.8" x14ac:dyDescent="0.25">
      <c r="A168" s="28"/>
      <c r="B168" s="20">
        <v>30445</v>
      </c>
      <c r="C168" s="27" t="s">
        <v>64</v>
      </c>
      <c r="D168" s="12" t="s">
        <v>816</v>
      </c>
      <c r="E168" s="20" t="s">
        <v>805</v>
      </c>
      <c r="F168" s="29" t="s">
        <v>806</v>
      </c>
      <c r="G168" s="29" t="s">
        <v>13</v>
      </c>
      <c r="H168" s="19">
        <v>42364</v>
      </c>
      <c r="I168" s="3">
        <v>8</v>
      </c>
      <c r="J168" s="3" t="s">
        <v>66</v>
      </c>
      <c r="K168" s="37" t="s">
        <v>59</v>
      </c>
      <c r="L168" s="31">
        <v>44056</v>
      </c>
      <c r="M168" s="30" t="s">
        <v>67</v>
      </c>
      <c r="N168" s="33" t="s">
        <v>63</v>
      </c>
      <c r="O168" s="31" t="s">
        <v>807</v>
      </c>
      <c r="P168" s="31"/>
      <c r="Q168" s="32" t="s">
        <v>68</v>
      </c>
      <c r="R168" s="32" t="s">
        <v>68</v>
      </c>
      <c r="S168" s="32"/>
      <c r="T168" s="32" t="s">
        <v>68</v>
      </c>
      <c r="U168" s="32" t="s">
        <v>68</v>
      </c>
      <c r="V168" s="32"/>
      <c r="W168" s="32"/>
      <c r="X168" s="32" t="s">
        <v>68</v>
      </c>
      <c r="Y168" s="32"/>
      <c r="Z168" s="32"/>
      <c r="AA168" s="32"/>
      <c r="AB168" s="24"/>
      <c r="AC168" s="24"/>
      <c r="AD168" s="99">
        <v>44599</v>
      </c>
      <c r="AE168" s="93"/>
    </row>
    <row r="169" spans="1:31" ht="22.8" x14ac:dyDescent="0.25">
      <c r="A169" s="28"/>
      <c r="B169" s="20">
        <v>30445</v>
      </c>
      <c r="C169" s="27" t="s">
        <v>54</v>
      </c>
      <c r="D169" s="12" t="s">
        <v>817</v>
      </c>
      <c r="E169" s="20" t="s">
        <v>805</v>
      </c>
      <c r="F169" s="29" t="s">
        <v>806</v>
      </c>
      <c r="G169" s="29" t="s">
        <v>13</v>
      </c>
      <c r="H169" s="19">
        <v>42364</v>
      </c>
      <c r="I169" s="3">
        <v>9</v>
      </c>
      <c r="J169" s="3" t="s">
        <v>66</v>
      </c>
      <c r="K169" s="37" t="s">
        <v>59</v>
      </c>
      <c r="L169" s="31">
        <v>44065</v>
      </c>
      <c r="M169" s="30" t="s">
        <v>67</v>
      </c>
      <c r="N169" s="33" t="s">
        <v>63</v>
      </c>
      <c r="O169" s="31" t="s">
        <v>807</v>
      </c>
      <c r="P169" s="31"/>
      <c r="Q169" s="32" t="s">
        <v>62</v>
      </c>
      <c r="R169" s="32" t="s">
        <v>62</v>
      </c>
      <c r="S169" s="32"/>
      <c r="T169" s="32" t="s">
        <v>62</v>
      </c>
      <c r="U169" s="32" t="s">
        <v>62</v>
      </c>
      <c r="V169" s="32"/>
      <c r="W169" s="32"/>
      <c r="X169" s="32" t="s">
        <v>62</v>
      </c>
      <c r="Y169" s="32"/>
      <c r="Z169" s="32"/>
      <c r="AA169" s="32"/>
      <c r="AB169" s="24"/>
      <c r="AC169" s="24"/>
      <c r="AD169" s="99">
        <v>44599</v>
      </c>
      <c r="AE169" s="93"/>
    </row>
    <row r="170" spans="1:31" ht="22.8" x14ac:dyDescent="0.25">
      <c r="A170" s="28"/>
      <c r="B170" s="20">
        <v>30446</v>
      </c>
      <c r="C170" s="27" t="s">
        <v>64</v>
      </c>
      <c r="D170" s="12" t="s">
        <v>1241</v>
      </c>
      <c r="E170" s="20" t="s">
        <v>2006</v>
      </c>
      <c r="F170" s="29" t="s">
        <v>57</v>
      </c>
      <c r="G170" s="29" t="s">
        <v>13</v>
      </c>
      <c r="H170" s="19">
        <v>42377</v>
      </c>
      <c r="I170" s="3">
        <v>12</v>
      </c>
      <c r="J170" s="3" t="s">
        <v>66</v>
      </c>
      <c r="K170" s="37" t="s">
        <v>59</v>
      </c>
      <c r="L170" s="31">
        <v>44130</v>
      </c>
      <c r="M170" s="30" t="s">
        <v>67</v>
      </c>
      <c r="N170" s="33" t="s">
        <v>63</v>
      </c>
      <c r="O170" s="31" t="s">
        <v>807</v>
      </c>
      <c r="P170" s="31"/>
      <c r="Q170" s="32" t="s">
        <v>68</v>
      </c>
      <c r="R170" s="32" t="s">
        <v>68</v>
      </c>
      <c r="S170" s="32" t="s">
        <v>68</v>
      </c>
      <c r="T170" s="32" t="s">
        <v>68</v>
      </c>
      <c r="U170" s="32" t="s">
        <v>68</v>
      </c>
      <c r="V170" s="32"/>
      <c r="W170" s="32"/>
      <c r="X170" s="32" t="s">
        <v>68</v>
      </c>
      <c r="Y170" s="32"/>
      <c r="Z170" s="32"/>
      <c r="AA170" s="32"/>
      <c r="AB170" s="24"/>
      <c r="AC170" s="24"/>
      <c r="AD170" s="32" t="s">
        <v>68</v>
      </c>
      <c r="AE170" s="93"/>
    </row>
    <row r="171" spans="1:31" ht="22.8" x14ac:dyDescent="0.25">
      <c r="A171" s="28"/>
      <c r="B171" s="20">
        <v>30446</v>
      </c>
      <c r="C171" s="27" t="s">
        <v>54</v>
      </c>
      <c r="D171" s="12" t="s">
        <v>2007</v>
      </c>
      <c r="E171" s="20" t="s">
        <v>2006</v>
      </c>
      <c r="F171" s="29" t="s">
        <v>57</v>
      </c>
      <c r="G171" s="29" t="s">
        <v>13</v>
      </c>
      <c r="H171" s="19">
        <v>42377</v>
      </c>
      <c r="I171" s="3">
        <v>13</v>
      </c>
      <c r="J171" s="3" t="s">
        <v>66</v>
      </c>
      <c r="K171" s="37" t="s">
        <v>59</v>
      </c>
      <c r="L171" s="31">
        <v>44130</v>
      </c>
      <c r="M171" s="30" t="s">
        <v>67</v>
      </c>
      <c r="N171" s="33" t="s">
        <v>63</v>
      </c>
      <c r="O171" s="31" t="s">
        <v>807</v>
      </c>
      <c r="P171" s="31"/>
      <c r="Q171" s="32" t="s">
        <v>62</v>
      </c>
      <c r="R171" s="32" t="s">
        <v>62</v>
      </c>
      <c r="S171" s="32" t="s">
        <v>62</v>
      </c>
      <c r="T171" s="32" t="s">
        <v>62</v>
      </c>
      <c r="U171" s="32" t="s">
        <v>62</v>
      </c>
      <c r="V171" s="32"/>
      <c r="W171" s="32"/>
      <c r="X171" s="32" t="s">
        <v>62</v>
      </c>
      <c r="Y171" s="32"/>
      <c r="Z171" s="32"/>
      <c r="AA171" s="32"/>
      <c r="AB171" s="24"/>
      <c r="AC171" s="24"/>
      <c r="AD171" s="32" t="s">
        <v>62</v>
      </c>
      <c r="AE171" s="93"/>
    </row>
    <row r="172" spans="1:31" ht="22.8" x14ac:dyDescent="0.25">
      <c r="A172" s="28"/>
      <c r="B172" s="20">
        <v>30453</v>
      </c>
      <c r="C172" s="27" t="s">
        <v>64</v>
      </c>
      <c r="D172" s="12" t="s">
        <v>818</v>
      </c>
      <c r="E172" s="20" t="s">
        <v>805</v>
      </c>
      <c r="F172" s="29" t="s">
        <v>806</v>
      </c>
      <c r="G172" s="29" t="s">
        <v>13</v>
      </c>
      <c r="H172" s="19">
        <v>42458</v>
      </c>
      <c r="I172" s="3">
        <v>35</v>
      </c>
      <c r="J172" s="3" t="s">
        <v>66</v>
      </c>
      <c r="K172" s="37" t="s">
        <v>59</v>
      </c>
      <c r="L172" s="31">
        <v>44104</v>
      </c>
      <c r="M172" s="30" t="s">
        <v>67</v>
      </c>
      <c r="N172" s="33" t="s">
        <v>63</v>
      </c>
      <c r="O172" s="31">
        <v>44641</v>
      </c>
      <c r="P172" s="31"/>
      <c r="Q172" s="32" t="s">
        <v>68</v>
      </c>
      <c r="R172" s="32" t="s">
        <v>68</v>
      </c>
      <c r="S172" s="32" t="s">
        <v>68</v>
      </c>
      <c r="T172" s="32" t="s">
        <v>68</v>
      </c>
      <c r="U172" s="32" t="s">
        <v>68</v>
      </c>
      <c r="V172" s="32"/>
      <c r="W172" s="32"/>
      <c r="X172" s="32" t="s">
        <v>68</v>
      </c>
      <c r="Y172" s="32"/>
      <c r="Z172" s="32"/>
      <c r="AA172" s="32"/>
      <c r="AB172" s="24"/>
      <c r="AC172" s="24"/>
      <c r="AD172" s="32" t="s">
        <v>68</v>
      </c>
      <c r="AE172" s="93"/>
    </row>
    <row r="173" spans="1:31" ht="22.8" x14ac:dyDescent="0.25">
      <c r="A173" s="28"/>
      <c r="B173" s="20">
        <v>30453</v>
      </c>
      <c r="C173" s="27" t="s">
        <v>54</v>
      </c>
      <c r="D173" s="12" t="s">
        <v>820</v>
      </c>
      <c r="E173" s="20" t="s">
        <v>805</v>
      </c>
      <c r="F173" s="29" t="s">
        <v>806</v>
      </c>
      <c r="G173" s="29" t="s">
        <v>13</v>
      </c>
      <c r="H173" s="19">
        <v>42458</v>
      </c>
      <c r="I173" s="3">
        <v>34</v>
      </c>
      <c r="J173" s="3" t="s">
        <v>66</v>
      </c>
      <c r="K173" s="37" t="s">
        <v>59</v>
      </c>
      <c r="L173" s="31">
        <v>44104</v>
      </c>
      <c r="M173" s="30" t="s">
        <v>67</v>
      </c>
      <c r="N173" s="33" t="s">
        <v>63</v>
      </c>
      <c r="O173" s="31">
        <v>44641</v>
      </c>
      <c r="P173" s="31"/>
      <c r="Q173" s="32" t="s">
        <v>62</v>
      </c>
      <c r="R173" s="32" t="s">
        <v>62</v>
      </c>
      <c r="S173" s="32" t="s">
        <v>62</v>
      </c>
      <c r="T173" s="32" t="s">
        <v>62</v>
      </c>
      <c r="U173" s="32" t="s">
        <v>62</v>
      </c>
      <c r="V173" s="32"/>
      <c r="W173" s="32"/>
      <c r="X173" s="32" t="s">
        <v>62</v>
      </c>
      <c r="Y173" s="32"/>
      <c r="Z173" s="32"/>
      <c r="AA173" s="32"/>
      <c r="AB173" s="24"/>
      <c r="AC173" s="24"/>
      <c r="AD173" s="32" t="s">
        <v>62</v>
      </c>
      <c r="AE173" s="93"/>
    </row>
    <row r="174" spans="1:31" ht="22.8" x14ac:dyDescent="0.25">
      <c r="A174" s="28"/>
      <c r="B174" s="20">
        <v>30483</v>
      </c>
      <c r="C174" s="27" t="s">
        <v>64</v>
      </c>
      <c r="D174" s="12" t="s">
        <v>821</v>
      </c>
      <c r="E174" s="20" t="s">
        <v>805</v>
      </c>
      <c r="F174" s="29" t="s">
        <v>806</v>
      </c>
      <c r="G174" s="29" t="s">
        <v>13</v>
      </c>
      <c r="H174" s="19">
        <v>42570</v>
      </c>
      <c r="I174" s="3">
        <v>38</v>
      </c>
      <c r="J174" s="3" t="s">
        <v>66</v>
      </c>
      <c r="K174" s="37" t="s">
        <v>59</v>
      </c>
      <c r="L174" s="31">
        <v>44079</v>
      </c>
      <c r="M174" s="30" t="s">
        <v>67</v>
      </c>
      <c r="N174" s="33" t="s">
        <v>63</v>
      </c>
      <c r="O174" s="31" t="s">
        <v>807</v>
      </c>
      <c r="P174" s="31"/>
      <c r="Q174" s="32" t="s">
        <v>68</v>
      </c>
      <c r="R174" s="32" t="s">
        <v>68</v>
      </c>
      <c r="S174" s="32" t="s">
        <v>68</v>
      </c>
      <c r="T174" s="32" t="s">
        <v>68</v>
      </c>
      <c r="U174" s="32"/>
      <c r="V174" s="32"/>
      <c r="W174" s="32"/>
      <c r="X174" s="32" t="s">
        <v>68</v>
      </c>
      <c r="Y174" s="32"/>
      <c r="Z174" s="32"/>
      <c r="AA174" s="32"/>
      <c r="AB174" s="24"/>
      <c r="AC174" s="24"/>
      <c r="AD174" s="99">
        <v>44643</v>
      </c>
      <c r="AE174" s="93"/>
    </row>
    <row r="175" spans="1:31" ht="22.8" x14ac:dyDescent="0.25">
      <c r="A175" s="28"/>
      <c r="B175" s="20">
        <v>30483</v>
      </c>
      <c r="C175" s="27" t="s">
        <v>54</v>
      </c>
      <c r="D175" s="12" t="s">
        <v>822</v>
      </c>
      <c r="E175" s="20" t="s">
        <v>805</v>
      </c>
      <c r="F175" s="29" t="s">
        <v>806</v>
      </c>
      <c r="G175" s="29" t="s">
        <v>13</v>
      </c>
      <c r="H175" s="19">
        <v>42570</v>
      </c>
      <c r="I175" s="3">
        <v>45</v>
      </c>
      <c r="J175" s="3" t="s">
        <v>66</v>
      </c>
      <c r="K175" s="37" t="s">
        <v>59</v>
      </c>
      <c r="L175" s="31">
        <v>44081</v>
      </c>
      <c r="M175" s="30" t="s">
        <v>67</v>
      </c>
      <c r="N175" s="33" t="s">
        <v>63</v>
      </c>
      <c r="O175" s="31" t="s">
        <v>807</v>
      </c>
      <c r="P175" s="31"/>
      <c r="Q175" s="32" t="s">
        <v>62</v>
      </c>
      <c r="R175" s="32" t="s">
        <v>62</v>
      </c>
      <c r="S175" s="32" t="s">
        <v>62</v>
      </c>
      <c r="T175" s="32" t="s">
        <v>62</v>
      </c>
      <c r="U175" s="32"/>
      <c r="V175" s="32"/>
      <c r="W175" s="32"/>
      <c r="X175" s="32" t="s">
        <v>62</v>
      </c>
      <c r="Y175" s="32"/>
      <c r="Z175" s="32"/>
      <c r="AA175" s="32"/>
      <c r="AB175" s="24"/>
      <c r="AC175" s="24"/>
      <c r="AD175" s="99">
        <v>44643</v>
      </c>
      <c r="AE175" s="93"/>
    </row>
    <row r="176" spans="1:31" ht="22.8" x14ac:dyDescent="0.25">
      <c r="A176" s="28"/>
      <c r="B176" s="20">
        <v>30600</v>
      </c>
      <c r="C176" s="27" t="s">
        <v>64</v>
      </c>
      <c r="D176" s="18" t="s">
        <v>823</v>
      </c>
      <c r="E176" s="20" t="s">
        <v>805</v>
      </c>
      <c r="F176" s="29" t="s">
        <v>806</v>
      </c>
      <c r="G176" s="29" t="s">
        <v>13</v>
      </c>
      <c r="H176" s="19">
        <v>43042</v>
      </c>
      <c r="I176" s="3">
        <v>91</v>
      </c>
      <c r="J176" s="3" t="s">
        <v>58</v>
      </c>
      <c r="K176" s="37" t="s">
        <v>59</v>
      </c>
      <c r="L176" s="33" t="s">
        <v>63</v>
      </c>
      <c r="M176" s="16" t="s">
        <v>824</v>
      </c>
      <c r="N176" s="31">
        <v>44732</v>
      </c>
      <c r="O176" s="33"/>
      <c r="P176" s="33"/>
      <c r="Q176" s="16"/>
      <c r="R176" s="43" t="s">
        <v>68</v>
      </c>
      <c r="S176" s="16" t="s">
        <v>68</v>
      </c>
      <c r="T176" s="16" t="s">
        <v>68</v>
      </c>
      <c r="U176" s="16" t="s">
        <v>68</v>
      </c>
      <c r="V176" s="16" t="s">
        <v>68</v>
      </c>
      <c r="W176" s="16" t="s">
        <v>68</v>
      </c>
      <c r="X176" s="16" t="s">
        <v>68</v>
      </c>
      <c r="Y176" s="16"/>
      <c r="Z176" s="16"/>
      <c r="AA176" s="16"/>
      <c r="AB176" s="24"/>
      <c r="AC176" s="24"/>
      <c r="AD176" s="16" t="s">
        <v>68</v>
      </c>
    </row>
    <row r="177" spans="1:31" ht="22.8" x14ac:dyDescent="0.25">
      <c r="A177" s="28"/>
      <c r="B177" s="20">
        <v>30600</v>
      </c>
      <c r="C177" s="27" t="s">
        <v>54</v>
      </c>
      <c r="D177" s="18" t="s">
        <v>826</v>
      </c>
      <c r="E177" s="20" t="s">
        <v>805</v>
      </c>
      <c r="F177" s="29" t="s">
        <v>806</v>
      </c>
      <c r="G177" s="29" t="s">
        <v>13</v>
      </c>
      <c r="H177" s="19">
        <v>43042</v>
      </c>
      <c r="I177" s="3">
        <v>90</v>
      </c>
      <c r="J177" s="3" t="s">
        <v>66</v>
      </c>
      <c r="K177" s="37" t="s">
        <v>59</v>
      </c>
      <c r="L177" s="33" t="s">
        <v>63</v>
      </c>
      <c r="M177" s="16" t="s">
        <v>60</v>
      </c>
      <c r="N177" s="31">
        <v>44732</v>
      </c>
      <c r="O177" s="33"/>
      <c r="P177" s="33"/>
      <c r="Q177" s="16"/>
      <c r="R177" s="43" t="s">
        <v>62</v>
      </c>
      <c r="S177" s="16" t="s">
        <v>62</v>
      </c>
      <c r="T177" s="16" t="s">
        <v>62</v>
      </c>
      <c r="U177" s="16" t="s">
        <v>62</v>
      </c>
      <c r="V177" s="16" t="s">
        <v>62</v>
      </c>
      <c r="W177" s="16" t="s">
        <v>62</v>
      </c>
      <c r="X177" s="16" t="s">
        <v>62</v>
      </c>
      <c r="Y177" s="16"/>
      <c r="Z177" s="16"/>
      <c r="AA177" s="16"/>
      <c r="AB177" s="24"/>
      <c r="AC177" s="24"/>
      <c r="AD177" s="16" t="s">
        <v>62</v>
      </c>
    </row>
    <row r="178" spans="1:31" ht="22.8" x14ac:dyDescent="0.25">
      <c r="A178" s="28"/>
      <c r="B178" s="20">
        <v>30626</v>
      </c>
      <c r="C178" s="27" t="s">
        <v>64</v>
      </c>
      <c r="D178" s="12" t="s">
        <v>827</v>
      </c>
      <c r="E178" s="20" t="s">
        <v>805</v>
      </c>
      <c r="F178" s="29" t="s">
        <v>806</v>
      </c>
      <c r="G178" s="29" t="s">
        <v>13</v>
      </c>
      <c r="H178" s="49">
        <v>43908</v>
      </c>
      <c r="I178" s="3">
        <v>331</v>
      </c>
      <c r="J178" s="3" t="s">
        <v>58</v>
      </c>
      <c r="K178" s="37" t="s">
        <v>59</v>
      </c>
      <c r="L178" s="31">
        <v>44062</v>
      </c>
      <c r="M178" s="30" t="s">
        <v>60</v>
      </c>
      <c r="N178" s="31"/>
      <c r="O178" s="31">
        <v>44736</v>
      </c>
      <c r="P178" s="48"/>
      <c r="Q178" s="32"/>
      <c r="R178" s="32" t="s">
        <v>68</v>
      </c>
      <c r="S178" s="32" t="s">
        <v>68</v>
      </c>
      <c r="T178" s="32" t="s">
        <v>68</v>
      </c>
      <c r="U178" s="32" t="s">
        <v>68</v>
      </c>
      <c r="V178" s="32"/>
      <c r="W178" s="32"/>
      <c r="X178" s="32" t="s">
        <v>68</v>
      </c>
      <c r="Y178" s="32"/>
      <c r="Z178" s="32"/>
      <c r="AA178" s="32"/>
      <c r="AB178" s="24"/>
      <c r="AC178" s="24"/>
      <c r="AD178" s="32" t="s">
        <v>68</v>
      </c>
      <c r="AE178" s="32" t="s">
        <v>68</v>
      </c>
    </row>
    <row r="179" spans="1:31" ht="22.8" x14ac:dyDescent="0.25">
      <c r="A179" s="28"/>
      <c r="B179" s="20">
        <v>30626</v>
      </c>
      <c r="C179" s="27" t="s">
        <v>54</v>
      </c>
      <c r="D179" s="12" t="s">
        <v>830</v>
      </c>
      <c r="E179" s="20" t="s">
        <v>805</v>
      </c>
      <c r="F179" s="29" t="s">
        <v>806</v>
      </c>
      <c r="G179" s="29" t="s">
        <v>13</v>
      </c>
      <c r="H179" s="49">
        <v>43908</v>
      </c>
      <c r="I179" s="3">
        <v>324</v>
      </c>
      <c r="J179" s="3" t="s">
        <v>58</v>
      </c>
      <c r="K179" s="37" t="s">
        <v>59</v>
      </c>
      <c r="L179" s="31">
        <v>44062</v>
      </c>
      <c r="M179" s="30" t="s">
        <v>60</v>
      </c>
      <c r="N179" s="31"/>
      <c r="O179" s="31">
        <v>44736</v>
      </c>
      <c r="P179" s="48"/>
      <c r="Q179" s="32"/>
      <c r="R179" s="32" t="s">
        <v>62</v>
      </c>
      <c r="S179" s="32" t="s">
        <v>62</v>
      </c>
      <c r="T179" s="32" t="s">
        <v>62</v>
      </c>
      <c r="U179" s="32" t="s">
        <v>62</v>
      </c>
      <c r="V179" s="32"/>
      <c r="W179" s="32"/>
      <c r="X179" s="32" t="s">
        <v>62</v>
      </c>
      <c r="Y179" s="32"/>
      <c r="Z179" s="32"/>
      <c r="AA179" s="32"/>
      <c r="AB179" s="24"/>
      <c r="AC179" s="24"/>
      <c r="AD179" s="32" t="s">
        <v>62</v>
      </c>
      <c r="AE179" s="32" t="s">
        <v>62</v>
      </c>
    </row>
    <row r="180" spans="1:31" ht="22.8" x14ac:dyDescent="0.25">
      <c r="A180" s="28"/>
      <c r="B180" s="20">
        <v>30638</v>
      </c>
      <c r="C180" s="27" t="s">
        <v>64</v>
      </c>
      <c r="D180" s="12" t="s">
        <v>831</v>
      </c>
      <c r="E180" s="20" t="s">
        <v>805</v>
      </c>
      <c r="F180" s="29" t="s">
        <v>806</v>
      </c>
      <c r="G180" s="29" t="s">
        <v>13</v>
      </c>
      <c r="H180" s="49">
        <v>44037</v>
      </c>
      <c r="I180" s="3">
        <v>348</v>
      </c>
      <c r="J180" s="3" t="s">
        <v>58</v>
      </c>
      <c r="K180" s="37" t="s">
        <v>59</v>
      </c>
      <c r="L180" s="31">
        <v>44130</v>
      </c>
      <c r="M180" s="30" t="s">
        <v>60</v>
      </c>
      <c r="N180" s="31">
        <v>44564</v>
      </c>
      <c r="O180" s="31">
        <v>44664</v>
      </c>
      <c r="P180" s="31"/>
      <c r="Q180" s="32"/>
      <c r="R180" s="32" t="s">
        <v>68</v>
      </c>
      <c r="S180" s="32" t="s">
        <v>68</v>
      </c>
      <c r="T180" s="32" t="s">
        <v>68</v>
      </c>
      <c r="U180" s="32" t="s">
        <v>68</v>
      </c>
      <c r="V180" s="32"/>
      <c r="W180" s="32" t="s">
        <v>68</v>
      </c>
      <c r="X180" s="32" t="s">
        <v>68</v>
      </c>
      <c r="Y180" s="32"/>
      <c r="Z180" s="32"/>
      <c r="AA180" s="32"/>
      <c r="AB180" s="24"/>
      <c r="AC180" s="24"/>
      <c r="AD180" s="32" t="s">
        <v>68</v>
      </c>
      <c r="AE180" s="93"/>
    </row>
    <row r="181" spans="1:31" ht="22.8" x14ac:dyDescent="0.25">
      <c r="A181" s="28"/>
      <c r="B181" s="20">
        <v>30638</v>
      </c>
      <c r="C181" s="27" t="s">
        <v>54</v>
      </c>
      <c r="D181" s="12" t="s">
        <v>832</v>
      </c>
      <c r="E181" s="20" t="s">
        <v>805</v>
      </c>
      <c r="F181" s="29" t="s">
        <v>806</v>
      </c>
      <c r="G181" s="29" t="s">
        <v>13</v>
      </c>
      <c r="H181" s="49">
        <v>44037</v>
      </c>
      <c r="I181" s="3">
        <v>325</v>
      </c>
      <c r="J181" s="3" t="s">
        <v>58</v>
      </c>
      <c r="K181" s="37" t="s">
        <v>59</v>
      </c>
      <c r="L181" s="31">
        <v>44130</v>
      </c>
      <c r="M181" s="30" t="s">
        <v>60</v>
      </c>
      <c r="N181" s="31">
        <v>44564</v>
      </c>
      <c r="O181" s="31">
        <v>44664</v>
      </c>
      <c r="P181" s="31"/>
      <c r="Q181" s="32"/>
      <c r="R181" s="32" t="s">
        <v>62</v>
      </c>
      <c r="S181" s="32" t="s">
        <v>62</v>
      </c>
      <c r="T181" s="32" t="s">
        <v>62</v>
      </c>
      <c r="U181" s="32" t="s">
        <v>62</v>
      </c>
      <c r="V181" s="32"/>
      <c r="W181" s="32" t="s">
        <v>62</v>
      </c>
      <c r="X181" s="32" t="s">
        <v>62</v>
      </c>
      <c r="Y181" s="32"/>
      <c r="Z181" s="32"/>
      <c r="AA181" s="32"/>
      <c r="AB181" s="24"/>
      <c r="AC181" s="24"/>
      <c r="AD181" s="32" t="s">
        <v>62</v>
      </c>
      <c r="AE181" s="93"/>
    </row>
    <row r="182" spans="1:31" ht="22.8" x14ac:dyDescent="0.25">
      <c r="A182" s="28"/>
      <c r="B182" s="20">
        <v>30649</v>
      </c>
      <c r="C182" s="27" t="s">
        <v>64</v>
      </c>
      <c r="D182" s="12" t="s">
        <v>834</v>
      </c>
      <c r="E182" s="20" t="s">
        <v>805</v>
      </c>
      <c r="F182" s="29" t="s">
        <v>806</v>
      </c>
      <c r="G182" s="29" t="s">
        <v>13</v>
      </c>
      <c r="H182" s="19">
        <v>43131</v>
      </c>
      <c r="I182" s="3">
        <v>163</v>
      </c>
      <c r="J182" s="3" t="s">
        <v>58</v>
      </c>
      <c r="K182" s="37" t="s">
        <v>59</v>
      </c>
      <c r="L182" s="31">
        <v>44081</v>
      </c>
      <c r="M182" s="30" t="s">
        <v>722</v>
      </c>
      <c r="N182" s="31" t="s">
        <v>294</v>
      </c>
      <c r="O182" s="48">
        <v>44687</v>
      </c>
      <c r="P182" s="48"/>
      <c r="Q182" s="32"/>
      <c r="R182" s="32" t="s">
        <v>62</v>
      </c>
      <c r="S182" s="32" t="s">
        <v>68</v>
      </c>
      <c r="T182" s="32" t="s">
        <v>68</v>
      </c>
      <c r="U182" s="32" t="s">
        <v>68</v>
      </c>
      <c r="V182" s="32"/>
      <c r="W182" s="32"/>
      <c r="X182" s="32" t="s">
        <v>62</v>
      </c>
      <c r="Y182" s="32"/>
      <c r="Z182" s="32"/>
      <c r="AA182" s="32"/>
      <c r="AB182" s="24"/>
      <c r="AC182" s="24"/>
      <c r="AD182" s="32" t="s">
        <v>68</v>
      </c>
      <c r="AE182" s="93"/>
    </row>
    <row r="183" spans="1:31" ht="22.8" x14ac:dyDescent="0.25">
      <c r="A183" s="28"/>
      <c r="B183" s="20">
        <v>30649</v>
      </c>
      <c r="C183" s="27" t="s">
        <v>54</v>
      </c>
      <c r="D183" s="12" t="s">
        <v>836</v>
      </c>
      <c r="E183" s="20" t="s">
        <v>805</v>
      </c>
      <c r="F183" s="29" t="s">
        <v>806</v>
      </c>
      <c r="G183" s="29" t="s">
        <v>13</v>
      </c>
      <c r="H183" s="19">
        <v>43131</v>
      </c>
      <c r="I183" s="3">
        <v>161</v>
      </c>
      <c r="J183" s="3" t="s">
        <v>58</v>
      </c>
      <c r="K183" s="37" t="s">
        <v>59</v>
      </c>
      <c r="L183" s="31">
        <v>44081</v>
      </c>
      <c r="M183" s="30" t="s">
        <v>722</v>
      </c>
      <c r="N183" s="31" t="s">
        <v>294</v>
      </c>
      <c r="O183" s="48">
        <v>44687</v>
      </c>
      <c r="P183" s="48"/>
      <c r="Q183" s="32"/>
      <c r="R183" s="32" t="s">
        <v>68</v>
      </c>
      <c r="S183" s="32" t="s">
        <v>62</v>
      </c>
      <c r="T183" s="32" t="s">
        <v>62</v>
      </c>
      <c r="U183" s="32" t="s">
        <v>62</v>
      </c>
      <c r="V183" s="32"/>
      <c r="W183" s="32"/>
      <c r="X183" s="32" t="s">
        <v>68</v>
      </c>
      <c r="Y183" s="32"/>
      <c r="Z183" s="32"/>
      <c r="AA183" s="32"/>
      <c r="AB183" s="24"/>
      <c r="AC183" s="24"/>
      <c r="AD183" s="32" t="s">
        <v>62</v>
      </c>
      <c r="AE183" s="93"/>
    </row>
    <row r="184" spans="1:31" ht="22.8" x14ac:dyDescent="0.25">
      <c r="A184" s="28"/>
      <c r="B184" s="20">
        <v>30662</v>
      </c>
      <c r="C184" s="27" t="s">
        <v>64</v>
      </c>
      <c r="D184" s="12" t="s">
        <v>837</v>
      </c>
      <c r="E184" s="20" t="s">
        <v>805</v>
      </c>
      <c r="F184" s="29" t="s">
        <v>806</v>
      </c>
      <c r="G184" s="29" t="s">
        <v>13</v>
      </c>
      <c r="H184" s="19">
        <v>44096</v>
      </c>
      <c r="I184" s="3">
        <v>349</v>
      </c>
      <c r="J184" s="3" t="s">
        <v>58</v>
      </c>
      <c r="K184" s="37" t="s">
        <v>59</v>
      </c>
      <c r="L184" s="31">
        <v>44101</v>
      </c>
      <c r="M184" s="30" t="s">
        <v>722</v>
      </c>
      <c r="N184" s="31" t="s">
        <v>294</v>
      </c>
      <c r="O184" s="48">
        <v>44667</v>
      </c>
      <c r="P184" s="48"/>
      <c r="Q184" s="30"/>
      <c r="R184" s="32" t="s">
        <v>68</v>
      </c>
      <c r="S184" s="32" t="s">
        <v>68</v>
      </c>
      <c r="T184" s="32" t="s">
        <v>68</v>
      </c>
      <c r="U184" s="32" t="s">
        <v>68</v>
      </c>
      <c r="V184" s="30"/>
      <c r="W184" s="30"/>
      <c r="X184" s="30"/>
      <c r="Y184" s="30"/>
      <c r="Z184" s="30"/>
      <c r="AA184" s="30"/>
      <c r="AB184" s="24"/>
      <c r="AC184" s="24"/>
      <c r="AD184" s="30"/>
      <c r="AE184" s="91"/>
    </row>
    <row r="185" spans="1:31" ht="22.8" x14ac:dyDescent="0.25">
      <c r="A185" s="28"/>
      <c r="B185" s="20">
        <v>30662</v>
      </c>
      <c r="C185" s="27" t="s">
        <v>54</v>
      </c>
      <c r="D185" s="12" t="s">
        <v>839</v>
      </c>
      <c r="E185" s="20" t="s">
        <v>805</v>
      </c>
      <c r="F185" s="29" t="s">
        <v>806</v>
      </c>
      <c r="G185" s="29" t="s">
        <v>13</v>
      </c>
      <c r="H185" s="19">
        <v>44096</v>
      </c>
      <c r="I185" s="3">
        <v>330</v>
      </c>
      <c r="J185" s="3" t="s">
        <v>58</v>
      </c>
      <c r="K185" s="37" t="s">
        <v>59</v>
      </c>
      <c r="L185" s="31">
        <v>44101</v>
      </c>
      <c r="M185" s="30" t="s">
        <v>722</v>
      </c>
      <c r="N185" s="31" t="s">
        <v>294</v>
      </c>
      <c r="O185" s="48">
        <v>44667</v>
      </c>
      <c r="P185" s="48"/>
      <c r="Q185" s="30"/>
      <c r="R185" s="32" t="s">
        <v>62</v>
      </c>
      <c r="S185" s="32" t="s">
        <v>62</v>
      </c>
      <c r="T185" s="32" t="s">
        <v>62</v>
      </c>
      <c r="U185" s="32" t="s">
        <v>62</v>
      </c>
      <c r="V185" s="30"/>
      <c r="W185" s="30"/>
      <c r="X185" s="30"/>
      <c r="Y185" s="30"/>
      <c r="Z185" s="30"/>
      <c r="AA185" s="30"/>
      <c r="AB185" s="24" t="s">
        <v>2008</v>
      </c>
      <c r="AC185" s="24"/>
      <c r="AD185" s="30"/>
      <c r="AE185" s="91"/>
    </row>
    <row r="186" spans="1:31" ht="22.8" x14ac:dyDescent="0.25">
      <c r="A186" s="28"/>
      <c r="B186" s="20">
        <v>30756</v>
      </c>
      <c r="C186" s="27" t="s">
        <v>64</v>
      </c>
      <c r="D186" s="20" t="s">
        <v>841</v>
      </c>
      <c r="E186" s="20" t="s">
        <v>828</v>
      </c>
      <c r="F186" s="29" t="s">
        <v>806</v>
      </c>
      <c r="G186" s="29" t="s">
        <v>13</v>
      </c>
      <c r="H186" s="49">
        <v>43713</v>
      </c>
      <c r="I186" s="3">
        <v>383</v>
      </c>
      <c r="J186" s="3" t="s">
        <v>58</v>
      </c>
      <c r="K186" s="37" t="s">
        <v>59</v>
      </c>
      <c r="L186" s="31">
        <v>44081</v>
      </c>
      <c r="M186" s="54"/>
      <c r="N186" s="31" t="s">
        <v>294</v>
      </c>
      <c r="O186" s="48">
        <v>44359</v>
      </c>
      <c r="P186" s="48"/>
      <c r="Q186" s="32"/>
      <c r="R186" s="32" t="s">
        <v>68</v>
      </c>
      <c r="S186" s="32" t="s">
        <v>68</v>
      </c>
      <c r="T186" s="32" t="s">
        <v>68</v>
      </c>
      <c r="U186" s="32" t="s">
        <v>68</v>
      </c>
      <c r="V186" s="32"/>
      <c r="W186" s="32" t="s">
        <v>68</v>
      </c>
      <c r="X186" s="32" t="s">
        <v>68</v>
      </c>
      <c r="Y186" s="32"/>
      <c r="Z186" s="32"/>
      <c r="AA186" s="32"/>
      <c r="AB186" s="24"/>
      <c r="AC186" s="24"/>
      <c r="AD186" s="99">
        <v>44599</v>
      </c>
      <c r="AE186" s="93"/>
    </row>
    <row r="187" spans="1:31" x14ac:dyDescent="0.25">
      <c r="A187" s="28"/>
      <c r="B187" s="20">
        <v>30756</v>
      </c>
      <c r="C187" s="27" t="s">
        <v>54</v>
      </c>
      <c r="D187" s="20" t="s">
        <v>844</v>
      </c>
      <c r="E187" s="20" t="s">
        <v>828</v>
      </c>
      <c r="F187" s="29" t="s">
        <v>806</v>
      </c>
      <c r="G187" s="29" t="s">
        <v>13</v>
      </c>
      <c r="H187" s="19">
        <v>43713</v>
      </c>
      <c r="I187" s="3">
        <v>382</v>
      </c>
      <c r="J187" s="3" t="s">
        <v>58</v>
      </c>
      <c r="K187" s="30" t="s">
        <v>680</v>
      </c>
      <c r="L187" s="31">
        <v>44081</v>
      </c>
      <c r="M187" s="30" t="s">
        <v>60</v>
      </c>
      <c r="N187" s="31" t="s">
        <v>294</v>
      </c>
      <c r="O187" s="33">
        <v>44359</v>
      </c>
      <c r="P187" s="33"/>
      <c r="Q187" s="36"/>
      <c r="R187" s="16" t="s">
        <v>68</v>
      </c>
      <c r="S187" s="36" t="s">
        <v>62</v>
      </c>
      <c r="T187" s="36" t="s">
        <v>62</v>
      </c>
      <c r="U187" s="36" t="s">
        <v>62</v>
      </c>
      <c r="V187" s="36"/>
      <c r="W187" s="36" t="s">
        <v>62</v>
      </c>
      <c r="X187" s="36" t="s">
        <v>62</v>
      </c>
      <c r="Y187" s="36"/>
      <c r="Z187" s="36"/>
      <c r="AA187" s="36"/>
      <c r="AB187" s="24"/>
      <c r="AC187" s="24"/>
      <c r="AD187" s="100">
        <v>44599</v>
      </c>
      <c r="AE187" s="62"/>
    </row>
    <row r="188" spans="1:31" ht="22.8" x14ac:dyDescent="0.25">
      <c r="A188" s="28"/>
      <c r="B188" s="20">
        <v>30785</v>
      </c>
      <c r="C188" s="27" t="s">
        <v>64</v>
      </c>
      <c r="D188" s="12" t="s">
        <v>846</v>
      </c>
      <c r="E188" s="20" t="s">
        <v>805</v>
      </c>
      <c r="F188" s="29" t="s">
        <v>806</v>
      </c>
      <c r="G188" s="29" t="s">
        <v>13</v>
      </c>
      <c r="H188" s="19">
        <v>43850</v>
      </c>
      <c r="I188" s="3">
        <v>372</v>
      </c>
      <c r="J188" s="3" t="s">
        <v>58</v>
      </c>
      <c r="K188" s="37" t="s">
        <v>59</v>
      </c>
      <c r="L188" s="31">
        <v>44067</v>
      </c>
      <c r="M188" s="30" t="s">
        <v>60</v>
      </c>
      <c r="N188" s="31" t="s">
        <v>294</v>
      </c>
      <c r="O188" s="48">
        <v>44641</v>
      </c>
      <c r="P188" s="48"/>
      <c r="Q188" s="32"/>
      <c r="R188" s="32" t="s">
        <v>68</v>
      </c>
      <c r="S188" s="32" t="s">
        <v>68</v>
      </c>
      <c r="T188" s="32" t="s">
        <v>68</v>
      </c>
      <c r="U188" s="32" t="s">
        <v>68</v>
      </c>
      <c r="V188" s="32"/>
      <c r="W188" s="32"/>
      <c r="X188" s="32" t="s">
        <v>68</v>
      </c>
      <c r="Y188" s="32"/>
      <c r="Z188" s="32"/>
      <c r="AA188" s="32"/>
      <c r="AB188" s="24"/>
      <c r="AC188" s="24"/>
      <c r="AD188" s="99">
        <v>44641</v>
      </c>
      <c r="AE188" s="93"/>
    </row>
    <row r="189" spans="1:31" ht="22.8" x14ac:dyDescent="0.25">
      <c r="A189" s="28"/>
      <c r="B189" s="20">
        <v>30785</v>
      </c>
      <c r="C189" s="27" t="s">
        <v>54</v>
      </c>
      <c r="D189" s="12" t="s">
        <v>848</v>
      </c>
      <c r="E189" s="20" t="s">
        <v>805</v>
      </c>
      <c r="F189" s="29" t="s">
        <v>806</v>
      </c>
      <c r="G189" s="29" t="s">
        <v>13</v>
      </c>
      <c r="H189" s="19">
        <v>43850</v>
      </c>
      <c r="I189" s="3">
        <v>373</v>
      </c>
      <c r="J189" s="3" t="s">
        <v>58</v>
      </c>
      <c r="K189" s="37" t="s">
        <v>59</v>
      </c>
      <c r="L189" s="31">
        <v>44067</v>
      </c>
      <c r="M189" s="30" t="s">
        <v>60</v>
      </c>
      <c r="N189" s="31" t="s">
        <v>294</v>
      </c>
      <c r="O189" s="48">
        <v>44641</v>
      </c>
      <c r="P189" s="48"/>
      <c r="Q189" s="32"/>
      <c r="R189" s="32" t="s">
        <v>62</v>
      </c>
      <c r="S189" s="32" t="s">
        <v>62</v>
      </c>
      <c r="T189" s="32" t="s">
        <v>62</v>
      </c>
      <c r="U189" s="32" t="s">
        <v>62</v>
      </c>
      <c r="V189" s="32"/>
      <c r="W189" s="32"/>
      <c r="X189" s="32" t="s">
        <v>62</v>
      </c>
      <c r="Y189" s="32"/>
      <c r="Z189" s="32"/>
      <c r="AA189" s="32"/>
      <c r="AB189" s="24"/>
      <c r="AC189" s="24"/>
      <c r="AD189" s="99">
        <v>44641</v>
      </c>
      <c r="AE189" s="93"/>
    </row>
    <row r="190" spans="1:31" ht="22.8" x14ac:dyDescent="0.25">
      <c r="A190" s="28"/>
      <c r="B190" s="20">
        <v>30786</v>
      </c>
      <c r="C190" s="27" t="s">
        <v>64</v>
      </c>
      <c r="D190" s="12" t="s">
        <v>849</v>
      </c>
      <c r="E190" s="20" t="s">
        <v>805</v>
      </c>
      <c r="F190" s="29" t="s">
        <v>806</v>
      </c>
      <c r="G190" s="29" t="s">
        <v>13</v>
      </c>
      <c r="H190" s="19">
        <v>43864</v>
      </c>
      <c r="I190" s="3">
        <v>368</v>
      </c>
      <c r="J190" s="3" t="s">
        <v>58</v>
      </c>
      <c r="K190" s="37" t="s">
        <v>59</v>
      </c>
      <c r="L190" s="31">
        <v>44067</v>
      </c>
      <c r="M190" s="30" t="s">
        <v>60</v>
      </c>
      <c r="N190" s="31" t="s">
        <v>294</v>
      </c>
      <c r="O190" s="48">
        <v>44649</v>
      </c>
      <c r="P190" s="48"/>
      <c r="Q190" s="32"/>
      <c r="R190" s="32" t="s">
        <v>68</v>
      </c>
      <c r="S190" s="32" t="s">
        <v>68</v>
      </c>
      <c r="T190" s="32" t="s">
        <v>68</v>
      </c>
      <c r="U190" s="32" t="s">
        <v>68</v>
      </c>
      <c r="V190" s="32"/>
      <c r="W190" s="32"/>
      <c r="X190" s="32" t="s">
        <v>68</v>
      </c>
      <c r="Y190" s="32"/>
      <c r="Z190" s="32"/>
      <c r="AA190" s="32"/>
      <c r="AB190" s="24"/>
      <c r="AC190" s="24"/>
      <c r="AD190" s="99">
        <v>44649</v>
      </c>
      <c r="AE190" s="93"/>
    </row>
    <row r="191" spans="1:31" ht="22.8" x14ac:dyDescent="0.25">
      <c r="A191" s="28"/>
      <c r="B191" s="20">
        <v>30786</v>
      </c>
      <c r="C191" s="27" t="s">
        <v>54</v>
      </c>
      <c r="D191" s="12" t="s">
        <v>851</v>
      </c>
      <c r="E191" s="20" t="s">
        <v>805</v>
      </c>
      <c r="F191" s="29" t="s">
        <v>806</v>
      </c>
      <c r="G191" s="29" t="s">
        <v>13</v>
      </c>
      <c r="H191" s="19">
        <v>43864</v>
      </c>
      <c r="I191" s="3">
        <v>359</v>
      </c>
      <c r="J191" s="3" t="s">
        <v>58</v>
      </c>
      <c r="K191" s="37" t="s">
        <v>59</v>
      </c>
      <c r="L191" s="31">
        <v>44067</v>
      </c>
      <c r="M191" s="30" t="s">
        <v>60</v>
      </c>
      <c r="N191" s="31" t="s">
        <v>294</v>
      </c>
      <c r="O191" s="48">
        <v>44649</v>
      </c>
      <c r="P191" s="48"/>
      <c r="Q191" s="32"/>
      <c r="R191" s="32" t="s">
        <v>62</v>
      </c>
      <c r="S191" s="32" t="s">
        <v>62</v>
      </c>
      <c r="T191" s="32" t="s">
        <v>62</v>
      </c>
      <c r="U191" s="32" t="s">
        <v>62</v>
      </c>
      <c r="V191" s="32"/>
      <c r="W191" s="32"/>
      <c r="X191" s="32" t="s">
        <v>62</v>
      </c>
      <c r="Y191" s="32"/>
      <c r="Z191" s="32"/>
      <c r="AA191" s="32"/>
      <c r="AB191" s="24"/>
      <c r="AC191" s="24"/>
      <c r="AD191" s="99">
        <v>44649</v>
      </c>
      <c r="AE191" s="93"/>
    </row>
    <row r="192" spans="1:31" ht="22.8" x14ac:dyDescent="0.25">
      <c r="A192" s="28"/>
      <c r="B192" s="20">
        <v>37155</v>
      </c>
      <c r="C192" s="27" t="s">
        <v>64</v>
      </c>
      <c r="D192" s="12" t="s">
        <v>852</v>
      </c>
      <c r="E192" s="20" t="s">
        <v>805</v>
      </c>
      <c r="F192" s="29" t="s">
        <v>806</v>
      </c>
      <c r="G192" s="29" t="s">
        <v>13</v>
      </c>
      <c r="H192" s="19">
        <v>43581</v>
      </c>
      <c r="I192" s="3">
        <v>425</v>
      </c>
      <c r="J192" s="3" t="s">
        <v>58</v>
      </c>
      <c r="K192" s="37" t="s">
        <v>59</v>
      </c>
      <c r="L192" s="31">
        <v>44133</v>
      </c>
      <c r="M192" s="30" t="s">
        <v>60</v>
      </c>
      <c r="N192" s="31" t="s">
        <v>294</v>
      </c>
      <c r="O192" s="48">
        <v>44680</v>
      </c>
      <c r="P192" s="48"/>
      <c r="Q192" s="32"/>
      <c r="R192" s="32" t="s">
        <v>68</v>
      </c>
      <c r="S192" s="32" t="s">
        <v>68</v>
      </c>
      <c r="T192" s="32" t="s">
        <v>68</v>
      </c>
      <c r="U192" s="32" t="s">
        <v>68</v>
      </c>
      <c r="V192" s="32"/>
      <c r="W192" s="32" t="s">
        <v>68</v>
      </c>
      <c r="X192" s="32" t="s">
        <v>68</v>
      </c>
      <c r="Y192" s="32"/>
      <c r="Z192" s="32"/>
      <c r="AA192" s="32"/>
      <c r="AB192" s="24"/>
      <c r="AC192" s="24"/>
      <c r="AD192" s="32"/>
      <c r="AE192" s="93"/>
    </row>
    <row r="193" spans="1:31" ht="22.8" x14ac:dyDescent="0.25">
      <c r="A193" s="28"/>
      <c r="B193" s="20">
        <v>37155</v>
      </c>
      <c r="C193" s="27" t="s">
        <v>54</v>
      </c>
      <c r="D193" s="12" t="s">
        <v>854</v>
      </c>
      <c r="E193" s="20" t="s">
        <v>805</v>
      </c>
      <c r="F193" s="29" t="s">
        <v>806</v>
      </c>
      <c r="G193" s="29" t="s">
        <v>13</v>
      </c>
      <c r="H193" s="19">
        <v>43581</v>
      </c>
      <c r="I193" s="3">
        <v>443</v>
      </c>
      <c r="J193" s="3" t="s">
        <v>58</v>
      </c>
      <c r="K193" s="37" t="s">
        <v>59</v>
      </c>
      <c r="L193" s="31">
        <v>44061</v>
      </c>
      <c r="M193" s="30" t="s">
        <v>60</v>
      </c>
      <c r="N193" s="31" t="s">
        <v>294</v>
      </c>
      <c r="O193" s="48">
        <v>44680</v>
      </c>
      <c r="P193" s="48"/>
      <c r="Q193" s="32"/>
      <c r="R193" s="32" t="s">
        <v>62</v>
      </c>
      <c r="S193" s="32" t="s">
        <v>62</v>
      </c>
      <c r="T193" s="32" t="s">
        <v>62</v>
      </c>
      <c r="U193" s="32" t="s">
        <v>62</v>
      </c>
      <c r="V193" s="32"/>
      <c r="W193" s="32" t="s">
        <v>62</v>
      </c>
      <c r="X193" s="32" t="s">
        <v>62</v>
      </c>
      <c r="Y193" s="32"/>
      <c r="Z193" s="32"/>
      <c r="AA193" s="32"/>
      <c r="AB193" s="24"/>
      <c r="AC193" s="24"/>
      <c r="AD193" s="32"/>
      <c r="AE193" s="93"/>
    </row>
    <row r="194" spans="1:31" ht="22.8" x14ac:dyDescent="0.25">
      <c r="A194" s="28"/>
      <c r="B194" s="20">
        <v>37170</v>
      </c>
      <c r="C194" s="27" t="s">
        <v>64</v>
      </c>
      <c r="D194" s="12" t="s">
        <v>856</v>
      </c>
      <c r="E194" s="20" t="s">
        <v>805</v>
      </c>
      <c r="F194" s="29" t="s">
        <v>806</v>
      </c>
      <c r="G194" s="29" t="s">
        <v>13</v>
      </c>
      <c r="H194" s="19">
        <v>43600</v>
      </c>
      <c r="I194" s="3">
        <v>402</v>
      </c>
      <c r="J194" s="3" t="s">
        <v>58</v>
      </c>
      <c r="K194" s="37" t="s">
        <v>59</v>
      </c>
      <c r="L194" s="31">
        <v>44068</v>
      </c>
      <c r="M194" s="30" t="s">
        <v>722</v>
      </c>
      <c r="N194" s="31" t="s">
        <v>294</v>
      </c>
      <c r="O194" s="48">
        <v>44757</v>
      </c>
      <c r="P194" s="48"/>
      <c r="Q194" s="32"/>
      <c r="R194" s="32" t="s">
        <v>68</v>
      </c>
      <c r="S194" s="32" t="s">
        <v>68</v>
      </c>
      <c r="T194" s="32" t="s">
        <v>68</v>
      </c>
      <c r="U194" s="32" t="s">
        <v>68</v>
      </c>
      <c r="V194" s="32"/>
      <c r="W194" s="32"/>
      <c r="X194" s="32" t="s">
        <v>68</v>
      </c>
      <c r="Y194" s="32"/>
      <c r="Z194" s="32"/>
      <c r="AA194" s="32"/>
      <c r="AB194" s="24"/>
      <c r="AC194" s="24"/>
      <c r="AD194" s="99">
        <v>44613</v>
      </c>
      <c r="AE194" s="93"/>
    </row>
    <row r="195" spans="1:31" ht="22.8" x14ac:dyDescent="0.25">
      <c r="A195" s="28"/>
      <c r="B195" s="20">
        <v>37170</v>
      </c>
      <c r="C195" s="27" t="s">
        <v>54</v>
      </c>
      <c r="D195" s="12" t="s">
        <v>858</v>
      </c>
      <c r="E195" s="20" t="s">
        <v>805</v>
      </c>
      <c r="F195" s="29" t="s">
        <v>806</v>
      </c>
      <c r="G195" s="29" t="s">
        <v>13</v>
      </c>
      <c r="H195" s="19">
        <v>43600</v>
      </c>
      <c r="I195" s="3">
        <v>403</v>
      </c>
      <c r="J195" s="3" t="s">
        <v>58</v>
      </c>
      <c r="K195" s="37" t="s">
        <v>59</v>
      </c>
      <c r="L195" s="31">
        <v>44068</v>
      </c>
      <c r="M195" s="30" t="s">
        <v>722</v>
      </c>
      <c r="N195" s="31" t="s">
        <v>294</v>
      </c>
      <c r="O195" s="48">
        <v>44757</v>
      </c>
      <c r="P195" s="48"/>
      <c r="Q195" s="32"/>
      <c r="R195" s="32" t="s">
        <v>62</v>
      </c>
      <c r="S195" s="32" t="s">
        <v>62</v>
      </c>
      <c r="T195" s="32" t="s">
        <v>62</v>
      </c>
      <c r="U195" s="32" t="s">
        <v>62</v>
      </c>
      <c r="V195" s="32"/>
      <c r="W195" s="32"/>
      <c r="X195" s="32" t="s">
        <v>62</v>
      </c>
      <c r="Y195" s="32"/>
      <c r="Z195" s="32"/>
      <c r="AA195" s="32"/>
      <c r="AB195" s="24"/>
      <c r="AC195" s="24"/>
      <c r="AD195" s="99">
        <v>44613</v>
      </c>
      <c r="AE195" s="32" t="s">
        <v>62</v>
      </c>
    </row>
    <row r="196" spans="1:31" ht="22.8" x14ac:dyDescent="0.25">
      <c r="A196" s="28"/>
      <c r="B196" s="20">
        <v>37171</v>
      </c>
      <c r="C196" s="27" t="s">
        <v>64</v>
      </c>
      <c r="D196" s="12" t="s">
        <v>859</v>
      </c>
      <c r="E196" s="20" t="s">
        <v>805</v>
      </c>
      <c r="F196" s="29" t="s">
        <v>806</v>
      </c>
      <c r="G196" s="29" t="s">
        <v>13</v>
      </c>
      <c r="H196" s="19">
        <v>43600</v>
      </c>
      <c r="I196" s="3">
        <v>421</v>
      </c>
      <c r="J196" s="3" t="s">
        <v>58</v>
      </c>
      <c r="K196" s="37" t="s">
        <v>59</v>
      </c>
      <c r="L196" s="31">
        <v>44120</v>
      </c>
      <c r="M196" s="30" t="s">
        <v>60</v>
      </c>
      <c r="N196" s="31" t="s">
        <v>294</v>
      </c>
      <c r="O196" s="48">
        <v>44571</v>
      </c>
      <c r="P196" s="48"/>
      <c r="Q196" s="32"/>
      <c r="R196" s="32" t="s">
        <v>68</v>
      </c>
      <c r="S196" s="32" t="s">
        <v>68</v>
      </c>
      <c r="T196" s="32" t="s">
        <v>68</v>
      </c>
      <c r="U196" s="32" t="s">
        <v>68</v>
      </c>
      <c r="V196" s="32"/>
      <c r="W196" s="32" t="s">
        <v>68</v>
      </c>
      <c r="X196" s="32" t="s">
        <v>68</v>
      </c>
      <c r="Y196" s="32"/>
      <c r="Z196" s="32"/>
      <c r="AA196" s="32"/>
      <c r="AB196" s="24"/>
      <c r="AC196" s="24"/>
      <c r="AD196" s="32" t="s">
        <v>68</v>
      </c>
      <c r="AE196" s="93"/>
    </row>
    <row r="197" spans="1:31" ht="22.8" x14ac:dyDescent="0.25">
      <c r="A197" s="28"/>
      <c r="B197" s="20">
        <v>37171</v>
      </c>
      <c r="C197" s="27" t="s">
        <v>54</v>
      </c>
      <c r="D197" s="12" t="s">
        <v>860</v>
      </c>
      <c r="E197" s="20" t="s">
        <v>805</v>
      </c>
      <c r="F197" s="29" t="s">
        <v>806</v>
      </c>
      <c r="G197" s="29" t="s">
        <v>13</v>
      </c>
      <c r="H197" s="19">
        <v>43600</v>
      </c>
      <c r="I197" s="3">
        <v>420</v>
      </c>
      <c r="J197" s="3" t="s">
        <v>58</v>
      </c>
      <c r="K197" s="37" t="s">
        <v>59</v>
      </c>
      <c r="L197" s="31">
        <v>44120</v>
      </c>
      <c r="M197" s="30" t="s">
        <v>60</v>
      </c>
      <c r="N197" s="31" t="s">
        <v>294</v>
      </c>
      <c r="O197" s="48">
        <v>44571</v>
      </c>
      <c r="P197" s="48"/>
      <c r="Q197" s="32"/>
      <c r="R197" s="32" t="s">
        <v>62</v>
      </c>
      <c r="S197" s="32" t="s">
        <v>62</v>
      </c>
      <c r="T197" s="32" t="s">
        <v>62</v>
      </c>
      <c r="U197" s="32" t="s">
        <v>62</v>
      </c>
      <c r="V197" s="32"/>
      <c r="W197" s="32" t="s">
        <v>62</v>
      </c>
      <c r="X197" s="32" t="s">
        <v>62</v>
      </c>
      <c r="Y197" s="32"/>
      <c r="Z197" s="32"/>
      <c r="AA197" s="32"/>
      <c r="AB197" s="24"/>
      <c r="AC197" s="24"/>
      <c r="AD197" s="32" t="s">
        <v>62</v>
      </c>
      <c r="AE197" s="93"/>
    </row>
    <row r="198" spans="1:31" ht="22.8" x14ac:dyDescent="0.25">
      <c r="A198" s="28"/>
      <c r="B198" s="20">
        <v>37218</v>
      </c>
      <c r="C198" s="27" t="s">
        <v>64</v>
      </c>
      <c r="D198" s="12" t="s">
        <v>861</v>
      </c>
      <c r="E198" s="20" t="s">
        <v>862</v>
      </c>
      <c r="F198" s="29" t="s">
        <v>863</v>
      </c>
      <c r="G198" s="29" t="s">
        <v>13</v>
      </c>
      <c r="H198" s="19">
        <v>43672</v>
      </c>
      <c r="I198" s="3">
        <v>388</v>
      </c>
      <c r="J198" s="3" t="s">
        <v>58</v>
      </c>
      <c r="K198" s="37" t="s">
        <v>59</v>
      </c>
      <c r="L198" s="31">
        <v>44136</v>
      </c>
      <c r="M198" s="30" t="s">
        <v>60</v>
      </c>
      <c r="N198" s="31" t="s">
        <v>294</v>
      </c>
      <c r="O198" s="48">
        <v>44380</v>
      </c>
      <c r="P198" s="48"/>
      <c r="Q198" s="32"/>
      <c r="R198" s="32" t="s">
        <v>68</v>
      </c>
      <c r="S198" s="32" t="s">
        <v>68</v>
      </c>
      <c r="T198" s="32" t="s">
        <v>68</v>
      </c>
      <c r="U198" s="32" t="s">
        <v>68</v>
      </c>
      <c r="V198" s="32"/>
      <c r="W198" s="32"/>
      <c r="X198" s="32" t="s">
        <v>68</v>
      </c>
      <c r="Y198" s="32"/>
      <c r="Z198" s="32"/>
      <c r="AA198" s="32"/>
      <c r="AB198" s="24"/>
      <c r="AC198" s="24"/>
      <c r="AD198" s="32"/>
      <c r="AE198" s="93"/>
    </row>
    <row r="199" spans="1:31" ht="22.8" x14ac:dyDescent="0.25">
      <c r="A199" s="28"/>
      <c r="B199" s="20">
        <v>37218</v>
      </c>
      <c r="C199" s="27" t="s">
        <v>54</v>
      </c>
      <c r="D199" s="12" t="s">
        <v>864</v>
      </c>
      <c r="E199" s="20" t="s">
        <v>862</v>
      </c>
      <c r="F199" s="29" t="s">
        <v>863</v>
      </c>
      <c r="G199" s="29" t="s">
        <v>13</v>
      </c>
      <c r="H199" s="19">
        <v>43672</v>
      </c>
      <c r="I199" s="3">
        <v>389</v>
      </c>
      <c r="J199" s="3" t="s">
        <v>58</v>
      </c>
      <c r="K199" s="37" t="s">
        <v>59</v>
      </c>
      <c r="L199" s="31">
        <v>44136</v>
      </c>
      <c r="M199" s="30" t="s">
        <v>60</v>
      </c>
      <c r="N199" s="31" t="s">
        <v>294</v>
      </c>
      <c r="O199" s="48">
        <v>44380</v>
      </c>
      <c r="P199" s="48"/>
      <c r="Q199" s="32"/>
      <c r="R199" s="32" t="s">
        <v>62</v>
      </c>
      <c r="S199" s="32" t="s">
        <v>62</v>
      </c>
      <c r="T199" s="32" t="s">
        <v>62</v>
      </c>
      <c r="U199" s="32" t="s">
        <v>62</v>
      </c>
      <c r="V199" s="32"/>
      <c r="W199" s="32"/>
      <c r="X199" s="32" t="s">
        <v>62</v>
      </c>
      <c r="Y199" s="32"/>
      <c r="Z199" s="32"/>
      <c r="AA199" s="32"/>
      <c r="AB199" s="24"/>
      <c r="AC199" s="24"/>
      <c r="AD199" s="32"/>
      <c r="AE199" s="93"/>
    </row>
    <row r="200" spans="1:31" ht="22.8" x14ac:dyDescent="0.25">
      <c r="A200" s="28"/>
      <c r="B200" s="20">
        <v>37219</v>
      </c>
      <c r="C200" s="27" t="s">
        <v>64</v>
      </c>
      <c r="D200" s="12" t="s">
        <v>865</v>
      </c>
      <c r="E200" s="20" t="s">
        <v>862</v>
      </c>
      <c r="F200" s="29" t="s">
        <v>863</v>
      </c>
      <c r="G200" s="29" t="s">
        <v>13</v>
      </c>
      <c r="H200" s="19">
        <v>43674</v>
      </c>
      <c r="I200" s="3">
        <v>376</v>
      </c>
      <c r="J200" s="3" t="s">
        <v>58</v>
      </c>
      <c r="K200" s="37" t="s">
        <v>59</v>
      </c>
      <c r="L200" s="31">
        <v>44130</v>
      </c>
      <c r="M200" s="30" t="s">
        <v>722</v>
      </c>
      <c r="N200" s="31" t="s">
        <v>294</v>
      </c>
      <c r="O200" s="31">
        <v>44361</v>
      </c>
      <c r="P200" s="31"/>
      <c r="Q200" s="32"/>
      <c r="R200" s="32" t="s">
        <v>68</v>
      </c>
      <c r="S200" s="32" t="s">
        <v>68</v>
      </c>
      <c r="T200" s="32" t="s">
        <v>68</v>
      </c>
      <c r="U200" s="32" t="s">
        <v>68</v>
      </c>
      <c r="V200" s="32"/>
      <c r="W200" s="32"/>
      <c r="X200" s="32"/>
      <c r="Y200" s="32"/>
      <c r="Z200" s="32"/>
      <c r="AA200" s="32"/>
      <c r="AB200" s="24"/>
      <c r="AC200" s="24"/>
      <c r="AD200" s="32"/>
      <c r="AE200" s="93"/>
    </row>
    <row r="201" spans="1:31" ht="22.8" x14ac:dyDescent="0.25">
      <c r="A201" s="28"/>
      <c r="B201" s="20">
        <v>37219</v>
      </c>
      <c r="C201" s="27" t="s">
        <v>54</v>
      </c>
      <c r="D201" s="12" t="s">
        <v>866</v>
      </c>
      <c r="E201" s="20" t="s">
        <v>862</v>
      </c>
      <c r="F201" s="29" t="s">
        <v>863</v>
      </c>
      <c r="G201" s="29" t="s">
        <v>13</v>
      </c>
      <c r="H201" s="19">
        <v>43674</v>
      </c>
      <c r="I201" s="3">
        <v>377</v>
      </c>
      <c r="J201" s="3" t="s">
        <v>58</v>
      </c>
      <c r="K201" s="37" t="s">
        <v>59</v>
      </c>
      <c r="L201" s="31">
        <v>44081</v>
      </c>
      <c r="M201" s="30" t="s">
        <v>722</v>
      </c>
      <c r="N201" s="31" t="s">
        <v>294</v>
      </c>
      <c r="O201" s="48">
        <v>44361</v>
      </c>
      <c r="P201" s="48"/>
      <c r="Q201" s="32"/>
      <c r="R201" s="32" t="s">
        <v>62</v>
      </c>
      <c r="S201" s="32" t="s">
        <v>62</v>
      </c>
      <c r="T201" s="32" t="s">
        <v>62</v>
      </c>
      <c r="U201" s="32" t="s">
        <v>62</v>
      </c>
      <c r="V201" s="32"/>
      <c r="W201" s="32"/>
      <c r="X201" s="32"/>
      <c r="Y201" s="32"/>
      <c r="Z201" s="32"/>
      <c r="AA201" s="32"/>
      <c r="AB201" s="24"/>
      <c r="AC201" s="24"/>
      <c r="AD201" s="32"/>
      <c r="AE201" s="93"/>
    </row>
    <row r="202" spans="1:31" ht="22.8" x14ac:dyDescent="0.25">
      <c r="A202" s="28"/>
      <c r="B202" s="20">
        <v>37261</v>
      </c>
      <c r="C202" s="27" t="s">
        <v>64</v>
      </c>
      <c r="D202" s="12" t="s">
        <v>867</v>
      </c>
      <c r="E202" s="20" t="s">
        <v>862</v>
      </c>
      <c r="F202" s="29" t="s">
        <v>863</v>
      </c>
      <c r="G202" s="29" t="s">
        <v>13</v>
      </c>
      <c r="H202" s="19">
        <v>43736</v>
      </c>
      <c r="I202" s="3">
        <v>581</v>
      </c>
      <c r="J202" s="3" t="s">
        <v>58</v>
      </c>
      <c r="K202" s="37" t="s">
        <v>59</v>
      </c>
      <c r="L202" s="31">
        <v>44078</v>
      </c>
      <c r="M202" s="30" t="s">
        <v>722</v>
      </c>
      <c r="N202" s="31" t="s">
        <v>294</v>
      </c>
      <c r="O202" s="31">
        <v>44289</v>
      </c>
      <c r="P202" s="31"/>
      <c r="Q202" s="16" t="s">
        <v>75</v>
      </c>
      <c r="R202" s="16" t="s">
        <v>75</v>
      </c>
      <c r="S202" s="32" t="s">
        <v>68</v>
      </c>
      <c r="T202" s="32" t="s">
        <v>68</v>
      </c>
      <c r="U202" s="32"/>
      <c r="V202" s="32"/>
      <c r="W202" s="32"/>
      <c r="X202" s="32" t="s">
        <v>68</v>
      </c>
      <c r="Y202" s="32"/>
      <c r="Z202" s="32"/>
      <c r="AA202" s="32"/>
      <c r="AB202" s="24"/>
      <c r="AC202" s="24"/>
      <c r="AD202" s="99" t="s">
        <v>68</v>
      </c>
      <c r="AE202" s="93"/>
    </row>
    <row r="203" spans="1:31" ht="22.8" x14ac:dyDescent="0.25">
      <c r="A203" s="28"/>
      <c r="B203" s="20">
        <v>37261</v>
      </c>
      <c r="C203" s="27" t="s">
        <v>54</v>
      </c>
      <c r="D203" s="18" t="s">
        <v>868</v>
      </c>
      <c r="E203" s="20" t="s">
        <v>862</v>
      </c>
      <c r="F203" s="29" t="s">
        <v>863</v>
      </c>
      <c r="G203" s="29" t="s">
        <v>13</v>
      </c>
      <c r="H203" s="19">
        <v>43736</v>
      </c>
      <c r="I203" s="3">
        <v>610</v>
      </c>
      <c r="J203" s="3" t="s">
        <v>58</v>
      </c>
      <c r="K203" s="37" t="s">
        <v>59</v>
      </c>
      <c r="L203" s="33">
        <v>44147</v>
      </c>
      <c r="M203" s="16" t="s">
        <v>60</v>
      </c>
      <c r="N203" s="33">
        <v>44186</v>
      </c>
      <c r="O203" s="33">
        <v>44289</v>
      </c>
      <c r="P203" s="33"/>
      <c r="Q203" s="16" t="s">
        <v>75</v>
      </c>
      <c r="R203" s="16" t="s">
        <v>75</v>
      </c>
      <c r="S203" s="16"/>
      <c r="T203" s="16" t="s">
        <v>68</v>
      </c>
      <c r="U203" s="16" t="s">
        <v>68</v>
      </c>
      <c r="V203" s="37"/>
      <c r="W203" s="16"/>
      <c r="X203" s="32" t="s">
        <v>62</v>
      </c>
      <c r="Y203" s="16" t="s">
        <v>869</v>
      </c>
      <c r="Z203" s="16" t="s">
        <v>869</v>
      </c>
      <c r="AA203" s="16"/>
      <c r="AB203" s="24"/>
      <c r="AC203" s="24"/>
      <c r="AD203" s="16" t="s">
        <v>62</v>
      </c>
    </row>
    <row r="204" spans="1:31" ht="22.8" x14ac:dyDescent="0.25">
      <c r="A204" s="28"/>
      <c r="B204" s="20">
        <v>37264</v>
      </c>
      <c r="C204" s="27" t="s">
        <v>64</v>
      </c>
      <c r="D204" s="12" t="s">
        <v>870</v>
      </c>
      <c r="E204" s="20" t="s">
        <v>862</v>
      </c>
      <c r="F204" s="29" t="s">
        <v>863</v>
      </c>
      <c r="G204" s="29" t="s">
        <v>13</v>
      </c>
      <c r="H204" s="19">
        <v>43756</v>
      </c>
      <c r="I204" s="3">
        <v>642</v>
      </c>
      <c r="J204" s="3" t="s">
        <v>58</v>
      </c>
      <c r="K204" s="37" t="s">
        <v>59</v>
      </c>
      <c r="L204" s="31">
        <v>44107</v>
      </c>
      <c r="M204" s="30" t="s">
        <v>722</v>
      </c>
      <c r="N204" s="31" t="s">
        <v>294</v>
      </c>
      <c r="O204" s="48">
        <v>44292</v>
      </c>
      <c r="P204" s="48"/>
      <c r="Q204" s="16" t="s">
        <v>75</v>
      </c>
      <c r="R204" s="16" t="s">
        <v>75</v>
      </c>
      <c r="S204" s="32" t="s">
        <v>68</v>
      </c>
      <c r="T204" s="32" t="s">
        <v>68</v>
      </c>
      <c r="U204" s="32"/>
      <c r="V204" s="32"/>
      <c r="W204" s="32"/>
      <c r="X204" s="32" t="s">
        <v>68</v>
      </c>
      <c r="Y204" s="32"/>
      <c r="Z204" s="32"/>
      <c r="AA204" s="32"/>
      <c r="AB204" s="24"/>
      <c r="AC204" s="24"/>
      <c r="AD204" s="32"/>
      <c r="AE204" s="93"/>
    </row>
    <row r="205" spans="1:31" ht="22.8" x14ac:dyDescent="0.25">
      <c r="A205" s="28"/>
      <c r="B205" s="20">
        <v>37264</v>
      </c>
      <c r="C205" s="27" t="s">
        <v>54</v>
      </c>
      <c r="D205" s="12" t="s">
        <v>873</v>
      </c>
      <c r="E205" s="20" t="s">
        <v>862</v>
      </c>
      <c r="F205" s="29" t="s">
        <v>863</v>
      </c>
      <c r="G205" s="29" t="s">
        <v>13</v>
      </c>
      <c r="H205" s="19">
        <v>43756</v>
      </c>
      <c r="I205" s="3">
        <v>643</v>
      </c>
      <c r="J205" s="3" t="s">
        <v>58</v>
      </c>
      <c r="K205" s="37" t="s">
        <v>59</v>
      </c>
      <c r="L205" s="31">
        <v>44110</v>
      </c>
      <c r="M205" s="30" t="s">
        <v>722</v>
      </c>
      <c r="N205" s="31" t="s">
        <v>294</v>
      </c>
      <c r="O205" s="48">
        <v>44292</v>
      </c>
      <c r="P205" s="48"/>
      <c r="Q205" s="16" t="s">
        <v>75</v>
      </c>
      <c r="R205" s="16" t="s">
        <v>75</v>
      </c>
      <c r="S205" s="32" t="s">
        <v>62</v>
      </c>
      <c r="T205" s="32" t="s">
        <v>62</v>
      </c>
      <c r="U205" s="32"/>
      <c r="V205" s="32"/>
      <c r="W205" s="32"/>
      <c r="X205" s="32" t="s">
        <v>62</v>
      </c>
      <c r="Y205" s="32"/>
      <c r="Z205" s="32"/>
      <c r="AA205" s="32"/>
      <c r="AB205" s="24"/>
      <c r="AC205" s="24"/>
      <c r="AD205" s="32"/>
      <c r="AE205" s="93"/>
    </row>
    <row r="206" spans="1:31" ht="22.8" x14ac:dyDescent="0.25">
      <c r="A206" s="28"/>
      <c r="B206" s="20">
        <v>37299</v>
      </c>
      <c r="C206" s="27" t="s">
        <v>64</v>
      </c>
      <c r="D206" s="12" t="s">
        <v>1888</v>
      </c>
      <c r="E206" s="20" t="s">
        <v>805</v>
      </c>
      <c r="F206" s="29" t="s">
        <v>806</v>
      </c>
      <c r="G206" s="29" t="s">
        <v>13</v>
      </c>
      <c r="H206" s="19">
        <v>43808</v>
      </c>
      <c r="I206" s="3">
        <v>593</v>
      </c>
      <c r="J206" s="3" t="s">
        <v>58</v>
      </c>
      <c r="K206" s="37" t="s">
        <v>59</v>
      </c>
      <c r="L206" s="31">
        <v>44061</v>
      </c>
      <c r="M206" s="30" t="s">
        <v>722</v>
      </c>
      <c r="N206" s="31" t="s">
        <v>294</v>
      </c>
      <c r="O206" s="48">
        <v>44750</v>
      </c>
      <c r="P206" s="48"/>
      <c r="Q206" s="16" t="s">
        <v>75</v>
      </c>
      <c r="R206" s="16" t="s">
        <v>75</v>
      </c>
      <c r="S206" s="32" t="s">
        <v>68</v>
      </c>
      <c r="T206" s="32" t="s">
        <v>68</v>
      </c>
      <c r="U206" s="32" t="s">
        <v>68</v>
      </c>
      <c r="V206" s="32"/>
      <c r="W206" s="32"/>
      <c r="X206" s="32" t="s">
        <v>68</v>
      </c>
      <c r="Y206" s="32"/>
      <c r="Z206" s="32"/>
      <c r="AA206" s="32"/>
      <c r="AB206" s="24"/>
      <c r="AC206" s="24"/>
      <c r="AD206" s="32" t="s">
        <v>68</v>
      </c>
      <c r="AE206" s="93"/>
    </row>
    <row r="207" spans="1:31" ht="22.8" x14ac:dyDescent="0.25">
      <c r="A207" s="28"/>
      <c r="B207" s="20">
        <v>37299</v>
      </c>
      <c r="C207" s="27" t="s">
        <v>54</v>
      </c>
      <c r="D207" s="12" t="s">
        <v>1891</v>
      </c>
      <c r="E207" s="20" t="s">
        <v>805</v>
      </c>
      <c r="F207" s="29" t="s">
        <v>806</v>
      </c>
      <c r="G207" s="29" t="s">
        <v>13</v>
      </c>
      <c r="H207" s="19">
        <v>43808</v>
      </c>
      <c r="I207" s="3">
        <v>576</v>
      </c>
      <c r="J207" s="3" t="s">
        <v>58</v>
      </c>
      <c r="K207" s="37" t="s">
        <v>59</v>
      </c>
      <c r="L207" s="31">
        <v>44061</v>
      </c>
      <c r="M207" s="30" t="s">
        <v>722</v>
      </c>
      <c r="N207" s="31" t="s">
        <v>294</v>
      </c>
      <c r="O207" s="48">
        <v>44750</v>
      </c>
      <c r="P207" s="48"/>
      <c r="Q207" s="16" t="s">
        <v>75</v>
      </c>
      <c r="R207" s="16" t="s">
        <v>75</v>
      </c>
      <c r="S207" s="32" t="s">
        <v>62</v>
      </c>
      <c r="T207" s="32" t="s">
        <v>62</v>
      </c>
      <c r="U207" s="32" t="s">
        <v>62</v>
      </c>
      <c r="V207" s="32"/>
      <c r="W207" s="32"/>
      <c r="X207" s="32" t="s">
        <v>62</v>
      </c>
      <c r="Y207" s="32"/>
      <c r="Z207" s="32"/>
      <c r="AA207" s="32"/>
      <c r="AB207" s="24"/>
      <c r="AC207" s="24"/>
      <c r="AD207" s="32" t="s">
        <v>62</v>
      </c>
      <c r="AE207" s="93"/>
    </row>
    <row r="208" spans="1:31" ht="22.8" x14ac:dyDescent="0.25">
      <c r="A208" s="28"/>
      <c r="B208" s="20">
        <v>37300</v>
      </c>
      <c r="C208" s="27" t="s">
        <v>64</v>
      </c>
      <c r="D208" s="12" t="s">
        <v>1892</v>
      </c>
      <c r="E208" s="20" t="s">
        <v>805</v>
      </c>
      <c r="F208" s="29" t="s">
        <v>806</v>
      </c>
      <c r="G208" s="29" t="s">
        <v>13</v>
      </c>
      <c r="H208" s="19">
        <v>43815</v>
      </c>
      <c r="I208" s="3">
        <v>592</v>
      </c>
      <c r="J208" s="3" t="s">
        <v>58</v>
      </c>
      <c r="K208" s="37" t="s">
        <v>59</v>
      </c>
      <c r="L208" s="31">
        <v>44081</v>
      </c>
      <c r="M208" s="30" t="s">
        <v>722</v>
      </c>
      <c r="N208" s="31" t="s">
        <v>294</v>
      </c>
      <c r="O208" s="48">
        <v>44616</v>
      </c>
      <c r="P208" s="48"/>
      <c r="Q208" s="16" t="s">
        <v>75</v>
      </c>
      <c r="R208" s="16" t="s">
        <v>75</v>
      </c>
      <c r="S208" s="32" t="s">
        <v>68</v>
      </c>
      <c r="T208" s="32" t="s">
        <v>68</v>
      </c>
      <c r="U208" s="32" t="s">
        <v>68</v>
      </c>
      <c r="V208" s="32"/>
      <c r="W208" s="32"/>
      <c r="X208" s="32"/>
      <c r="Y208" s="32"/>
      <c r="Z208" s="32"/>
      <c r="AA208" s="32"/>
      <c r="AB208" s="24"/>
      <c r="AC208" s="24"/>
      <c r="AD208" s="32" t="s">
        <v>68</v>
      </c>
      <c r="AE208" s="93"/>
    </row>
    <row r="209" spans="1:31" ht="22.8" x14ac:dyDescent="0.25">
      <c r="A209" s="28"/>
      <c r="B209" s="20">
        <v>37300</v>
      </c>
      <c r="C209" s="27" t="s">
        <v>54</v>
      </c>
      <c r="D209" s="12" t="s">
        <v>1893</v>
      </c>
      <c r="E209" s="20" t="s">
        <v>805</v>
      </c>
      <c r="F209" s="29" t="s">
        <v>806</v>
      </c>
      <c r="G209" s="29" t="s">
        <v>13</v>
      </c>
      <c r="H209" s="19">
        <v>43815</v>
      </c>
      <c r="I209" s="3">
        <v>575</v>
      </c>
      <c r="J209" s="3" t="s">
        <v>58</v>
      </c>
      <c r="K209" s="37" t="s">
        <v>59</v>
      </c>
      <c r="L209" s="31">
        <v>44081</v>
      </c>
      <c r="M209" s="30" t="s">
        <v>722</v>
      </c>
      <c r="N209" s="31" t="s">
        <v>294</v>
      </c>
      <c r="O209" s="48">
        <v>44616</v>
      </c>
      <c r="P209" s="48"/>
      <c r="Q209" s="16" t="s">
        <v>75</v>
      </c>
      <c r="R209" s="16" t="s">
        <v>75</v>
      </c>
      <c r="S209" s="32" t="s">
        <v>62</v>
      </c>
      <c r="T209" s="32" t="s">
        <v>62</v>
      </c>
      <c r="U209" s="32" t="s">
        <v>62</v>
      </c>
      <c r="V209" s="32"/>
      <c r="W209" s="32"/>
      <c r="X209" s="32"/>
      <c r="Y209" s="32"/>
      <c r="Z209" s="32"/>
      <c r="AA209" s="32"/>
      <c r="AB209" s="24"/>
      <c r="AC209" s="24"/>
      <c r="AD209" s="32" t="s">
        <v>62</v>
      </c>
      <c r="AE209" s="93"/>
    </row>
    <row r="210" spans="1:31" ht="22.8" x14ac:dyDescent="0.25">
      <c r="A210" s="28"/>
      <c r="B210" s="20">
        <v>37314</v>
      </c>
      <c r="C210" s="27" t="s">
        <v>64</v>
      </c>
      <c r="D210" s="12" t="s">
        <v>1894</v>
      </c>
      <c r="E210" s="20" t="s">
        <v>805</v>
      </c>
      <c r="F210" s="29" t="s">
        <v>806</v>
      </c>
      <c r="G210" s="29" t="s">
        <v>13</v>
      </c>
      <c r="H210" s="19">
        <v>43846</v>
      </c>
      <c r="I210" s="3">
        <v>727</v>
      </c>
      <c r="J210" s="3" t="s">
        <v>58</v>
      </c>
      <c r="K210" s="37" t="s">
        <v>59</v>
      </c>
      <c r="L210" s="31">
        <v>44068</v>
      </c>
      <c r="M210" s="30" t="s">
        <v>722</v>
      </c>
      <c r="N210" s="31" t="s">
        <v>294</v>
      </c>
      <c r="O210" s="48">
        <v>44758</v>
      </c>
      <c r="P210" s="48"/>
      <c r="Q210" s="16" t="s">
        <v>75</v>
      </c>
      <c r="R210" s="16" t="s">
        <v>75</v>
      </c>
      <c r="S210" s="32" t="s">
        <v>68</v>
      </c>
      <c r="T210" s="32" t="s">
        <v>68</v>
      </c>
      <c r="U210" s="32" t="s">
        <v>68</v>
      </c>
      <c r="V210" s="32"/>
      <c r="W210" s="32" t="s">
        <v>68</v>
      </c>
      <c r="X210" s="32" t="s">
        <v>68</v>
      </c>
      <c r="Y210" s="32"/>
      <c r="Z210" s="32"/>
      <c r="AA210" s="32"/>
      <c r="AB210" s="24"/>
      <c r="AC210" s="24"/>
      <c r="AD210" s="32"/>
      <c r="AE210" s="93"/>
    </row>
    <row r="211" spans="1:31" ht="22.8" x14ac:dyDescent="0.25">
      <c r="A211" s="28"/>
      <c r="B211" s="20">
        <v>37314</v>
      </c>
      <c r="C211" s="27" t="s">
        <v>54</v>
      </c>
      <c r="D211" s="12" t="s">
        <v>1896</v>
      </c>
      <c r="E211" s="20" t="s">
        <v>805</v>
      </c>
      <c r="F211" s="29" t="s">
        <v>806</v>
      </c>
      <c r="G211" s="29" t="s">
        <v>13</v>
      </c>
      <c r="H211" s="19">
        <v>43846</v>
      </c>
      <c r="I211" s="3">
        <v>726</v>
      </c>
      <c r="J211" s="3" t="s">
        <v>58</v>
      </c>
      <c r="K211" s="37" t="s">
        <v>59</v>
      </c>
      <c r="L211" s="31">
        <v>44068</v>
      </c>
      <c r="M211" s="30" t="s">
        <v>722</v>
      </c>
      <c r="N211" s="31" t="s">
        <v>294</v>
      </c>
      <c r="O211" s="48">
        <v>44758</v>
      </c>
      <c r="P211" s="48"/>
      <c r="Q211" s="16" t="s">
        <v>75</v>
      </c>
      <c r="R211" s="16" t="s">
        <v>75</v>
      </c>
      <c r="S211" s="32" t="s">
        <v>62</v>
      </c>
      <c r="T211" s="32" t="s">
        <v>62</v>
      </c>
      <c r="U211" s="32" t="s">
        <v>62</v>
      </c>
      <c r="V211" s="32"/>
      <c r="W211" s="32" t="s">
        <v>62</v>
      </c>
      <c r="X211" s="32" t="s">
        <v>62</v>
      </c>
      <c r="Y211" s="32"/>
      <c r="Z211" s="32"/>
      <c r="AA211" s="32"/>
      <c r="AB211" s="24"/>
      <c r="AC211" s="24"/>
      <c r="AD211" s="32"/>
      <c r="AE211" s="32" t="s">
        <v>62</v>
      </c>
    </row>
    <row r="212" spans="1:31" ht="22.8" x14ac:dyDescent="0.25">
      <c r="A212" s="28"/>
      <c r="B212" s="20">
        <v>37327</v>
      </c>
      <c r="C212" s="27" t="s">
        <v>64</v>
      </c>
      <c r="D212" s="12" t="s">
        <v>875</v>
      </c>
      <c r="E212" s="20" t="s">
        <v>805</v>
      </c>
      <c r="F212" s="29" t="s">
        <v>806</v>
      </c>
      <c r="G212" s="29" t="s">
        <v>13</v>
      </c>
      <c r="H212" s="19">
        <v>43864</v>
      </c>
      <c r="I212" s="3">
        <v>694</v>
      </c>
      <c r="J212" s="3" t="s">
        <v>58</v>
      </c>
      <c r="K212" s="37" t="s">
        <v>59</v>
      </c>
      <c r="L212" s="31">
        <v>44201</v>
      </c>
      <c r="M212" s="30" t="s">
        <v>722</v>
      </c>
      <c r="N212" s="31" t="s">
        <v>294</v>
      </c>
      <c r="O212" s="48">
        <v>44628</v>
      </c>
      <c r="P212" s="48"/>
      <c r="Q212" s="16" t="s">
        <v>75</v>
      </c>
      <c r="R212" s="16" t="s">
        <v>75</v>
      </c>
      <c r="S212" s="32" t="s">
        <v>68</v>
      </c>
      <c r="T212" s="32" t="s">
        <v>68</v>
      </c>
      <c r="U212" s="32" t="s">
        <v>68</v>
      </c>
      <c r="V212" s="32"/>
      <c r="W212" s="32"/>
      <c r="X212" s="32" t="s">
        <v>68</v>
      </c>
      <c r="Y212" s="32"/>
      <c r="Z212" s="32"/>
      <c r="AA212" s="32"/>
      <c r="AB212" s="24"/>
      <c r="AC212" s="24"/>
      <c r="AD212" s="32" t="s">
        <v>68</v>
      </c>
      <c r="AE212" s="32" t="s">
        <v>68</v>
      </c>
    </row>
    <row r="213" spans="1:31" ht="22.8" x14ac:dyDescent="0.25">
      <c r="A213" s="28"/>
      <c r="B213" s="20">
        <v>37327</v>
      </c>
      <c r="C213" s="27" t="s">
        <v>54</v>
      </c>
      <c r="D213" s="12" t="s">
        <v>878</v>
      </c>
      <c r="E213" s="20" t="s">
        <v>805</v>
      </c>
      <c r="F213" s="29" t="s">
        <v>806</v>
      </c>
      <c r="G213" s="29" t="s">
        <v>13</v>
      </c>
      <c r="H213" s="19">
        <v>43864</v>
      </c>
      <c r="I213" s="3">
        <v>699</v>
      </c>
      <c r="J213" s="3" t="s">
        <v>58</v>
      </c>
      <c r="K213" s="37" t="s">
        <v>59</v>
      </c>
      <c r="L213" s="31">
        <v>44201</v>
      </c>
      <c r="M213" s="30" t="s">
        <v>722</v>
      </c>
      <c r="N213" s="31" t="s">
        <v>294</v>
      </c>
      <c r="O213" s="48">
        <v>44628</v>
      </c>
      <c r="P213" s="48"/>
      <c r="Q213" s="16" t="s">
        <v>75</v>
      </c>
      <c r="R213" s="16" t="s">
        <v>75</v>
      </c>
      <c r="S213" s="32" t="s">
        <v>62</v>
      </c>
      <c r="T213" s="32" t="s">
        <v>62</v>
      </c>
      <c r="U213" s="32" t="s">
        <v>62</v>
      </c>
      <c r="V213" s="32"/>
      <c r="W213" s="32"/>
      <c r="X213" s="32" t="s">
        <v>62</v>
      </c>
      <c r="Y213" s="32"/>
      <c r="Z213" s="32"/>
      <c r="AA213" s="32"/>
      <c r="AB213" s="24"/>
      <c r="AC213" s="24"/>
      <c r="AD213" s="32" t="s">
        <v>62</v>
      </c>
      <c r="AE213" s="32" t="s">
        <v>62</v>
      </c>
    </row>
    <row r="214" spans="1:31" ht="22.8" x14ac:dyDescent="0.25">
      <c r="A214" s="28"/>
      <c r="B214" s="20">
        <v>37331</v>
      </c>
      <c r="C214" s="27" t="s">
        <v>64</v>
      </c>
      <c r="D214" s="12" t="s">
        <v>880</v>
      </c>
      <c r="E214" s="20" t="s">
        <v>805</v>
      </c>
      <c r="F214" s="29" t="s">
        <v>806</v>
      </c>
      <c r="G214" s="29" t="s">
        <v>13</v>
      </c>
      <c r="H214" s="19">
        <v>43868</v>
      </c>
      <c r="I214" s="3">
        <v>692</v>
      </c>
      <c r="J214" s="3" t="s">
        <v>58</v>
      </c>
      <c r="K214" s="37" t="s">
        <v>59</v>
      </c>
      <c r="L214" s="31">
        <v>44067</v>
      </c>
      <c r="M214" s="30" t="s">
        <v>722</v>
      </c>
      <c r="N214" s="31" t="s">
        <v>294</v>
      </c>
      <c r="O214" s="48">
        <v>44661</v>
      </c>
      <c r="P214" s="48"/>
      <c r="Q214" s="16" t="s">
        <v>75</v>
      </c>
      <c r="R214" s="16" t="s">
        <v>75</v>
      </c>
      <c r="S214" s="32" t="s">
        <v>68</v>
      </c>
      <c r="T214" s="32" t="s">
        <v>68</v>
      </c>
      <c r="U214" s="32" t="s">
        <v>68</v>
      </c>
      <c r="V214" s="32"/>
      <c r="W214" s="32" t="s">
        <v>68</v>
      </c>
      <c r="X214" s="32" t="s">
        <v>68</v>
      </c>
      <c r="Y214" s="32"/>
      <c r="Z214" s="32"/>
      <c r="AA214" s="32"/>
      <c r="AB214" s="24"/>
      <c r="AC214" s="24"/>
      <c r="AD214" s="32" t="s">
        <v>68</v>
      </c>
      <c r="AE214" s="93"/>
    </row>
    <row r="215" spans="1:31" ht="22.8" x14ac:dyDescent="0.25">
      <c r="A215" s="28"/>
      <c r="B215" s="20">
        <v>37331</v>
      </c>
      <c r="C215" s="27" t="s">
        <v>54</v>
      </c>
      <c r="D215" s="12" t="s">
        <v>881</v>
      </c>
      <c r="E215" s="20" t="s">
        <v>805</v>
      </c>
      <c r="F215" s="29" t="s">
        <v>806</v>
      </c>
      <c r="G215" s="29" t="s">
        <v>13</v>
      </c>
      <c r="H215" s="19">
        <v>43868</v>
      </c>
      <c r="I215" s="3">
        <v>705</v>
      </c>
      <c r="J215" s="3" t="s">
        <v>58</v>
      </c>
      <c r="K215" s="37" t="s">
        <v>59</v>
      </c>
      <c r="L215" s="31">
        <v>44067</v>
      </c>
      <c r="M215" s="30" t="s">
        <v>722</v>
      </c>
      <c r="N215" s="31" t="s">
        <v>294</v>
      </c>
      <c r="O215" s="48">
        <v>44661</v>
      </c>
      <c r="P215" s="48"/>
      <c r="Q215" s="16" t="s">
        <v>75</v>
      </c>
      <c r="R215" s="16" t="s">
        <v>75</v>
      </c>
      <c r="S215" s="32" t="s">
        <v>62</v>
      </c>
      <c r="T215" s="32" t="s">
        <v>62</v>
      </c>
      <c r="U215" s="32" t="s">
        <v>62</v>
      </c>
      <c r="V215" s="32"/>
      <c r="W215" s="32" t="s">
        <v>62</v>
      </c>
      <c r="X215" s="32" t="s">
        <v>62</v>
      </c>
      <c r="Y215" s="32"/>
      <c r="Z215" s="32"/>
      <c r="AA215" s="32"/>
      <c r="AB215" s="24" t="s">
        <v>604</v>
      </c>
      <c r="AC215" s="24"/>
      <c r="AD215" s="32" t="s">
        <v>62</v>
      </c>
      <c r="AE215" s="93"/>
    </row>
    <row r="216" spans="1:31" x14ac:dyDescent="0.25">
      <c r="A216" s="28"/>
      <c r="B216" s="20">
        <v>37349</v>
      </c>
      <c r="C216" s="27" t="s">
        <v>64</v>
      </c>
      <c r="D216" s="18" t="s">
        <v>2009</v>
      </c>
      <c r="E216" s="20" t="s">
        <v>2010</v>
      </c>
      <c r="F216" s="29" t="s">
        <v>1317</v>
      </c>
      <c r="G216" s="29"/>
      <c r="H216" s="19">
        <v>43904</v>
      </c>
      <c r="I216" s="3">
        <v>604</v>
      </c>
      <c r="J216" s="3" t="s">
        <v>58</v>
      </c>
      <c r="K216" s="30" t="s">
        <v>680</v>
      </c>
      <c r="L216" s="31">
        <v>44086</v>
      </c>
      <c r="M216" s="16" t="s">
        <v>60</v>
      </c>
      <c r="N216" s="33">
        <v>44260</v>
      </c>
      <c r="O216" s="33">
        <v>44293</v>
      </c>
      <c r="P216" s="33"/>
      <c r="Q216" s="16" t="s">
        <v>75</v>
      </c>
      <c r="R216" s="16" t="s">
        <v>75</v>
      </c>
      <c r="S216" s="16" t="s">
        <v>68</v>
      </c>
      <c r="T216" s="16" t="s">
        <v>68</v>
      </c>
      <c r="U216" s="16" t="s">
        <v>68</v>
      </c>
      <c r="V216" s="15"/>
      <c r="W216" s="16"/>
      <c r="X216" s="16" t="s">
        <v>68</v>
      </c>
      <c r="Y216" s="16"/>
      <c r="Z216" s="16"/>
      <c r="AA216" s="16"/>
      <c r="AB216" s="24"/>
      <c r="AC216" s="24"/>
      <c r="AD216" s="16"/>
    </row>
    <row r="217" spans="1:31" ht="22.8" x14ac:dyDescent="0.25">
      <c r="A217" s="28"/>
      <c r="B217" s="20">
        <v>37349</v>
      </c>
      <c r="C217" s="27" t="s">
        <v>54</v>
      </c>
      <c r="D217" s="12" t="s">
        <v>1427</v>
      </c>
      <c r="E217" s="20" t="s">
        <v>2010</v>
      </c>
      <c r="F217" s="29" t="s">
        <v>1317</v>
      </c>
      <c r="G217" s="29"/>
      <c r="H217" s="19">
        <v>43904</v>
      </c>
      <c r="I217" s="3">
        <v>603</v>
      </c>
      <c r="J217" s="3" t="s">
        <v>58</v>
      </c>
      <c r="K217" s="37" t="s">
        <v>59</v>
      </c>
      <c r="L217" s="31">
        <v>44086</v>
      </c>
      <c r="M217" s="30" t="s">
        <v>722</v>
      </c>
      <c r="N217" s="31" t="s">
        <v>294</v>
      </c>
      <c r="O217" s="48">
        <v>44293</v>
      </c>
      <c r="P217" s="48"/>
      <c r="Q217" s="16" t="s">
        <v>75</v>
      </c>
      <c r="R217" s="16" t="s">
        <v>75</v>
      </c>
      <c r="S217" s="30"/>
      <c r="T217" s="30" t="s">
        <v>62</v>
      </c>
      <c r="U217" s="30" t="s">
        <v>62</v>
      </c>
      <c r="V217" s="30"/>
      <c r="W217" s="30"/>
      <c r="X217" s="30" t="s">
        <v>62</v>
      </c>
      <c r="Y217" s="30"/>
      <c r="Z217" s="30"/>
      <c r="AA217" s="30"/>
      <c r="AB217" s="24"/>
      <c r="AC217" s="24"/>
      <c r="AD217" s="30"/>
      <c r="AE217" s="91"/>
    </row>
    <row r="218" spans="1:31" ht="22.8" x14ac:dyDescent="0.25">
      <c r="A218" s="28"/>
      <c r="B218" s="20">
        <v>37351</v>
      </c>
      <c r="C218" s="27" t="s">
        <v>64</v>
      </c>
      <c r="D218" s="12" t="s">
        <v>1431</v>
      </c>
      <c r="E218" s="20" t="s">
        <v>2010</v>
      </c>
      <c r="F218" s="29" t="s">
        <v>1317</v>
      </c>
      <c r="G218" s="29"/>
      <c r="H218" s="19">
        <v>43911</v>
      </c>
      <c r="I218" s="3">
        <v>739</v>
      </c>
      <c r="J218" s="3" t="s">
        <v>58</v>
      </c>
      <c r="K218" s="37" t="s">
        <v>59</v>
      </c>
      <c r="L218" s="31">
        <v>44069</v>
      </c>
      <c r="M218" s="30" t="s">
        <v>60</v>
      </c>
      <c r="N218" s="31" t="s">
        <v>294</v>
      </c>
      <c r="O218" s="48">
        <v>44650</v>
      </c>
      <c r="P218" s="48"/>
      <c r="Q218" s="16" t="s">
        <v>75</v>
      </c>
      <c r="R218" s="16" t="s">
        <v>75</v>
      </c>
      <c r="S218" s="30" t="s">
        <v>68</v>
      </c>
      <c r="T218" s="32" t="s">
        <v>68</v>
      </c>
      <c r="U218" s="32" t="s">
        <v>68</v>
      </c>
      <c r="V218" s="30"/>
      <c r="W218" s="30"/>
      <c r="X218" s="32" t="s">
        <v>68</v>
      </c>
      <c r="Y218" s="30"/>
      <c r="Z218" s="30"/>
      <c r="AA218" s="30"/>
      <c r="AB218" s="24"/>
      <c r="AC218" s="24"/>
      <c r="AD218" s="30" t="s">
        <v>68</v>
      </c>
      <c r="AE218" s="91"/>
    </row>
    <row r="219" spans="1:31" ht="22.8" x14ac:dyDescent="0.25">
      <c r="A219" s="28"/>
      <c r="B219" s="20">
        <v>37351</v>
      </c>
      <c r="C219" s="27" t="s">
        <v>54</v>
      </c>
      <c r="D219" s="12" t="s">
        <v>1432</v>
      </c>
      <c r="E219" s="20" t="s">
        <v>2010</v>
      </c>
      <c r="F219" s="29" t="s">
        <v>1317</v>
      </c>
      <c r="G219" s="29"/>
      <c r="H219" s="19">
        <v>43911</v>
      </c>
      <c r="I219" s="3">
        <v>738</v>
      </c>
      <c r="J219" s="3" t="s">
        <v>58</v>
      </c>
      <c r="K219" s="37" t="s">
        <v>59</v>
      </c>
      <c r="L219" s="31">
        <v>44069</v>
      </c>
      <c r="M219" s="30" t="s">
        <v>60</v>
      </c>
      <c r="N219" s="31" t="s">
        <v>294</v>
      </c>
      <c r="O219" s="48">
        <v>44650</v>
      </c>
      <c r="P219" s="48"/>
      <c r="Q219" s="16" t="s">
        <v>75</v>
      </c>
      <c r="R219" s="16" t="s">
        <v>75</v>
      </c>
      <c r="S219" s="30" t="s">
        <v>62</v>
      </c>
      <c r="T219" s="32" t="s">
        <v>62</v>
      </c>
      <c r="U219" s="32" t="s">
        <v>62</v>
      </c>
      <c r="V219" s="30"/>
      <c r="W219" s="30"/>
      <c r="X219" s="32" t="s">
        <v>62</v>
      </c>
      <c r="Y219" s="30"/>
      <c r="Z219" s="30"/>
      <c r="AA219" s="30"/>
      <c r="AB219" s="24"/>
      <c r="AC219" s="24"/>
      <c r="AD219" s="30" t="s">
        <v>62</v>
      </c>
      <c r="AE219" s="91"/>
    </row>
    <row r="220" spans="1:31" ht="22.8" x14ac:dyDescent="0.25">
      <c r="A220" s="28"/>
      <c r="B220" s="20">
        <v>37365</v>
      </c>
      <c r="C220" s="27" t="s">
        <v>64</v>
      </c>
      <c r="D220" s="12" t="s">
        <v>883</v>
      </c>
      <c r="E220" s="20" t="s">
        <v>805</v>
      </c>
      <c r="F220" s="29" t="s">
        <v>806</v>
      </c>
      <c r="G220" s="29" t="s">
        <v>13</v>
      </c>
      <c r="H220" s="19">
        <v>43981</v>
      </c>
      <c r="I220" s="3">
        <v>743</v>
      </c>
      <c r="J220" s="3" t="s">
        <v>58</v>
      </c>
      <c r="K220" s="37" t="s">
        <v>59</v>
      </c>
      <c r="L220" s="31">
        <v>44114</v>
      </c>
      <c r="M220" s="30" t="s">
        <v>60</v>
      </c>
      <c r="N220" s="31" t="s">
        <v>294</v>
      </c>
      <c r="O220" s="48">
        <v>44623</v>
      </c>
      <c r="P220" s="48"/>
      <c r="Q220" s="16" t="s">
        <v>75</v>
      </c>
      <c r="R220" s="16" t="s">
        <v>75</v>
      </c>
      <c r="S220" s="32" t="s">
        <v>68</v>
      </c>
      <c r="T220" s="32" t="s">
        <v>68</v>
      </c>
      <c r="U220" s="32" t="s">
        <v>68</v>
      </c>
      <c r="V220" s="30"/>
      <c r="W220" s="30"/>
      <c r="X220" s="32" t="s">
        <v>68</v>
      </c>
      <c r="Y220" s="30"/>
      <c r="Z220" s="30"/>
      <c r="AA220" s="30"/>
      <c r="AB220" s="24"/>
      <c r="AC220" s="24"/>
      <c r="AD220" s="30" t="s">
        <v>68</v>
      </c>
      <c r="AE220" s="30" t="s">
        <v>68</v>
      </c>
    </row>
    <row r="221" spans="1:31" ht="22.8" x14ac:dyDescent="0.25">
      <c r="A221" s="28"/>
      <c r="B221" s="20">
        <v>37365</v>
      </c>
      <c r="C221" s="27" t="s">
        <v>54</v>
      </c>
      <c r="D221" s="12" t="s">
        <v>884</v>
      </c>
      <c r="E221" s="20" t="s">
        <v>805</v>
      </c>
      <c r="F221" s="29" t="s">
        <v>806</v>
      </c>
      <c r="G221" s="29" t="s">
        <v>13</v>
      </c>
      <c r="H221" s="19">
        <v>43981</v>
      </c>
      <c r="I221" s="3">
        <v>737</v>
      </c>
      <c r="J221" s="3" t="s">
        <v>58</v>
      </c>
      <c r="K221" s="37" t="s">
        <v>59</v>
      </c>
      <c r="L221" s="31">
        <v>44114</v>
      </c>
      <c r="M221" s="30" t="s">
        <v>60</v>
      </c>
      <c r="N221" s="31" t="s">
        <v>294</v>
      </c>
      <c r="O221" s="48">
        <v>44623</v>
      </c>
      <c r="P221" s="48"/>
      <c r="Q221" s="16" t="s">
        <v>75</v>
      </c>
      <c r="R221" s="16" t="s">
        <v>75</v>
      </c>
      <c r="S221" s="32" t="s">
        <v>62</v>
      </c>
      <c r="T221" s="32" t="s">
        <v>62</v>
      </c>
      <c r="U221" s="32" t="s">
        <v>62</v>
      </c>
      <c r="V221" s="30"/>
      <c r="W221" s="30"/>
      <c r="X221" s="32" t="s">
        <v>62</v>
      </c>
      <c r="Y221" s="30"/>
      <c r="Z221" s="30"/>
      <c r="AA221" s="30"/>
      <c r="AB221" s="24"/>
      <c r="AC221" s="24"/>
      <c r="AD221" s="30" t="s">
        <v>62</v>
      </c>
      <c r="AE221" s="91"/>
    </row>
    <row r="222" spans="1:31" ht="22.8" x14ac:dyDescent="0.25">
      <c r="A222" s="28"/>
      <c r="B222" s="20">
        <v>37374</v>
      </c>
      <c r="C222" s="27" t="s">
        <v>64</v>
      </c>
      <c r="D222" s="12" t="s">
        <v>1433</v>
      </c>
      <c r="E222" s="20" t="s">
        <v>2011</v>
      </c>
      <c r="F222" s="29" t="s">
        <v>1317</v>
      </c>
      <c r="G222" s="29"/>
      <c r="H222" s="19">
        <v>43998</v>
      </c>
      <c r="I222" s="3">
        <v>732</v>
      </c>
      <c r="J222" s="3" t="s">
        <v>58</v>
      </c>
      <c r="K222" s="37" t="s">
        <v>59</v>
      </c>
      <c r="L222" s="31">
        <v>44063</v>
      </c>
      <c r="M222" s="30" t="s">
        <v>60</v>
      </c>
      <c r="N222" s="31" t="s">
        <v>294</v>
      </c>
      <c r="O222" s="48">
        <v>44636</v>
      </c>
      <c r="P222" s="48"/>
      <c r="Q222" s="16" t="s">
        <v>75</v>
      </c>
      <c r="R222" s="16" t="s">
        <v>75</v>
      </c>
      <c r="S222" s="32" t="s">
        <v>68</v>
      </c>
      <c r="T222" s="32" t="s">
        <v>68</v>
      </c>
      <c r="U222" s="32" t="s">
        <v>68</v>
      </c>
      <c r="V222" s="32"/>
      <c r="W222" s="32"/>
      <c r="X222" s="32" t="s">
        <v>68</v>
      </c>
      <c r="Y222" s="32"/>
      <c r="Z222" s="32"/>
      <c r="AA222" s="32"/>
      <c r="AB222" s="24"/>
      <c r="AC222" s="24"/>
      <c r="AD222" s="32" t="s">
        <v>68</v>
      </c>
      <c r="AE222" s="93"/>
    </row>
    <row r="223" spans="1:31" ht="22.8" x14ac:dyDescent="0.25">
      <c r="A223" s="28"/>
      <c r="B223" s="20">
        <v>37374</v>
      </c>
      <c r="C223" s="27" t="s">
        <v>54</v>
      </c>
      <c r="D223" s="12" t="s">
        <v>1434</v>
      </c>
      <c r="E223" s="20" t="s">
        <v>2010</v>
      </c>
      <c r="F223" s="29" t="s">
        <v>1317</v>
      </c>
      <c r="G223" s="29"/>
      <c r="H223" s="19">
        <v>43998</v>
      </c>
      <c r="I223" s="3">
        <v>748</v>
      </c>
      <c r="J223" s="3" t="s">
        <v>58</v>
      </c>
      <c r="K223" s="37" t="s">
        <v>59</v>
      </c>
      <c r="L223" s="31">
        <v>44063</v>
      </c>
      <c r="M223" s="30" t="s">
        <v>60</v>
      </c>
      <c r="N223" s="31" t="s">
        <v>294</v>
      </c>
      <c r="O223" s="48">
        <v>44636</v>
      </c>
      <c r="P223" s="48"/>
      <c r="Q223" s="16" t="s">
        <v>75</v>
      </c>
      <c r="R223" s="16" t="s">
        <v>75</v>
      </c>
      <c r="S223" s="32" t="s">
        <v>62</v>
      </c>
      <c r="T223" s="32" t="s">
        <v>62</v>
      </c>
      <c r="U223" s="32" t="s">
        <v>62</v>
      </c>
      <c r="V223" s="32"/>
      <c r="W223" s="32"/>
      <c r="X223" s="32" t="s">
        <v>62</v>
      </c>
      <c r="Y223" s="32"/>
      <c r="Z223" s="32"/>
      <c r="AA223" s="32"/>
      <c r="AB223" s="24"/>
      <c r="AC223" s="24"/>
      <c r="AD223" s="32" t="s">
        <v>62</v>
      </c>
      <c r="AE223" s="93"/>
    </row>
    <row r="224" spans="1:31" ht="22.8" x14ac:dyDescent="0.25">
      <c r="A224" s="28"/>
      <c r="B224" s="20">
        <v>37377</v>
      </c>
      <c r="C224" s="27" t="s">
        <v>64</v>
      </c>
      <c r="D224" s="12" t="s">
        <v>885</v>
      </c>
      <c r="E224" s="20" t="s">
        <v>862</v>
      </c>
      <c r="F224" s="29" t="s">
        <v>863</v>
      </c>
      <c r="G224" s="29" t="s">
        <v>13</v>
      </c>
      <c r="H224" s="19">
        <v>44009</v>
      </c>
      <c r="I224" s="3">
        <v>609</v>
      </c>
      <c r="J224" s="3" t="s">
        <v>58</v>
      </c>
      <c r="K224" s="37" t="s">
        <v>59</v>
      </c>
      <c r="L224" s="31">
        <v>44078</v>
      </c>
      <c r="M224" s="16" t="s">
        <v>60</v>
      </c>
      <c r="N224" s="31" t="s">
        <v>294</v>
      </c>
      <c r="O224" s="31">
        <v>44384</v>
      </c>
      <c r="P224" s="31"/>
      <c r="Q224" s="16" t="s">
        <v>75</v>
      </c>
      <c r="R224" s="16" t="s">
        <v>75</v>
      </c>
      <c r="S224" s="32" t="s">
        <v>68</v>
      </c>
      <c r="T224" s="32" t="s">
        <v>68</v>
      </c>
      <c r="U224" s="32" t="s">
        <v>68</v>
      </c>
      <c r="V224" s="32"/>
      <c r="W224" s="32"/>
      <c r="X224" s="32" t="s">
        <v>68</v>
      </c>
      <c r="Y224" s="32"/>
      <c r="Z224" s="32"/>
      <c r="AA224" s="32"/>
      <c r="AB224" s="24"/>
      <c r="AC224" s="24"/>
      <c r="AD224" s="32"/>
      <c r="AE224" s="93"/>
    </row>
    <row r="225" spans="1:31" ht="22.8" x14ac:dyDescent="0.25">
      <c r="A225" s="28"/>
      <c r="B225" s="20">
        <v>37377</v>
      </c>
      <c r="C225" s="27" t="s">
        <v>54</v>
      </c>
      <c r="D225" s="12" t="s">
        <v>886</v>
      </c>
      <c r="E225" s="20" t="s">
        <v>862</v>
      </c>
      <c r="F225" s="29" t="s">
        <v>863</v>
      </c>
      <c r="G225" s="29" t="s">
        <v>13</v>
      </c>
      <c r="H225" s="19">
        <v>44009</v>
      </c>
      <c r="I225" s="3">
        <v>580</v>
      </c>
      <c r="J225" s="3" t="s">
        <v>58</v>
      </c>
      <c r="K225" s="37" t="s">
        <v>59</v>
      </c>
      <c r="L225" s="31">
        <v>44079</v>
      </c>
      <c r="M225" s="16" t="s">
        <v>60</v>
      </c>
      <c r="N225" s="31" t="s">
        <v>294</v>
      </c>
      <c r="O225" s="48">
        <v>44384</v>
      </c>
      <c r="P225" s="48"/>
      <c r="Q225" s="16" t="s">
        <v>75</v>
      </c>
      <c r="R225" s="16" t="s">
        <v>75</v>
      </c>
      <c r="S225" s="32" t="s">
        <v>62</v>
      </c>
      <c r="T225" s="32" t="s">
        <v>62</v>
      </c>
      <c r="U225" s="32" t="s">
        <v>62</v>
      </c>
      <c r="V225" s="32"/>
      <c r="W225" s="32"/>
      <c r="X225" s="32" t="s">
        <v>62</v>
      </c>
      <c r="Y225" s="32"/>
      <c r="Z225" s="32"/>
      <c r="AA225" s="32"/>
      <c r="AB225" s="24"/>
      <c r="AC225" s="24"/>
      <c r="AD225" s="32"/>
      <c r="AE225" s="93"/>
    </row>
    <row r="226" spans="1:31" ht="22.8" x14ac:dyDescent="0.25">
      <c r="A226" s="28"/>
      <c r="B226" s="20">
        <v>37378</v>
      </c>
      <c r="C226" s="27" t="s">
        <v>64</v>
      </c>
      <c r="D226" s="18" t="s">
        <v>2012</v>
      </c>
      <c r="E226" s="20" t="s">
        <v>862</v>
      </c>
      <c r="F226" s="29" t="s">
        <v>863</v>
      </c>
      <c r="G226" s="29" t="s">
        <v>13</v>
      </c>
      <c r="H226" s="19">
        <v>44008</v>
      </c>
      <c r="I226" s="3">
        <v>600</v>
      </c>
      <c r="J226" s="3" t="s">
        <v>58</v>
      </c>
      <c r="K226" s="37" t="s">
        <v>59</v>
      </c>
      <c r="L226" s="31">
        <v>44074</v>
      </c>
      <c r="M226" s="16" t="s">
        <v>60</v>
      </c>
      <c r="N226" s="33">
        <v>44252</v>
      </c>
      <c r="O226" s="33">
        <v>44366</v>
      </c>
      <c r="P226" s="33"/>
      <c r="Q226" s="16" t="s">
        <v>75</v>
      </c>
      <c r="R226" s="16" t="s">
        <v>75</v>
      </c>
      <c r="S226" s="16"/>
      <c r="T226" s="16" t="s">
        <v>68</v>
      </c>
      <c r="U226" s="16" t="s">
        <v>68</v>
      </c>
      <c r="V226" s="15"/>
      <c r="W226" s="16"/>
      <c r="X226" s="16" t="s">
        <v>68</v>
      </c>
      <c r="Y226" s="16"/>
      <c r="Z226" s="16"/>
      <c r="AA226" s="16"/>
      <c r="AB226" s="24"/>
      <c r="AC226" s="24"/>
      <c r="AD226" s="16"/>
    </row>
    <row r="227" spans="1:31" ht="22.8" x14ac:dyDescent="0.25">
      <c r="A227" s="28"/>
      <c r="B227" s="20">
        <v>37378</v>
      </c>
      <c r="C227" s="27" t="s">
        <v>54</v>
      </c>
      <c r="D227" s="12" t="s">
        <v>889</v>
      </c>
      <c r="E227" s="20" t="s">
        <v>862</v>
      </c>
      <c r="F227" s="29" t="s">
        <v>863</v>
      </c>
      <c r="G227" s="29" t="s">
        <v>13</v>
      </c>
      <c r="H227" s="19">
        <v>44008</v>
      </c>
      <c r="I227" s="3">
        <v>715</v>
      </c>
      <c r="J227" s="3" t="s">
        <v>58</v>
      </c>
      <c r="K227" s="37" t="s">
        <v>59</v>
      </c>
      <c r="L227" s="31">
        <v>44074</v>
      </c>
      <c r="M227" s="30" t="s">
        <v>60</v>
      </c>
      <c r="N227" s="31" t="s">
        <v>294</v>
      </c>
      <c r="O227" s="48">
        <v>44366</v>
      </c>
      <c r="P227" s="48"/>
      <c r="Q227" s="16" t="s">
        <v>75</v>
      </c>
      <c r="R227" s="16" t="s">
        <v>75</v>
      </c>
      <c r="S227" s="30"/>
      <c r="T227" s="32" t="s">
        <v>62</v>
      </c>
      <c r="U227" s="32" t="s">
        <v>62</v>
      </c>
      <c r="V227" s="30"/>
      <c r="W227" s="30"/>
      <c r="X227" s="32" t="s">
        <v>62</v>
      </c>
      <c r="Y227" s="30"/>
      <c r="Z227" s="30"/>
      <c r="AA227" s="30"/>
      <c r="AB227" s="24"/>
      <c r="AC227" s="24"/>
      <c r="AD227" s="30"/>
      <c r="AE227" s="91"/>
    </row>
    <row r="228" spans="1:31" ht="22.8" x14ac:dyDescent="0.25">
      <c r="A228" s="28"/>
      <c r="B228" s="20">
        <v>37422</v>
      </c>
      <c r="C228" s="27" t="s">
        <v>64</v>
      </c>
      <c r="D228" s="12" t="s">
        <v>1435</v>
      </c>
      <c r="E228" s="20" t="s">
        <v>2010</v>
      </c>
      <c r="F228" s="29" t="s">
        <v>1317</v>
      </c>
      <c r="G228" s="29"/>
      <c r="H228" s="19">
        <v>44061</v>
      </c>
      <c r="I228" s="3">
        <v>806</v>
      </c>
      <c r="J228" s="3" t="s">
        <v>58</v>
      </c>
      <c r="K228" s="37" t="s">
        <v>59</v>
      </c>
      <c r="L228" s="31">
        <v>44082</v>
      </c>
      <c r="M228" s="30" t="s">
        <v>60</v>
      </c>
      <c r="N228" s="31" t="s">
        <v>294</v>
      </c>
      <c r="O228" s="48">
        <v>44627</v>
      </c>
      <c r="P228" s="48"/>
      <c r="Q228" s="16" t="s">
        <v>75</v>
      </c>
      <c r="R228" s="16" t="s">
        <v>75</v>
      </c>
      <c r="S228" s="32" t="s">
        <v>68</v>
      </c>
      <c r="T228" s="32" t="s">
        <v>68</v>
      </c>
      <c r="U228" s="32" t="s">
        <v>68</v>
      </c>
      <c r="V228" s="30"/>
      <c r="W228" s="30" t="s">
        <v>68</v>
      </c>
      <c r="X228" s="16" t="s">
        <v>75</v>
      </c>
      <c r="Y228" s="30"/>
      <c r="Z228" s="30"/>
      <c r="AA228" s="30"/>
      <c r="AB228" s="24"/>
      <c r="AC228" s="24"/>
      <c r="AD228" s="30" t="s">
        <v>68</v>
      </c>
      <c r="AE228" s="91"/>
    </row>
    <row r="229" spans="1:31" ht="22.8" x14ac:dyDescent="0.25">
      <c r="A229" s="28"/>
      <c r="B229" s="20">
        <v>37422</v>
      </c>
      <c r="C229" s="27" t="s">
        <v>54</v>
      </c>
      <c r="D229" s="12" t="s">
        <v>1438</v>
      </c>
      <c r="E229" s="20" t="s">
        <v>2010</v>
      </c>
      <c r="F229" s="29" t="s">
        <v>1317</v>
      </c>
      <c r="G229" s="29"/>
      <c r="H229" s="19">
        <v>44061</v>
      </c>
      <c r="I229" s="3">
        <v>830</v>
      </c>
      <c r="J229" s="3" t="s">
        <v>58</v>
      </c>
      <c r="K229" s="37" t="s">
        <v>59</v>
      </c>
      <c r="L229" s="31">
        <v>44082</v>
      </c>
      <c r="M229" s="30" t="s">
        <v>60</v>
      </c>
      <c r="N229" s="31" t="s">
        <v>294</v>
      </c>
      <c r="O229" s="48">
        <v>44627</v>
      </c>
      <c r="P229" s="48"/>
      <c r="Q229" s="16" t="s">
        <v>75</v>
      </c>
      <c r="R229" s="16" t="s">
        <v>75</v>
      </c>
      <c r="S229" s="32" t="s">
        <v>62</v>
      </c>
      <c r="T229" s="32" t="s">
        <v>62</v>
      </c>
      <c r="U229" s="32" t="s">
        <v>62</v>
      </c>
      <c r="V229" s="30"/>
      <c r="W229" s="30" t="s">
        <v>62</v>
      </c>
      <c r="X229" s="16" t="s">
        <v>75</v>
      </c>
      <c r="Y229" s="30"/>
      <c r="Z229" s="30"/>
      <c r="AA229" s="30"/>
      <c r="AB229" s="24"/>
      <c r="AC229" s="24"/>
      <c r="AD229" s="30" t="s">
        <v>62</v>
      </c>
      <c r="AE229" s="91"/>
    </row>
    <row r="230" spans="1:31" ht="22.8" x14ac:dyDescent="0.25">
      <c r="A230" s="28"/>
      <c r="B230" s="20">
        <v>37438</v>
      </c>
      <c r="C230" s="27" t="s">
        <v>64</v>
      </c>
      <c r="D230" s="12" t="s">
        <v>891</v>
      </c>
      <c r="E230" s="20" t="s">
        <v>862</v>
      </c>
      <c r="F230" s="29" t="s">
        <v>863</v>
      </c>
      <c r="G230" s="29" t="s">
        <v>13</v>
      </c>
      <c r="H230" s="19">
        <v>44083</v>
      </c>
      <c r="I230" s="3">
        <v>838</v>
      </c>
      <c r="J230" s="3" t="s">
        <v>58</v>
      </c>
      <c r="K230" s="37" t="s">
        <v>59</v>
      </c>
      <c r="L230" s="31">
        <v>44123</v>
      </c>
      <c r="M230" s="30" t="s">
        <v>60</v>
      </c>
      <c r="N230" s="31" t="s">
        <v>294</v>
      </c>
      <c r="O230" s="48">
        <v>44618</v>
      </c>
      <c r="P230" s="48"/>
      <c r="Q230" s="16" t="s">
        <v>75</v>
      </c>
      <c r="R230" s="16" t="s">
        <v>75</v>
      </c>
      <c r="S230" s="30" t="s">
        <v>68</v>
      </c>
      <c r="T230" s="32" t="s">
        <v>68</v>
      </c>
      <c r="U230" s="32" t="s">
        <v>68</v>
      </c>
      <c r="V230" s="30"/>
      <c r="W230" s="30"/>
      <c r="X230" s="16" t="s">
        <v>75</v>
      </c>
      <c r="Y230" s="30"/>
      <c r="Z230" s="30"/>
      <c r="AA230" s="30"/>
      <c r="AB230" s="24"/>
      <c r="AC230" s="24"/>
      <c r="AD230" s="30" t="s">
        <v>68</v>
      </c>
      <c r="AE230" s="91"/>
    </row>
    <row r="231" spans="1:31" ht="22.8" x14ac:dyDescent="0.25">
      <c r="A231" s="28"/>
      <c r="B231" s="20">
        <v>37438</v>
      </c>
      <c r="C231" s="27" t="s">
        <v>54</v>
      </c>
      <c r="D231" s="12" t="s">
        <v>892</v>
      </c>
      <c r="E231" s="20" t="s">
        <v>862</v>
      </c>
      <c r="F231" s="29" t="s">
        <v>863</v>
      </c>
      <c r="G231" s="29" t="s">
        <v>13</v>
      </c>
      <c r="H231" s="19">
        <v>44083</v>
      </c>
      <c r="I231" s="3">
        <v>836</v>
      </c>
      <c r="J231" s="3" t="s">
        <v>58</v>
      </c>
      <c r="K231" s="37" t="s">
        <v>59</v>
      </c>
      <c r="L231" s="31">
        <v>44123</v>
      </c>
      <c r="M231" s="30" t="s">
        <v>60</v>
      </c>
      <c r="N231" s="31" t="s">
        <v>294</v>
      </c>
      <c r="O231" s="48">
        <v>44618</v>
      </c>
      <c r="P231" s="48"/>
      <c r="Q231" s="16" t="s">
        <v>75</v>
      </c>
      <c r="R231" s="16" t="s">
        <v>75</v>
      </c>
      <c r="S231" s="30" t="s">
        <v>62</v>
      </c>
      <c r="T231" s="32" t="s">
        <v>62</v>
      </c>
      <c r="U231" s="32" t="s">
        <v>62</v>
      </c>
      <c r="V231" s="30"/>
      <c r="W231" s="30"/>
      <c r="X231" s="16" t="s">
        <v>75</v>
      </c>
      <c r="Y231" s="30"/>
      <c r="Z231" s="30"/>
      <c r="AA231" s="30"/>
      <c r="AB231" s="24"/>
      <c r="AC231" s="24"/>
      <c r="AD231" s="30" t="s">
        <v>62</v>
      </c>
      <c r="AE231" s="91"/>
    </row>
    <row r="232" spans="1:31" ht="22.8" x14ac:dyDescent="0.25">
      <c r="A232" s="28"/>
      <c r="B232" s="20">
        <v>37450</v>
      </c>
      <c r="C232" s="27" t="s">
        <v>64</v>
      </c>
      <c r="D232" s="20" t="s">
        <v>893</v>
      </c>
      <c r="E232" s="20" t="s">
        <v>862</v>
      </c>
      <c r="F232" s="29" t="s">
        <v>863</v>
      </c>
      <c r="G232" s="29" t="s">
        <v>13</v>
      </c>
      <c r="H232" s="19">
        <v>44098</v>
      </c>
      <c r="I232" s="3">
        <v>850</v>
      </c>
      <c r="J232" s="3" t="s">
        <v>58</v>
      </c>
      <c r="K232" s="37" t="s">
        <v>59</v>
      </c>
      <c r="L232" s="33">
        <v>44426</v>
      </c>
      <c r="M232" s="30" t="s">
        <v>60</v>
      </c>
      <c r="N232" s="31" t="s">
        <v>294</v>
      </c>
      <c r="O232" s="33"/>
      <c r="P232" s="33"/>
      <c r="Q232" s="16" t="s">
        <v>75</v>
      </c>
      <c r="R232" s="16" t="s">
        <v>75</v>
      </c>
      <c r="S232" s="37"/>
      <c r="T232" s="16" t="s">
        <v>68</v>
      </c>
      <c r="U232" s="16" t="s">
        <v>68</v>
      </c>
      <c r="V232" s="16" t="s">
        <v>68</v>
      </c>
      <c r="W232" s="16"/>
      <c r="X232" s="16" t="s">
        <v>75</v>
      </c>
      <c r="Y232" s="16"/>
      <c r="Z232" s="16"/>
      <c r="AA232" s="16"/>
      <c r="AB232" s="24"/>
      <c r="AC232" s="24"/>
      <c r="AD232" s="16"/>
    </row>
    <row r="233" spans="1:31" ht="22.8" x14ac:dyDescent="0.25">
      <c r="A233" s="28"/>
      <c r="B233" s="20">
        <v>37450</v>
      </c>
      <c r="C233" s="27" t="s">
        <v>54</v>
      </c>
      <c r="D233" s="20" t="s">
        <v>894</v>
      </c>
      <c r="E233" s="20" t="s">
        <v>862</v>
      </c>
      <c r="F233" s="29" t="s">
        <v>863</v>
      </c>
      <c r="G233" s="29" t="s">
        <v>13</v>
      </c>
      <c r="H233" s="19">
        <v>44098</v>
      </c>
      <c r="I233" s="3">
        <v>851</v>
      </c>
      <c r="J233" s="3" t="s">
        <v>58</v>
      </c>
      <c r="K233" s="37" t="s">
        <v>59</v>
      </c>
      <c r="L233" s="33">
        <v>44426</v>
      </c>
      <c r="M233" s="30" t="s">
        <v>60</v>
      </c>
      <c r="N233" s="31" t="s">
        <v>294</v>
      </c>
      <c r="O233" s="33"/>
      <c r="P233" s="33"/>
      <c r="Q233" s="16" t="s">
        <v>75</v>
      </c>
      <c r="R233" s="16" t="s">
        <v>75</v>
      </c>
      <c r="S233" s="37"/>
      <c r="T233" s="16" t="s">
        <v>62</v>
      </c>
      <c r="U233" s="16" t="s">
        <v>62</v>
      </c>
      <c r="V233" s="16" t="s">
        <v>62</v>
      </c>
      <c r="W233" s="16"/>
      <c r="X233" s="16" t="s">
        <v>75</v>
      </c>
      <c r="Y233" s="16"/>
      <c r="Z233" s="16"/>
      <c r="AA233" s="16"/>
      <c r="AB233" s="24"/>
      <c r="AC233" s="24"/>
      <c r="AD233" s="16"/>
    </row>
    <row r="234" spans="1:31" ht="22.8" x14ac:dyDescent="0.25">
      <c r="A234" s="29"/>
      <c r="B234" s="20">
        <v>37508</v>
      </c>
      <c r="C234" s="27" t="s">
        <v>64</v>
      </c>
      <c r="D234" s="20" t="s">
        <v>2013</v>
      </c>
      <c r="E234" s="20" t="s">
        <v>805</v>
      </c>
      <c r="F234" s="3" t="s">
        <v>806</v>
      </c>
      <c r="G234" s="29" t="s">
        <v>13</v>
      </c>
      <c r="H234" s="19">
        <v>44190</v>
      </c>
      <c r="I234" s="3">
        <v>955</v>
      </c>
      <c r="J234" s="3" t="s">
        <v>58</v>
      </c>
      <c r="K234" s="37" t="s">
        <v>59</v>
      </c>
      <c r="L234" s="59">
        <v>44259</v>
      </c>
      <c r="M234" s="101" t="s">
        <v>60</v>
      </c>
      <c r="N234" s="101" t="s">
        <v>294</v>
      </c>
      <c r="O234" s="102">
        <v>44643</v>
      </c>
      <c r="P234" s="24"/>
      <c r="Q234" s="16" t="s">
        <v>75</v>
      </c>
      <c r="R234" s="16" t="s">
        <v>75</v>
      </c>
      <c r="S234" s="101" t="s">
        <v>68</v>
      </c>
      <c r="T234" s="101" t="s">
        <v>68</v>
      </c>
      <c r="U234" s="101" t="s">
        <v>68</v>
      </c>
      <c r="V234" s="24"/>
      <c r="W234" s="24"/>
      <c r="X234" s="16" t="s">
        <v>75</v>
      </c>
      <c r="Y234" s="24"/>
      <c r="Z234" s="24"/>
      <c r="AA234" s="24"/>
      <c r="AB234" s="24"/>
      <c r="AC234" s="24"/>
      <c r="AD234" s="24" t="s">
        <v>68</v>
      </c>
      <c r="AE234" s="24" t="s">
        <v>68</v>
      </c>
    </row>
    <row r="235" spans="1:31" ht="22.8" x14ac:dyDescent="0.25">
      <c r="A235" s="29"/>
      <c r="B235" s="20">
        <v>37508</v>
      </c>
      <c r="C235" s="27" t="s">
        <v>54</v>
      </c>
      <c r="D235" s="20" t="s">
        <v>2014</v>
      </c>
      <c r="E235" s="20" t="s">
        <v>805</v>
      </c>
      <c r="F235" s="3" t="s">
        <v>806</v>
      </c>
      <c r="G235" s="29" t="s">
        <v>13</v>
      </c>
      <c r="H235" s="19">
        <v>44190</v>
      </c>
      <c r="I235" s="3">
        <v>954</v>
      </c>
      <c r="J235" s="3" t="s">
        <v>58</v>
      </c>
      <c r="K235" s="37" t="s">
        <v>59</v>
      </c>
      <c r="L235" s="59">
        <v>44259</v>
      </c>
      <c r="M235" s="101" t="s">
        <v>60</v>
      </c>
      <c r="N235" s="101" t="s">
        <v>294</v>
      </c>
      <c r="O235" s="102">
        <v>44643</v>
      </c>
      <c r="P235" s="24"/>
      <c r="Q235" s="16" t="s">
        <v>75</v>
      </c>
      <c r="R235" s="16" t="s">
        <v>75</v>
      </c>
      <c r="S235" s="101" t="s">
        <v>62</v>
      </c>
      <c r="T235" s="101" t="s">
        <v>62</v>
      </c>
      <c r="U235" s="101" t="s">
        <v>62</v>
      </c>
      <c r="V235" s="24"/>
      <c r="W235" s="24"/>
      <c r="X235" s="16" t="s">
        <v>75</v>
      </c>
      <c r="Y235" s="24"/>
      <c r="Z235" s="24"/>
      <c r="AA235" s="24"/>
      <c r="AB235" s="24"/>
      <c r="AC235" s="24"/>
      <c r="AD235" s="24" t="s">
        <v>62</v>
      </c>
      <c r="AE235" s="24" t="s">
        <v>62</v>
      </c>
    </row>
    <row r="236" spans="1:31" ht="22.8" x14ac:dyDescent="0.25">
      <c r="A236" s="28"/>
      <c r="B236" s="20">
        <v>39021</v>
      </c>
      <c r="C236" s="27" t="s">
        <v>64</v>
      </c>
      <c r="D236" s="12" t="s">
        <v>895</v>
      </c>
      <c r="E236" s="20" t="s">
        <v>805</v>
      </c>
      <c r="F236" s="29" t="s">
        <v>806</v>
      </c>
      <c r="G236" s="29" t="s">
        <v>13</v>
      </c>
      <c r="H236" s="19">
        <v>43412</v>
      </c>
      <c r="I236" s="3">
        <v>219</v>
      </c>
      <c r="J236" s="3" t="s">
        <v>58</v>
      </c>
      <c r="K236" s="37" t="s">
        <v>59</v>
      </c>
      <c r="L236" s="31">
        <v>44071</v>
      </c>
      <c r="M236" s="30" t="s">
        <v>60</v>
      </c>
      <c r="N236" s="31" t="s">
        <v>294</v>
      </c>
      <c r="O236" s="48">
        <v>44741</v>
      </c>
      <c r="P236" s="48"/>
      <c r="Q236" s="32"/>
      <c r="R236" s="32" t="s">
        <v>68</v>
      </c>
      <c r="S236" s="32" t="s">
        <v>68</v>
      </c>
      <c r="T236" s="32" t="s">
        <v>68</v>
      </c>
      <c r="U236" s="32" t="s">
        <v>68</v>
      </c>
      <c r="V236" s="32"/>
      <c r="W236" s="32"/>
      <c r="X236" s="32" t="s">
        <v>68</v>
      </c>
      <c r="Y236" s="32"/>
      <c r="Z236" s="32"/>
      <c r="AA236" s="32"/>
      <c r="AB236" s="24" t="s">
        <v>2015</v>
      </c>
      <c r="AC236" s="24"/>
      <c r="AD236" s="32" t="s">
        <v>68</v>
      </c>
      <c r="AE236" s="93"/>
    </row>
    <row r="237" spans="1:31" ht="22.8" x14ac:dyDescent="0.25">
      <c r="A237" s="28"/>
      <c r="B237" s="20">
        <v>39021</v>
      </c>
      <c r="C237" s="27" t="s">
        <v>54</v>
      </c>
      <c r="D237" s="12" t="s">
        <v>898</v>
      </c>
      <c r="E237" s="20" t="s">
        <v>805</v>
      </c>
      <c r="F237" s="29" t="s">
        <v>806</v>
      </c>
      <c r="G237" s="29" t="s">
        <v>13</v>
      </c>
      <c r="H237" s="19">
        <v>43412</v>
      </c>
      <c r="I237" s="3">
        <v>218</v>
      </c>
      <c r="J237" s="3" t="s">
        <v>58</v>
      </c>
      <c r="K237" s="37" t="s">
        <v>59</v>
      </c>
      <c r="L237" s="31">
        <v>44068</v>
      </c>
      <c r="M237" s="30" t="s">
        <v>60</v>
      </c>
      <c r="N237" s="31" t="s">
        <v>294</v>
      </c>
      <c r="O237" s="48">
        <v>44741</v>
      </c>
      <c r="P237" s="48"/>
      <c r="Q237" s="32"/>
      <c r="R237" s="32" t="s">
        <v>62</v>
      </c>
      <c r="S237" s="32" t="s">
        <v>62</v>
      </c>
      <c r="T237" s="32" t="s">
        <v>62</v>
      </c>
      <c r="U237" s="32" t="s">
        <v>62</v>
      </c>
      <c r="V237" s="32"/>
      <c r="W237" s="32"/>
      <c r="X237" s="32" t="s">
        <v>62</v>
      </c>
      <c r="Y237" s="32"/>
      <c r="Z237" s="32"/>
      <c r="AA237" s="32"/>
      <c r="AB237" s="24" t="s">
        <v>2008</v>
      </c>
      <c r="AC237" s="24"/>
      <c r="AD237" s="32" t="s">
        <v>62</v>
      </c>
      <c r="AE237" s="93"/>
    </row>
    <row r="238" spans="1:31" ht="22.8" x14ac:dyDescent="0.25">
      <c r="A238" s="28"/>
      <c r="B238" s="20">
        <v>39022</v>
      </c>
      <c r="C238" s="27" t="s">
        <v>64</v>
      </c>
      <c r="D238" s="12" t="s">
        <v>900</v>
      </c>
      <c r="E238" s="20" t="s">
        <v>805</v>
      </c>
      <c r="F238" s="29" t="s">
        <v>806</v>
      </c>
      <c r="G238" s="29" t="s">
        <v>13</v>
      </c>
      <c r="H238" s="19">
        <v>43477</v>
      </c>
      <c r="I238" s="3">
        <v>220</v>
      </c>
      <c r="J238" s="3" t="s">
        <v>58</v>
      </c>
      <c r="K238" s="37" t="s">
        <v>59</v>
      </c>
      <c r="L238" s="31">
        <v>44068</v>
      </c>
      <c r="M238" s="30" t="s">
        <v>60</v>
      </c>
      <c r="N238" s="31" t="s">
        <v>294</v>
      </c>
      <c r="O238" s="48">
        <v>44648</v>
      </c>
      <c r="P238" s="48"/>
      <c r="Q238" s="32"/>
      <c r="R238" s="32" t="s">
        <v>68</v>
      </c>
      <c r="S238" s="32" t="s">
        <v>68</v>
      </c>
      <c r="T238" s="32" t="s">
        <v>68</v>
      </c>
      <c r="U238" s="32" t="s">
        <v>68</v>
      </c>
      <c r="V238" s="32"/>
      <c r="W238" s="32"/>
      <c r="X238" s="32"/>
      <c r="Y238" s="32"/>
      <c r="Z238" s="32"/>
      <c r="AA238" s="32"/>
      <c r="AB238" s="24" t="s">
        <v>2016</v>
      </c>
      <c r="AC238" s="24"/>
      <c r="AD238" s="32" t="s">
        <v>68</v>
      </c>
      <c r="AE238" s="93"/>
    </row>
    <row r="239" spans="1:31" ht="22.8" x14ac:dyDescent="0.25">
      <c r="A239" s="28"/>
      <c r="B239" s="20">
        <v>39022</v>
      </c>
      <c r="C239" s="27" t="s">
        <v>54</v>
      </c>
      <c r="D239" s="12" t="s">
        <v>903</v>
      </c>
      <c r="E239" s="20" t="s">
        <v>805</v>
      </c>
      <c r="F239" s="29" t="s">
        <v>806</v>
      </c>
      <c r="G239" s="29" t="s">
        <v>13</v>
      </c>
      <c r="H239" s="19">
        <v>43477</v>
      </c>
      <c r="I239" s="3">
        <v>221</v>
      </c>
      <c r="J239" s="3" t="s">
        <v>58</v>
      </c>
      <c r="K239" s="37" t="s">
        <v>59</v>
      </c>
      <c r="L239" s="31">
        <v>44068</v>
      </c>
      <c r="M239" s="30" t="s">
        <v>60</v>
      </c>
      <c r="N239" s="31" t="s">
        <v>294</v>
      </c>
      <c r="O239" s="48">
        <v>44648</v>
      </c>
      <c r="P239" s="48"/>
      <c r="Q239" s="32"/>
      <c r="R239" s="32" t="s">
        <v>62</v>
      </c>
      <c r="S239" s="32" t="s">
        <v>62</v>
      </c>
      <c r="T239" s="32" t="s">
        <v>62</v>
      </c>
      <c r="U239" s="32" t="s">
        <v>62</v>
      </c>
      <c r="V239" s="32"/>
      <c r="W239" s="32"/>
      <c r="X239" s="32"/>
      <c r="Y239" s="32"/>
      <c r="Z239" s="32"/>
      <c r="AA239" s="32"/>
      <c r="AB239" s="24" t="s">
        <v>2008</v>
      </c>
      <c r="AC239" s="24"/>
      <c r="AD239" s="32" t="s">
        <v>62</v>
      </c>
      <c r="AE239" s="93"/>
    </row>
    <row r="240" spans="1:31" ht="22.8" x14ac:dyDescent="0.25">
      <c r="A240" s="28"/>
      <c r="B240" s="20">
        <v>39023</v>
      </c>
      <c r="C240" s="27" t="s">
        <v>64</v>
      </c>
      <c r="D240" s="12" t="s">
        <v>906</v>
      </c>
      <c r="E240" s="20" t="s">
        <v>862</v>
      </c>
      <c r="F240" s="29" t="s">
        <v>863</v>
      </c>
      <c r="G240" s="29" t="s">
        <v>13</v>
      </c>
      <c r="H240" s="19">
        <v>43480</v>
      </c>
      <c r="I240" s="3">
        <v>237</v>
      </c>
      <c r="J240" s="3" t="s">
        <v>58</v>
      </c>
      <c r="K240" s="37" t="s">
        <v>59</v>
      </c>
      <c r="L240" s="31">
        <v>44139</v>
      </c>
      <c r="M240" s="30" t="s">
        <v>722</v>
      </c>
      <c r="N240" s="31" t="s">
        <v>294</v>
      </c>
      <c r="O240" s="48">
        <v>44375</v>
      </c>
      <c r="P240" s="48"/>
      <c r="Q240" s="32"/>
      <c r="R240" s="32" t="s">
        <v>68</v>
      </c>
      <c r="S240" s="32" t="s">
        <v>68</v>
      </c>
      <c r="T240" s="32" t="s">
        <v>68</v>
      </c>
      <c r="U240" s="32" t="s">
        <v>68</v>
      </c>
      <c r="V240" s="32"/>
      <c r="W240" s="32"/>
      <c r="X240" s="32"/>
      <c r="Y240" s="32"/>
      <c r="Z240" s="32"/>
      <c r="AA240" s="32"/>
      <c r="AB240" s="24"/>
      <c r="AC240" s="24"/>
      <c r="AD240" s="32"/>
      <c r="AE240" s="93"/>
    </row>
    <row r="241" spans="1:31" ht="22.8" x14ac:dyDescent="0.25">
      <c r="A241" s="28"/>
      <c r="B241" s="20">
        <v>39023</v>
      </c>
      <c r="C241" s="27" t="s">
        <v>54</v>
      </c>
      <c r="D241" s="12" t="s">
        <v>908</v>
      </c>
      <c r="E241" s="20" t="s">
        <v>862</v>
      </c>
      <c r="F241" s="29" t="s">
        <v>863</v>
      </c>
      <c r="G241" s="29" t="s">
        <v>13</v>
      </c>
      <c r="H241" s="19">
        <v>43480</v>
      </c>
      <c r="I241" s="3">
        <v>224</v>
      </c>
      <c r="J241" s="3" t="s">
        <v>58</v>
      </c>
      <c r="K241" s="37" t="s">
        <v>59</v>
      </c>
      <c r="L241" s="31">
        <v>44139</v>
      </c>
      <c r="M241" s="30" t="s">
        <v>722</v>
      </c>
      <c r="N241" s="31" t="s">
        <v>294</v>
      </c>
      <c r="O241" s="48">
        <v>44375</v>
      </c>
      <c r="P241" s="48"/>
      <c r="Q241" s="32"/>
      <c r="R241" s="32" t="s">
        <v>62</v>
      </c>
      <c r="S241" s="32" t="s">
        <v>62</v>
      </c>
      <c r="T241" s="32" t="s">
        <v>62</v>
      </c>
      <c r="U241" s="32" t="s">
        <v>62</v>
      </c>
      <c r="V241" s="32"/>
      <c r="W241" s="32"/>
      <c r="X241" s="32"/>
      <c r="Y241" s="32"/>
      <c r="Z241" s="32"/>
      <c r="AA241" s="32"/>
      <c r="AB241" s="24"/>
      <c r="AC241" s="24"/>
      <c r="AD241" s="32"/>
      <c r="AE241" s="93"/>
    </row>
    <row r="242" spans="1:31" ht="22.8" x14ac:dyDescent="0.25">
      <c r="A242" s="28"/>
      <c r="B242" s="20">
        <v>39032</v>
      </c>
      <c r="C242" s="27" t="s">
        <v>64</v>
      </c>
      <c r="D242" s="12" t="s">
        <v>910</v>
      </c>
      <c r="E242" s="20" t="s">
        <v>805</v>
      </c>
      <c r="F242" s="29" t="s">
        <v>806</v>
      </c>
      <c r="G242" s="29" t="s">
        <v>13</v>
      </c>
      <c r="H242" s="19">
        <v>43514</v>
      </c>
      <c r="I242" s="3">
        <v>253</v>
      </c>
      <c r="J242" s="3" t="s">
        <v>58</v>
      </c>
      <c r="K242" s="37" t="s">
        <v>59</v>
      </c>
      <c r="L242" s="31">
        <v>44078</v>
      </c>
      <c r="M242" s="30" t="s">
        <v>60</v>
      </c>
      <c r="N242" s="31" t="s">
        <v>294</v>
      </c>
      <c r="O242" s="48">
        <v>44740</v>
      </c>
      <c r="P242" s="48"/>
      <c r="Q242" s="32"/>
      <c r="R242" s="32" t="s">
        <v>68</v>
      </c>
      <c r="S242" s="32" t="s">
        <v>68</v>
      </c>
      <c r="T242" s="32" t="s">
        <v>68</v>
      </c>
      <c r="U242" s="32" t="s">
        <v>68</v>
      </c>
      <c r="V242" s="32"/>
      <c r="W242" s="32"/>
      <c r="X242" s="32"/>
      <c r="Y242" s="32"/>
      <c r="Z242" s="32"/>
      <c r="AA242" s="32"/>
      <c r="AB242" s="24" t="s">
        <v>2017</v>
      </c>
      <c r="AC242" s="24"/>
      <c r="AD242" s="32" t="s">
        <v>68</v>
      </c>
      <c r="AE242" s="93"/>
    </row>
    <row r="243" spans="1:31" ht="22.8" x14ac:dyDescent="0.25">
      <c r="A243" s="28"/>
      <c r="B243" s="20">
        <v>39032</v>
      </c>
      <c r="C243" s="27" t="s">
        <v>54</v>
      </c>
      <c r="D243" s="12" t="s">
        <v>912</v>
      </c>
      <c r="E243" s="20" t="s">
        <v>805</v>
      </c>
      <c r="F243" s="29" t="s">
        <v>806</v>
      </c>
      <c r="G243" s="29" t="s">
        <v>13</v>
      </c>
      <c r="H243" s="19">
        <v>43514</v>
      </c>
      <c r="I243" s="3">
        <v>248</v>
      </c>
      <c r="J243" s="3" t="s">
        <v>58</v>
      </c>
      <c r="K243" s="37" t="s">
        <v>59</v>
      </c>
      <c r="L243" s="31">
        <v>44078</v>
      </c>
      <c r="M243" s="30" t="s">
        <v>60</v>
      </c>
      <c r="N243" s="31" t="s">
        <v>294</v>
      </c>
      <c r="O243" s="48">
        <v>44740</v>
      </c>
      <c r="P243" s="48"/>
      <c r="Q243" s="32"/>
      <c r="R243" s="32" t="s">
        <v>62</v>
      </c>
      <c r="S243" s="32" t="s">
        <v>62</v>
      </c>
      <c r="T243" s="32" t="s">
        <v>62</v>
      </c>
      <c r="U243" s="32" t="s">
        <v>62</v>
      </c>
      <c r="V243" s="32"/>
      <c r="W243" s="32"/>
      <c r="X243" s="32"/>
      <c r="Y243" s="32"/>
      <c r="Z243" s="32"/>
      <c r="AA243" s="32"/>
      <c r="AB243" s="24" t="s">
        <v>2008</v>
      </c>
      <c r="AC243" s="24"/>
      <c r="AD243" s="32" t="s">
        <v>62</v>
      </c>
      <c r="AE243" s="93"/>
    </row>
    <row r="244" spans="1:31" ht="22.8" x14ac:dyDescent="0.25">
      <c r="A244" s="28"/>
      <c r="B244" s="20">
        <v>39041</v>
      </c>
      <c r="C244" s="27" t="s">
        <v>64</v>
      </c>
      <c r="D244" s="12" t="s">
        <v>914</v>
      </c>
      <c r="E244" s="20" t="s">
        <v>805</v>
      </c>
      <c r="F244" s="29" t="s">
        <v>806</v>
      </c>
      <c r="G244" s="29" t="s">
        <v>13</v>
      </c>
      <c r="H244" s="19">
        <v>43582</v>
      </c>
      <c r="I244" s="3">
        <v>311</v>
      </c>
      <c r="J244" s="3" t="s">
        <v>58</v>
      </c>
      <c r="K244" s="37" t="s">
        <v>59</v>
      </c>
      <c r="L244" s="31">
        <v>44062</v>
      </c>
      <c r="M244" s="30" t="s">
        <v>722</v>
      </c>
      <c r="N244" s="31" t="s">
        <v>294</v>
      </c>
      <c r="O244" s="31">
        <v>44643</v>
      </c>
      <c r="P244" s="31"/>
      <c r="Q244" s="32"/>
      <c r="R244" s="32" t="s">
        <v>68</v>
      </c>
      <c r="S244" s="32" t="s">
        <v>68</v>
      </c>
      <c r="T244" s="32" t="s">
        <v>68</v>
      </c>
      <c r="U244" s="32" t="s">
        <v>68</v>
      </c>
      <c r="V244" s="32"/>
      <c r="W244" s="32" t="s">
        <v>68</v>
      </c>
      <c r="X244" s="32" t="s">
        <v>68</v>
      </c>
      <c r="Y244" s="32"/>
      <c r="Z244" s="32"/>
      <c r="AA244" s="32"/>
      <c r="AB244" s="24" t="s">
        <v>2018</v>
      </c>
      <c r="AC244" s="24"/>
      <c r="AD244" s="32" t="s">
        <v>68</v>
      </c>
      <c r="AE244" s="32" t="s">
        <v>68</v>
      </c>
    </row>
    <row r="245" spans="1:31" ht="22.8" x14ac:dyDescent="0.25">
      <c r="A245" s="28"/>
      <c r="B245" s="20">
        <v>39041</v>
      </c>
      <c r="C245" s="27" t="s">
        <v>54</v>
      </c>
      <c r="D245" s="12" t="s">
        <v>917</v>
      </c>
      <c r="E245" s="20" t="s">
        <v>805</v>
      </c>
      <c r="F245" s="29" t="s">
        <v>806</v>
      </c>
      <c r="G245" s="29" t="s">
        <v>13</v>
      </c>
      <c r="H245" s="19">
        <v>43582</v>
      </c>
      <c r="I245" s="3">
        <v>308</v>
      </c>
      <c r="J245" s="3" t="s">
        <v>58</v>
      </c>
      <c r="K245" s="37" t="s">
        <v>59</v>
      </c>
      <c r="L245" s="31">
        <v>44062</v>
      </c>
      <c r="M245" s="30" t="s">
        <v>722</v>
      </c>
      <c r="N245" s="31" t="s">
        <v>294</v>
      </c>
      <c r="O245" s="31">
        <v>44643</v>
      </c>
      <c r="P245" s="31"/>
      <c r="Q245" s="32"/>
      <c r="R245" s="32" t="s">
        <v>62</v>
      </c>
      <c r="S245" s="32" t="s">
        <v>62</v>
      </c>
      <c r="T245" s="32" t="s">
        <v>62</v>
      </c>
      <c r="U245" s="32" t="s">
        <v>62</v>
      </c>
      <c r="V245" s="32"/>
      <c r="W245" s="32" t="s">
        <v>62</v>
      </c>
      <c r="X245" s="32" t="s">
        <v>62</v>
      </c>
      <c r="Y245" s="32"/>
      <c r="Z245" s="32"/>
      <c r="AA245" s="32"/>
      <c r="AB245" s="24" t="s">
        <v>2008</v>
      </c>
      <c r="AC245" s="24"/>
      <c r="AD245" s="32" t="s">
        <v>62</v>
      </c>
      <c r="AE245" s="32" t="s">
        <v>62</v>
      </c>
    </row>
    <row r="246" spans="1:31" ht="22.8" x14ac:dyDescent="0.25">
      <c r="A246" s="28"/>
      <c r="B246" s="20">
        <v>39044</v>
      </c>
      <c r="C246" s="27" t="s">
        <v>64</v>
      </c>
      <c r="D246" s="12" t="s">
        <v>919</v>
      </c>
      <c r="E246" s="20" t="s">
        <v>805</v>
      </c>
      <c r="F246" s="29" t="s">
        <v>806</v>
      </c>
      <c r="G246" s="29" t="s">
        <v>13</v>
      </c>
      <c r="H246" s="19">
        <v>43575</v>
      </c>
      <c r="I246" s="3">
        <v>312</v>
      </c>
      <c r="J246" s="3" t="s">
        <v>58</v>
      </c>
      <c r="K246" s="37" t="s">
        <v>59</v>
      </c>
      <c r="L246" s="31">
        <v>44072</v>
      </c>
      <c r="M246" s="30" t="s">
        <v>722</v>
      </c>
      <c r="N246" s="31" t="s">
        <v>294</v>
      </c>
      <c r="O246" s="48">
        <v>44631</v>
      </c>
      <c r="P246" s="48"/>
      <c r="Q246" s="32"/>
      <c r="R246" s="32" t="s">
        <v>68</v>
      </c>
      <c r="S246" s="32" t="s">
        <v>68</v>
      </c>
      <c r="T246" s="32" t="s">
        <v>68</v>
      </c>
      <c r="U246" s="32" t="s">
        <v>68</v>
      </c>
      <c r="V246" s="32"/>
      <c r="W246" s="32" t="s">
        <v>68</v>
      </c>
      <c r="X246" s="32" t="s">
        <v>68</v>
      </c>
      <c r="Y246" s="32"/>
      <c r="Z246" s="32"/>
      <c r="AA246" s="32"/>
      <c r="AB246" s="24"/>
      <c r="AC246" s="24"/>
      <c r="AD246" s="32" t="s">
        <v>68</v>
      </c>
      <c r="AE246" s="93"/>
    </row>
    <row r="247" spans="1:31" ht="22.8" x14ac:dyDescent="0.25">
      <c r="A247" s="28"/>
      <c r="B247" s="20">
        <v>39044</v>
      </c>
      <c r="C247" s="27" t="s">
        <v>54</v>
      </c>
      <c r="D247" s="12" t="s">
        <v>921</v>
      </c>
      <c r="E247" s="20" t="s">
        <v>805</v>
      </c>
      <c r="F247" s="29" t="s">
        <v>806</v>
      </c>
      <c r="G247" s="29" t="s">
        <v>13</v>
      </c>
      <c r="H247" s="19">
        <v>43575</v>
      </c>
      <c r="I247" s="3">
        <v>313</v>
      </c>
      <c r="J247" s="3" t="s">
        <v>58</v>
      </c>
      <c r="K247" s="37" t="s">
        <v>59</v>
      </c>
      <c r="L247" s="31">
        <v>44072</v>
      </c>
      <c r="M247" s="30" t="s">
        <v>722</v>
      </c>
      <c r="N247" s="31" t="s">
        <v>294</v>
      </c>
      <c r="O247" s="48">
        <v>44631</v>
      </c>
      <c r="P247" s="48"/>
      <c r="Q247" s="32"/>
      <c r="R247" s="32" t="s">
        <v>62</v>
      </c>
      <c r="S247" s="32" t="s">
        <v>62</v>
      </c>
      <c r="T247" s="32" t="s">
        <v>62</v>
      </c>
      <c r="U247" s="32" t="s">
        <v>62</v>
      </c>
      <c r="V247" s="32"/>
      <c r="W247" s="32" t="s">
        <v>62</v>
      </c>
      <c r="X247" s="32" t="s">
        <v>62</v>
      </c>
      <c r="Y247" s="32"/>
      <c r="Z247" s="32"/>
      <c r="AA247" s="32"/>
      <c r="AB247" s="24"/>
      <c r="AC247" s="24"/>
      <c r="AD247" s="32" t="s">
        <v>62</v>
      </c>
      <c r="AE247" s="93"/>
    </row>
    <row r="248" spans="1:31" ht="22.8" x14ac:dyDescent="0.25">
      <c r="A248" s="28"/>
      <c r="B248" s="20">
        <v>39075</v>
      </c>
      <c r="C248" s="27" t="s">
        <v>64</v>
      </c>
      <c r="D248" s="12" t="s">
        <v>923</v>
      </c>
      <c r="E248" s="20" t="s">
        <v>862</v>
      </c>
      <c r="F248" s="29" t="s">
        <v>863</v>
      </c>
      <c r="G248" s="29" t="s">
        <v>13</v>
      </c>
      <c r="H248" s="19">
        <v>43676</v>
      </c>
      <c r="I248" s="3">
        <v>332</v>
      </c>
      <c r="J248" s="3" t="s">
        <v>58</v>
      </c>
      <c r="K248" s="37" t="s">
        <v>59</v>
      </c>
      <c r="L248" s="31">
        <v>44118</v>
      </c>
      <c r="M248" s="30" t="s">
        <v>722</v>
      </c>
      <c r="N248" s="31" t="s">
        <v>294</v>
      </c>
      <c r="O248" s="31">
        <v>44375</v>
      </c>
      <c r="P248" s="31"/>
      <c r="Q248" s="32"/>
      <c r="R248" s="32" t="s">
        <v>68</v>
      </c>
      <c r="S248" s="32"/>
      <c r="T248" s="32" t="s">
        <v>68</v>
      </c>
      <c r="U248" s="32" t="s">
        <v>68</v>
      </c>
      <c r="V248" s="32"/>
      <c r="W248" s="32" t="s">
        <v>68</v>
      </c>
      <c r="X248" s="32" t="s">
        <v>68</v>
      </c>
      <c r="Y248" s="32"/>
      <c r="Z248" s="32"/>
      <c r="AA248" s="32"/>
      <c r="AB248" s="24"/>
      <c r="AC248" s="24"/>
      <c r="AD248" s="32"/>
      <c r="AE248" s="93"/>
    </row>
    <row r="249" spans="1:31" x14ac:dyDescent="0.25">
      <c r="A249" s="28"/>
      <c r="B249" s="20">
        <v>39075</v>
      </c>
      <c r="C249" s="27" t="s">
        <v>54</v>
      </c>
      <c r="D249" s="20" t="s">
        <v>924</v>
      </c>
      <c r="E249" s="20" t="s">
        <v>862</v>
      </c>
      <c r="F249" s="29" t="s">
        <v>863</v>
      </c>
      <c r="G249" s="29" t="s">
        <v>13</v>
      </c>
      <c r="H249" s="19">
        <v>43676</v>
      </c>
      <c r="I249" s="3">
        <v>342</v>
      </c>
      <c r="J249" s="3" t="s">
        <v>58</v>
      </c>
      <c r="K249" s="30" t="s">
        <v>680</v>
      </c>
      <c r="L249" s="31">
        <v>44118</v>
      </c>
      <c r="M249" s="30" t="s">
        <v>722</v>
      </c>
      <c r="N249" s="31" t="s">
        <v>294</v>
      </c>
      <c r="O249" s="45">
        <v>44375</v>
      </c>
      <c r="P249" s="45"/>
      <c r="Q249" s="44"/>
      <c r="R249" s="16" t="s">
        <v>62</v>
      </c>
      <c r="S249" s="44"/>
      <c r="T249" s="16" t="s">
        <v>62</v>
      </c>
      <c r="U249" s="44" t="s">
        <v>62</v>
      </c>
      <c r="V249" s="50"/>
      <c r="W249" s="44" t="s">
        <v>62</v>
      </c>
      <c r="X249" s="44" t="s">
        <v>62</v>
      </c>
      <c r="Y249" s="44"/>
      <c r="Z249" s="44"/>
      <c r="AA249" s="44"/>
      <c r="AB249" s="24"/>
      <c r="AC249" s="24"/>
      <c r="AD249" s="44"/>
      <c r="AE249" s="94"/>
    </row>
    <row r="250" spans="1:31" ht="22.8" x14ac:dyDescent="0.25">
      <c r="A250" s="28"/>
      <c r="B250" s="20">
        <v>39141</v>
      </c>
      <c r="C250" s="27" t="s">
        <v>64</v>
      </c>
      <c r="D250" s="12" t="s">
        <v>925</v>
      </c>
      <c r="E250" s="20" t="s">
        <v>862</v>
      </c>
      <c r="F250" s="29" t="s">
        <v>863</v>
      </c>
      <c r="G250" s="29" t="s">
        <v>13</v>
      </c>
      <c r="H250" s="19">
        <v>43994</v>
      </c>
      <c r="I250" s="3">
        <v>768</v>
      </c>
      <c r="J250" s="3" t="s">
        <v>58</v>
      </c>
      <c r="K250" s="37" t="s">
        <v>59</v>
      </c>
      <c r="L250" s="31">
        <v>44074</v>
      </c>
      <c r="M250" s="30" t="s">
        <v>722</v>
      </c>
      <c r="N250" s="31" t="s">
        <v>294</v>
      </c>
      <c r="O250" s="48">
        <v>44368</v>
      </c>
      <c r="P250" s="48"/>
      <c r="Q250" s="16" t="s">
        <v>75</v>
      </c>
      <c r="R250" s="16" t="s">
        <v>75</v>
      </c>
      <c r="S250" s="30"/>
      <c r="T250" s="32" t="s">
        <v>68</v>
      </c>
      <c r="U250" s="32" t="s">
        <v>68</v>
      </c>
      <c r="V250" s="30"/>
      <c r="W250" s="30"/>
      <c r="X250" s="30" t="s">
        <v>68</v>
      </c>
      <c r="Y250" s="30"/>
      <c r="Z250" s="30"/>
      <c r="AA250" s="30"/>
      <c r="AB250" s="24"/>
      <c r="AC250" s="24"/>
      <c r="AD250" s="30"/>
      <c r="AE250" s="91"/>
    </row>
    <row r="251" spans="1:31" ht="22.8" x14ac:dyDescent="0.25">
      <c r="A251" s="28"/>
      <c r="B251" s="20">
        <v>39141</v>
      </c>
      <c r="C251" s="27" t="s">
        <v>54</v>
      </c>
      <c r="D251" s="12" t="s">
        <v>926</v>
      </c>
      <c r="E251" s="20" t="s">
        <v>862</v>
      </c>
      <c r="F251" s="29" t="s">
        <v>863</v>
      </c>
      <c r="G251" s="29" t="s">
        <v>13</v>
      </c>
      <c r="H251" s="19">
        <v>43994</v>
      </c>
      <c r="I251" s="3">
        <v>769</v>
      </c>
      <c r="J251" s="3" t="s">
        <v>58</v>
      </c>
      <c r="K251" s="37" t="s">
        <v>59</v>
      </c>
      <c r="L251" s="31">
        <v>44074</v>
      </c>
      <c r="M251" s="30" t="s">
        <v>722</v>
      </c>
      <c r="N251" s="31" t="s">
        <v>294</v>
      </c>
      <c r="O251" s="48">
        <v>44368</v>
      </c>
      <c r="P251" s="48"/>
      <c r="Q251" s="16" t="s">
        <v>75</v>
      </c>
      <c r="R251" s="16" t="s">
        <v>75</v>
      </c>
      <c r="S251" s="30"/>
      <c r="T251" s="32" t="s">
        <v>62</v>
      </c>
      <c r="U251" s="32" t="s">
        <v>62</v>
      </c>
      <c r="V251" s="30"/>
      <c r="W251" s="30"/>
      <c r="X251" s="30" t="s">
        <v>62</v>
      </c>
      <c r="Y251" s="30"/>
      <c r="Z251" s="30"/>
      <c r="AA251" s="30"/>
      <c r="AB251" s="24"/>
      <c r="AC251" s="24"/>
      <c r="AD251" s="30"/>
      <c r="AE251" s="91"/>
    </row>
    <row r="252" spans="1:31" ht="22.8" x14ac:dyDescent="0.25">
      <c r="A252" s="28"/>
      <c r="B252" s="20">
        <v>39142</v>
      </c>
      <c r="C252" s="27" t="s">
        <v>64</v>
      </c>
      <c r="D252" s="12" t="s">
        <v>927</v>
      </c>
      <c r="E252" s="20" t="s">
        <v>862</v>
      </c>
      <c r="F252" s="29" t="s">
        <v>863</v>
      </c>
      <c r="G252" s="29" t="s">
        <v>13</v>
      </c>
      <c r="H252" s="19">
        <v>44004</v>
      </c>
      <c r="I252" s="3">
        <v>774</v>
      </c>
      <c r="J252" s="3" t="s">
        <v>58</v>
      </c>
      <c r="K252" s="37" t="s">
        <v>59</v>
      </c>
      <c r="L252" s="31">
        <v>44125</v>
      </c>
      <c r="M252" s="30" t="s">
        <v>722</v>
      </c>
      <c r="N252" s="31" t="s">
        <v>294</v>
      </c>
      <c r="O252" s="48">
        <v>44083</v>
      </c>
      <c r="P252" s="48"/>
      <c r="Q252" s="16" t="s">
        <v>75</v>
      </c>
      <c r="R252" s="16" t="s">
        <v>75</v>
      </c>
      <c r="S252" s="30"/>
      <c r="T252" s="32" t="s">
        <v>68</v>
      </c>
      <c r="U252" s="32" t="s">
        <v>68</v>
      </c>
      <c r="V252" s="30"/>
      <c r="W252" s="30"/>
      <c r="X252" s="30"/>
      <c r="Y252" s="30"/>
      <c r="Z252" s="30"/>
      <c r="AA252" s="30"/>
      <c r="AB252" s="24"/>
      <c r="AC252" s="24"/>
      <c r="AD252" s="30"/>
      <c r="AE252" s="91"/>
    </row>
    <row r="253" spans="1:31" ht="22.8" x14ac:dyDescent="0.25">
      <c r="A253" s="28"/>
      <c r="B253" s="20">
        <v>39142</v>
      </c>
      <c r="C253" s="27" t="s">
        <v>54</v>
      </c>
      <c r="D253" s="12" t="s">
        <v>929</v>
      </c>
      <c r="E253" s="20" t="s">
        <v>862</v>
      </c>
      <c r="F253" s="29" t="s">
        <v>863</v>
      </c>
      <c r="G253" s="29" t="s">
        <v>13</v>
      </c>
      <c r="H253" s="19">
        <v>44004</v>
      </c>
      <c r="I253" s="3">
        <v>771</v>
      </c>
      <c r="J253" s="3" t="s">
        <v>58</v>
      </c>
      <c r="K253" s="37" t="s">
        <v>59</v>
      </c>
      <c r="L253" s="31">
        <v>44125</v>
      </c>
      <c r="M253" s="30" t="s">
        <v>722</v>
      </c>
      <c r="N253" s="31" t="s">
        <v>294</v>
      </c>
      <c r="O253" s="48">
        <v>44083</v>
      </c>
      <c r="P253" s="48"/>
      <c r="Q253" s="16" t="s">
        <v>75</v>
      </c>
      <c r="R253" s="16" t="s">
        <v>75</v>
      </c>
      <c r="S253" s="30"/>
      <c r="T253" s="32" t="s">
        <v>62</v>
      </c>
      <c r="U253" s="32" t="s">
        <v>62</v>
      </c>
      <c r="V253" s="30"/>
      <c r="W253" s="30"/>
      <c r="X253" s="30"/>
      <c r="Y253" s="30"/>
      <c r="Z253" s="30"/>
      <c r="AA253" s="30"/>
      <c r="AB253" s="24"/>
      <c r="AC253" s="24"/>
      <c r="AD253" s="30"/>
      <c r="AE253" s="91"/>
    </row>
    <row r="254" spans="1:31" x14ac:dyDescent="0.25">
      <c r="A254" s="28"/>
      <c r="B254" s="20">
        <v>37578</v>
      </c>
      <c r="C254" s="27" t="s">
        <v>64</v>
      </c>
      <c r="D254" s="20" t="s">
        <v>931</v>
      </c>
      <c r="E254" s="20" t="s">
        <v>932</v>
      </c>
      <c r="F254" s="29" t="s">
        <v>806</v>
      </c>
      <c r="G254" s="29" t="s">
        <v>13</v>
      </c>
      <c r="H254" s="19">
        <v>44315</v>
      </c>
      <c r="I254" s="3">
        <v>781</v>
      </c>
      <c r="J254" s="3" t="s">
        <v>58</v>
      </c>
      <c r="K254" s="16"/>
      <c r="L254" s="33"/>
      <c r="M254" s="16"/>
      <c r="N254" s="33"/>
      <c r="O254" s="33"/>
      <c r="P254" s="33"/>
      <c r="Q254" s="16" t="s">
        <v>75</v>
      </c>
      <c r="R254" s="16" t="s">
        <v>75</v>
      </c>
      <c r="S254" s="16"/>
      <c r="T254" s="32" t="s">
        <v>68</v>
      </c>
      <c r="U254" s="16"/>
      <c r="V254" s="16"/>
      <c r="W254" s="16"/>
      <c r="X254" s="16" t="s">
        <v>75</v>
      </c>
      <c r="Y254" s="16"/>
      <c r="Z254" s="16"/>
      <c r="AA254" s="16"/>
      <c r="AB254" s="24"/>
      <c r="AC254" s="24"/>
      <c r="AD254" s="32" t="s">
        <v>68</v>
      </c>
    </row>
    <row r="255" spans="1:31" x14ac:dyDescent="0.25">
      <c r="A255" s="28"/>
      <c r="B255" s="20">
        <v>37578</v>
      </c>
      <c r="C255" s="27" t="s">
        <v>54</v>
      </c>
      <c r="D255" s="20" t="s">
        <v>935</v>
      </c>
      <c r="E255" s="20" t="s">
        <v>932</v>
      </c>
      <c r="F255" s="29" t="s">
        <v>806</v>
      </c>
      <c r="G255" s="29" t="s">
        <v>13</v>
      </c>
      <c r="H255" s="19">
        <v>44315</v>
      </c>
      <c r="I255" s="3">
        <v>778</v>
      </c>
      <c r="J255" s="3" t="s">
        <v>58</v>
      </c>
      <c r="K255" s="16"/>
      <c r="L255" s="33"/>
      <c r="M255" s="16"/>
      <c r="N255" s="33"/>
      <c r="O255" s="33"/>
      <c r="P255" s="33"/>
      <c r="Q255" s="16" t="s">
        <v>75</v>
      </c>
      <c r="R255" s="16" t="s">
        <v>75</v>
      </c>
      <c r="S255" s="16"/>
      <c r="T255" s="32" t="s">
        <v>62</v>
      </c>
      <c r="U255" s="16"/>
      <c r="V255" s="16"/>
      <c r="W255" s="16"/>
      <c r="X255" s="16" t="s">
        <v>75</v>
      </c>
      <c r="Y255" s="16"/>
      <c r="Z255" s="16"/>
      <c r="AA255" s="16"/>
      <c r="AB255" s="24"/>
      <c r="AC255" s="24"/>
      <c r="AD255" s="32" t="s">
        <v>62</v>
      </c>
    </row>
    <row r="256" spans="1:31" ht="22.8" x14ac:dyDescent="0.25">
      <c r="A256" s="28"/>
      <c r="B256" s="17">
        <v>39190</v>
      </c>
      <c r="C256" s="55" t="s">
        <v>64</v>
      </c>
      <c r="D256" s="20" t="s">
        <v>606</v>
      </c>
      <c r="E256" s="19" t="s">
        <v>56</v>
      </c>
      <c r="F256" s="18" t="s">
        <v>57</v>
      </c>
      <c r="G256" s="18"/>
      <c r="H256" s="19">
        <v>44278</v>
      </c>
      <c r="I256" s="3" t="s">
        <v>607</v>
      </c>
      <c r="J256" s="3" t="s">
        <v>58</v>
      </c>
      <c r="K256" s="37" t="s">
        <v>59</v>
      </c>
      <c r="L256" s="16" t="s">
        <v>75</v>
      </c>
      <c r="M256" s="16" t="s">
        <v>60</v>
      </c>
      <c r="N256" s="16" t="s">
        <v>75</v>
      </c>
      <c r="O256" s="33"/>
      <c r="P256" s="33"/>
      <c r="Q256" s="16" t="s">
        <v>75</v>
      </c>
      <c r="R256" s="16" t="s">
        <v>75</v>
      </c>
      <c r="S256" s="37"/>
      <c r="T256" s="16"/>
      <c r="U256" s="16"/>
      <c r="V256" s="16"/>
      <c r="W256" s="16"/>
      <c r="X256" s="16" t="s">
        <v>75</v>
      </c>
      <c r="Y256" s="16"/>
      <c r="Z256" s="16"/>
      <c r="AA256" s="16"/>
      <c r="AB256" s="24"/>
      <c r="AC256" s="24"/>
      <c r="AD256" s="16" t="s">
        <v>68</v>
      </c>
    </row>
    <row r="257" spans="1:30" ht="22.8" x14ac:dyDescent="0.25">
      <c r="A257" s="28"/>
      <c r="B257" s="17">
        <v>39190</v>
      </c>
      <c r="C257" s="55" t="s">
        <v>54</v>
      </c>
      <c r="D257" s="20" t="s">
        <v>608</v>
      </c>
      <c r="E257" s="19" t="s">
        <v>56</v>
      </c>
      <c r="F257" s="18" t="s">
        <v>57</v>
      </c>
      <c r="G257" s="18"/>
      <c r="H257" s="19">
        <v>44278</v>
      </c>
      <c r="I257" s="3" t="s">
        <v>609</v>
      </c>
      <c r="J257" s="3" t="s">
        <v>58</v>
      </c>
      <c r="K257" s="37" t="s">
        <v>59</v>
      </c>
      <c r="L257" s="16" t="s">
        <v>75</v>
      </c>
      <c r="M257" s="16" t="s">
        <v>60</v>
      </c>
      <c r="N257" s="16" t="s">
        <v>75</v>
      </c>
      <c r="O257" s="33"/>
      <c r="P257" s="33"/>
      <c r="Q257" s="16" t="s">
        <v>75</v>
      </c>
      <c r="R257" s="16" t="s">
        <v>75</v>
      </c>
      <c r="S257" s="37"/>
      <c r="T257" s="16"/>
      <c r="U257" s="16"/>
      <c r="V257" s="16"/>
      <c r="W257" s="16"/>
      <c r="X257" s="16" t="s">
        <v>75</v>
      </c>
      <c r="Y257" s="16"/>
      <c r="Z257" s="16"/>
      <c r="AA257" s="16"/>
      <c r="AB257" s="24"/>
      <c r="AC257" s="24"/>
      <c r="AD257" s="16" t="s">
        <v>62</v>
      </c>
    </row>
    <row r="258" spans="1:30" ht="22.8" x14ac:dyDescent="0.25">
      <c r="A258" s="28"/>
      <c r="B258" s="17">
        <v>39191</v>
      </c>
      <c r="C258" s="55" t="s">
        <v>64</v>
      </c>
      <c r="D258" s="20" t="s">
        <v>610</v>
      </c>
      <c r="E258" s="19" t="s">
        <v>56</v>
      </c>
      <c r="F258" s="18" t="s">
        <v>57</v>
      </c>
      <c r="G258" s="18"/>
      <c r="H258" s="19">
        <v>44315</v>
      </c>
      <c r="I258" s="3" t="s">
        <v>611</v>
      </c>
      <c r="J258" s="3" t="s">
        <v>58</v>
      </c>
      <c r="K258" s="37" t="s">
        <v>59</v>
      </c>
      <c r="L258" s="16" t="s">
        <v>75</v>
      </c>
      <c r="M258" s="16" t="s">
        <v>60</v>
      </c>
      <c r="N258" s="16" t="s">
        <v>75</v>
      </c>
      <c r="O258" s="33"/>
      <c r="P258" s="33"/>
      <c r="Q258" s="16" t="s">
        <v>75</v>
      </c>
      <c r="R258" s="16" t="s">
        <v>75</v>
      </c>
      <c r="S258" s="37"/>
      <c r="T258" s="16"/>
      <c r="U258" s="16"/>
      <c r="V258" s="16"/>
      <c r="W258" s="16"/>
      <c r="X258" s="16" t="s">
        <v>75</v>
      </c>
      <c r="Y258" s="16"/>
      <c r="Z258" s="16"/>
      <c r="AA258" s="16"/>
      <c r="AB258" s="24"/>
      <c r="AC258" s="24"/>
      <c r="AD258" s="248"/>
    </row>
    <row r="259" spans="1:30" ht="22.8" x14ac:dyDescent="0.25">
      <c r="A259" s="28"/>
      <c r="B259" s="17">
        <v>39191</v>
      </c>
      <c r="C259" s="55" t="s">
        <v>54</v>
      </c>
      <c r="D259" s="20" t="s">
        <v>612</v>
      </c>
      <c r="E259" s="19" t="s">
        <v>56</v>
      </c>
      <c r="F259" s="18" t="s">
        <v>57</v>
      </c>
      <c r="G259" s="18"/>
      <c r="H259" s="19">
        <v>44315</v>
      </c>
      <c r="I259" s="3" t="s">
        <v>613</v>
      </c>
      <c r="J259" s="3" t="s">
        <v>58</v>
      </c>
      <c r="K259" s="37" t="s">
        <v>59</v>
      </c>
      <c r="L259" s="16" t="s">
        <v>75</v>
      </c>
      <c r="M259" s="16" t="s">
        <v>60</v>
      </c>
      <c r="N259" s="16" t="s">
        <v>75</v>
      </c>
      <c r="O259" s="33"/>
      <c r="P259" s="33"/>
      <c r="Q259" s="16" t="s">
        <v>75</v>
      </c>
      <c r="R259" s="16" t="s">
        <v>75</v>
      </c>
      <c r="S259" s="37"/>
      <c r="T259" s="16"/>
      <c r="U259" s="16"/>
      <c r="V259" s="16"/>
      <c r="W259" s="16"/>
      <c r="X259" s="16" t="s">
        <v>75</v>
      </c>
      <c r="Y259" s="16"/>
      <c r="Z259" s="16"/>
      <c r="AA259" s="16"/>
      <c r="AB259" s="24"/>
      <c r="AC259" s="24"/>
      <c r="AD259" s="248"/>
    </row>
    <row r="260" spans="1:30" ht="22.8" x14ac:dyDescent="0.25">
      <c r="A260" s="28"/>
      <c r="B260" s="20">
        <v>30817</v>
      </c>
      <c r="C260" s="27" t="s">
        <v>64</v>
      </c>
      <c r="D260" s="3" t="s">
        <v>800</v>
      </c>
      <c r="E260" s="20" t="s">
        <v>660</v>
      </c>
      <c r="F260" s="3" t="s">
        <v>661</v>
      </c>
      <c r="G260" s="29" t="s">
        <v>13</v>
      </c>
      <c r="H260" s="19">
        <v>44181</v>
      </c>
      <c r="I260" s="3">
        <v>897</v>
      </c>
      <c r="J260" s="3" t="s">
        <v>58</v>
      </c>
      <c r="K260" s="37" t="s">
        <v>59</v>
      </c>
      <c r="L260" s="16" t="s">
        <v>75</v>
      </c>
      <c r="M260" s="59" t="s">
        <v>60</v>
      </c>
      <c r="N260" s="33" t="s">
        <v>63</v>
      </c>
      <c r="O260" s="33">
        <v>44272</v>
      </c>
      <c r="P260" s="33"/>
      <c r="Q260" s="16" t="s">
        <v>75</v>
      </c>
      <c r="R260" s="16" t="s">
        <v>75</v>
      </c>
      <c r="S260" s="16" t="s">
        <v>68</v>
      </c>
      <c r="T260" s="16" t="s">
        <v>68</v>
      </c>
      <c r="U260" s="16" t="s">
        <v>68</v>
      </c>
      <c r="V260" s="16"/>
      <c r="W260" s="16"/>
      <c r="X260" s="16" t="s">
        <v>75</v>
      </c>
      <c r="Y260" s="16"/>
      <c r="Z260" s="16"/>
      <c r="AA260" s="16"/>
      <c r="AB260" s="24"/>
      <c r="AC260" s="24"/>
      <c r="AD260" s="16"/>
    </row>
    <row r="261" spans="1:30" ht="22.8" x14ac:dyDescent="0.25">
      <c r="A261" s="28"/>
      <c r="B261" s="20">
        <v>30817</v>
      </c>
      <c r="C261" s="27" t="s">
        <v>54</v>
      </c>
      <c r="D261" s="3" t="s">
        <v>802</v>
      </c>
      <c r="E261" s="20" t="s">
        <v>660</v>
      </c>
      <c r="F261" s="3" t="s">
        <v>661</v>
      </c>
      <c r="G261" s="29" t="s">
        <v>13</v>
      </c>
      <c r="H261" s="19">
        <v>44181</v>
      </c>
      <c r="I261" s="3">
        <v>896</v>
      </c>
      <c r="J261" s="3" t="s">
        <v>58</v>
      </c>
      <c r="K261" s="37" t="s">
        <v>59</v>
      </c>
      <c r="L261" s="16" t="s">
        <v>75</v>
      </c>
      <c r="M261" s="59" t="s">
        <v>60</v>
      </c>
      <c r="N261" s="33" t="s">
        <v>63</v>
      </c>
      <c r="O261" s="33">
        <v>44272</v>
      </c>
      <c r="P261" s="33"/>
      <c r="Q261" s="16" t="s">
        <v>75</v>
      </c>
      <c r="R261" s="16" t="s">
        <v>75</v>
      </c>
      <c r="S261" s="16" t="s">
        <v>62</v>
      </c>
      <c r="T261" s="16" t="s">
        <v>62</v>
      </c>
      <c r="U261" s="16" t="s">
        <v>62</v>
      </c>
      <c r="V261" s="16"/>
      <c r="W261" s="16"/>
      <c r="X261" s="16" t="s">
        <v>75</v>
      </c>
      <c r="Y261" s="16"/>
      <c r="Z261" s="16"/>
      <c r="AA261" s="16"/>
      <c r="AB261" s="24"/>
      <c r="AC261" s="24"/>
      <c r="AD261" s="16"/>
    </row>
    <row r="262" spans="1:30" ht="22.8" x14ac:dyDescent="0.25">
      <c r="A262" s="28"/>
      <c r="B262" s="20">
        <v>30819</v>
      </c>
      <c r="C262" s="27" t="s">
        <v>64</v>
      </c>
      <c r="D262" s="3" t="s">
        <v>798</v>
      </c>
      <c r="E262" s="20" t="s">
        <v>660</v>
      </c>
      <c r="F262" s="3" t="s">
        <v>661</v>
      </c>
      <c r="G262" s="29" t="s">
        <v>13</v>
      </c>
      <c r="H262" s="19">
        <v>44183</v>
      </c>
      <c r="I262" s="3">
        <v>963</v>
      </c>
      <c r="J262" s="3" t="s">
        <v>58</v>
      </c>
      <c r="K262" s="37" t="s">
        <v>59</v>
      </c>
      <c r="L262" s="16" t="s">
        <v>75</v>
      </c>
      <c r="M262" s="59" t="s">
        <v>60</v>
      </c>
      <c r="N262" s="33" t="s">
        <v>63</v>
      </c>
      <c r="O262" s="33"/>
      <c r="P262" s="33"/>
      <c r="Q262" s="16" t="s">
        <v>75</v>
      </c>
      <c r="R262" s="16" t="s">
        <v>75</v>
      </c>
      <c r="S262" s="16"/>
      <c r="T262" s="16" t="s">
        <v>68</v>
      </c>
      <c r="U262" s="16" t="s">
        <v>68</v>
      </c>
      <c r="V262" s="16"/>
      <c r="W262" s="16"/>
      <c r="X262" s="16" t="s">
        <v>75</v>
      </c>
      <c r="Y262" s="16"/>
      <c r="Z262" s="16"/>
      <c r="AA262" s="16"/>
      <c r="AB262" s="24"/>
      <c r="AC262" s="24"/>
      <c r="AD262" s="16"/>
    </row>
    <row r="263" spans="1:30" ht="22.8" x14ac:dyDescent="0.25">
      <c r="A263" s="28"/>
      <c r="B263" s="20">
        <v>30819</v>
      </c>
      <c r="C263" s="27" t="s">
        <v>54</v>
      </c>
      <c r="D263" s="3" t="s">
        <v>795</v>
      </c>
      <c r="E263" s="20" t="s">
        <v>660</v>
      </c>
      <c r="F263" s="3" t="s">
        <v>661</v>
      </c>
      <c r="G263" s="29" t="s">
        <v>13</v>
      </c>
      <c r="H263" s="19">
        <v>44183</v>
      </c>
      <c r="I263" s="3">
        <v>1005</v>
      </c>
      <c r="J263" s="3" t="s">
        <v>58</v>
      </c>
      <c r="K263" s="37" t="s">
        <v>59</v>
      </c>
      <c r="L263" s="16" t="s">
        <v>75</v>
      </c>
      <c r="M263" s="59" t="s">
        <v>60</v>
      </c>
      <c r="N263" s="33" t="s">
        <v>63</v>
      </c>
      <c r="O263" s="33"/>
      <c r="P263" s="33"/>
      <c r="Q263" s="16" t="s">
        <v>75</v>
      </c>
      <c r="R263" s="16" t="s">
        <v>75</v>
      </c>
      <c r="S263" s="16"/>
      <c r="T263" s="16" t="s">
        <v>62</v>
      </c>
      <c r="U263" s="16" t="s">
        <v>62</v>
      </c>
      <c r="V263" s="16"/>
      <c r="W263" s="16"/>
      <c r="X263" s="16" t="s">
        <v>75</v>
      </c>
      <c r="Y263" s="16"/>
      <c r="Z263" s="16"/>
      <c r="AA263" s="16"/>
      <c r="AB263" s="24"/>
      <c r="AC263" s="24"/>
      <c r="AD263" s="16"/>
    </row>
    <row r="264" spans="1:30" ht="22.8" x14ac:dyDescent="0.25">
      <c r="A264" s="28"/>
      <c r="B264" s="20">
        <v>30820</v>
      </c>
      <c r="C264" s="27" t="s">
        <v>64</v>
      </c>
      <c r="D264" s="20" t="s">
        <v>794</v>
      </c>
      <c r="E264" s="20" t="s">
        <v>660</v>
      </c>
      <c r="F264" s="3" t="s">
        <v>661</v>
      </c>
      <c r="G264" s="29" t="s">
        <v>13</v>
      </c>
      <c r="H264" s="19">
        <v>44191</v>
      </c>
      <c r="I264" s="3">
        <v>962</v>
      </c>
      <c r="J264" s="3" t="s">
        <v>58</v>
      </c>
      <c r="K264" s="37" t="s">
        <v>59</v>
      </c>
      <c r="L264" s="16" t="s">
        <v>75</v>
      </c>
      <c r="M264" s="59" t="s">
        <v>60</v>
      </c>
      <c r="N264" s="33" t="s">
        <v>63</v>
      </c>
      <c r="O264" s="33"/>
      <c r="P264" s="33"/>
      <c r="Q264" s="16" t="s">
        <v>75</v>
      </c>
      <c r="R264" s="16" t="s">
        <v>75</v>
      </c>
      <c r="S264" s="16"/>
      <c r="T264" s="16" t="s">
        <v>68</v>
      </c>
      <c r="U264" s="16" t="s">
        <v>68</v>
      </c>
      <c r="V264" s="16"/>
      <c r="W264" s="16"/>
      <c r="X264" s="16" t="s">
        <v>75</v>
      </c>
      <c r="Y264" s="16"/>
      <c r="Z264" s="16"/>
      <c r="AA264" s="16"/>
      <c r="AB264" s="24"/>
      <c r="AC264" s="24"/>
      <c r="AD264" s="16"/>
    </row>
    <row r="265" spans="1:30" ht="22.8" x14ac:dyDescent="0.25">
      <c r="A265" s="28"/>
      <c r="B265" s="20">
        <v>30820</v>
      </c>
      <c r="C265" s="27" t="s">
        <v>54</v>
      </c>
      <c r="D265" s="20" t="s">
        <v>793</v>
      </c>
      <c r="E265" s="20" t="s">
        <v>660</v>
      </c>
      <c r="F265" s="3" t="s">
        <v>661</v>
      </c>
      <c r="G265" s="29" t="s">
        <v>13</v>
      </c>
      <c r="H265" s="19">
        <v>44191</v>
      </c>
      <c r="I265" s="3">
        <v>1004</v>
      </c>
      <c r="J265" s="3" t="s">
        <v>58</v>
      </c>
      <c r="K265" s="37" t="s">
        <v>59</v>
      </c>
      <c r="L265" s="16" t="s">
        <v>75</v>
      </c>
      <c r="M265" s="59" t="s">
        <v>60</v>
      </c>
      <c r="N265" s="33" t="s">
        <v>63</v>
      </c>
      <c r="O265" s="33"/>
      <c r="P265" s="33"/>
      <c r="Q265" s="16" t="s">
        <v>75</v>
      </c>
      <c r="R265" s="16" t="s">
        <v>75</v>
      </c>
      <c r="S265" s="16"/>
      <c r="T265" s="16" t="s">
        <v>62</v>
      </c>
      <c r="U265" s="16" t="s">
        <v>62</v>
      </c>
      <c r="V265" s="16"/>
      <c r="W265" s="16"/>
      <c r="X265" s="16" t="s">
        <v>75</v>
      </c>
      <c r="Y265" s="16"/>
      <c r="Z265" s="16"/>
      <c r="AA265" s="16"/>
      <c r="AB265" s="24"/>
      <c r="AC265" s="24"/>
      <c r="AD265" s="16"/>
    </row>
    <row r="266" spans="1:30" ht="22.8" x14ac:dyDescent="0.25">
      <c r="A266" s="28"/>
      <c r="B266" s="20">
        <v>37096</v>
      </c>
      <c r="C266" s="27" t="s">
        <v>64</v>
      </c>
      <c r="D266" s="3" t="s">
        <v>792</v>
      </c>
      <c r="E266" s="20" t="s">
        <v>660</v>
      </c>
      <c r="F266" s="3" t="s">
        <v>661</v>
      </c>
      <c r="G266" s="29" t="s">
        <v>13</v>
      </c>
      <c r="H266" s="19">
        <v>43520</v>
      </c>
      <c r="I266" s="3">
        <v>286</v>
      </c>
      <c r="J266" s="3" t="s">
        <v>58</v>
      </c>
      <c r="K266" s="37" t="s">
        <v>59</v>
      </c>
      <c r="L266" s="33">
        <v>44139</v>
      </c>
      <c r="M266" s="16" t="s">
        <v>60</v>
      </c>
      <c r="N266" s="33">
        <v>44139</v>
      </c>
      <c r="O266" s="33">
        <v>44326</v>
      </c>
      <c r="P266" s="33"/>
      <c r="Q266" s="16"/>
      <c r="R266" s="16" t="s">
        <v>68</v>
      </c>
      <c r="S266" s="16"/>
      <c r="T266" s="16"/>
      <c r="U266" s="37" t="s">
        <v>68</v>
      </c>
      <c r="V266" s="16"/>
      <c r="W266" s="16"/>
      <c r="X266" s="16"/>
      <c r="Y266" s="16"/>
      <c r="Z266" s="16"/>
      <c r="AA266" s="16"/>
      <c r="AB266" s="24"/>
      <c r="AC266" s="24"/>
      <c r="AD266" s="16"/>
    </row>
    <row r="267" spans="1:30" ht="22.8" x14ac:dyDescent="0.25">
      <c r="A267" s="28"/>
      <c r="B267" s="20">
        <v>37096</v>
      </c>
      <c r="C267" s="27" t="s">
        <v>54</v>
      </c>
      <c r="D267" s="3" t="s">
        <v>790</v>
      </c>
      <c r="E267" s="20" t="s">
        <v>660</v>
      </c>
      <c r="F267" s="3" t="s">
        <v>661</v>
      </c>
      <c r="G267" s="29" t="s">
        <v>13</v>
      </c>
      <c r="H267" s="19">
        <v>43520</v>
      </c>
      <c r="I267" s="3">
        <v>231</v>
      </c>
      <c r="J267" s="3" t="s">
        <v>58</v>
      </c>
      <c r="K267" s="37" t="s">
        <v>59</v>
      </c>
      <c r="L267" s="33">
        <v>44139</v>
      </c>
      <c r="M267" s="16" t="s">
        <v>60</v>
      </c>
      <c r="N267" s="33">
        <v>44139</v>
      </c>
      <c r="O267" s="33">
        <v>44327</v>
      </c>
      <c r="P267" s="33"/>
      <c r="Q267" s="16"/>
      <c r="R267" s="16" t="s">
        <v>62</v>
      </c>
      <c r="S267" s="16"/>
      <c r="T267" s="16"/>
      <c r="U267" s="37" t="s">
        <v>62</v>
      </c>
      <c r="V267" s="16"/>
      <c r="W267" s="16"/>
      <c r="X267" s="16"/>
      <c r="Y267" s="16"/>
      <c r="Z267" s="16"/>
      <c r="AA267" s="16"/>
      <c r="AB267" s="24"/>
      <c r="AC267" s="24"/>
      <c r="AD267" s="16"/>
    </row>
    <row r="268" spans="1:30" ht="22.8" x14ac:dyDescent="0.25">
      <c r="A268" s="28"/>
      <c r="B268" s="20">
        <v>37097</v>
      </c>
      <c r="C268" s="27" t="s">
        <v>64</v>
      </c>
      <c r="D268" s="3" t="s">
        <v>788</v>
      </c>
      <c r="E268" s="20" t="s">
        <v>660</v>
      </c>
      <c r="F268" s="3" t="s">
        <v>661</v>
      </c>
      <c r="G268" s="29" t="s">
        <v>13</v>
      </c>
      <c r="H268" s="19">
        <v>43523</v>
      </c>
      <c r="I268" s="3">
        <v>298</v>
      </c>
      <c r="J268" s="3" t="s">
        <v>58</v>
      </c>
      <c r="K268" s="37" t="s">
        <v>59</v>
      </c>
      <c r="L268" s="33">
        <v>44286</v>
      </c>
      <c r="M268" s="16" t="s">
        <v>60</v>
      </c>
      <c r="N268" s="33">
        <v>44286</v>
      </c>
      <c r="O268" s="33">
        <v>44292</v>
      </c>
      <c r="P268" s="33"/>
      <c r="Q268" s="16"/>
      <c r="R268" s="16" t="s">
        <v>68</v>
      </c>
      <c r="S268" s="16"/>
      <c r="T268" s="37" t="s">
        <v>68</v>
      </c>
      <c r="U268" s="37" t="s">
        <v>68</v>
      </c>
      <c r="V268" s="16"/>
      <c r="W268" s="37" t="s">
        <v>68</v>
      </c>
      <c r="X268" s="16"/>
      <c r="Y268" s="16"/>
      <c r="Z268" s="16"/>
      <c r="AA268" s="16"/>
      <c r="AB268" s="143">
        <v>44371</v>
      </c>
      <c r="AC268" s="24"/>
      <c r="AD268" s="16"/>
    </row>
    <row r="269" spans="1:30" ht="22.8" x14ac:dyDescent="0.25">
      <c r="A269" s="28"/>
      <c r="B269" s="20">
        <v>37097</v>
      </c>
      <c r="C269" s="27" t="s">
        <v>54</v>
      </c>
      <c r="D269" s="3" t="s">
        <v>786</v>
      </c>
      <c r="E269" s="20" t="s">
        <v>660</v>
      </c>
      <c r="F269" s="3" t="s">
        <v>661</v>
      </c>
      <c r="G269" s="29" t="s">
        <v>13</v>
      </c>
      <c r="H269" s="19">
        <v>43523</v>
      </c>
      <c r="I269" s="3">
        <v>299</v>
      </c>
      <c r="J269" s="3" t="s">
        <v>58</v>
      </c>
      <c r="K269" s="37" t="s">
        <v>59</v>
      </c>
      <c r="L269" s="33">
        <v>44286</v>
      </c>
      <c r="M269" s="16" t="s">
        <v>60</v>
      </c>
      <c r="N269" s="33">
        <v>44286</v>
      </c>
      <c r="O269" s="33">
        <v>44292</v>
      </c>
      <c r="P269" s="33"/>
      <c r="Q269" s="16"/>
      <c r="R269" s="16" t="s">
        <v>62</v>
      </c>
      <c r="S269" s="16"/>
      <c r="T269" s="37" t="s">
        <v>62</v>
      </c>
      <c r="U269" s="37" t="s">
        <v>62</v>
      </c>
      <c r="V269" s="16"/>
      <c r="W269" s="37" t="s">
        <v>62</v>
      </c>
      <c r="X269" s="16"/>
      <c r="Y269" s="16"/>
      <c r="Z269" s="16"/>
      <c r="AA269" s="16"/>
      <c r="AB269" s="143">
        <v>44371</v>
      </c>
      <c r="AC269" s="24"/>
      <c r="AD269" s="16"/>
    </row>
    <row r="270" spans="1:30" ht="22.8" x14ac:dyDescent="0.25">
      <c r="A270" s="28"/>
      <c r="B270" s="20">
        <v>37099</v>
      </c>
      <c r="C270" s="27" t="s">
        <v>64</v>
      </c>
      <c r="D270" s="3" t="s">
        <v>784</v>
      </c>
      <c r="E270" s="20" t="s">
        <v>660</v>
      </c>
      <c r="F270" s="3" t="s">
        <v>661</v>
      </c>
      <c r="G270" s="29" t="s">
        <v>13</v>
      </c>
      <c r="H270" s="19">
        <v>43522</v>
      </c>
      <c r="I270" s="3">
        <v>279</v>
      </c>
      <c r="J270" s="3" t="s">
        <v>58</v>
      </c>
      <c r="K270" s="37" t="s">
        <v>59</v>
      </c>
      <c r="L270" s="33" t="s">
        <v>63</v>
      </c>
      <c r="M270" s="16" t="s">
        <v>60</v>
      </c>
      <c r="N270" s="33" t="s">
        <v>63</v>
      </c>
      <c r="O270" s="33">
        <v>44620</v>
      </c>
      <c r="P270" s="33"/>
      <c r="Q270" s="16"/>
      <c r="R270" s="16" t="s">
        <v>68</v>
      </c>
      <c r="S270" s="16"/>
      <c r="T270" s="16" t="s">
        <v>68</v>
      </c>
      <c r="U270" s="16" t="s">
        <v>68</v>
      </c>
      <c r="V270" s="16"/>
      <c r="W270" s="16"/>
      <c r="X270" s="16"/>
      <c r="Y270" s="16"/>
      <c r="Z270" s="16"/>
      <c r="AA270" s="16"/>
      <c r="AB270" s="24"/>
      <c r="AC270" s="24"/>
      <c r="AD270" s="16"/>
    </row>
    <row r="271" spans="1:30" ht="22.8" x14ac:dyDescent="0.25">
      <c r="A271" s="28"/>
      <c r="B271" s="20">
        <v>37099</v>
      </c>
      <c r="C271" s="27" t="s">
        <v>54</v>
      </c>
      <c r="D271" s="3" t="s">
        <v>781</v>
      </c>
      <c r="E271" s="20" t="s">
        <v>660</v>
      </c>
      <c r="F271" s="3" t="s">
        <v>661</v>
      </c>
      <c r="G271" s="29" t="s">
        <v>13</v>
      </c>
      <c r="H271" s="19">
        <v>43522</v>
      </c>
      <c r="I271" s="3">
        <v>232</v>
      </c>
      <c r="J271" s="3" t="s">
        <v>58</v>
      </c>
      <c r="K271" s="37" t="s">
        <v>59</v>
      </c>
      <c r="L271" s="33" t="s">
        <v>63</v>
      </c>
      <c r="M271" s="16" t="s">
        <v>60</v>
      </c>
      <c r="N271" s="33" t="s">
        <v>63</v>
      </c>
      <c r="O271" s="33">
        <v>44620</v>
      </c>
      <c r="P271" s="33"/>
      <c r="Q271" s="16"/>
      <c r="R271" s="16" t="s">
        <v>62</v>
      </c>
      <c r="S271" s="16"/>
      <c r="T271" s="51" t="s">
        <v>62</v>
      </c>
      <c r="U271" s="51" t="s">
        <v>62</v>
      </c>
      <c r="V271" s="51" t="s">
        <v>62</v>
      </c>
      <c r="W271" s="16"/>
      <c r="X271" s="16"/>
      <c r="Y271" s="16"/>
      <c r="Z271" s="16"/>
      <c r="AA271" s="16"/>
      <c r="AB271" s="24"/>
      <c r="AC271" s="24"/>
      <c r="AD271" s="16"/>
    </row>
    <row r="272" spans="1:30" ht="22.8" x14ac:dyDescent="0.25">
      <c r="A272" s="28"/>
      <c r="B272" s="20">
        <v>37100</v>
      </c>
      <c r="C272" s="27" t="s">
        <v>64</v>
      </c>
      <c r="D272" s="3" t="s">
        <v>780</v>
      </c>
      <c r="E272" s="20" t="s">
        <v>660</v>
      </c>
      <c r="F272" s="3" t="s">
        <v>661</v>
      </c>
      <c r="G272" s="29" t="s">
        <v>13</v>
      </c>
      <c r="H272" s="19">
        <v>43522</v>
      </c>
      <c r="I272" s="3">
        <v>238</v>
      </c>
      <c r="J272" s="3" t="s">
        <v>58</v>
      </c>
      <c r="K272" s="37" t="s">
        <v>59</v>
      </c>
      <c r="L272" s="33">
        <v>44172</v>
      </c>
      <c r="M272" s="16" t="s">
        <v>60</v>
      </c>
      <c r="N272" s="33">
        <v>44172</v>
      </c>
      <c r="O272" s="33"/>
      <c r="P272" s="33"/>
      <c r="Q272" s="16"/>
      <c r="R272" s="16" t="s">
        <v>68</v>
      </c>
      <c r="S272" s="16"/>
      <c r="T272" s="16"/>
      <c r="U272" s="16" t="s">
        <v>68</v>
      </c>
      <c r="V272" s="16"/>
      <c r="W272" s="16"/>
      <c r="X272" s="16"/>
      <c r="Y272" s="16"/>
      <c r="Z272" s="16"/>
      <c r="AA272" s="16"/>
      <c r="AB272" s="24"/>
      <c r="AC272" s="24"/>
      <c r="AD272" s="16"/>
    </row>
    <row r="273" spans="1:30" ht="22.8" x14ac:dyDescent="0.25">
      <c r="A273" s="28"/>
      <c r="B273" s="20">
        <v>37100</v>
      </c>
      <c r="C273" s="27" t="s">
        <v>54</v>
      </c>
      <c r="D273" s="3" t="s">
        <v>778</v>
      </c>
      <c r="E273" s="20" t="s">
        <v>660</v>
      </c>
      <c r="F273" s="3" t="s">
        <v>661</v>
      </c>
      <c r="G273" s="29" t="s">
        <v>13</v>
      </c>
      <c r="H273" s="19">
        <v>43522</v>
      </c>
      <c r="I273" s="3">
        <v>239</v>
      </c>
      <c r="J273" s="3" t="s">
        <v>58</v>
      </c>
      <c r="K273" s="37" t="s">
        <v>59</v>
      </c>
      <c r="L273" s="33">
        <v>44172</v>
      </c>
      <c r="M273" s="16" t="s">
        <v>60</v>
      </c>
      <c r="N273" s="33">
        <v>44172</v>
      </c>
      <c r="O273" s="33"/>
      <c r="P273" s="33"/>
      <c r="Q273" s="16"/>
      <c r="R273" s="16" t="s">
        <v>68</v>
      </c>
      <c r="S273" s="16"/>
      <c r="T273" s="16"/>
      <c r="U273" s="51" t="s">
        <v>62</v>
      </c>
      <c r="V273" s="16"/>
      <c r="W273" s="16"/>
      <c r="X273" s="16"/>
      <c r="Y273" s="16"/>
      <c r="Z273" s="16"/>
      <c r="AA273" s="16"/>
      <c r="AB273" s="24"/>
      <c r="AC273" s="24"/>
      <c r="AD273" s="16"/>
    </row>
    <row r="274" spans="1:30" ht="22.8" x14ac:dyDescent="0.25">
      <c r="A274" s="28"/>
      <c r="B274" s="20">
        <v>37102</v>
      </c>
      <c r="C274" s="27" t="s">
        <v>64</v>
      </c>
      <c r="D274" s="3" t="s">
        <v>775</v>
      </c>
      <c r="E274" s="20" t="s">
        <v>660</v>
      </c>
      <c r="F274" s="3" t="s">
        <v>661</v>
      </c>
      <c r="G274" s="29" t="s">
        <v>13</v>
      </c>
      <c r="H274" s="19">
        <v>43523</v>
      </c>
      <c r="I274" s="3">
        <v>300</v>
      </c>
      <c r="J274" s="3" t="s">
        <v>58</v>
      </c>
      <c r="K274" s="37" t="s">
        <v>59</v>
      </c>
      <c r="L274" s="33">
        <v>44158</v>
      </c>
      <c r="M274" s="16" t="s">
        <v>60</v>
      </c>
      <c r="N274" s="33">
        <v>44158</v>
      </c>
      <c r="O274" s="33"/>
      <c r="P274" s="33"/>
      <c r="Q274" s="16"/>
      <c r="R274" s="16" t="s">
        <v>68</v>
      </c>
      <c r="S274" s="16"/>
      <c r="T274" s="16"/>
      <c r="U274" s="16" t="s">
        <v>68</v>
      </c>
      <c r="V274" s="16"/>
      <c r="W274" s="16"/>
      <c r="X274" s="16"/>
      <c r="Y274" s="16"/>
      <c r="Z274" s="16"/>
      <c r="AA274" s="16"/>
      <c r="AB274" s="24"/>
      <c r="AC274" s="24"/>
      <c r="AD274" s="16"/>
    </row>
    <row r="275" spans="1:30" ht="22.8" x14ac:dyDescent="0.25">
      <c r="A275" s="28"/>
      <c r="B275" s="20">
        <v>37102</v>
      </c>
      <c r="C275" s="27" t="s">
        <v>54</v>
      </c>
      <c r="D275" s="3" t="s">
        <v>773</v>
      </c>
      <c r="E275" s="20" t="s">
        <v>660</v>
      </c>
      <c r="F275" s="3" t="s">
        <v>661</v>
      </c>
      <c r="G275" s="29" t="s">
        <v>13</v>
      </c>
      <c r="H275" s="19">
        <v>43523</v>
      </c>
      <c r="I275" s="3">
        <v>301</v>
      </c>
      <c r="J275" s="3" t="s">
        <v>58</v>
      </c>
      <c r="K275" s="37" t="s">
        <v>59</v>
      </c>
      <c r="L275" s="33">
        <v>44158</v>
      </c>
      <c r="M275" s="16" t="s">
        <v>60</v>
      </c>
      <c r="N275" s="33">
        <v>44448</v>
      </c>
      <c r="O275" s="33"/>
      <c r="P275" s="33"/>
      <c r="Q275" s="16"/>
      <c r="R275" s="16" t="s">
        <v>68</v>
      </c>
      <c r="S275" s="16"/>
      <c r="T275" s="16"/>
      <c r="U275" s="51" t="s">
        <v>62</v>
      </c>
      <c r="V275" s="16"/>
      <c r="W275" s="16"/>
      <c r="X275" s="16"/>
      <c r="Y275" s="16"/>
      <c r="Z275" s="16"/>
      <c r="AA275" s="16"/>
      <c r="AB275" s="24"/>
      <c r="AC275" s="24"/>
      <c r="AD275" s="16"/>
    </row>
    <row r="276" spans="1:30" ht="22.8" x14ac:dyDescent="0.25">
      <c r="A276" s="28"/>
      <c r="B276" s="20">
        <v>37105</v>
      </c>
      <c r="C276" s="27" t="s">
        <v>64</v>
      </c>
      <c r="D276" s="3" t="s">
        <v>771</v>
      </c>
      <c r="E276" s="20" t="s">
        <v>660</v>
      </c>
      <c r="F276" s="3" t="s">
        <v>661</v>
      </c>
      <c r="G276" s="29" t="s">
        <v>13</v>
      </c>
      <c r="H276" s="19">
        <v>43523</v>
      </c>
      <c r="I276" s="3">
        <v>297</v>
      </c>
      <c r="J276" s="3" t="s">
        <v>58</v>
      </c>
      <c r="K276" s="37" t="s">
        <v>59</v>
      </c>
      <c r="L276" s="33" t="s">
        <v>63</v>
      </c>
      <c r="M276" s="16" t="s">
        <v>60</v>
      </c>
      <c r="N276" s="33" t="s">
        <v>63</v>
      </c>
      <c r="O276" s="33">
        <v>44305</v>
      </c>
      <c r="P276" s="33"/>
      <c r="Q276" s="16"/>
      <c r="R276" s="16" t="s">
        <v>68</v>
      </c>
      <c r="S276" s="16"/>
      <c r="T276" s="16" t="s">
        <v>68</v>
      </c>
      <c r="U276" s="16" t="s">
        <v>68</v>
      </c>
      <c r="V276" s="16"/>
      <c r="W276" s="16"/>
      <c r="X276" s="16"/>
      <c r="Y276" s="16"/>
      <c r="Z276" s="16"/>
      <c r="AA276" s="16"/>
      <c r="AB276" s="143">
        <v>44491</v>
      </c>
      <c r="AC276" s="24"/>
      <c r="AD276" s="16"/>
    </row>
    <row r="277" spans="1:30" ht="22.8" x14ac:dyDescent="0.25">
      <c r="A277" s="28"/>
      <c r="B277" s="20">
        <v>37105</v>
      </c>
      <c r="C277" s="27" t="s">
        <v>54</v>
      </c>
      <c r="D277" s="3" t="s">
        <v>769</v>
      </c>
      <c r="E277" s="20" t="s">
        <v>660</v>
      </c>
      <c r="F277" s="3" t="s">
        <v>661</v>
      </c>
      <c r="G277" s="29" t="s">
        <v>13</v>
      </c>
      <c r="H277" s="19">
        <v>43523</v>
      </c>
      <c r="I277" s="3">
        <v>212</v>
      </c>
      <c r="J277" s="3" t="s">
        <v>58</v>
      </c>
      <c r="K277" s="37" t="s">
        <v>59</v>
      </c>
      <c r="L277" s="33" t="s">
        <v>63</v>
      </c>
      <c r="M277" s="16" t="s">
        <v>60</v>
      </c>
      <c r="N277" s="33" t="s">
        <v>63</v>
      </c>
      <c r="O277" s="33">
        <v>44305</v>
      </c>
      <c r="P277" s="33"/>
      <c r="Q277" s="16"/>
      <c r="R277" s="16" t="s">
        <v>62</v>
      </c>
      <c r="S277" s="16"/>
      <c r="T277" s="51" t="s">
        <v>62</v>
      </c>
      <c r="U277" s="51" t="s">
        <v>62</v>
      </c>
      <c r="V277" s="16"/>
      <c r="W277" s="16"/>
      <c r="X277" s="16"/>
      <c r="Y277" s="16"/>
      <c r="Z277" s="16"/>
      <c r="AA277" s="16"/>
      <c r="AB277" s="143">
        <v>44491</v>
      </c>
      <c r="AC277" s="24"/>
      <c r="AD277" s="16"/>
    </row>
    <row r="278" spans="1:30" ht="22.8" x14ac:dyDescent="0.25">
      <c r="A278" s="28"/>
      <c r="B278" s="20">
        <v>37123</v>
      </c>
      <c r="C278" s="27" t="s">
        <v>64</v>
      </c>
      <c r="D278" s="3" t="s">
        <v>767</v>
      </c>
      <c r="E278" s="20" t="s">
        <v>660</v>
      </c>
      <c r="F278" s="3" t="s">
        <v>661</v>
      </c>
      <c r="G278" s="29" t="s">
        <v>13</v>
      </c>
      <c r="H278" s="19">
        <v>43547</v>
      </c>
      <c r="I278" s="3">
        <v>357</v>
      </c>
      <c r="J278" s="3" t="s">
        <v>58</v>
      </c>
      <c r="K278" s="37" t="s">
        <v>59</v>
      </c>
      <c r="L278" s="33">
        <v>44167</v>
      </c>
      <c r="M278" s="16" t="s">
        <v>60</v>
      </c>
      <c r="N278" s="33">
        <v>44167</v>
      </c>
      <c r="O278" s="33"/>
      <c r="P278" s="33"/>
      <c r="Q278" s="16"/>
      <c r="R278" s="16" t="s">
        <v>68</v>
      </c>
      <c r="S278" s="16"/>
      <c r="T278" s="16" t="s">
        <v>616</v>
      </c>
      <c r="U278" s="16" t="s">
        <v>68</v>
      </c>
      <c r="V278" s="16"/>
      <c r="W278" s="16"/>
      <c r="X278" s="16"/>
      <c r="Y278" s="16"/>
      <c r="Z278" s="16"/>
      <c r="AA278" s="16"/>
      <c r="AB278" s="24"/>
      <c r="AC278" s="24"/>
      <c r="AD278" s="16"/>
    </row>
    <row r="279" spans="1:30" ht="22.8" x14ac:dyDescent="0.25">
      <c r="A279" s="28"/>
      <c r="B279" s="20">
        <v>37123</v>
      </c>
      <c r="C279" s="27" t="s">
        <v>54</v>
      </c>
      <c r="D279" s="3" t="s">
        <v>765</v>
      </c>
      <c r="E279" s="20" t="s">
        <v>660</v>
      </c>
      <c r="F279" s="3" t="s">
        <v>661</v>
      </c>
      <c r="G279" s="29" t="s">
        <v>13</v>
      </c>
      <c r="H279" s="19">
        <v>43547</v>
      </c>
      <c r="I279" s="3">
        <v>326</v>
      </c>
      <c r="J279" s="3" t="s">
        <v>58</v>
      </c>
      <c r="K279" s="37" t="s">
        <v>59</v>
      </c>
      <c r="L279" s="33">
        <v>44167</v>
      </c>
      <c r="M279" s="16" t="s">
        <v>60</v>
      </c>
      <c r="N279" s="33">
        <v>44167</v>
      </c>
      <c r="O279" s="33">
        <v>44292</v>
      </c>
      <c r="P279" s="33"/>
      <c r="Q279" s="16"/>
      <c r="R279" s="16" t="s">
        <v>62</v>
      </c>
      <c r="S279" s="16"/>
      <c r="T279" s="16" t="s">
        <v>604</v>
      </c>
      <c r="U279" s="51" t="s">
        <v>62</v>
      </c>
      <c r="V279" s="16"/>
      <c r="W279" s="16"/>
      <c r="X279" s="16"/>
      <c r="Y279" s="16"/>
      <c r="Z279" s="16"/>
      <c r="AA279" s="16"/>
      <c r="AB279" s="143">
        <v>44369</v>
      </c>
      <c r="AC279" s="24"/>
      <c r="AD279" s="16"/>
    </row>
    <row r="280" spans="1:30" ht="22.8" x14ac:dyDescent="0.25">
      <c r="A280" s="28"/>
      <c r="B280" s="20">
        <v>37125</v>
      </c>
      <c r="C280" s="27" t="s">
        <v>64</v>
      </c>
      <c r="D280" s="3" t="s">
        <v>764</v>
      </c>
      <c r="E280" s="20" t="s">
        <v>660</v>
      </c>
      <c r="F280" s="3" t="s">
        <v>661</v>
      </c>
      <c r="G280" s="29" t="s">
        <v>13</v>
      </c>
      <c r="H280" s="19">
        <v>43549</v>
      </c>
      <c r="I280" s="3">
        <v>340</v>
      </c>
      <c r="J280" s="3" t="s">
        <v>58</v>
      </c>
      <c r="K280" s="37" t="s">
        <v>59</v>
      </c>
      <c r="L280" s="33">
        <v>44137</v>
      </c>
      <c r="M280" s="16" t="s">
        <v>60</v>
      </c>
      <c r="N280" s="33">
        <v>44137</v>
      </c>
      <c r="O280" s="33">
        <v>44607</v>
      </c>
      <c r="P280" s="33"/>
      <c r="Q280" s="16"/>
      <c r="R280" s="16" t="s">
        <v>68</v>
      </c>
      <c r="S280" s="16" t="s">
        <v>68</v>
      </c>
      <c r="T280" s="16" t="s">
        <v>68</v>
      </c>
      <c r="U280" s="16" t="s">
        <v>68</v>
      </c>
      <c r="V280" s="16"/>
      <c r="W280" s="16"/>
      <c r="X280" s="16"/>
      <c r="Y280" s="16"/>
      <c r="Z280" s="16"/>
      <c r="AA280" s="16"/>
      <c r="AB280" s="24"/>
      <c r="AC280" s="24"/>
      <c r="AD280" s="16"/>
    </row>
    <row r="281" spans="1:30" ht="22.8" x14ac:dyDescent="0.25">
      <c r="A281" s="28"/>
      <c r="B281" s="20">
        <v>37125</v>
      </c>
      <c r="C281" s="27" t="s">
        <v>54</v>
      </c>
      <c r="D281" s="3" t="s">
        <v>761</v>
      </c>
      <c r="E281" s="20" t="s">
        <v>660</v>
      </c>
      <c r="F281" s="3" t="s">
        <v>661</v>
      </c>
      <c r="G281" s="29" t="s">
        <v>13</v>
      </c>
      <c r="H281" s="19">
        <v>43549</v>
      </c>
      <c r="I281" s="3">
        <v>354</v>
      </c>
      <c r="J281" s="3" t="s">
        <v>58</v>
      </c>
      <c r="K281" s="37" t="s">
        <v>59</v>
      </c>
      <c r="L281" s="33" t="s">
        <v>63</v>
      </c>
      <c r="M281" s="16" t="s">
        <v>60</v>
      </c>
      <c r="N281" s="33" t="s">
        <v>63</v>
      </c>
      <c r="O281" s="33">
        <v>44607</v>
      </c>
      <c r="P281" s="33"/>
      <c r="Q281" s="16"/>
      <c r="R281" s="16" t="s">
        <v>68</v>
      </c>
      <c r="S281" s="16"/>
      <c r="T281" s="16"/>
      <c r="U281" s="51" t="s">
        <v>62</v>
      </c>
      <c r="V281" s="16"/>
      <c r="W281" s="16"/>
      <c r="X281" s="16"/>
      <c r="Y281" s="16"/>
      <c r="Z281" s="16"/>
      <c r="AA281" s="16"/>
      <c r="AB281" s="24"/>
      <c r="AC281" s="24"/>
      <c r="AD281" s="16"/>
    </row>
    <row r="282" spans="1:30" ht="22.8" x14ac:dyDescent="0.25">
      <c r="A282" s="28"/>
      <c r="B282" s="20">
        <v>37129</v>
      </c>
      <c r="C282" s="27" t="s">
        <v>64</v>
      </c>
      <c r="D282" s="3" t="s">
        <v>760</v>
      </c>
      <c r="E282" s="20" t="s">
        <v>660</v>
      </c>
      <c r="F282" s="3" t="s">
        <v>661</v>
      </c>
      <c r="G282" s="29" t="s">
        <v>13</v>
      </c>
      <c r="H282" s="19">
        <v>43551</v>
      </c>
      <c r="I282" s="3">
        <v>385</v>
      </c>
      <c r="J282" s="3" t="s">
        <v>58</v>
      </c>
      <c r="K282" s="37" t="s">
        <v>59</v>
      </c>
      <c r="L282" s="33" t="s">
        <v>63</v>
      </c>
      <c r="M282" s="16" t="s">
        <v>722</v>
      </c>
      <c r="N282" s="33"/>
      <c r="O282" s="33"/>
      <c r="P282" s="33"/>
      <c r="Q282" s="16"/>
      <c r="R282" s="16" t="s">
        <v>68</v>
      </c>
      <c r="S282" s="16" t="s">
        <v>68</v>
      </c>
      <c r="T282" s="16"/>
      <c r="U282" s="16" t="s">
        <v>68</v>
      </c>
      <c r="V282" s="16"/>
      <c r="W282" s="16"/>
      <c r="X282" s="16"/>
      <c r="Y282" s="16"/>
      <c r="Z282" s="16"/>
      <c r="AA282" s="16"/>
      <c r="AB282" s="24"/>
      <c r="AC282" s="24"/>
      <c r="AD282" s="16"/>
    </row>
    <row r="283" spans="1:30" ht="22.8" x14ac:dyDescent="0.25">
      <c r="A283" s="28"/>
      <c r="B283" s="20">
        <v>37129</v>
      </c>
      <c r="C283" s="27" t="s">
        <v>54</v>
      </c>
      <c r="D283" s="3" t="s">
        <v>758</v>
      </c>
      <c r="E283" s="20" t="s">
        <v>660</v>
      </c>
      <c r="F283" s="3" t="s">
        <v>661</v>
      </c>
      <c r="G283" s="29" t="s">
        <v>13</v>
      </c>
      <c r="H283" s="19">
        <v>43551</v>
      </c>
      <c r="I283" s="3">
        <v>384</v>
      </c>
      <c r="J283" s="3" t="s">
        <v>58</v>
      </c>
      <c r="K283" s="37" t="s">
        <v>59</v>
      </c>
      <c r="L283" s="33" t="s">
        <v>63</v>
      </c>
      <c r="M283" s="16" t="s">
        <v>722</v>
      </c>
      <c r="N283" s="33"/>
      <c r="O283" s="33"/>
      <c r="P283" s="33"/>
      <c r="Q283" s="16"/>
      <c r="R283" s="16" t="s">
        <v>62</v>
      </c>
      <c r="S283" s="16" t="s">
        <v>62</v>
      </c>
      <c r="T283" s="16"/>
      <c r="U283" s="51" t="s">
        <v>62</v>
      </c>
      <c r="V283" s="16"/>
      <c r="W283" s="16"/>
      <c r="X283" s="16"/>
      <c r="Y283" s="16"/>
      <c r="Z283" s="16"/>
      <c r="AA283" s="16"/>
      <c r="AB283" s="24"/>
      <c r="AC283" s="24"/>
      <c r="AD283" s="16"/>
    </row>
    <row r="284" spans="1:30" ht="22.8" x14ac:dyDescent="0.25">
      <c r="A284" s="28"/>
      <c r="B284" s="20">
        <v>37130</v>
      </c>
      <c r="C284" s="27" t="s">
        <v>64</v>
      </c>
      <c r="D284" s="3" t="s">
        <v>757</v>
      </c>
      <c r="E284" s="20" t="s">
        <v>660</v>
      </c>
      <c r="F284" s="3" t="s">
        <v>661</v>
      </c>
      <c r="G284" s="29" t="s">
        <v>13</v>
      </c>
      <c r="H284" s="19">
        <v>43552</v>
      </c>
      <c r="I284" s="3">
        <v>416</v>
      </c>
      <c r="J284" s="3" t="s">
        <v>58</v>
      </c>
      <c r="K284" s="37" t="s">
        <v>59</v>
      </c>
      <c r="L284" s="33" t="s">
        <v>63</v>
      </c>
      <c r="M284" s="16" t="s">
        <v>722</v>
      </c>
      <c r="N284" s="33"/>
      <c r="O284" s="33"/>
      <c r="P284" s="33"/>
      <c r="Q284" s="16"/>
      <c r="R284" s="16" t="s">
        <v>68</v>
      </c>
      <c r="S284" s="16"/>
      <c r="T284" s="16"/>
      <c r="U284" s="16" t="s">
        <v>68</v>
      </c>
      <c r="V284" s="16"/>
      <c r="W284" s="16"/>
      <c r="X284" s="16"/>
      <c r="Y284" s="16"/>
      <c r="Z284" s="16"/>
      <c r="AA284" s="16"/>
      <c r="AB284" s="24"/>
      <c r="AC284" s="24"/>
      <c r="AD284" s="16"/>
    </row>
    <row r="285" spans="1:30" ht="22.8" x14ac:dyDescent="0.25">
      <c r="A285" s="28"/>
      <c r="B285" s="20">
        <v>37130</v>
      </c>
      <c r="C285" s="27" t="s">
        <v>54</v>
      </c>
      <c r="D285" s="3" t="s">
        <v>756</v>
      </c>
      <c r="E285" s="20" t="s">
        <v>660</v>
      </c>
      <c r="F285" s="3" t="s">
        <v>661</v>
      </c>
      <c r="G285" s="29" t="s">
        <v>13</v>
      </c>
      <c r="H285" s="19">
        <v>43552</v>
      </c>
      <c r="I285" s="3">
        <v>417</v>
      </c>
      <c r="J285" s="3" t="s">
        <v>58</v>
      </c>
      <c r="K285" s="37" t="s">
        <v>59</v>
      </c>
      <c r="L285" s="33" t="s">
        <v>63</v>
      </c>
      <c r="M285" s="16" t="s">
        <v>60</v>
      </c>
      <c r="N285" s="33">
        <v>44469</v>
      </c>
      <c r="O285" s="33"/>
      <c r="P285" s="33"/>
      <c r="Q285" s="16"/>
      <c r="R285" s="16" t="s">
        <v>62</v>
      </c>
      <c r="S285" s="16"/>
      <c r="T285" s="16"/>
      <c r="U285" s="51" t="s">
        <v>62</v>
      </c>
      <c r="V285" s="16"/>
      <c r="W285" s="16"/>
      <c r="X285" s="16"/>
      <c r="Y285" s="16"/>
      <c r="Z285" s="16"/>
      <c r="AA285" s="16"/>
      <c r="AB285" s="24"/>
      <c r="AC285" s="24"/>
      <c r="AD285" s="16"/>
    </row>
    <row r="286" spans="1:30" ht="22.8" x14ac:dyDescent="0.25">
      <c r="A286" s="28"/>
      <c r="B286" s="20">
        <v>37132</v>
      </c>
      <c r="C286" s="27" t="s">
        <v>64</v>
      </c>
      <c r="D286" s="3" t="s">
        <v>754</v>
      </c>
      <c r="E286" s="20" t="s">
        <v>660</v>
      </c>
      <c r="F286" s="3" t="s">
        <v>661</v>
      </c>
      <c r="G286" s="29" t="s">
        <v>13</v>
      </c>
      <c r="H286" s="19">
        <v>43552</v>
      </c>
      <c r="I286" s="3">
        <v>337</v>
      </c>
      <c r="J286" s="3" t="s">
        <v>58</v>
      </c>
      <c r="K286" s="37" t="s">
        <v>59</v>
      </c>
      <c r="L286" s="33" t="s">
        <v>63</v>
      </c>
      <c r="M286" s="16" t="s">
        <v>60</v>
      </c>
      <c r="N286" s="33" t="s">
        <v>63</v>
      </c>
      <c r="O286" s="33">
        <v>44294</v>
      </c>
      <c r="P286" s="33"/>
      <c r="Q286" s="16"/>
      <c r="R286" s="16" t="s">
        <v>68</v>
      </c>
      <c r="S286" s="16"/>
      <c r="T286" s="16" t="s">
        <v>68</v>
      </c>
      <c r="U286" s="16" t="s">
        <v>68</v>
      </c>
      <c r="V286" s="16"/>
      <c r="W286" s="16" t="s">
        <v>68</v>
      </c>
      <c r="X286" s="16"/>
      <c r="Y286" s="16"/>
      <c r="Z286" s="16"/>
      <c r="AA286" s="16"/>
      <c r="AB286" s="24"/>
      <c r="AC286" s="24"/>
      <c r="AD286" s="16"/>
    </row>
    <row r="287" spans="1:30" ht="22.8" x14ac:dyDescent="0.25">
      <c r="A287" s="28"/>
      <c r="B287" s="20">
        <v>37132</v>
      </c>
      <c r="C287" s="27" t="s">
        <v>54</v>
      </c>
      <c r="D287" s="3" t="s">
        <v>753</v>
      </c>
      <c r="E287" s="20" t="s">
        <v>660</v>
      </c>
      <c r="F287" s="3" t="s">
        <v>661</v>
      </c>
      <c r="G287" s="29" t="s">
        <v>13</v>
      </c>
      <c r="H287" s="19">
        <v>43552</v>
      </c>
      <c r="I287" s="3">
        <v>314</v>
      </c>
      <c r="J287" s="3" t="s">
        <v>58</v>
      </c>
      <c r="K287" s="37" t="s">
        <v>59</v>
      </c>
      <c r="L287" s="33" t="s">
        <v>63</v>
      </c>
      <c r="M287" s="16" t="s">
        <v>60</v>
      </c>
      <c r="N287" s="33" t="s">
        <v>63</v>
      </c>
      <c r="O287" s="33">
        <v>44294</v>
      </c>
      <c r="P287" s="33"/>
      <c r="Q287" s="16"/>
      <c r="R287" s="16" t="s">
        <v>62</v>
      </c>
      <c r="S287" s="16"/>
      <c r="T287" s="51" t="s">
        <v>62</v>
      </c>
      <c r="U287" s="51" t="s">
        <v>62</v>
      </c>
      <c r="V287" s="16"/>
      <c r="W287" s="51" t="s">
        <v>62</v>
      </c>
      <c r="X287" s="16"/>
      <c r="Y287" s="16"/>
      <c r="Z287" s="16"/>
      <c r="AA287" s="16"/>
      <c r="AB287" s="24"/>
      <c r="AC287" s="24"/>
      <c r="AD287" s="16"/>
    </row>
    <row r="288" spans="1:30" ht="22.8" x14ac:dyDescent="0.25">
      <c r="A288" s="28"/>
      <c r="B288" s="20">
        <v>37137</v>
      </c>
      <c r="C288" s="27" t="s">
        <v>64</v>
      </c>
      <c r="D288" s="3" t="s">
        <v>752</v>
      </c>
      <c r="E288" s="20" t="s">
        <v>660</v>
      </c>
      <c r="F288" s="3" t="s">
        <v>661</v>
      </c>
      <c r="G288" s="29" t="s">
        <v>13</v>
      </c>
      <c r="H288" s="19">
        <v>43553</v>
      </c>
      <c r="I288" s="3">
        <v>404</v>
      </c>
      <c r="J288" s="3" t="s">
        <v>58</v>
      </c>
      <c r="K288" s="37" t="s">
        <v>59</v>
      </c>
      <c r="L288" s="33" t="s">
        <v>63</v>
      </c>
      <c r="M288" s="16" t="s">
        <v>60</v>
      </c>
      <c r="N288" s="33" t="s">
        <v>63</v>
      </c>
      <c r="O288" s="33">
        <v>44676</v>
      </c>
      <c r="P288" s="33"/>
      <c r="Q288" s="16"/>
      <c r="R288" s="16" t="s">
        <v>68</v>
      </c>
      <c r="S288" s="16"/>
      <c r="T288" s="16"/>
      <c r="U288" s="16" t="s">
        <v>68</v>
      </c>
      <c r="V288" s="16"/>
      <c r="W288" s="16"/>
      <c r="X288" s="16"/>
      <c r="Y288" s="16"/>
      <c r="Z288" s="16"/>
      <c r="AA288" s="16"/>
      <c r="AB288" s="24"/>
      <c r="AC288" s="24"/>
      <c r="AD288" s="16"/>
    </row>
    <row r="289" spans="1:30" ht="22.8" x14ac:dyDescent="0.25">
      <c r="A289" s="28"/>
      <c r="B289" s="20">
        <v>37137</v>
      </c>
      <c r="C289" s="27" t="s">
        <v>54</v>
      </c>
      <c r="D289" s="3" t="s">
        <v>751</v>
      </c>
      <c r="E289" s="20" t="s">
        <v>660</v>
      </c>
      <c r="F289" s="3" t="s">
        <v>661</v>
      </c>
      <c r="G289" s="29" t="s">
        <v>13</v>
      </c>
      <c r="H289" s="19">
        <v>43553</v>
      </c>
      <c r="I289" s="3">
        <v>405</v>
      </c>
      <c r="J289" s="3" t="s">
        <v>58</v>
      </c>
      <c r="K289" s="37" t="s">
        <v>59</v>
      </c>
      <c r="L289" s="33" t="s">
        <v>63</v>
      </c>
      <c r="M289" s="16" t="s">
        <v>60</v>
      </c>
      <c r="N289" s="33" t="s">
        <v>63</v>
      </c>
      <c r="O289" s="33">
        <v>44676</v>
      </c>
      <c r="P289" s="33"/>
      <c r="Q289" s="16"/>
      <c r="R289" s="16" t="s">
        <v>68</v>
      </c>
      <c r="S289" s="16"/>
      <c r="T289" s="16"/>
      <c r="U289" s="51" t="s">
        <v>62</v>
      </c>
      <c r="V289" s="16"/>
      <c r="W289" s="16"/>
      <c r="X289" s="16"/>
      <c r="Y289" s="16"/>
      <c r="Z289" s="16"/>
      <c r="AA289" s="16"/>
      <c r="AB289" s="24"/>
      <c r="AC289" s="24"/>
      <c r="AD289" s="16"/>
    </row>
    <row r="290" spans="1:30" ht="22.8" x14ac:dyDescent="0.25">
      <c r="A290" s="28"/>
      <c r="B290" s="20">
        <v>37141</v>
      </c>
      <c r="C290" s="27" t="s">
        <v>64</v>
      </c>
      <c r="D290" s="3" t="s">
        <v>749</v>
      </c>
      <c r="E290" s="20" t="s">
        <v>660</v>
      </c>
      <c r="F290" s="3" t="s">
        <v>661</v>
      </c>
      <c r="G290" s="29" t="s">
        <v>13</v>
      </c>
      <c r="H290" s="19">
        <v>43570</v>
      </c>
      <c r="I290" s="3">
        <v>366</v>
      </c>
      <c r="J290" s="3" t="s">
        <v>58</v>
      </c>
      <c r="K290" s="37" t="s">
        <v>59</v>
      </c>
      <c r="L290" s="33">
        <v>44651</v>
      </c>
      <c r="M290" s="16" t="s">
        <v>60</v>
      </c>
      <c r="N290" s="33"/>
      <c r="O290" s="33">
        <v>44651</v>
      </c>
      <c r="P290" s="33"/>
      <c r="Q290" s="16"/>
      <c r="R290" s="16" t="s">
        <v>68</v>
      </c>
      <c r="S290" s="16"/>
      <c r="T290" s="16" t="s">
        <v>68</v>
      </c>
      <c r="U290" s="16" t="s">
        <v>68</v>
      </c>
      <c r="V290" s="16"/>
      <c r="W290" s="16"/>
      <c r="X290" s="16"/>
      <c r="Y290" s="16"/>
      <c r="Z290" s="16"/>
      <c r="AA290" s="16"/>
      <c r="AB290" s="143">
        <v>44568</v>
      </c>
      <c r="AC290" s="24"/>
      <c r="AD290" s="16"/>
    </row>
    <row r="291" spans="1:30" ht="22.8" x14ac:dyDescent="0.25">
      <c r="A291" s="28"/>
      <c r="B291" s="20">
        <v>37141</v>
      </c>
      <c r="C291" s="27" t="s">
        <v>54</v>
      </c>
      <c r="D291" s="3" t="s">
        <v>746</v>
      </c>
      <c r="E291" s="20" t="s">
        <v>660</v>
      </c>
      <c r="F291" s="3" t="s">
        <v>661</v>
      </c>
      <c r="G291" s="29" t="s">
        <v>13</v>
      </c>
      <c r="H291" s="19">
        <v>43570</v>
      </c>
      <c r="I291" s="3">
        <v>335</v>
      </c>
      <c r="J291" s="3" t="s">
        <v>58</v>
      </c>
      <c r="K291" s="37" t="s">
        <v>59</v>
      </c>
      <c r="L291" s="33">
        <v>44651</v>
      </c>
      <c r="M291" s="16" t="s">
        <v>60</v>
      </c>
      <c r="N291" s="33"/>
      <c r="O291" s="33">
        <v>44651</v>
      </c>
      <c r="P291" s="33"/>
      <c r="Q291" s="16"/>
      <c r="R291" s="16" t="s">
        <v>62</v>
      </c>
      <c r="S291" s="16"/>
      <c r="T291" s="16" t="s">
        <v>62</v>
      </c>
      <c r="U291" s="51" t="s">
        <v>62</v>
      </c>
      <c r="V291" s="16"/>
      <c r="W291" s="16"/>
      <c r="X291" s="16" t="s">
        <v>689</v>
      </c>
      <c r="Y291" s="16"/>
      <c r="Z291" s="16"/>
      <c r="AA291" s="16"/>
      <c r="AB291" s="143">
        <v>44568</v>
      </c>
      <c r="AC291" s="24"/>
      <c r="AD291" s="16"/>
    </row>
    <row r="292" spans="1:30" ht="22.8" x14ac:dyDescent="0.25">
      <c r="A292" s="28"/>
      <c r="B292" s="20">
        <v>37146</v>
      </c>
      <c r="C292" s="27" t="s">
        <v>64</v>
      </c>
      <c r="D292" s="3" t="s">
        <v>744</v>
      </c>
      <c r="E292" s="20" t="s">
        <v>660</v>
      </c>
      <c r="F292" s="3" t="s">
        <v>661</v>
      </c>
      <c r="G292" s="29" t="s">
        <v>13</v>
      </c>
      <c r="H292" s="19">
        <v>43573</v>
      </c>
      <c r="I292" s="3">
        <v>364</v>
      </c>
      <c r="J292" s="3" t="s">
        <v>58</v>
      </c>
      <c r="K292" s="37" t="s">
        <v>59</v>
      </c>
      <c r="L292" s="33">
        <v>44150</v>
      </c>
      <c r="M292" s="16" t="s">
        <v>60</v>
      </c>
      <c r="N292" s="33">
        <v>44150</v>
      </c>
      <c r="O292" s="33">
        <v>44652</v>
      </c>
      <c r="P292" s="33"/>
      <c r="Q292" s="16"/>
      <c r="R292" s="16" t="s">
        <v>68</v>
      </c>
      <c r="S292" s="16" t="s">
        <v>68</v>
      </c>
      <c r="T292" s="16"/>
      <c r="U292" s="16" t="s">
        <v>68</v>
      </c>
      <c r="V292" s="16"/>
      <c r="W292" s="16"/>
      <c r="X292" s="16" t="s">
        <v>710</v>
      </c>
      <c r="Y292" s="16"/>
      <c r="Z292" s="16"/>
      <c r="AA292" s="16"/>
      <c r="AB292" s="143">
        <v>44496</v>
      </c>
      <c r="AC292" s="24"/>
      <c r="AD292" s="16"/>
    </row>
    <row r="293" spans="1:30" ht="22.8" x14ac:dyDescent="0.25">
      <c r="A293" s="28"/>
      <c r="B293" s="20">
        <v>37146</v>
      </c>
      <c r="C293" s="27" t="s">
        <v>54</v>
      </c>
      <c r="D293" s="3" t="s">
        <v>741</v>
      </c>
      <c r="E293" s="20" t="s">
        <v>660</v>
      </c>
      <c r="F293" s="3" t="s">
        <v>661</v>
      </c>
      <c r="G293" s="29" t="s">
        <v>13</v>
      </c>
      <c r="H293" s="19">
        <v>43573</v>
      </c>
      <c r="I293" s="3">
        <v>338</v>
      </c>
      <c r="J293" s="3" t="s">
        <v>58</v>
      </c>
      <c r="K293" s="37" t="s">
        <v>59</v>
      </c>
      <c r="L293" s="33">
        <v>44150</v>
      </c>
      <c r="M293" s="16" t="s">
        <v>60</v>
      </c>
      <c r="N293" s="33">
        <v>44150</v>
      </c>
      <c r="O293" s="33">
        <v>44652</v>
      </c>
      <c r="P293" s="33"/>
      <c r="Q293" s="16"/>
      <c r="R293" s="16" t="s">
        <v>62</v>
      </c>
      <c r="S293" s="16" t="s">
        <v>62</v>
      </c>
      <c r="T293" s="16"/>
      <c r="U293" s="51" t="s">
        <v>62</v>
      </c>
      <c r="V293" s="16"/>
      <c r="W293" s="16"/>
      <c r="X293" s="16" t="s">
        <v>689</v>
      </c>
      <c r="Y293" s="16"/>
      <c r="Z293" s="16"/>
      <c r="AA293" s="16"/>
      <c r="AB293" s="143">
        <v>44496</v>
      </c>
      <c r="AC293" s="24"/>
      <c r="AD293" s="16"/>
    </row>
    <row r="294" spans="1:30" ht="22.8" x14ac:dyDescent="0.25">
      <c r="A294" s="28"/>
      <c r="B294" s="20">
        <v>37174</v>
      </c>
      <c r="C294" s="27" t="s">
        <v>64</v>
      </c>
      <c r="D294" s="3" t="s">
        <v>740</v>
      </c>
      <c r="E294" s="20" t="s">
        <v>660</v>
      </c>
      <c r="F294" s="3" t="s">
        <v>661</v>
      </c>
      <c r="G294" s="29" t="s">
        <v>13</v>
      </c>
      <c r="H294" s="19">
        <v>43603</v>
      </c>
      <c r="I294" s="3">
        <v>434</v>
      </c>
      <c r="J294" s="3" t="s">
        <v>58</v>
      </c>
      <c r="K294" s="37" t="s">
        <v>59</v>
      </c>
      <c r="L294" s="33">
        <v>44144</v>
      </c>
      <c r="M294" s="16" t="s">
        <v>60</v>
      </c>
      <c r="N294" s="33">
        <v>44144</v>
      </c>
      <c r="O294" s="33">
        <v>44607</v>
      </c>
      <c r="P294" s="33"/>
      <c r="Q294" s="16"/>
      <c r="R294" s="16" t="s">
        <v>68</v>
      </c>
      <c r="S294" s="16"/>
      <c r="T294" s="16"/>
      <c r="U294" s="16" t="s">
        <v>68</v>
      </c>
      <c r="V294" s="16"/>
      <c r="W294" s="16"/>
      <c r="X294" s="16" t="s">
        <v>710</v>
      </c>
      <c r="Y294" s="16"/>
      <c r="Z294" s="16"/>
      <c r="AA294" s="16"/>
      <c r="AB294" s="24"/>
      <c r="AC294" s="24"/>
      <c r="AD294" s="16"/>
    </row>
    <row r="295" spans="1:30" ht="22.8" x14ac:dyDescent="0.25">
      <c r="A295" s="28"/>
      <c r="B295" s="20">
        <v>37174</v>
      </c>
      <c r="C295" s="27" t="s">
        <v>54</v>
      </c>
      <c r="D295" s="3" t="s">
        <v>739</v>
      </c>
      <c r="E295" s="20" t="s">
        <v>660</v>
      </c>
      <c r="F295" s="3" t="s">
        <v>661</v>
      </c>
      <c r="G295" s="29" t="s">
        <v>13</v>
      </c>
      <c r="H295" s="19">
        <v>43603</v>
      </c>
      <c r="I295" s="3">
        <v>428</v>
      </c>
      <c r="J295" s="3" t="s">
        <v>58</v>
      </c>
      <c r="K295" s="37" t="s">
        <v>59</v>
      </c>
      <c r="L295" s="33">
        <v>44144</v>
      </c>
      <c r="M295" s="16" t="s">
        <v>60</v>
      </c>
      <c r="N295" s="33">
        <v>44144</v>
      </c>
      <c r="O295" s="33">
        <v>44607</v>
      </c>
      <c r="P295" s="33"/>
      <c r="Q295" s="16"/>
      <c r="R295" s="16" t="s">
        <v>62</v>
      </c>
      <c r="S295" s="16" t="s">
        <v>62</v>
      </c>
      <c r="T295" s="16"/>
      <c r="U295" s="51" t="s">
        <v>62</v>
      </c>
      <c r="V295" s="16"/>
      <c r="W295" s="16"/>
      <c r="X295" s="16"/>
      <c r="Y295" s="16"/>
      <c r="Z295" s="16"/>
      <c r="AA295" s="16"/>
      <c r="AB295" s="24"/>
      <c r="AC295" s="24"/>
      <c r="AD295" s="16"/>
    </row>
    <row r="296" spans="1:30" ht="22.8" x14ac:dyDescent="0.25">
      <c r="A296" s="28"/>
      <c r="B296" s="20">
        <v>37177</v>
      </c>
      <c r="C296" s="27" t="s">
        <v>64</v>
      </c>
      <c r="D296" s="3" t="s">
        <v>738</v>
      </c>
      <c r="E296" s="20" t="s">
        <v>660</v>
      </c>
      <c r="F296" s="3" t="s">
        <v>661</v>
      </c>
      <c r="G296" s="29" t="s">
        <v>13</v>
      </c>
      <c r="H296" s="19">
        <v>43605</v>
      </c>
      <c r="I296" s="3">
        <v>459</v>
      </c>
      <c r="J296" s="3" t="s">
        <v>58</v>
      </c>
      <c r="K296" s="37" t="s">
        <v>59</v>
      </c>
      <c r="L296" s="33">
        <v>44139</v>
      </c>
      <c r="M296" s="16" t="s">
        <v>60</v>
      </c>
      <c r="N296" s="33">
        <v>44139</v>
      </c>
      <c r="O296" s="33"/>
      <c r="P296" s="33"/>
      <c r="Q296" s="16"/>
      <c r="R296" s="16" t="s">
        <v>68</v>
      </c>
      <c r="S296" s="16"/>
      <c r="T296" s="16"/>
      <c r="U296" s="16" t="s">
        <v>68</v>
      </c>
      <c r="V296" s="16"/>
      <c r="W296" s="16"/>
      <c r="X296" s="16"/>
      <c r="Y296" s="16"/>
      <c r="Z296" s="16"/>
      <c r="AA296" s="16"/>
      <c r="AB296" s="24"/>
      <c r="AC296" s="24"/>
      <c r="AD296" s="16"/>
    </row>
    <row r="297" spans="1:30" ht="22.8" x14ac:dyDescent="0.25">
      <c r="A297" s="28"/>
      <c r="B297" s="20">
        <v>37177</v>
      </c>
      <c r="C297" s="27" t="s">
        <v>54</v>
      </c>
      <c r="D297" s="3" t="s">
        <v>735</v>
      </c>
      <c r="E297" s="20" t="s">
        <v>660</v>
      </c>
      <c r="F297" s="3" t="s">
        <v>661</v>
      </c>
      <c r="G297" s="29" t="s">
        <v>13</v>
      </c>
      <c r="H297" s="19">
        <v>43605</v>
      </c>
      <c r="I297" s="3">
        <v>458</v>
      </c>
      <c r="J297" s="3" t="s">
        <v>58</v>
      </c>
      <c r="K297" s="37" t="s">
        <v>59</v>
      </c>
      <c r="L297" s="33">
        <v>44139</v>
      </c>
      <c r="M297" s="16" t="s">
        <v>60</v>
      </c>
      <c r="N297" s="33">
        <v>44139</v>
      </c>
      <c r="O297" s="33"/>
      <c r="P297" s="33"/>
      <c r="Q297" s="16"/>
      <c r="R297" s="16" t="s">
        <v>62</v>
      </c>
      <c r="S297" s="16"/>
      <c r="T297" s="16"/>
      <c r="U297" s="51" t="s">
        <v>62</v>
      </c>
      <c r="V297" s="16"/>
      <c r="W297" s="16"/>
      <c r="X297" s="16"/>
      <c r="Y297" s="16"/>
      <c r="Z297" s="16"/>
      <c r="AA297" s="16"/>
      <c r="AB297" s="24"/>
      <c r="AC297" s="24"/>
      <c r="AD297" s="16"/>
    </row>
    <row r="298" spans="1:30" ht="22.8" x14ac:dyDescent="0.25">
      <c r="A298" s="28"/>
      <c r="B298" s="20">
        <v>37196</v>
      </c>
      <c r="C298" s="27" t="s">
        <v>64</v>
      </c>
      <c r="D298" s="3" t="s">
        <v>734</v>
      </c>
      <c r="E298" s="20" t="s">
        <v>660</v>
      </c>
      <c r="F298" s="3" t="s">
        <v>661</v>
      </c>
      <c r="G298" s="29" t="s">
        <v>13</v>
      </c>
      <c r="H298" s="19">
        <v>43635</v>
      </c>
      <c r="I298" s="3">
        <v>476</v>
      </c>
      <c r="J298" s="3" t="s">
        <v>58</v>
      </c>
      <c r="K298" s="37" t="s">
        <v>59</v>
      </c>
      <c r="L298" s="33">
        <v>44209</v>
      </c>
      <c r="M298" s="16" t="s">
        <v>60</v>
      </c>
      <c r="N298" s="33">
        <v>44209</v>
      </c>
      <c r="O298" s="33">
        <v>44306</v>
      </c>
      <c r="P298" s="33"/>
      <c r="Q298" s="16"/>
      <c r="R298" s="16" t="s">
        <v>68</v>
      </c>
      <c r="S298" s="16"/>
      <c r="T298" s="16" t="s">
        <v>68</v>
      </c>
      <c r="U298" s="16" t="s">
        <v>68</v>
      </c>
      <c r="V298" s="16"/>
      <c r="W298" s="16" t="s">
        <v>616</v>
      </c>
      <c r="X298" s="16"/>
      <c r="Y298" s="16"/>
      <c r="Z298" s="16"/>
      <c r="AA298" s="16"/>
      <c r="AB298" s="24"/>
      <c r="AC298" s="24"/>
      <c r="AD298" s="16"/>
    </row>
    <row r="299" spans="1:30" ht="22.8" x14ac:dyDescent="0.25">
      <c r="A299" s="28"/>
      <c r="B299" s="20">
        <v>37196</v>
      </c>
      <c r="C299" s="27" t="s">
        <v>54</v>
      </c>
      <c r="D299" s="3" t="s">
        <v>733</v>
      </c>
      <c r="E299" s="20" t="s">
        <v>660</v>
      </c>
      <c r="F299" s="3" t="s">
        <v>661</v>
      </c>
      <c r="G299" s="29" t="s">
        <v>13</v>
      </c>
      <c r="H299" s="19">
        <v>43635</v>
      </c>
      <c r="I299" s="3">
        <v>477</v>
      </c>
      <c r="J299" s="3" t="s">
        <v>58</v>
      </c>
      <c r="K299" s="37" t="s">
        <v>59</v>
      </c>
      <c r="L299" s="33">
        <v>44209</v>
      </c>
      <c r="M299" s="16" t="s">
        <v>60</v>
      </c>
      <c r="N299" s="33">
        <v>44653</v>
      </c>
      <c r="O299" s="33"/>
      <c r="P299" s="33"/>
      <c r="Q299" s="16"/>
      <c r="R299" s="16" t="s">
        <v>62</v>
      </c>
      <c r="S299" s="16" t="s">
        <v>62</v>
      </c>
      <c r="T299" s="51" t="s">
        <v>62</v>
      </c>
      <c r="U299" s="51" t="s">
        <v>62</v>
      </c>
      <c r="V299" s="16"/>
      <c r="W299" s="16" t="s">
        <v>604</v>
      </c>
      <c r="X299" s="16"/>
      <c r="Y299" s="16"/>
      <c r="Z299" s="16"/>
      <c r="AA299" s="16"/>
      <c r="AB299" s="24"/>
      <c r="AC299" s="24"/>
      <c r="AD299" s="16"/>
    </row>
    <row r="300" spans="1:30" ht="22.8" x14ac:dyDescent="0.25">
      <c r="A300" s="28"/>
      <c r="B300" s="20">
        <v>37220</v>
      </c>
      <c r="C300" s="27" t="s">
        <v>64</v>
      </c>
      <c r="D300" s="3" t="s">
        <v>731</v>
      </c>
      <c r="E300" s="20" t="s">
        <v>660</v>
      </c>
      <c r="F300" s="3" t="s">
        <v>661</v>
      </c>
      <c r="G300" s="29" t="s">
        <v>13</v>
      </c>
      <c r="H300" s="19">
        <v>43676</v>
      </c>
      <c r="I300" s="3">
        <v>505</v>
      </c>
      <c r="J300" s="3" t="s">
        <v>58</v>
      </c>
      <c r="K300" s="37" t="s">
        <v>59</v>
      </c>
      <c r="L300" s="33" t="s">
        <v>63</v>
      </c>
      <c r="M300" s="16" t="s">
        <v>60</v>
      </c>
      <c r="N300" s="33" t="s">
        <v>63</v>
      </c>
      <c r="O300" s="33"/>
      <c r="P300" s="33"/>
      <c r="Q300" s="16" t="s">
        <v>75</v>
      </c>
      <c r="R300" s="16" t="s">
        <v>68</v>
      </c>
      <c r="S300" s="16"/>
      <c r="T300" s="16"/>
      <c r="U300" s="16" t="s">
        <v>68</v>
      </c>
      <c r="V300" s="16"/>
      <c r="W300" s="16"/>
      <c r="X300" s="16"/>
      <c r="Y300" s="16"/>
      <c r="Z300" s="16"/>
      <c r="AA300" s="16"/>
      <c r="AB300" s="143">
        <v>44483</v>
      </c>
      <c r="AC300" s="24"/>
      <c r="AD300" s="16"/>
    </row>
    <row r="301" spans="1:30" ht="22.8" x14ac:dyDescent="0.25">
      <c r="A301" s="28"/>
      <c r="B301" s="20">
        <v>37220</v>
      </c>
      <c r="C301" s="27" t="s">
        <v>54</v>
      </c>
      <c r="D301" s="3" t="s">
        <v>728</v>
      </c>
      <c r="E301" s="20" t="s">
        <v>660</v>
      </c>
      <c r="F301" s="3" t="s">
        <v>661</v>
      </c>
      <c r="G301" s="29" t="s">
        <v>13</v>
      </c>
      <c r="H301" s="19">
        <v>43676</v>
      </c>
      <c r="I301" s="3">
        <v>504</v>
      </c>
      <c r="J301" s="3" t="s">
        <v>58</v>
      </c>
      <c r="K301" s="37" t="s">
        <v>59</v>
      </c>
      <c r="L301" s="33" t="s">
        <v>63</v>
      </c>
      <c r="M301" s="16" t="s">
        <v>60</v>
      </c>
      <c r="N301" s="33" t="s">
        <v>63</v>
      </c>
      <c r="O301" s="33"/>
      <c r="P301" s="33"/>
      <c r="Q301" s="16"/>
      <c r="R301" s="16" t="s">
        <v>62</v>
      </c>
      <c r="S301" s="16"/>
      <c r="T301" s="16"/>
      <c r="U301" s="51" t="s">
        <v>62</v>
      </c>
      <c r="V301" s="16"/>
      <c r="W301" s="16"/>
      <c r="X301" s="16"/>
      <c r="Y301" s="16"/>
      <c r="Z301" s="16"/>
      <c r="AA301" s="16"/>
      <c r="AB301" s="143"/>
      <c r="AC301" s="24"/>
      <c r="AD301" s="16"/>
    </row>
    <row r="302" spans="1:30" ht="22.8" x14ac:dyDescent="0.25">
      <c r="A302" s="28"/>
      <c r="B302" s="20">
        <v>37221</v>
      </c>
      <c r="C302" s="27" t="s">
        <v>64</v>
      </c>
      <c r="D302" s="3" t="s">
        <v>725</v>
      </c>
      <c r="E302" s="20" t="s">
        <v>660</v>
      </c>
      <c r="F302" s="3" t="s">
        <v>661</v>
      </c>
      <c r="G302" s="29" t="s">
        <v>13</v>
      </c>
      <c r="H302" s="19">
        <v>43677</v>
      </c>
      <c r="I302" s="3">
        <v>516</v>
      </c>
      <c r="J302" s="3" t="s">
        <v>58</v>
      </c>
      <c r="K302" s="37" t="s">
        <v>59</v>
      </c>
      <c r="L302" s="33">
        <v>44142</v>
      </c>
      <c r="M302" s="16" t="s">
        <v>722</v>
      </c>
      <c r="N302" s="33">
        <v>44142</v>
      </c>
      <c r="O302" s="33"/>
      <c r="P302" s="33"/>
      <c r="Q302" s="16" t="s">
        <v>75</v>
      </c>
      <c r="R302" s="16" t="s">
        <v>68</v>
      </c>
      <c r="S302" s="16"/>
      <c r="T302" s="16"/>
      <c r="U302" s="16" t="s">
        <v>68</v>
      </c>
      <c r="V302" s="16"/>
      <c r="W302" s="16"/>
      <c r="X302" s="16"/>
      <c r="Y302" s="16"/>
      <c r="Z302" s="16"/>
      <c r="AA302" s="16"/>
      <c r="AB302" s="143">
        <v>44366</v>
      </c>
      <c r="AC302" s="24"/>
      <c r="AD302" s="16"/>
    </row>
    <row r="303" spans="1:30" ht="22.8" x14ac:dyDescent="0.25">
      <c r="A303" s="28"/>
      <c r="B303" s="20">
        <v>37221</v>
      </c>
      <c r="C303" s="27" t="s">
        <v>54</v>
      </c>
      <c r="D303" s="3" t="s">
        <v>721</v>
      </c>
      <c r="E303" s="20" t="s">
        <v>660</v>
      </c>
      <c r="F303" s="3" t="s">
        <v>661</v>
      </c>
      <c r="G303" s="29" t="s">
        <v>13</v>
      </c>
      <c r="H303" s="19">
        <v>43677</v>
      </c>
      <c r="I303" s="3">
        <v>517</v>
      </c>
      <c r="J303" s="3" t="s">
        <v>58</v>
      </c>
      <c r="K303" s="37" t="s">
        <v>59</v>
      </c>
      <c r="L303" s="33" t="s">
        <v>63</v>
      </c>
      <c r="M303" s="16" t="s">
        <v>722</v>
      </c>
      <c r="N303" s="33"/>
      <c r="O303" s="33"/>
      <c r="P303" s="33"/>
      <c r="Q303" s="16" t="s">
        <v>75</v>
      </c>
      <c r="R303" s="16" t="s">
        <v>62</v>
      </c>
      <c r="S303" s="16"/>
      <c r="T303" s="16"/>
      <c r="U303" s="51" t="s">
        <v>62</v>
      </c>
      <c r="V303" s="16"/>
      <c r="W303" s="16"/>
      <c r="X303" s="16"/>
      <c r="Y303" s="16"/>
      <c r="Z303" s="16"/>
      <c r="AA303" s="16"/>
      <c r="AB303" s="143">
        <v>44366</v>
      </c>
      <c r="AC303" s="24"/>
      <c r="AD303" s="16"/>
    </row>
    <row r="304" spans="1:30" ht="22.8" x14ac:dyDescent="0.25">
      <c r="A304" s="28"/>
      <c r="B304" s="20">
        <v>37361</v>
      </c>
      <c r="C304" s="27" t="s">
        <v>64</v>
      </c>
      <c r="D304" s="20" t="s">
        <v>2019</v>
      </c>
      <c r="E304" s="20" t="s">
        <v>660</v>
      </c>
      <c r="F304" s="3" t="s">
        <v>661</v>
      </c>
      <c r="G304" s="29" t="s">
        <v>13</v>
      </c>
      <c r="H304" s="19">
        <v>43972</v>
      </c>
      <c r="I304" s="3">
        <v>735</v>
      </c>
      <c r="J304" s="3" t="s">
        <v>58</v>
      </c>
      <c r="K304" s="37" t="s">
        <v>59</v>
      </c>
      <c r="L304" s="33" t="s">
        <v>63</v>
      </c>
      <c r="M304" s="16" t="s">
        <v>60</v>
      </c>
      <c r="N304" s="33" t="s">
        <v>63</v>
      </c>
      <c r="O304" s="33"/>
      <c r="P304" s="33"/>
      <c r="Q304" s="16" t="s">
        <v>75</v>
      </c>
      <c r="R304" s="16" t="s">
        <v>75</v>
      </c>
      <c r="S304" s="16"/>
      <c r="T304" s="16"/>
      <c r="U304" s="16" t="s">
        <v>68</v>
      </c>
      <c r="V304" s="16"/>
      <c r="W304" s="16"/>
      <c r="X304" s="16"/>
      <c r="Y304" s="16"/>
      <c r="Z304" s="16"/>
      <c r="AA304" s="16"/>
      <c r="AB304" s="24"/>
      <c r="AC304" s="24"/>
      <c r="AD304" s="16"/>
    </row>
    <row r="305" spans="1:30" ht="22.8" x14ac:dyDescent="0.25">
      <c r="A305" s="28"/>
      <c r="B305" s="20">
        <v>37361</v>
      </c>
      <c r="C305" s="27" t="s">
        <v>54</v>
      </c>
      <c r="D305" s="18" t="s">
        <v>1340</v>
      </c>
      <c r="E305" s="20" t="s">
        <v>660</v>
      </c>
      <c r="F305" s="3" t="s">
        <v>661</v>
      </c>
      <c r="G305" s="29" t="s">
        <v>13</v>
      </c>
      <c r="H305" s="19">
        <v>43972</v>
      </c>
      <c r="I305" s="3">
        <v>613</v>
      </c>
      <c r="J305" s="3" t="s">
        <v>58</v>
      </c>
      <c r="K305" s="37" t="s">
        <v>59</v>
      </c>
      <c r="L305" s="33" t="s">
        <v>63</v>
      </c>
      <c r="M305" s="16" t="s">
        <v>60</v>
      </c>
      <c r="N305" s="33">
        <v>44238</v>
      </c>
      <c r="O305" s="33"/>
      <c r="P305" s="33"/>
      <c r="Q305" s="16" t="s">
        <v>75</v>
      </c>
      <c r="R305" s="16" t="s">
        <v>75</v>
      </c>
      <c r="S305" s="16" t="s">
        <v>62</v>
      </c>
      <c r="T305" s="16" t="s">
        <v>62</v>
      </c>
      <c r="U305" s="16" t="s">
        <v>62</v>
      </c>
      <c r="V305" s="15"/>
      <c r="W305" s="16"/>
      <c r="X305" s="16"/>
      <c r="Y305" s="16"/>
      <c r="Z305" s="16"/>
      <c r="AA305" s="16"/>
      <c r="AB305" s="24"/>
      <c r="AC305" s="24"/>
      <c r="AD305" s="16"/>
    </row>
    <row r="306" spans="1:30" ht="22.8" x14ac:dyDescent="0.25">
      <c r="A306" s="28"/>
      <c r="B306" s="20">
        <v>37380</v>
      </c>
      <c r="C306" s="27" t="s">
        <v>64</v>
      </c>
      <c r="D306" s="3" t="s">
        <v>719</v>
      </c>
      <c r="E306" s="20" t="s">
        <v>660</v>
      </c>
      <c r="F306" s="3" t="s">
        <v>661</v>
      </c>
      <c r="G306" s="29" t="s">
        <v>13</v>
      </c>
      <c r="H306" s="19">
        <v>44012</v>
      </c>
      <c r="I306" s="3">
        <v>594</v>
      </c>
      <c r="J306" s="3" t="s">
        <v>58</v>
      </c>
      <c r="K306" s="37" t="s">
        <v>720</v>
      </c>
      <c r="L306" s="33"/>
      <c r="M306" s="16" t="s">
        <v>60</v>
      </c>
      <c r="N306" s="33"/>
      <c r="O306" s="33"/>
      <c r="P306" s="33"/>
      <c r="Q306" s="16" t="s">
        <v>75</v>
      </c>
      <c r="R306" s="16" t="s">
        <v>75</v>
      </c>
      <c r="S306" s="16"/>
      <c r="T306" s="16"/>
      <c r="U306" s="16" t="s">
        <v>68</v>
      </c>
      <c r="V306" s="16"/>
      <c r="W306" s="16"/>
      <c r="X306" s="16"/>
      <c r="Y306" s="16"/>
      <c r="Z306" s="16"/>
      <c r="AA306" s="16"/>
      <c r="AB306" s="24"/>
      <c r="AC306" s="24"/>
      <c r="AD306" s="16"/>
    </row>
    <row r="307" spans="1:30" ht="22.8" x14ac:dyDescent="0.25">
      <c r="A307" s="28"/>
      <c r="B307" s="20">
        <v>37380</v>
      </c>
      <c r="C307" s="27" t="s">
        <v>54</v>
      </c>
      <c r="D307" s="3" t="s">
        <v>717</v>
      </c>
      <c r="E307" s="20" t="s">
        <v>660</v>
      </c>
      <c r="F307" s="3" t="s">
        <v>661</v>
      </c>
      <c r="G307" s="29" t="s">
        <v>13</v>
      </c>
      <c r="H307" s="19">
        <v>44012</v>
      </c>
      <c r="I307" s="3">
        <v>753</v>
      </c>
      <c r="J307" s="3" t="s">
        <v>58</v>
      </c>
      <c r="K307" s="37" t="s">
        <v>718</v>
      </c>
      <c r="L307" s="33"/>
      <c r="M307" s="16" t="s">
        <v>60</v>
      </c>
      <c r="N307" s="33"/>
      <c r="O307" s="33"/>
      <c r="P307" s="33"/>
      <c r="Q307" s="16" t="s">
        <v>75</v>
      </c>
      <c r="R307" s="16" t="s">
        <v>75</v>
      </c>
      <c r="S307" s="16"/>
      <c r="T307" s="16"/>
      <c r="U307" s="51" t="s">
        <v>62</v>
      </c>
      <c r="V307" s="16"/>
      <c r="W307" s="16"/>
      <c r="X307" s="16"/>
      <c r="Y307" s="16"/>
      <c r="Z307" s="16"/>
      <c r="AA307" s="16"/>
      <c r="AB307" s="24"/>
      <c r="AC307" s="24"/>
      <c r="AD307" s="16"/>
    </row>
    <row r="308" spans="1:30" ht="22.8" x14ac:dyDescent="0.25">
      <c r="A308" s="28"/>
      <c r="B308" s="20">
        <v>37381</v>
      </c>
      <c r="C308" s="27" t="s">
        <v>64</v>
      </c>
      <c r="D308" s="20" t="s">
        <v>716</v>
      </c>
      <c r="E308" s="20" t="s">
        <v>660</v>
      </c>
      <c r="F308" s="3" t="s">
        <v>661</v>
      </c>
      <c r="G308" s="29" t="s">
        <v>13</v>
      </c>
      <c r="H308" s="19">
        <v>44012</v>
      </c>
      <c r="I308" s="3">
        <v>710</v>
      </c>
      <c r="J308" s="3" t="s">
        <v>58</v>
      </c>
      <c r="K308" s="37" t="s">
        <v>59</v>
      </c>
      <c r="L308" s="33">
        <v>44152</v>
      </c>
      <c r="M308" s="16" t="s">
        <v>60</v>
      </c>
      <c r="N308" s="33">
        <v>44152</v>
      </c>
      <c r="O308" s="33">
        <v>44276</v>
      </c>
      <c r="P308" s="33"/>
      <c r="Q308" s="16" t="s">
        <v>75</v>
      </c>
      <c r="R308" s="16" t="s">
        <v>75</v>
      </c>
      <c r="S308" s="16" t="s">
        <v>68</v>
      </c>
      <c r="T308" s="16" t="s">
        <v>68</v>
      </c>
      <c r="U308" s="16" t="s">
        <v>68</v>
      </c>
      <c r="V308" s="16"/>
      <c r="W308" s="16"/>
      <c r="X308" s="16"/>
      <c r="Y308" s="16"/>
      <c r="Z308" s="16"/>
      <c r="AA308" s="16"/>
      <c r="AB308" s="24"/>
      <c r="AC308" s="24"/>
      <c r="AD308" s="16"/>
    </row>
    <row r="309" spans="1:30" ht="22.8" x14ac:dyDescent="0.25">
      <c r="A309" s="28"/>
      <c r="B309" s="20">
        <v>37381</v>
      </c>
      <c r="C309" s="27" t="s">
        <v>54</v>
      </c>
      <c r="D309" s="20" t="s">
        <v>713</v>
      </c>
      <c r="E309" s="20" t="s">
        <v>660</v>
      </c>
      <c r="F309" s="3" t="s">
        <v>661</v>
      </c>
      <c r="G309" s="29" t="s">
        <v>13</v>
      </c>
      <c r="H309" s="19">
        <v>44012</v>
      </c>
      <c r="I309" s="3">
        <v>758</v>
      </c>
      <c r="J309" s="3" t="s">
        <v>58</v>
      </c>
      <c r="K309" s="37" t="s">
        <v>59</v>
      </c>
      <c r="L309" s="33">
        <v>44152</v>
      </c>
      <c r="M309" s="16" t="s">
        <v>60</v>
      </c>
      <c r="N309" s="33">
        <v>44152</v>
      </c>
      <c r="O309" s="33">
        <v>44276</v>
      </c>
      <c r="P309" s="33"/>
      <c r="Q309" s="16" t="s">
        <v>75</v>
      </c>
      <c r="R309" s="16" t="s">
        <v>75</v>
      </c>
      <c r="S309" s="16" t="s">
        <v>62</v>
      </c>
      <c r="T309" s="16" t="s">
        <v>62</v>
      </c>
      <c r="U309" s="51" t="s">
        <v>62</v>
      </c>
      <c r="V309" s="16"/>
      <c r="W309" s="16"/>
      <c r="X309" s="16"/>
      <c r="Y309" s="16"/>
      <c r="Z309" s="16"/>
      <c r="AA309" s="16"/>
      <c r="AB309" s="24"/>
      <c r="AC309" s="24"/>
      <c r="AD309" s="16"/>
    </row>
    <row r="310" spans="1:30" x14ac:dyDescent="0.25">
      <c r="A310" s="28"/>
      <c r="B310" s="20">
        <v>37426</v>
      </c>
      <c r="C310" s="27" t="s">
        <v>64</v>
      </c>
      <c r="D310" s="20" t="s">
        <v>712</v>
      </c>
      <c r="E310" s="20" t="s">
        <v>660</v>
      </c>
      <c r="F310" s="3" t="s">
        <v>661</v>
      </c>
      <c r="G310" s="29" t="s">
        <v>13</v>
      </c>
      <c r="H310" s="19">
        <v>44062</v>
      </c>
      <c r="I310" s="3">
        <v>808</v>
      </c>
      <c r="J310" s="3" t="s">
        <v>58</v>
      </c>
      <c r="K310" s="16"/>
      <c r="L310" s="33"/>
      <c r="M310" s="16"/>
      <c r="N310" s="33"/>
      <c r="O310" s="33"/>
      <c r="P310" s="33"/>
      <c r="Q310" s="16" t="s">
        <v>75</v>
      </c>
      <c r="R310" s="16" t="s">
        <v>75</v>
      </c>
      <c r="S310" s="16"/>
      <c r="T310" s="16"/>
      <c r="U310" s="16"/>
      <c r="V310" s="16"/>
      <c r="W310" s="16"/>
      <c r="X310" s="16" t="s">
        <v>75</v>
      </c>
      <c r="Y310" s="16"/>
      <c r="Z310" s="16"/>
      <c r="AA310" s="16"/>
      <c r="AB310" s="24"/>
      <c r="AC310" s="24"/>
      <c r="AD310" s="16"/>
    </row>
    <row r="311" spans="1:30" x14ac:dyDescent="0.25">
      <c r="A311" s="28"/>
      <c r="B311" s="20">
        <v>37426</v>
      </c>
      <c r="C311" s="27" t="s">
        <v>54</v>
      </c>
      <c r="D311" s="20" t="s">
        <v>711</v>
      </c>
      <c r="E311" s="20" t="s">
        <v>660</v>
      </c>
      <c r="F311" s="3" t="s">
        <v>661</v>
      </c>
      <c r="G311" s="29" t="s">
        <v>13</v>
      </c>
      <c r="H311" s="19">
        <v>44062</v>
      </c>
      <c r="I311" s="3">
        <v>809</v>
      </c>
      <c r="J311" s="3" t="s">
        <v>58</v>
      </c>
      <c r="K311" s="16"/>
      <c r="L311" s="33"/>
      <c r="M311" s="16"/>
      <c r="N311" s="33"/>
      <c r="O311" s="33"/>
      <c r="P311" s="33"/>
      <c r="Q311" s="16" t="s">
        <v>75</v>
      </c>
      <c r="R311" s="16" t="s">
        <v>75</v>
      </c>
      <c r="S311" s="16"/>
      <c r="T311" s="16"/>
      <c r="U311" s="51"/>
      <c r="V311" s="16"/>
      <c r="W311" s="16"/>
      <c r="X311" s="16" t="s">
        <v>75</v>
      </c>
      <c r="Y311" s="16"/>
      <c r="Z311" s="16"/>
      <c r="AA311" s="16"/>
      <c r="AB311" s="24"/>
      <c r="AC311" s="24"/>
      <c r="AD311" s="16"/>
    </row>
    <row r="312" spans="1:30" ht="22.8" x14ac:dyDescent="0.25">
      <c r="A312" s="28"/>
      <c r="B312" s="20">
        <v>37440</v>
      </c>
      <c r="C312" s="27" t="s">
        <v>64</v>
      </c>
      <c r="D312" s="20" t="s">
        <v>709</v>
      </c>
      <c r="E312" s="20" t="s">
        <v>660</v>
      </c>
      <c r="F312" s="3" t="s">
        <v>661</v>
      </c>
      <c r="G312" s="29" t="s">
        <v>13</v>
      </c>
      <c r="H312" s="19">
        <v>44077</v>
      </c>
      <c r="I312" s="3">
        <v>847</v>
      </c>
      <c r="J312" s="3" t="s">
        <v>58</v>
      </c>
      <c r="K312" s="37" t="s">
        <v>59</v>
      </c>
      <c r="L312" s="33" t="s">
        <v>63</v>
      </c>
      <c r="M312" s="16"/>
      <c r="N312" s="33"/>
      <c r="O312" s="33"/>
      <c r="P312" s="33"/>
      <c r="Q312" s="16" t="s">
        <v>75</v>
      </c>
      <c r="R312" s="16" t="s">
        <v>75</v>
      </c>
      <c r="S312" s="16"/>
      <c r="T312" s="16"/>
      <c r="U312" s="16" t="s">
        <v>68</v>
      </c>
      <c r="V312" s="16"/>
      <c r="W312" s="16"/>
      <c r="X312" s="16" t="s">
        <v>75</v>
      </c>
      <c r="Y312" s="16"/>
      <c r="Z312" s="16"/>
      <c r="AA312" s="16"/>
      <c r="AB312" s="24"/>
      <c r="AC312" s="24"/>
      <c r="AD312" s="16"/>
    </row>
    <row r="313" spans="1:30" ht="22.8" x14ac:dyDescent="0.25">
      <c r="A313" s="28"/>
      <c r="B313" s="20">
        <v>37440</v>
      </c>
      <c r="C313" s="27" t="s">
        <v>54</v>
      </c>
      <c r="D313" s="20" t="s">
        <v>705</v>
      </c>
      <c r="E313" s="20" t="s">
        <v>660</v>
      </c>
      <c r="F313" s="3" t="s">
        <v>661</v>
      </c>
      <c r="G313" s="29" t="s">
        <v>13</v>
      </c>
      <c r="H313" s="19">
        <v>44077</v>
      </c>
      <c r="I313" s="3">
        <v>840</v>
      </c>
      <c r="J313" s="3" t="s">
        <v>58</v>
      </c>
      <c r="K313" s="37" t="s">
        <v>59</v>
      </c>
      <c r="L313" s="33" t="s">
        <v>63</v>
      </c>
      <c r="M313" s="16"/>
      <c r="N313" s="33"/>
      <c r="O313" s="33"/>
      <c r="P313" s="33"/>
      <c r="Q313" s="16" t="s">
        <v>75</v>
      </c>
      <c r="R313" s="16" t="s">
        <v>75</v>
      </c>
      <c r="S313" s="16"/>
      <c r="T313" s="16"/>
      <c r="U313" s="51" t="s">
        <v>62</v>
      </c>
      <c r="V313" s="16"/>
      <c r="W313" s="16"/>
      <c r="X313" s="16" t="s">
        <v>75</v>
      </c>
      <c r="Y313" s="16"/>
      <c r="Z313" s="16"/>
      <c r="AA313" s="16"/>
      <c r="AB313" s="24"/>
      <c r="AC313" s="24"/>
      <c r="AD313" s="16"/>
    </row>
    <row r="314" spans="1:30" ht="22.8" x14ac:dyDescent="0.25">
      <c r="A314" s="28"/>
      <c r="B314" s="20">
        <v>37458</v>
      </c>
      <c r="C314" s="27" t="s">
        <v>64</v>
      </c>
      <c r="D314" s="20" t="s">
        <v>704</v>
      </c>
      <c r="E314" s="20"/>
      <c r="F314" s="3" t="s">
        <v>661</v>
      </c>
      <c r="G314" s="29" t="s">
        <v>13</v>
      </c>
      <c r="H314" s="19">
        <v>44133</v>
      </c>
      <c r="I314" s="3">
        <v>933</v>
      </c>
      <c r="J314" s="3" t="s">
        <v>58</v>
      </c>
      <c r="K314" s="37" t="s">
        <v>59</v>
      </c>
      <c r="L314" s="16" t="s">
        <v>75</v>
      </c>
      <c r="M314" s="16"/>
      <c r="N314" s="33"/>
      <c r="O314" s="33"/>
      <c r="P314" s="33"/>
      <c r="Q314" s="16" t="s">
        <v>75</v>
      </c>
      <c r="R314" s="16" t="s">
        <v>75</v>
      </c>
      <c r="S314" s="37"/>
      <c r="T314" s="16"/>
      <c r="U314" s="16"/>
      <c r="V314" s="16"/>
      <c r="W314" s="16"/>
      <c r="X314" s="16" t="s">
        <v>75</v>
      </c>
      <c r="Y314" s="16"/>
      <c r="Z314" s="16"/>
      <c r="AA314" s="16"/>
      <c r="AB314" s="24"/>
      <c r="AC314" s="24"/>
      <c r="AD314" s="16"/>
    </row>
    <row r="315" spans="1:30" ht="22.8" x14ac:dyDescent="0.25">
      <c r="A315" s="28"/>
      <c r="B315" s="20">
        <v>37458</v>
      </c>
      <c r="C315" s="27" t="s">
        <v>54</v>
      </c>
      <c r="D315" s="20" t="s">
        <v>702</v>
      </c>
      <c r="E315" s="20"/>
      <c r="F315" s="3" t="s">
        <v>661</v>
      </c>
      <c r="G315" s="29" t="s">
        <v>13</v>
      </c>
      <c r="H315" s="19">
        <v>44133</v>
      </c>
      <c r="I315" s="3">
        <v>932</v>
      </c>
      <c r="J315" s="3" t="s">
        <v>58</v>
      </c>
      <c r="K315" s="37" t="s">
        <v>59</v>
      </c>
      <c r="L315" s="16" t="s">
        <v>75</v>
      </c>
      <c r="M315" s="16"/>
      <c r="N315" s="33"/>
      <c r="O315" s="33"/>
      <c r="P315" s="33"/>
      <c r="Q315" s="16" t="s">
        <v>75</v>
      </c>
      <c r="R315" s="16" t="s">
        <v>75</v>
      </c>
      <c r="S315" s="37"/>
      <c r="T315" s="16"/>
      <c r="U315" s="16"/>
      <c r="V315" s="16"/>
      <c r="W315" s="16"/>
      <c r="X315" s="16" t="s">
        <v>75</v>
      </c>
      <c r="Y315" s="16"/>
      <c r="Z315" s="16"/>
      <c r="AA315" s="16"/>
      <c r="AB315" s="24"/>
      <c r="AC315" s="24"/>
      <c r="AD315" s="16"/>
    </row>
    <row r="316" spans="1:30" ht="22.8" x14ac:dyDescent="0.25">
      <c r="A316" s="28"/>
      <c r="B316" s="20">
        <v>37468</v>
      </c>
      <c r="C316" s="27" t="s">
        <v>64</v>
      </c>
      <c r="D316" s="20" t="s">
        <v>701</v>
      </c>
      <c r="E316" s="20" t="s">
        <v>660</v>
      </c>
      <c r="F316" s="3" t="s">
        <v>661</v>
      </c>
      <c r="G316" s="29" t="s">
        <v>13</v>
      </c>
      <c r="H316" s="19">
        <v>44134</v>
      </c>
      <c r="I316" s="3">
        <v>972</v>
      </c>
      <c r="J316" s="3" t="s">
        <v>58</v>
      </c>
      <c r="K316" s="37" t="s">
        <v>59</v>
      </c>
      <c r="L316" s="16" t="s">
        <v>75</v>
      </c>
      <c r="M316" s="16" t="s">
        <v>60</v>
      </c>
      <c r="N316" s="33">
        <v>44146</v>
      </c>
      <c r="O316" s="33">
        <v>44621</v>
      </c>
      <c r="P316" s="33"/>
      <c r="Q316" s="16" t="s">
        <v>75</v>
      </c>
      <c r="R316" s="16" t="s">
        <v>75</v>
      </c>
      <c r="S316" s="16"/>
      <c r="T316" s="16" t="s">
        <v>68</v>
      </c>
      <c r="U316" s="16" t="s">
        <v>68</v>
      </c>
      <c r="V316" s="16"/>
      <c r="W316" s="16"/>
      <c r="X316" s="16" t="s">
        <v>75</v>
      </c>
      <c r="Y316" s="16"/>
      <c r="Z316" s="16"/>
      <c r="AA316" s="16"/>
      <c r="AB316" s="24"/>
      <c r="AC316" s="24"/>
      <c r="AD316" s="16"/>
    </row>
    <row r="317" spans="1:30" ht="22.8" x14ac:dyDescent="0.25">
      <c r="A317" s="28"/>
      <c r="B317" s="20">
        <v>37468</v>
      </c>
      <c r="C317" s="27" t="s">
        <v>54</v>
      </c>
      <c r="D317" s="20" t="s">
        <v>700</v>
      </c>
      <c r="E317" s="20" t="s">
        <v>660</v>
      </c>
      <c r="F317" s="3" t="s">
        <v>661</v>
      </c>
      <c r="G317" s="29" t="s">
        <v>13</v>
      </c>
      <c r="H317" s="19">
        <v>44134</v>
      </c>
      <c r="I317" s="3">
        <v>973</v>
      </c>
      <c r="J317" s="3" t="s">
        <v>58</v>
      </c>
      <c r="K317" s="37" t="s">
        <v>59</v>
      </c>
      <c r="L317" s="16" t="s">
        <v>75</v>
      </c>
      <c r="M317" s="16" t="s">
        <v>60</v>
      </c>
      <c r="N317" s="33">
        <v>44146</v>
      </c>
      <c r="O317" s="33">
        <v>44621</v>
      </c>
      <c r="P317" s="33"/>
      <c r="Q317" s="16" t="s">
        <v>75</v>
      </c>
      <c r="R317" s="16" t="s">
        <v>75</v>
      </c>
      <c r="S317" s="16"/>
      <c r="T317" s="16" t="s">
        <v>62</v>
      </c>
      <c r="U317" s="51" t="s">
        <v>62</v>
      </c>
      <c r="V317" s="16"/>
      <c r="W317" s="16"/>
      <c r="X317" s="16" t="s">
        <v>75</v>
      </c>
      <c r="Y317" s="16"/>
      <c r="Z317" s="16"/>
      <c r="AA317" s="16"/>
      <c r="AB317" s="24"/>
      <c r="AC317" s="24"/>
      <c r="AD317" s="16"/>
    </row>
    <row r="318" spans="1:30" ht="22.8" x14ac:dyDescent="0.25">
      <c r="A318" s="28"/>
      <c r="B318" s="20">
        <v>37510</v>
      </c>
      <c r="C318" s="27" t="s">
        <v>64</v>
      </c>
      <c r="D318" s="3" t="s">
        <v>699</v>
      </c>
      <c r="E318" s="20" t="s">
        <v>660</v>
      </c>
      <c r="F318" s="3" t="s">
        <v>661</v>
      </c>
      <c r="G318" s="29" t="s">
        <v>13</v>
      </c>
      <c r="H318" s="19">
        <v>44192</v>
      </c>
      <c r="I318" s="3">
        <v>842</v>
      </c>
      <c r="J318" s="3" t="s">
        <v>58</v>
      </c>
      <c r="K318" s="37" t="s">
        <v>59</v>
      </c>
      <c r="L318" s="33" t="s">
        <v>63</v>
      </c>
      <c r="M318" s="59" t="s">
        <v>60</v>
      </c>
      <c r="N318" s="33" t="s">
        <v>63</v>
      </c>
      <c r="O318" s="33">
        <v>44597</v>
      </c>
      <c r="P318" s="33"/>
      <c r="Q318" s="16" t="s">
        <v>75</v>
      </c>
      <c r="R318" s="16" t="s">
        <v>75</v>
      </c>
      <c r="S318" s="16"/>
      <c r="T318" s="16"/>
      <c r="U318" s="16" t="s">
        <v>68</v>
      </c>
      <c r="V318" s="16"/>
      <c r="W318" s="16"/>
      <c r="X318" s="16" t="s">
        <v>75</v>
      </c>
      <c r="Y318" s="16"/>
      <c r="Z318" s="16"/>
      <c r="AA318" s="16"/>
      <c r="AB318" s="24"/>
      <c r="AC318" s="24"/>
      <c r="AD318" s="16"/>
    </row>
    <row r="319" spans="1:30" ht="22.8" x14ac:dyDescent="0.25">
      <c r="A319" s="28"/>
      <c r="B319" s="20">
        <v>37510</v>
      </c>
      <c r="C319" s="27" t="s">
        <v>54</v>
      </c>
      <c r="D319" s="3" t="s">
        <v>696</v>
      </c>
      <c r="E319" s="20" t="s">
        <v>660</v>
      </c>
      <c r="F319" s="3" t="s">
        <v>661</v>
      </c>
      <c r="G319" s="29" t="s">
        <v>13</v>
      </c>
      <c r="H319" s="19">
        <v>44192</v>
      </c>
      <c r="I319" s="3">
        <v>947</v>
      </c>
      <c r="J319" s="3" t="s">
        <v>58</v>
      </c>
      <c r="K319" s="37" t="s">
        <v>59</v>
      </c>
      <c r="L319" s="16" t="s">
        <v>75</v>
      </c>
      <c r="M319" s="59" t="s">
        <v>60</v>
      </c>
      <c r="N319" s="33" t="s">
        <v>63</v>
      </c>
      <c r="O319" s="33">
        <v>44597</v>
      </c>
      <c r="P319" s="33"/>
      <c r="Q319" s="16" t="s">
        <v>75</v>
      </c>
      <c r="R319" s="16" t="s">
        <v>75</v>
      </c>
      <c r="S319" s="16"/>
      <c r="T319" s="16"/>
      <c r="U319" s="16" t="s">
        <v>62</v>
      </c>
      <c r="V319" s="16"/>
      <c r="W319" s="16"/>
      <c r="X319" s="16" t="s">
        <v>75</v>
      </c>
      <c r="Y319" s="16"/>
      <c r="Z319" s="16"/>
      <c r="AA319" s="16"/>
      <c r="AB319" s="24"/>
      <c r="AC319" s="24"/>
      <c r="AD319" s="16"/>
    </row>
    <row r="320" spans="1:30" ht="22.8" x14ac:dyDescent="0.25">
      <c r="A320" s="28"/>
      <c r="B320" s="20">
        <v>37512</v>
      </c>
      <c r="C320" s="27" t="s">
        <v>64</v>
      </c>
      <c r="D320" s="20" t="s">
        <v>695</v>
      </c>
      <c r="E320" s="20" t="s">
        <v>660</v>
      </c>
      <c r="F320" s="3" t="s">
        <v>661</v>
      </c>
      <c r="G320" s="29" t="s">
        <v>13</v>
      </c>
      <c r="H320" s="19">
        <v>44195</v>
      </c>
      <c r="I320" s="3">
        <v>946</v>
      </c>
      <c r="J320" s="3" t="s">
        <v>58</v>
      </c>
      <c r="K320" s="37" t="s">
        <v>59</v>
      </c>
      <c r="L320" s="16" t="s">
        <v>75</v>
      </c>
      <c r="M320" s="59" t="s">
        <v>60</v>
      </c>
      <c r="N320" s="33" t="s">
        <v>63</v>
      </c>
      <c r="O320" s="33">
        <v>44606</v>
      </c>
      <c r="P320" s="33"/>
      <c r="Q320" s="16" t="s">
        <v>75</v>
      </c>
      <c r="R320" s="16" t="s">
        <v>75</v>
      </c>
      <c r="S320" s="16"/>
      <c r="T320" s="16"/>
      <c r="U320" s="16" t="s">
        <v>68</v>
      </c>
      <c r="V320" s="16"/>
      <c r="W320" s="16"/>
      <c r="X320" s="16" t="s">
        <v>75</v>
      </c>
      <c r="Y320" s="16"/>
      <c r="Z320" s="16"/>
      <c r="AA320" s="16"/>
      <c r="AB320" s="24"/>
      <c r="AC320" s="24"/>
      <c r="AD320" s="16"/>
    </row>
    <row r="321" spans="1:31" ht="22.8" x14ac:dyDescent="0.25">
      <c r="A321" s="28"/>
      <c r="B321" s="20">
        <v>37512</v>
      </c>
      <c r="C321" s="27" t="s">
        <v>54</v>
      </c>
      <c r="D321" s="20" t="s">
        <v>693</v>
      </c>
      <c r="E321" s="20" t="s">
        <v>660</v>
      </c>
      <c r="F321" s="3" t="s">
        <v>661</v>
      </c>
      <c r="G321" s="29" t="s">
        <v>13</v>
      </c>
      <c r="H321" s="19">
        <v>44195</v>
      </c>
      <c r="I321" s="3">
        <v>835</v>
      </c>
      <c r="J321" s="3" t="s">
        <v>58</v>
      </c>
      <c r="K321" s="37" t="s">
        <v>59</v>
      </c>
      <c r="L321" s="33" t="s">
        <v>63</v>
      </c>
      <c r="M321" s="59" t="s">
        <v>60</v>
      </c>
      <c r="N321" s="33" t="s">
        <v>63</v>
      </c>
      <c r="O321" s="33">
        <v>44606</v>
      </c>
      <c r="P321" s="33"/>
      <c r="Q321" s="16" t="s">
        <v>75</v>
      </c>
      <c r="R321" s="16" t="s">
        <v>75</v>
      </c>
      <c r="S321" s="16"/>
      <c r="T321" s="16"/>
      <c r="U321" s="16" t="s">
        <v>62</v>
      </c>
      <c r="V321" s="16"/>
      <c r="W321" s="16"/>
      <c r="X321" s="16" t="s">
        <v>75</v>
      </c>
      <c r="Y321" s="16"/>
      <c r="Z321" s="16"/>
      <c r="AA321" s="16"/>
      <c r="AB321" s="24"/>
      <c r="AC321" s="24"/>
      <c r="AD321" s="16"/>
    </row>
    <row r="322" spans="1:31" ht="22.8" x14ac:dyDescent="0.25">
      <c r="A322" s="28"/>
      <c r="B322" s="20">
        <v>39087</v>
      </c>
      <c r="C322" s="27" t="s">
        <v>64</v>
      </c>
      <c r="D322" s="3" t="s">
        <v>691</v>
      </c>
      <c r="E322" s="20" t="s">
        <v>660</v>
      </c>
      <c r="F322" s="3" t="s">
        <v>661</v>
      </c>
      <c r="G322" s="29" t="s">
        <v>13</v>
      </c>
      <c r="H322" s="19">
        <v>43697</v>
      </c>
      <c r="I322" s="3">
        <v>482</v>
      </c>
      <c r="J322" s="3" t="s">
        <v>58</v>
      </c>
      <c r="K322" s="37" t="s">
        <v>59</v>
      </c>
      <c r="L322" s="33" t="s">
        <v>63</v>
      </c>
      <c r="M322" s="16" t="s">
        <v>60</v>
      </c>
      <c r="N322" s="33" t="s">
        <v>63</v>
      </c>
      <c r="O322" s="33"/>
      <c r="P322" s="33"/>
      <c r="Q322" s="16"/>
      <c r="R322" s="16" t="s">
        <v>68</v>
      </c>
      <c r="S322" s="16"/>
      <c r="T322" s="16"/>
      <c r="U322" s="16" t="s">
        <v>68</v>
      </c>
      <c r="V322" s="16"/>
      <c r="W322" s="16"/>
      <c r="X322" s="16"/>
      <c r="Y322" s="16"/>
      <c r="Z322" s="16"/>
      <c r="AA322" s="16"/>
      <c r="AB322" s="24"/>
      <c r="AC322" s="24"/>
      <c r="AD322" s="16"/>
    </row>
    <row r="323" spans="1:31" ht="22.8" x14ac:dyDescent="0.25">
      <c r="A323" s="28"/>
      <c r="B323" s="20">
        <v>39087</v>
      </c>
      <c r="C323" s="27" t="s">
        <v>54</v>
      </c>
      <c r="D323" s="3" t="s">
        <v>687</v>
      </c>
      <c r="E323" s="20" t="s">
        <v>660</v>
      </c>
      <c r="F323" s="3" t="s">
        <v>661</v>
      </c>
      <c r="G323" s="29" t="s">
        <v>13</v>
      </c>
      <c r="H323" s="19">
        <v>43697</v>
      </c>
      <c r="I323" s="3">
        <v>489</v>
      </c>
      <c r="J323" s="3" t="s">
        <v>58</v>
      </c>
      <c r="K323" s="37" t="s">
        <v>59</v>
      </c>
      <c r="L323" s="33" t="s">
        <v>63</v>
      </c>
      <c r="M323" s="16" t="s">
        <v>60</v>
      </c>
      <c r="N323" s="33" t="s">
        <v>63</v>
      </c>
      <c r="O323" s="33"/>
      <c r="P323" s="33"/>
      <c r="Q323" s="16"/>
      <c r="R323" s="16" t="s">
        <v>62</v>
      </c>
      <c r="S323" s="16"/>
      <c r="T323" s="16"/>
      <c r="U323" s="51" t="s">
        <v>62</v>
      </c>
      <c r="V323" s="16"/>
      <c r="W323" s="16"/>
      <c r="X323" s="16"/>
      <c r="Y323" s="16"/>
      <c r="Z323" s="16"/>
      <c r="AA323" s="16"/>
      <c r="AB323" s="24"/>
      <c r="AC323" s="24"/>
      <c r="AD323" s="16"/>
    </row>
    <row r="324" spans="1:31" ht="22.8" x14ac:dyDescent="0.25">
      <c r="A324" s="28"/>
      <c r="B324" s="20">
        <v>39090</v>
      </c>
      <c r="C324" s="27" t="s">
        <v>64</v>
      </c>
      <c r="D324" s="3" t="s">
        <v>686</v>
      </c>
      <c r="E324" s="20" t="s">
        <v>660</v>
      </c>
      <c r="F324" s="3" t="s">
        <v>661</v>
      </c>
      <c r="G324" s="29" t="s">
        <v>13</v>
      </c>
      <c r="H324" s="19">
        <v>43710</v>
      </c>
      <c r="I324" s="3">
        <v>525</v>
      </c>
      <c r="J324" s="3" t="s">
        <v>58</v>
      </c>
      <c r="K324" s="37" t="s">
        <v>59</v>
      </c>
      <c r="L324" s="33">
        <v>44209</v>
      </c>
      <c r="M324" s="16" t="s">
        <v>60</v>
      </c>
      <c r="N324" s="33">
        <v>44209</v>
      </c>
      <c r="O324" s="33">
        <v>44295</v>
      </c>
      <c r="P324" s="33"/>
      <c r="Q324" s="16" t="s">
        <v>75</v>
      </c>
      <c r="R324" s="16"/>
      <c r="S324" s="16"/>
      <c r="T324" s="16"/>
      <c r="U324" s="16" t="s">
        <v>68</v>
      </c>
      <c r="V324" s="16"/>
      <c r="W324" s="16" t="s">
        <v>68</v>
      </c>
      <c r="X324" s="16"/>
      <c r="Y324" s="16"/>
      <c r="Z324" s="16"/>
      <c r="AA324" s="16"/>
      <c r="AB324" s="24"/>
      <c r="AC324" s="24"/>
      <c r="AD324" s="16"/>
    </row>
    <row r="325" spans="1:31" ht="22.8" x14ac:dyDescent="0.25">
      <c r="A325" s="28"/>
      <c r="B325" s="20">
        <v>39090</v>
      </c>
      <c r="C325" s="27" t="s">
        <v>54</v>
      </c>
      <c r="D325" s="3" t="s">
        <v>683</v>
      </c>
      <c r="E325" s="20" t="s">
        <v>660</v>
      </c>
      <c r="F325" s="3" t="s">
        <v>661</v>
      </c>
      <c r="G325" s="29" t="s">
        <v>13</v>
      </c>
      <c r="H325" s="19">
        <v>43710</v>
      </c>
      <c r="I325" s="3">
        <v>487</v>
      </c>
      <c r="J325" s="3" t="s">
        <v>58</v>
      </c>
      <c r="K325" s="37" t="s">
        <v>59</v>
      </c>
      <c r="L325" s="33">
        <v>44209</v>
      </c>
      <c r="M325" s="16" t="s">
        <v>60</v>
      </c>
      <c r="N325" s="33">
        <v>44209</v>
      </c>
      <c r="O325" s="33">
        <v>44295</v>
      </c>
      <c r="P325" s="33"/>
      <c r="Q325" s="16"/>
      <c r="R325" s="16"/>
      <c r="S325" s="16"/>
      <c r="T325" s="16"/>
      <c r="U325" s="51" t="s">
        <v>62</v>
      </c>
      <c r="V325" s="16"/>
      <c r="W325" s="51" t="s">
        <v>62</v>
      </c>
      <c r="X325" s="16"/>
      <c r="Y325" s="16"/>
      <c r="Z325" s="16"/>
      <c r="AA325" s="16"/>
      <c r="AB325" s="24"/>
      <c r="AC325" s="24"/>
      <c r="AD325" s="16"/>
    </row>
    <row r="326" spans="1:31" ht="22.8" x14ac:dyDescent="0.25">
      <c r="A326" s="28"/>
      <c r="B326" s="20">
        <v>30599</v>
      </c>
      <c r="C326" s="27" t="s">
        <v>64</v>
      </c>
      <c r="D326" s="12" t="s">
        <v>936</v>
      </c>
      <c r="E326" s="20" t="s">
        <v>862</v>
      </c>
      <c r="F326" s="29" t="s">
        <v>863</v>
      </c>
      <c r="G326" s="29" t="s">
        <v>13</v>
      </c>
      <c r="H326" s="19">
        <v>43112</v>
      </c>
      <c r="I326" s="3">
        <v>112</v>
      </c>
      <c r="J326" s="3" t="s">
        <v>58</v>
      </c>
      <c r="K326" s="37" t="s">
        <v>59</v>
      </c>
      <c r="L326" s="40">
        <v>44140</v>
      </c>
      <c r="M326" s="46" t="s">
        <v>722</v>
      </c>
      <c r="N326" s="40">
        <v>44140</v>
      </c>
      <c r="O326" s="21"/>
      <c r="P326" s="21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24"/>
      <c r="AC326" s="24"/>
      <c r="AD326" s="42"/>
      <c r="AE326" s="90"/>
    </row>
    <row r="327" spans="1:31" ht="22.8" x14ac:dyDescent="0.25">
      <c r="A327" s="28"/>
      <c r="B327" s="20">
        <v>30599</v>
      </c>
      <c r="C327" s="27" t="s">
        <v>54</v>
      </c>
      <c r="D327" s="12" t="s">
        <v>938</v>
      </c>
      <c r="E327" s="20" t="s">
        <v>862</v>
      </c>
      <c r="F327" s="29" t="s">
        <v>863</v>
      </c>
      <c r="G327" s="29" t="s">
        <v>13</v>
      </c>
      <c r="H327" s="19">
        <v>43112</v>
      </c>
      <c r="I327" s="3">
        <v>115</v>
      </c>
      <c r="J327" s="3" t="s">
        <v>58</v>
      </c>
      <c r="K327" s="37" t="s">
        <v>59</v>
      </c>
      <c r="L327" s="40">
        <v>44140</v>
      </c>
      <c r="M327" s="46" t="s">
        <v>722</v>
      </c>
      <c r="N327" s="40">
        <v>44140</v>
      </c>
      <c r="O327" s="21"/>
      <c r="P327" s="21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24"/>
      <c r="AC327" s="24"/>
      <c r="AD327" s="42"/>
      <c r="AE327" s="90"/>
    </row>
    <row r="328" spans="1:31" ht="22.8" x14ac:dyDescent="0.25">
      <c r="A328" s="28"/>
      <c r="B328" s="20">
        <v>30604</v>
      </c>
      <c r="C328" s="27" t="s">
        <v>64</v>
      </c>
      <c r="D328" s="12" t="s">
        <v>940</v>
      </c>
      <c r="E328" s="20" t="s">
        <v>862</v>
      </c>
      <c r="F328" s="29" t="s">
        <v>863</v>
      </c>
      <c r="G328" s="29" t="s">
        <v>13</v>
      </c>
      <c r="H328" s="19">
        <v>43137</v>
      </c>
      <c r="I328" s="3">
        <v>152</v>
      </c>
      <c r="J328" s="3" t="s">
        <v>58</v>
      </c>
      <c r="K328" s="37" t="s">
        <v>59</v>
      </c>
      <c r="L328" s="40">
        <v>44238</v>
      </c>
      <c r="M328" s="46" t="s">
        <v>722</v>
      </c>
      <c r="N328" s="40">
        <v>44238</v>
      </c>
      <c r="O328" s="47">
        <v>44055</v>
      </c>
      <c r="P328" s="47"/>
      <c r="Q328" s="42"/>
      <c r="R328" s="42" t="s">
        <v>68</v>
      </c>
      <c r="S328" s="42"/>
      <c r="T328" s="42" t="s">
        <v>68</v>
      </c>
      <c r="U328" s="42"/>
      <c r="V328" s="42"/>
      <c r="W328" s="42" t="s">
        <v>68</v>
      </c>
      <c r="X328" s="42"/>
      <c r="Y328" s="42"/>
      <c r="Z328" s="42"/>
      <c r="AA328" s="42"/>
      <c r="AB328" s="24"/>
      <c r="AC328" s="24"/>
      <c r="AD328" s="42"/>
      <c r="AE328" s="90"/>
    </row>
    <row r="329" spans="1:31" ht="22.8" x14ac:dyDescent="0.25">
      <c r="A329" s="28"/>
      <c r="B329" s="20">
        <v>30604</v>
      </c>
      <c r="C329" s="27" t="s">
        <v>54</v>
      </c>
      <c r="D329" s="12" t="s">
        <v>942</v>
      </c>
      <c r="E329" s="20" t="s">
        <v>862</v>
      </c>
      <c r="F329" s="29" t="s">
        <v>863</v>
      </c>
      <c r="G329" s="29" t="s">
        <v>13</v>
      </c>
      <c r="H329" s="19">
        <v>43137</v>
      </c>
      <c r="I329" s="3">
        <v>146</v>
      </c>
      <c r="J329" s="3" t="s">
        <v>58</v>
      </c>
      <c r="K329" s="37" t="s">
        <v>59</v>
      </c>
      <c r="L329" s="40">
        <v>44238</v>
      </c>
      <c r="M329" s="46" t="s">
        <v>722</v>
      </c>
      <c r="N329" s="40">
        <v>44238</v>
      </c>
      <c r="O329" s="47">
        <v>44055</v>
      </c>
      <c r="P329" s="47"/>
      <c r="Q329" s="42"/>
      <c r="R329" s="42" t="s">
        <v>62</v>
      </c>
      <c r="S329" s="42"/>
      <c r="T329" s="42" t="s">
        <v>62</v>
      </c>
      <c r="U329" s="42"/>
      <c r="V329" s="42"/>
      <c r="W329" s="42" t="s">
        <v>62</v>
      </c>
      <c r="X329" s="42"/>
      <c r="Y329" s="42"/>
      <c r="Z329" s="42"/>
      <c r="AA329" s="42"/>
      <c r="AB329" s="24"/>
      <c r="AC329" s="24"/>
      <c r="AD329" s="42"/>
      <c r="AE329" s="90"/>
    </row>
    <row r="330" spans="1:31" ht="22.8" x14ac:dyDescent="0.25">
      <c r="A330" s="28"/>
      <c r="B330" s="20">
        <v>30604</v>
      </c>
      <c r="C330" s="27" t="s">
        <v>64</v>
      </c>
      <c r="D330" s="12" t="s">
        <v>944</v>
      </c>
      <c r="E330" s="20" t="s">
        <v>862</v>
      </c>
      <c r="F330" s="29" t="s">
        <v>863</v>
      </c>
      <c r="G330" s="29" t="s">
        <v>13</v>
      </c>
      <c r="H330" s="19">
        <v>43203</v>
      </c>
      <c r="I330" s="3">
        <v>166</v>
      </c>
      <c r="J330" s="3" t="s">
        <v>58</v>
      </c>
      <c r="K330" s="37" t="s">
        <v>59</v>
      </c>
      <c r="L330" s="40">
        <v>44451</v>
      </c>
      <c r="M330" s="46" t="s">
        <v>722</v>
      </c>
      <c r="N330" s="40">
        <v>44174</v>
      </c>
      <c r="O330" s="33">
        <v>44086</v>
      </c>
      <c r="P330" s="33"/>
      <c r="Q330" s="42"/>
      <c r="R330" s="42" t="s">
        <v>68</v>
      </c>
      <c r="S330" s="42"/>
      <c r="T330" s="42" t="s">
        <v>68</v>
      </c>
      <c r="U330" s="42"/>
      <c r="V330" s="42"/>
      <c r="W330" s="42" t="s">
        <v>68</v>
      </c>
      <c r="X330" s="42"/>
      <c r="Y330" s="42"/>
      <c r="Z330" s="42"/>
      <c r="AA330" s="42"/>
      <c r="AB330" s="24"/>
      <c r="AC330" s="24"/>
      <c r="AD330" s="42"/>
      <c r="AE330" s="90"/>
    </row>
    <row r="331" spans="1:31" x14ac:dyDescent="0.25">
      <c r="A331" s="28"/>
      <c r="B331" s="20">
        <v>30620</v>
      </c>
      <c r="C331" s="27" t="s">
        <v>54</v>
      </c>
      <c r="D331" s="20" t="s">
        <v>2020</v>
      </c>
      <c r="E331" s="20" t="s">
        <v>862</v>
      </c>
      <c r="F331" s="29" t="s">
        <v>863</v>
      </c>
      <c r="G331" s="29" t="s">
        <v>13</v>
      </c>
      <c r="H331" s="19">
        <v>43203</v>
      </c>
      <c r="I331" s="3">
        <v>167</v>
      </c>
      <c r="J331" s="3" t="s">
        <v>58</v>
      </c>
      <c r="K331" s="37" t="s">
        <v>680</v>
      </c>
      <c r="L331" s="40">
        <v>44174</v>
      </c>
      <c r="M331" s="30" t="s">
        <v>60</v>
      </c>
      <c r="N331" s="40">
        <v>44174</v>
      </c>
      <c r="O331" s="33">
        <v>44086</v>
      </c>
      <c r="P331" s="33"/>
      <c r="Q331" s="42"/>
      <c r="R331" s="16" t="s">
        <v>62</v>
      </c>
      <c r="S331" s="42"/>
      <c r="T331" s="42"/>
      <c r="U331" s="42"/>
      <c r="V331" s="42"/>
      <c r="W331" s="42"/>
      <c r="X331" s="42"/>
      <c r="Y331" s="42"/>
      <c r="Z331" s="42"/>
      <c r="AA331" s="42"/>
      <c r="AB331" s="24"/>
      <c r="AC331" s="24"/>
      <c r="AD331" s="42" t="s">
        <v>2021</v>
      </c>
      <c r="AE331" s="90"/>
    </row>
    <row r="332" spans="1:31" ht="22.8" x14ac:dyDescent="0.25">
      <c r="A332" s="28"/>
      <c r="B332" s="20">
        <v>30624</v>
      </c>
      <c r="C332" s="27" t="s">
        <v>64</v>
      </c>
      <c r="D332" s="12" t="s">
        <v>2022</v>
      </c>
      <c r="E332" s="20" t="s">
        <v>862</v>
      </c>
      <c r="F332" s="29" t="s">
        <v>863</v>
      </c>
      <c r="G332" s="29" t="s">
        <v>13</v>
      </c>
      <c r="H332" s="19">
        <v>43076</v>
      </c>
      <c r="I332" s="3">
        <v>160</v>
      </c>
      <c r="J332" s="3" t="s">
        <v>58</v>
      </c>
      <c r="K332" s="37" t="s">
        <v>59</v>
      </c>
      <c r="L332" s="33" t="s">
        <v>63</v>
      </c>
      <c r="M332" s="46" t="s">
        <v>722</v>
      </c>
      <c r="N332" s="21">
        <v>44256</v>
      </c>
      <c r="O332" s="47">
        <v>44071</v>
      </c>
      <c r="P332" s="47"/>
      <c r="Q332" s="42"/>
      <c r="R332" s="42" t="s">
        <v>68</v>
      </c>
      <c r="S332" s="42"/>
      <c r="T332" s="42" t="s">
        <v>68</v>
      </c>
      <c r="U332" s="42"/>
      <c r="V332" s="42"/>
      <c r="W332" s="42" t="s">
        <v>68</v>
      </c>
      <c r="X332" s="42"/>
      <c r="Y332" s="42"/>
      <c r="Z332" s="42"/>
      <c r="AA332" s="42"/>
      <c r="AB332" s="24"/>
      <c r="AC332" s="24"/>
      <c r="AD332" s="42"/>
      <c r="AE332" s="90"/>
    </row>
    <row r="333" spans="1:31" ht="22.8" x14ac:dyDescent="0.25">
      <c r="A333" s="28"/>
      <c r="B333" s="20">
        <v>30624</v>
      </c>
      <c r="C333" s="27" t="s">
        <v>54</v>
      </c>
      <c r="D333" s="12" t="s">
        <v>2023</v>
      </c>
      <c r="E333" s="20" t="s">
        <v>862</v>
      </c>
      <c r="F333" s="29" t="s">
        <v>863</v>
      </c>
      <c r="G333" s="29" t="s">
        <v>13</v>
      </c>
      <c r="H333" s="19">
        <v>43076</v>
      </c>
      <c r="I333" s="3">
        <v>155</v>
      </c>
      <c r="J333" s="3" t="s">
        <v>58</v>
      </c>
      <c r="K333" s="37" t="s">
        <v>59</v>
      </c>
      <c r="L333" s="33" t="s">
        <v>63</v>
      </c>
      <c r="M333" s="46" t="s">
        <v>722</v>
      </c>
      <c r="N333" s="21">
        <v>44256</v>
      </c>
      <c r="O333" s="47">
        <v>44071</v>
      </c>
      <c r="P333" s="47"/>
      <c r="Q333" s="42"/>
      <c r="R333" s="42" t="s">
        <v>62</v>
      </c>
      <c r="S333" s="42"/>
      <c r="T333" s="42" t="s">
        <v>62</v>
      </c>
      <c r="U333" s="42"/>
      <c r="V333" s="42"/>
      <c r="W333" s="42" t="s">
        <v>62</v>
      </c>
      <c r="X333" s="42"/>
      <c r="Y333" s="42"/>
      <c r="Z333" s="42"/>
      <c r="AA333" s="42"/>
      <c r="AB333" s="24"/>
      <c r="AC333" s="24"/>
      <c r="AD333" s="42"/>
      <c r="AE333" s="90"/>
    </row>
    <row r="334" spans="1:31" ht="22.8" x14ac:dyDescent="0.25">
      <c r="A334" s="28"/>
      <c r="B334" s="20">
        <v>30753</v>
      </c>
      <c r="C334" s="27" t="s">
        <v>64</v>
      </c>
      <c r="D334" s="12" t="s">
        <v>948</v>
      </c>
      <c r="E334" s="20" t="s">
        <v>862</v>
      </c>
      <c r="F334" s="29" t="s">
        <v>863</v>
      </c>
      <c r="G334" s="29" t="s">
        <v>13</v>
      </c>
      <c r="H334" s="19">
        <v>43693</v>
      </c>
      <c r="I334" s="3">
        <v>378</v>
      </c>
      <c r="J334" s="3" t="s">
        <v>58</v>
      </c>
      <c r="K334" s="37" t="s">
        <v>59</v>
      </c>
      <c r="L334" s="40">
        <v>44042</v>
      </c>
      <c r="M334" s="46" t="s">
        <v>722</v>
      </c>
      <c r="N334" s="21">
        <v>44139</v>
      </c>
      <c r="O334" s="47">
        <v>44041</v>
      </c>
      <c r="P334" s="47"/>
      <c r="Q334" s="53"/>
      <c r="R334" s="42" t="s">
        <v>68</v>
      </c>
      <c r="S334" s="42"/>
      <c r="T334" s="42" t="s">
        <v>68</v>
      </c>
      <c r="U334" s="42"/>
      <c r="V334" s="42"/>
      <c r="W334" s="42" t="s">
        <v>68</v>
      </c>
      <c r="X334" s="42"/>
      <c r="Y334" s="42"/>
      <c r="Z334" s="42"/>
      <c r="AA334" s="42"/>
      <c r="AB334" s="24"/>
      <c r="AC334" s="24"/>
      <c r="AD334" s="42"/>
      <c r="AE334" s="90"/>
    </row>
    <row r="335" spans="1:31" ht="22.8" x14ac:dyDescent="0.25">
      <c r="A335" s="28"/>
      <c r="B335" s="20">
        <v>30753</v>
      </c>
      <c r="C335" s="27" t="s">
        <v>54</v>
      </c>
      <c r="D335" s="12" t="s">
        <v>949</v>
      </c>
      <c r="E335" s="20" t="s">
        <v>862</v>
      </c>
      <c r="F335" s="29" t="s">
        <v>863</v>
      </c>
      <c r="G335" s="29" t="s">
        <v>13</v>
      </c>
      <c r="H335" s="19">
        <v>43693</v>
      </c>
      <c r="I335" s="3">
        <v>379</v>
      </c>
      <c r="J335" s="3" t="s">
        <v>58</v>
      </c>
      <c r="K335" s="37" t="s">
        <v>59</v>
      </c>
      <c r="L335" s="40">
        <v>44042</v>
      </c>
      <c r="M335" s="46" t="s">
        <v>60</v>
      </c>
      <c r="N335" s="21">
        <v>44139</v>
      </c>
      <c r="O335" s="47">
        <v>44041</v>
      </c>
      <c r="P335" s="47"/>
      <c r="Q335" s="53"/>
      <c r="R335" s="42" t="s">
        <v>62</v>
      </c>
      <c r="S335" s="42"/>
      <c r="T335" s="42" t="s">
        <v>62</v>
      </c>
      <c r="U335" s="42"/>
      <c r="V335" s="42"/>
      <c r="W335" s="42" t="s">
        <v>62</v>
      </c>
      <c r="X335" s="42"/>
      <c r="Y335" s="42"/>
      <c r="Z335" s="42"/>
      <c r="AA335" s="42"/>
      <c r="AB335" s="24"/>
      <c r="AC335" s="24"/>
      <c r="AD335" s="42"/>
      <c r="AE335" s="90"/>
    </row>
    <row r="336" spans="1:31" ht="22.8" x14ac:dyDescent="0.25">
      <c r="A336" s="28"/>
      <c r="B336" s="20">
        <v>37030</v>
      </c>
      <c r="C336" s="27" t="s">
        <v>64</v>
      </c>
      <c r="D336" s="12" t="s">
        <v>950</v>
      </c>
      <c r="E336" s="20" t="s">
        <v>862</v>
      </c>
      <c r="F336" s="29" t="s">
        <v>863</v>
      </c>
      <c r="G336" s="29" t="s">
        <v>13</v>
      </c>
      <c r="H336" s="49">
        <v>43369</v>
      </c>
      <c r="I336" s="3">
        <v>198</v>
      </c>
      <c r="J336" s="3" t="s">
        <v>58</v>
      </c>
      <c r="K336" s="37" t="s">
        <v>59</v>
      </c>
      <c r="L336" s="21">
        <v>44205</v>
      </c>
      <c r="M336" s="51" t="s">
        <v>722</v>
      </c>
      <c r="N336" s="21">
        <v>44205</v>
      </c>
      <c r="O336" s="21"/>
      <c r="P336" s="21"/>
      <c r="Q336" s="42"/>
      <c r="R336" s="42" t="s">
        <v>68</v>
      </c>
      <c r="S336" s="42" t="s">
        <v>68</v>
      </c>
      <c r="T336" s="42" t="s">
        <v>68</v>
      </c>
      <c r="U336" s="42"/>
      <c r="V336" s="42"/>
      <c r="W336" s="42" t="s">
        <v>68</v>
      </c>
      <c r="X336" s="42"/>
      <c r="Y336" s="42"/>
      <c r="Z336" s="42"/>
      <c r="AA336" s="42"/>
      <c r="AB336" s="24"/>
      <c r="AC336" s="24"/>
      <c r="AD336" s="42"/>
      <c r="AE336" s="90"/>
    </row>
    <row r="337" spans="1:31" ht="22.8" x14ac:dyDescent="0.25">
      <c r="A337" s="28"/>
      <c r="B337" s="20">
        <v>37030</v>
      </c>
      <c r="C337" s="27" t="s">
        <v>54</v>
      </c>
      <c r="D337" s="12" t="s">
        <v>951</v>
      </c>
      <c r="E337" s="20" t="s">
        <v>862</v>
      </c>
      <c r="F337" s="29" t="s">
        <v>863</v>
      </c>
      <c r="G337" s="29" t="s">
        <v>13</v>
      </c>
      <c r="H337" s="49">
        <v>43369</v>
      </c>
      <c r="I337" s="3">
        <v>197</v>
      </c>
      <c r="J337" s="3" t="s">
        <v>58</v>
      </c>
      <c r="K337" s="37" t="s">
        <v>59</v>
      </c>
      <c r="L337" s="21">
        <v>44205</v>
      </c>
      <c r="M337" s="51" t="s">
        <v>722</v>
      </c>
      <c r="N337" s="21">
        <v>44205</v>
      </c>
      <c r="O337" s="21"/>
      <c r="P337" s="21"/>
      <c r="Q337" s="42"/>
      <c r="R337" s="42" t="s">
        <v>62</v>
      </c>
      <c r="S337" s="42"/>
      <c r="T337" s="42" t="s">
        <v>62</v>
      </c>
      <c r="U337" s="42"/>
      <c r="V337" s="42"/>
      <c r="W337" s="42" t="s">
        <v>62</v>
      </c>
      <c r="X337" s="42"/>
      <c r="Y337" s="42"/>
      <c r="Z337" s="42"/>
      <c r="AA337" s="42"/>
      <c r="AB337" s="24"/>
      <c r="AC337" s="24"/>
      <c r="AD337" s="42"/>
      <c r="AE337" s="90"/>
    </row>
    <row r="338" spans="1:31" ht="22.8" x14ac:dyDescent="0.25">
      <c r="A338" s="28"/>
      <c r="B338" s="20">
        <v>37184</v>
      </c>
      <c r="C338" s="27" t="s">
        <v>64</v>
      </c>
      <c r="D338" s="12" t="s">
        <v>2024</v>
      </c>
      <c r="E338" s="20" t="s">
        <v>862</v>
      </c>
      <c r="F338" s="29" t="s">
        <v>863</v>
      </c>
      <c r="G338" s="29" t="s">
        <v>13</v>
      </c>
      <c r="H338" s="19">
        <v>43666</v>
      </c>
      <c r="I338" s="3">
        <v>460</v>
      </c>
      <c r="J338" s="3" t="s">
        <v>58</v>
      </c>
      <c r="K338" s="37" t="s">
        <v>59</v>
      </c>
      <c r="L338" s="40">
        <v>44076</v>
      </c>
      <c r="M338" s="46" t="s">
        <v>722</v>
      </c>
      <c r="N338" s="40">
        <v>44195</v>
      </c>
      <c r="O338" s="21"/>
      <c r="P338" s="21"/>
      <c r="Q338" s="42"/>
      <c r="R338" s="42" t="s">
        <v>68</v>
      </c>
      <c r="S338" s="42"/>
      <c r="T338" s="42"/>
      <c r="U338" s="42"/>
      <c r="V338" s="42"/>
      <c r="W338" s="42" t="s">
        <v>68</v>
      </c>
      <c r="X338" s="42"/>
      <c r="Y338" s="42"/>
      <c r="Z338" s="42"/>
      <c r="AA338" s="42"/>
      <c r="AB338" s="24"/>
      <c r="AC338" s="24"/>
      <c r="AD338" s="42"/>
      <c r="AE338" s="90"/>
    </row>
    <row r="339" spans="1:31" ht="22.8" x14ac:dyDescent="0.25">
      <c r="A339" s="28"/>
      <c r="B339" s="20">
        <v>37184</v>
      </c>
      <c r="C339" s="27" t="s">
        <v>54</v>
      </c>
      <c r="D339" s="12" t="s">
        <v>2025</v>
      </c>
      <c r="E339" s="20" t="s">
        <v>862</v>
      </c>
      <c r="F339" s="29" t="s">
        <v>863</v>
      </c>
      <c r="G339" s="29" t="s">
        <v>13</v>
      </c>
      <c r="H339" s="19">
        <v>43666</v>
      </c>
      <c r="I339" s="3">
        <v>466</v>
      </c>
      <c r="J339" s="3" t="s">
        <v>58</v>
      </c>
      <c r="K339" s="37" t="s">
        <v>59</v>
      </c>
      <c r="L339" s="40">
        <v>44076</v>
      </c>
      <c r="M339" s="46" t="s">
        <v>722</v>
      </c>
      <c r="N339" s="40">
        <v>44195</v>
      </c>
      <c r="O339" s="21"/>
      <c r="P339" s="21"/>
      <c r="Q339" s="42"/>
      <c r="R339" s="42" t="s">
        <v>62</v>
      </c>
      <c r="S339" s="42"/>
      <c r="T339" s="42"/>
      <c r="U339" s="42"/>
      <c r="V339" s="42"/>
      <c r="W339" s="42" t="s">
        <v>62</v>
      </c>
      <c r="X339" s="42"/>
      <c r="Y339" s="42"/>
      <c r="Z339" s="42"/>
      <c r="AA339" s="42"/>
      <c r="AB339" s="24"/>
      <c r="AC339" s="24"/>
      <c r="AD339" s="42"/>
      <c r="AE339" s="90"/>
    </row>
    <row r="340" spans="1:31" ht="22.8" x14ac:dyDescent="0.25">
      <c r="A340" s="28"/>
      <c r="B340" s="20">
        <v>37192</v>
      </c>
      <c r="C340" s="27" t="s">
        <v>64</v>
      </c>
      <c r="D340" s="12" t="s">
        <v>2026</v>
      </c>
      <c r="E340" s="20" t="s">
        <v>862</v>
      </c>
      <c r="F340" s="29" t="s">
        <v>863</v>
      </c>
      <c r="G340" s="29" t="s">
        <v>13</v>
      </c>
      <c r="H340" s="19">
        <v>43633</v>
      </c>
      <c r="I340" s="3">
        <v>473</v>
      </c>
      <c r="J340" s="3" t="s">
        <v>58</v>
      </c>
      <c r="K340" s="37" t="s">
        <v>59</v>
      </c>
      <c r="L340" s="33" t="s">
        <v>63</v>
      </c>
      <c r="M340" s="46" t="s">
        <v>722</v>
      </c>
      <c r="N340" s="21"/>
      <c r="O340" s="47">
        <v>44053</v>
      </c>
      <c r="P340" s="47"/>
      <c r="Q340" s="53"/>
      <c r="R340" s="42" t="s">
        <v>68</v>
      </c>
      <c r="S340" s="42"/>
      <c r="T340" s="42" t="s">
        <v>68</v>
      </c>
      <c r="U340" s="42"/>
      <c r="V340" s="42"/>
      <c r="W340" s="42" t="s">
        <v>68</v>
      </c>
      <c r="X340" s="42"/>
      <c r="Y340" s="42"/>
      <c r="Z340" s="42"/>
      <c r="AA340" s="42"/>
      <c r="AB340" s="24"/>
      <c r="AC340" s="24"/>
      <c r="AD340" s="42"/>
      <c r="AE340" s="90"/>
    </row>
    <row r="341" spans="1:31" ht="22.8" x14ac:dyDescent="0.25">
      <c r="A341" s="28"/>
      <c r="B341" s="20">
        <v>37192</v>
      </c>
      <c r="C341" s="27" t="s">
        <v>54</v>
      </c>
      <c r="D341" s="12" t="s">
        <v>2027</v>
      </c>
      <c r="E341" s="20" t="s">
        <v>862</v>
      </c>
      <c r="F341" s="29" t="s">
        <v>863</v>
      </c>
      <c r="G341" s="29" t="s">
        <v>13</v>
      </c>
      <c r="H341" s="19">
        <v>43633</v>
      </c>
      <c r="I341" s="3">
        <v>472</v>
      </c>
      <c r="J341" s="3" t="s">
        <v>58</v>
      </c>
      <c r="K341" s="37" t="s">
        <v>59</v>
      </c>
      <c r="L341" s="33" t="s">
        <v>63</v>
      </c>
      <c r="M341" s="46" t="s">
        <v>722</v>
      </c>
      <c r="N341" s="21"/>
      <c r="O341" s="47">
        <v>44053</v>
      </c>
      <c r="P341" s="47"/>
      <c r="Q341" s="53"/>
      <c r="R341" s="42" t="s">
        <v>62</v>
      </c>
      <c r="S341" s="42"/>
      <c r="T341" s="42" t="s">
        <v>62</v>
      </c>
      <c r="U341" s="42"/>
      <c r="V341" s="42"/>
      <c r="W341" s="42" t="s">
        <v>62</v>
      </c>
      <c r="X341" s="42"/>
      <c r="Y341" s="42"/>
      <c r="Z341" s="42"/>
      <c r="AA341" s="42"/>
      <c r="AB341" s="24"/>
      <c r="AC341" s="24"/>
      <c r="AD341" s="42"/>
      <c r="AE341" s="90"/>
    </row>
    <row r="342" spans="1:31" ht="22.8" x14ac:dyDescent="0.25">
      <c r="A342" s="28"/>
      <c r="B342" s="20">
        <v>37193</v>
      </c>
      <c r="C342" s="27" t="s">
        <v>64</v>
      </c>
      <c r="D342" s="12" t="s">
        <v>2028</v>
      </c>
      <c r="E342" s="20" t="s">
        <v>862</v>
      </c>
      <c r="F342" s="29" t="s">
        <v>863</v>
      </c>
      <c r="G342" s="29" t="s">
        <v>13</v>
      </c>
      <c r="H342" s="19">
        <v>43633</v>
      </c>
      <c r="I342" s="3">
        <v>474</v>
      </c>
      <c r="J342" s="3" t="s">
        <v>58</v>
      </c>
      <c r="K342" s="37" t="s">
        <v>59</v>
      </c>
      <c r="L342" s="40">
        <v>44044</v>
      </c>
      <c r="M342" s="46" t="s">
        <v>722</v>
      </c>
      <c r="N342" s="21">
        <v>44132</v>
      </c>
      <c r="O342" s="47">
        <v>44044</v>
      </c>
      <c r="P342" s="47"/>
      <c r="Q342" s="53"/>
      <c r="R342" s="42" t="s">
        <v>68</v>
      </c>
      <c r="S342" s="42"/>
      <c r="T342" s="42" t="s">
        <v>68</v>
      </c>
      <c r="U342" s="42"/>
      <c r="V342" s="42"/>
      <c r="W342" s="42" t="s">
        <v>68</v>
      </c>
      <c r="X342" s="42"/>
      <c r="Y342" s="42"/>
      <c r="Z342" s="42"/>
      <c r="AA342" s="42"/>
      <c r="AB342" s="24"/>
      <c r="AC342" s="24"/>
      <c r="AD342" s="42"/>
      <c r="AE342" s="90"/>
    </row>
    <row r="343" spans="1:31" ht="22.8" x14ac:dyDescent="0.25">
      <c r="A343" s="28"/>
      <c r="B343" s="20">
        <v>37193</v>
      </c>
      <c r="C343" s="27" t="s">
        <v>54</v>
      </c>
      <c r="D343" s="12" t="s">
        <v>2029</v>
      </c>
      <c r="E343" s="20" t="s">
        <v>862</v>
      </c>
      <c r="F343" s="29" t="s">
        <v>863</v>
      </c>
      <c r="G343" s="29" t="s">
        <v>13</v>
      </c>
      <c r="H343" s="19">
        <v>43633</v>
      </c>
      <c r="I343" s="3">
        <v>475</v>
      </c>
      <c r="J343" s="3" t="s">
        <v>58</v>
      </c>
      <c r="K343" s="37" t="s">
        <v>59</v>
      </c>
      <c r="L343" s="40">
        <v>44044</v>
      </c>
      <c r="M343" s="46" t="s">
        <v>722</v>
      </c>
      <c r="N343" s="21">
        <v>44132</v>
      </c>
      <c r="O343" s="47">
        <v>44044</v>
      </c>
      <c r="P343" s="47"/>
      <c r="Q343" s="53"/>
      <c r="R343" s="42" t="s">
        <v>62</v>
      </c>
      <c r="S343" s="42"/>
      <c r="T343" s="42" t="s">
        <v>62</v>
      </c>
      <c r="U343" s="42"/>
      <c r="V343" s="42"/>
      <c r="W343" s="42" t="s">
        <v>62</v>
      </c>
      <c r="X343" s="42"/>
      <c r="Y343" s="42"/>
      <c r="Z343" s="42"/>
      <c r="AA343" s="42"/>
      <c r="AB343" s="24"/>
      <c r="AC343" s="24"/>
      <c r="AD343" s="42"/>
      <c r="AE343" s="90"/>
    </row>
    <row r="344" spans="1:31" ht="22.8" x14ac:dyDescent="0.25">
      <c r="A344" s="28"/>
      <c r="B344" s="20">
        <v>37248</v>
      </c>
      <c r="C344" s="27" t="s">
        <v>64</v>
      </c>
      <c r="D344" s="12" t="s">
        <v>2030</v>
      </c>
      <c r="E344" s="20" t="s">
        <v>862</v>
      </c>
      <c r="F344" s="29" t="s">
        <v>863</v>
      </c>
      <c r="G344" s="29" t="s">
        <v>13</v>
      </c>
      <c r="H344" s="19">
        <v>43770</v>
      </c>
      <c r="I344" s="3">
        <v>582</v>
      </c>
      <c r="J344" s="3" t="s">
        <v>58</v>
      </c>
      <c r="K344" s="37" t="s">
        <v>59</v>
      </c>
      <c r="L344" s="40">
        <v>44068</v>
      </c>
      <c r="M344" s="46" t="s">
        <v>722</v>
      </c>
      <c r="N344" s="21">
        <v>44173</v>
      </c>
      <c r="O344" s="47">
        <v>44172</v>
      </c>
      <c r="P344" s="47"/>
      <c r="Q344" s="16" t="s">
        <v>75</v>
      </c>
      <c r="R344" s="16" t="s">
        <v>75</v>
      </c>
      <c r="S344" s="42"/>
      <c r="T344" s="42"/>
      <c r="U344" s="42"/>
      <c r="V344" s="42" t="s">
        <v>68</v>
      </c>
      <c r="W344" s="42" t="s">
        <v>68</v>
      </c>
      <c r="X344" s="42"/>
      <c r="Y344" s="42"/>
      <c r="Z344" s="42"/>
      <c r="AA344" s="42"/>
      <c r="AB344" s="24"/>
      <c r="AC344" s="24"/>
      <c r="AD344" s="42"/>
      <c r="AE344" s="90"/>
    </row>
    <row r="345" spans="1:31" ht="22.8" x14ac:dyDescent="0.25">
      <c r="A345" s="28"/>
      <c r="B345" s="20">
        <v>37248</v>
      </c>
      <c r="C345" s="27" t="s">
        <v>54</v>
      </c>
      <c r="D345" s="12" t="s">
        <v>2031</v>
      </c>
      <c r="E345" s="20" t="s">
        <v>862</v>
      </c>
      <c r="F345" s="29" t="s">
        <v>863</v>
      </c>
      <c r="G345" s="29" t="s">
        <v>13</v>
      </c>
      <c r="H345" s="19">
        <v>43770</v>
      </c>
      <c r="I345" s="3">
        <v>583</v>
      </c>
      <c r="J345" s="3" t="s">
        <v>58</v>
      </c>
      <c r="K345" s="37" t="s">
        <v>59</v>
      </c>
      <c r="L345" s="40">
        <v>44068</v>
      </c>
      <c r="M345" s="46" t="s">
        <v>722</v>
      </c>
      <c r="N345" s="21">
        <v>44173</v>
      </c>
      <c r="O345" s="47">
        <v>44172</v>
      </c>
      <c r="P345" s="47"/>
      <c r="Q345" s="16" t="s">
        <v>75</v>
      </c>
      <c r="R345" s="16" t="s">
        <v>75</v>
      </c>
      <c r="S345" s="42"/>
      <c r="T345" s="42"/>
      <c r="U345" s="42"/>
      <c r="V345" s="42" t="s">
        <v>62</v>
      </c>
      <c r="W345" s="42" t="s">
        <v>62</v>
      </c>
      <c r="X345" s="42"/>
      <c r="Y345" s="42"/>
      <c r="Z345" s="42"/>
      <c r="AA345" s="42"/>
      <c r="AB345" s="24"/>
      <c r="AC345" s="24"/>
      <c r="AD345" s="42"/>
      <c r="AE345" s="90"/>
    </row>
    <row r="346" spans="1:31" x14ac:dyDescent="0.25">
      <c r="A346" s="28"/>
      <c r="B346" s="20">
        <v>37251</v>
      </c>
      <c r="C346" s="27" t="s">
        <v>64</v>
      </c>
      <c r="D346" s="18" t="s">
        <v>2032</v>
      </c>
      <c r="E346" s="20" t="s">
        <v>862</v>
      </c>
      <c r="F346" s="29" t="s">
        <v>863</v>
      </c>
      <c r="G346" s="29" t="s">
        <v>13</v>
      </c>
      <c r="H346" s="19">
        <v>43787</v>
      </c>
      <c r="I346" s="3">
        <v>622</v>
      </c>
      <c r="J346" s="3" t="s">
        <v>58</v>
      </c>
      <c r="K346" s="16"/>
      <c r="L346" s="33"/>
      <c r="M346" s="46" t="s">
        <v>722</v>
      </c>
      <c r="N346" s="39">
        <v>44216</v>
      </c>
      <c r="O346" s="33"/>
      <c r="P346" s="33"/>
      <c r="Q346" s="16" t="s">
        <v>75</v>
      </c>
      <c r="R346" s="16" t="s">
        <v>75</v>
      </c>
      <c r="S346" s="16"/>
      <c r="T346" s="16"/>
      <c r="U346" s="16" t="s">
        <v>68</v>
      </c>
      <c r="V346" s="36"/>
      <c r="W346" s="16"/>
      <c r="X346" s="16"/>
      <c r="Y346" s="16"/>
      <c r="Z346" s="16"/>
      <c r="AA346" s="16"/>
      <c r="AB346" s="24"/>
      <c r="AC346" s="24"/>
      <c r="AD346" s="16"/>
    </row>
    <row r="347" spans="1:31" x14ac:dyDescent="0.25">
      <c r="A347" s="28"/>
      <c r="B347" s="20">
        <v>37251</v>
      </c>
      <c r="C347" s="27" t="s">
        <v>54</v>
      </c>
      <c r="D347" s="18" t="s">
        <v>2033</v>
      </c>
      <c r="E347" s="20" t="s">
        <v>862</v>
      </c>
      <c r="F347" s="29" t="s">
        <v>863</v>
      </c>
      <c r="G347" s="29" t="s">
        <v>13</v>
      </c>
      <c r="H347" s="19">
        <v>43787</v>
      </c>
      <c r="I347" s="3">
        <v>623</v>
      </c>
      <c r="J347" s="3" t="s">
        <v>58</v>
      </c>
      <c r="K347" s="16"/>
      <c r="L347" s="33"/>
      <c r="M347" s="46" t="s">
        <v>722</v>
      </c>
      <c r="N347" s="39">
        <v>44216</v>
      </c>
      <c r="O347" s="33"/>
      <c r="P347" s="33"/>
      <c r="Q347" s="16" t="s">
        <v>75</v>
      </c>
      <c r="R347" s="16" t="s">
        <v>75</v>
      </c>
      <c r="S347" s="16"/>
      <c r="T347" s="16"/>
      <c r="U347" s="16" t="s">
        <v>62</v>
      </c>
      <c r="V347" s="36"/>
      <c r="W347" s="16"/>
      <c r="X347" s="16"/>
      <c r="Y347" s="16"/>
      <c r="Z347" s="16"/>
      <c r="AA347" s="16"/>
      <c r="AB347" s="24"/>
      <c r="AC347" s="24"/>
      <c r="AD347" s="16"/>
    </row>
    <row r="348" spans="1:31" ht="22.8" x14ac:dyDescent="0.25">
      <c r="A348" s="28"/>
      <c r="B348" s="20">
        <v>37254</v>
      </c>
      <c r="C348" s="27" t="s">
        <v>64</v>
      </c>
      <c r="D348" s="12" t="s">
        <v>2034</v>
      </c>
      <c r="E348" s="20" t="s">
        <v>862</v>
      </c>
      <c r="F348" s="29" t="s">
        <v>863</v>
      </c>
      <c r="G348" s="29" t="s">
        <v>13</v>
      </c>
      <c r="H348" s="19">
        <v>43738</v>
      </c>
      <c r="I348" s="3">
        <v>566</v>
      </c>
      <c r="J348" s="3" t="s">
        <v>58</v>
      </c>
      <c r="K348" s="37" t="s">
        <v>59</v>
      </c>
      <c r="L348" s="40">
        <v>44055</v>
      </c>
      <c r="M348" s="46" t="s">
        <v>722</v>
      </c>
      <c r="N348" s="21">
        <v>44147</v>
      </c>
      <c r="O348" s="47">
        <v>44039</v>
      </c>
      <c r="P348" s="47"/>
      <c r="Q348" s="16" t="s">
        <v>75</v>
      </c>
      <c r="R348" s="16" t="s">
        <v>75</v>
      </c>
      <c r="S348" s="42"/>
      <c r="T348" s="42" t="s">
        <v>68</v>
      </c>
      <c r="U348" s="42"/>
      <c r="V348" s="42"/>
      <c r="W348" s="42" t="s">
        <v>68</v>
      </c>
      <c r="X348" s="42"/>
      <c r="Y348" s="42"/>
      <c r="Z348" s="42"/>
      <c r="AA348" s="42"/>
      <c r="AB348" s="24"/>
      <c r="AC348" s="24"/>
      <c r="AD348" s="42"/>
      <c r="AE348" s="90"/>
    </row>
    <row r="349" spans="1:31" ht="22.8" x14ac:dyDescent="0.25">
      <c r="A349" s="28"/>
      <c r="B349" s="20">
        <v>37254</v>
      </c>
      <c r="C349" s="27" t="s">
        <v>54</v>
      </c>
      <c r="D349" s="12" t="s">
        <v>2035</v>
      </c>
      <c r="E349" s="20" t="s">
        <v>862</v>
      </c>
      <c r="F349" s="29" t="s">
        <v>863</v>
      </c>
      <c r="G349" s="29" t="s">
        <v>13</v>
      </c>
      <c r="H349" s="19">
        <v>43738</v>
      </c>
      <c r="I349" s="3">
        <v>567</v>
      </c>
      <c r="J349" s="3" t="s">
        <v>58</v>
      </c>
      <c r="K349" s="37" t="s">
        <v>59</v>
      </c>
      <c r="L349" s="40">
        <v>44055</v>
      </c>
      <c r="M349" s="46" t="s">
        <v>722</v>
      </c>
      <c r="N349" s="21">
        <v>44147</v>
      </c>
      <c r="O349" s="47">
        <v>44039</v>
      </c>
      <c r="P349" s="47"/>
      <c r="Q349" s="16" t="s">
        <v>75</v>
      </c>
      <c r="R349" s="16" t="s">
        <v>75</v>
      </c>
      <c r="S349" s="42"/>
      <c r="T349" s="42" t="s">
        <v>62</v>
      </c>
      <c r="U349" s="42"/>
      <c r="V349" s="42"/>
      <c r="W349" s="42" t="s">
        <v>62</v>
      </c>
      <c r="X349" s="42"/>
      <c r="Y349" s="42"/>
      <c r="Z349" s="42"/>
      <c r="AA349" s="42"/>
      <c r="AB349" s="24"/>
      <c r="AC349" s="24"/>
      <c r="AD349" s="42"/>
      <c r="AE349" s="90"/>
    </row>
    <row r="350" spans="1:31" ht="22.8" x14ac:dyDescent="0.25">
      <c r="A350" s="28"/>
      <c r="B350" s="20">
        <v>37257</v>
      </c>
      <c r="C350" s="27" t="s">
        <v>64</v>
      </c>
      <c r="D350" s="12" t="s">
        <v>952</v>
      </c>
      <c r="E350" s="20" t="s">
        <v>862</v>
      </c>
      <c r="F350" s="29" t="s">
        <v>863</v>
      </c>
      <c r="G350" s="29" t="s">
        <v>13</v>
      </c>
      <c r="H350" s="19">
        <v>43734</v>
      </c>
      <c r="I350" s="3">
        <v>640</v>
      </c>
      <c r="J350" s="3" t="s">
        <v>58</v>
      </c>
      <c r="K350" s="37" t="s">
        <v>59</v>
      </c>
      <c r="L350" s="40">
        <v>44085</v>
      </c>
      <c r="M350" s="57" t="s">
        <v>60</v>
      </c>
      <c r="N350" s="21">
        <v>44193</v>
      </c>
      <c r="O350" s="21">
        <v>44193</v>
      </c>
      <c r="P350" s="21"/>
      <c r="Q350" s="16" t="s">
        <v>75</v>
      </c>
      <c r="R350" s="16" t="s">
        <v>75</v>
      </c>
      <c r="S350" s="42"/>
      <c r="T350" s="42"/>
      <c r="U350" s="42"/>
      <c r="V350" s="42"/>
      <c r="W350" s="42"/>
      <c r="X350" s="42"/>
      <c r="Y350" s="42"/>
      <c r="Z350" s="42"/>
      <c r="AA350" s="42"/>
      <c r="AB350" s="24"/>
      <c r="AC350" s="24"/>
      <c r="AD350" s="42"/>
      <c r="AE350" s="90"/>
    </row>
    <row r="351" spans="1:31" ht="22.8" x14ac:dyDescent="0.25">
      <c r="A351" s="28"/>
      <c r="B351" s="20">
        <v>37257</v>
      </c>
      <c r="C351" s="27" t="s">
        <v>54</v>
      </c>
      <c r="D351" s="12" t="s">
        <v>953</v>
      </c>
      <c r="E351" s="20" t="s">
        <v>862</v>
      </c>
      <c r="F351" s="29" t="s">
        <v>863</v>
      </c>
      <c r="G351" s="29" t="s">
        <v>13</v>
      </c>
      <c r="H351" s="19">
        <v>43734</v>
      </c>
      <c r="I351" s="3">
        <v>641</v>
      </c>
      <c r="J351" s="3" t="s">
        <v>58</v>
      </c>
      <c r="K351" s="37" t="s">
        <v>59</v>
      </c>
      <c r="L351" s="40">
        <v>44085</v>
      </c>
      <c r="M351" s="57" t="s">
        <v>60</v>
      </c>
      <c r="N351" s="21">
        <v>44193</v>
      </c>
      <c r="O351" s="21">
        <v>44193</v>
      </c>
      <c r="P351" s="21"/>
      <c r="Q351" s="16" t="s">
        <v>75</v>
      </c>
      <c r="R351" s="16" t="s">
        <v>75</v>
      </c>
      <c r="S351" s="42"/>
      <c r="T351" s="42"/>
      <c r="U351" s="42"/>
      <c r="V351" s="42"/>
      <c r="W351" s="42"/>
      <c r="X351" s="42"/>
      <c r="Y351" s="42"/>
      <c r="Z351" s="42"/>
      <c r="AA351" s="42"/>
      <c r="AB351" s="24"/>
      <c r="AC351" s="24"/>
      <c r="AD351" s="42"/>
      <c r="AE351" s="90"/>
    </row>
    <row r="352" spans="1:31" ht="22.8" x14ac:dyDescent="0.25">
      <c r="A352" s="28"/>
      <c r="B352" s="20">
        <v>37367</v>
      </c>
      <c r="C352" s="27" t="s">
        <v>64</v>
      </c>
      <c r="D352" s="12" t="s">
        <v>2036</v>
      </c>
      <c r="E352" s="20" t="s">
        <v>862</v>
      </c>
      <c r="F352" s="29" t="s">
        <v>863</v>
      </c>
      <c r="G352" s="29" t="s">
        <v>13</v>
      </c>
      <c r="H352" s="19">
        <v>43986</v>
      </c>
      <c r="I352" s="3">
        <v>736</v>
      </c>
      <c r="J352" s="3" t="s">
        <v>58</v>
      </c>
      <c r="K352" s="37" t="s">
        <v>59</v>
      </c>
      <c r="L352" s="40">
        <v>44051</v>
      </c>
      <c r="M352" s="46" t="s">
        <v>722</v>
      </c>
      <c r="N352" s="21">
        <v>44139</v>
      </c>
      <c r="O352" s="47"/>
      <c r="P352" s="47"/>
      <c r="Q352" s="16" t="s">
        <v>75</v>
      </c>
      <c r="R352" s="16" t="s">
        <v>75</v>
      </c>
      <c r="S352" s="42"/>
      <c r="T352" s="42"/>
      <c r="U352" s="42"/>
      <c r="V352" s="42"/>
      <c r="W352" s="42"/>
      <c r="X352" s="42"/>
      <c r="Y352" s="42"/>
      <c r="Z352" s="42"/>
      <c r="AA352" s="42"/>
      <c r="AB352" s="24"/>
      <c r="AC352" s="24"/>
      <c r="AD352" s="42"/>
      <c r="AE352" s="90"/>
    </row>
    <row r="353" spans="1:31" ht="22.8" x14ac:dyDescent="0.25">
      <c r="A353" s="28"/>
      <c r="B353" s="20">
        <v>37367</v>
      </c>
      <c r="C353" s="27" t="s">
        <v>54</v>
      </c>
      <c r="D353" s="12" t="s">
        <v>2037</v>
      </c>
      <c r="E353" s="20" t="s">
        <v>862</v>
      </c>
      <c r="F353" s="29" t="s">
        <v>863</v>
      </c>
      <c r="G353" s="29" t="s">
        <v>13</v>
      </c>
      <c r="H353" s="19">
        <v>43986</v>
      </c>
      <c r="I353" s="3">
        <v>745</v>
      </c>
      <c r="J353" s="3" t="s">
        <v>58</v>
      </c>
      <c r="K353" s="37" t="s">
        <v>59</v>
      </c>
      <c r="L353" s="40">
        <v>44051</v>
      </c>
      <c r="M353" s="46" t="s">
        <v>722</v>
      </c>
      <c r="N353" s="21">
        <v>44139</v>
      </c>
      <c r="O353" s="47"/>
      <c r="P353" s="47"/>
      <c r="Q353" s="16" t="s">
        <v>75</v>
      </c>
      <c r="R353" s="16" t="s">
        <v>75</v>
      </c>
      <c r="S353" s="42"/>
      <c r="T353" s="42"/>
      <c r="U353" s="42"/>
      <c r="V353" s="42"/>
      <c r="W353" s="42"/>
      <c r="X353" s="42"/>
      <c r="Y353" s="42"/>
      <c r="Z353" s="42"/>
      <c r="AA353" s="42"/>
      <c r="AB353" s="24"/>
      <c r="AC353" s="24"/>
      <c r="AD353" s="42"/>
      <c r="AE353" s="90"/>
    </row>
    <row r="354" spans="1:31" ht="22.8" x14ac:dyDescent="0.25">
      <c r="A354" s="28"/>
      <c r="B354" s="20">
        <v>37369</v>
      </c>
      <c r="C354" s="27" t="s">
        <v>64</v>
      </c>
      <c r="D354" s="12" t="s">
        <v>954</v>
      </c>
      <c r="E354" s="20" t="s">
        <v>862</v>
      </c>
      <c r="F354" s="29" t="s">
        <v>863</v>
      </c>
      <c r="G354" s="29" t="s">
        <v>13</v>
      </c>
      <c r="H354" s="19">
        <v>43999</v>
      </c>
      <c r="I354" s="3">
        <v>730</v>
      </c>
      <c r="J354" s="3" t="s">
        <v>58</v>
      </c>
      <c r="K354" s="37" t="s">
        <v>59</v>
      </c>
      <c r="L354" s="33" t="s">
        <v>63</v>
      </c>
      <c r="M354" s="46" t="s">
        <v>722</v>
      </c>
      <c r="N354" s="21"/>
      <c r="O354" s="47"/>
      <c r="P354" s="47"/>
      <c r="Q354" s="16" t="s">
        <v>75</v>
      </c>
      <c r="R354" s="16" t="s">
        <v>75</v>
      </c>
      <c r="S354" s="42"/>
      <c r="T354" s="42" t="s">
        <v>68</v>
      </c>
      <c r="U354" s="42"/>
      <c r="V354" s="42"/>
      <c r="W354" s="42" t="s">
        <v>68</v>
      </c>
      <c r="X354" s="42"/>
      <c r="Y354" s="42"/>
      <c r="Z354" s="42"/>
      <c r="AA354" s="42"/>
      <c r="AB354" s="24"/>
      <c r="AC354" s="24"/>
      <c r="AD354" s="42"/>
      <c r="AE354" s="90"/>
    </row>
    <row r="355" spans="1:31" ht="22.8" x14ac:dyDescent="0.25">
      <c r="A355" s="28"/>
      <c r="B355" s="20">
        <v>37369</v>
      </c>
      <c r="C355" s="27" t="s">
        <v>54</v>
      </c>
      <c r="D355" s="12" t="s">
        <v>956</v>
      </c>
      <c r="E355" s="20" t="s">
        <v>862</v>
      </c>
      <c r="F355" s="29" t="s">
        <v>863</v>
      </c>
      <c r="G355" s="29" t="s">
        <v>13</v>
      </c>
      <c r="H355" s="19">
        <v>43999</v>
      </c>
      <c r="I355" s="3">
        <v>747</v>
      </c>
      <c r="J355" s="3" t="s">
        <v>58</v>
      </c>
      <c r="K355" s="37" t="s">
        <v>59</v>
      </c>
      <c r="L355" s="33" t="s">
        <v>63</v>
      </c>
      <c r="M355" s="46" t="s">
        <v>722</v>
      </c>
      <c r="N355" s="21"/>
      <c r="O355" s="47"/>
      <c r="P355" s="47"/>
      <c r="Q355" s="16" t="s">
        <v>75</v>
      </c>
      <c r="R355" s="16" t="s">
        <v>75</v>
      </c>
      <c r="S355" s="42"/>
      <c r="T355" s="42" t="s">
        <v>62</v>
      </c>
      <c r="U355" s="42"/>
      <c r="V355" s="42"/>
      <c r="W355" s="42" t="s">
        <v>62</v>
      </c>
      <c r="X355" s="42"/>
      <c r="Y355" s="42"/>
      <c r="Z355" s="42"/>
      <c r="AA355" s="42"/>
      <c r="AB355" s="24"/>
      <c r="AC355" s="24"/>
      <c r="AD355" s="42"/>
      <c r="AE355" s="90"/>
    </row>
    <row r="356" spans="1:31" ht="22.8" x14ac:dyDescent="0.25">
      <c r="A356" s="28"/>
      <c r="B356" s="20">
        <v>37416</v>
      </c>
      <c r="C356" s="27" t="s">
        <v>64</v>
      </c>
      <c r="D356" s="12" t="s">
        <v>959</v>
      </c>
      <c r="E356" s="20" t="s">
        <v>862</v>
      </c>
      <c r="F356" s="29" t="s">
        <v>863</v>
      </c>
      <c r="G356" s="29" t="s">
        <v>13</v>
      </c>
      <c r="H356" s="19">
        <v>44051</v>
      </c>
      <c r="I356" s="3">
        <v>717</v>
      </c>
      <c r="J356" s="3" t="s">
        <v>58</v>
      </c>
      <c r="K356" s="37" t="s">
        <v>59</v>
      </c>
      <c r="L356" s="40">
        <v>44088</v>
      </c>
      <c r="M356" s="46" t="s">
        <v>722</v>
      </c>
      <c r="N356" s="21"/>
      <c r="O356" s="47"/>
      <c r="P356" s="47"/>
      <c r="Q356" s="16" t="s">
        <v>75</v>
      </c>
      <c r="R356" s="16" t="s">
        <v>75</v>
      </c>
      <c r="S356" s="42"/>
      <c r="T356" s="42" t="s">
        <v>68</v>
      </c>
      <c r="U356" s="42"/>
      <c r="V356" s="42"/>
      <c r="W356" s="42" t="s">
        <v>68</v>
      </c>
      <c r="X356" s="42"/>
      <c r="Y356" s="42"/>
      <c r="Z356" s="42"/>
      <c r="AA356" s="42"/>
      <c r="AB356" s="24"/>
      <c r="AC356" s="24"/>
      <c r="AD356" s="42"/>
      <c r="AE356" s="90"/>
    </row>
    <row r="357" spans="1:31" ht="22.8" x14ac:dyDescent="0.25">
      <c r="A357" s="28"/>
      <c r="B357" s="20">
        <v>37416</v>
      </c>
      <c r="C357" s="27" t="s">
        <v>54</v>
      </c>
      <c r="D357" s="12" t="s">
        <v>960</v>
      </c>
      <c r="E357" s="20" t="s">
        <v>862</v>
      </c>
      <c r="F357" s="29" t="s">
        <v>863</v>
      </c>
      <c r="G357" s="29" t="s">
        <v>13</v>
      </c>
      <c r="H357" s="19">
        <v>44051</v>
      </c>
      <c r="I357" s="3">
        <v>782</v>
      </c>
      <c r="J357" s="3" t="s">
        <v>58</v>
      </c>
      <c r="K357" s="37" t="s">
        <v>59</v>
      </c>
      <c r="L357" s="40">
        <v>44088</v>
      </c>
      <c r="M357" s="46" t="s">
        <v>722</v>
      </c>
      <c r="N357" s="21"/>
      <c r="O357" s="47"/>
      <c r="P357" s="47"/>
      <c r="Q357" s="16" t="s">
        <v>75</v>
      </c>
      <c r="R357" s="16" t="s">
        <v>75</v>
      </c>
      <c r="S357" s="42"/>
      <c r="T357" s="42" t="s">
        <v>62</v>
      </c>
      <c r="U357" s="42"/>
      <c r="V357" s="42"/>
      <c r="W357" s="42" t="s">
        <v>62</v>
      </c>
      <c r="X357" s="16" t="s">
        <v>75</v>
      </c>
      <c r="Y357" s="42"/>
      <c r="Z357" s="42"/>
      <c r="AA357" s="42"/>
      <c r="AB357" s="24"/>
      <c r="AC357" s="24"/>
      <c r="AD357" s="42"/>
      <c r="AE357" s="90"/>
    </row>
    <row r="358" spans="1:31" ht="22.8" x14ac:dyDescent="0.25">
      <c r="A358" s="28"/>
      <c r="B358" s="20">
        <v>37418</v>
      </c>
      <c r="C358" s="27" t="s">
        <v>64</v>
      </c>
      <c r="D358" s="12" t="s">
        <v>961</v>
      </c>
      <c r="E358" s="20" t="s">
        <v>862</v>
      </c>
      <c r="F358" s="29" t="s">
        <v>863</v>
      </c>
      <c r="G358" s="29" t="s">
        <v>13</v>
      </c>
      <c r="H358" s="19">
        <v>44054</v>
      </c>
      <c r="I358" s="3">
        <v>831</v>
      </c>
      <c r="J358" s="3" t="s">
        <v>58</v>
      </c>
      <c r="K358" s="37" t="s">
        <v>59</v>
      </c>
      <c r="L358" s="40">
        <v>44092</v>
      </c>
      <c r="M358" s="46" t="s">
        <v>722</v>
      </c>
      <c r="N358" s="21">
        <v>44288</v>
      </c>
      <c r="O358" s="47"/>
      <c r="P358" s="47"/>
      <c r="Q358" s="16" t="s">
        <v>75</v>
      </c>
      <c r="R358" s="16" t="s">
        <v>75</v>
      </c>
      <c r="S358" s="42"/>
      <c r="T358" s="42" t="s">
        <v>68</v>
      </c>
      <c r="U358" s="42"/>
      <c r="V358" s="42"/>
      <c r="W358" s="42" t="s">
        <v>68</v>
      </c>
      <c r="X358" s="16" t="s">
        <v>75</v>
      </c>
      <c r="Y358" s="42"/>
      <c r="Z358" s="42"/>
      <c r="AA358" s="42"/>
      <c r="AB358" s="24"/>
      <c r="AC358" s="24"/>
      <c r="AD358" s="42"/>
      <c r="AE358" s="90"/>
    </row>
    <row r="359" spans="1:31" ht="22.8" x14ac:dyDescent="0.25">
      <c r="A359" s="28"/>
      <c r="B359" s="20">
        <v>37418</v>
      </c>
      <c r="C359" s="27" t="s">
        <v>54</v>
      </c>
      <c r="D359" s="12" t="s">
        <v>963</v>
      </c>
      <c r="E359" s="20" t="s">
        <v>862</v>
      </c>
      <c r="F359" s="29" t="s">
        <v>863</v>
      </c>
      <c r="G359" s="29" t="s">
        <v>13</v>
      </c>
      <c r="H359" s="19">
        <v>44054</v>
      </c>
      <c r="I359" s="3">
        <v>783</v>
      </c>
      <c r="J359" s="3" t="s">
        <v>58</v>
      </c>
      <c r="K359" s="37" t="s">
        <v>59</v>
      </c>
      <c r="L359" s="40">
        <v>44092</v>
      </c>
      <c r="M359" s="46" t="s">
        <v>722</v>
      </c>
      <c r="N359" s="21">
        <v>44288</v>
      </c>
      <c r="O359" s="47"/>
      <c r="P359" s="47"/>
      <c r="Q359" s="16" t="s">
        <v>75</v>
      </c>
      <c r="R359" s="16" t="s">
        <v>75</v>
      </c>
      <c r="S359" s="42"/>
      <c r="T359" s="42" t="s">
        <v>62</v>
      </c>
      <c r="U359" s="42"/>
      <c r="V359" s="42"/>
      <c r="W359" s="42" t="s">
        <v>62</v>
      </c>
      <c r="X359" s="16" t="s">
        <v>75</v>
      </c>
      <c r="Y359" s="42"/>
      <c r="Z359" s="42"/>
      <c r="AA359" s="42"/>
      <c r="AB359" s="24"/>
      <c r="AC359" s="24"/>
      <c r="AD359" s="42"/>
      <c r="AE359" s="90"/>
    </row>
    <row r="360" spans="1:31" ht="22.8" x14ac:dyDescent="0.25">
      <c r="A360" s="28"/>
      <c r="B360" s="20">
        <v>37464</v>
      </c>
      <c r="C360" s="27" t="s">
        <v>64</v>
      </c>
      <c r="D360" s="12" t="s">
        <v>964</v>
      </c>
      <c r="E360" s="20" t="s">
        <v>862</v>
      </c>
      <c r="F360" s="29" t="s">
        <v>863</v>
      </c>
      <c r="G360" s="29" t="s">
        <v>13</v>
      </c>
      <c r="H360" s="19">
        <v>44158</v>
      </c>
      <c r="I360" s="3">
        <v>922</v>
      </c>
      <c r="J360" s="3" t="s">
        <v>58</v>
      </c>
      <c r="K360" s="37" t="s">
        <v>59</v>
      </c>
      <c r="L360" s="16" t="s">
        <v>75</v>
      </c>
      <c r="M360" s="46" t="s">
        <v>722</v>
      </c>
      <c r="N360" s="40">
        <v>44169</v>
      </c>
      <c r="O360" s="47"/>
      <c r="P360" s="47"/>
      <c r="Q360" s="16" t="s">
        <v>75</v>
      </c>
      <c r="R360" s="16" t="s">
        <v>75</v>
      </c>
      <c r="S360" s="42" t="s">
        <v>68</v>
      </c>
      <c r="T360" s="42"/>
      <c r="U360" s="42" t="s">
        <v>68</v>
      </c>
      <c r="V360" s="42"/>
      <c r="W360" s="42"/>
      <c r="X360" s="16" t="s">
        <v>75</v>
      </c>
      <c r="Y360" s="42"/>
      <c r="Z360" s="42"/>
      <c r="AA360" s="42"/>
      <c r="AB360" s="24"/>
      <c r="AC360" s="24"/>
      <c r="AD360" s="42"/>
      <c r="AE360" s="90"/>
    </row>
    <row r="361" spans="1:31" ht="22.8" x14ac:dyDescent="0.25">
      <c r="A361" s="28"/>
      <c r="B361" s="20">
        <v>37464</v>
      </c>
      <c r="C361" s="27" t="s">
        <v>54</v>
      </c>
      <c r="D361" s="12" t="s">
        <v>965</v>
      </c>
      <c r="E361" s="20" t="s">
        <v>862</v>
      </c>
      <c r="F361" s="29" t="s">
        <v>863</v>
      </c>
      <c r="G361" s="29" t="s">
        <v>13</v>
      </c>
      <c r="H361" s="19">
        <v>44158</v>
      </c>
      <c r="I361" s="3">
        <v>923</v>
      </c>
      <c r="J361" s="3" t="s">
        <v>58</v>
      </c>
      <c r="K361" s="37" t="s">
        <v>59</v>
      </c>
      <c r="L361" s="16" t="s">
        <v>75</v>
      </c>
      <c r="M361" s="46" t="s">
        <v>722</v>
      </c>
      <c r="N361" s="40">
        <v>44169</v>
      </c>
      <c r="O361" s="47"/>
      <c r="P361" s="47"/>
      <c r="Q361" s="16" t="s">
        <v>75</v>
      </c>
      <c r="R361" s="16" t="s">
        <v>75</v>
      </c>
      <c r="S361" s="42" t="s">
        <v>62</v>
      </c>
      <c r="T361" s="42"/>
      <c r="U361" s="42" t="s">
        <v>62</v>
      </c>
      <c r="V361" s="42"/>
      <c r="W361" s="42"/>
      <c r="X361" s="16" t="s">
        <v>75</v>
      </c>
      <c r="Y361" s="42"/>
      <c r="Z361" s="42"/>
      <c r="AA361" s="42"/>
      <c r="AB361" s="24"/>
      <c r="AC361" s="24"/>
      <c r="AD361" s="42"/>
      <c r="AE361" s="90"/>
    </row>
    <row r="362" spans="1:31" ht="22.8" x14ac:dyDescent="0.25">
      <c r="A362" s="28"/>
      <c r="B362" s="20">
        <v>39024</v>
      </c>
      <c r="C362" s="27" t="s">
        <v>64</v>
      </c>
      <c r="D362" s="12" t="s">
        <v>966</v>
      </c>
      <c r="E362" s="20" t="s">
        <v>862</v>
      </c>
      <c r="F362" s="29" t="s">
        <v>863</v>
      </c>
      <c r="G362" s="29" t="s">
        <v>13</v>
      </c>
      <c r="H362" s="19">
        <v>43482</v>
      </c>
      <c r="I362" s="3">
        <v>236</v>
      </c>
      <c r="J362" s="3" t="s">
        <v>58</v>
      </c>
      <c r="K362" s="37" t="s">
        <v>59</v>
      </c>
      <c r="L362" s="40">
        <v>44054</v>
      </c>
      <c r="M362" s="46" t="s">
        <v>722</v>
      </c>
      <c r="N362" s="21">
        <v>44224</v>
      </c>
      <c r="O362" s="47">
        <v>44070</v>
      </c>
      <c r="P362" s="47"/>
      <c r="Q362" s="42"/>
      <c r="R362" s="42" t="s">
        <v>68</v>
      </c>
      <c r="S362" s="42"/>
      <c r="T362" s="42" t="s">
        <v>68</v>
      </c>
      <c r="U362" s="42"/>
      <c r="V362" s="42"/>
      <c r="W362" s="42" t="s">
        <v>68</v>
      </c>
      <c r="X362" s="42"/>
      <c r="Y362" s="42"/>
      <c r="Z362" s="42"/>
      <c r="AA362" s="42"/>
      <c r="AB362" s="24"/>
      <c r="AC362" s="24"/>
      <c r="AD362" s="42"/>
      <c r="AE362" s="90"/>
    </row>
    <row r="363" spans="1:31" ht="22.8" x14ac:dyDescent="0.25">
      <c r="A363" s="28"/>
      <c r="B363" s="20">
        <v>39024</v>
      </c>
      <c r="C363" s="27" t="s">
        <v>54</v>
      </c>
      <c r="D363" s="12" t="s">
        <v>968</v>
      </c>
      <c r="E363" s="20" t="s">
        <v>862</v>
      </c>
      <c r="F363" s="29" t="s">
        <v>863</v>
      </c>
      <c r="G363" s="29" t="s">
        <v>13</v>
      </c>
      <c r="H363" s="19">
        <v>43482</v>
      </c>
      <c r="I363" s="3">
        <v>223</v>
      </c>
      <c r="J363" s="3" t="s">
        <v>58</v>
      </c>
      <c r="K363" s="37" t="s">
        <v>59</v>
      </c>
      <c r="L363" s="40">
        <v>44054</v>
      </c>
      <c r="M363" s="46" t="s">
        <v>722</v>
      </c>
      <c r="N363" s="21">
        <v>44224</v>
      </c>
      <c r="O363" s="47">
        <v>44070</v>
      </c>
      <c r="P363" s="47"/>
      <c r="Q363" s="42"/>
      <c r="R363" s="42" t="s">
        <v>62</v>
      </c>
      <c r="S363" s="42"/>
      <c r="T363" s="42" t="s">
        <v>62</v>
      </c>
      <c r="U363" s="42"/>
      <c r="V363" s="42"/>
      <c r="W363" s="42" t="s">
        <v>62</v>
      </c>
      <c r="X363" s="42"/>
      <c r="Y363" s="42"/>
      <c r="Z363" s="42"/>
      <c r="AA363" s="42"/>
      <c r="AB363" s="24"/>
      <c r="AC363" s="24"/>
      <c r="AD363" s="42"/>
      <c r="AE363" s="90"/>
    </row>
    <row r="364" spans="1:31" ht="22.8" x14ac:dyDescent="0.25">
      <c r="A364" s="28"/>
      <c r="B364" s="20">
        <v>39025</v>
      </c>
      <c r="C364" s="27" t="s">
        <v>64</v>
      </c>
      <c r="D364" s="12" t="s">
        <v>970</v>
      </c>
      <c r="E364" s="20" t="s">
        <v>862</v>
      </c>
      <c r="F364" s="29" t="s">
        <v>863</v>
      </c>
      <c r="G364" s="29" t="s">
        <v>13</v>
      </c>
      <c r="H364" s="19">
        <v>43484</v>
      </c>
      <c r="I364" s="3">
        <v>251</v>
      </c>
      <c r="J364" s="3" t="s">
        <v>58</v>
      </c>
      <c r="K364" s="37" t="s">
        <v>59</v>
      </c>
      <c r="L364" s="40">
        <v>44043</v>
      </c>
      <c r="M364" s="46" t="s">
        <v>722</v>
      </c>
      <c r="N364" s="21">
        <v>44545</v>
      </c>
      <c r="O364" s="47">
        <v>44237</v>
      </c>
      <c r="P364" s="47"/>
      <c r="Q364" s="53"/>
      <c r="R364" s="42" t="s">
        <v>68</v>
      </c>
      <c r="S364" s="42"/>
      <c r="T364" s="42" t="s">
        <v>68</v>
      </c>
      <c r="U364" s="42"/>
      <c r="V364" s="42"/>
      <c r="W364" s="42" t="s">
        <v>68</v>
      </c>
      <c r="X364" s="42"/>
      <c r="Y364" s="42"/>
      <c r="Z364" s="42"/>
      <c r="AA364" s="42"/>
      <c r="AB364" s="24"/>
      <c r="AC364" s="24"/>
      <c r="AD364" s="42"/>
      <c r="AE364" s="90"/>
    </row>
    <row r="365" spans="1:31" ht="22.8" x14ac:dyDescent="0.25">
      <c r="A365" s="28"/>
      <c r="B365" s="20">
        <v>39025</v>
      </c>
      <c r="C365" s="27" t="s">
        <v>54</v>
      </c>
      <c r="D365" s="12" t="s">
        <v>972</v>
      </c>
      <c r="E365" s="20" t="s">
        <v>862</v>
      </c>
      <c r="F365" s="29" t="s">
        <v>863</v>
      </c>
      <c r="G365" s="29" t="s">
        <v>13</v>
      </c>
      <c r="H365" s="19">
        <v>43484</v>
      </c>
      <c r="I365" s="3">
        <v>249</v>
      </c>
      <c r="J365" s="3" t="s">
        <v>58</v>
      </c>
      <c r="K365" s="37" t="s">
        <v>59</v>
      </c>
      <c r="L365" s="40">
        <v>44043</v>
      </c>
      <c r="M365" s="46" t="s">
        <v>722</v>
      </c>
      <c r="N365" s="21">
        <v>44545</v>
      </c>
      <c r="O365" s="47">
        <v>44237</v>
      </c>
      <c r="P365" s="47"/>
      <c r="Q365" s="53"/>
      <c r="R365" s="42" t="s">
        <v>62</v>
      </c>
      <c r="S365" s="42"/>
      <c r="T365" s="42" t="s">
        <v>62</v>
      </c>
      <c r="U365" s="42"/>
      <c r="V365" s="42"/>
      <c r="W365" s="42" t="s">
        <v>62</v>
      </c>
      <c r="X365" s="42"/>
      <c r="Y365" s="42"/>
      <c r="Z365" s="42"/>
      <c r="AA365" s="42"/>
      <c r="AB365" s="24"/>
      <c r="AC365" s="24"/>
      <c r="AD365" s="42"/>
      <c r="AE365" s="90"/>
    </row>
    <row r="366" spans="1:31" ht="22.8" x14ac:dyDescent="0.25">
      <c r="A366" s="28"/>
      <c r="B366" s="20">
        <v>39042</v>
      </c>
      <c r="C366" s="27" t="s">
        <v>64</v>
      </c>
      <c r="D366" s="12" t="s">
        <v>2038</v>
      </c>
      <c r="E366" s="20" t="s">
        <v>862</v>
      </c>
      <c r="F366" s="29" t="s">
        <v>863</v>
      </c>
      <c r="G366" s="29" t="s">
        <v>13</v>
      </c>
      <c r="H366" s="19">
        <v>43563</v>
      </c>
      <c r="I366" s="3">
        <v>310</v>
      </c>
      <c r="J366" s="3" t="s">
        <v>58</v>
      </c>
      <c r="K366" s="37" t="s">
        <v>59</v>
      </c>
      <c r="L366" s="40">
        <v>44168</v>
      </c>
      <c r="M366" s="46" t="s">
        <v>722</v>
      </c>
      <c r="N366" s="40">
        <v>44168</v>
      </c>
      <c r="O366" s="21"/>
      <c r="P366" s="21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24"/>
      <c r="AC366" s="24"/>
      <c r="AD366" s="42"/>
      <c r="AE366" s="90"/>
    </row>
    <row r="367" spans="1:31" ht="22.8" x14ac:dyDescent="0.25">
      <c r="A367" s="28"/>
      <c r="B367" s="20">
        <v>39042</v>
      </c>
      <c r="C367" s="27" t="s">
        <v>54</v>
      </c>
      <c r="D367" s="12" t="s">
        <v>2039</v>
      </c>
      <c r="E367" s="20" t="s">
        <v>862</v>
      </c>
      <c r="F367" s="29" t="s">
        <v>863</v>
      </c>
      <c r="G367" s="29" t="s">
        <v>13</v>
      </c>
      <c r="H367" s="19">
        <v>43563</v>
      </c>
      <c r="I367" s="3">
        <v>309</v>
      </c>
      <c r="J367" s="3" t="s">
        <v>58</v>
      </c>
      <c r="K367" s="37" t="s">
        <v>59</v>
      </c>
      <c r="L367" s="40">
        <v>44168</v>
      </c>
      <c r="M367" s="46" t="s">
        <v>722</v>
      </c>
      <c r="N367" s="40">
        <v>44168</v>
      </c>
      <c r="O367" s="21"/>
      <c r="P367" s="21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24"/>
      <c r="AC367" s="24"/>
      <c r="AD367" s="42"/>
      <c r="AE367" s="90"/>
    </row>
    <row r="368" spans="1:31" ht="22.8" x14ac:dyDescent="0.25">
      <c r="A368" s="28"/>
      <c r="B368" s="20">
        <v>39085</v>
      </c>
      <c r="C368" s="27" t="s">
        <v>64</v>
      </c>
      <c r="D368" s="12" t="s">
        <v>973</v>
      </c>
      <c r="E368" s="20" t="s">
        <v>862</v>
      </c>
      <c r="F368" s="29" t="s">
        <v>863</v>
      </c>
      <c r="G368" s="29" t="s">
        <v>13</v>
      </c>
      <c r="H368" s="19">
        <v>43697</v>
      </c>
      <c r="I368" s="3">
        <v>520</v>
      </c>
      <c r="J368" s="3" t="s">
        <v>58</v>
      </c>
      <c r="K368" s="37" t="s">
        <v>59</v>
      </c>
      <c r="L368" s="40">
        <v>44078</v>
      </c>
      <c r="M368" s="46" t="s">
        <v>722</v>
      </c>
      <c r="N368" s="21">
        <v>44157</v>
      </c>
      <c r="O368" s="47"/>
      <c r="P368" s="47"/>
      <c r="Q368" s="16" t="s">
        <v>75</v>
      </c>
      <c r="R368" s="16" t="s">
        <v>68</v>
      </c>
      <c r="S368" s="42"/>
      <c r="T368" s="42"/>
      <c r="U368" s="42"/>
      <c r="V368" s="42"/>
      <c r="W368" s="42"/>
      <c r="X368" s="42"/>
      <c r="Y368" s="42"/>
      <c r="Z368" s="42"/>
      <c r="AA368" s="42"/>
      <c r="AB368" s="24"/>
      <c r="AC368" s="24"/>
      <c r="AD368" s="42"/>
      <c r="AE368" s="90"/>
    </row>
    <row r="369" spans="1:31" ht="22.8" x14ac:dyDescent="0.25">
      <c r="A369" s="28"/>
      <c r="B369" s="20">
        <v>39085</v>
      </c>
      <c r="C369" s="27" t="s">
        <v>54</v>
      </c>
      <c r="D369" s="12" t="s">
        <v>974</v>
      </c>
      <c r="E369" s="20" t="s">
        <v>862</v>
      </c>
      <c r="F369" s="29" t="s">
        <v>863</v>
      </c>
      <c r="G369" s="29" t="s">
        <v>13</v>
      </c>
      <c r="H369" s="19">
        <v>43697</v>
      </c>
      <c r="I369" s="3">
        <v>522</v>
      </c>
      <c r="J369" s="3" t="s">
        <v>58</v>
      </c>
      <c r="K369" s="37" t="s">
        <v>59</v>
      </c>
      <c r="L369" s="40">
        <v>44078</v>
      </c>
      <c r="M369" s="46" t="s">
        <v>722</v>
      </c>
      <c r="N369" s="21">
        <v>44157</v>
      </c>
      <c r="O369" s="47"/>
      <c r="P369" s="47"/>
      <c r="Q369" s="16" t="s">
        <v>75</v>
      </c>
      <c r="R369" s="16" t="s">
        <v>62</v>
      </c>
      <c r="S369" s="42"/>
      <c r="T369" s="42"/>
      <c r="U369" s="42"/>
      <c r="V369" s="42"/>
      <c r="W369" s="42"/>
      <c r="X369" s="42"/>
      <c r="Y369" s="42"/>
      <c r="Z369" s="42"/>
      <c r="AA369" s="42"/>
      <c r="AB369" s="24"/>
      <c r="AC369" s="24"/>
      <c r="AD369" s="42"/>
      <c r="AE369" s="90"/>
    </row>
    <row r="370" spans="1:31" ht="22.8" x14ac:dyDescent="0.25">
      <c r="A370" s="28"/>
      <c r="B370" s="51">
        <v>39183</v>
      </c>
      <c r="C370" s="27" t="s">
        <v>64</v>
      </c>
      <c r="D370" s="51" t="s">
        <v>976</v>
      </c>
      <c r="E370" s="20" t="s">
        <v>862</v>
      </c>
      <c r="F370" s="29" t="s">
        <v>863</v>
      </c>
      <c r="G370" s="29" t="s">
        <v>13</v>
      </c>
      <c r="H370" s="51"/>
      <c r="I370" s="3" t="s">
        <v>977</v>
      </c>
      <c r="J370" s="3" t="s">
        <v>58</v>
      </c>
      <c r="K370" s="37" t="s">
        <v>59</v>
      </c>
      <c r="L370" s="16" t="s">
        <v>75</v>
      </c>
      <c r="M370" s="16" t="s">
        <v>60</v>
      </c>
      <c r="N370" s="16" t="s">
        <v>75</v>
      </c>
      <c r="O370" s="33"/>
      <c r="P370" s="33"/>
      <c r="Q370" s="16" t="s">
        <v>75</v>
      </c>
      <c r="R370" s="16" t="s">
        <v>75</v>
      </c>
      <c r="S370" s="16"/>
      <c r="T370" s="16"/>
      <c r="U370" s="16"/>
      <c r="V370" s="16"/>
      <c r="W370" s="16"/>
      <c r="X370" s="16" t="s">
        <v>75</v>
      </c>
      <c r="Y370" s="16"/>
      <c r="Z370" s="16"/>
      <c r="AA370" s="16"/>
      <c r="AB370" s="24"/>
      <c r="AC370" s="24"/>
      <c r="AD370" s="16"/>
    </row>
    <row r="371" spans="1:31" ht="22.8" x14ac:dyDescent="0.25">
      <c r="A371" s="28"/>
      <c r="B371" s="20">
        <v>30587</v>
      </c>
      <c r="C371" s="27" t="s">
        <v>64</v>
      </c>
      <c r="D371" s="3" t="s">
        <v>202</v>
      </c>
      <c r="E371" s="20" t="s">
        <v>203</v>
      </c>
      <c r="F371" s="29" t="s">
        <v>204</v>
      </c>
      <c r="G371" s="29" t="s">
        <v>12</v>
      </c>
      <c r="H371" s="19">
        <v>42942</v>
      </c>
      <c r="I371" s="3">
        <v>99</v>
      </c>
      <c r="J371" s="3" t="s">
        <v>58</v>
      </c>
      <c r="K371" s="37" t="s">
        <v>59</v>
      </c>
      <c r="L371" s="33" t="s">
        <v>63</v>
      </c>
      <c r="M371" s="16" t="s">
        <v>60</v>
      </c>
      <c r="N371" s="33">
        <v>44195</v>
      </c>
      <c r="O371" s="33"/>
      <c r="P371" s="33"/>
      <c r="Q371" s="16"/>
      <c r="R371" s="16" t="s">
        <v>68</v>
      </c>
      <c r="S371" s="16"/>
      <c r="T371" s="16" t="s">
        <v>68</v>
      </c>
      <c r="U371" s="16"/>
      <c r="V371" s="16"/>
      <c r="W371" s="16"/>
      <c r="X371" s="16"/>
      <c r="Y371" s="16"/>
      <c r="Z371" s="16"/>
      <c r="AA371" s="16"/>
      <c r="AB371" s="24"/>
      <c r="AC371" s="24"/>
      <c r="AD371" s="16"/>
    </row>
    <row r="372" spans="1:31" ht="22.8" x14ac:dyDescent="0.25">
      <c r="A372" s="28"/>
      <c r="B372" s="20">
        <v>30587</v>
      </c>
      <c r="C372" s="27" t="s">
        <v>54</v>
      </c>
      <c r="D372" s="3" t="s">
        <v>210</v>
      </c>
      <c r="E372" s="20" t="s">
        <v>203</v>
      </c>
      <c r="F372" s="29" t="s">
        <v>204</v>
      </c>
      <c r="G372" s="29" t="s">
        <v>12</v>
      </c>
      <c r="H372" s="19">
        <v>42942</v>
      </c>
      <c r="I372" s="3">
        <v>96</v>
      </c>
      <c r="J372" s="3" t="s">
        <v>58</v>
      </c>
      <c r="K372" s="37" t="s">
        <v>59</v>
      </c>
      <c r="L372" s="33" t="s">
        <v>63</v>
      </c>
      <c r="M372" s="16" t="s">
        <v>60</v>
      </c>
      <c r="N372" s="33">
        <v>44270</v>
      </c>
      <c r="O372" s="33"/>
      <c r="P372" s="33"/>
      <c r="Q372" s="16"/>
      <c r="R372" s="16" t="s">
        <v>62</v>
      </c>
      <c r="S372" s="16"/>
      <c r="T372" s="16" t="s">
        <v>62</v>
      </c>
      <c r="U372" s="16"/>
      <c r="V372" s="16"/>
      <c r="W372" s="16"/>
      <c r="X372" s="16"/>
      <c r="Y372" s="16"/>
      <c r="Z372" s="16"/>
      <c r="AA372" s="16"/>
      <c r="AB372" s="24"/>
      <c r="AC372" s="24"/>
      <c r="AD372" s="16"/>
    </row>
    <row r="373" spans="1:31" x14ac:dyDescent="0.25">
      <c r="A373" s="28"/>
      <c r="B373" s="20">
        <v>30595</v>
      </c>
      <c r="C373" s="27" t="s">
        <v>64</v>
      </c>
      <c r="D373" s="3" t="s">
        <v>211</v>
      </c>
      <c r="E373" s="20" t="s">
        <v>203</v>
      </c>
      <c r="F373" s="29" t="s">
        <v>204</v>
      </c>
      <c r="G373" s="29" t="s">
        <v>12</v>
      </c>
      <c r="H373" s="19">
        <v>43054</v>
      </c>
      <c r="I373" s="3">
        <v>131</v>
      </c>
      <c r="J373" s="3" t="s">
        <v>58</v>
      </c>
      <c r="K373" s="16"/>
      <c r="L373" s="33"/>
      <c r="M373" s="16"/>
      <c r="N373" s="33"/>
      <c r="O373" s="33"/>
      <c r="P373" s="33"/>
      <c r="Q373" s="16"/>
      <c r="R373" s="16" t="s">
        <v>68</v>
      </c>
      <c r="S373" s="16"/>
      <c r="T373" s="16" t="s">
        <v>68</v>
      </c>
      <c r="U373" s="16"/>
      <c r="V373" s="16"/>
      <c r="W373" s="16"/>
      <c r="X373" s="16"/>
      <c r="Y373" s="16"/>
      <c r="Z373" s="16"/>
      <c r="AA373" s="16"/>
      <c r="AB373" s="24"/>
      <c r="AC373" s="24"/>
      <c r="AD373" s="16"/>
    </row>
    <row r="374" spans="1:31" x14ac:dyDescent="0.25">
      <c r="A374" s="28"/>
      <c r="B374" s="20">
        <v>30595</v>
      </c>
      <c r="C374" s="27" t="s">
        <v>54</v>
      </c>
      <c r="D374" s="3" t="s">
        <v>215</v>
      </c>
      <c r="E374" s="20" t="s">
        <v>203</v>
      </c>
      <c r="F374" s="29" t="s">
        <v>204</v>
      </c>
      <c r="G374" s="29" t="s">
        <v>12</v>
      </c>
      <c r="H374" s="19">
        <v>43054</v>
      </c>
      <c r="I374" s="3">
        <v>130</v>
      </c>
      <c r="J374" s="3" t="s">
        <v>58</v>
      </c>
      <c r="K374" s="16"/>
      <c r="L374" s="33"/>
      <c r="M374" s="16"/>
      <c r="N374" s="33"/>
      <c r="O374" s="33"/>
      <c r="P374" s="33"/>
      <c r="Q374" s="16"/>
      <c r="R374" s="16" t="s">
        <v>62</v>
      </c>
      <c r="S374" s="16"/>
      <c r="T374" s="16" t="s">
        <v>62</v>
      </c>
      <c r="U374" s="16"/>
      <c r="V374" s="16"/>
      <c r="W374" s="16"/>
      <c r="X374" s="16"/>
      <c r="Y374" s="16"/>
      <c r="Z374" s="16"/>
      <c r="AA374" s="16"/>
      <c r="AB374" s="24"/>
      <c r="AC374" s="24"/>
      <c r="AD374" s="16"/>
    </row>
    <row r="375" spans="1:31" ht="22.8" x14ac:dyDescent="0.25">
      <c r="A375" s="28"/>
      <c r="B375" s="20">
        <v>30596</v>
      </c>
      <c r="C375" s="27" t="s">
        <v>64</v>
      </c>
      <c r="D375" s="3" t="s">
        <v>2040</v>
      </c>
      <c r="E375" s="20" t="s">
        <v>203</v>
      </c>
      <c r="F375" s="29" t="s">
        <v>204</v>
      </c>
      <c r="G375" s="29" t="s">
        <v>12</v>
      </c>
      <c r="H375" s="19">
        <v>43026</v>
      </c>
      <c r="I375" s="3">
        <v>97</v>
      </c>
      <c r="J375" s="3" t="s">
        <v>58</v>
      </c>
      <c r="K375" s="37" t="s">
        <v>59</v>
      </c>
      <c r="L375" s="33" t="s">
        <v>63</v>
      </c>
      <c r="M375" s="16" t="s">
        <v>60</v>
      </c>
      <c r="N375" s="33">
        <v>44191</v>
      </c>
      <c r="O375" s="33"/>
      <c r="P375" s="33"/>
      <c r="Q375" s="16"/>
      <c r="R375" s="16" t="s">
        <v>62</v>
      </c>
      <c r="S375" s="16"/>
      <c r="T375" s="16" t="s">
        <v>62</v>
      </c>
      <c r="U375" s="16"/>
      <c r="V375" s="16"/>
      <c r="W375" s="16"/>
      <c r="X375" s="16"/>
      <c r="Y375" s="16"/>
      <c r="Z375" s="16"/>
      <c r="AA375" s="16"/>
      <c r="AB375" s="24"/>
      <c r="AC375" s="24"/>
      <c r="AD375" s="16"/>
    </row>
    <row r="376" spans="1:31" ht="22.8" x14ac:dyDescent="0.25">
      <c r="A376" s="28"/>
      <c r="B376" s="20">
        <v>30596</v>
      </c>
      <c r="C376" s="27" t="s">
        <v>54</v>
      </c>
      <c r="D376" s="3" t="s">
        <v>2041</v>
      </c>
      <c r="E376" s="20" t="s">
        <v>203</v>
      </c>
      <c r="F376" s="29" t="s">
        <v>204</v>
      </c>
      <c r="G376" s="29" t="s">
        <v>12</v>
      </c>
      <c r="H376" s="19">
        <v>43026</v>
      </c>
      <c r="I376" s="3">
        <v>98</v>
      </c>
      <c r="J376" s="3" t="s">
        <v>58</v>
      </c>
      <c r="K376" s="37" t="s">
        <v>59</v>
      </c>
      <c r="L376" s="33" t="s">
        <v>63</v>
      </c>
      <c r="M376" s="16" t="s">
        <v>60</v>
      </c>
      <c r="N376" s="33">
        <v>44191</v>
      </c>
      <c r="O376" s="33"/>
      <c r="P376" s="33"/>
      <c r="Q376" s="16"/>
      <c r="R376" s="16" t="s">
        <v>68</v>
      </c>
      <c r="S376" s="16"/>
      <c r="T376" s="16" t="s">
        <v>68</v>
      </c>
      <c r="U376" s="16"/>
      <c r="V376" s="16"/>
      <c r="W376" s="16"/>
      <c r="X376" s="16"/>
      <c r="Y376" s="16"/>
      <c r="Z376" s="16"/>
      <c r="AA376" s="16"/>
      <c r="AB376" s="24"/>
      <c r="AC376" s="24"/>
      <c r="AD376" s="16"/>
    </row>
    <row r="377" spans="1:31" ht="22.8" x14ac:dyDescent="0.25">
      <c r="A377" s="28"/>
      <c r="B377" s="20">
        <v>30602</v>
      </c>
      <c r="C377" s="27" t="s">
        <v>64</v>
      </c>
      <c r="D377" s="3" t="s">
        <v>220</v>
      </c>
      <c r="E377" s="20" t="s">
        <v>203</v>
      </c>
      <c r="F377" s="29" t="s">
        <v>204</v>
      </c>
      <c r="G377" s="29" t="s">
        <v>12</v>
      </c>
      <c r="H377" s="19">
        <v>43053</v>
      </c>
      <c r="I377" s="3">
        <v>148</v>
      </c>
      <c r="J377" s="3" t="s">
        <v>58</v>
      </c>
      <c r="K377" s="37" t="s">
        <v>59</v>
      </c>
      <c r="L377" s="33" t="s">
        <v>63</v>
      </c>
      <c r="M377" s="16" t="s">
        <v>60</v>
      </c>
      <c r="N377" s="33">
        <v>44219</v>
      </c>
      <c r="O377" s="33"/>
      <c r="P377" s="33"/>
      <c r="Q377" s="16"/>
      <c r="R377" s="16" t="s">
        <v>68</v>
      </c>
      <c r="S377" s="16"/>
      <c r="T377" s="16" t="s">
        <v>68</v>
      </c>
      <c r="U377" s="16"/>
      <c r="V377" s="16"/>
      <c r="W377" s="16"/>
      <c r="X377" s="16"/>
      <c r="Y377" s="16"/>
      <c r="Z377" s="16"/>
      <c r="AA377" s="16"/>
      <c r="AB377" s="24"/>
      <c r="AC377" s="24"/>
      <c r="AD377" s="16"/>
    </row>
    <row r="378" spans="1:31" ht="22.8" x14ac:dyDescent="0.25">
      <c r="A378" s="28"/>
      <c r="B378" s="20">
        <v>30602</v>
      </c>
      <c r="C378" s="27" t="s">
        <v>54</v>
      </c>
      <c r="D378" s="3" t="s">
        <v>224</v>
      </c>
      <c r="E378" s="20" t="s">
        <v>203</v>
      </c>
      <c r="F378" s="29" t="s">
        <v>204</v>
      </c>
      <c r="G378" s="29" t="s">
        <v>12</v>
      </c>
      <c r="H378" s="19">
        <v>43053</v>
      </c>
      <c r="I378" s="3">
        <v>149</v>
      </c>
      <c r="J378" s="3" t="s">
        <v>58</v>
      </c>
      <c r="K378" s="37" t="s">
        <v>59</v>
      </c>
      <c r="L378" s="33" t="s">
        <v>63</v>
      </c>
      <c r="M378" s="16" t="s">
        <v>60</v>
      </c>
      <c r="N378" s="33">
        <v>44219</v>
      </c>
      <c r="O378" s="33"/>
      <c r="P378" s="33"/>
      <c r="Q378" s="16"/>
      <c r="R378" s="16" t="s">
        <v>62</v>
      </c>
      <c r="S378" s="16"/>
      <c r="T378" s="16" t="s">
        <v>62</v>
      </c>
      <c r="U378" s="16"/>
      <c r="V378" s="16"/>
      <c r="W378" s="16"/>
      <c r="X378" s="16"/>
      <c r="Y378" s="16"/>
      <c r="Z378" s="16"/>
      <c r="AA378" s="16"/>
      <c r="AB378" s="24"/>
      <c r="AC378" s="24"/>
      <c r="AD378" s="16"/>
    </row>
    <row r="379" spans="1:31" ht="22.8" x14ac:dyDescent="0.25">
      <c r="A379" s="28"/>
      <c r="B379" s="20">
        <v>30603</v>
      </c>
      <c r="C379" s="27" t="s">
        <v>64</v>
      </c>
      <c r="D379" s="3" t="s">
        <v>225</v>
      </c>
      <c r="E379" s="20" t="s">
        <v>203</v>
      </c>
      <c r="F379" s="29" t="s">
        <v>204</v>
      </c>
      <c r="G379" s="29" t="s">
        <v>12</v>
      </c>
      <c r="H379" s="19">
        <v>43064</v>
      </c>
      <c r="I379" s="3">
        <v>150</v>
      </c>
      <c r="J379" s="3" t="s">
        <v>58</v>
      </c>
      <c r="K379" s="37" t="s">
        <v>59</v>
      </c>
      <c r="L379" s="33" t="s">
        <v>63</v>
      </c>
      <c r="M379" s="16" t="s">
        <v>60</v>
      </c>
      <c r="N379" s="33" t="s">
        <v>63</v>
      </c>
      <c r="O379" s="33"/>
      <c r="P379" s="33"/>
      <c r="Q379" s="16"/>
      <c r="R379" s="16" t="s">
        <v>68</v>
      </c>
      <c r="S379" s="16"/>
      <c r="T379" s="16" t="s">
        <v>68</v>
      </c>
      <c r="U379" s="16"/>
      <c r="V379" s="16"/>
      <c r="W379" s="16"/>
      <c r="X379" s="16"/>
      <c r="Y379" s="16"/>
      <c r="Z379" s="16"/>
      <c r="AA379" s="16"/>
      <c r="AB379" s="24"/>
      <c r="AC379" s="24"/>
      <c r="AD379" s="16"/>
    </row>
    <row r="380" spans="1:31" ht="22.8" x14ac:dyDescent="0.25">
      <c r="A380" s="28"/>
      <c r="B380" s="20">
        <v>30603</v>
      </c>
      <c r="C380" s="27" t="s">
        <v>54</v>
      </c>
      <c r="D380" s="3" t="s">
        <v>226</v>
      </c>
      <c r="E380" s="20" t="s">
        <v>203</v>
      </c>
      <c r="F380" s="29" t="s">
        <v>204</v>
      </c>
      <c r="G380" s="29" t="s">
        <v>12</v>
      </c>
      <c r="H380" s="19">
        <v>43064</v>
      </c>
      <c r="I380" s="3">
        <v>151</v>
      </c>
      <c r="J380" s="3" t="s">
        <v>58</v>
      </c>
      <c r="K380" s="37" t="s">
        <v>59</v>
      </c>
      <c r="L380" s="33" t="s">
        <v>63</v>
      </c>
      <c r="M380" s="16" t="s">
        <v>60</v>
      </c>
      <c r="N380" s="33" t="s">
        <v>63</v>
      </c>
      <c r="O380" s="33"/>
      <c r="P380" s="33"/>
      <c r="Q380" s="16"/>
      <c r="R380" s="16" t="s">
        <v>62</v>
      </c>
      <c r="S380" s="16"/>
      <c r="T380" s="16" t="s">
        <v>62</v>
      </c>
      <c r="U380" s="16"/>
      <c r="V380" s="16"/>
      <c r="W380" s="16"/>
      <c r="X380" s="16"/>
      <c r="Y380" s="16"/>
      <c r="Z380" s="16"/>
      <c r="AA380" s="16"/>
      <c r="AB380" s="24"/>
      <c r="AC380" s="24"/>
      <c r="AD380" s="16"/>
    </row>
    <row r="381" spans="1:31" ht="22.8" x14ac:dyDescent="0.25">
      <c r="A381" s="28"/>
      <c r="B381" s="20">
        <v>30605</v>
      </c>
      <c r="C381" s="27" t="s">
        <v>64</v>
      </c>
      <c r="D381" s="3" t="s">
        <v>227</v>
      </c>
      <c r="E381" s="20" t="s">
        <v>203</v>
      </c>
      <c r="F381" s="29" t="s">
        <v>204</v>
      </c>
      <c r="G381" s="29" t="s">
        <v>12</v>
      </c>
      <c r="H381" s="19">
        <v>43060</v>
      </c>
      <c r="I381" s="3">
        <v>120</v>
      </c>
      <c r="J381" s="3" t="s">
        <v>58</v>
      </c>
      <c r="K381" s="37" t="s">
        <v>59</v>
      </c>
      <c r="L381" s="33" t="s">
        <v>63</v>
      </c>
      <c r="M381" s="16" t="s">
        <v>60</v>
      </c>
      <c r="N381" s="33">
        <v>44270</v>
      </c>
      <c r="O381" s="33"/>
      <c r="P381" s="33"/>
      <c r="Q381" s="16"/>
      <c r="R381" s="16" t="s">
        <v>68</v>
      </c>
      <c r="S381" s="16"/>
      <c r="T381" s="16" t="s">
        <v>68</v>
      </c>
      <c r="U381" s="16"/>
      <c r="V381" s="16"/>
      <c r="W381" s="16"/>
      <c r="X381" s="16"/>
      <c r="Y381" s="16"/>
      <c r="Z381" s="16"/>
      <c r="AA381" s="16"/>
      <c r="AB381" s="24"/>
      <c r="AC381" s="24"/>
      <c r="AD381" s="16"/>
    </row>
    <row r="382" spans="1:31" ht="22.8" x14ac:dyDescent="0.25">
      <c r="A382" s="28"/>
      <c r="B382" s="20">
        <v>30605</v>
      </c>
      <c r="C382" s="27" t="s">
        <v>54</v>
      </c>
      <c r="D382" s="3" t="s">
        <v>229</v>
      </c>
      <c r="E382" s="20" t="s">
        <v>203</v>
      </c>
      <c r="F382" s="29" t="s">
        <v>204</v>
      </c>
      <c r="G382" s="29" t="s">
        <v>12</v>
      </c>
      <c r="H382" s="19">
        <v>43060</v>
      </c>
      <c r="I382" s="3">
        <v>121</v>
      </c>
      <c r="J382" s="3" t="s">
        <v>58</v>
      </c>
      <c r="K382" s="37" t="s">
        <v>59</v>
      </c>
      <c r="L382" s="33" t="s">
        <v>63</v>
      </c>
      <c r="M382" s="16" t="s">
        <v>60</v>
      </c>
      <c r="N382" s="33">
        <v>44559</v>
      </c>
      <c r="O382" s="33"/>
      <c r="P382" s="33"/>
      <c r="Q382" s="16"/>
      <c r="R382" s="16" t="s">
        <v>62</v>
      </c>
      <c r="S382" s="16"/>
      <c r="T382" s="16" t="s">
        <v>62</v>
      </c>
      <c r="U382" s="16"/>
      <c r="V382" s="16"/>
      <c r="W382" s="16"/>
      <c r="X382" s="16"/>
      <c r="Y382" s="16"/>
      <c r="Z382" s="16"/>
      <c r="AA382" s="16"/>
      <c r="AB382" s="24"/>
      <c r="AC382" s="24"/>
      <c r="AD382" s="16"/>
    </row>
    <row r="383" spans="1:31" ht="22.8" x14ac:dyDescent="0.25">
      <c r="A383" s="28"/>
      <c r="B383" s="20">
        <v>30610</v>
      </c>
      <c r="C383" s="27" t="s">
        <v>64</v>
      </c>
      <c r="D383" s="3" t="s">
        <v>230</v>
      </c>
      <c r="E383" s="20" t="s">
        <v>203</v>
      </c>
      <c r="F383" s="29" t="s">
        <v>204</v>
      </c>
      <c r="G383" s="29" t="s">
        <v>12</v>
      </c>
      <c r="H383" s="19">
        <v>43082</v>
      </c>
      <c r="I383" s="3">
        <v>129</v>
      </c>
      <c r="J383" s="3" t="s">
        <v>58</v>
      </c>
      <c r="K383" s="37" t="s">
        <v>59</v>
      </c>
      <c r="L383" s="33" t="s">
        <v>63</v>
      </c>
      <c r="M383" s="16" t="s">
        <v>60</v>
      </c>
      <c r="N383" s="33" t="s">
        <v>63</v>
      </c>
      <c r="O383" s="33"/>
      <c r="P383" s="33"/>
      <c r="Q383" s="16"/>
      <c r="R383" s="16" t="s">
        <v>68</v>
      </c>
      <c r="S383" s="16"/>
      <c r="T383" s="16" t="s">
        <v>68</v>
      </c>
      <c r="U383" s="16"/>
      <c r="V383" s="16"/>
      <c r="W383" s="16"/>
      <c r="X383" s="16"/>
      <c r="Y383" s="16"/>
      <c r="Z383" s="16"/>
      <c r="AA383" s="16"/>
      <c r="AB383" s="24"/>
      <c r="AC383" s="24"/>
      <c r="AD383" s="16"/>
    </row>
    <row r="384" spans="1:31" ht="22.8" x14ac:dyDescent="0.25">
      <c r="A384" s="28"/>
      <c r="B384" s="20">
        <v>30610</v>
      </c>
      <c r="C384" s="27" t="s">
        <v>54</v>
      </c>
      <c r="D384" s="20" t="s">
        <v>232</v>
      </c>
      <c r="E384" s="20" t="s">
        <v>203</v>
      </c>
      <c r="F384" s="29" t="s">
        <v>204</v>
      </c>
      <c r="G384" s="29" t="s">
        <v>12</v>
      </c>
      <c r="H384" s="19">
        <v>43082</v>
      </c>
      <c r="I384" s="3">
        <v>156</v>
      </c>
      <c r="J384" s="3" t="s">
        <v>58</v>
      </c>
      <c r="K384" s="37" t="s">
        <v>59</v>
      </c>
      <c r="L384" s="33" t="s">
        <v>63</v>
      </c>
      <c r="M384" s="16" t="s">
        <v>60</v>
      </c>
      <c r="N384" s="21" t="s">
        <v>63</v>
      </c>
      <c r="O384" s="47"/>
      <c r="P384" s="47"/>
      <c r="Q384" s="42"/>
      <c r="R384" s="42" t="s">
        <v>62</v>
      </c>
      <c r="S384" s="42"/>
      <c r="T384" s="42"/>
      <c r="U384" s="42"/>
      <c r="V384" s="42"/>
      <c r="W384" s="42"/>
      <c r="X384" s="42"/>
      <c r="Y384" s="42"/>
      <c r="Z384" s="42"/>
      <c r="AA384" s="42"/>
      <c r="AB384" s="24"/>
      <c r="AC384" s="24"/>
      <c r="AD384" s="42"/>
      <c r="AE384" s="90"/>
    </row>
    <row r="385" spans="1:31" ht="22.8" x14ac:dyDescent="0.25">
      <c r="A385" s="28"/>
      <c r="B385" s="20">
        <v>30611</v>
      </c>
      <c r="C385" s="27" t="s">
        <v>64</v>
      </c>
      <c r="D385" s="20" t="s">
        <v>233</v>
      </c>
      <c r="E385" s="20" t="s">
        <v>203</v>
      </c>
      <c r="F385" s="29" t="s">
        <v>204</v>
      </c>
      <c r="G385" s="29" t="s">
        <v>12</v>
      </c>
      <c r="H385" s="19">
        <v>43068</v>
      </c>
      <c r="I385" s="3">
        <v>159</v>
      </c>
      <c r="J385" s="3" t="s">
        <v>58</v>
      </c>
      <c r="K385" s="37" t="s">
        <v>59</v>
      </c>
      <c r="L385" s="33" t="s">
        <v>63</v>
      </c>
      <c r="M385" s="16" t="s">
        <v>60</v>
      </c>
      <c r="N385" s="33">
        <v>44183</v>
      </c>
      <c r="O385" s="33"/>
      <c r="P385" s="33"/>
      <c r="Q385" s="16"/>
      <c r="R385" s="16" t="s">
        <v>68</v>
      </c>
      <c r="S385" s="16"/>
      <c r="T385" s="16" t="s">
        <v>68</v>
      </c>
      <c r="U385" s="16"/>
      <c r="V385" s="16"/>
      <c r="W385" s="16"/>
      <c r="X385" s="16"/>
      <c r="Y385" s="16"/>
      <c r="Z385" s="16"/>
      <c r="AA385" s="16"/>
      <c r="AB385" s="24"/>
      <c r="AC385" s="24"/>
      <c r="AD385" s="16"/>
    </row>
    <row r="386" spans="1:31" ht="22.8" x14ac:dyDescent="0.25">
      <c r="A386" s="28"/>
      <c r="B386" s="20">
        <v>30611</v>
      </c>
      <c r="C386" s="27" t="s">
        <v>54</v>
      </c>
      <c r="D386" s="20" t="s">
        <v>235</v>
      </c>
      <c r="E386" s="20" t="s">
        <v>203</v>
      </c>
      <c r="F386" s="29" t="s">
        <v>204</v>
      </c>
      <c r="G386" s="29" t="s">
        <v>12</v>
      </c>
      <c r="H386" s="19">
        <v>43068</v>
      </c>
      <c r="I386" s="3">
        <v>136</v>
      </c>
      <c r="J386" s="3" t="s">
        <v>58</v>
      </c>
      <c r="K386" s="37" t="s">
        <v>59</v>
      </c>
      <c r="L386" s="33" t="s">
        <v>63</v>
      </c>
      <c r="M386" s="16" t="s">
        <v>60</v>
      </c>
      <c r="N386" s="33">
        <v>44183</v>
      </c>
      <c r="O386" s="33"/>
      <c r="P386" s="33"/>
      <c r="Q386" s="16"/>
      <c r="R386" s="16" t="s">
        <v>62</v>
      </c>
      <c r="S386" s="16"/>
      <c r="T386" s="16" t="s">
        <v>62</v>
      </c>
      <c r="U386" s="16"/>
      <c r="V386" s="16"/>
      <c r="W386" s="16"/>
      <c r="X386" s="16"/>
      <c r="Y386" s="16"/>
      <c r="Z386" s="16"/>
      <c r="AA386" s="16"/>
      <c r="AB386" s="24"/>
      <c r="AC386" s="24"/>
      <c r="AD386" s="16"/>
    </row>
    <row r="387" spans="1:31" ht="22.8" x14ac:dyDescent="0.25">
      <c r="A387" s="28"/>
      <c r="B387" s="20">
        <v>30612</v>
      </c>
      <c r="C387" s="27" t="s">
        <v>64</v>
      </c>
      <c r="D387" s="20" t="s">
        <v>236</v>
      </c>
      <c r="E387" s="20" t="s">
        <v>203</v>
      </c>
      <c r="F387" s="29" t="s">
        <v>204</v>
      </c>
      <c r="G387" s="29" t="s">
        <v>12</v>
      </c>
      <c r="H387" s="19">
        <v>43100</v>
      </c>
      <c r="I387" s="3">
        <v>118</v>
      </c>
      <c r="J387" s="3" t="s">
        <v>58</v>
      </c>
      <c r="K387" s="37" t="s">
        <v>59</v>
      </c>
      <c r="L387" s="33" t="s">
        <v>63</v>
      </c>
      <c r="M387" s="16" t="s">
        <v>60</v>
      </c>
      <c r="N387" s="33">
        <v>44176</v>
      </c>
      <c r="O387" s="33"/>
      <c r="P387" s="33"/>
      <c r="Q387" s="16"/>
      <c r="R387" s="16" t="s">
        <v>68</v>
      </c>
      <c r="S387" s="16"/>
      <c r="T387" s="16" t="s">
        <v>68</v>
      </c>
      <c r="U387" s="16"/>
      <c r="V387" s="16"/>
      <c r="W387" s="16"/>
      <c r="X387" s="16"/>
      <c r="Y387" s="16"/>
      <c r="Z387" s="16"/>
      <c r="AA387" s="16"/>
      <c r="AB387" s="24"/>
      <c r="AC387" s="24"/>
      <c r="AD387" s="16"/>
    </row>
    <row r="388" spans="1:31" ht="22.8" x14ac:dyDescent="0.25">
      <c r="A388" s="28"/>
      <c r="B388" s="20">
        <v>30612</v>
      </c>
      <c r="C388" s="27" t="s">
        <v>54</v>
      </c>
      <c r="D388" s="20" t="s">
        <v>239</v>
      </c>
      <c r="E388" s="20" t="s">
        <v>203</v>
      </c>
      <c r="F388" s="29" t="s">
        <v>204</v>
      </c>
      <c r="G388" s="29" t="s">
        <v>12</v>
      </c>
      <c r="H388" s="19">
        <v>43100</v>
      </c>
      <c r="I388" s="3">
        <v>108</v>
      </c>
      <c r="J388" s="3" t="s">
        <v>58</v>
      </c>
      <c r="K388" s="37" t="s">
        <v>59</v>
      </c>
      <c r="L388" s="33" t="s">
        <v>63</v>
      </c>
      <c r="M388" s="16" t="s">
        <v>60</v>
      </c>
      <c r="N388" s="21" t="s">
        <v>63</v>
      </c>
      <c r="O388" s="33"/>
      <c r="P388" s="33"/>
      <c r="Q388" s="16"/>
      <c r="R388" s="42" t="s">
        <v>62</v>
      </c>
      <c r="S388" s="16"/>
      <c r="T388" s="16"/>
      <c r="U388" s="16"/>
      <c r="V388" s="16"/>
      <c r="W388" s="16"/>
      <c r="X388" s="16"/>
      <c r="Y388" s="16"/>
      <c r="Z388" s="16"/>
      <c r="AA388" s="16"/>
      <c r="AB388" s="24"/>
      <c r="AC388" s="24"/>
      <c r="AD388" s="16"/>
    </row>
    <row r="389" spans="1:31" ht="22.8" x14ac:dyDescent="0.25">
      <c r="A389" s="28"/>
      <c r="B389" s="20">
        <v>30613</v>
      </c>
      <c r="C389" s="27" t="s">
        <v>64</v>
      </c>
      <c r="D389" s="3" t="s">
        <v>240</v>
      </c>
      <c r="E389" s="20" t="s">
        <v>203</v>
      </c>
      <c r="F389" s="29" t="s">
        <v>204</v>
      </c>
      <c r="G389" s="29" t="s">
        <v>12</v>
      </c>
      <c r="H389" s="19">
        <v>43130</v>
      </c>
      <c r="I389" s="3">
        <v>164</v>
      </c>
      <c r="J389" s="3" t="s">
        <v>58</v>
      </c>
      <c r="K389" s="37" t="s">
        <v>59</v>
      </c>
      <c r="L389" s="33" t="s">
        <v>63</v>
      </c>
      <c r="M389" s="16" t="s">
        <v>60</v>
      </c>
      <c r="N389" s="33">
        <v>44180</v>
      </c>
      <c r="O389" s="33"/>
      <c r="P389" s="33"/>
      <c r="Q389" s="16"/>
      <c r="R389" s="16" t="s">
        <v>68</v>
      </c>
      <c r="S389" s="16"/>
      <c r="T389" s="16" t="s">
        <v>68</v>
      </c>
      <c r="U389" s="16"/>
      <c r="V389" s="16"/>
      <c r="W389" s="16"/>
      <c r="X389" s="16"/>
      <c r="Y389" s="16"/>
      <c r="Z389" s="16"/>
      <c r="AA389" s="16"/>
      <c r="AB389" s="24"/>
      <c r="AC389" s="24"/>
      <c r="AD389" s="16"/>
    </row>
    <row r="390" spans="1:31" ht="22.8" x14ac:dyDescent="0.25">
      <c r="A390" s="28"/>
      <c r="B390" s="20">
        <v>30613</v>
      </c>
      <c r="C390" s="27" t="s">
        <v>54</v>
      </c>
      <c r="D390" s="12" t="s">
        <v>244</v>
      </c>
      <c r="E390" s="20" t="s">
        <v>203</v>
      </c>
      <c r="F390" s="29" t="s">
        <v>204</v>
      </c>
      <c r="G390" s="29" t="s">
        <v>12</v>
      </c>
      <c r="H390" s="19">
        <v>43130</v>
      </c>
      <c r="I390" s="3">
        <v>165</v>
      </c>
      <c r="J390" s="3" t="s">
        <v>58</v>
      </c>
      <c r="K390" s="37" t="s">
        <v>59</v>
      </c>
      <c r="L390" s="40">
        <v>44451</v>
      </c>
      <c r="M390" s="16" t="s">
        <v>60</v>
      </c>
      <c r="N390" s="40">
        <v>44451</v>
      </c>
      <c r="O390" s="33">
        <v>44086</v>
      </c>
      <c r="P390" s="33"/>
      <c r="Q390" s="42"/>
      <c r="R390" s="42" t="s">
        <v>62</v>
      </c>
      <c r="S390" s="42"/>
      <c r="T390" s="42" t="s">
        <v>62</v>
      </c>
      <c r="U390" s="42"/>
      <c r="V390" s="42"/>
      <c r="W390" s="42" t="s">
        <v>62</v>
      </c>
      <c r="X390" s="42"/>
      <c r="Y390" s="42"/>
      <c r="Z390" s="42"/>
      <c r="AA390" s="42"/>
      <c r="AB390" s="24"/>
      <c r="AC390" s="24"/>
      <c r="AD390" s="42"/>
      <c r="AE390" s="90"/>
    </row>
    <row r="391" spans="1:31" ht="22.8" x14ac:dyDescent="0.25">
      <c r="A391" s="28"/>
      <c r="B391" s="20">
        <v>30617</v>
      </c>
      <c r="C391" s="27" t="s">
        <v>64</v>
      </c>
      <c r="D391" s="3" t="s">
        <v>245</v>
      </c>
      <c r="E391" s="20" t="s">
        <v>203</v>
      </c>
      <c r="F391" s="29" t="s">
        <v>204</v>
      </c>
      <c r="G391" s="29" t="s">
        <v>12</v>
      </c>
      <c r="H391" s="19">
        <v>43102</v>
      </c>
      <c r="I391" s="3">
        <v>143</v>
      </c>
      <c r="J391" s="3" t="s">
        <v>58</v>
      </c>
      <c r="K391" s="37" t="s">
        <v>59</v>
      </c>
      <c r="L391" s="33" t="s">
        <v>63</v>
      </c>
      <c r="M391" s="16" t="s">
        <v>60</v>
      </c>
      <c r="N391" s="33">
        <v>44177</v>
      </c>
      <c r="O391" s="33"/>
      <c r="P391" s="33"/>
      <c r="Q391" s="16"/>
      <c r="R391" s="16" t="s">
        <v>68</v>
      </c>
      <c r="S391" s="16"/>
      <c r="T391" s="16" t="s">
        <v>68</v>
      </c>
      <c r="U391" s="16"/>
      <c r="V391" s="16"/>
      <c r="W391" s="16"/>
      <c r="X391" s="16"/>
      <c r="Y391" s="16"/>
      <c r="Z391" s="16"/>
      <c r="AA391" s="16"/>
      <c r="AB391" s="24"/>
      <c r="AC391" s="24"/>
      <c r="AD391" s="16"/>
    </row>
    <row r="392" spans="1:31" ht="22.8" x14ac:dyDescent="0.25">
      <c r="A392" s="28"/>
      <c r="B392" s="20">
        <v>30617</v>
      </c>
      <c r="C392" s="27" t="s">
        <v>54</v>
      </c>
      <c r="D392" s="3" t="s">
        <v>246</v>
      </c>
      <c r="E392" s="20" t="s">
        <v>203</v>
      </c>
      <c r="F392" s="29" t="s">
        <v>204</v>
      </c>
      <c r="G392" s="29" t="s">
        <v>12</v>
      </c>
      <c r="H392" s="19">
        <v>43102</v>
      </c>
      <c r="I392" s="3">
        <v>142</v>
      </c>
      <c r="J392" s="3" t="s">
        <v>58</v>
      </c>
      <c r="K392" s="37" t="s">
        <v>59</v>
      </c>
      <c r="L392" s="33" t="s">
        <v>63</v>
      </c>
      <c r="M392" s="16" t="s">
        <v>60</v>
      </c>
      <c r="N392" s="33">
        <v>44177</v>
      </c>
      <c r="O392" s="33"/>
      <c r="P392" s="33"/>
      <c r="Q392" s="16"/>
      <c r="R392" s="16" t="s">
        <v>62</v>
      </c>
      <c r="S392" s="16"/>
      <c r="T392" s="16" t="s">
        <v>62</v>
      </c>
      <c r="U392" s="16"/>
      <c r="V392" s="16"/>
      <c r="W392" s="16"/>
      <c r="X392" s="16"/>
      <c r="Y392" s="16"/>
      <c r="Z392" s="16"/>
      <c r="AA392" s="16"/>
      <c r="AB392" s="24"/>
      <c r="AC392" s="24"/>
      <c r="AD392" s="16"/>
    </row>
    <row r="393" spans="1:31" ht="22.8" x14ac:dyDescent="0.25">
      <c r="A393" s="28"/>
      <c r="B393" s="20">
        <v>30618</v>
      </c>
      <c r="C393" s="27" t="s">
        <v>64</v>
      </c>
      <c r="D393" s="3" t="s">
        <v>247</v>
      </c>
      <c r="E393" s="20" t="s">
        <v>203</v>
      </c>
      <c r="F393" s="29" t="s">
        <v>204</v>
      </c>
      <c r="G393" s="29" t="s">
        <v>12</v>
      </c>
      <c r="H393" s="19">
        <v>43099</v>
      </c>
      <c r="I393" s="3">
        <v>119</v>
      </c>
      <c r="J393" s="3" t="s">
        <v>58</v>
      </c>
      <c r="K393" s="37" t="s">
        <v>59</v>
      </c>
      <c r="L393" s="33" t="s">
        <v>63</v>
      </c>
      <c r="M393" s="16"/>
      <c r="N393" s="33"/>
      <c r="O393" s="33"/>
      <c r="P393" s="33"/>
      <c r="Q393" s="16"/>
      <c r="R393" s="16" t="s">
        <v>68</v>
      </c>
      <c r="S393" s="16"/>
      <c r="T393" s="16" t="s">
        <v>68</v>
      </c>
      <c r="U393" s="16"/>
      <c r="V393" s="16"/>
      <c r="W393" s="16"/>
      <c r="X393" s="16"/>
      <c r="Y393" s="16"/>
      <c r="Z393" s="16"/>
      <c r="AA393" s="16"/>
      <c r="AB393" s="24"/>
      <c r="AC393" s="24"/>
      <c r="AD393" s="16"/>
    </row>
    <row r="394" spans="1:31" ht="22.8" x14ac:dyDescent="0.25">
      <c r="A394" s="28"/>
      <c r="B394" s="20">
        <v>30618</v>
      </c>
      <c r="C394" s="27" t="s">
        <v>54</v>
      </c>
      <c r="D394" s="3" t="s">
        <v>248</v>
      </c>
      <c r="E394" s="20" t="s">
        <v>203</v>
      </c>
      <c r="F394" s="29" t="s">
        <v>204</v>
      </c>
      <c r="G394" s="29" t="s">
        <v>12</v>
      </c>
      <c r="H394" s="19">
        <v>43099</v>
      </c>
      <c r="I394" s="3">
        <v>109</v>
      </c>
      <c r="J394" s="3" t="s">
        <v>58</v>
      </c>
      <c r="K394" s="37" t="s">
        <v>59</v>
      </c>
      <c r="L394" s="33" t="s">
        <v>63</v>
      </c>
      <c r="M394" s="16"/>
      <c r="N394" s="33"/>
      <c r="O394" s="33"/>
      <c r="P394" s="33"/>
      <c r="Q394" s="16"/>
      <c r="R394" s="16" t="s">
        <v>62</v>
      </c>
      <c r="S394" s="16"/>
      <c r="T394" s="16" t="s">
        <v>62</v>
      </c>
      <c r="U394" s="16"/>
      <c r="V394" s="16"/>
      <c r="W394" s="16"/>
      <c r="X394" s="16"/>
      <c r="Y394" s="16"/>
      <c r="Z394" s="16"/>
      <c r="AA394" s="16"/>
      <c r="AB394" s="24"/>
      <c r="AC394" s="24"/>
      <c r="AD394" s="16"/>
    </row>
    <row r="395" spans="1:31" ht="22.8" x14ac:dyDescent="0.25">
      <c r="A395" s="28"/>
      <c r="B395" s="20">
        <v>37062</v>
      </c>
      <c r="C395" s="27" t="s">
        <v>64</v>
      </c>
      <c r="D395" s="3" t="s">
        <v>249</v>
      </c>
      <c r="E395" s="20" t="s">
        <v>203</v>
      </c>
      <c r="F395" s="29" t="s">
        <v>204</v>
      </c>
      <c r="G395" s="29" t="s">
        <v>12</v>
      </c>
      <c r="H395" s="19">
        <v>43456</v>
      </c>
      <c r="I395" s="3">
        <v>180</v>
      </c>
      <c r="J395" s="3" t="s">
        <v>58</v>
      </c>
      <c r="K395" s="37" t="s">
        <v>59</v>
      </c>
      <c r="L395" s="33" t="s">
        <v>63</v>
      </c>
      <c r="M395" s="16" t="s">
        <v>60</v>
      </c>
      <c r="N395" s="33">
        <v>44193</v>
      </c>
      <c r="O395" s="33"/>
      <c r="P395" s="33"/>
      <c r="Q395" s="16"/>
      <c r="R395" s="16" t="s">
        <v>68</v>
      </c>
      <c r="S395" s="16"/>
      <c r="T395" s="16" t="s">
        <v>68</v>
      </c>
      <c r="U395" s="16"/>
      <c r="V395" s="16"/>
      <c r="W395" s="16"/>
      <c r="X395" s="16"/>
      <c r="Y395" s="16"/>
      <c r="Z395" s="16"/>
      <c r="AA395" s="16"/>
      <c r="AB395" s="24"/>
      <c r="AC395" s="24"/>
      <c r="AD395" s="16"/>
    </row>
    <row r="396" spans="1:31" ht="22.8" x14ac:dyDescent="0.25">
      <c r="A396" s="28"/>
      <c r="B396" s="20">
        <v>37062</v>
      </c>
      <c r="C396" s="27" t="s">
        <v>54</v>
      </c>
      <c r="D396" s="3" t="s">
        <v>251</v>
      </c>
      <c r="E396" s="20" t="s">
        <v>203</v>
      </c>
      <c r="F396" s="29" t="s">
        <v>204</v>
      </c>
      <c r="G396" s="29" t="s">
        <v>12</v>
      </c>
      <c r="H396" s="19">
        <v>43456</v>
      </c>
      <c r="I396" s="3">
        <v>196</v>
      </c>
      <c r="J396" s="3" t="s">
        <v>58</v>
      </c>
      <c r="K396" s="37" t="s">
        <v>59</v>
      </c>
      <c r="L396" s="33" t="s">
        <v>63</v>
      </c>
      <c r="M396" s="16" t="s">
        <v>60</v>
      </c>
      <c r="N396" s="33">
        <v>44193</v>
      </c>
      <c r="O396" s="33"/>
      <c r="P396" s="33"/>
      <c r="Q396" s="16"/>
      <c r="R396" s="16" t="s">
        <v>62</v>
      </c>
      <c r="S396" s="16"/>
      <c r="T396" s="16" t="s">
        <v>62</v>
      </c>
      <c r="U396" s="16"/>
      <c r="V396" s="16"/>
      <c r="W396" s="16"/>
      <c r="X396" s="16"/>
      <c r="Y396" s="16"/>
      <c r="Z396" s="16"/>
      <c r="AA396" s="16"/>
      <c r="AB396" s="24"/>
      <c r="AC396" s="24"/>
      <c r="AD396" s="16"/>
    </row>
    <row r="397" spans="1:31" ht="22.8" x14ac:dyDescent="0.25">
      <c r="A397" s="28"/>
      <c r="B397" s="20">
        <v>37085</v>
      </c>
      <c r="C397" s="27" t="s">
        <v>64</v>
      </c>
      <c r="D397" s="3" t="s">
        <v>252</v>
      </c>
      <c r="E397" s="20" t="s">
        <v>203</v>
      </c>
      <c r="F397" s="29" t="s">
        <v>204</v>
      </c>
      <c r="G397" s="29" t="s">
        <v>12</v>
      </c>
      <c r="H397" s="19">
        <v>43507</v>
      </c>
      <c r="I397" s="3">
        <v>258</v>
      </c>
      <c r="J397" s="3" t="s">
        <v>58</v>
      </c>
      <c r="K397" s="37" t="s">
        <v>59</v>
      </c>
      <c r="L397" s="33" t="s">
        <v>63</v>
      </c>
      <c r="M397" s="16" t="s">
        <v>60</v>
      </c>
      <c r="N397" s="33">
        <v>44191</v>
      </c>
      <c r="O397" s="33"/>
      <c r="P397" s="33"/>
      <c r="Q397" s="16"/>
      <c r="R397" s="16" t="s">
        <v>68</v>
      </c>
      <c r="S397" s="16"/>
      <c r="T397" s="16" t="s">
        <v>68</v>
      </c>
      <c r="U397" s="16"/>
      <c r="V397" s="16"/>
      <c r="W397" s="16"/>
      <c r="X397" s="16"/>
      <c r="Y397" s="16"/>
      <c r="Z397" s="16"/>
      <c r="AA397" s="16"/>
      <c r="AB397" s="24"/>
      <c r="AC397" s="24"/>
      <c r="AD397" s="16"/>
    </row>
    <row r="398" spans="1:31" ht="22.8" x14ac:dyDescent="0.25">
      <c r="A398" s="28"/>
      <c r="B398" s="20">
        <v>37085</v>
      </c>
      <c r="C398" s="27" t="s">
        <v>54</v>
      </c>
      <c r="D398" s="3" t="s">
        <v>256</v>
      </c>
      <c r="E398" s="20" t="s">
        <v>203</v>
      </c>
      <c r="F398" s="29" t="s">
        <v>204</v>
      </c>
      <c r="G398" s="29" t="s">
        <v>12</v>
      </c>
      <c r="H398" s="19">
        <v>43507</v>
      </c>
      <c r="I398" s="3">
        <v>259</v>
      </c>
      <c r="J398" s="3" t="s">
        <v>58</v>
      </c>
      <c r="K398" s="37" t="s">
        <v>59</v>
      </c>
      <c r="L398" s="33" t="s">
        <v>63</v>
      </c>
      <c r="M398" s="16" t="s">
        <v>60</v>
      </c>
      <c r="N398" s="33">
        <v>44231</v>
      </c>
      <c r="O398" s="33"/>
      <c r="P398" s="33"/>
      <c r="Q398" s="16"/>
      <c r="R398" s="16" t="s">
        <v>62</v>
      </c>
      <c r="S398" s="16"/>
      <c r="T398" s="16" t="s">
        <v>62</v>
      </c>
      <c r="U398" s="16"/>
      <c r="V398" s="16"/>
      <c r="W398" s="16"/>
      <c r="X398" s="16"/>
      <c r="Y398" s="16"/>
      <c r="Z398" s="16"/>
      <c r="AA398" s="16"/>
      <c r="AB398" s="24"/>
      <c r="AC398" s="24"/>
      <c r="AD398" s="16"/>
    </row>
    <row r="399" spans="1:31" ht="22.8" x14ac:dyDescent="0.25">
      <c r="A399" s="28"/>
      <c r="B399" s="20">
        <v>37363</v>
      </c>
      <c r="C399" s="27" t="s">
        <v>64</v>
      </c>
      <c r="D399" s="20" t="s">
        <v>257</v>
      </c>
      <c r="E399" s="20" t="s">
        <v>203</v>
      </c>
      <c r="F399" s="29" t="s">
        <v>204</v>
      </c>
      <c r="G399" s="29" t="s">
        <v>12</v>
      </c>
      <c r="H399" s="19">
        <v>43977</v>
      </c>
      <c r="I399" s="3">
        <v>742</v>
      </c>
      <c r="J399" s="3" t="s">
        <v>58</v>
      </c>
      <c r="K399" s="37" t="s">
        <v>59</v>
      </c>
      <c r="L399" s="33" t="s">
        <v>63</v>
      </c>
      <c r="M399" s="16" t="s">
        <v>60</v>
      </c>
      <c r="N399" s="33">
        <v>44215</v>
      </c>
      <c r="O399" s="33"/>
      <c r="P399" s="33"/>
      <c r="Q399" s="16" t="s">
        <v>75</v>
      </c>
      <c r="R399" s="16" t="s">
        <v>75</v>
      </c>
      <c r="S399" s="16"/>
      <c r="T399" s="16" t="s">
        <v>68</v>
      </c>
      <c r="U399" s="16"/>
      <c r="V399" s="16"/>
      <c r="W399" s="16"/>
      <c r="X399" s="16"/>
      <c r="Y399" s="16"/>
      <c r="Z399" s="16"/>
      <c r="AA399" s="16"/>
      <c r="AB399" s="24"/>
      <c r="AC399" s="24"/>
      <c r="AD399" s="16"/>
    </row>
    <row r="400" spans="1:31" ht="22.8" x14ac:dyDescent="0.25">
      <c r="A400" s="28"/>
      <c r="B400" s="20">
        <v>37363</v>
      </c>
      <c r="C400" s="27" t="s">
        <v>54</v>
      </c>
      <c r="D400" s="3" t="s">
        <v>261</v>
      </c>
      <c r="E400" s="20" t="s">
        <v>203</v>
      </c>
      <c r="F400" s="29" t="s">
        <v>204</v>
      </c>
      <c r="G400" s="29" t="s">
        <v>12</v>
      </c>
      <c r="H400" s="19">
        <v>43977</v>
      </c>
      <c r="I400" s="3">
        <v>740</v>
      </c>
      <c r="J400" s="3" t="s">
        <v>58</v>
      </c>
      <c r="K400" s="37" t="s">
        <v>59</v>
      </c>
      <c r="L400" s="33" t="s">
        <v>63</v>
      </c>
      <c r="M400" s="16" t="s">
        <v>60</v>
      </c>
      <c r="N400" s="33">
        <v>44176</v>
      </c>
      <c r="O400" s="33"/>
      <c r="P400" s="33"/>
      <c r="Q400" s="16" t="s">
        <v>75</v>
      </c>
      <c r="R400" s="16" t="s">
        <v>75</v>
      </c>
      <c r="S400" s="16"/>
      <c r="T400" s="16" t="s">
        <v>62</v>
      </c>
      <c r="U400" s="16"/>
      <c r="V400" s="16"/>
      <c r="W400" s="16"/>
      <c r="X400" s="16"/>
      <c r="Y400" s="16"/>
      <c r="Z400" s="16"/>
      <c r="AA400" s="16"/>
      <c r="AB400" s="24"/>
      <c r="AC400" s="24"/>
      <c r="AD400" s="16"/>
    </row>
    <row r="401" spans="1:31" ht="22.8" x14ac:dyDescent="0.25">
      <c r="A401" s="28"/>
      <c r="B401" s="20">
        <v>37375</v>
      </c>
      <c r="C401" s="27" t="s">
        <v>64</v>
      </c>
      <c r="D401" s="18" t="s">
        <v>262</v>
      </c>
      <c r="E401" s="20" t="s">
        <v>203</v>
      </c>
      <c r="F401" s="29" t="s">
        <v>204</v>
      </c>
      <c r="G401" s="29" t="s">
        <v>12</v>
      </c>
      <c r="H401" s="19">
        <v>44004</v>
      </c>
      <c r="I401" s="3">
        <v>711</v>
      </c>
      <c r="J401" s="3" t="s">
        <v>58</v>
      </c>
      <c r="K401" s="37" t="s">
        <v>59</v>
      </c>
      <c r="L401" s="33">
        <v>44267</v>
      </c>
      <c r="M401" s="16" t="s">
        <v>60</v>
      </c>
      <c r="N401" s="33">
        <v>44238</v>
      </c>
      <c r="O401" s="33"/>
      <c r="P401" s="33"/>
      <c r="Q401" s="16" t="s">
        <v>75</v>
      </c>
      <c r="R401" s="16" t="s">
        <v>75</v>
      </c>
      <c r="S401" s="16"/>
      <c r="T401" s="16" t="s">
        <v>62</v>
      </c>
      <c r="U401" s="16" t="s">
        <v>62</v>
      </c>
      <c r="V401" s="15"/>
      <c r="W401" s="16"/>
      <c r="X401" s="16"/>
      <c r="Y401" s="16"/>
      <c r="Z401" s="16"/>
      <c r="AA401" s="16"/>
      <c r="AB401" s="24"/>
      <c r="AC401" s="24"/>
      <c r="AD401" s="16"/>
    </row>
    <row r="402" spans="1:31" ht="22.8" x14ac:dyDescent="0.25">
      <c r="A402" s="28"/>
      <c r="B402" s="20">
        <v>37375</v>
      </c>
      <c r="C402" s="27" t="s">
        <v>54</v>
      </c>
      <c r="D402" s="12" t="s">
        <v>263</v>
      </c>
      <c r="E402" s="20" t="s">
        <v>203</v>
      </c>
      <c r="F402" s="29" t="s">
        <v>204</v>
      </c>
      <c r="G402" s="29" t="s">
        <v>12</v>
      </c>
      <c r="H402" s="19">
        <v>44004</v>
      </c>
      <c r="I402" s="3">
        <v>608</v>
      </c>
      <c r="J402" s="3" t="s">
        <v>58</v>
      </c>
      <c r="K402" s="37" t="s">
        <v>59</v>
      </c>
      <c r="L402" s="31">
        <v>44079</v>
      </c>
      <c r="M402" s="16" t="s">
        <v>60</v>
      </c>
      <c r="N402" s="33">
        <v>44189</v>
      </c>
      <c r="O402" s="48">
        <v>44075</v>
      </c>
      <c r="P402" s="48"/>
      <c r="Q402" s="16" t="s">
        <v>75</v>
      </c>
      <c r="R402" s="16" t="s">
        <v>75</v>
      </c>
      <c r="S402" s="32" t="s">
        <v>68</v>
      </c>
      <c r="T402" s="32" t="s">
        <v>68</v>
      </c>
      <c r="U402" s="32" t="s">
        <v>68</v>
      </c>
      <c r="V402" s="32"/>
      <c r="W402" s="32"/>
      <c r="X402" s="32"/>
      <c r="Y402" s="32"/>
      <c r="Z402" s="32"/>
      <c r="AA402" s="32"/>
      <c r="AB402" s="24"/>
      <c r="AC402" s="24"/>
      <c r="AD402" s="32"/>
      <c r="AE402" s="93"/>
    </row>
    <row r="403" spans="1:31" x14ac:dyDescent="0.25">
      <c r="A403" s="28"/>
      <c r="B403" s="20">
        <v>37376</v>
      </c>
      <c r="C403" s="27" t="s">
        <v>64</v>
      </c>
      <c r="D403" s="3" t="s">
        <v>264</v>
      </c>
      <c r="E403" s="20" t="s">
        <v>203</v>
      </c>
      <c r="F403" s="29" t="s">
        <v>204</v>
      </c>
      <c r="G403" s="29" t="s">
        <v>12</v>
      </c>
      <c r="H403" s="19">
        <v>44006</v>
      </c>
      <c r="I403" s="3">
        <v>716</v>
      </c>
      <c r="J403" s="3" t="s">
        <v>58</v>
      </c>
      <c r="K403" s="16"/>
      <c r="L403" s="33"/>
      <c r="M403" s="16" t="s">
        <v>60</v>
      </c>
      <c r="N403" s="33">
        <v>44217</v>
      </c>
      <c r="O403" s="33"/>
      <c r="P403" s="33"/>
      <c r="Q403" s="16" t="s">
        <v>75</v>
      </c>
      <c r="R403" s="16" t="s">
        <v>75</v>
      </c>
      <c r="S403" s="16"/>
      <c r="T403" s="16" t="s">
        <v>68</v>
      </c>
      <c r="U403" s="16" t="s">
        <v>68</v>
      </c>
      <c r="V403" s="16"/>
      <c r="W403" s="16"/>
      <c r="X403" s="16"/>
      <c r="Y403" s="16"/>
      <c r="Z403" s="16"/>
      <c r="AA403" s="16"/>
      <c r="AB403" s="24"/>
      <c r="AC403" s="24"/>
      <c r="AD403" s="16"/>
    </row>
    <row r="404" spans="1:31" x14ac:dyDescent="0.25">
      <c r="A404" s="28"/>
      <c r="B404" s="20">
        <v>37376</v>
      </c>
      <c r="C404" s="27" t="s">
        <v>54</v>
      </c>
      <c r="D404" s="20" t="s">
        <v>266</v>
      </c>
      <c r="E404" s="20" t="s">
        <v>203</v>
      </c>
      <c r="F404" s="29" t="s">
        <v>204</v>
      </c>
      <c r="G404" s="29" t="s">
        <v>12</v>
      </c>
      <c r="H404" s="19">
        <v>44006</v>
      </c>
      <c r="I404" s="3">
        <v>595</v>
      </c>
      <c r="J404" s="3" t="s">
        <v>58</v>
      </c>
      <c r="K404" s="16"/>
      <c r="L404" s="33"/>
      <c r="M404" s="16" t="s">
        <v>60</v>
      </c>
      <c r="N404" s="33">
        <v>44217</v>
      </c>
      <c r="O404" s="33"/>
      <c r="P404" s="33"/>
      <c r="Q404" s="16" t="s">
        <v>75</v>
      </c>
      <c r="R404" s="16" t="s">
        <v>75</v>
      </c>
      <c r="S404" s="16"/>
      <c r="T404" s="16"/>
      <c r="U404" s="16"/>
      <c r="V404" s="16"/>
      <c r="W404" s="16"/>
      <c r="X404" s="16"/>
      <c r="Y404" s="16"/>
      <c r="Z404" s="16"/>
      <c r="AA404" s="16"/>
      <c r="AB404" s="24"/>
      <c r="AC404" s="24"/>
      <c r="AD404" s="16"/>
    </row>
    <row r="405" spans="1:31" ht="22.8" x14ac:dyDescent="0.25">
      <c r="A405" s="28"/>
      <c r="B405" s="20">
        <v>37473</v>
      </c>
      <c r="C405" s="27" t="s">
        <v>64</v>
      </c>
      <c r="D405" s="29" t="s">
        <v>267</v>
      </c>
      <c r="E405" s="20" t="s">
        <v>203</v>
      </c>
      <c r="F405" s="29" t="s">
        <v>204</v>
      </c>
      <c r="G405" s="29" t="s">
        <v>12</v>
      </c>
      <c r="H405" s="19">
        <v>44153</v>
      </c>
      <c r="I405" s="3">
        <v>910</v>
      </c>
      <c r="J405" s="3" t="s">
        <v>58</v>
      </c>
      <c r="K405" s="37" t="s">
        <v>59</v>
      </c>
      <c r="L405" s="16" t="s">
        <v>75</v>
      </c>
      <c r="M405" s="16" t="s">
        <v>60</v>
      </c>
      <c r="N405" s="33">
        <v>44200</v>
      </c>
      <c r="O405" s="33"/>
      <c r="P405" s="33"/>
      <c r="Q405" s="16" t="s">
        <v>75</v>
      </c>
      <c r="R405" s="16" t="s">
        <v>75</v>
      </c>
      <c r="S405" s="16" t="s">
        <v>68</v>
      </c>
      <c r="T405" s="16" t="s">
        <v>68</v>
      </c>
      <c r="U405" s="16"/>
      <c r="V405" s="16"/>
      <c r="W405" s="16"/>
      <c r="X405" s="16" t="s">
        <v>75</v>
      </c>
      <c r="Y405" s="16"/>
      <c r="Z405" s="16"/>
      <c r="AA405" s="16"/>
      <c r="AB405" s="24"/>
      <c r="AC405" s="24"/>
      <c r="AD405" s="16"/>
    </row>
    <row r="406" spans="1:31" ht="22.8" x14ac:dyDescent="0.25">
      <c r="A406" s="28"/>
      <c r="B406" s="20">
        <v>37473</v>
      </c>
      <c r="C406" s="27" t="s">
        <v>54</v>
      </c>
      <c r="D406" s="29" t="s">
        <v>270</v>
      </c>
      <c r="E406" s="20" t="s">
        <v>203</v>
      </c>
      <c r="F406" s="29" t="s">
        <v>204</v>
      </c>
      <c r="G406" s="29" t="s">
        <v>12</v>
      </c>
      <c r="H406" s="19">
        <v>44153</v>
      </c>
      <c r="I406" s="3">
        <v>911</v>
      </c>
      <c r="J406" s="3" t="s">
        <v>58</v>
      </c>
      <c r="K406" s="37" t="s">
        <v>59</v>
      </c>
      <c r="L406" s="16" t="s">
        <v>75</v>
      </c>
      <c r="M406" s="16" t="s">
        <v>60</v>
      </c>
      <c r="N406" s="33">
        <v>44200</v>
      </c>
      <c r="O406" s="33"/>
      <c r="P406" s="33"/>
      <c r="Q406" s="16" t="s">
        <v>75</v>
      </c>
      <c r="R406" s="16" t="s">
        <v>75</v>
      </c>
      <c r="S406" s="16" t="s">
        <v>62</v>
      </c>
      <c r="T406" s="16" t="s">
        <v>62</v>
      </c>
      <c r="U406" s="16"/>
      <c r="V406" s="16"/>
      <c r="W406" s="16"/>
      <c r="X406" s="16" t="s">
        <v>75</v>
      </c>
      <c r="Y406" s="16"/>
      <c r="Z406" s="16"/>
      <c r="AA406" s="16"/>
      <c r="AB406" s="24"/>
      <c r="AC406" s="24"/>
      <c r="AD406" s="16"/>
    </row>
    <row r="407" spans="1:31" ht="22.8" x14ac:dyDescent="0.25">
      <c r="A407" s="28"/>
      <c r="B407" s="20">
        <v>37477</v>
      </c>
      <c r="C407" s="27" t="s">
        <v>64</v>
      </c>
      <c r="D407" s="3" t="s">
        <v>271</v>
      </c>
      <c r="E407" s="20" t="s">
        <v>203</v>
      </c>
      <c r="F407" s="29" t="s">
        <v>204</v>
      </c>
      <c r="G407" s="29" t="s">
        <v>12</v>
      </c>
      <c r="H407" s="19">
        <v>44157</v>
      </c>
      <c r="I407" s="3">
        <v>959</v>
      </c>
      <c r="J407" s="3" t="s">
        <v>58</v>
      </c>
      <c r="K407" s="37" t="s">
        <v>59</v>
      </c>
      <c r="L407" s="16" t="s">
        <v>75</v>
      </c>
      <c r="M407" s="16" t="s">
        <v>60</v>
      </c>
      <c r="N407" s="33">
        <v>44217</v>
      </c>
      <c r="O407" s="33"/>
      <c r="P407" s="33"/>
      <c r="Q407" s="16" t="s">
        <v>75</v>
      </c>
      <c r="R407" s="16" t="s">
        <v>75</v>
      </c>
      <c r="S407" s="16"/>
      <c r="T407" s="16" t="s">
        <v>68</v>
      </c>
      <c r="U407" s="16"/>
      <c r="V407" s="16"/>
      <c r="W407" s="16"/>
      <c r="X407" s="16" t="s">
        <v>75</v>
      </c>
      <c r="Y407" s="16"/>
      <c r="Z407" s="16"/>
      <c r="AA407" s="16"/>
      <c r="AB407" s="24"/>
      <c r="AC407" s="24"/>
      <c r="AD407" s="16"/>
    </row>
    <row r="408" spans="1:31" ht="22.8" x14ac:dyDescent="0.25">
      <c r="A408" s="28"/>
      <c r="B408" s="20">
        <v>37477</v>
      </c>
      <c r="C408" s="27" t="s">
        <v>54</v>
      </c>
      <c r="D408" s="3" t="s">
        <v>275</v>
      </c>
      <c r="E408" s="20" t="s">
        <v>203</v>
      </c>
      <c r="F408" s="29" t="s">
        <v>204</v>
      </c>
      <c r="G408" s="29" t="s">
        <v>12</v>
      </c>
      <c r="H408" s="19">
        <v>44157</v>
      </c>
      <c r="I408" s="3">
        <v>958</v>
      </c>
      <c r="J408" s="3" t="s">
        <v>58</v>
      </c>
      <c r="K408" s="37" t="s">
        <v>59</v>
      </c>
      <c r="L408" s="16" t="s">
        <v>75</v>
      </c>
      <c r="M408" s="16" t="s">
        <v>60</v>
      </c>
      <c r="N408" s="33">
        <v>44217</v>
      </c>
      <c r="O408" s="33"/>
      <c r="P408" s="33"/>
      <c r="Q408" s="16" t="s">
        <v>75</v>
      </c>
      <c r="R408" s="16" t="s">
        <v>75</v>
      </c>
      <c r="S408" s="16"/>
      <c r="T408" s="16" t="s">
        <v>62</v>
      </c>
      <c r="U408" s="16"/>
      <c r="V408" s="16"/>
      <c r="W408" s="16"/>
      <c r="X408" s="16" t="s">
        <v>75</v>
      </c>
      <c r="Y408" s="16"/>
      <c r="Z408" s="16"/>
      <c r="AA408" s="16"/>
      <c r="AB408" s="24"/>
      <c r="AC408" s="24"/>
      <c r="AD408" s="16"/>
    </row>
    <row r="409" spans="1:31" ht="22.8" x14ac:dyDescent="0.25">
      <c r="A409" s="28"/>
      <c r="B409" s="20">
        <v>37538</v>
      </c>
      <c r="C409" s="27" t="s">
        <v>64</v>
      </c>
      <c r="D409" s="20" t="s">
        <v>276</v>
      </c>
      <c r="E409" s="20" t="s">
        <v>203</v>
      </c>
      <c r="F409" s="29" t="s">
        <v>204</v>
      </c>
      <c r="G409" s="29" t="s">
        <v>12</v>
      </c>
      <c r="H409" s="19">
        <v>44226</v>
      </c>
      <c r="I409" s="3">
        <v>928</v>
      </c>
      <c r="J409" s="3" t="s">
        <v>58</v>
      </c>
      <c r="K409" s="37" t="s">
        <v>59</v>
      </c>
      <c r="L409" s="16" t="s">
        <v>75</v>
      </c>
      <c r="M409" s="16" t="s">
        <v>60</v>
      </c>
      <c r="N409" s="33">
        <v>44300</v>
      </c>
      <c r="O409" s="33"/>
      <c r="P409" s="33"/>
      <c r="Q409" s="16" t="s">
        <v>75</v>
      </c>
      <c r="R409" s="16" t="s">
        <v>75</v>
      </c>
      <c r="S409" s="16"/>
      <c r="T409" s="16"/>
      <c r="U409" s="16"/>
      <c r="V409" s="15"/>
      <c r="W409" s="16"/>
      <c r="X409" s="16" t="s">
        <v>75</v>
      </c>
      <c r="Y409" s="16"/>
      <c r="Z409" s="16"/>
      <c r="AA409" s="16"/>
      <c r="AB409" s="24"/>
      <c r="AC409" s="24"/>
      <c r="AD409" s="16"/>
    </row>
    <row r="410" spans="1:31" ht="22.8" x14ac:dyDescent="0.25">
      <c r="A410" s="28"/>
      <c r="B410" s="20">
        <v>37538</v>
      </c>
      <c r="C410" s="27" t="s">
        <v>54</v>
      </c>
      <c r="D410" s="20" t="s">
        <v>278</v>
      </c>
      <c r="E410" s="20" t="s">
        <v>203</v>
      </c>
      <c r="F410" s="29" t="s">
        <v>204</v>
      </c>
      <c r="G410" s="29" t="s">
        <v>12</v>
      </c>
      <c r="H410" s="19">
        <v>44226</v>
      </c>
      <c r="I410" s="3">
        <v>929</v>
      </c>
      <c r="J410" s="3" t="s">
        <v>58</v>
      </c>
      <c r="K410" s="37" t="s">
        <v>59</v>
      </c>
      <c r="L410" s="16" t="s">
        <v>75</v>
      </c>
      <c r="M410" s="16" t="s">
        <v>60</v>
      </c>
      <c r="N410" s="33">
        <v>44300</v>
      </c>
      <c r="O410" s="33"/>
      <c r="P410" s="33"/>
      <c r="Q410" s="16" t="s">
        <v>75</v>
      </c>
      <c r="R410" s="16" t="s">
        <v>75</v>
      </c>
      <c r="S410" s="16"/>
      <c r="T410" s="16"/>
      <c r="U410" s="16"/>
      <c r="V410" s="15"/>
      <c r="W410" s="16"/>
      <c r="X410" s="16" t="s">
        <v>75</v>
      </c>
      <c r="Y410" s="16"/>
      <c r="Z410" s="16"/>
      <c r="AA410" s="16"/>
      <c r="AB410" s="24"/>
      <c r="AC410" s="24"/>
      <c r="AD410" s="16"/>
    </row>
    <row r="411" spans="1:31" ht="22.8" x14ac:dyDescent="0.25">
      <c r="A411" s="29"/>
      <c r="B411" s="20">
        <v>37540</v>
      </c>
      <c r="C411" s="27" t="s">
        <v>64</v>
      </c>
      <c r="D411" s="20" t="s">
        <v>279</v>
      </c>
      <c r="E411" s="20" t="s">
        <v>203</v>
      </c>
      <c r="F411" s="29" t="s">
        <v>204</v>
      </c>
      <c r="G411" s="29" t="s">
        <v>12</v>
      </c>
      <c r="H411" s="19">
        <v>44226</v>
      </c>
      <c r="I411" s="3">
        <v>918</v>
      </c>
      <c r="J411" s="3" t="s">
        <v>58</v>
      </c>
      <c r="K411" s="37" t="s">
        <v>59</v>
      </c>
      <c r="L411" s="16" t="s">
        <v>75</v>
      </c>
      <c r="M411" s="16" t="s">
        <v>60</v>
      </c>
      <c r="N411" s="33">
        <v>44301</v>
      </c>
      <c r="O411" s="24"/>
      <c r="P411" s="24"/>
      <c r="Q411" s="16" t="s">
        <v>75</v>
      </c>
      <c r="R411" s="16" t="s">
        <v>75</v>
      </c>
      <c r="S411" s="24"/>
      <c r="T411" s="24"/>
      <c r="U411" s="24"/>
      <c r="V411" s="24"/>
      <c r="W411" s="24"/>
      <c r="X411" s="16" t="s">
        <v>75</v>
      </c>
      <c r="Y411" s="24"/>
      <c r="Z411" s="24"/>
      <c r="AA411" s="24"/>
      <c r="AB411" s="24"/>
      <c r="AC411" s="24"/>
      <c r="AD411" s="24"/>
      <c r="AE411"/>
    </row>
    <row r="412" spans="1:31" ht="22.8" x14ac:dyDescent="0.25">
      <c r="A412" s="29"/>
      <c r="B412" s="20">
        <v>37540</v>
      </c>
      <c r="C412" s="27" t="s">
        <v>54</v>
      </c>
      <c r="D412" s="20" t="s">
        <v>281</v>
      </c>
      <c r="E412" s="20" t="s">
        <v>203</v>
      </c>
      <c r="F412" s="29" t="s">
        <v>204</v>
      </c>
      <c r="G412" s="29" t="s">
        <v>12</v>
      </c>
      <c r="H412" s="19">
        <v>44226</v>
      </c>
      <c r="I412" s="3">
        <v>919</v>
      </c>
      <c r="J412" s="3" t="s">
        <v>58</v>
      </c>
      <c r="K412" s="37" t="s">
        <v>59</v>
      </c>
      <c r="L412" s="16" t="s">
        <v>75</v>
      </c>
      <c r="M412" s="16" t="s">
        <v>60</v>
      </c>
      <c r="N412" s="33">
        <v>44301</v>
      </c>
      <c r="O412" s="24"/>
      <c r="P412" s="24"/>
      <c r="Q412" s="16" t="s">
        <v>75</v>
      </c>
      <c r="R412" s="16" t="s">
        <v>75</v>
      </c>
      <c r="S412" s="24"/>
      <c r="T412" s="24"/>
      <c r="U412" s="24"/>
      <c r="V412" s="24"/>
      <c r="W412" s="24"/>
      <c r="X412" s="16" t="s">
        <v>75</v>
      </c>
      <c r="Y412" s="24"/>
      <c r="Z412" s="24"/>
      <c r="AA412" s="24"/>
      <c r="AB412" s="24"/>
      <c r="AC412" s="24"/>
      <c r="AD412" s="24"/>
      <c r="AE412"/>
    </row>
    <row r="413" spans="1:31" ht="22.8" x14ac:dyDescent="0.25">
      <c r="A413" s="28"/>
      <c r="B413" s="20">
        <v>39118</v>
      </c>
      <c r="C413" s="27" t="s">
        <v>64</v>
      </c>
      <c r="D413" s="3" t="s">
        <v>282</v>
      </c>
      <c r="E413" s="20" t="s">
        <v>203</v>
      </c>
      <c r="F413" s="29" t="s">
        <v>204</v>
      </c>
      <c r="G413" s="29" t="s">
        <v>12</v>
      </c>
      <c r="H413" s="19">
        <v>43826</v>
      </c>
      <c r="I413" s="3">
        <v>677</v>
      </c>
      <c r="J413" s="3" t="s">
        <v>58</v>
      </c>
      <c r="K413" s="37" t="s">
        <v>59</v>
      </c>
      <c r="L413" s="33" t="s">
        <v>63</v>
      </c>
      <c r="M413" s="16" t="s">
        <v>60</v>
      </c>
      <c r="N413" s="33">
        <v>44230</v>
      </c>
      <c r="O413" s="33"/>
      <c r="P413" s="33"/>
      <c r="Q413" s="16" t="s">
        <v>75</v>
      </c>
      <c r="R413" s="16" t="s">
        <v>75</v>
      </c>
      <c r="S413" s="16"/>
      <c r="T413" s="16" t="s">
        <v>68</v>
      </c>
      <c r="U413" s="16"/>
      <c r="V413" s="16"/>
      <c r="W413" s="16"/>
      <c r="X413" s="16"/>
      <c r="Y413" s="16"/>
      <c r="Z413" s="16"/>
      <c r="AA413" s="16"/>
      <c r="AB413" s="24"/>
      <c r="AC413" s="24"/>
      <c r="AD413" s="16"/>
    </row>
    <row r="414" spans="1:31" ht="22.8" x14ac:dyDescent="0.25">
      <c r="A414" s="28"/>
      <c r="B414" s="20">
        <v>39118</v>
      </c>
      <c r="C414" s="27" t="s">
        <v>54</v>
      </c>
      <c r="D414" s="3" t="s">
        <v>283</v>
      </c>
      <c r="E414" s="20" t="s">
        <v>203</v>
      </c>
      <c r="F414" s="29" t="s">
        <v>204</v>
      </c>
      <c r="G414" s="29" t="s">
        <v>12</v>
      </c>
      <c r="H414" s="19">
        <v>43826</v>
      </c>
      <c r="I414" s="3">
        <v>676</v>
      </c>
      <c r="J414" s="3" t="s">
        <v>58</v>
      </c>
      <c r="K414" s="37" t="s">
        <v>59</v>
      </c>
      <c r="L414" s="33" t="s">
        <v>63</v>
      </c>
      <c r="M414" s="16" t="s">
        <v>60</v>
      </c>
      <c r="N414" s="33">
        <v>44230</v>
      </c>
      <c r="O414" s="33"/>
      <c r="P414" s="33"/>
      <c r="Q414" s="16" t="s">
        <v>75</v>
      </c>
      <c r="R414" s="16" t="s">
        <v>75</v>
      </c>
      <c r="S414" s="16"/>
      <c r="T414" s="16" t="s">
        <v>62</v>
      </c>
      <c r="U414" s="16"/>
      <c r="V414" s="16"/>
      <c r="W414" s="16"/>
      <c r="X414" s="16"/>
      <c r="Y414" s="16"/>
      <c r="Z414" s="16"/>
      <c r="AA414" s="16"/>
      <c r="AB414" s="24"/>
      <c r="AC414" s="24"/>
      <c r="AD414" s="16"/>
    </row>
    <row r="415" spans="1:31" ht="22.8" x14ac:dyDescent="0.25">
      <c r="A415" s="28"/>
      <c r="B415" s="20">
        <v>39120</v>
      </c>
      <c r="C415" s="27" t="s">
        <v>64</v>
      </c>
      <c r="D415" s="3" t="s">
        <v>284</v>
      </c>
      <c r="E415" s="20" t="s">
        <v>203</v>
      </c>
      <c r="F415" s="29" t="s">
        <v>204</v>
      </c>
      <c r="G415" s="29" t="s">
        <v>12</v>
      </c>
      <c r="H415" s="19">
        <v>43838</v>
      </c>
      <c r="I415" s="3">
        <v>663</v>
      </c>
      <c r="J415" s="3" t="s">
        <v>58</v>
      </c>
      <c r="K415" s="37" t="s">
        <v>59</v>
      </c>
      <c r="L415" s="33" t="s">
        <v>63</v>
      </c>
      <c r="M415" s="16" t="s">
        <v>60</v>
      </c>
      <c r="N415" s="33">
        <v>44263</v>
      </c>
      <c r="O415" s="33"/>
      <c r="P415" s="33"/>
      <c r="Q415" s="16" t="s">
        <v>75</v>
      </c>
      <c r="R415" s="16" t="s">
        <v>75</v>
      </c>
      <c r="S415" s="16"/>
      <c r="T415" s="16" t="s">
        <v>68</v>
      </c>
      <c r="U415" s="16"/>
      <c r="V415" s="16"/>
      <c r="W415" s="16"/>
      <c r="X415" s="16"/>
      <c r="Y415" s="16"/>
      <c r="Z415" s="16"/>
      <c r="AA415" s="16"/>
      <c r="AB415" s="24"/>
      <c r="AC415" s="24"/>
      <c r="AD415" s="16"/>
    </row>
    <row r="416" spans="1:31" ht="22.8" x14ac:dyDescent="0.25">
      <c r="A416" s="28"/>
      <c r="B416" s="20">
        <v>39120</v>
      </c>
      <c r="C416" s="27" t="s">
        <v>54</v>
      </c>
      <c r="D416" s="3" t="s">
        <v>286</v>
      </c>
      <c r="E416" s="20" t="s">
        <v>203</v>
      </c>
      <c r="F416" s="29" t="s">
        <v>204</v>
      </c>
      <c r="G416" s="29" t="s">
        <v>12</v>
      </c>
      <c r="H416" s="19">
        <v>43838</v>
      </c>
      <c r="I416" s="3">
        <v>664</v>
      </c>
      <c r="J416" s="3" t="s">
        <v>58</v>
      </c>
      <c r="K416" s="37" t="s">
        <v>59</v>
      </c>
      <c r="L416" s="33" t="s">
        <v>63</v>
      </c>
      <c r="M416" s="16" t="s">
        <v>60</v>
      </c>
      <c r="N416" s="33">
        <v>44263</v>
      </c>
      <c r="O416" s="33"/>
      <c r="P416" s="33"/>
      <c r="Q416" s="16" t="s">
        <v>75</v>
      </c>
      <c r="R416" s="16" t="s">
        <v>75</v>
      </c>
      <c r="S416" s="16"/>
      <c r="T416" s="16" t="s">
        <v>62</v>
      </c>
      <c r="U416" s="16"/>
      <c r="V416" s="16"/>
      <c r="W416" s="16"/>
      <c r="X416" s="16"/>
      <c r="Y416" s="16"/>
      <c r="Z416" s="16"/>
      <c r="AA416" s="16"/>
      <c r="AB416" s="24"/>
      <c r="AC416" s="24"/>
      <c r="AD416" s="16"/>
    </row>
    <row r="417" spans="1:31" x14ac:dyDescent="0.25">
      <c r="A417" s="28"/>
      <c r="B417" s="20">
        <v>39137</v>
      </c>
      <c r="C417" s="27" t="s">
        <v>64</v>
      </c>
      <c r="D417" s="3" t="s">
        <v>287</v>
      </c>
      <c r="E417" s="20" t="s">
        <v>203</v>
      </c>
      <c r="F417" s="29" t="s">
        <v>204</v>
      </c>
      <c r="G417" s="29" t="s">
        <v>12</v>
      </c>
      <c r="H417" s="19">
        <v>43907</v>
      </c>
      <c r="I417" s="3">
        <v>653</v>
      </c>
      <c r="J417" s="3" t="s">
        <v>58</v>
      </c>
      <c r="K417" s="16"/>
      <c r="L417" s="33"/>
      <c r="M417" s="16" t="s">
        <v>60</v>
      </c>
      <c r="N417" s="33">
        <v>44280</v>
      </c>
      <c r="O417" s="33"/>
      <c r="P417" s="33"/>
      <c r="Q417" s="16" t="s">
        <v>75</v>
      </c>
      <c r="R417" s="16" t="s">
        <v>75</v>
      </c>
      <c r="S417" s="16"/>
      <c r="T417" s="16" t="s">
        <v>68</v>
      </c>
      <c r="U417" s="16"/>
      <c r="V417" s="16"/>
      <c r="W417" s="16"/>
      <c r="X417" s="16"/>
      <c r="Y417" s="16"/>
      <c r="Z417" s="16"/>
      <c r="AA417" s="16"/>
      <c r="AB417" s="24"/>
      <c r="AC417" s="24"/>
      <c r="AD417" s="16"/>
    </row>
    <row r="418" spans="1:31" x14ac:dyDescent="0.25">
      <c r="A418" s="28"/>
      <c r="B418" s="20">
        <v>39137</v>
      </c>
      <c r="C418" s="27" t="s">
        <v>54</v>
      </c>
      <c r="D418" s="3" t="s">
        <v>288</v>
      </c>
      <c r="E418" s="20" t="s">
        <v>203</v>
      </c>
      <c r="F418" s="29" t="s">
        <v>204</v>
      </c>
      <c r="G418" s="29" t="s">
        <v>12</v>
      </c>
      <c r="H418" s="19">
        <v>43907</v>
      </c>
      <c r="I418" s="3">
        <v>654</v>
      </c>
      <c r="J418" s="3" t="s">
        <v>58</v>
      </c>
      <c r="K418" s="16"/>
      <c r="L418" s="33"/>
      <c r="M418" s="16" t="s">
        <v>60</v>
      </c>
      <c r="N418" s="33">
        <v>44280</v>
      </c>
      <c r="O418" s="33"/>
      <c r="P418" s="33"/>
      <c r="Q418" s="16" t="s">
        <v>75</v>
      </c>
      <c r="R418" s="16" t="s">
        <v>75</v>
      </c>
      <c r="S418" s="16"/>
      <c r="T418" s="16" t="s">
        <v>62</v>
      </c>
      <c r="U418" s="16"/>
      <c r="V418" s="16"/>
      <c r="W418" s="16"/>
      <c r="X418" s="16"/>
      <c r="Y418" s="16"/>
      <c r="Z418" s="16"/>
      <c r="AA418" s="16"/>
      <c r="AB418" s="24"/>
      <c r="AC418" s="24"/>
      <c r="AD418" s="16"/>
    </row>
    <row r="419" spans="1:31" ht="22.8" x14ac:dyDescent="0.25">
      <c r="A419" s="28"/>
      <c r="B419" s="20">
        <v>39139</v>
      </c>
      <c r="C419" s="27" t="s">
        <v>64</v>
      </c>
      <c r="D419" s="17" t="s">
        <v>289</v>
      </c>
      <c r="E419" s="20" t="s">
        <v>203</v>
      </c>
      <c r="F419" s="29" t="s">
        <v>204</v>
      </c>
      <c r="G419" s="29" t="s">
        <v>12</v>
      </c>
      <c r="H419" s="19">
        <v>43988</v>
      </c>
      <c r="I419" s="3">
        <v>772</v>
      </c>
      <c r="J419" s="3" t="s">
        <v>58</v>
      </c>
      <c r="K419" s="37" t="s">
        <v>59</v>
      </c>
      <c r="L419" s="33" t="s">
        <v>63</v>
      </c>
      <c r="M419" s="16" t="s">
        <v>60</v>
      </c>
      <c r="N419" s="33">
        <v>44176</v>
      </c>
      <c r="O419" s="33"/>
      <c r="P419" s="33"/>
      <c r="Q419" s="16" t="s">
        <v>75</v>
      </c>
      <c r="R419" s="16" t="s">
        <v>75</v>
      </c>
      <c r="S419" s="16"/>
      <c r="T419" s="16"/>
      <c r="U419" s="16"/>
      <c r="V419" s="16"/>
      <c r="W419" s="16"/>
      <c r="X419" s="16"/>
      <c r="Y419" s="16"/>
      <c r="Z419" s="16"/>
      <c r="AA419" s="16"/>
      <c r="AB419" s="24"/>
      <c r="AC419" s="24"/>
      <c r="AD419" s="16"/>
    </row>
    <row r="420" spans="1:31" ht="22.8" x14ac:dyDescent="0.25">
      <c r="A420" s="28"/>
      <c r="B420" s="20">
        <v>39139</v>
      </c>
      <c r="C420" s="27" t="s">
        <v>54</v>
      </c>
      <c r="D420" s="3" t="s">
        <v>292</v>
      </c>
      <c r="E420" s="20" t="s">
        <v>203</v>
      </c>
      <c r="F420" s="29" t="s">
        <v>204</v>
      </c>
      <c r="G420" s="29" t="s">
        <v>12</v>
      </c>
      <c r="H420" s="19">
        <v>43988</v>
      </c>
      <c r="I420" s="3">
        <v>658</v>
      </c>
      <c r="J420" s="3" t="s">
        <v>58</v>
      </c>
      <c r="K420" s="37" t="s">
        <v>59</v>
      </c>
      <c r="L420" s="33" t="s">
        <v>63</v>
      </c>
      <c r="M420" s="16" t="s">
        <v>60</v>
      </c>
      <c r="N420" s="33">
        <v>44215</v>
      </c>
      <c r="O420" s="33"/>
      <c r="P420" s="33"/>
      <c r="Q420" s="16" t="s">
        <v>75</v>
      </c>
      <c r="R420" s="16" t="s">
        <v>75</v>
      </c>
      <c r="S420" s="16"/>
      <c r="T420" s="16" t="s">
        <v>62</v>
      </c>
      <c r="U420" s="16"/>
      <c r="V420" s="16"/>
      <c r="W420" s="16"/>
      <c r="X420" s="16"/>
      <c r="Y420" s="16"/>
      <c r="Z420" s="16"/>
      <c r="AA420" s="16"/>
      <c r="AB420" s="24"/>
      <c r="AC420" s="24"/>
      <c r="AD420" s="16"/>
    </row>
    <row r="421" spans="1:31" x14ac:dyDescent="0.25">
      <c r="A421" s="28"/>
      <c r="B421" s="20">
        <v>39149</v>
      </c>
      <c r="C421" s="27" t="s">
        <v>64</v>
      </c>
      <c r="D421" s="20" t="s">
        <v>293</v>
      </c>
      <c r="E421" s="20" t="s">
        <v>203</v>
      </c>
      <c r="F421" s="29" t="s">
        <v>204</v>
      </c>
      <c r="G421" s="29" t="s">
        <v>12</v>
      </c>
      <c r="H421" s="19">
        <v>44035</v>
      </c>
      <c r="I421" s="3">
        <v>762</v>
      </c>
      <c r="J421" s="3" t="s">
        <v>58</v>
      </c>
      <c r="K421" s="16"/>
      <c r="L421" s="33"/>
      <c r="M421" s="16" t="s">
        <v>60</v>
      </c>
      <c r="N421" s="33">
        <v>44184</v>
      </c>
      <c r="O421" s="33"/>
      <c r="P421" s="33"/>
      <c r="Q421" s="16" t="s">
        <v>75</v>
      </c>
      <c r="R421" s="16" t="s">
        <v>75</v>
      </c>
      <c r="S421" s="16"/>
      <c r="T421" s="16"/>
      <c r="U421" s="16"/>
      <c r="V421" s="16"/>
      <c r="W421" s="16"/>
      <c r="X421" s="16"/>
      <c r="Y421" s="16"/>
      <c r="Z421" s="16"/>
      <c r="AA421" s="16"/>
      <c r="AB421" s="24"/>
      <c r="AC421" s="24"/>
      <c r="AD421" s="16"/>
    </row>
    <row r="422" spans="1:31" x14ac:dyDescent="0.25">
      <c r="A422" s="28"/>
      <c r="B422" s="20">
        <v>39149</v>
      </c>
      <c r="C422" s="27" t="s">
        <v>54</v>
      </c>
      <c r="D422" s="20" t="s">
        <v>299</v>
      </c>
      <c r="E422" s="20" t="s">
        <v>203</v>
      </c>
      <c r="F422" s="29" t="s">
        <v>204</v>
      </c>
      <c r="G422" s="29" t="s">
        <v>12</v>
      </c>
      <c r="H422" s="19">
        <v>44035</v>
      </c>
      <c r="I422" s="3">
        <v>765</v>
      </c>
      <c r="J422" s="3" t="s">
        <v>58</v>
      </c>
      <c r="K422" s="16"/>
      <c r="L422" s="39"/>
      <c r="M422" s="16" t="s">
        <v>60</v>
      </c>
      <c r="N422" s="33">
        <v>44184</v>
      </c>
      <c r="O422" s="39"/>
      <c r="P422" s="39"/>
      <c r="Q422" s="16" t="s">
        <v>75</v>
      </c>
      <c r="R422" s="16" t="s">
        <v>75</v>
      </c>
      <c r="S422" s="16"/>
      <c r="T422" s="16"/>
      <c r="U422" s="16"/>
      <c r="V422" s="36"/>
      <c r="W422" s="16"/>
      <c r="X422" s="16"/>
      <c r="Y422" s="16"/>
      <c r="Z422" s="16"/>
      <c r="AA422" s="16"/>
      <c r="AB422" s="24"/>
      <c r="AC422" s="24"/>
      <c r="AD422" s="16"/>
    </row>
    <row r="423" spans="1:31" ht="22.8" x14ac:dyDescent="0.25">
      <c r="A423" s="28"/>
      <c r="B423" s="20">
        <v>39156</v>
      </c>
      <c r="C423" s="27" t="s">
        <v>64</v>
      </c>
      <c r="D423" s="3" t="s">
        <v>300</v>
      </c>
      <c r="E423" s="20" t="s">
        <v>203</v>
      </c>
      <c r="F423" s="29" t="s">
        <v>204</v>
      </c>
      <c r="G423" s="29" t="s">
        <v>12</v>
      </c>
      <c r="H423" s="19">
        <v>44067</v>
      </c>
      <c r="I423" s="3">
        <v>777</v>
      </c>
      <c r="J423" s="3" t="s">
        <v>58</v>
      </c>
      <c r="K423" s="37" t="s">
        <v>59</v>
      </c>
      <c r="L423" s="33" t="s">
        <v>63</v>
      </c>
      <c r="M423" s="16" t="s">
        <v>60</v>
      </c>
      <c r="N423" s="33">
        <v>44214</v>
      </c>
      <c r="O423" s="33"/>
      <c r="P423" s="33"/>
      <c r="Q423" s="16" t="s">
        <v>75</v>
      </c>
      <c r="R423" s="16" t="s">
        <v>75</v>
      </c>
      <c r="S423" s="16"/>
      <c r="T423" s="16" t="s">
        <v>68</v>
      </c>
      <c r="U423" s="16"/>
      <c r="V423" s="16"/>
      <c r="W423" s="16"/>
      <c r="X423" s="16"/>
      <c r="Y423" s="16"/>
      <c r="Z423" s="16"/>
      <c r="AA423" s="16"/>
      <c r="AB423" s="24"/>
      <c r="AC423" s="24"/>
      <c r="AD423" s="16"/>
    </row>
    <row r="424" spans="1:31" ht="22.8" x14ac:dyDescent="0.25">
      <c r="A424" s="28"/>
      <c r="B424" s="20">
        <v>39156</v>
      </c>
      <c r="C424" s="27" t="s">
        <v>54</v>
      </c>
      <c r="D424" s="3" t="s">
        <v>303</v>
      </c>
      <c r="E424" s="20" t="s">
        <v>203</v>
      </c>
      <c r="F424" s="29" t="s">
        <v>204</v>
      </c>
      <c r="G424" s="29" t="s">
        <v>12</v>
      </c>
      <c r="H424" s="19">
        <v>44067</v>
      </c>
      <c r="I424" s="3">
        <v>763</v>
      </c>
      <c r="J424" s="3" t="s">
        <v>58</v>
      </c>
      <c r="K424" s="37" t="s">
        <v>59</v>
      </c>
      <c r="L424" s="33" t="s">
        <v>63</v>
      </c>
      <c r="M424" s="16" t="s">
        <v>60</v>
      </c>
      <c r="N424" s="33">
        <v>44214</v>
      </c>
      <c r="O424" s="33"/>
      <c r="P424" s="33"/>
      <c r="Q424" s="16" t="s">
        <v>75</v>
      </c>
      <c r="R424" s="16" t="s">
        <v>75</v>
      </c>
      <c r="S424" s="16"/>
      <c r="T424" s="16" t="s">
        <v>62</v>
      </c>
      <c r="U424" s="16"/>
      <c r="V424" s="16"/>
      <c r="W424" s="16"/>
      <c r="X424" s="16"/>
      <c r="Y424" s="16"/>
      <c r="Z424" s="16"/>
      <c r="AA424" s="16"/>
      <c r="AB424" s="24"/>
      <c r="AC424" s="24"/>
      <c r="AD424" s="16"/>
    </row>
    <row r="425" spans="1:31" x14ac:dyDescent="0.25">
      <c r="A425" s="119" t="s">
        <v>82</v>
      </c>
      <c r="B425" s="144">
        <v>30454</v>
      </c>
      <c r="C425" s="145" t="s">
        <v>64</v>
      </c>
      <c r="D425" s="146" t="s">
        <v>1247</v>
      </c>
      <c r="E425" s="147" t="s">
        <v>1248</v>
      </c>
      <c r="F425" s="147" t="s">
        <v>1243</v>
      </c>
      <c r="G425" s="147" t="s">
        <v>14</v>
      </c>
      <c r="H425" s="148">
        <v>42423</v>
      </c>
      <c r="I425" s="149">
        <v>33</v>
      </c>
      <c r="J425" s="149" t="s">
        <v>66</v>
      </c>
      <c r="K425" s="150" t="s">
        <v>1249</v>
      </c>
      <c r="L425" s="150" t="s">
        <v>82</v>
      </c>
      <c r="M425" s="151" t="s">
        <v>67</v>
      </c>
      <c r="N425" s="150" t="s">
        <v>63</v>
      </c>
      <c r="O425" s="150" t="s">
        <v>82</v>
      </c>
      <c r="P425" s="150" t="s">
        <v>82</v>
      </c>
      <c r="Q425" s="150" t="s">
        <v>68</v>
      </c>
      <c r="R425" s="150" t="s">
        <v>82</v>
      </c>
      <c r="S425" s="150" t="s">
        <v>68</v>
      </c>
      <c r="T425" s="150" t="s">
        <v>68</v>
      </c>
      <c r="U425" s="152" t="s">
        <v>82</v>
      </c>
      <c r="V425" s="150" t="s">
        <v>82</v>
      </c>
      <c r="W425" s="150" t="s">
        <v>82</v>
      </c>
      <c r="X425" s="150" t="s">
        <v>82</v>
      </c>
      <c r="Y425" s="150" t="s">
        <v>82</v>
      </c>
      <c r="Z425" s="150" t="s">
        <v>82</v>
      </c>
      <c r="AA425" s="149" t="s">
        <v>82</v>
      </c>
      <c r="AB425" s="149" t="s">
        <v>82</v>
      </c>
      <c r="AC425" s="150" t="s">
        <v>82</v>
      </c>
      <c r="AD425" s="153"/>
      <c r="AE425" s="120"/>
    </row>
    <row r="426" spans="1:31" x14ac:dyDescent="0.25">
      <c r="A426" s="121" t="s">
        <v>82</v>
      </c>
      <c r="B426" s="144">
        <v>30454</v>
      </c>
      <c r="C426" s="154" t="s">
        <v>54</v>
      </c>
      <c r="D426" s="155" t="s">
        <v>1253</v>
      </c>
      <c r="E426" s="156" t="s">
        <v>1248</v>
      </c>
      <c r="F426" s="156" t="s">
        <v>1243</v>
      </c>
      <c r="G426" s="156" t="s">
        <v>14</v>
      </c>
      <c r="H426" s="157">
        <v>42423</v>
      </c>
      <c r="I426" s="158">
        <v>32</v>
      </c>
      <c r="J426" s="158" t="s">
        <v>66</v>
      </c>
      <c r="K426" s="159" t="s">
        <v>1249</v>
      </c>
      <c r="L426" s="159" t="s">
        <v>82</v>
      </c>
      <c r="M426" s="160" t="s">
        <v>67</v>
      </c>
      <c r="N426" s="159" t="s">
        <v>63</v>
      </c>
      <c r="O426" s="159" t="s">
        <v>82</v>
      </c>
      <c r="P426" s="159" t="s">
        <v>82</v>
      </c>
      <c r="Q426" s="159" t="s">
        <v>62</v>
      </c>
      <c r="R426" s="159" t="s">
        <v>82</v>
      </c>
      <c r="S426" s="159" t="s">
        <v>62</v>
      </c>
      <c r="T426" s="159" t="s">
        <v>62</v>
      </c>
      <c r="U426" s="161" t="s">
        <v>82</v>
      </c>
      <c r="V426" s="159" t="s">
        <v>82</v>
      </c>
      <c r="W426" s="159" t="s">
        <v>82</v>
      </c>
      <c r="X426" s="159" t="s">
        <v>82</v>
      </c>
      <c r="Y426" s="159" t="s">
        <v>82</v>
      </c>
      <c r="Z426" s="159" t="s">
        <v>82</v>
      </c>
      <c r="AA426" s="158" t="s">
        <v>82</v>
      </c>
      <c r="AB426" s="158" t="s">
        <v>82</v>
      </c>
      <c r="AC426" s="159" t="s">
        <v>82</v>
      </c>
      <c r="AD426" s="153"/>
      <c r="AE426" s="120"/>
    </row>
    <row r="427" spans="1:31" x14ac:dyDescent="0.25">
      <c r="A427" s="121" t="s">
        <v>82</v>
      </c>
      <c r="B427" s="144">
        <v>30534</v>
      </c>
      <c r="C427" s="154" t="s">
        <v>64</v>
      </c>
      <c r="D427" s="155" t="s">
        <v>1255</v>
      </c>
      <c r="E427" s="156" t="s">
        <v>1248</v>
      </c>
      <c r="F427" s="158" t="s">
        <v>1243</v>
      </c>
      <c r="G427" s="156" t="s">
        <v>14</v>
      </c>
      <c r="H427" s="157">
        <v>42829</v>
      </c>
      <c r="I427" s="158">
        <v>81</v>
      </c>
      <c r="J427" s="158" t="s">
        <v>66</v>
      </c>
      <c r="K427" s="159" t="s">
        <v>82</v>
      </c>
      <c r="L427" s="159" t="s">
        <v>82</v>
      </c>
      <c r="M427" s="160" t="s">
        <v>67</v>
      </c>
      <c r="N427" s="162">
        <v>44201</v>
      </c>
      <c r="O427" s="159" t="s">
        <v>82</v>
      </c>
      <c r="P427" s="159" t="s">
        <v>82</v>
      </c>
      <c r="Q427" s="159" t="s">
        <v>82</v>
      </c>
      <c r="R427" s="159" t="s">
        <v>82</v>
      </c>
      <c r="S427" s="159" t="s">
        <v>82</v>
      </c>
      <c r="T427" s="159" t="s">
        <v>68</v>
      </c>
      <c r="U427" s="161" t="s">
        <v>82</v>
      </c>
      <c r="V427" s="159" t="s">
        <v>82</v>
      </c>
      <c r="W427" s="159" t="s">
        <v>82</v>
      </c>
      <c r="X427" s="159" t="s">
        <v>82</v>
      </c>
      <c r="Y427" s="159" t="s">
        <v>82</v>
      </c>
      <c r="Z427" s="159" t="s">
        <v>82</v>
      </c>
      <c r="AA427" s="158" t="s">
        <v>82</v>
      </c>
      <c r="AB427" s="158" t="s">
        <v>82</v>
      </c>
      <c r="AC427" s="159" t="s">
        <v>82</v>
      </c>
      <c r="AD427" s="153"/>
      <c r="AE427" s="120"/>
    </row>
    <row r="428" spans="1:31" x14ac:dyDescent="0.25">
      <c r="A428" s="121" t="s">
        <v>82</v>
      </c>
      <c r="B428" s="144">
        <v>30534</v>
      </c>
      <c r="C428" s="154" t="s">
        <v>54</v>
      </c>
      <c r="D428" s="155" t="s">
        <v>1256</v>
      </c>
      <c r="E428" s="156" t="s">
        <v>1248</v>
      </c>
      <c r="F428" s="158" t="s">
        <v>1243</v>
      </c>
      <c r="G428" s="156" t="s">
        <v>14</v>
      </c>
      <c r="H428" s="157">
        <v>42829</v>
      </c>
      <c r="I428" s="158">
        <v>79</v>
      </c>
      <c r="J428" s="158" t="s">
        <v>66</v>
      </c>
      <c r="K428" s="159" t="s">
        <v>82</v>
      </c>
      <c r="L428" s="159" t="s">
        <v>82</v>
      </c>
      <c r="M428" s="160" t="s">
        <v>67</v>
      </c>
      <c r="N428" s="162">
        <v>44201</v>
      </c>
      <c r="O428" s="159" t="s">
        <v>82</v>
      </c>
      <c r="P428" s="159" t="s">
        <v>82</v>
      </c>
      <c r="Q428" s="159" t="s">
        <v>82</v>
      </c>
      <c r="R428" s="159" t="s">
        <v>82</v>
      </c>
      <c r="S428" s="159" t="s">
        <v>82</v>
      </c>
      <c r="T428" s="159" t="s">
        <v>62</v>
      </c>
      <c r="U428" s="161" t="s">
        <v>82</v>
      </c>
      <c r="V428" s="159" t="s">
        <v>82</v>
      </c>
      <c r="W428" s="159" t="s">
        <v>82</v>
      </c>
      <c r="X428" s="159" t="s">
        <v>82</v>
      </c>
      <c r="Y428" s="159" t="s">
        <v>82</v>
      </c>
      <c r="Z428" s="159" t="s">
        <v>82</v>
      </c>
      <c r="AA428" s="158" t="s">
        <v>82</v>
      </c>
      <c r="AB428" s="158" t="s">
        <v>82</v>
      </c>
      <c r="AC428" s="159" t="s">
        <v>82</v>
      </c>
      <c r="AD428" s="153"/>
      <c r="AE428" s="120"/>
    </row>
    <row r="429" spans="1:31" x14ac:dyDescent="0.25">
      <c r="A429" s="121" t="s">
        <v>82</v>
      </c>
      <c r="B429" s="144">
        <v>30535</v>
      </c>
      <c r="C429" s="154" t="s">
        <v>64</v>
      </c>
      <c r="D429" s="155" t="s">
        <v>1257</v>
      </c>
      <c r="E429" s="156" t="s">
        <v>1248</v>
      </c>
      <c r="F429" s="158" t="s">
        <v>1243</v>
      </c>
      <c r="G429" s="156" t="s">
        <v>14</v>
      </c>
      <c r="H429" s="157">
        <v>42824</v>
      </c>
      <c r="I429" s="158">
        <v>69</v>
      </c>
      <c r="J429" s="158" t="s">
        <v>66</v>
      </c>
      <c r="K429" s="159" t="s">
        <v>82</v>
      </c>
      <c r="L429" s="159" t="s">
        <v>82</v>
      </c>
      <c r="M429" s="160" t="s">
        <v>67</v>
      </c>
      <c r="N429" s="162">
        <v>44229</v>
      </c>
      <c r="O429" s="159" t="s">
        <v>82</v>
      </c>
      <c r="P429" s="159" t="s">
        <v>82</v>
      </c>
      <c r="Q429" s="159" t="s">
        <v>82</v>
      </c>
      <c r="R429" s="159" t="s">
        <v>82</v>
      </c>
      <c r="S429" s="159" t="s">
        <v>82</v>
      </c>
      <c r="T429" s="159" t="s">
        <v>68</v>
      </c>
      <c r="U429" s="161" t="s">
        <v>82</v>
      </c>
      <c r="V429" s="159" t="s">
        <v>82</v>
      </c>
      <c r="W429" s="159" t="s">
        <v>82</v>
      </c>
      <c r="X429" s="159" t="s">
        <v>82</v>
      </c>
      <c r="Y429" s="159" t="s">
        <v>82</v>
      </c>
      <c r="Z429" s="159" t="s">
        <v>82</v>
      </c>
      <c r="AA429" s="158" t="s">
        <v>82</v>
      </c>
      <c r="AB429" s="158" t="s">
        <v>82</v>
      </c>
      <c r="AC429" s="159" t="s">
        <v>82</v>
      </c>
      <c r="AD429" s="153"/>
      <c r="AE429" s="120"/>
    </row>
    <row r="430" spans="1:31" x14ac:dyDescent="0.25">
      <c r="A430" s="121" t="s">
        <v>82</v>
      </c>
      <c r="B430" s="144">
        <v>30535</v>
      </c>
      <c r="C430" s="154" t="s">
        <v>54</v>
      </c>
      <c r="D430" s="155" t="s">
        <v>1259</v>
      </c>
      <c r="E430" s="156" t="s">
        <v>1248</v>
      </c>
      <c r="F430" s="158" t="s">
        <v>1243</v>
      </c>
      <c r="G430" s="156" t="s">
        <v>14</v>
      </c>
      <c r="H430" s="157">
        <v>42824</v>
      </c>
      <c r="I430" s="158">
        <v>70</v>
      </c>
      <c r="J430" s="158" t="s">
        <v>66</v>
      </c>
      <c r="K430" s="159" t="s">
        <v>82</v>
      </c>
      <c r="L430" s="159" t="s">
        <v>82</v>
      </c>
      <c r="M430" s="160" t="s">
        <v>67</v>
      </c>
      <c r="N430" s="162">
        <v>44229</v>
      </c>
      <c r="O430" s="159" t="s">
        <v>82</v>
      </c>
      <c r="P430" s="159" t="s">
        <v>82</v>
      </c>
      <c r="Q430" s="159" t="s">
        <v>82</v>
      </c>
      <c r="R430" s="159" t="s">
        <v>82</v>
      </c>
      <c r="S430" s="159" t="s">
        <v>82</v>
      </c>
      <c r="T430" s="159" t="s">
        <v>62</v>
      </c>
      <c r="U430" s="161" t="s">
        <v>82</v>
      </c>
      <c r="V430" s="159" t="s">
        <v>82</v>
      </c>
      <c r="W430" s="159" t="s">
        <v>82</v>
      </c>
      <c r="X430" s="159" t="s">
        <v>82</v>
      </c>
      <c r="Y430" s="159" t="s">
        <v>82</v>
      </c>
      <c r="Z430" s="159" t="s">
        <v>82</v>
      </c>
      <c r="AA430" s="158" t="s">
        <v>82</v>
      </c>
      <c r="AB430" s="158" t="s">
        <v>82</v>
      </c>
      <c r="AC430" s="159" t="s">
        <v>82</v>
      </c>
      <c r="AD430" s="153"/>
      <c r="AE430" s="120"/>
    </row>
    <row r="431" spans="1:31" x14ac:dyDescent="0.25">
      <c r="A431" s="121" t="s">
        <v>82</v>
      </c>
      <c r="B431" s="163">
        <v>37223</v>
      </c>
      <c r="C431" s="156" t="s">
        <v>64</v>
      </c>
      <c r="D431" s="155" t="s">
        <v>1263</v>
      </c>
      <c r="E431" s="156" t="s">
        <v>1248</v>
      </c>
      <c r="F431" s="156" t="s">
        <v>1243</v>
      </c>
      <c r="G431" s="156" t="s">
        <v>14</v>
      </c>
      <c r="H431" s="156" t="s">
        <v>82</v>
      </c>
      <c r="I431" s="158">
        <v>495</v>
      </c>
      <c r="J431" s="158" t="s">
        <v>58</v>
      </c>
      <c r="K431" s="159" t="s">
        <v>82</v>
      </c>
      <c r="L431" s="159" t="s">
        <v>82</v>
      </c>
      <c r="M431" s="158" t="s">
        <v>60</v>
      </c>
      <c r="N431" s="162">
        <v>44294</v>
      </c>
      <c r="O431" s="159" t="s">
        <v>82</v>
      </c>
      <c r="P431" s="159" t="s">
        <v>82</v>
      </c>
      <c r="Q431" s="159" t="s">
        <v>82</v>
      </c>
      <c r="R431" s="159" t="s">
        <v>82</v>
      </c>
      <c r="S431" s="159" t="s">
        <v>82</v>
      </c>
      <c r="T431" s="159" t="s">
        <v>68</v>
      </c>
      <c r="U431" s="161" t="s">
        <v>82</v>
      </c>
      <c r="V431" s="159" t="s">
        <v>82</v>
      </c>
      <c r="W431" s="159" t="s">
        <v>82</v>
      </c>
      <c r="X431" s="159" t="s">
        <v>82</v>
      </c>
      <c r="Y431" s="159" t="s">
        <v>82</v>
      </c>
      <c r="Z431" s="159" t="s">
        <v>82</v>
      </c>
      <c r="AA431" s="158" t="s">
        <v>82</v>
      </c>
      <c r="AB431" s="158" t="s">
        <v>82</v>
      </c>
      <c r="AC431" s="159" t="s">
        <v>82</v>
      </c>
      <c r="AD431" s="153"/>
      <c r="AE431" s="120"/>
    </row>
    <row r="432" spans="1:31" x14ac:dyDescent="0.25">
      <c r="A432" s="121" t="s">
        <v>82</v>
      </c>
      <c r="B432" s="144">
        <v>37243</v>
      </c>
      <c r="C432" s="154" t="s">
        <v>64</v>
      </c>
      <c r="D432" s="155" t="s">
        <v>1264</v>
      </c>
      <c r="E432" s="156" t="s">
        <v>1248</v>
      </c>
      <c r="F432" s="158" t="s">
        <v>1243</v>
      </c>
      <c r="G432" s="156" t="s">
        <v>14</v>
      </c>
      <c r="H432" s="157">
        <v>43732</v>
      </c>
      <c r="I432" s="158">
        <v>617</v>
      </c>
      <c r="J432" s="158" t="s">
        <v>58</v>
      </c>
      <c r="K432" s="159" t="s">
        <v>82</v>
      </c>
      <c r="L432" s="159" t="s">
        <v>82</v>
      </c>
      <c r="M432" s="158" t="s">
        <v>60</v>
      </c>
      <c r="N432" s="162">
        <v>44216</v>
      </c>
      <c r="O432" s="159" t="s">
        <v>82</v>
      </c>
      <c r="P432" s="159" t="s">
        <v>82</v>
      </c>
      <c r="Q432" s="159" t="s">
        <v>75</v>
      </c>
      <c r="R432" s="159" t="s">
        <v>82</v>
      </c>
      <c r="S432" s="159" t="s">
        <v>82</v>
      </c>
      <c r="T432" s="159" t="s">
        <v>68</v>
      </c>
      <c r="U432" s="161" t="s">
        <v>82</v>
      </c>
      <c r="V432" s="159" t="s">
        <v>82</v>
      </c>
      <c r="W432" s="159" t="s">
        <v>82</v>
      </c>
      <c r="X432" s="159" t="s">
        <v>82</v>
      </c>
      <c r="Y432" s="159" t="s">
        <v>82</v>
      </c>
      <c r="Z432" s="159" t="s">
        <v>82</v>
      </c>
      <c r="AA432" s="158" t="s">
        <v>82</v>
      </c>
      <c r="AB432" s="158" t="s">
        <v>82</v>
      </c>
      <c r="AC432" s="159" t="s">
        <v>82</v>
      </c>
      <c r="AD432" s="153"/>
      <c r="AE432" s="120"/>
    </row>
    <row r="433" spans="1:31" x14ac:dyDescent="0.25">
      <c r="A433" s="121" t="s">
        <v>82</v>
      </c>
      <c r="B433" s="144">
        <v>37243</v>
      </c>
      <c r="C433" s="154" t="s">
        <v>54</v>
      </c>
      <c r="D433" s="155" t="s">
        <v>1268</v>
      </c>
      <c r="E433" s="156" t="s">
        <v>1248</v>
      </c>
      <c r="F433" s="158" t="s">
        <v>1243</v>
      </c>
      <c r="G433" s="156" t="s">
        <v>14</v>
      </c>
      <c r="H433" s="157">
        <v>43732</v>
      </c>
      <c r="I433" s="158">
        <v>616</v>
      </c>
      <c r="J433" s="158" t="s">
        <v>58</v>
      </c>
      <c r="K433" s="159" t="s">
        <v>82</v>
      </c>
      <c r="L433" s="159" t="s">
        <v>82</v>
      </c>
      <c r="M433" s="158" t="s">
        <v>60</v>
      </c>
      <c r="N433" s="162">
        <v>44216</v>
      </c>
      <c r="O433" s="159" t="s">
        <v>82</v>
      </c>
      <c r="P433" s="159" t="s">
        <v>82</v>
      </c>
      <c r="Q433" s="159" t="s">
        <v>75</v>
      </c>
      <c r="R433" s="159" t="s">
        <v>82</v>
      </c>
      <c r="S433" s="159" t="s">
        <v>82</v>
      </c>
      <c r="T433" s="159" t="s">
        <v>62</v>
      </c>
      <c r="U433" s="161" t="s">
        <v>82</v>
      </c>
      <c r="V433" s="159" t="s">
        <v>82</v>
      </c>
      <c r="W433" s="159" t="s">
        <v>82</v>
      </c>
      <c r="X433" s="159" t="s">
        <v>82</v>
      </c>
      <c r="Y433" s="159" t="s">
        <v>82</v>
      </c>
      <c r="Z433" s="159" t="s">
        <v>82</v>
      </c>
      <c r="AA433" s="158" t="s">
        <v>82</v>
      </c>
      <c r="AB433" s="158" t="s">
        <v>82</v>
      </c>
      <c r="AC433" s="159" t="s">
        <v>82</v>
      </c>
      <c r="AD433" s="153"/>
      <c r="AE433" s="120"/>
    </row>
    <row r="434" spans="1:31" x14ac:dyDescent="0.25">
      <c r="A434" s="121" t="s">
        <v>82</v>
      </c>
      <c r="B434" s="144">
        <v>37245</v>
      </c>
      <c r="C434" s="154" t="s">
        <v>64</v>
      </c>
      <c r="D434" s="155" t="s">
        <v>1269</v>
      </c>
      <c r="E434" s="156" t="s">
        <v>1248</v>
      </c>
      <c r="F434" s="158" t="s">
        <v>1243</v>
      </c>
      <c r="G434" s="156" t="s">
        <v>14</v>
      </c>
      <c r="H434" s="157">
        <v>43727</v>
      </c>
      <c r="I434" s="158">
        <v>618</v>
      </c>
      <c r="J434" s="158" t="s">
        <v>58</v>
      </c>
      <c r="K434" s="159" t="s">
        <v>82</v>
      </c>
      <c r="L434" s="159" t="s">
        <v>82</v>
      </c>
      <c r="M434" s="158" t="s">
        <v>60</v>
      </c>
      <c r="N434" s="162">
        <v>44283</v>
      </c>
      <c r="O434" s="159" t="s">
        <v>82</v>
      </c>
      <c r="P434" s="159" t="s">
        <v>82</v>
      </c>
      <c r="Q434" s="159" t="s">
        <v>75</v>
      </c>
      <c r="R434" s="159" t="s">
        <v>82</v>
      </c>
      <c r="S434" s="159" t="s">
        <v>82</v>
      </c>
      <c r="T434" s="159" t="s">
        <v>68</v>
      </c>
      <c r="U434" s="161" t="s">
        <v>82</v>
      </c>
      <c r="V434" s="159" t="s">
        <v>82</v>
      </c>
      <c r="W434" s="159" t="s">
        <v>82</v>
      </c>
      <c r="X434" s="159" t="s">
        <v>82</v>
      </c>
      <c r="Y434" s="159" t="s">
        <v>82</v>
      </c>
      <c r="Z434" s="159" t="s">
        <v>82</v>
      </c>
      <c r="AA434" s="158" t="s">
        <v>82</v>
      </c>
      <c r="AB434" s="158" t="s">
        <v>82</v>
      </c>
      <c r="AC434" s="159" t="s">
        <v>82</v>
      </c>
      <c r="AD434" s="153"/>
      <c r="AE434" s="120"/>
    </row>
    <row r="435" spans="1:31" x14ac:dyDescent="0.25">
      <c r="A435" s="121" t="s">
        <v>82</v>
      </c>
      <c r="B435" s="144">
        <v>37245</v>
      </c>
      <c r="C435" s="154" t="s">
        <v>54</v>
      </c>
      <c r="D435" s="155" t="s">
        <v>1271</v>
      </c>
      <c r="E435" s="156" t="s">
        <v>1248</v>
      </c>
      <c r="F435" s="158" t="s">
        <v>1243</v>
      </c>
      <c r="G435" s="156" t="s">
        <v>14</v>
      </c>
      <c r="H435" s="157">
        <v>43727</v>
      </c>
      <c r="I435" s="158">
        <v>619</v>
      </c>
      <c r="J435" s="158" t="s">
        <v>58</v>
      </c>
      <c r="K435" s="159" t="s">
        <v>82</v>
      </c>
      <c r="L435" s="159" t="s">
        <v>82</v>
      </c>
      <c r="M435" s="158" t="s">
        <v>60</v>
      </c>
      <c r="N435" s="162">
        <v>44283</v>
      </c>
      <c r="O435" s="159" t="s">
        <v>82</v>
      </c>
      <c r="P435" s="159" t="s">
        <v>82</v>
      </c>
      <c r="Q435" s="159" t="s">
        <v>75</v>
      </c>
      <c r="R435" s="159" t="s">
        <v>82</v>
      </c>
      <c r="S435" s="159" t="s">
        <v>82</v>
      </c>
      <c r="T435" s="159" t="s">
        <v>62</v>
      </c>
      <c r="U435" s="161" t="s">
        <v>82</v>
      </c>
      <c r="V435" s="159" t="s">
        <v>82</v>
      </c>
      <c r="W435" s="159" t="s">
        <v>82</v>
      </c>
      <c r="X435" s="159" t="s">
        <v>82</v>
      </c>
      <c r="Y435" s="159" t="s">
        <v>82</v>
      </c>
      <c r="Z435" s="159" t="s">
        <v>82</v>
      </c>
      <c r="AA435" s="158" t="s">
        <v>82</v>
      </c>
      <c r="AB435" s="158" t="s">
        <v>82</v>
      </c>
      <c r="AC435" s="159" t="s">
        <v>82</v>
      </c>
      <c r="AD435" s="153"/>
      <c r="AE435" s="120"/>
    </row>
    <row r="436" spans="1:31" x14ac:dyDescent="0.25">
      <c r="A436" s="121" t="s">
        <v>82</v>
      </c>
      <c r="B436" s="144">
        <v>37247</v>
      </c>
      <c r="C436" s="154" t="s">
        <v>64</v>
      </c>
      <c r="D436" s="155" t="s">
        <v>1273</v>
      </c>
      <c r="E436" s="156" t="s">
        <v>1248</v>
      </c>
      <c r="F436" s="158" t="s">
        <v>1243</v>
      </c>
      <c r="G436" s="156" t="s">
        <v>14</v>
      </c>
      <c r="H436" s="157">
        <v>43729</v>
      </c>
      <c r="I436" s="158">
        <v>624</v>
      </c>
      <c r="J436" s="158" t="s">
        <v>58</v>
      </c>
      <c r="K436" s="159" t="s">
        <v>82</v>
      </c>
      <c r="L436" s="159" t="s">
        <v>82</v>
      </c>
      <c r="M436" s="158" t="s">
        <v>60</v>
      </c>
      <c r="N436" s="162">
        <v>44298</v>
      </c>
      <c r="O436" s="159" t="s">
        <v>82</v>
      </c>
      <c r="P436" s="159" t="s">
        <v>82</v>
      </c>
      <c r="Q436" s="159" t="s">
        <v>75</v>
      </c>
      <c r="R436" s="159" t="s">
        <v>82</v>
      </c>
      <c r="S436" s="159" t="s">
        <v>82</v>
      </c>
      <c r="T436" s="159" t="s">
        <v>68</v>
      </c>
      <c r="U436" s="161" t="s">
        <v>82</v>
      </c>
      <c r="V436" s="159" t="s">
        <v>82</v>
      </c>
      <c r="W436" s="159" t="s">
        <v>82</v>
      </c>
      <c r="X436" s="159" t="s">
        <v>82</v>
      </c>
      <c r="Y436" s="159" t="s">
        <v>82</v>
      </c>
      <c r="Z436" s="159" t="s">
        <v>82</v>
      </c>
      <c r="AA436" s="158" t="s">
        <v>82</v>
      </c>
      <c r="AB436" s="158" t="s">
        <v>82</v>
      </c>
      <c r="AC436" s="159" t="s">
        <v>82</v>
      </c>
      <c r="AD436" s="153"/>
      <c r="AE436" s="120"/>
    </row>
    <row r="437" spans="1:31" x14ac:dyDescent="0.25">
      <c r="A437" s="121" t="s">
        <v>82</v>
      </c>
      <c r="B437" s="144">
        <v>37247</v>
      </c>
      <c r="C437" s="154" t="s">
        <v>54</v>
      </c>
      <c r="D437" s="155" t="s">
        <v>1275</v>
      </c>
      <c r="E437" s="156" t="s">
        <v>1248</v>
      </c>
      <c r="F437" s="158" t="s">
        <v>1243</v>
      </c>
      <c r="G437" s="156" t="s">
        <v>14</v>
      </c>
      <c r="H437" s="157">
        <v>43729</v>
      </c>
      <c r="I437" s="158">
        <v>625</v>
      </c>
      <c r="J437" s="158" t="s">
        <v>58</v>
      </c>
      <c r="K437" s="159" t="s">
        <v>82</v>
      </c>
      <c r="L437" s="159" t="s">
        <v>82</v>
      </c>
      <c r="M437" s="158" t="s">
        <v>60</v>
      </c>
      <c r="N437" s="162">
        <v>44298</v>
      </c>
      <c r="O437" s="159" t="s">
        <v>82</v>
      </c>
      <c r="P437" s="159" t="s">
        <v>82</v>
      </c>
      <c r="Q437" s="159" t="s">
        <v>75</v>
      </c>
      <c r="R437" s="159" t="s">
        <v>82</v>
      </c>
      <c r="S437" s="159" t="s">
        <v>82</v>
      </c>
      <c r="T437" s="159" t="s">
        <v>62</v>
      </c>
      <c r="U437" s="161" t="s">
        <v>82</v>
      </c>
      <c r="V437" s="159" t="s">
        <v>82</v>
      </c>
      <c r="W437" s="159" t="s">
        <v>82</v>
      </c>
      <c r="X437" s="159" t="s">
        <v>82</v>
      </c>
      <c r="Y437" s="159" t="s">
        <v>82</v>
      </c>
      <c r="Z437" s="159" t="s">
        <v>82</v>
      </c>
      <c r="AA437" s="158" t="s">
        <v>82</v>
      </c>
      <c r="AB437" s="158" t="s">
        <v>82</v>
      </c>
      <c r="AC437" s="159" t="s">
        <v>82</v>
      </c>
      <c r="AD437" s="153"/>
      <c r="AE437" s="120"/>
    </row>
    <row r="438" spans="1:31" ht="23.4" x14ac:dyDescent="0.25">
      <c r="A438" s="121" t="s">
        <v>82</v>
      </c>
      <c r="B438" s="144">
        <v>37250</v>
      </c>
      <c r="C438" s="154" t="s">
        <v>64</v>
      </c>
      <c r="D438" s="164" t="s">
        <v>1276</v>
      </c>
      <c r="E438" s="156" t="s">
        <v>1248</v>
      </c>
      <c r="F438" s="158" t="s">
        <v>1243</v>
      </c>
      <c r="G438" s="156" t="s">
        <v>14</v>
      </c>
      <c r="H438" s="157">
        <v>43734</v>
      </c>
      <c r="I438" s="158">
        <v>632</v>
      </c>
      <c r="J438" s="158" t="s">
        <v>58</v>
      </c>
      <c r="K438" s="165" t="s">
        <v>59</v>
      </c>
      <c r="L438" s="159" t="s">
        <v>63</v>
      </c>
      <c r="M438" s="158" t="s">
        <v>60</v>
      </c>
      <c r="N438" s="166">
        <v>44300</v>
      </c>
      <c r="O438" s="167" t="s">
        <v>82</v>
      </c>
      <c r="P438" s="167" t="s">
        <v>82</v>
      </c>
      <c r="Q438" s="159" t="s">
        <v>75</v>
      </c>
      <c r="R438" s="160" t="s">
        <v>82</v>
      </c>
      <c r="S438" s="167" t="s">
        <v>82</v>
      </c>
      <c r="T438" s="167" t="s">
        <v>82</v>
      </c>
      <c r="U438" s="160" t="s">
        <v>82</v>
      </c>
      <c r="V438" s="160" t="s">
        <v>82</v>
      </c>
      <c r="W438" s="160" t="s">
        <v>82</v>
      </c>
      <c r="X438" s="160" t="s">
        <v>82</v>
      </c>
      <c r="Y438" s="160" t="s">
        <v>82</v>
      </c>
      <c r="Z438" s="160" t="s">
        <v>82</v>
      </c>
      <c r="AA438" s="158" t="s">
        <v>82</v>
      </c>
      <c r="AB438" s="158" t="s">
        <v>82</v>
      </c>
      <c r="AC438" s="160" t="s">
        <v>82</v>
      </c>
      <c r="AD438" s="168"/>
      <c r="AE438" s="120"/>
    </row>
    <row r="439" spans="1:31" ht="23.4" x14ac:dyDescent="0.25">
      <c r="A439" s="121" t="s">
        <v>82</v>
      </c>
      <c r="B439" s="144">
        <v>37250</v>
      </c>
      <c r="C439" s="154" t="s">
        <v>54</v>
      </c>
      <c r="D439" s="164" t="s">
        <v>1281</v>
      </c>
      <c r="E439" s="156" t="s">
        <v>1248</v>
      </c>
      <c r="F439" s="158" t="s">
        <v>1243</v>
      </c>
      <c r="G439" s="156" t="s">
        <v>14</v>
      </c>
      <c r="H439" s="157">
        <v>43734</v>
      </c>
      <c r="I439" s="158">
        <v>637</v>
      </c>
      <c r="J439" s="158" t="s">
        <v>58</v>
      </c>
      <c r="K439" s="165" t="s">
        <v>59</v>
      </c>
      <c r="L439" s="159" t="s">
        <v>63</v>
      </c>
      <c r="M439" s="158" t="s">
        <v>60</v>
      </c>
      <c r="N439" s="166">
        <v>44300</v>
      </c>
      <c r="O439" s="167" t="s">
        <v>82</v>
      </c>
      <c r="P439" s="167" t="s">
        <v>82</v>
      </c>
      <c r="Q439" s="159" t="s">
        <v>75</v>
      </c>
      <c r="R439" s="160" t="s">
        <v>82</v>
      </c>
      <c r="S439" s="167" t="s">
        <v>82</v>
      </c>
      <c r="T439" s="167" t="s">
        <v>82</v>
      </c>
      <c r="U439" s="160" t="s">
        <v>82</v>
      </c>
      <c r="V439" s="160" t="s">
        <v>82</v>
      </c>
      <c r="W439" s="160" t="s">
        <v>82</v>
      </c>
      <c r="X439" s="160" t="s">
        <v>82</v>
      </c>
      <c r="Y439" s="160" t="s">
        <v>82</v>
      </c>
      <c r="Z439" s="160" t="s">
        <v>82</v>
      </c>
      <c r="AA439" s="158" t="s">
        <v>82</v>
      </c>
      <c r="AB439" s="158" t="s">
        <v>82</v>
      </c>
      <c r="AC439" s="160" t="s">
        <v>82</v>
      </c>
      <c r="AD439" s="168"/>
      <c r="AE439" s="120"/>
    </row>
    <row r="440" spans="1:31" x14ac:dyDescent="0.25">
      <c r="A440" s="121" t="s">
        <v>82</v>
      </c>
      <c r="B440" s="144">
        <v>37252</v>
      </c>
      <c r="C440" s="154" t="s">
        <v>64</v>
      </c>
      <c r="D440" s="155" t="s">
        <v>1283</v>
      </c>
      <c r="E440" s="156" t="s">
        <v>1248</v>
      </c>
      <c r="F440" s="158" t="s">
        <v>1243</v>
      </c>
      <c r="G440" s="156" t="s">
        <v>14</v>
      </c>
      <c r="H440" s="157">
        <v>43737</v>
      </c>
      <c r="I440" s="158">
        <v>636</v>
      </c>
      <c r="J440" s="158" t="s">
        <v>58</v>
      </c>
      <c r="K440" s="159" t="s">
        <v>1403</v>
      </c>
      <c r="L440" s="159" t="s">
        <v>82</v>
      </c>
      <c r="M440" s="158" t="s">
        <v>60</v>
      </c>
      <c r="N440" s="162">
        <v>44316</v>
      </c>
      <c r="O440" s="162">
        <v>44316</v>
      </c>
      <c r="P440" s="158" t="s">
        <v>82</v>
      </c>
      <c r="Q440" s="159" t="s">
        <v>75</v>
      </c>
      <c r="R440" s="159" t="s">
        <v>82</v>
      </c>
      <c r="S440" s="159" t="s">
        <v>62</v>
      </c>
      <c r="T440" s="159" t="s">
        <v>62</v>
      </c>
      <c r="U440" s="169" t="s">
        <v>82</v>
      </c>
      <c r="V440" s="159" t="s">
        <v>82</v>
      </c>
      <c r="W440" s="159" t="s">
        <v>82</v>
      </c>
      <c r="X440" s="159" t="s">
        <v>82</v>
      </c>
      <c r="Y440" s="159" t="s">
        <v>82</v>
      </c>
      <c r="Z440" s="159" t="s">
        <v>82</v>
      </c>
      <c r="AA440" s="158" t="s">
        <v>82</v>
      </c>
      <c r="AB440" s="158" t="s">
        <v>82</v>
      </c>
      <c r="AC440" s="159" t="s">
        <v>82</v>
      </c>
      <c r="AD440" s="153"/>
      <c r="AE440" s="120"/>
    </row>
    <row r="441" spans="1:31" x14ac:dyDescent="0.25">
      <c r="A441" s="121" t="s">
        <v>82</v>
      </c>
      <c r="B441" s="144">
        <v>37252</v>
      </c>
      <c r="C441" s="154" t="s">
        <v>54</v>
      </c>
      <c r="D441" s="155" t="s">
        <v>1285</v>
      </c>
      <c r="E441" s="156" t="s">
        <v>1248</v>
      </c>
      <c r="F441" s="158" t="s">
        <v>1243</v>
      </c>
      <c r="G441" s="156" t="s">
        <v>14</v>
      </c>
      <c r="H441" s="157">
        <v>43737</v>
      </c>
      <c r="I441" s="158">
        <v>633</v>
      </c>
      <c r="J441" s="158" t="s">
        <v>58</v>
      </c>
      <c r="K441" s="159" t="s">
        <v>1403</v>
      </c>
      <c r="L441" s="159" t="s">
        <v>82</v>
      </c>
      <c r="M441" s="158" t="s">
        <v>60</v>
      </c>
      <c r="N441" s="162">
        <v>44316</v>
      </c>
      <c r="O441" s="162">
        <v>44316</v>
      </c>
      <c r="P441" s="158" t="s">
        <v>82</v>
      </c>
      <c r="Q441" s="159" t="s">
        <v>75</v>
      </c>
      <c r="R441" s="159" t="s">
        <v>82</v>
      </c>
      <c r="S441" s="159" t="s">
        <v>68</v>
      </c>
      <c r="T441" s="159" t="s">
        <v>68</v>
      </c>
      <c r="U441" s="169" t="s">
        <v>82</v>
      </c>
      <c r="V441" s="159" t="s">
        <v>82</v>
      </c>
      <c r="W441" s="159" t="s">
        <v>82</v>
      </c>
      <c r="X441" s="159" t="s">
        <v>82</v>
      </c>
      <c r="Y441" s="159" t="s">
        <v>82</v>
      </c>
      <c r="Z441" s="159" t="s">
        <v>82</v>
      </c>
      <c r="AA441" s="158" t="s">
        <v>82</v>
      </c>
      <c r="AB441" s="158" t="s">
        <v>82</v>
      </c>
      <c r="AC441" s="159" t="s">
        <v>82</v>
      </c>
      <c r="AD441" s="153"/>
      <c r="AE441" s="120"/>
    </row>
    <row r="442" spans="1:31" x14ac:dyDescent="0.25">
      <c r="A442" s="121" t="s">
        <v>82</v>
      </c>
      <c r="B442" s="144">
        <v>30589</v>
      </c>
      <c r="C442" s="154" t="s">
        <v>64</v>
      </c>
      <c r="D442" s="156" t="s">
        <v>1113</v>
      </c>
      <c r="E442" s="156" t="s">
        <v>1925</v>
      </c>
      <c r="F442" s="156" t="s">
        <v>1114</v>
      </c>
      <c r="G442" s="156" t="s">
        <v>14</v>
      </c>
      <c r="H442" s="157">
        <v>43004</v>
      </c>
      <c r="I442" s="158">
        <v>92</v>
      </c>
      <c r="J442" s="158" t="s">
        <v>58</v>
      </c>
      <c r="K442" s="159" t="s">
        <v>1403</v>
      </c>
      <c r="L442" s="159" t="s">
        <v>82</v>
      </c>
      <c r="M442" s="159" t="s">
        <v>82</v>
      </c>
      <c r="N442" s="159" t="s">
        <v>82</v>
      </c>
      <c r="O442" s="159" t="s">
        <v>82</v>
      </c>
      <c r="P442" s="159" t="s">
        <v>82</v>
      </c>
      <c r="Q442" s="159" t="s">
        <v>82</v>
      </c>
      <c r="R442" s="159" t="s">
        <v>82</v>
      </c>
      <c r="S442" s="159" t="s">
        <v>68</v>
      </c>
      <c r="T442" s="165" t="s">
        <v>68</v>
      </c>
      <c r="U442" s="161" t="s">
        <v>82</v>
      </c>
      <c r="V442" s="159" t="s">
        <v>82</v>
      </c>
      <c r="W442" s="159" t="s">
        <v>82</v>
      </c>
      <c r="X442" s="159" t="s">
        <v>82</v>
      </c>
      <c r="Y442" s="159" t="s">
        <v>82</v>
      </c>
      <c r="Z442" s="159" t="s">
        <v>82</v>
      </c>
      <c r="AA442" s="158" t="s">
        <v>82</v>
      </c>
      <c r="AB442" s="158" t="s">
        <v>82</v>
      </c>
      <c r="AC442" s="159" t="s">
        <v>82</v>
      </c>
      <c r="AD442" s="153"/>
      <c r="AE442" s="120"/>
    </row>
    <row r="443" spans="1:31" x14ac:dyDescent="0.25">
      <c r="A443" s="121" t="s">
        <v>82</v>
      </c>
      <c r="B443" s="144">
        <v>30589</v>
      </c>
      <c r="C443" s="154" t="s">
        <v>54</v>
      </c>
      <c r="D443" s="155" t="s">
        <v>1117</v>
      </c>
      <c r="E443" s="156" t="s">
        <v>1925</v>
      </c>
      <c r="F443" s="156" t="s">
        <v>1114</v>
      </c>
      <c r="G443" s="156" t="s">
        <v>14</v>
      </c>
      <c r="H443" s="157">
        <v>43004</v>
      </c>
      <c r="I443" s="158">
        <v>93</v>
      </c>
      <c r="J443" s="158" t="s">
        <v>58</v>
      </c>
      <c r="K443" s="159" t="s">
        <v>1318</v>
      </c>
      <c r="L443" s="159" t="s">
        <v>82</v>
      </c>
      <c r="M443" s="159" t="s">
        <v>82</v>
      </c>
      <c r="N443" s="159" t="s">
        <v>82</v>
      </c>
      <c r="O443" s="159" t="s">
        <v>82</v>
      </c>
      <c r="P443" s="159" t="s">
        <v>82</v>
      </c>
      <c r="Q443" s="159" t="s">
        <v>82</v>
      </c>
      <c r="R443" s="159" t="s">
        <v>82</v>
      </c>
      <c r="S443" s="159" t="s">
        <v>62</v>
      </c>
      <c r="T443" s="165" t="s">
        <v>62</v>
      </c>
      <c r="U443" s="161" t="s">
        <v>82</v>
      </c>
      <c r="V443" s="159" t="s">
        <v>82</v>
      </c>
      <c r="W443" s="159" t="s">
        <v>82</v>
      </c>
      <c r="X443" s="159" t="s">
        <v>82</v>
      </c>
      <c r="Y443" s="159" t="s">
        <v>82</v>
      </c>
      <c r="Z443" s="159" t="s">
        <v>82</v>
      </c>
      <c r="AA443" s="158" t="s">
        <v>82</v>
      </c>
      <c r="AB443" s="158" t="s">
        <v>82</v>
      </c>
      <c r="AC443" s="159" t="s">
        <v>82</v>
      </c>
      <c r="AD443" s="153"/>
      <c r="AE443" s="120"/>
    </row>
    <row r="444" spans="1:31" x14ac:dyDescent="0.25">
      <c r="A444" s="121" t="s">
        <v>82</v>
      </c>
      <c r="B444" s="144">
        <v>30590</v>
      </c>
      <c r="C444" s="154" t="s">
        <v>64</v>
      </c>
      <c r="D444" s="155" t="s">
        <v>1118</v>
      </c>
      <c r="E444" s="156" t="s">
        <v>1925</v>
      </c>
      <c r="F444" s="156" t="s">
        <v>1114</v>
      </c>
      <c r="G444" s="156" t="s">
        <v>14</v>
      </c>
      <c r="H444" s="157">
        <v>43024</v>
      </c>
      <c r="I444" s="158">
        <v>138</v>
      </c>
      <c r="J444" s="158" t="s">
        <v>58</v>
      </c>
      <c r="K444" s="159" t="s">
        <v>1318</v>
      </c>
      <c r="L444" s="159" t="s">
        <v>82</v>
      </c>
      <c r="M444" s="159" t="s">
        <v>82</v>
      </c>
      <c r="N444" s="159" t="s">
        <v>82</v>
      </c>
      <c r="O444" s="159" t="s">
        <v>82</v>
      </c>
      <c r="P444" s="159" t="s">
        <v>82</v>
      </c>
      <c r="Q444" s="159" t="s">
        <v>82</v>
      </c>
      <c r="R444" s="159" t="s">
        <v>68</v>
      </c>
      <c r="S444" s="159" t="s">
        <v>68</v>
      </c>
      <c r="T444" s="159" t="s">
        <v>68</v>
      </c>
      <c r="U444" s="159" t="s">
        <v>82</v>
      </c>
      <c r="V444" s="159" t="s">
        <v>82</v>
      </c>
      <c r="W444" s="159" t="s">
        <v>82</v>
      </c>
      <c r="X444" s="159" t="s">
        <v>82</v>
      </c>
      <c r="Y444" s="159" t="s">
        <v>82</v>
      </c>
      <c r="Z444" s="159" t="s">
        <v>82</v>
      </c>
      <c r="AA444" s="158" t="s">
        <v>82</v>
      </c>
      <c r="AB444" s="158" t="s">
        <v>82</v>
      </c>
      <c r="AC444" s="159" t="s">
        <v>82</v>
      </c>
      <c r="AD444" s="153"/>
      <c r="AE444" s="120"/>
    </row>
    <row r="445" spans="1:31" x14ac:dyDescent="0.25">
      <c r="A445" s="121" t="s">
        <v>82</v>
      </c>
      <c r="B445" s="144">
        <v>30590</v>
      </c>
      <c r="C445" s="154" t="s">
        <v>54</v>
      </c>
      <c r="D445" s="155" t="s">
        <v>1119</v>
      </c>
      <c r="E445" s="156" t="s">
        <v>1925</v>
      </c>
      <c r="F445" s="156" t="s">
        <v>1114</v>
      </c>
      <c r="G445" s="156" t="s">
        <v>14</v>
      </c>
      <c r="H445" s="157">
        <v>43024</v>
      </c>
      <c r="I445" s="158">
        <v>140</v>
      </c>
      <c r="J445" s="158" t="s">
        <v>58</v>
      </c>
      <c r="K445" s="159" t="s">
        <v>1318</v>
      </c>
      <c r="L445" s="159" t="s">
        <v>82</v>
      </c>
      <c r="M445" s="159" t="s">
        <v>82</v>
      </c>
      <c r="N445" s="159" t="s">
        <v>82</v>
      </c>
      <c r="O445" s="159" t="s">
        <v>82</v>
      </c>
      <c r="P445" s="159" t="s">
        <v>82</v>
      </c>
      <c r="Q445" s="159" t="s">
        <v>82</v>
      </c>
      <c r="R445" s="159" t="s">
        <v>62</v>
      </c>
      <c r="S445" s="159" t="s">
        <v>62</v>
      </c>
      <c r="T445" s="165" t="s">
        <v>62</v>
      </c>
      <c r="U445" s="159" t="s">
        <v>82</v>
      </c>
      <c r="V445" s="159" t="s">
        <v>82</v>
      </c>
      <c r="W445" s="159" t="s">
        <v>82</v>
      </c>
      <c r="X445" s="159" t="s">
        <v>82</v>
      </c>
      <c r="Y445" s="159" t="s">
        <v>82</v>
      </c>
      <c r="Z445" s="159" t="s">
        <v>82</v>
      </c>
      <c r="AA445" s="158" t="s">
        <v>82</v>
      </c>
      <c r="AB445" s="158" t="s">
        <v>82</v>
      </c>
      <c r="AC445" s="159" t="s">
        <v>82</v>
      </c>
      <c r="AD445" s="153"/>
      <c r="AE445" s="120"/>
    </row>
    <row r="446" spans="1:31" x14ac:dyDescent="0.25">
      <c r="A446" s="121" t="s">
        <v>82</v>
      </c>
      <c r="B446" s="144">
        <v>30591</v>
      </c>
      <c r="C446" s="154" t="s">
        <v>64</v>
      </c>
      <c r="D446" s="155" t="s">
        <v>1120</v>
      </c>
      <c r="E446" s="156" t="s">
        <v>1925</v>
      </c>
      <c r="F446" s="156" t="s">
        <v>1114</v>
      </c>
      <c r="G446" s="156" t="s">
        <v>14</v>
      </c>
      <c r="H446" s="157">
        <v>43041</v>
      </c>
      <c r="I446" s="158">
        <v>135</v>
      </c>
      <c r="J446" s="158" t="s">
        <v>58</v>
      </c>
      <c r="K446" s="159" t="s">
        <v>1249</v>
      </c>
      <c r="L446" s="159" t="s">
        <v>82</v>
      </c>
      <c r="M446" s="159" t="s">
        <v>82</v>
      </c>
      <c r="N446" s="159" t="s">
        <v>82</v>
      </c>
      <c r="O446" s="159" t="s">
        <v>82</v>
      </c>
      <c r="P446" s="159" t="s">
        <v>82</v>
      </c>
      <c r="Q446" s="159" t="s">
        <v>82</v>
      </c>
      <c r="R446" s="159" t="s">
        <v>68</v>
      </c>
      <c r="S446" s="159" t="s">
        <v>68</v>
      </c>
      <c r="T446" s="159" t="s">
        <v>68</v>
      </c>
      <c r="U446" s="159" t="s">
        <v>82</v>
      </c>
      <c r="V446" s="159" t="s">
        <v>82</v>
      </c>
      <c r="W446" s="159" t="s">
        <v>82</v>
      </c>
      <c r="X446" s="159" t="s">
        <v>82</v>
      </c>
      <c r="Y446" s="159" t="s">
        <v>82</v>
      </c>
      <c r="Z446" s="159" t="s">
        <v>82</v>
      </c>
      <c r="AA446" s="158" t="s">
        <v>82</v>
      </c>
      <c r="AB446" s="158" t="s">
        <v>82</v>
      </c>
      <c r="AC446" s="159" t="s">
        <v>82</v>
      </c>
      <c r="AD446" s="153"/>
      <c r="AE446" s="120"/>
    </row>
    <row r="447" spans="1:31" x14ac:dyDescent="0.25">
      <c r="A447" s="121" t="s">
        <v>82</v>
      </c>
      <c r="B447" s="144">
        <v>30591</v>
      </c>
      <c r="C447" s="154" t="s">
        <v>54</v>
      </c>
      <c r="D447" s="155" t="s">
        <v>1121</v>
      </c>
      <c r="E447" s="156" t="s">
        <v>1925</v>
      </c>
      <c r="F447" s="156" t="s">
        <v>1114</v>
      </c>
      <c r="G447" s="156" t="s">
        <v>14</v>
      </c>
      <c r="H447" s="157">
        <v>43041</v>
      </c>
      <c r="I447" s="158">
        <v>134</v>
      </c>
      <c r="J447" s="158" t="s">
        <v>58</v>
      </c>
      <c r="K447" s="159" t="s">
        <v>1403</v>
      </c>
      <c r="L447" s="159" t="s">
        <v>82</v>
      </c>
      <c r="M447" s="159" t="s">
        <v>82</v>
      </c>
      <c r="N447" s="159" t="s">
        <v>82</v>
      </c>
      <c r="O447" s="159" t="s">
        <v>82</v>
      </c>
      <c r="P447" s="159" t="s">
        <v>82</v>
      </c>
      <c r="Q447" s="159" t="s">
        <v>82</v>
      </c>
      <c r="R447" s="159" t="s">
        <v>62</v>
      </c>
      <c r="S447" s="159" t="s">
        <v>62</v>
      </c>
      <c r="T447" s="159" t="s">
        <v>62</v>
      </c>
      <c r="U447" s="159" t="s">
        <v>82</v>
      </c>
      <c r="V447" s="159" t="s">
        <v>82</v>
      </c>
      <c r="W447" s="159" t="s">
        <v>82</v>
      </c>
      <c r="X447" s="159" t="s">
        <v>82</v>
      </c>
      <c r="Y447" s="159" t="s">
        <v>82</v>
      </c>
      <c r="Z447" s="159" t="s">
        <v>82</v>
      </c>
      <c r="AA447" s="158" t="s">
        <v>82</v>
      </c>
      <c r="AB447" s="158" t="s">
        <v>82</v>
      </c>
      <c r="AC447" s="159" t="s">
        <v>82</v>
      </c>
      <c r="AD447" s="153"/>
      <c r="AE447" s="120"/>
    </row>
    <row r="448" spans="1:31" ht="23.4" x14ac:dyDescent="0.25">
      <c r="A448" s="121" t="s">
        <v>82</v>
      </c>
      <c r="B448" s="144">
        <v>30608</v>
      </c>
      <c r="C448" s="154" t="s">
        <v>64</v>
      </c>
      <c r="D448" s="155" t="s">
        <v>1122</v>
      </c>
      <c r="E448" s="156" t="s">
        <v>1925</v>
      </c>
      <c r="F448" s="156" t="s">
        <v>1114</v>
      </c>
      <c r="G448" s="156" t="s">
        <v>14</v>
      </c>
      <c r="H448" s="157">
        <v>43061</v>
      </c>
      <c r="I448" s="158">
        <v>147</v>
      </c>
      <c r="J448" s="158" t="s">
        <v>58</v>
      </c>
      <c r="K448" s="165" t="s">
        <v>59</v>
      </c>
      <c r="L448" s="159" t="s">
        <v>63</v>
      </c>
      <c r="M448" s="159" t="s">
        <v>82</v>
      </c>
      <c r="N448" s="159" t="s">
        <v>82</v>
      </c>
      <c r="O448" s="159" t="s">
        <v>82</v>
      </c>
      <c r="P448" s="159" t="s">
        <v>82</v>
      </c>
      <c r="Q448" s="159" t="s">
        <v>82</v>
      </c>
      <c r="R448" s="159" t="s">
        <v>68</v>
      </c>
      <c r="S448" s="159" t="s">
        <v>68</v>
      </c>
      <c r="T448" s="159" t="s">
        <v>68</v>
      </c>
      <c r="U448" s="161" t="s">
        <v>82</v>
      </c>
      <c r="V448" s="159" t="s">
        <v>82</v>
      </c>
      <c r="W448" s="159" t="s">
        <v>82</v>
      </c>
      <c r="X448" s="159" t="s">
        <v>82</v>
      </c>
      <c r="Y448" s="159" t="s">
        <v>82</v>
      </c>
      <c r="Z448" s="159" t="s">
        <v>82</v>
      </c>
      <c r="AA448" s="158" t="s">
        <v>82</v>
      </c>
      <c r="AB448" s="158" t="s">
        <v>82</v>
      </c>
      <c r="AC448" s="159" t="s">
        <v>82</v>
      </c>
      <c r="AD448" s="153"/>
      <c r="AE448" s="120"/>
    </row>
    <row r="449" spans="1:31" ht="23.4" x14ac:dyDescent="0.25">
      <c r="A449" s="121" t="s">
        <v>82</v>
      </c>
      <c r="B449" s="144">
        <v>30608</v>
      </c>
      <c r="C449" s="154" t="s">
        <v>54</v>
      </c>
      <c r="D449" s="155" t="s">
        <v>1124</v>
      </c>
      <c r="E449" s="156" t="s">
        <v>1925</v>
      </c>
      <c r="F449" s="156" t="s">
        <v>1114</v>
      </c>
      <c r="G449" s="156" t="s">
        <v>14</v>
      </c>
      <c r="H449" s="157">
        <v>43061</v>
      </c>
      <c r="I449" s="158">
        <v>153</v>
      </c>
      <c r="J449" s="158" t="s">
        <v>58</v>
      </c>
      <c r="K449" s="165" t="s">
        <v>59</v>
      </c>
      <c r="L449" s="159" t="s">
        <v>63</v>
      </c>
      <c r="M449" s="159" t="s">
        <v>82</v>
      </c>
      <c r="N449" s="159" t="s">
        <v>82</v>
      </c>
      <c r="O449" s="159" t="s">
        <v>82</v>
      </c>
      <c r="P449" s="159" t="s">
        <v>82</v>
      </c>
      <c r="Q449" s="159" t="s">
        <v>82</v>
      </c>
      <c r="R449" s="159" t="s">
        <v>82</v>
      </c>
      <c r="S449" s="159" t="s">
        <v>62</v>
      </c>
      <c r="T449" s="159" t="s">
        <v>62</v>
      </c>
      <c r="U449" s="161" t="s">
        <v>82</v>
      </c>
      <c r="V449" s="159" t="s">
        <v>82</v>
      </c>
      <c r="W449" s="159" t="s">
        <v>82</v>
      </c>
      <c r="X449" s="159" t="s">
        <v>82</v>
      </c>
      <c r="Y449" s="159" t="s">
        <v>82</v>
      </c>
      <c r="Z449" s="159" t="s">
        <v>82</v>
      </c>
      <c r="AA449" s="158" t="s">
        <v>82</v>
      </c>
      <c r="AB449" s="158" t="s">
        <v>82</v>
      </c>
      <c r="AC449" s="159" t="s">
        <v>82</v>
      </c>
      <c r="AD449" s="153"/>
      <c r="AE449" s="120"/>
    </row>
    <row r="450" spans="1:31" ht="23.4" x14ac:dyDescent="0.25">
      <c r="A450" s="121" t="s">
        <v>82</v>
      </c>
      <c r="B450" s="144">
        <v>37079</v>
      </c>
      <c r="C450" s="154" t="s">
        <v>64</v>
      </c>
      <c r="D450" s="155" t="s">
        <v>2042</v>
      </c>
      <c r="E450" s="156" t="s">
        <v>1925</v>
      </c>
      <c r="F450" s="158" t="s">
        <v>1114</v>
      </c>
      <c r="G450" s="156" t="s">
        <v>14</v>
      </c>
      <c r="H450" s="157">
        <v>43477</v>
      </c>
      <c r="I450" s="158">
        <v>272</v>
      </c>
      <c r="J450" s="158" t="s">
        <v>58</v>
      </c>
      <c r="K450" s="165" t="s">
        <v>59</v>
      </c>
      <c r="L450" s="170">
        <v>44379</v>
      </c>
      <c r="M450" s="159" t="s">
        <v>60</v>
      </c>
      <c r="N450" s="170">
        <v>44379</v>
      </c>
      <c r="O450" s="159" t="s">
        <v>82</v>
      </c>
      <c r="P450" s="159" t="s">
        <v>82</v>
      </c>
      <c r="Q450" s="159" t="s">
        <v>82</v>
      </c>
      <c r="R450" s="159" t="s">
        <v>82</v>
      </c>
      <c r="S450" s="159" t="s">
        <v>68</v>
      </c>
      <c r="T450" s="159" t="s">
        <v>68</v>
      </c>
      <c r="U450" s="159" t="s">
        <v>82</v>
      </c>
      <c r="V450" s="159" t="s">
        <v>82</v>
      </c>
      <c r="W450" s="159" t="s">
        <v>82</v>
      </c>
      <c r="X450" s="159" t="s">
        <v>82</v>
      </c>
      <c r="Y450" s="159" t="s">
        <v>82</v>
      </c>
      <c r="Z450" s="159" t="s">
        <v>82</v>
      </c>
      <c r="AA450" s="158" t="s">
        <v>82</v>
      </c>
      <c r="AB450" s="158" t="s">
        <v>82</v>
      </c>
      <c r="AC450" s="159" t="s">
        <v>82</v>
      </c>
      <c r="AD450" s="153"/>
      <c r="AE450" s="120"/>
    </row>
    <row r="451" spans="1:31" ht="23.4" x14ac:dyDescent="0.25">
      <c r="A451" s="121" t="s">
        <v>82</v>
      </c>
      <c r="B451" s="144">
        <v>37079</v>
      </c>
      <c r="C451" s="154" t="s">
        <v>54</v>
      </c>
      <c r="D451" s="155" t="s">
        <v>2043</v>
      </c>
      <c r="E451" s="156" t="s">
        <v>1925</v>
      </c>
      <c r="F451" s="158" t="s">
        <v>1114</v>
      </c>
      <c r="G451" s="156" t="s">
        <v>14</v>
      </c>
      <c r="H451" s="157">
        <v>43477</v>
      </c>
      <c r="I451" s="158">
        <v>273</v>
      </c>
      <c r="J451" s="158" t="s">
        <v>58</v>
      </c>
      <c r="K451" s="165" t="s">
        <v>59</v>
      </c>
      <c r="L451" s="170">
        <v>44379</v>
      </c>
      <c r="M451" s="159" t="s">
        <v>60</v>
      </c>
      <c r="N451" s="170">
        <v>44379</v>
      </c>
      <c r="O451" s="159" t="s">
        <v>82</v>
      </c>
      <c r="P451" s="159" t="s">
        <v>82</v>
      </c>
      <c r="Q451" s="159" t="s">
        <v>82</v>
      </c>
      <c r="R451" s="159" t="s">
        <v>82</v>
      </c>
      <c r="S451" s="159" t="s">
        <v>62</v>
      </c>
      <c r="T451" s="159" t="s">
        <v>62</v>
      </c>
      <c r="U451" s="159" t="s">
        <v>82</v>
      </c>
      <c r="V451" s="159" t="s">
        <v>82</v>
      </c>
      <c r="W451" s="159" t="s">
        <v>82</v>
      </c>
      <c r="X451" s="159" t="s">
        <v>82</v>
      </c>
      <c r="Y451" s="159" t="s">
        <v>82</v>
      </c>
      <c r="Z451" s="159" t="s">
        <v>82</v>
      </c>
      <c r="AA451" s="158" t="s">
        <v>82</v>
      </c>
      <c r="AB451" s="158" t="s">
        <v>82</v>
      </c>
      <c r="AC451" s="159" t="s">
        <v>82</v>
      </c>
      <c r="AD451" s="153"/>
      <c r="AE451" s="120"/>
    </row>
    <row r="452" spans="1:31" ht="23.4" x14ac:dyDescent="0.25">
      <c r="A452" s="121" t="s">
        <v>82</v>
      </c>
      <c r="B452" s="144">
        <v>37089</v>
      </c>
      <c r="C452" s="154" t="s">
        <v>64</v>
      </c>
      <c r="D452" s="155" t="s">
        <v>2044</v>
      </c>
      <c r="E452" s="156" t="s">
        <v>1925</v>
      </c>
      <c r="F452" s="158" t="s">
        <v>1114</v>
      </c>
      <c r="G452" s="156" t="s">
        <v>14</v>
      </c>
      <c r="H452" s="157">
        <v>43516</v>
      </c>
      <c r="I452" s="158">
        <v>282</v>
      </c>
      <c r="J452" s="158" t="s">
        <v>58</v>
      </c>
      <c r="K452" s="165" t="s">
        <v>59</v>
      </c>
      <c r="L452" s="170">
        <v>44333</v>
      </c>
      <c r="M452" s="158" t="s">
        <v>60</v>
      </c>
      <c r="N452" s="170">
        <v>44333</v>
      </c>
      <c r="O452" s="159" t="s">
        <v>82</v>
      </c>
      <c r="P452" s="159" t="s">
        <v>82</v>
      </c>
      <c r="Q452" s="159" t="s">
        <v>82</v>
      </c>
      <c r="R452" s="159" t="s">
        <v>82</v>
      </c>
      <c r="S452" s="159" t="s">
        <v>68</v>
      </c>
      <c r="T452" s="159" t="s">
        <v>68</v>
      </c>
      <c r="U452" s="161" t="s">
        <v>82</v>
      </c>
      <c r="V452" s="159" t="s">
        <v>82</v>
      </c>
      <c r="W452" s="159" t="s">
        <v>82</v>
      </c>
      <c r="X452" s="159" t="s">
        <v>82</v>
      </c>
      <c r="Y452" s="159" t="s">
        <v>82</v>
      </c>
      <c r="Z452" s="159" t="s">
        <v>82</v>
      </c>
      <c r="AA452" s="158" t="s">
        <v>82</v>
      </c>
      <c r="AB452" s="158" t="s">
        <v>82</v>
      </c>
      <c r="AC452" s="159" t="s">
        <v>82</v>
      </c>
      <c r="AD452" s="153"/>
      <c r="AE452" s="120"/>
    </row>
    <row r="453" spans="1:31" ht="23.4" x14ac:dyDescent="0.25">
      <c r="A453" s="121" t="s">
        <v>82</v>
      </c>
      <c r="B453" s="144">
        <v>37089</v>
      </c>
      <c r="C453" s="154" t="s">
        <v>54</v>
      </c>
      <c r="D453" s="155" t="s">
        <v>2045</v>
      </c>
      <c r="E453" s="156" t="s">
        <v>1925</v>
      </c>
      <c r="F453" s="158" t="s">
        <v>1114</v>
      </c>
      <c r="G453" s="156" t="s">
        <v>14</v>
      </c>
      <c r="H453" s="157">
        <v>43516</v>
      </c>
      <c r="I453" s="158">
        <v>260</v>
      </c>
      <c r="J453" s="158" t="s">
        <v>58</v>
      </c>
      <c r="K453" s="165" t="s">
        <v>59</v>
      </c>
      <c r="L453" s="170">
        <v>44333</v>
      </c>
      <c r="M453" s="158" t="s">
        <v>60</v>
      </c>
      <c r="N453" s="170">
        <v>44333</v>
      </c>
      <c r="O453" s="159" t="s">
        <v>82</v>
      </c>
      <c r="P453" s="159" t="s">
        <v>82</v>
      </c>
      <c r="Q453" s="159" t="s">
        <v>82</v>
      </c>
      <c r="R453" s="159" t="s">
        <v>82</v>
      </c>
      <c r="S453" s="159" t="s">
        <v>62</v>
      </c>
      <c r="T453" s="159" t="s">
        <v>62</v>
      </c>
      <c r="U453" s="161" t="s">
        <v>82</v>
      </c>
      <c r="V453" s="159" t="s">
        <v>82</v>
      </c>
      <c r="W453" s="159" t="s">
        <v>82</v>
      </c>
      <c r="X453" s="159" t="s">
        <v>82</v>
      </c>
      <c r="Y453" s="159" t="s">
        <v>82</v>
      </c>
      <c r="Z453" s="159" t="s">
        <v>82</v>
      </c>
      <c r="AA453" s="158" t="s">
        <v>82</v>
      </c>
      <c r="AB453" s="158" t="s">
        <v>82</v>
      </c>
      <c r="AC453" s="159" t="s">
        <v>82</v>
      </c>
      <c r="AD453" s="153"/>
      <c r="AE453" s="120"/>
    </row>
    <row r="454" spans="1:31" x14ac:dyDescent="0.25">
      <c r="A454" s="121" t="s">
        <v>82</v>
      </c>
      <c r="B454" s="144">
        <v>37091</v>
      </c>
      <c r="C454" s="154" t="s">
        <v>64</v>
      </c>
      <c r="D454" s="155" t="s">
        <v>2046</v>
      </c>
      <c r="E454" s="156" t="s">
        <v>1925</v>
      </c>
      <c r="F454" s="158" t="s">
        <v>1114</v>
      </c>
      <c r="G454" s="156" t="s">
        <v>14</v>
      </c>
      <c r="H454" s="157">
        <v>43517</v>
      </c>
      <c r="I454" s="158">
        <v>280</v>
      </c>
      <c r="J454" s="158" t="s">
        <v>58</v>
      </c>
      <c r="K454" s="159" t="s">
        <v>1249</v>
      </c>
      <c r="L454" s="159" t="s">
        <v>82</v>
      </c>
      <c r="M454" s="159" t="s">
        <v>82</v>
      </c>
      <c r="N454" s="159" t="s">
        <v>82</v>
      </c>
      <c r="O454" s="159" t="s">
        <v>82</v>
      </c>
      <c r="P454" s="159" t="s">
        <v>82</v>
      </c>
      <c r="Q454" s="159" t="s">
        <v>82</v>
      </c>
      <c r="R454" s="159" t="s">
        <v>82</v>
      </c>
      <c r="S454" s="159" t="s">
        <v>68</v>
      </c>
      <c r="T454" s="159" t="s">
        <v>68</v>
      </c>
      <c r="U454" s="161" t="s">
        <v>82</v>
      </c>
      <c r="V454" s="159" t="s">
        <v>82</v>
      </c>
      <c r="W454" s="159" t="s">
        <v>82</v>
      </c>
      <c r="X454" s="159" t="s">
        <v>82</v>
      </c>
      <c r="Y454" s="159" t="s">
        <v>82</v>
      </c>
      <c r="Z454" s="159" t="s">
        <v>82</v>
      </c>
      <c r="AA454" s="158" t="s">
        <v>82</v>
      </c>
      <c r="AB454" s="158" t="s">
        <v>82</v>
      </c>
      <c r="AC454" s="159" t="s">
        <v>82</v>
      </c>
      <c r="AD454" s="153"/>
      <c r="AE454" s="120"/>
    </row>
    <row r="455" spans="1:31" x14ac:dyDescent="0.25">
      <c r="A455" s="121" t="s">
        <v>82</v>
      </c>
      <c r="B455" s="144">
        <v>37091</v>
      </c>
      <c r="C455" s="154" t="s">
        <v>54</v>
      </c>
      <c r="D455" s="155" t="s">
        <v>2047</v>
      </c>
      <c r="E455" s="156" t="s">
        <v>1925</v>
      </c>
      <c r="F455" s="158" t="s">
        <v>1114</v>
      </c>
      <c r="G455" s="156" t="s">
        <v>14</v>
      </c>
      <c r="H455" s="157">
        <v>43517</v>
      </c>
      <c r="I455" s="158">
        <v>281</v>
      </c>
      <c r="J455" s="158" t="s">
        <v>58</v>
      </c>
      <c r="K455" s="159" t="s">
        <v>1249</v>
      </c>
      <c r="L455" s="159" t="s">
        <v>82</v>
      </c>
      <c r="M455" s="159" t="s">
        <v>82</v>
      </c>
      <c r="N455" s="159" t="s">
        <v>82</v>
      </c>
      <c r="O455" s="159" t="s">
        <v>82</v>
      </c>
      <c r="P455" s="159" t="s">
        <v>82</v>
      </c>
      <c r="Q455" s="159" t="s">
        <v>82</v>
      </c>
      <c r="R455" s="171" t="s">
        <v>82</v>
      </c>
      <c r="S455" s="159" t="s">
        <v>62</v>
      </c>
      <c r="T455" s="159" t="s">
        <v>62</v>
      </c>
      <c r="U455" s="161" t="s">
        <v>82</v>
      </c>
      <c r="V455" s="159" t="s">
        <v>82</v>
      </c>
      <c r="W455" s="159" t="s">
        <v>82</v>
      </c>
      <c r="X455" s="159" t="s">
        <v>82</v>
      </c>
      <c r="Y455" s="159" t="s">
        <v>82</v>
      </c>
      <c r="Z455" s="159" t="s">
        <v>82</v>
      </c>
      <c r="AA455" s="158" t="s">
        <v>82</v>
      </c>
      <c r="AB455" s="158" t="s">
        <v>82</v>
      </c>
      <c r="AC455" s="159" t="s">
        <v>82</v>
      </c>
      <c r="AD455" s="153"/>
      <c r="AE455" s="120"/>
    </row>
    <row r="456" spans="1:31" ht="23.4" x14ac:dyDescent="0.25">
      <c r="A456" s="121" t="s">
        <v>82</v>
      </c>
      <c r="B456" s="144">
        <v>37095</v>
      </c>
      <c r="C456" s="154" t="s">
        <v>64</v>
      </c>
      <c r="D456" s="155" t="s">
        <v>2048</v>
      </c>
      <c r="E456" s="156" t="s">
        <v>1925</v>
      </c>
      <c r="F456" s="158" t="s">
        <v>1114</v>
      </c>
      <c r="G456" s="156" t="s">
        <v>14</v>
      </c>
      <c r="H456" s="157">
        <v>43522</v>
      </c>
      <c r="I456" s="158">
        <v>278</v>
      </c>
      <c r="J456" s="158" t="s">
        <v>58</v>
      </c>
      <c r="K456" s="165" t="s">
        <v>59</v>
      </c>
      <c r="L456" s="170">
        <v>44348</v>
      </c>
      <c r="M456" s="159" t="s">
        <v>82</v>
      </c>
      <c r="N456" s="159" t="s">
        <v>82</v>
      </c>
      <c r="O456" s="159" t="s">
        <v>82</v>
      </c>
      <c r="P456" s="159" t="s">
        <v>82</v>
      </c>
      <c r="Q456" s="159" t="s">
        <v>82</v>
      </c>
      <c r="R456" s="159" t="s">
        <v>82</v>
      </c>
      <c r="S456" s="159" t="s">
        <v>68</v>
      </c>
      <c r="T456" s="159" t="s">
        <v>68</v>
      </c>
      <c r="U456" s="161" t="s">
        <v>82</v>
      </c>
      <c r="V456" s="159" t="s">
        <v>82</v>
      </c>
      <c r="W456" s="159" t="s">
        <v>82</v>
      </c>
      <c r="X456" s="159" t="s">
        <v>82</v>
      </c>
      <c r="Y456" s="159" t="s">
        <v>82</v>
      </c>
      <c r="Z456" s="159" t="s">
        <v>82</v>
      </c>
      <c r="AA456" s="158" t="s">
        <v>82</v>
      </c>
      <c r="AB456" s="158" t="s">
        <v>82</v>
      </c>
      <c r="AC456" s="159" t="s">
        <v>82</v>
      </c>
      <c r="AD456" s="153"/>
      <c r="AE456" s="120"/>
    </row>
    <row r="457" spans="1:31" ht="23.4" x14ac:dyDescent="0.25">
      <c r="A457" s="121" t="s">
        <v>82</v>
      </c>
      <c r="B457" s="144">
        <v>37095</v>
      </c>
      <c r="C457" s="154" t="s">
        <v>54</v>
      </c>
      <c r="D457" s="156" t="s">
        <v>2049</v>
      </c>
      <c r="E457" s="156" t="s">
        <v>1925</v>
      </c>
      <c r="F457" s="158" t="s">
        <v>1114</v>
      </c>
      <c r="G457" s="156" t="s">
        <v>14</v>
      </c>
      <c r="H457" s="157">
        <v>43522</v>
      </c>
      <c r="I457" s="158">
        <v>230</v>
      </c>
      <c r="J457" s="158" t="s">
        <v>58</v>
      </c>
      <c r="K457" s="165" t="s">
        <v>59</v>
      </c>
      <c r="L457" s="170">
        <v>44348</v>
      </c>
      <c r="M457" s="159" t="s">
        <v>82</v>
      </c>
      <c r="N457" s="159" t="s">
        <v>82</v>
      </c>
      <c r="O457" s="159" t="s">
        <v>82</v>
      </c>
      <c r="P457" s="159" t="s">
        <v>82</v>
      </c>
      <c r="Q457" s="159" t="s">
        <v>82</v>
      </c>
      <c r="R457" s="159" t="s">
        <v>82</v>
      </c>
      <c r="S457" s="159" t="s">
        <v>82</v>
      </c>
      <c r="T457" s="159" t="s">
        <v>82</v>
      </c>
      <c r="U457" s="169" t="s">
        <v>82</v>
      </c>
      <c r="V457" s="159" t="s">
        <v>82</v>
      </c>
      <c r="W457" s="159" t="s">
        <v>82</v>
      </c>
      <c r="X457" s="159" t="s">
        <v>82</v>
      </c>
      <c r="Y457" s="159" t="s">
        <v>82</v>
      </c>
      <c r="Z457" s="159" t="s">
        <v>82</v>
      </c>
      <c r="AA457" s="158" t="s">
        <v>82</v>
      </c>
      <c r="AB457" s="158" t="s">
        <v>82</v>
      </c>
      <c r="AC457" s="159" t="s">
        <v>82</v>
      </c>
      <c r="AD457" s="153"/>
      <c r="AE457" s="120"/>
    </row>
    <row r="458" spans="1:31" x14ac:dyDescent="0.25">
      <c r="A458" s="121" t="s">
        <v>82</v>
      </c>
      <c r="B458" s="144">
        <v>37119</v>
      </c>
      <c r="C458" s="154" t="s">
        <v>64</v>
      </c>
      <c r="D458" s="155" t="s">
        <v>1287</v>
      </c>
      <c r="E458" s="156" t="s">
        <v>1925</v>
      </c>
      <c r="F458" s="158" t="s">
        <v>1114</v>
      </c>
      <c r="G458" s="156" t="s">
        <v>14</v>
      </c>
      <c r="H458" s="157">
        <v>43544</v>
      </c>
      <c r="I458" s="158">
        <v>322</v>
      </c>
      <c r="J458" s="158" t="s">
        <v>58</v>
      </c>
      <c r="K458" s="159" t="s">
        <v>1403</v>
      </c>
      <c r="L458" s="159" t="s">
        <v>82</v>
      </c>
      <c r="M458" s="158" t="s">
        <v>60</v>
      </c>
      <c r="N458" s="162">
        <v>44187</v>
      </c>
      <c r="O458" s="159" t="s">
        <v>82</v>
      </c>
      <c r="P458" s="159" t="s">
        <v>82</v>
      </c>
      <c r="Q458" s="159" t="s">
        <v>82</v>
      </c>
      <c r="R458" s="159" t="s">
        <v>82</v>
      </c>
      <c r="S458" s="159" t="s">
        <v>68</v>
      </c>
      <c r="T458" s="159" t="s">
        <v>68</v>
      </c>
      <c r="U458" s="161" t="s">
        <v>82</v>
      </c>
      <c r="V458" s="159" t="s">
        <v>82</v>
      </c>
      <c r="W458" s="159" t="s">
        <v>82</v>
      </c>
      <c r="X458" s="159" t="s">
        <v>82</v>
      </c>
      <c r="Y458" s="159" t="s">
        <v>82</v>
      </c>
      <c r="Z458" s="159" t="s">
        <v>82</v>
      </c>
      <c r="AA458" s="158" t="s">
        <v>82</v>
      </c>
      <c r="AB458" s="158" t="s">
        <v>82</v>
      </c>
      <c r="AC458" s="159" t="s">
        <v>82</v>
      </c>
      <c r="AD458" s="153"/>
      <c r="AE458" s="120"/>
    </row>
    <row r="459" spans="1:31" x14ac:dyDescent="0.25">
      <c r="A459" s="121" t="s">
        <v>82</v>
      </c>
      <c r="B459" s="144">
        <v>37119</v>
      </c>
      <c r="C459" s="154" t="s">
        <v>54</v>
      </c>
      <c r="D459" s="155" t="s">
        <v>1293</v>
      </c>
      <c r="E459" s="156" t="s">
        <v>1925</v>
      </c>
      <c r="F459" s="158" t="s">
        <v>1114</v>
      </c>
      <c r="G459" s="156" t="s">
        <v>14</v>
      </c>
      <c r="H459" s="157">
        <v>43544</v>
      </c>
      <c r="I459" s="158">
        <v>401</v>
      </c>
      <c r="J459" s="158" t="s">
        <v>58</v>
      </c>
      <c r="K459" s="159" t="s">
        <v>1403</v>
      </c>
      <c r="L459" s="159" t="s">
        <v>82</v>
      </c>
      <c r="M459" s="158" t="s">
        <v>60</v>
      </c>
      <c r="N459" s="162">
        <v>44187</v>
      </c>
      <c r="O459" s="159" t="s">
        <v>82</v>
      </c>
      <c r="P459" s="159" t="s">
        <v>82</v>
      </c>
      <c r="Q459" s="159" t="s">
        <v>82</v>
      </c>
      <c r="R459" s="159" t="s">
        <v>82</v>
      </c>
      <c r="S459" s="159" t="s">
        <v>62</v>
      </c>
      <c r="T459" s="159" t="s">
        <v>62</v>
      </c>
      <c r="U459" s="161" t="s">
        <v>82</v>
      </c>
      <c r="V459" s="159" t="s">
        <v>82</v>
      </c>
      <c r="W459" s="159" t="s">
        <v>82</v>
      </c>
      <c r="X459" s="159" t="s">
        <v>82</v>
      </c>
      <c r="Y459" s="159" t="s">
        <v>82</v>
      </c>
      <c r="Z459" s="159" t="s">
        <v>82</v>
      </c>
      <c r="AA459" s="158" t="s">
        <v>82</v>
      </c>
      <c r="AB459" s="158" t="s">
        <v>82</v>
      </c>
      <c r="AC459" s="159" t="s">
        <v>82</v>
      </c>
      <c r="AD459" s="153"/>
      <c r="AE459" s="120"/>
    </row>
    <row r="460" spans="1:31" x14ac:dyDescent="0.25">
      <c r="A460" s="121" t="s">
        <v>82</v>
      </c>
      <c r="B460" s="144">
        <v>37135</v>
      </c>
      <c r="C460" s="154" t="s">
        <v>64</v>
      </c>
      <c r="D460" s="155" t="s">
        <v>1294</v>
      </c>
      <c r="E460" s="156" t="s">
        <v>1925</v>
      </c>
      <c r="F460" s="158" t="s">
        <v>1114</v>
      </c>
      <c r="G460" s="156" t="s">
        <v>14</v>
      </c>
      <c r="H460" s="172">
        <v>43553</v>
      </c>
      <c r="I460" s="158">
        <v>327</v>
      </c>
      <c r="J460" s="158" t="s">
        <v>58</v>
      </c>
      <c r="K460" s="159" t="s">
        <v>1318</v>
      </c>
      <c r="L460" s="159" t="s">
        <v>82</v>
      </c>
      <c r="M460" s="158" t="s">
        <v>60</v>
      </c>
      <c r="N460" s="162">
        <v>44190</v>
      </c>
      <c r="O460" s="159" t="s">
        <v>82</v>
      </c>
      <c r="P460" s="159" t="s">
        <v>82</v>
      </c>
      <c r="Q460" s="159" t="s">
        <v>82</v>
      </c>
      <c r="R460" s="159" t="s">
        <v>68</v>
      </c>
      <c r="S460" s="159" t="s">
        <v>68</v>
      </c>
      <c r="T460" s="159" t="s">
        <v>68</v>
      </c>
      <c r="U460" s="161" t="s">
        <v>82</v>
      </c>
      <c r="V460" s="159" t="s">
        <v>82</v>
      </c>
      <c r="W460" s="159" t="s">
        <v>82</v>
      </c>
      <c r="X460" s="159" t="s">
        <v>82</v>
      </c>
      <c r="Y460" s="159" t="s">
        <v>82</v>
      </c>
      <c r="Z460" s="159" t="s">
        <v>82</v>
      </c>
      <c r="AA460" s="158" t="s">
        <v>82</v>
      </c>
      <c r="AB460" s="158" t="s">
        <v>82</v>
      </c>
      <c r="AC460" s="159" t="s">
        <v>82</v>
      </c>
      <c r="AD460" s="153"/>
      <c r="AE460" s="120"/>
    </row>
    <row r="461" spans="1:31" x14ac:dyDescent="0.25">
      <c r="A461" s="121" t="s">
        <v>82</v>
      </c>
      <c r="B461" s="144">
        <v>37135</v>
      </c>
      <c r="C461" s="154" t="s">
        <v>54</v>
      </c>
      <c r="D461" s="155" t="s">
        <v>1299</v>
      </c>
      <c r="E461" s="156" t="s">
        <v>1925</v>
      </c>
      <c r="F461" s="158" t="s">
        <v>1114</v>
      </c>
      <c r="G461" s="156" t="s">
        <v>14</v>
      </c>
      <c r="H461" s="172">
        <v>43553</v>
      </c>
      <c r="I461" s="158">
        <v>409</v>
      </c>
      <c r="J461" s="158" t="s">
        <v>58</v>
      </c>
      <c r="K461" s="159" t="s">
        <v>1318</v>
      </c>
      <c r="L461" s="159" t="s">
        <v>82</v>
      </c>
      <c r="M461" s="158" t="s">
        <v>60</v>
      </c>
      <c r="N461" s="162">
        <v>44190</v>
      </c>
      <c r="O461" s="159" t="s">
        <v>82</v>
      </c>
      <c r="P461" s="159" t="s">
        <v>82</v>
      </c>
      <c r="Q461" s="159" t="s">
        <v>82</v>
      </c>
      <c r="R461" s="159" t="s">
        <v>62</v>
      </c>
      <c r="S461" s="159" t="s">
        <v>62</v>
      </c>
      <c r="T461" s="159" t="s">
        <v>62</v>
      </c>
      <c r="U461" s="161" t="s">
        <v>82</v>
      </c>
      <c r="V461" s="159" t="s">
        <v>82</v>
      </c>
      <c r="W461" s="159" t="s">
        <v>82</v>
      </c>
      <c r="X461" s="159" t="s">
        <v>82</v>
      </c>
      <c r="Y461" s="159" t="s">
        <v>82</v>
      </c>
      <c r="Z461" s="159" t="s">
        <v>82</v>
      </c>
      <c r="AA461" s="158" t="s">
        <v>82</v>
      </c>
      <c r="AB461" s="158" t="s">
        <v>82</v>
      </c>
      <c r="AC461" s="159" t="s">
        <v>82</v>
      </c>
      <c r="AD461" s="153"/>
      <c r="AE461" s="120"/>
    </row>
    <row r="462" spans="1:31" x14ac:dyDescent="0.25">
      <c r="A462" s="121" t="s">
        <v>82</v>
      </c>
      <c r="B462" s="144">
        <v>37138</v>
      </c>
      <c r="C462" s="154" t="s">
        <v>64</v>
      </c>
      <c r="D462" s="155" t="s">
        <v>1300</v>
      </c>
      <c r="E462" s="156" t="s">
        <v>1925</v>
      </c>
      <c r="F462" s="158" t="s">
        <v>1114</v>
      </c>
      <c r="G462" s="156" t="s">
        <v>14</v>
      </c>
      <c r="H462" s="172">
        <v>43570</v>
      </c>
      <c r="I462" s="158">
        <v>406</v>
      </c>
      <c r="J462" s="158" t="s">
        <v>58</v>
      </c>
      <c r="K462" s="159" t="s">
        <v>1318</v>
      </c>
      <c r="L462" s="159" t="s">
        <v>82</v>
      </c>
      <c r="M462" s="158" t="s">
        <v>60</v>
      </c>
      <c r="N462" s="162">
        <v>44210</v>
      </c>
      <c r="O462" s="159" t="s">
        <v>82</v>
      </c>
      <c r="P462" s="159" t="s">
        <v>82</v>
      </c>
      <c r="Q462" s="159" t="s">
        <v>82</v>
      </c>
      <c r="R462" s="159" t="s">
        <v>82</v>
      </c>
      <c r="S462" s="159" t="s">
        <v>68</v>
      </c>
      <c r="T462" s="159" t="s">
        <v>68</v>
      </c>
      <c r="U462" s="159" t="s">
        <v>82</v>
      </c>
      <c r="V462" s="159" t="s">
        <v>82</v>
      </c>
      <c r="W462" s="159" t="s">
        <v>82</v>
      </c>
      <c r="X462" s="159" t="s">
        <v>82</v>
      </c>
      <c r="Y462" s="159" t="s">
        <v>82</v>
      </c>
      <c r="Z462" s="159" t="s">
        <v>82</v>
      </c>
      <c r="AA462" s="158" t="s">
        <v>82</v>
      </c>
      <c r="AB462" s="158" t="s">
        <v>82</v>
      </c>
      <c r="AC462" s="159" t="s">
        <v>82</v>
      </c>
      <c r="AD462" s="153"/>
      <c r="AE462" s="120"/>
    </row>
    <row r="463" spans="1:31" x14ac:dyDescent="0.25">
      <c r="A463" s="121" t="s">
        <v>82</v>
      </c>
      <c r="B463" s="144">
        <v>37138</v>
      </c>
      <c r="C463" s="154" t="s">
        <v>54</v>
      </c>
      <c r="D463" s="155" t="s">
        <v>1304</v>
      </c>
      <c r="E463" s="156" t="s">
        <v>1925</v>
      </c>
      <c r="F463" s="158" t="s">
        <v>1114</v>
      </c>
      <c r="G463" s="156" t="s">
        <v>14</v>
      </c>
      <c r="H463" s="172">
        <v>43570</v>
      </c>
      <c r="I463" s="158">
        <v>407</v>
      </c>
      <c r="J463" s="158" t="s">
        <v>58</v>
      </c>
      <c r="K463" s="159" t="s">
        <v>1318</v>
      </c>
      <c r="L463" s="159" t="s">
        <v>82</v>
      </c>
      <c r="M463" s="158" t="s">
        <v>60</v>
      </c>
      <c r="N463" s="162">
        <v>44210</v>
      </c>
      <c r="O463" s="159" t="s">
        <v>82</v>
      </c>
      <c r="P463" s="159" t="s">
        <v>82</v>
      </c>
      <c r="Q463" s="159" t="s">
        <v>82</v>
      </c>
      <c r="R463" s="159" t="s">
        <v>82</v>
      </c>
      <c r="S463" s="159" t="s">
        <v>62</v>
      </c>
      <c r="T463" s="159" t="s">
        <v>62</v>
      </c>
      <c r="U463" s="159" t="s">
        <v>82</v>
      </c>
      <c r="V463" s="159" t="s">
        <v>82</v>
      </c>
      <c r="W463" s="159" t="s">
        <v>82</v>
      </c>
      <c r="X463" s="159" t="s">
        <v>82</v>
      </c>
      <c r="Y463" s="159" t="s">
        <v>82</v>
      </c>
      <c r="Z463" s="159" t="s">
        <v>82</v>
      </c>
      <c r="AA463" s="158" t="s">
        <v>82</v>
      </c>
      <c r="AB463" s="158" t="s">
        <v>82</v>
      </c>
      <c r="AC463" s="159" t="s">
        <v>82</v>
      </c>
      <c r="AD463" s="153"/>
      <c r="AE463" s="120"/>
    </row>
    <row r="464" spans="1:31" x14ac:dyDescent="0.25">
      <c r="A464" s="121" t="s">
        <v>82</v>
      </c>
      <c r="B464" s="144">
        <v>37186</v>
      </c>
      <c r="C464" s="154" t="s">
        <v>64</v>
      </c>
      <c r="D464" s="155" t="s">
        <v>984</v>
      </c>
      <c r="E464" s="156" t="s">
        <v>1925</v>
      </c>
      <c r="F464" s="158" t="s">
        <v>1114</v>
      </c>
      <c r="G464" s="156" t="s">
        <v>14</v>
      </c>
      <c r="H464" s="157">
        <v>43611</v>
      </c>
      <c r="I464" s="158">
        <v>432</v>
      </c>
      <c r="J464" s="158" t="s">
        <v>58</v>
      </c>
      <c r="K464" s="159" t="s">
        <v>82</v>
      </c>
      <c r="L464" s="159" t="s">
        <v>82</v>
      </c>
      <c r="M464" s="158" t="s">
        <v>60</v>
      </c>
      <c r="N464" s="162">
        <v>44181</v>
      </c>
      <c r="O464" s="159" t="s">
        <v>82</v>
      </c>
      <c r="P464" s="159" t="s">
        <v>82</v>
      </c>
      <c r="Q464" s="159" t="s">
        <v>82</v>
      </c>
      <c r="R464" s="159" t="s">
        <v>68</v>
      </c>
      <c r="S464" s="159" t="s">
        <v>68</v>
      </c>
      <c r="T464" s="159" t="s">
        <v>68</v>
      </c>
      <c r="U464" s="161" t="s">
        <v>82</v>
      </c>
      <c r="V464" s="159" t="s">
        <v>82</v>
      </c>
      <c r="W464" s="159" t="s">
        <v>82</v>
      </c>
      <c r="X464" s="159" t="s">
        <v>82</v>
      </c>
      <c r="Y464" s="159" t="s">
        <v>82</v>
      </c>
      <c r="Z464" s="159" t="s">
        <v>82</v>
      </c>
      <c r="AA464" s="158" t="s">
        <v>82</v>
      </c>
      <c r="AB464" s="158" t="s">
        <v>82</v>
      </c>
      <c r="AC464" s="159" t="s">
        <v>82</v>
      </c>
      <c r="AD464" s="153"/>
      <c r="AE464" s="120"/>
    </row>
    <row r="465" spans="1:31" x14ac:dyDescent="0.25">
      <c r="A465" s="121" t="s">
        <v>82</v>
      </c>
      <c r="B465" s="144">
        <v>37186</v>
      </c>
      <c r="C465" s="154" t="s">
        <v>54</v>
      </c>
      <c r="D465" s="155" t="s">
        <v>986</v>
      </c>
      <c r="E465" s="156" t="s">
        <v>1925</v>
      </c>
      <c r="F465" s="158" t="s">
        <v>1114</v>
      </c>
      <c r="G465" s="156" t="s">
        <v>14</v>
      </c>
      <c r="H465" s="157">
        <v>43611</v>
      </c>
      <c r="I465" s="158">
        <v>433</v>
      </c>
      <c r="J465" s="158" t="s">
        <v>58</v>
      </c>
      <c r="K465" s="159" t="s">
        <v>1403</v>
      </c>
      <c r="L465" s="159" t="s">
        <v>82</v>
      </c>
      <c r="M465" s="158" t="s">
        <v>60</v>
      </c>
      <c r="N465" s="162">
        <v>44181</v>
      </c>
      <c r="O465" s="159" t="s">
        <v>82</v>
      </c>
      <c r="P465" s="159" t="s">
        <v>82</v>
      </c>
      <c r="Q465" s="159" t="s">
        <v>82</v>
      </c>
      <c r="R465" s="159" t="s">
        <v>62</v>
      </c>
      <c r="S465" s="159" t="s">
        <v>62</v>
      </c>
      <c r="T465" s="159" t="s">
        <v>62</v>
      </c>
      <c r="U465" s="161" t="s">
        <v>82</v>
      </c>
      <c r="V465" s="159" t="s">
        <v>82</v>
      </c>
      <c r="W465" s="159" t="s">
        <v>82</v>
      </c>
      <c r="X465" s="159" t="s">
        <v>82</v>
      </c>
      <c r="Y465" s="159" t="s">
        <v>82</v>
      </c>
      <c r="Z465" s="159" t="s">
        <v>82</v>
      </c>
      <c r="AA465" s="158" t="s">
        <v>82</v>
      </c>
      <c r="AB465" s="158" t="s">
        <v>82</v>
      </c>
      <c r="AC465" s="159" t="s">
        <v>82</v>
      </c>
      <c r="AD465" s="153"/>
      <c r="AE465" s="120"/>
    </row>
    <row r="466" spans="1:31" x14ac:dyDescent="0.25">
      <c r="A466" s="121" t="s">
        <v>82</v>
      </c>
      <c r="B466" s="144">
        <v>37516</v>
      </c>
      <c r="C466" s="154" t="s">
        <v>64</v>
      </c>
      <c r="D466" s="155" t="s">
        <v>2050</v>
      </c>
      <c r="E466" s="156" t="s">
        <v>1925</v>
      </c>
      <c r="F466" s="158" t="s">
        <v>1114</v>
      </c>
      <c r="G466" s="156" t="s">
        <v>14</v>
      </c>
      <c r="H466" s="157">
        <v>44194</v>
      </c>
      <c r="I466" s="158">
        <v>834</v>
      </c>
      <c r="J466" s="158" t="s">
        <v>58</v>
      </c>
      <c r="K466" s="159" t="s">
        <v>1403</v>
      </c>
      <c r="L466" s="159" t="s">
        <v>82</v>
      </c>
      <c r="M466" s="158" t="s">
        <v>60</v>
      </c>
      <c r="N466" s="162">
        <v>44183</v>
      </c>
      <c r="O466" s="159" t="s">
        <v>82</v>
      </c>
      <c r="P466" s="159" t="s">
        <v>82</v>
      </c>
      <c r="Q466" s="159" t="s">
        <v>75</v>
      </c>
      <c r="R466" s="159" t="s">
        <v>82</v>
      </c>
      <c r="S466" s="159" t="s">
        <v>82</v>
      </c>
      <c r="T466" s="159" t="s">
        <v>82</v>
      </c>
      <c r="U466" s="161" t="s">
        <v>82</v>
      </c>
      <c r="V466" s="159" t="s">
        <v>82</v>
      </c>
      <c r="W466" s="159" t="s">
        <v>75</v>
      </c>
      <c r="X466" s="159" t="s">
        <v>82</v>
      </c>
      <c r="Y466" s="159" t="s">
        <v>82</v>
      </c>
      <c r="Z466" s="159" t="s">
        <v>82</v>
      </c>
      <c r="AA466" s="158" t="s">
        <v>82</v>
      </c>
      <c r="AB466" s="158" t="s">
        <v>82</v>
      </c>
      <c r="AC466" s="159" t="s">
        <v>82</v>
      </c>
      <c r="AD466" s="153"/>
      <c r="AE466" s="120"/>
    </row>
    <row r="467" spans="1:31" x14ac:dyDescent="0.25">
      <c r="A467" s="121" t="s">
        <v>82</v>
      </c>
      <c r="B467" s="144">
        <v>37516</v>
      </c>
      <c r="C467" s="154" t="s">
        <v>54</v>
      </c>
      <c r="D467" s="155" t="s">
        <v>2051</v>
      </c>
      <c r="E467" s="156" t="s">
        <v>1925</v>
      </c>
      <c r="F467" s="158" t="s">
        <v>1114</v>
      </c>
      <c r="G467" s="156" t="s">
        <v>14</v>
      </c>
      <c r="H467" s="157">
        <v>44194</v>
      </c>
      <c r="I467" s="158">
        <v>843</v>
      </c>
      <c r="J467" s="158" t="s">
        <v>58</v>
      </c>
      <c r="K467" s="159" t="s">
        <v>1403</v>
      </c>
      <c r="L467" s="159" t="s">
        <v>82</v>
      </c>
      <c r="M467" s="158" t="s">
        <v>60</v>
      </c>
      <c r="N467" s="162">
        <v>44183</v>
      </c>
      <c r="O467" s="159" t="s">
        <v>82</v>
      </c>
      <c r="P467" s="159" t="s">
        <v>82</v>
      </c>
      <c r="Q467" s="159" t="s">
        <v>75</v>
      </c>
      <c r="R467" s="159" t="s">
        <v>82</v>
      </c>
      <c r="S467" s="159" t="s">
        <v>82</v>
      </c>
      <c r="T467" s="159" t="s">
        <v>82</v>
      </c>
      <c r="U467" s="161" t="s">
        <v>82</v>
      </c>
      <c r="V467" s="159" t="s">
        <v>82</v>
      </c>
      <c r="W467" s="159" t="s">
        <v>75</v>
      </c>
      <c r="X467" s="159" t="s">
        <v>82</v>
      </c>
      <c r="Y467" s="159" t="s">
        <v>82</v>
      </c>
      <c r="Z467" s="159" t="s">
        <v>82</v>
      </c>
      <c r="AA467" s="158" t="s">
        <v>82</v>
      </c>
      <c r="AB467" s="158" t="s">
        <v>82</v>
      </c>
      <c r="AC467" s="159" t="s">
        <v>82</v>
      </c>
      <c r="AD467" s="153"/>
      <c r="AE467" s="120"/>
    </row>
    <row r="468" spans="1:31" ht="23.4" x14ac:dyDescent="0.25">
      <c r="A468" s="122" t="s">
        <v>82</v>
      </c>
      <c r="B468" s="144">
        <v>37518</v>
      </c>
      <c r="C468" s="154" t="s">
        <v>64</v>
      </c>
      <c r="D468" s="156" t="s">
        <v>2052</v>
      </c>
      <c r="E468" s="156" t="s">
        <v>1925</v>
      </c>
      <c r="F468" s="158" t="s">
        <v>1114</v>
      </c>
      <c r="G468" s="156" t="s">
        <v>14</v>
      </c>
      <c r="H468" s="157">
        <v>44196</v>
      </c>
      <c r="I468" s="158">
        <v>969</v>
      </c>
      <c r="J468" s="158" t="s">
        <v>58</v>
      </c>
      <c r="K468" s="165" t="s">
        <v>59</v>
      </c>
      <c r="L468" s="159" t="s">
        <v>75</v>
      </c>
      <c r="M468" s="158" t="s">
        <v>82</v>
      </c>
      <c r="N468" s="158" t="s">
        <v>82</v>
      </c>
      <c r="O468" s="158" t="s">
        <v>82</v>
      </c>
      <c r="P468" s="158" t="s">
        <v>82</v>
      </c>
      <c r="Q468" s="159" t="s">
        <v>75</v>
      </c>
      <c r="R468" s="158" t="s">
        <v>82</v>
      </c>
      <c r="S468" s="158" t="s">
        <v>82</v>
      </c>
      <c r="T468" s="158" t="s">
        <v>82</v>
      </c>
      <c r="U468" s="158" t="s">
        <v>82</v>
      </c>
      <c r="V468" s="158" t="s">
        <v>82</v>
      </c>
      <c r="W468" s="159" t="s">
        <v>75</v>
      </c>
      <c r="X468" s="158" t="s">
        <v>82</v>
      </c>
      <c r="Y468" s="158" t="s">
        <v>82</v>
      </c>
      <c r="Z468" s="158" t="s">
        <v>82</v>
      </c>
      <c r="AA468" s="158" t="s">
        <v>82</v>
      </c>
      <c r="AB468" s="158" t="s">
        <v>82</v>
      </c>
      <c r="AC468" s="158" t="s">
        <v>82</v>
      </c>
      <c r="AD468" s="173"/>
      <c r="AE468" s="120"/>
    </row>
    <row r="469" spans="1:31" x14ac:dyDescent="0.25">
      <c r="A469" s="121" t="s">
        <v>82</v>
      </c>
      <c r="B469" s="144">
        <v>37518</v>
      </c>
      <c r="C469" s="154" t="s">
        <v>54</v>
      </c>
      <c r="D469" s="156" t="s">
        <v>2053</v>
      </c>
      <c r="E469" s="156" t="s">
        <v>1925</v>
      </c>
      <c r="F469" s="158" t="s">
        <v>1114</v>
      </c>
      <c r="G469" s="156" t="s">
        <v>14</v>
      </c>
      <c r="H469" s="157">
        <v>44196</v>
      </c>
      <c r="I469" s="158">
        <v>787</v>
      </c>
      <c r="J469" s="158" t="s">
        <v>58</v>
      </c>
      <c r="K469" s="159" t="s">
        <v>82</v>
      </c>
      <c r="L469" s="158" t="s">
        <v>82</v>
      </c>
      <c r="M469" s="159" t="s">
        <v>82</v>
      </c>
      <c r="N469" s="159" t="s">
        <v>82</v>
      </c>
      <c r="O469" s="159" t="s">
        <v>82</v>
      </c>
      <c r="P469" s="159" t="s">
        <v>82</v>
      </c>
      <c r="Q469" s="159" t="s">
        <v>75</v>
      </c>
      <c r="R469" s="159" t="s">
        <v>82</v>
      </c>
      <c r="S469" s="159" t="s">
        <v>82</v>
      </c>
      <c r="T469" s="159" t="s">
        <v>82</v>
      </c>
      <c r="U469" s="161" t="s">
        <v>82</v>
      </c>
      <c r="V469" s="159" t="s">
        <v>82</v>
      </c>
      <c r="W469" s="159" t="s">
        <v>75</v>
      </c>
      <c r="X469" s="159" t="s">
        <v>82</v>
      </c>
      <c r="Y469" s="159" t="s">
        <v>82</v>
      </c>
      <c r="Z469" s="159" t="s">
        <v>82</v>
      </c>
      <c r="AA469" s="158" t="s">
        <v>82</v>
      </c>
      <c r="AB469" s="158" t="s">
        <v>82</v>
      </c>
      <c r="AC469" s="159" t="s">
        <v>82</v>
      </c>
      <c r="AD469" s="153"/>
      <c r="AE469" s="120"/>
    </row>
    <row r="470" spans="1:31" x14ac:dyDescent="0.25">
      <c r="A470" s="121" t="s">
        <v>82</v>
      </c>
      <c r="B470" s="144">
        <v>39005</v>
      </c>
      <c r="C470" s="154" t="s">
        <v>64</v>
      </c>
      <c r="D470" s="155" t="s">
        <v>2054</v>
      </c>
      <c r="E470" s="156" t="s">
        <v>1925</v>
      </c>
      <c r="F470" s="158" t="s">
        <v>1114</v>
      </c>
      <c r="G470" s="156" t="s">
        <v>14</v>
      </c>
      <c r="H470" s="157">
        <v>43610</v>
      </c>
      <c r="I470" s="158">
        <v>209</v>
      </c>
      <c r="J470" s="158" t="s">
        <v>58</v>
      </c>
      <c r="K470" s="159" t="s">
        <v>1249</v>
      </c>
      <c r="L470" s="159" t="s">
        <v>82</v>
      </c>
      <c r="M470" s="158" t="s">
        <v>60</v>
      </c>
      <c r="N470" s="162">
        <v>44173</v>
      </c>
      <c r="O470" s="159" t="s">
        <v>82</v>
      </c>
      <c r="P470" s="159" t="s">
        <v>82</v>
      </c>
      <c r="Q470" s="159" t="s">
        <v>82</v>
      </c>
      <c r="R470" s="159" t="s">
        <v>82</v>
      </c>
      <c r="S470" s="159" t="s">
        <v>68</v>
      </c>
      <c r="T470" s="159" t="s">
        <v>68</v>
      </c>
      <c r="U470" s="161" t="s">
        <v>82</v>
      </c>
      <c r="V470" s="159" t="s">
        <v>82</v>
      </c>
      <c r="W470" s="159" t="s">
        <v>82</v>
      </c>
      <c r="X470" s="159" t="s">
        <v>82</v>
      </c>
      <c r="Y470" s="159" t="s">
        <v>82</v>
      </c>
      <c r="Z470" s="159" t="s">
        <v>82</v>
      </c>
      <c r="AA470" s="158" t="s">
        <v>82</v>
      </c>
      <c r="AB470" s="158" t="s">
        <v>82</v>
      </c>
      <c r="AC470" s="159" t="s">
        <v>82</v>
      </c>
      <c r="AD470" s="153"/>
      <c r="AE470" s="120"/>
    </row>
    <row r="471" spans="1:31" x14ac:dyDescent="0.25">
      <c r="A471" s="121" t="s">
        <v>82</v>
      </c>
      <c r="B471" s="144">
        <v>39005</v>
      </c>
      <c r="C471" s="154" t="s">
        <v>54</v>
      </c>
      <c r="D471" s="155" t="s">
        <v>2055</v>
      </c>
      <c r="E471" s="156" t="s">
        <v>1925</v>
      </c>
      <c r="F471" s="158" t="s">
        <v>1114</v>
      </c>
      <c r="G471" s="156" t="s">
        <v>14</v>
      </c>
      <c r="H471" s="157">
        <v>43610</v>
      </c>
      <c r="I471" s="158">
        <v>208</v>
      </c>
      <c r="J471" s="158" t="s">
        <v>58</v>
      </c>
      <c r="K471" s="159" t="s">
        <v>1318</v>
      </c>
      <c r="L471" s="159" t="s">
        <v>82</v>
      </c>
      <c r="M471" s="158" t="s">
        <v>60</v>
      </c>
      <c r="N471" s="162">
        <v>44173</v>
      </c>
      <c r="O471" s="159" t="s">
        <v>82</v>
      </c>
      <c r="P471" s="159" t="s">
        <v>82</v>
      </c>
      <c r="Q471" s="159" t="s">
        <v>82</v>
      </c>
      <c r="R471" s="159" t="s">
        <v>82</v>
      </c>
      <c r="S471" s="159" t="s">
        <v>62</v>
      </c>
      <c r="T471" s="159" t="s">
        <v>62</v>
      </c>
      <c r="U471" s="161" t="s">
        <v>82</v>
      </c>
      <c r="V471" s="159" t="s">
        <v>82</v>
      </c>
      <c r="W471" s="159" t="s">
        <v>82</v>
      </c>
      <c r="X471" s="159" t="s">
        <v>82</v>
      </c>
      <c r="Y471" s="159" t="s">
        <v>82</v>
      </c>
      <c r="Z471" s="159" t="s">
        <v>82</v>
      </c>
      <c r="AA471" s="158" t="s">
        <v>82</v>
      </c>
      <c r="AB471" s="158" t="s">
        <v>82</v>
      </c>
      <c r="AC471" s="159" t="s">
        <v>82</v>
      </c>
      <c r="AD471" s="153"/>
      <c r="AE471" s="120"/>
    </row>
    <row r="472" spans="1:31" x14ac:dyDescent="0.25">
      <c r="A472" s="121" t="s">
        <v>82</v>
      </c>
      <c r="B472" s="144">
        <v>39092</v>
      </c>
      <c r="C472" s="154" t="s">
        <v>64</v>
      </c>
      <c r="D472" s="155" t="s">
        <v>2056</v>
      </c>
      <c r="E472" s="156" t="s">
        <v>1925</v>
      </c>
      <c r="F472" s="158" t="s">
        <v>1114</v>
      </c>
      <c r="G472" s="156" t="s">
        <v>14</v>
      </c>
      <c r="H472" s="157">
        <v>43707</v>
      </c>
      <c r="I472" s="158">
        <v>532</v>
      </c>
      <c r="J472" s="158" t="s">
        <v>58</v>
      </c>
      <c r="K472" s="159" t="s">
        <v>1318</v>
      </c>
      <c r="L472" s="159" t="s">
        <v>82</v>
      </c>
      <c r="M472" s="158" t="s">
        <v>60</v>
      </c>
      <c r="N472" s="162">
        <v>44273</v>
      </c>
      <c r="O472" s="159" t="s">
        <v>82</v>
      </c>
      <c r="P472" s="159" t="s">
        <v>82</v>
      </c>
      <c r="Q472" s="159" t="s">
        <v>75</v>
      </c>
      <c r="R472" s="159" t="s">
        <v>82</v>
      </c>
      <c r="S472" s="159" t="s">
        <v>68</v>
      </c>
      <c r="T472" s="159" t="s">
        <v>68</v>
      </c>
      <c r="U472" s="161" t="s">
        <v>82</v>
      </c>
      <c r="V472" s="159" t="s">
        <v>82</v>
      </c>
      <c r="W472" s="159" t="s">
        <v>82</v>
      </c>
      <c r="X472" s="159" t="s">
        <v>82</v>
      </c>
      <c r="Y472" s="159" t="s">
        <v>82</v>
      </c>
      <c r="Z472" s="159" t="s">
        <v>82</v>
      </c>
      <c r="AA472" s="158" t="s">
        <v>82</v>
      </c>
      <c r="AB472" s="158" t="s">
        <v>82</v>
      </c>
      <c r="AC472" s="159" t="s">
        <v>82</v>
      </c>
      <c r="AD472" s="153"/>
      <c r="AE472" s="120"/>
    </row>
    <row r="473" spans="1:31" x14ac:dyDescent="0.25">
      <c r="A473" s="121" t="s">
        <v>82</v>
      </c>
      <c r="B473" s="144">
        <v>39092</v>
      </c>
      <c r="C473" s="154" t="s">
        <v>54</v>
      </c>
      <c r="D473" s="155" t="s">
        <v>2057</v>
      </c>
      <c r="E473" s="156" t="s">
        <v>1925</v>
      </c>
      <c r="F473" s="158" t="s">
        <v>1114</v>
      </c>
      <c r="G473" s="156" t="s">
        <v>14</v>
      </c>
      <c r="H473" s="157">
        <v>43707</v>
      </c>
      <c r="I473" s="158">
        <v>538</v>
      </c>
      <c r="J473" s="158" t="s">
        <v>58</v>
      </c>
      <c r="K473" s="159" t="s">
        <v>1403</v>
      </c>
      <c r="L473" s="159" t="s">
        <v>82</v>
      </c>
      <c r="M473" s="158" t="s">
        <v>60</v>
      </c>
      <c r="N473" s="162">
        <v>44181</v>
      </c>
      <c r="O473" s="159" t="s">
        <v>82</v>
      </c>
      <c r="P473" s="159" t="s">
        <v>82</v>
      </c>
      <c r="Q473" s="159" t="s">
        <v>75</v>
      </c>
      <c r="R473" s="159" t="s">
        <v>82</v>
      </c>
      <c r="S473" s="159" t="s">
        <v>62</v>
      </c>
      <c r="T473" s="159" t="s">
        <v>62</v>
      </c>
      <c r="U473" s="161" t="s">
        <v>82</v>
      </c>
      <c r="V473" s="159" t="s">
        <v>82</v>
      </c>
      <c r="W473" s="159" t="s">
        <v>82</v>
      </c>
      <c r="X473" s="159" t="s">
        <v>82</v>
      </c>
      <c r="Y473" s="159" t="s">
        <v>82</v>
      </c>
      <c r="Z473" s="159" t="s">
        <v>82</v>
      </c>
      <c r="AA473" s="158" t="s">
        <v>82</v>
      </c>
      <c r="AB473" s="158" t="s">
        <v>82</v>
      </c>
      <c r="AC473" s="159" t="s">
        <v>82</v>
      </c>
      <c r="AD473" s="153"/>
      <c r="AE473" s="120"/>
    </row>
    <row r="474" spans="1:31" ht="23.4" x14ac:dyDescent="0.25">
      <c r="A474" s="121" t="s">
        <v>82</v>
      </c>
      <c r="B474" s="144">
        <v>39135</v>
      </c>
      <c r="C474" s="154" t="s">
        <v>64</v>
      </c>
      <c r="D474" s="156" t="s">
        <v>1306</v>
      </c>
      <c r="E474" s="156" t="s">
        <v>1925</v>
      </c>
      <c r="F474" s="158" t="s">
        <v>1114</v>
      </c>
      <c r="G474" s="156" t="s">
        <v>14</v>
      </c>
      <c r="H474" s="157">
        <v>43899</v>
      </c>
      <c r="I474" s="158">
        <v>662</v>
      </c>
      <c r="J474" s="158" t="s">
        <v>58</v>
      </c>
      <c r="K474" s="165" t="s">
        <v>59</v>
      </c>
      <c r="L474" s="170">
        <v>44331</v>
      </c>
      <c r="M474" s="158" t="s">
        <v>60</v>
      </c>
      <c r="N474" s="162">
        <v>44331</v>
      </c>
      <c r="O474" s="159" t="s">
        <v>82</v>
      </c>
      <c r="P474" s="159" t="s">
        <v>82</v>
      </c>
      <c r="Q474" s="159" t="s">
        <v>75</v>
      </c>
      <c r="R474" s="159" t="s">
        <v>82</v>
      </c>
      <c r="S474" s="159" t="s">
        <v>68</v>
      </c>
      <c r="T474" s="159" t="s">
        <v>68</v>
      </c>
      <c r="U474" s="161" t="s">
        <v>82</v>
      </c>
      <c r="V474" s="159" t="s">
        <v>82</v>
      </c>
      <c r="W474" s="159" t="s">
        <v>82</v>
      </c>
      <c r="X474" s="159" t="s">
        <v>82</v>
      </c>
      <c r="Y474" s="159" t="s">
        <v>82</v>
      </c>
      <c r="Z474" s="159" t="s">
        <v>82</v>
      </c>
      <c r="AA474" s="158" t="s">
        <v>82</v>
      </c>
      <c r="AB474" s="158" t="s">
        <v>82</v>
      </c>
      <c r="AC474" s="159" t="s">
        <v>82</v>
      </c>
      <c r="AD474" s="153"/>
      <c r="AE474" s="120"/>
    </row>
    <row r="475" spans="1:31" ht="23.4" x14ac:dyDescent="0.25">
      <c r="A475" s="121" t="s">
        <v>82</v>
      </c>
      <c r="B475" s="144">
        <v>39135</v>
      </c>
      <c r="C475" s="154" t="s">
        <v>54</v>
      </c>
      <c r="D475" s="156" t="s">
        <v>1313</v>
      </c>
      <c r="E475" s="156" t="s">
        <v>1925</v>
      </c>
      <c r="F475" s="158" t="s">
        <v>1114</v>
      </c>
      <c r="G475" s="156" t="s">
        <v>14</v>
      </c>
      <c r="H475" s="157">
        <v>43899</v>
      </c>
      <c r="I475" s="158">
        <v>650</v>
      </c>
      <c r="J475" s="158" t="s">
        <v>58</v>
      </c>
      <c r="K475" s="165" t="s">
        <v>59</v>
      </c>
      <c r="L475" s="170">
        <v>44331</v>
      </c>
      <c r="M475" s="158" t="s">
        <v>60</v>
      </c>
      <c r="N475" s="162">
        <v>44331</v>
      </c>
      <c r="O475" s="159" t="s">
        <v>82</v>
      </c>
      <c r="P475" s="159" t="s">
        <v>82</v>
      </c>
      <c r="Q475" s="159" t="s">
        <v>75</v>
      </c>
      <c r="R475" s="165" t="s">
        <v>62</v>
      </c>
      <c r="S475" s="159" t="s">
        <v>62</v>
      </c>
      <c r="T475" s="159" t="s">
        <v>62</v>
      </c>
      <c r="U475" s="159" t="s">
        <v>82</v>
      </c>
      <c r="V475" s="159" t="s">
        <v>82</v>
      </c>
      <c r="W475" s="159" t="s">
        <v>82</v>
      </c>
      <c r="X475" s="159" t="s">
        <v>82</v>
      </c>
      <c r="Y475" s="159" t="s">
        <v>82</v>
      </c>
      <c r="Z475" s="159" t="s">
        <v>82</v>
      </c>
      <c r="AA475" s="158" t="s">
        <v>82</v>
      </c>
      <c r="AB475" s="158" t="s">
        <v>82</v>
      </c>
      <c r="AC475" s="159" t="s">
        <v>82</v>
      </c>
      <c r="AD475" s="153"/>
      <c r="AE475" s="120"/>
    </row>
    <row r="476" spans="1:31" x14ac:dyDescent="0.25">
      <c r="A476" s="121" t="s">
        <v>82</v>
      </c>
      <c r="B476" s="144">
        <v>30530</v>
      </c>
      <c r="C476" s="154" t="s">
        <v>64</v>
      </c>
      <c r="D476" s="155" t="s">
        <v>1315</v>
      </c>
      <c r="E476" s="156" t="s">
        <v>2010</v>
      </c>
      <c r="F476" s="156" t="s">
        <v>1317</v>
      </c>
      <c r="G476" s="156" t="s">
        <v>14</v>
      </c>
      <c r="H476" s="157">
        <v>42824</v>
      </c>
      <c r="I476" s="158">
        <v>65</v>
      </c>
      <c r="J476" s="158" t="s">
        <v>66</v>
      </c>
      <c r="K476" s="159" t="s">
        <v>1318</v>
      </c>
      <c r="L476" s="159" t="s">
        <v>82</v>
      </c>
      <c r="M476" s="160" t="s">
        <v>67</v>
      </c>
      <c r="N476" s="159" t="s">
        <v>63</v>
      </c>
      <c r="O476" s="161" t="s">
        <v>82</v>
      </c>
      <c r="P476" s="161" t="s">
        <v>82</v>
      </c>
      <c r="Q476" s="161" t="s">
        <v>82</v>
      </c>
      <c r="R476" s="161" t="s">
        <v>82</v>
      </c>
      <c r="S476" s="161" t="s">
        <v>82</v>
      </c>
      <c r="T476" s="161" t="s">
        <v>82</v>
      </c>
      <c r="U476" s="161" t="s">
        <v>82</v>
      </c>
      <c r="V476" s="161" t="s">
        <v>82</v>
      </c>
      <c r="W476" s="161" t="s">
        <v>82</v>
      </c>
      <c r="X476" s="161" t="s">
        <v>82</v>
      </c>
      <c r="Y476" s="161" t="s">
        <v>82</v>
      </c>
      <c r="Z476" s="161" t="s">
        <v>82</v>
      </c>
      <c r="AA476" s="158" t="s">
        <v>82</v>
      </c>
      <c r="AB476" s="158" t="s">
        <v>82</v>
      </c>
      <c r="AC476" s="161" t="s">
        <v>82</v>
      </c>
      <c r="AD476" s="174"/>
      <c r="AE476" s="120"/>
    </row>
    <row r="477" spans="1:31" x14ac:dyDescent="0.25">
      <c r="A477" s="121" t="s">
        <v>82</v>
      </c>
      <c r="B477" s="144">
        <v>30530</v>
      </c>
      <c r="C477" s="154" t="s">
        <v>54</v>
      </c>
      <c r="D477" s="155" t="s">
        <v>1321</v>
      </c>
      <c r="E477" s="156" t="s">
        <v>2010</v>
      </c>
      <c r="F477" s="156" t="s">
        <v>1317</v>
      </c>
      <c r="G477" s="156" t="s">
        <v>14</v>
      </c>
      <c r="H477" s="157">
        <v>42824</v>
      </c>
      <c r="I477" s="158">
        <v>58</v>
      </c>
      <c r="J477" s="158" t="s">
        <v>66</v>
      </c>
      <c r="K477" s="159" t="s">
        <v>1318</v>
      </c>
      <c r="L477" s="159" t="s">
        <v>82</v>
      </c>
      <c r="M477" s="160" t="s">
        <v>67</v>
      </c>
      <c r="N477" s="159" t="s">
        <v>63</v>
      </c>
      <c r="O477" s="161" t="s">
        <v>82</v>
      </c>
      <c r="P477" s="161" t="s">
        <v>82</v>
      </c>
      <c r="Q477" s="161" t="s">
        <v>82</v>
      </c>
      <c r="R477" s="161" t="s">
        <v>82</v>
      </c>
      <c r="S477" s="161" t="s">
        <v>82</v>
      </c>
      <c r="T477" s="161" t="s">
        <v>82</v>
      </c>
      <c r="U477" s="161" t="s">
        <v>82</v>
      </c>
      <c r="V477" s="161" t="s">
        <v>82</v>
      </c>
      <c r="W477" s="161" t="s">
        <v>82</v>
      </c>
      <c r="X477" s="161" t="s">
        <v>82</v>
      </c>
      <c r="Y477" s="161" t="s">
        <v>82</v>
      </c>
      <c r="Z477" s="161" t="s">
        <v>82</v>
      </c>
      <c r="AA477" s="158" t="s">
        <v>82</v>
      </c>
      <c r="AB477" s="158" t="s">
        <v>82</v>
      </c>
      <c r="AC477" s="161" t="s">
        <v>82</v>
      </c>
      <c r="AD477" s="174"/>
      <c r="AE477" s="120"/>
    </row>
    <row r="478" spans="1:31" x14ac:dyDescent="0.25">
      <c r="A478" s="121" t="s">
        <v>82</v>
      </c>
      <c r="B478" s="144">
        <v>30544</v>
      </c>
      <c r="C478" s="154" t="s">
        <v>64</v>
      </c>
      <c r="D478" s="156" t="s">
        <v>2058</v>
      </c>
      <c r="E478" s="156" t="s">
        <v>2010</v>
      </c>
      <c r="F478" s="156" t="s">
        <v>1317</v>
      </c>
      <c r="G478" s="156" t="s">
        <v>14</v>
      </c>
      <c r="H478" s="157">
        <v>42879</v>
      </c>
      <c r="I478" s="158">
        <v>84</v>
      </c>
      <c r="J478" s="158" t="s">
        <v>66</v>
      </c>
      <c r="K478" s="159" t="s">
        <v>82</v>
      </c>
      <c r="L478" s="159" t="s">
        <v>82</v>
      </c>
      <c r="M478" s="160" t="s">
        <v>67</v>
      </c>
      <c r="N478" s="159" t="s">
        <v>63</v>
      </c>
      <c r="O478" s="159" t="s">
        <v>82</v>
      </c>
      <c r="P478" s="159" t="s">
        <v>82</v>
      </c>
      <c r="Q478" s="159" t="s">
        <v>82</v>
      </c>
      <c r="R478" s="159" t="s">
        <v>82</v>
      </c>
      <c r="S478" s="159" t="s">
        <v>82</v>
      </c>
      <c r="T478" s="159" t="s">
        <v>82</v>
      </c>
      <c r="U478" s="169" t="s">
        <v>82</v>
      </c>
      <c r="V478" s="159" t="s">
        <v>82</v>
      </c>
      <c r="W478" s="159" t="s">
        <v>82</v>
      </c>
      <c r="X478" s="159" t="s">
        <v>82</v>
      </c>
      <c r="Y478" s="159" t="s">
        <v>82</v>
      </c>
      <c r="Z478" s="159" t="s">
        <v>82</v>
      </c>
      <c r="AA478" s="158" t="s">
        <v>82</v>
      </c>
      <c r="AB478" s="158" t="s">
        <v>82</v>
      </c>
      <c r="AC478" s="159" t="s">
        <v>82</v>
      </c>
      <c r="AD478" s="153"/>
      <c r="AE478" s="120"/>
    </row>
    <row r="479" spans="1:31" x14ac:dyDescent="0.25">
      <c r="A479" s="121" t="s">
        <v>82</v>
      </c>
      <c r="B479" s="144">
        <v>30544</v>
      </c>
      <c r="C479" s="154" t="s">
        <v>54</v>
      </c>
      <c r="D479" s="156" t="s">
        <v>2059</v>
      </c>
      <c r="E479" s="156" t="s">
        <v>2010</v>
      </c>
      <c r="F479" s="156" t="s">
        <v>1317</v>
      </c>
      <c r="G479" s="156" t="s">
        <v>14</v>
      </c>
      <c r="H479" s="157">
        <v>42879</v>
      </c>
      <c r="I479" s="158">
        <v>89</v>
      </c>
      <c r="J479" s="158" t="s">
        <v>66</v>
      </c>
      <c r="K479" s="159" t="s">
        <v>82</v>
      </c>
      <c r="L479" s="159" t="s">
        <v>82</v>
      </c>
      <c r="M479" s="160" t="s">
        <v>67</v>
      </c>
      <c r="N479" s="159" t="s">
        <v>63</v>
      </c>
      <c r="O479" s="159" t="s">
        <v>82</v>
      </c>
      <c r="P479" s="159" t="s">
        <v>82</v>
      </c>
      <c r="Q479" s="159" t="s">
        <v>82</v>
      </c>
      <c r="R479" s="159" t="s">
        <v>82</v>
      </c>
      <c r="S479" s="159" t="s">
        <v>82</v>
      </c>
      <c r="T479" s="159" t="s">
        <v>82</v>
      </c>
      <c r="U479" s="159" t="s">
        <v>82</v>
      </c>
      <c r="V479" s="159" t="s">
        <v>82</v>
      </c>
      <c r="W479" s="159" t="s">
        <v>82</v>
      </c>
      <c r="X479" s="159" t="s">
        <v>82</v>
      </c>
      <c r="Y479" s="159" t="s">
        <v>82</v>
      </c>
      <c r="Z479" s="159" t="s">
        <v>82</v>
      </c>
      <c r="AA479" s="158" t="s">
        <v>82</v>
      </c>
      <c r="AB479" s="158" t="s">
        <v>82</v>
      </c>
      <c r="AC479" s="159" t="s">
        <v>82</v>
      </c>
      <c r="AD479" s="153"/>
      <c r="AE479" s="120"/>
    </row>
    <row r="480" spans="1:31" x14ac:dyDescent="0.25">
      <c r="A480" s="121" t="s">
        <v>82</v>
      </c>
      <c r="B480" s="144">
        <v>30711</v>
      </c>
      <c r="C480" s="156" t="s">
        <v>64</v>
      </c>
      <c r="D480" s="155" t="s">
        <v>1374</v>
      </c>
      <c r="E480" s="156" t="s">
        <v>1484</v>
      </c>
      <c r="F480" s="156" t="s">
        <v>1317</v>
      </c>
      <c r="G480" s="156" t="s">
        <v>14</v>
      </c>
      <c r="H480" s="156" t="s">
        <v>82</v>
      </c>
      <c r="I480" s="158">
        <v>292</v>
      </c>
      <c r="J480" s="158" t="s">
        <v>58</v>
      </c>
      <c r="K480" s="158" t="s">
        <v>680</v>
      </c>
      <c r="L480" s="162">
        <v>44350</v>
      </c>
      <c r="M480" s="159" t="s">
        <v>60</v>
      </c>
      <c r="N480" s="170">
        <v>44250</v>
      </c>
      <c r="O480" s="159" t="s">
        <v>82</v>
      </c>
      <c r="P480" s="159" t="s">
        <v>82</v>
      </c>
      <c r="Q480" s="159" t="s">
        <v>2060</v>
      </c>
      <c r="R480" s="159" t="s">
        <v>82</v>
      </c>
      <c r="S480" s="159" t="s">
        <v>68</v>
      </c>
      <c r="T480" s="159" t="s">
        <v>68</v>
      </c>
      <c r="U480" s="169" t="s">
        <v>82</v>
      </c>
      <c r="V480" s="159" t="s">
        <v>82</v>
      </c>
      <c r="W480" s="159" t="s">
        <v>82</v>
      </c>
      <c r="X480" s="159" t="s">
        <v>82</v>
      </c>
      <c r="Y480" s="159" t="s">
        <v>82</v>
      </c>
      <c r="Z480" s="159" t="s">
        <v>82</v>
      </c>
      <c r="AA480" s="158" t="s">
        <v>82</v>
      </c>
      <c r="AB480" s="158" t="s">
        <v>82</v>
      </c>
      <c r="AC480" s="159" t="s">
        <v>82</v>
      </c>
      <c r="AD480" s="153"/>
      <c r="AE480" s="120"/>
    </row>
    <row r="481" spans="1:31" x14ac:dyDescent="0.25">
      <c r="A481" s="121" t="s">
        <v>82</v>
      </c>
      <c r="B481" s="144">
        <v>30711</v>
      </c>
      <c r="C481" s="156" t="s">
        <v>54</v>
      </c>
      <c r="D481" s="155" t="s">
        <v>1379</v>
      </c>
      <c r="E481" s="156" t="s">
        <v>1484</v>
      </c>
      <c r="F481" s="156" t="s">
        <v>1317</v>
      </c>
      <c r="G481" s="156" t="s">
        <v>14</v>
      </c>
      <c r="H481" s="156" t="s">
        <v>82</v>
      </c>
      <c r="I481" s="158">
        <v>293</v>
      </c>
      <c r="J481" s="158" t="s">
        <v>58</v>
      </c>
      <c r="K481" s="158" t="s">
        <v>680</v>
      </c>
      <c r="L481" s="162">
        <v>44350</v>
      </c>
      <c r="M481" s="159" t="s">
        <v>60</v>
      </c>
      <c r="N481" s="170">
        <v>44250</v>
      </c>
      <c r="O481" s="159" t="s">
        <v>82</v>
      </c>
      <c r="P481" s="159" t="s">
        <v>82</v>
      </c>
      <c r="Q481" s="159" t="s">
        <v>2060</v>
      </c>
      <c r="R481" s="159" t="s">
        <v>82</v>
      </c>
      <c r="S481" s="159" t="s">
        <v>62</v>
      </c>
      <c r="T481" s="159" t="s">
        <v>62</v>
      </c>
      <c r="U481" s="169" t="s">
        <v>82</v>
      </c>
      <c r="V481" s="159" t="s">
        <v>82</v>
      </c>
      <c r="W481" s="159" t="s">
        <v>82</v>
      </c>
      <c r="X481" s="159" t="s">
        <v>82</v>
      </c>
      <c r="Y481" s="159" t="s">
        <v>82</v>
      </c>
      <c r="Z481" s="159" t="s">
        <v>82</v>
      </c>
      <c r="AA481" s="158" t="s">
        <v>82</v>
      </c>
      <c r="AB481" s="158" t="s">
        <v>82</v>
      </c>
      <c r="AC481" s="159" t="s">
        <v>82</v>
      </c>
      <c r="AD481" s="153"/>
      <c r="AE481" s="120"/>
    </row>
    <row r="482" spans="1:31" x14ac:dyDescent="0.25">
      <c r="A482" s="121" t="s">
        <v>82</v>
      </c>
      <c r="B482" s="163">
        <v>30723</v>
      </c>
      <c r="C482" s="154" t="s">
        <v>64</v>
      </c>
      <c r="D482" s="155" t="s">
        <v>1380</v>
      </c>
      <c r="E482" s="156" t="s">
        <v>1484</v>
      </c>
      <c r="F482" s="156" t="s">
        <v>1317</v>
      </c>
      <c r="G482" s="156" t="s">
        <v>14</v>
      </c>
      <c r="H482" s="156" t="s">
        <v>82</v>
      </c>
      <c r="I482" s="158">
        <v>226</v>
      </c>
      <c r="J482" s="158" t="s">
        <v>58</v>
      </c>
      <c r="K482" s="159" t="s">
        <v>1318</v>
      </c>
      <c r="L482" s="159" t="s">
        <v>82</v>
      </c>
      <c r="M482" s="159" t="s">
        <v>60</v>
      </c>
      <c r="N482" s="170">
        <v>44249</v>
      </c>
      <c r="O482" s="159" t="s">
        <v>82</v>
      </c>
      <c r="P482" s="159" t="s">
        <v>82</v>
      </c>
      <c r="Q482" s="159" t="s">
        <v>2060</v>
      </c>
      <c r="R482" s="159" t="s">
        <v>82</v>
      </c>
      <c r="S482" s="159" t="s">
        <v>68</v>
      </c>
      <c r="T482" s="159" t="s">
        <v>68</v>
      </c>
      <c r="U482" s="169" t="s">
        <v>82</v>
      </c>
      <c r="V482" s="159" t="s">
        <v>82</v>
      </c>
      <c r="W482" s="159" t="s">
        <v>82</v>
      </c>
      <c r="X482" s="159" t="s">
        <v>82</v>
      </c>
      <c r="Y482" s="159" t="s">
        <v>82</v>
      </c>
      <c r="Z482" s="159" t="s">
        <v>82</v>
      </c>
      <c r="AA482" s="158" t="s">
        <v>82</v>
      </c>
      <c r="AB482" s="158" t="s">
        <v>82</v>
      </c>
      <c r="AC482" s="159" t="s">
        <v>82</v>
      </c>
      <c r="AD482" s="153"/>
      <c r="AE482" s="120"/>
    </row>
    <row r="483" spans="1:31" x14ac:dyDescent="0.25">
      <c r="A483" s="121"/>
      <c r="B483" s="163">
        <v>30723</v>
      </c>
      <c r="C483" s="154" t="s">
        <v>54</v>
      </c>
      <c r="D483" s="155"/>
      <c r="E483" s="156" t="s">
        <v>1484</v>
      </c>
      <c r="F483" s="156"/>
      <c r="G483" s="156"/>
      <c r="H483" s="156"/>
      <c r="I483" s="158"/>
      <c r="J483" s="158"/>
      <c r="K483" s="159"/>
      <c r="L483" s="159"/>
      <c r="M483" s="159"/>
      <c r="N483" s="170"/>
      <c r="O483" s="159"/>
      <c r="P483" s="159"/>
      <c r="Q483" s="159"/>
      <c r="R483" s="159"/>
      <c r="S483" s="159"/>
      <c r="T483" s="159"/>
      <c r="U483" s="169"/>
      <c r="V483" s="159"/>
      <c r="W483" s="159"/>
      <c r="X483" s="159"/>
      <c r="Y483" s="159"/>
      <c r="Z483" s="159"/>
      <c r="AA483" s="158"/>
      <c r="AB483" s="158"/>
      <c r="AC483" s="159"/>
      <c r="AD483" s="153"/>
      <c r="AE483" s="120"/>
    </row>
    <row r="484" spans="1:31" ht="23.4" x14ac:dyDescent="0.25">
      <c r="A484" s="121" t="s">
        <v>82</v>
      </c>
      <c r="B484" s="144">
        <v>37071</v>
      </c>
      <c r="C484" s="154" t="s">
        <v>64</v>
      </c>
      <c r="D484" s="155" t="s">
        <v>1382</v>
      </c>
      <c r="E484" s="156" t="s">
        <v>1484</v>
      </c>
      <c r="F484" s="156" t="s">
        <v>1317</v>
      </c>
      <c r="G484" s="156" t="s">
        <v>14</v>
      </c>
      <c r="H484" s="157">
        <v>43462</v>
      </c>
      <c r="I484" s="158">
        <v>288</v>
      </c>
      <c r="J484" s="158" t="s">
        <v>58</v>
      </c>
      <c r="K484" s="165" t="s">
        <v>59</v>
      </c>
      <c r="L484" s="159" t="s">
        <v>63</v>
      </c>
      <c r="M484" s="159" t="s">
        <v>60</v>
      </c>
      <c r="N484" s="170">
        <v>44250</v>
      </c>
      <c r="O484" s="159" t="s">
        <v>82</v>
      </c>
      <c r="P484" s="159" t="s">
        <v>82</v>
      </c>
      <c r="Q484" s="159" t="s">
        <v>2060</v>
      </c>
      <c r="R484" s="159" t="s">
        <v>82</v>
      </c>
      <c r="S484" s="159" t="s">
        <v>68</v>
      </c>
      <c r="T484" s="159" t="s">
        <v>68</v>
      </c>
      <c r="U484" s="159" t="s">
        <v>82</v>
      </c>
      <c r="V484" s="159" t="s">
        <v>82</v>
      </c>
      <c r="W484" s="159" t="s">
        <v>82</v>
      </c>
      <c r="X484" s="159" t="s">
        <v>82</v>
      </c>
      <c r="Y484" s="159" t="s">
        <v>82</v>
      </c>
      <c r="Z484" s="159" t="s">
        <v>82</v>
      </c>
      <c r="AA484" s="158" t="s">
        <v>82</v>
      </c>
      <c r="AB484" s="158" t="s">
        <v>82</v>
      </c>
      <c r="AC484" s="159" t="s">
        <v>82</v>
      </c>
      <c r="AD484" s="153"/>
      <c r="AE484" s="120"/>
    </row>
    <row r="485" spans="1:31" ht="23.4" x14ac:dyDescent="0.25">
      <c r="A485" s="121" t="s">
        <v>82</v>
      </c>
      <c r="B485" s="144">
        <v>37071</v>
      </c>
      <c r="C485" s="154" t="s">
        <v>54</v>
      </c>
      <c r="D485" s="155" t="s">
        <v>1386</v>
      </c>
      <c r="E485" s="156" t="s">
        <v>1484</v>
      </c>
      <c r="F485" s="156" t="s">
        <v>1317</v>
      </c>
      <c r="G485" s="156" t="s">
        <v>14</v>
      </c>
      <c r="H485" s="157">
        <v>43462</v>
      </c>
      <c r="I485" s="158">
        <v>289</v>
      </c>
      <c r="J485" s="158" t="s">
        <v>58</v>
      </c>
      <c r="K485" s="165" t="s">
        <v>59</v>
      </c>
      <c r="L485" s="159" t="s">
        <v>63</v>
      </c>
      <c r="M485" s="159" t="s">
        <v>60</v>
      </c>
      <c r="N485" s="170">
        <v>44250</v>
      </c>
      <c r="O485" s="159" t="s">
        <v>82</v>
      </c>
      <c r="P485" s="159" t="s">
        <v>82</v>
      </c>
      <c r="Q485" s="159" t="s">
        <v>2060</v>
      </c>
      <c r="R485" s="159" t="s">
        <v>82</v>
      </c>
      <c r="S485" s="159" t="s">
        <v>62</v>
      </c>
      <c r="T485" s="159" t="s">
        <v>62</v>
      </c>
      <c r="U485" s="159" t="s">
        <v>82</v>
      </c>
      <c r="V485" s="159" t="s">
        <v>82</v>
      </c>
      <c r="W485" s="159" t="s">
        <v>82</v>
      </c>
      <c r="X485" s="159" t="s">
        <v>82</v>
      </c>
      <c r="Y485" s="159" t="s">
        <v>82</v>
      </c>
      <c r="Z485" s="159" t="s">
        <v>82</v>
      </c>
      <c r="AA485" s="158" t="s">
        <v>82</v>
      </c>
      <c r="AB485" s="158" t="s">
        <v>82</v>
      </c>
      <c r="AC485" s="159" t="s">
        <v>82</v>
      </c>
      <c r="AD485" s="153"/>
      <c r="AE485" s="120"/>
    </row>
    <row r="486" spans="1:31" ht="23.4" x14ac:dyDescent="0.25">
      <c r="A486" s="121" t="s">
        <v>82</v>
      </c>
      <c r="B486" s="144">
        <v>37092</v>
      </c>
      <c r="C486" s="154" t="s">
        <v>64</v>
      </c>
      <c r="D486" s="155" t="s">
        <v>1387</v>
      </c>
      <c r="E486" s="156" t="s">
        <v>1484</v>
      </c>
      <c r="F486" s="156" t="s">
        <v>1317</v>
      </c>
      <c r="G486" s="156" t="s">
        <v>14</v>
      </c>
      <c r="H486" s="157">
        <v>43518</v>
      </c>
      <c r="I486" s="158">
        <v>283</v>
      </c>
      <c r="J486" s="158" t="s">
        <v>58</v>
      </c>
      <c r="K486" s="165" t="s">
        <v>59</v>
      </c>
      <c r="L486" s="162">
        <v>44333</v>
      </c>
      <c r="M486" s="159" t="s">
        <v>60</v>
      </c>
      <c r="N486" s="170">
        <v>44247</v>
      </c>
      <c r="O486" s="159" t="s">
        <v>82</v>
      </c>
      <c r="P486" s="159" t="s">
        <v>82</v>
      </c>
      <c r="Q486" s="159" t="s">
        <v>2060</v>
      </c>
      <c r="R486" s="159" t="s">
        <v>82</v>
      </c>
      <c r="S486" s="159" t="s">
        <v>68</v>
      </c>
      <c r="T486" s="159" t="s">
        <v>68</v>
      </c>
      <c r="U486" s="159" t="s">
        <v>82</v>
      </c>
      <c r="V486" s="159" t="s">
        <v>82</v>
      </c>
      <c r="W486" s="159" t="s">
        <v>82</v>
      </c>
      <c r="X486" s="159" t="s">
        <v>82</v>
      </c>
      <c r="Y486" s="159" t="s">
        <v>82</v>
      </c>
      <c r="Z486" s="159" t="s">
        <v>82</v>
      </c>
      <c r="AA486" s="158" t="s">
        <v>82</v>
      </c>
      <c r="AB486" s="158" t="s">
        <v>82</v>
      </c>
      <c r="AC486" s="159" t="s">
        <v>82</v>
      </c>
      <c r="AD486" s="153"/>
      <c r="AE486" s="120"/>
    </row>
    <row r="487" spans="1:31" ht="23.4" x14ac:dyDescent="0.25">
      <c r="A487" s="121" t="s">
        <v>82</v>
      </c>
      <c r="B487" s="144">
        <v>37092</v>
      </c>
      <c r="C487" s="154" t="s">
        <v>54</v>
      </c>
      <c r="D487" s="155" t="s">
        <v>1391</v>
      </c>
      <c r="E487" s="156" t="s">
        <v>1484</v>
      </c>
      <c r="F487" s="156" t="s">
        <v>1317</v>
      </c>
      <c r="G487" s="156" t="s">
        <v>14</v>
      </c>
      <c r="H487" s="157">
        <v>43518</v>
      </c>
      <c r="I487" s="158">
        <v>261</v>
      </c>
      <c r="J487" s="158" t="s">
        <v>58</v>
      </c>
      <c r="K487" s="165" t="s">
        <v>59</v>
      </c>
      <c r="L487" s="162">
        <v>44333</v>
      </c>
      <c r="M487" s="159" t="s">
        <v>60</v>
      </c>
      <c r="N487" s="170">
        <v>44247</v>
      </c>
      <c r="O487" s="159" t="s">
        <v>82</v>
      </c>
      <c r="P487" s="159" t="s">
        <v>82</v>
      </c>
      <c r="Q487" s="159" t="s">
        <v>2060</v>
      </c>
      <c r="R487" s="159" t="s">
        <v>82</v>
      </c>
      <c r="S487" s="159" t="s">
        <v>62</v>
      </c>
      <c r="T487" s="159" t="s">
        <v>62</v>
      </c>
      <c r="U487" s="159" t="s">
        <v>82</v>
      </c>
      <c r="V487" s="159" t="s">
        <v>82</v>
      </c>
      <c r="W487" s="159" t="s">
        <v>82</v>
      </c>
      <c r="X487" s="159" t="s">
        <v>82</v>
      </c>
      <c r="Y487" s="159" t="s">
        <v>82</v>
      </c>
      <c r="Z487" s="159" t="s">
        <v>82</v>
      </c>
      <c r="AA487" s="158" t="s">
        <v>82</v>
      </c>
      <c r="AB487" s="158" t="s">
        <v>82</v>
      </c>
      <c r="AC487" s="159" t="s">
        <v>82</v>
      </c>
      <c r="AD487" s="153"/>
      <c r="AE487" s="120"/>
    </row>
    <row r="488" spans="1:31" ht="23.4" x14ac:dyDescent="0.25">
      <c r="A488" s="121" t="s">
        <v>82</v>
      </c>
      <c r="B488" s="144">
        <v>37094</v>
      </c>
      <c r="C488" s="154" t="s">
        <v>64</v>
      </c>
      <c r="D488" s="155" t="s">
        <v>1392</v>
      </c>
      <c r="E488" s="156" t="s">
        <v>1484</v>
      </c>
      <c r="F488" s="156" t="s">
        <v>1317</v>
      </c>
      <c r="G488" s="156" t="s">
        <v>14</v>
      </c>
      <c r="H488" s="157">
        <v>43520</v>
      </c>
      <c r="I488" s="158">
        <v>287</v>
      </c>
      <c r="J488" s="158" t="s">
        <v>58</v>
      </c>
      <c r="K488" s="165" t="s">
        <v>59</v>
      </c>
      <c r="L488" s="162">
        <v>44329</v>
      </c>
      <c r="M488" s="158" t="s">
        <v>60</v>
      </c>
      <c r="N488" s="162">
        <v>44293</v>
      </c>
      <c r="O488" s="162">
        <v>44293</v>
      </c>
      <c r="P488" s="158" t="s">
        <v>82</v>
      </c>
      <c r="Q488" s="159" t="s">
        <v>82</v>
      </c>
      <c r="R488" s="159" t="s">
        <v>82</v>
      </c>
      <c r="S488" s="159" t="s">
        <v>68</v>
      </c>
      <c r="T488" s="159" t="s">
        <v>82</v>
      </c>
      <c r="U488" s="159" t="s">
        <v>82</v>
      </c>
      <c r="V488" s="159" t="s">
        <v>82</v>
      </c>
      <c r="W488" s="159" t="s">
        <v>82</v>
      </c>
      <c r="X488" s="159" t="s">
        <v>82</v>
      </c>
      <c r="Y488" s="159" t="s">
        <v>82</v>
      </c>
      <c r="Z488" s="159" t="s">
        <v>82</v>
      </c>
      <c r="AA488" s="158" t="s">
        <v>82</v>
      </c>
      <c r="AB488" s="158" t="s">
        <v>82</v>
      </c>
      <c r="AC488" s="159" t="s">
        <v>82</v>
      </c>
      <c r="AD488" s="153"/>
      <c r="AE488" s="120"/>
    </row>
    <row r="489" spans="1:31" ht="23.4" x14ac:dyDescent="0.25">
      <c r="A489" s="121" t="s">
        <v>82</v>
      </c>
      <c r="B489" s="144">
        <v>37094</v>
      </c>
      <c r="C489" s="154" t="s">
        <v>54</v>
      </c>
      <c r="D489" s="155" t="s">
        <v>1393</v>
      </c>
      <c r="E489" s="156" t="s">
        <v>1484</v>
      </c>
      <c r="F489" s="156" t="s">
        <v>1317</v>
      </c>
      <c r="G489" s="156" t="s">
        <v>14</v>
      </c>
      <c r="H489" s="157">
        <v>43520</v>
      </c>
      <c r="I489" s="158">
        <v>233</v>
      </c>
      <c r="J489" s="158" t="s">
        <v>58</v>
      </c>
      <c r="K489" s="165" t="s">
        <v>59</v>
      </c>
      <c r="L489" s="162">
        <v>44329</v>
      </c>
      <c r="M489" s="158" t="s">
        <v>60</v>
      </c>
      <c r="N489" s="162">
        <v>44293</v>
      </c>
      <c r="O489" s="162">
        <v>44293</v>
      </c>
      <c r="P489" s="158" t="s">
        <v>82</v>
      </c>
      <c r="Q489" s="159" t="s">
        <v>82</v>
      </c>
      <c r="R489" s="159" t="s">
        <v>82</v>
      </c>
      <c r="S489" s="159" t="s">
        <v>62</v>
      </c>
      <c r="T489" s="159" t="s">
        <v>82</v>
      </c>
      <c r="U489" s="159" t="s">
        <v>82</v>
      </c>
      <c r="V489" s="159" t="s">
        <v>82</v>
      </c>
      <c r="W489" s="159" t="s">
        <v>82</v>
      </c>
      <c r="X489" s="159" t="s">
        <v>82</v>
      </c>
      <c r="Y489" s="159" t="s">
        <v>82</v>
      </c>
      <c r="Z489" s="159" t="s">
        <v>82</v>
      </c>
      <c r="AA489" s="158" t="s">
        <v>82</v>
      </c>
      <c r="AB489" s="158" t="s">
        <v>82</v>
      </c>
      <c r="AC489" s="159" t="s">
        <v>82</v>
      </c>
      <c r="AD489" s="153"/>
      <c r="AE489" s="120"/>
    </row>
    <row r="490" spans="1:31" x14ac:dyDescent="0.25">
      <c r="A490" s="121" t="s">
        <v>82</v>
      </c>
      <c r="B490" s="163">
        <v>37098</v>
      </c>
      <c r="C490" s="154" t="s">
        <v>64</v>
      </c>
      <c r="D490" s="155" t="s">
        <v>1394</v>
      </c>
      <c r="E490" s="156" t="s">
        <v>1484</v>
      </c>
      <c r="F490" s="156" t="s">
        <v>1317</v>
      </c>
      <c r="G490" s="156" t="s">
        <v>14</v>
      </c>
      <c r="H490" s="157">
        <v>43523</v>
      </c>
      <c r="I490" s="158">
        <v>275</v>
      </c>
      <c r="J490" s="158" t="s">
        <v>58</v>
      </c>
      <c r="K490" s="158" t="s">
        <v>680</v>
      </c>
      <c r="L490" s="162">
        <v>44374</v>
      </c>
      <c r="M490" s="159" t="s">
        <v>60</v>
      </c>
      <c r="N490" s="170">
        <v>44260</v>
      </c>
      <c r="O490" s="170">
        <v>44296</v>
      </c>
      <c r="P490" s="159" t="s">
        <v>82</v>
      </c>
      <c r="Q490" s="159" t="s">
        <v>2060</v>
      </c>
      <c r="R490" s="159" t="s">
        <v>82</v>
      </c>
      <c r="S490" s="159" t="s">
        <v>68</v>
      </c>
      <c r="T490" s="159" t="s">
        <v>68</v>
      </c>
      <c r="U490" s="159" t="s">
        <v>82</v>
      </c>
      <c r="V490" s="159" t="s">
        <v>82</v>
      </c>
      <c r="W490" s="159" t="s">
        <v>82</v>
      </c>
      <c r="X490" s="159" t="s">
        <v>82</v>
      </c>
      <c r="Y490" s="159" t="s">
        <v>82</v>
      </c>
      <c r="Z490" s="159" t="s">
        <v>82</v>
      </c>
      <c r="AA490" s="158" t="s">
        <v>82</v>
      </c>
      <c r="AB490" s="158" t="s">
        <v>82</v>
      </c>
      <c r="AC490" s="159" t="s">
        <v>82</v>
      </c>
      <c r="AD490" s="153"/>
      <c r="AE490" s="120"/>
    </row>
    <row r="491" spans="1:31" x14ac:dyDescent="0.25">
      <c r="A491" s="121" t="s">
        <v>82</v>
      </c>
      <c r="B491" s="163">
        <v>37098</v>
      </c>
      <c r="C491" s="154" t="s">
        <v>54</v>
      </c>
      <c r="D491" s="155" t="s">
        <v>1396</v>
      </c>
      <c r="E491" s="156" t="s">
        <v>1484</v>
      </c>
      <c r="F491" s="156" t="s">
        <v>1317</v>
      </c>
      <c r="G491" s="156" t="s">
        <v>14</v>
      </c>
      <c r="H491" s="157">
        <v>43523</v>
      </c>
      <c r="I491" s="158">
        <v>274</v>
      </c>
      <c r="J491" s="158" t="s">
        <v>58</v>
      </c>
      <c r="K491" s="158" t="s">
        <v>680</v>
      </c>
      <c r="L491" s="162">
        <v>44374</v>
      </c>
      <c r="M491" s="159" t="s">
        <v>60</v>
      </c>
      <c r="N491" s="170">
        <v>44260</v>
      </c>
      <c r="O491" s="170">
        <v>44296</v>
      </c>
      <c r="P491" s="159" t="s">
        <v>82</v>
      </c>
      <c r="Q491" s="159" t="s">
        <v>2060</v>
      </c>
      <c r="R491" s="159" t="s">
        <v>82</v>
      </c>
      <c r="S491" s="159" t="s">
        <v>62</v>
      </c>
      <c r="T491" s="159" t="s">
        <v>62</v>
      </c>
      <c r="U491" s="159" t="s">
        <v>82</v>
      </c>
      <c r="V491" s="159" t="s">
        <v>82</v>
      </c>
      <c r="W491" s="159" t="s">
        <v>82</v>
      </c>
      <c r="X491" s="159" t="s">
        <v>82</v>
      </c>
      <c r="Y491" s="159" t="s">
        <v>82</v>
      </c>
      <c r="Z491" s="159" t="s">
        <v>82</v>
      </c>
      <c r="AA491" s="158" t="s">
        <v>82</v>
      </c>
      <c r="AB491" s="158" t="s">
        <v>82</v>
      </c>
      <c r="AC491" s="159" t="s">
        <v>82</v>
      </c>
      <c r="AD491" s="153"/>
      <c r="AE491" s="120"/>
    </row>
    <row r="492" spans="1:31" x14ac:dyDescent="0.25">
      <c r="A492" s="121" t="s">
        <v>82</v>
      </c>
      <c r="B492" s="163">
        <v>37104</v>
      </c>
      <c r="C492" s="154" t="s">
        <v>64</v>
      </c>
      <c r="D492" s="155" t="s">
        <v>1398</v>
      </c>
      <c r="E492" s="156" t="s">
        <v>1484</v>
      </c>
      <c r="F492" s="156" t="s">
        <v>1317</v>
      </c>
      <c r="G492" s="156" t="s">
        <v>14</v>
      </c>
      <c r="H492" s="157">
        <v>43523</v>
      </c>
      <c r="I492" s="158">
        <v>296</v>
      </c>
      <c r="J492" s="158" t="s">
        <v>58</v>
      </c>
      <c r="K492" s="159" t="s">
        <v>1318</v>
      </c>
      <c r="L492" s="159" t="s">
        <v>82</v>
      </c>
      <c r="M492" s="159" t="s">
        <v>60</v>
      </c>
      <c r="N492" s="170">
        <v>44279</v>
      </c>
      <c r="O492" s="159" t="s">
        <v>82</v>
      </c>
      <c r="P492" s="159" t="s">
        <v>82</v>
      </c>
      <c r="Q492" s="159" t="s">
        <v>2060</v>
      </c>
      <c r="R492" s="159" t="s">
        <v>82</v>
      </c>
      <c r="S492" s="159" t="s">
        <v>68</v>
      </c>
      <c r="T492" s="159" t="s">
        <v>68</v>
      </c>
      <c r="U492" s="169" t="s">
        <v>82</v>
      </c>
      <c r="V492" s="159" t="s">
        <v>82</v>
      </c>
      <c r="W492" s="159" t="s">
        <v>82</v>
      </c>
      <c r="X492" s="159" t="s">
        <v>82</v>
      </c>
      <c r="Y492" s="159" t="s">
        <v>82</v>
      </c>
      <c r="Z492" s="159" t="s">
        <v>82</v>
      </c>
      <c r="AA492" s="158" t="s">
        <v>82</v>
      </c>
      <c r="AB492" s="158" t="s">
        <v>82</v>
      </c>
      <c r="AC492" s="159" t="s">
        <v>82</v>
      </c>
      <c r="AD492" s="153"/>
      <c r="AE492" s="120"/>
    </row>
    <row r="493" spans="1:31" x14ac:dyDescent="0.25">
      <c r="A493" s="121" t="s">
        <v>82</v>
      </c>
      <c r="B493" s="163">
        <v>37104</v>
      </c>
      <c r="C493" s="154" t="s">
        <v>54</v>
      </c>
      <c r="D493" s="155" t="s">
        <v>1402</v>
      </c>
      <c r="E493" s="156" t="s">
        <v>1484</v>
      </c>
      <c r="F493" s="156" t="s">
        <v>1317</v>
      </c>
      <c r="G493" s="156" t="s">
        <v>14</v>
      </c>
      <c r="H493" s="157">
        <v>43523</v>
      </c>
      <c r="I493" s="158">
        <v>210</v>
      </c>
      <c r="J493" s="158" t="s">
        <v>58</v>
      </c>
      <c r="K493" s="159" t="s">
        <v>1403</v>
      </c>
      <c r="L493" s="159" t="s">
        <v>82</v>
      </c>
      <c r="M493" s="159" t="s">
        <v>60</v>
      </c>
      <c r="N493" s="170">
        <v>44279</v>
      </c>
      <c r="O493" s="159" t="s">
        <v>82</v>
      </c>
      <c r="P493" s="159" t="s">
        <v>82</v>
      </c>
      <c r="Q493" s="159" t="s">
        <v>2060</v>
      </c>
      <c r="R493" s="159" t="s">
        <v>62</v>
      </c>
      <c r="S493" s="159" t="s">
        <v>62</v>
      </c>
      <c r="T493" s="159" t="s">
        <v>62</v>
      </c>
      <c r="U493" s="169" t="s">
        <v>82</v>
      </c>
      <c r="V493" s="159" t="s">
        <v>82</v>
      </c>
      <c r="W493" s="159" t="s">
        <v>82</v>
      </c>
      <c r="X493" s="159" t="s">
        <v>82</v>
      </c>
      <c r="Y493" s="159" t="s">
        <v>82</v>
      </c>
      <c r="Z493" s="159" t="s">
        <v>82</v>
      </c>
      <c r="AA493" s="158" t="s">
        <v>82</v>
      </c>
      <c r="AB493" s="158" t="s">
        <v>82</v>
      </c>
      <c r="AC493" s="159" t="s">
        <v>82</v>
      </c>
      <c r="AD493" s="153"/>
      <c r="AE493" s="120"/>
    </row>
    <row r="494" spans="1:31" x14ac:dyDescent="0.25">
      <c r="A494" s="121" t="s">
        <v>82</v>
      </c>
      <c r="B494" s="163">
        <v>37133</v>
      </c>
      <c r="C494" s="154" t="s">
        <v>64</v>
      </c>
      <c r="D494" s="155" t="s">
        <v>1468</v>
      </c>
      <c r="E494" s="156" t="s">
        <v>1484</v>
      </c>
      <c r="F494" s="156" t="s">
        <v>1317</v>
      </c>
      <c r="G494" s="156" t="s">
        <v>14</v>
      </c>
      <c r="H494" s="172">
        <v>43552</v>
      </c>
      <c r="I494" s="158">
        <v>333</v>
      </c>
      <c r="J494" s="158" t="s">
        <v>58</v>
      </c>
      <c r="K494" s="158" t="s">
        <v>680</v>
      </c>
      <c r="L494" s="162">
        <v>44350</v>
      </c>
      <c r="M494" s="159" t="s">
        <v>60</v>
      </c>
      <c r="N494" s="170">
        <v>44253</v>
      </c>
      <c r="O494" s="159" t="s">
        <v>82</v>
      </c>
      <c r="P494" s="159" t="s">
        <v>82</v>
      </c>
      <c r="Q494" s="159" t="s">
        <v>2060</v>
      </c>
      <c r="R494" s="159" t="s">
        <v>82</v>
      </c>
      <c r="S494" s="159" t="s">
        <v>68</v>
      </c>
      <c r="T494" s="159" t="s">
        <v>68</v>
      </c>
      <c r="U494" s="169" t="s">
        <v>82</v>
      </c>
      <c r="V494" s="159" t="s">
        <v>82</v>
      </c>
      <c r="W494" s="159" t="s">
        <v>82</v>
      </c>
      <c r="X494" s="159" t="s">
        <v>82</v>
      </c>
      <c r="Y494" s="159" t="s">
        <v>82</v>
      </c>
      <c r="Z494" s="159" t="s">
        <v>82</v>
      </c>
      <c r="AA494" s="158" t="s">
        <v>82</v>
      </c>
      <c r="AB494" s="158" t="s">
        <v>82</v>
      </c>
      <c r="AC494" s="159" t="s">
        <v>82</v>
      </c>
      <c r="AD494" s="153"/>
      <c r="AE494" s="120"/>
    </row>
    <row r="495" spans="1:31" x14ac:dyDescent="0.25">
      <c r="A495" s="121" t="s">
        <v>82</v>
      </c>
      <c r="B495" s="163">
        <v>37133</v>
      </c>
      <c r="C495" s="154" t="s">
        <v>54</v>
      </c>
      <c r="D495" s="155" t="s">
        <v>1471</v>
      </c>
      <c r="E495" s="156" t="s">
        <v>1484</v>
      </c>
      <c r="F495" s="156" t="s">
        <v>1317</v>
      </c>
      <c r="G495" s="156" t="s">
        <v>14</v>
      </c>
      <c r="H495" s="172">
        <v>43552</v>
      </c>
      <c r="I495" s="158">
        <v>408</v>
      </c>
      <c r="J495" s="158" t="s">
        <v>58</v>
      </c>
      <c r="K495" s="159" t="s">
        <v>1403</v>
      </c>
      <c r="L495" s="170">
        <v>44214</v>
      </c>
      <c r="M495" s="159" t="s">
        <v>60</v>
      </c>
      <c r="N495" s="170">
        <v>44253</v>
      </c>
      <c r="O495" s="159" t="s">
        <v>82</v>
      </c>
      <c r="P495" s="159" t="s">
        <v>82</v>
      </c>
      <c r="Q495" s="159" t="s">
        <v>2060</v>
      </c>
      <c r="R495" s="159" t="s">
        <v>82</v>
      </c>
      <c r="S495" s="159" t="s">
        <v>62</v>
      </c>
      <c r="T495" s="159" t="s">
        <v>62</v>
      </c>
      <c r="U495" s="169" t="s">
        <v>82</v>
      </c>
      <c r="V495" s="159" t="s">
        <v>62</v>
      </c>
      <c r="W495" s="159" t="s">
        <v>82</v>
      </c>
      <c r="X495" s="159" t="s">
        <v>82</v>
      </c>
      <c r="Y495" s="159" t="s">
        <v>82</v>
      </c>
      <c r="Z495" s="159" t="s">
        <v>82</v>
      </c>
      <c r="AA495" s="158" t="s">
        <v>82</v>
      </c>
      <c r="AB495" s="158" t="s">
        <v>82</v>
      </c>
      <c r="AC495" s="159" t="s">
        <v>82</v>
      </c>
      <c r="AD495" s="153"/>
      <c r="AE495" s="120"/>
    </row>
    <row r="496" spans="1:31" x14ac:dyDescent="0.25">
      <c r="A496" s="121" t="s">
        <v>82</v>
      </c>
      <c r="B496" s="144">
        <v>37136</v>
      </c>
      <c r="C496" s="154" t="s">
        <v>64</v>
      </c>
      <c r="D496" s="155" t="s">
        <v>1472</v>
      </c>
      <c r="E496" s="156" t="s">
        <v>1484</v>
      </c>
      <c r="F496" s="156" t="s">
        <v>1317</v>
      </c>
      <c r="G496" s="156" t="s">
        <v>14</v>
      </c>
      <c r="H496" s="172">
        <v>43553</v>
      </c>
      <c r="I496" s="158">
        <v>350</v>
      </c>
      <c r="J496" s="158" t="s">
        <v>58</v>
      </c>
      <c r="K496" s="158" t="s">
        <v>680</v>
      </c>
      <c r="L496" s="162">
        <v>44354</v>
      </c>
      <c r="M496" s="159" t="s">
        <v>60</v>
      </c>
      <c r="N496" s="170">
        <v>44272</v>
      </c>
      <c r="O496" s="159" t="s">
        <v>82</v>
      </c>
      <c r="P496" s="159" t="s">
        <v>82</v>
      </c>
      <c r="Q496" s="159" t="s">
        <v>2060</v>
      </c>
      <c r="R496" s="159" t="s">
        <v>82</v>
      </c>
      <c r="S496" s="159" t="s">
        <v>68</v>
      </c>
      <c r="T496" s="159" t="s">
        <v>68</v>
      </c>
      <c r="U496" s="159" t="s">
        <v>82</v>
      </c>
      <c r="V496" s="159" t="s">
        <v>82</v>
      </c>
      <c r="W496" s="159" t="s">
        <v>82</v>
      </c>
      <c r="X496" s="159" t="s">
        <v>82</v>
      </c>
      <c r="Y496" s="159" t="s">
        <v>82</v>
      </c>
      <c r="Z496" s="159" t="s">
        <v>82</v>
      </c>
      <c r="AA496" s="158" t="s">
        <v>82</v>
      </c>
      <c r="AB496" s="158" t="s">
        <v>82</v>
      </c>
      <c r="AC496" s="159" t="s">
        <v>82</v>
      </c>
      <c r="AD496" s="153"/>
      <c r="AE496" s="120"/>
    </row>
    <row r="497" spans="1:31" x14ac:dyDescent="0.25">
      <c r="A497" s="121" t="s">
        <v>82</v>
      </c>
      <c r="B497" s="144">
        <v>37136</v>
      </c>
      <c r="C497" s="154" t="s">
        <v>54</v>
      </c>
      <c r="D497" s="155" t="s">
        <v>1475</v>
      </c>
      <c r="E497" s="156" t="s">
        <v>1484</v>
      </c>
      <c r="F497" s="156" t="s">
        <v>1317</v>
      </c>
      <c r="G497" s="156" t="s">
        <v>14</v>
      </c>
      <c r="H497" s="172">
        <v>43553</v>
      </c>
      <c r="I497" s="158">
        <v>339</v>
      </c>
      <c r="J497" s="158" t="s">
        <v>58</v>
      </c>
      <c r="K497" s="158" t="s">
        <v>680</v>
      </c>
      <c r="L497" s="162">
        <v>44354</v>
      </c>
      <c r="M497" s="159" t="s">
        <v>60</v>
      </c>
      <c r="N497" s="170">
        <v>44272</v>
      </c>
      <c r="O497" s="159" t="s">
        <v>82</v>
      </c>
      <c r="P497" s="159" t="s">
        <v>82</v>
      </c>
      <c r="Q497" s="159" t="s">
        <v>2060</v>
      </c>
      <c r="R497" s="159" t="s">
        <v>82</v>
      </c>
      <c r="S497" s="159" t="s">
        <v>62</v>
      </c>
      <c r="T497" s="159" t="s">
        <v>62</v>
      </c>
      <c r="U497" s="159" t="s">
        <v>82</v>
      </c>
      <c r="V497" s="159" t="s">
        <v>82</v>
      </c>
      <c r="W497" s="159" t="s">
        <v>82</v>
      </c>
      <c r="X497" s="159" t="s">
        <v>82</v>
      </c>
      <c r="Y497" s="159" t="s">
        <v>82</v>
      </c>
      <c r="Z497" s="159" t="s">
        <v>82</v>
      </c>
      <c r="AA497" s="158" t="s">
        <v>82</v>
      </c>
      <c r="AB497" s="158" t="s">
        <v>82</v>
      </c>
      <c r="AC497" s="159" t="s">
        <v>82</v>
      </c>
      <c r="AD497" s="153"/>
      <c r="AE497" s="120"/>
    </row>
    <row r="498" spans="1:31" x14ac:dyDescent="0.25">
      <c r="A498" s="121" t="s">
        <v>82</v>
      </c>
      <c r="B498" s="144">
        <v>37140</v>
      </c>
      <c r="C498" s="154" t="s">
        <v>64</v>
      </c>
      <c r="D498" s="155" t="s">
        <v>1476</v>
      </c>
      <c r="E498" s="156" t="s">
        <v>1484</v>
      </c>
      <c r="F498" s="156" t="s">
        <v>1317</v>
      </c>
      <c r="G498" s="156" t="s">
        <v>14</v>
      </c>
      <c r="H498" s="172">
        <v>43570</v>
      </c>
      <c r="I498" s="158">
        <v>362</v>
      </c>
      <c r="J498" s="158" t="s">
        <v>58</v>
      </c>
      <c r="K498" s="158" t="s">
        <v>680</v>
      </c>
      <c r="L498" s="162">
        <v>44372</v>
      </c>
      <c r="M498" s="159" t="s">
        <v>82</v>
      </c>
      <c r="N498" s="159" t="s">
        <v>82</v>
      </c>
      <c r="O498" s="159" t="s">
        <v>82</v>
      </c>
      <c r="P498" s="159" t="s">
        <v>82</v>
      </c>
      <c r="Q498" s="159" t="s">
        <v>2060</v>
      </c>
      <c r="R498" s="159" t="s">
        <v>82</v>
      </c>
      <c r="S498" s="159" t="s">
        <v>68</v>
      </c>
      <c r="T498" s="159" t="s">
        <v>68</v>
      </c>
      <c r="U498" s="169" t="s">
        <v>82</v>
      </c>
      <c r="V498" s="159" t="s">
        <v>82</v>
      </c>
      <c r="W498" s="159" t="s">
        <v>82</v>
      </c>
      <c r="X498" s="159" t="s">
        <v>82</v>
      </c>
      <c r="Y498" s="159" t="s">
        <v>82</v>
      </c>
      <c r="Z498" s="159" t="s">
        <v>82</v>
      </c>
      <c r="AA498" s="158" t="s">
        <v>82</v>
      </c>
      <c r="AB498" s="158" t="s">
        <v>82</v>
      </c>
      <c r="AC498" s="159" t="s">
        <v>82</v>
      </c>
      <c r="AD498" s="153"/>
      <c r="AE498" s="120"/>
    </row>
    <row r="499" spans="1:31" x14ac:dyDescent="0.25">
      <c r="A499" s="121" t="s">
        <v>82</v>
      </c>
      <c r="B499" s="144">
        <v>37140</v>
      </c>
      <c r="C499" s="154" t="s">
        <v>54</v>
      </c>
      <c r="D499" s="155" t="s">
        <v>1480</v>
      </c>
      <c r="E499" s="156" t="s">
        <v>1484</v>
      </c>
      <c r="F499" s="156" t="s">
        <v>1317</v>
      </c>
      <c r="G499" s="156" t="s">
        <v>14</v>
      </c>
      <c r="H499" s="172">
        <v>43570</v>
      </c>
      <c r="I499" s="158">
        <v>363</v>
      </c>
      <c r="J499" s="158" t="s">
        <v>58</v>
      </c>
      <c r="K499" s="158" t="s">
        <v>680</v>
      </c>
      <c r="L499" s="162">
        <v>44372</v>
      </c>
      <c r="M499" s="159" t="s">
        <v>60</v>
      </c>
      <c r="N499" s="170">
        <v>44278</v>
      </c>
      <c r="O499" s="159" t="s">
        <v>82</v>
      </c>
      <c r="P499" s="159" t="s">
        <v>82</v>
      </c>
      <c r="Q499" s="159" t="s">
        <v>2060</v>
      </c>
      <c r="R499" s="159" t="s">
        <v>82</v>
      </c>
      <c r="S499" s="159" t="s">
        <v>62</v>
      </c>
      <c r="T499" s="159" t="s">
        <v>62</v>
      </c>
      <c r="U499" s="169" t="s">
        <v>82</v>
      </c>
      <c r="V499" s="159" t="s">
        <v>82</v>
      </c>
      <c r="W499" s="159" t="s">
        <v>82</v>
      </c>
      <c r="X499" s="159" t="s">
        <v>82</v>
      </c>
      <c r="Y499" s="159" t="s">
        <v>82</v>
      </c>
      <c r="Z499" s="159" t="s">
        <v>82</v>
      </c>
      <c r="AA499" s="158" t="s">
        <v>82</v>
      </c>
      <c r="AB499" s="158" t="s">
        <v>82</v>
      </c>
      <c r="AC499" s="159" t="s">
        <v>82</v>
      </c>
      <c r="AD499" s="153"/>
      <c r="AE499" s="120"/>
    </row>
    <row r="500" spans="1:31" x14ac:dyDescent="0.25">
      <c r="A500" s="121" t="s">
        <v>82</v>
      </c>
      <c r="B500" s="144">
        <v>37145</v>
      </c>
      <c r="C500" s="154" t="s">
        <v>64</v>
      </c>
      <c r="D500" s="155" t="s">
        <v>1481</v>
      </c>
      <c r="E500" s="156" t="s">
        <v>1484</v>
      </c>
      <c r="F500" s="156" t="s">
        <v>1317</v>
      </c>
      <c r="G500" s="156" t="s">
        <v>14</v>
      </c>
      <c r="H500" s="172">
        <v>43572</v>
      </c>
      <c r="I500" s="158">
        <v>344</v>
      </c>
      <c r="J500" s="158" t="s">
        <v>58</v>
      </c>
      <c r="K500" s="159" t="s">
        <v>1318</v>
      </c>
      <c r="L500" s="159" t="s">
        <v>82</v>
      </c>
      <c r="M500" s="159" t="s">
        <v>60</v>
      </c>
      <c r="N500" s="170">
        <v>44210</v>
      </c>
      <c r="O500" s="159" t="s">
        <v>82</v>
      </c>
      <c r="P500" s="159" t="s">
        <v>82</v>
      </c>
      <c r="Q500" s="159" t="s">
        <v>2060</v>
      </c>
      <c r="R500" s="159" t="s">
        <v>82</v>
      </c>
      <c r="S500" s="159" t="s">
        <v>68</v>
      </c>
      <c r="T500" s="159" t="s">
        <v>68</v>
      </c>
      <c r="U500" s="169" t="s">
        <v>82</v>
      </c>
      <c r="V500" s="159" t="s">
        <v>82</v>
      </c>
      <c r="W500" s="159" t="s">
        <v>82</v>
      </c>
      <c r="X500" s="159" t="s">
        <v>82</v>
      </c>
      <c r="Y500" s="159" t="s">
        <v>82</v>
      </c>
      <c r="Z500" s="159" t="s">
        <v>82</v>
      </c>
      <c r="AA500" s="158" t="s">
        <v>82</v>
      </c>
      <c r="AB500" s="158" t="s">
        <v>82</v>
      </c>
      <c r="AC500" s="159" t="s">
        <v>82</v>
      </c>
      <c r="AD500" s="153"/>
      <c r="AE500" s="120"/>
    </row>
    <row r="501" spans="1:31" x14ac:dyDescent="0.25">
      <c r="A501" s="121" t="s">
        <v>82</v>
      </c>
      <c r="B501" s="144">
        <v>37145</v>
      </c>
      <c r="C501" s="154" t="s">
        <v>54</v>
      </c>
      <c r="D501" s="155" t="s">
        <v>1482</v>
      </c>
      <c r="E501" s="156" t="s">
        <v>1484</v>
      </c>
      <c r="F501" s="156" t="s">
        <v>1317</v>
      </c>
      <c r="G501" s="156" t="s">
        <v>14</v>
      </c>
      <c r="H501" s="172">
        <v>43572</v>
      </c>
      <c r="I501" s="158">
        <v>345</v>
      </c>
      <c r="J501" s="158" t="s">
        <v>58</v>
      </c>
      <c r="K501" s="159" t="s">
        <v>1403</v>
      </c>
      <c r="L501" s="159" t="s">
        <v>82</v>
      </c>
      <c r="M501" s="159" t="s">
        <v>60</v>
      </c>
      <c r="N501" s="170">
        <v>44210</v>
      </c>
      <c r="O501" s="159" t="s">
        <v>82</v>
      </c>
      <c r="P501" s="159" t="s">
        <v>82</v>
      </c>
      <c r="Q501" s="159" t="s">
        <v>2060</v>
      </c>
      <c r="R501" s="159" t="s">
        <v>82</v>
      </c>
      <c r="S501" s="159" t="s">
        <v>62</v>
      </c>
      <c r="T501" s="159" t="s">
        <v>62</v>
      </c>
      <c r="U501" s="169" t="s">
        <v>82</v>
      </c>
      <c r="V501" s="159" t="s">
        <v>82</v>
      </c>
      <c r="W501" s="159" t="s">
        <v>82</v>
      </c>
      <c r="X501" s="159" t="s">
        <v>82</v>
      </c>
      <c r="Y501" s="159" t="s">
        <v>82</v>
      </c>
      <c r="Z501" s="159" t="s">
        <v>82</v>
      </c>
      <c r="AA501" s="158" t="s">
        <v>82</v>
      </c>
      <c r="AB501" s="158" t="s">
        <v>82</v>
      </c>
      <c r="AC501" s="159" t="s">
        <v>82</v>
      </c>
      <c r="AD501" s="153"/>
      <c r="AE501" s="120"/>
    </row>
    <row r="502" spans="1:31" ht="23.4" x14ac:dyDescent="0.25">
      <c r="A502" s="121" t="s">
        <v>82</v>
      </c>
      <c r="B502" s="144">
        <v>37172</v>
      </c>
      <c r="C502" s="154" t="s">
        <v>64</v>
      </c>
      <c r="D502" s="155" t="s">
        <v>1483</v>
      </c>
      <c r="E502" s="156" t="s">
        <v>1484</v>
      </c>
      <c r="F502" s="156" t="s">
        <v>1317</v>
      </c>
      <c r="G502" s="156" t="s">
        <v>14</v>
      </c>
      <c r="H502" s="157">
        <v>43601</v>
      </c>
      <c r="I502" s="158">
        <v>431</v>
      </c>
      <c r="J502" s="158" t="s">
        <v>58</v>
      </c>
      <c r="K502" s="165" t="s">
        <v>59</v>
      </c>
      <c r="L502" s="162">
        <v>44321</v>
      </c>
      <c r="M502" s="159" t="s">
        <v>60</v>
      </c>
      <c r="N502" s="170">
        <v>44270</v>
      </c>
      <c r="O502" s="159" t="s">
        <v>82</v>
      </c>
      <c r="P502" s="159" t="s">
        <v>82</v>
      </c>
      <c r="Q502" s="159" t="s">
        <v>2060</v>
      </c>
      <c r="R502" s="159" t="s">
        <v>82</v>
      </c>
      <c r="S502" s="159" t="s">
        <v>68</v>
      </c>
      <c r="T502" s="159" t="s">
        <v>68</v>
      </c>
      <c r="U502" s="169" t="s">
        <v>82</v>
      </c>
      <c r="V502" s="159" t="s">
        <v>82</v>
      </c>
      <c r="W502" s="159" t="s">
        <v>82</v>
      </c>
      <c r="X502" s="159" t="s">
        <v>82</v>
      </c>
      <c r="Y502" s="159" t="s">
        <v>82</v>
      </c>
      <c r="Z502" s="159" t="s">
        <v>82</v>
      </c>
      <c r="AA502" s="158" t="s">
        <v>82</v>
      </c>
      <c r="AB502" s="158" t="s">
        <v>82</v>
      </c>
      <c r="AC502" s="159" t="s">
        <v>82</v>
      </c>
      <c r="AD502" s="153"/>
      <c r="AE502" s="120"/>
    </row>
    <row r="503" spans="1:31" ht="23.4" x14ac:dyDescent="0.25">
      <c r="A503" s="121" t="s">
        <v>82</v>
      </c>
      <c r="B503" s="144">
        <v>37172</v>
      </c>
      <c r="C503" s="154" t="s">
        <v>54</v>
      </c>
      <c r="D503" s="155" t="s">
        <v>1487</v>
      </c>
      <c r="E503" s="156" t="s">
        <v>1484</v>
      </c>
      <c r="F503" s="156" t="s">
        <v>1317</v>
      </c>
      <c r="G503" s="156" t="s">
        <v>14</v>
      </c>
      <c r="H503" s="157">
        <v>43601</v>
      </c>
      <c r="I503" s="158">
        <v>430</v>
      </c>
      <c r="J503" s="158" t="s">
        <v>58</v>
      </c>
      <c r="K503" s="165" t="s">
        <v>59</v>
      </c>
      <c r="L503" s="162">
        <v>44321</v>
      </c>
      <c r="M503" s="159" t="s">
        <v>60</v>
      </c>
      <c r="N503" s="170">
        <v>44270</v>
      </c>
      <c r="O503" s="159" t="s">
        <v>82</v>
      </c>
      <c r="P503" s="159" t="s">
        <v>82</v>
      </c>
      <c r="Q503" s="159" t="s">
        <v>2060</v>
      </c>
      <c r="R503" s="159" t="s">
        <v>82</v>
      </c>
      <c r="S503" s="159" t="s">
        <v>62</v>
      </c>
      <c r="T503" s="159" t="s">
        <v>62</v>
      </c>
      <c r="U503" s="169" t="s">
        <v>82</v>
      </c>
      <c r="V503" s="159" t="s">
        <v>82</v>
      </c>
      <c r="W503" s="159" t="s">
        <v>82</v>
      </c>
      <c r="X503" s="159" t="s">
        <v>82</v>
      </c>
      <c r="Y503" s="159" t="s">
        <v>82</v>
      </c>
      <c r="Z503" s="159" t="s">
        <v>82</v>
      </c>
      <c r="AA503" s="158" t="s">
        <v>82</v>
      </c>
      <c r="AB503" s="158" t="s">
        <v>82</v>
      </c>
      <c r="AC503" s="159" t="s">
        <v>82</v>
      </c>
      <c r="AD503" s="153"/>
      <c r="AE503" s="120"/>
    </row>
    <row r="504" spans="1:31" ht="23.4" x14ac:dyDescent="0.25">
      <c r="A504" s="121" t="s">
        <v>82</v>
      </c>
      <c r="B504" s="144">
        <v>37173</v>
      </c>
      <c r="C504" s="154" t="s">
        <v>64</v>
      </c>
      <c r="D504" s="155" t="s">
        <v>1488</v>
      </c>
      <c r="E504" s="156" t="s">
        <v>1484</v>
      </c>
      <c r="F504" s="156" t="s">
        <v>1317</v>
      </c>
      <c r="G504" s="156" t="s">
        <v>14</v>
      </c>
      <c r="H504" s="157">
        <v>43601</v>
      </c>
      <c r="I504" s="158">
        <v>435</v>
      </c>
      <c r="J504" s="158" t="s">
        <v>58</v>
      </c>
      <c r="K504" s="165" t="s">
        <v>59</v>
      </c>
      <c r="L504" s="162">
        <v>44329</v>
      </c>
      <c r="M504" s="159" t="s">
        <v>60</v>
      </c>
      <c r="N504" s="170">
        <v>44330</v>
      </c>
      <c r="O504" s="159" t="s">
        <v>82</v>
      </c>
      <c r="P504" s="159" t="s">
        <v>82</v>
      </c>
      <c r="Q504" s="159" t="s">
        <v>2060</v>
      </c>
      <c r="R504" s="159" t="s">
        <v>82</v>
      </c>
      <c r="S504" s="159" t="s">
        <v>68</v>
      </c>
      <c r="T504" s="159" t="s">
        <v>68</v>
      </c>
      <c r="U504" s="169" t="s">
        <v>82</v>
      </c>
      <c r="V504" s="159" t="s">
        <v>82</v>
      </c>
      <c r="W504" s="159" t="s">
        <v>82</v>
      </c>
      <c r="X504" s="159" t="s">
        <v>82</v>
      </c>
      <c r="Y504" s="159" t="s">
        <v>82</v>
      </c>
      <c r="Z504" s="159" t="s">
        <v>82</v>
      </c>
      <c r="AA504" s="158" t="s">
        <v>82</v>
      </c>
      <c r="AB504" s="158" t="s">
        <v>82</v>
      </c>
      <c r="AC504" s="159" t="s">
        <v>82</v>
      </c>
      <c r="AD504" s="153"/>
      <c r="AE504" s="120"/>
    </row>
    <row r="505" spans="1:31" ht="23.4" x14ac:dyDescent="0.25">
      <c r="A505" s="121" t="s">
        <v>82</v>
      </c>
      <c r="B505" s="144">
        <v>37173</v>
      </c>
      <c r="C505" s="154" t="s">
        <v>54</v>
      </c>
      <c r="D505" s="156" t="s">
        <v>1491</v>
      </c>
      <c r="E505" s="156" t="s">
        <v>1484</v>
      </c>
      <c r="F505" s="156" t="s">
        <v>1317</v>
      </c>
      <c r="G505" s="156" t="s">
        <v>14</v>
      </c>
      <c r="H505" s="157">
        <v>43601</v>
      </c>
      <c r="I505" s="158">
        <v>429</v>
      </c>
      <c r="J505" s="158" t="s">
        <v>58</v>
      </c>
      <c r="K505" s="165" t="s">
        <v>59</v>
      </c>
      <c r="L505" s="162">
        <v>44329</v>
      </c>
      <c r="M505" s="159" t="s">
        <v>60</v>
      </c>
      <c r="N505" s="170">
        <v>44330</v>
      </c>
      <c r="O505" s="159" t="s">
        <v>82</v>
      </c>
      <c r="P505" s="159" t="s">
        <v>82</v>
      </c>
      <c r="Q505" s="159" t="s">
        <v>82</v>
      </c>
      <c r="R505" s="159" t="s">
        <v>82</v>
      </c>
      <c r="S505" s="159" t="s">
        <v>82</v>
      </c>
      <c r="T505" s="160" t="s">
        <v>82</v>
      </c>
      <c r="U505" s="159" t="s">
        <v>82</v>
      </c>
      <c r="V505" s="159" t="s">
        <v>82</v>
      </c>
      <c r="W505" s="159" t="s">
        <v>82</v>
      </c>
      <c r="X505" s="159" t="s">
        <v>82</v>
      </c>
      <c r="Y505" s="159" t="s">
        <v>82</v>
      </c>
      <c r="Z505" s="159" t="s">
        <v>82</v>
      </c>
      <c r="AA505" s="158" t="s">
        <v>82</v>
      </c>
      <c r="AB505" s="158" t="s">
        <v>82</v>
      </c>
      <c r="AC505" s="159" t="s">
        <v>82</v>
      </c>
      <c r="AD505" s="153"/>
      <c r="AE505" s="120"/>
    </row>
    <row r="506" spans="1:31" ht="23.4" x14ac:dyDescent="0.25">
      <c r="A506" s="121" t="s">
        <v>82</v>
      </c>
      <c r="B506" s="144">
        <v>37178</v>
      </c>
      <c r="C506" s="154" t="s">
        <v>64</v>
      </c>
      <c r="D506" s="155" t="s">
        <v>1492</v>
      </c>
      <c r="E506" s="156" t="s">
        <v>1484</v>
      </c>
      <c r="F506" s="156" t="s">
        <v>1317</v>
      </c>
      <c r="G506" s="156" t="s">
        <v>14</v>
      </c>
      <c r="H506" s="157">
        <v>43607</v>
      </c>
      <c r="I506" s="158">
        <v>414</v>
      </c>
      <c r="J506" s="158" t="s">
        <v>58</v>
      </c>
      <c r="K506" s="165" t="s">
        <v>59</v>
      </c>
      <c r="L506" s="162">
        <v>44330</v>
      </c>
      <c r="M506" s="159" t="s">
        <v>60</v>
      </c>
      <c r="N506" s="170">
        <v>44226</v>
      </c>
      <c r="O506" s="159" t="s">
        <v>82</v>
      </c>
      <c r="P506" s="159" t="s">
        <v>82</v>
      </c>
      <c r="Q506" s="159" t="s">
        <v>2060</v>
      </c>
      <c r="R506" s="159" t="s">
        <v>82</v>
      </c>
      <c r="S506" s="159" t="s">
        <v>68</v>
      </c>
      <c r="T506" s="159" t="s">
        <v>68</v>
      </c>
      <c r="U506" s="169" t="s">
        <v>82</v>
      </c>
      <c r="V506" s="159" t="s">
        <v>82</v>
      </c>
      <c r="W506" s="159" t="s">
        <v>82</v>
      </c>
      <c r="X506" s="159" t="s">
        <v>82</v>
      </c>
      <c r="Y506" s="159" t="s">
        <v>82</v>
      </c>
      <c r="Z506" s="159" t="s">
        <v>82</v>
      </c>
      <c r="AA506" s="158" t="s">
        <v>82</v>
      </c>
      <c r="AB506" s="158" t="s">
        <v>82</v>
      </c>
      <c r="AC506" s="159" t="s">
        <v>82</v>
      </c>
      <c r="AD506" s="153"/>
      <c r="AE506" s="120"/>
    </row>
    <row r="507" spans="1:31" ht="23.4" x14ac:dyDescent="0.25">
      <c r="A507" s="121" t="s">
        <v>82</v>
      </c>
      <c r="B507" s="144">
        <v>37178</v>
      </c>
      <c r="C507" s="154" t="s">
        <v>54</v>
      </c>
      <c r="D507" s="155" t="s">
        <v>1494</v>
      </c>
      <c r="E507" s="156" t="s">
        <v>1484</v>
      </c>
      <c r="F507" s="156" t="s">
        <v>1317</v>
      </c>
      <c r="G507" s="156" t="s">
        <v>14</v>
      </c>
      <c r="H507" s="157">
        <v>43607</v>
      </c>
      <c r="I507" s="158">
        <v>415</v>
      </c>
      <c r="J507" s="158" t="s">
        <v>58</v>
      </c>
      <c r="K507" s="165" t="s">
        <v>59</v>
      </c>
      <c r="L507" s="162">
        <v>44329</v>
      </c>
      <c r="M507" s="159" t="s">
        <v>60</v>
      </c>
      <c r="N507" s="170">
        <v>44226</v>
      </c>
      <c r="O507" s="159" t="s">
        <v>82</v>
      </c>
      <c r="P507" s="159" t="s">
        <v>82</v>
      </c>
      <c r="Q507" s="159" t="s">
        <v>2060</v>
      </c>
      <c r="R507" s="159" t="s">
        <v>82</v>
      </c>
      <c r="S507" s="159" t="s">
        <v>62</v>
      </c>
      <c r="T507" s="159" t="s">
        <v>62</v>
      </c>
      <c r="U507" s="169" t="s">
        <v>82</v>
      </c>
      <c r="V507" s="159" t="s">
        <v>82</v>
      </c>
      <c r="W507" s="159" t="s">
        <v>82</v>
      </c>
      <c r="X507" s="159" t="s">
        <v>82</v>
      </c>
      <c r="Y507" s="159" t="s">
        <v>82</v>
      </c>
      <c r="Z507" s="159" t="s">
        <v>82</v>
      </c>
      <c r="AA507" s="158" t="s">
        <v>82</v>
      </c>
      <c r="AB507" s="158" t="s">
        <v>82</v>
      </c>
      <c r="AC507" s="159" t="s">
        <v>82</v>
      </c>
      <c r="AD507" s="153"/>
      <c r="AE507" s="120"/>
    </row>
    <row r="508" spans="1:31" ht="23.4" x14ac:dyDescent="0.25">
      <c r="A508" s="121" t="s">
        <v>82</v>
      </c>
      <c r="B508" s="144">
        <v>37231</v>
      </c>
      <c r="C508" s="154" t="s">
        <v>64</v>
      </c>
      <c r="D508" s="158" t="s">
        <v>1405</v>
      </c>
      <c r="E508" s="156" t="s">
        <v>1929</v>
      </c>
      <c r="F508" s="156" t="s">
        <v>1317</v>
      </c>
      <c r="G508" s="156" t="s">
        <v>14</v>
      </c>
      <c r="H508" s="157">
        <v>43702</v>
      </c>
      <c r="I508" s="158">
        <v>541</v>
      </c>
      <c r="J508" s="158" t="s">
        <v>58</v>
      </c>
      <c r="K508" s="165" t="s">
        <v>59</v>
      </c>
      <c r="L508" s="162">
        <v>44342</v>
      </c>
      <c r="M508" s="159" t="s">
        <v>60</v>
      </c>
      <c r="N508" s="170">
        <v>44238</v>
      </c>
      <c r="O508" s="159" t="s">
        <v>82</v>
      </c>
      <c r="P508" s="159" t="s">
        <v>82</v>
      </c>
      <c r="Q508" s="159" t="s">
        <v>75</v>
      </c>
      <c r="R508" s="159" t="s">
        <v>82</v>
      </c>
      <c r="S508" s="159" t="s">
        <v>68</v>
      </c>
      <c r="T508" s="159" t="s">
        <v>68</v>
      </c>
      <c r="U508" s="169" t="s">
        <v>82</v>
      </c>
      <c r="V508" s="159" t="s">
        <v>82</v>
      </c>
      <c r="W508" s="159" t="s">
        <v>82</v>
      </c>
      <c r="X508" s="159" t="s">
        <v>82</v>
      </c>
      <c r="Y508" s="159" t="s">
        <v>82</v>
      </c>
      <c r="Z508" s="159" t="s">
        <v>82</v>
      </c>
      <c r="AA508" s="158" t="s">
        <v>82</v>
      </c>
      <c r="AB508" s="158" t="s">
        <v>82</v>
      </c>
      <c r="AC508" s="159" t="s">
        <v>82</v>
      </c>
      <c r="AD508" s="153"/>
      <c r="AE508" s="120"/>
    </row>
    <row r="509" spans="1:31" ht="23.4" x14ac:dyDescent="0.25">
      <c r="A509" s="121" t="s">
        <v>82</v>
      </c>
      <c r="B509" s="144">
        <v>37231</v>
      </c>
      <c r="C509" s="154" t="s">
        <v>54</v>
      </c>
      <c r="D509" s="158" t="s">
        <v>1408</v>
      </c>
      <c r="E509" s="156" t="s">
        <v>1929</v>
      </c>
      <c r="F509" s="156" t="s">
        <v>1317</v>
      </c>
      <c r="G509" s="156" t="s">
        <v>14</v>
      </c>
      <c r="H509" s="157">
        <v>43702</v>
      </c>
      <c r="I509" s="158">
        <v>551</v>
      </c>
      <c r="J509" s="158" t="s">
        <v>58</v>
      </c>
      <c r="K509" s="165" t="s">
        <v>59</v>
      </c>
      <c r="L509" s="162">
        <v>44342</v>
      </c>
      <c r="M509" s="159" t="s">
        <v>60</v>
      </c>
      <c r="N509" s="170">
        <v>44238</v>
      </c>
      <c r="O509" s="159" t="s">
        <v>82</v>
      </c>
      <c r="P509" s="159" t="s">
        <v>82</v>
      </c>
      <c r="Q509" s="159" t="s">
        <v>75</v>
      </c>
      <c r="R509" s="159" t="s">
        <v>82</v>
      </c>
      <c r="S509" s="159" t="s">
        <v>62</v>
      </c>
      <c r="T509" s="159" t="s">
        <v>62</v>
      </c>
      <c r="U509" s="169" t="s">
        <v>82</v>
      </c>
      <c r="V509" s="159" t="s">
        <v>82</v>
      </c>
      <c r="W509" s="159" t="s">
        <v>82</v>
      </c>
      <c r="X509" s="159" t="s">
        <v>82</v>
      </c>
      <c r="Y509" s="159" t="s">
        <v>82</v>
      </c>
      <c r="Z509" s="159" t="s">
        <v>82</v>
      </c>
      <c r="AA509" s="158" t="s">
        <v>82</v>
      </c>
      <c r="AB509" s="158" t="s">
        <v>82</v>
      </c>
      <c r="AC509" s="159" t="s">
        <v>82</v>
      </c>
      <c r="AD509" s="153"/>
      <c r="AE509" s="120"/>
    </row>
    <row r="510" spans="1:31" x14ac:dyDescent="0.25">
      <c r="A510" s="121" t="s">
        <v>82</v>
      </c>
      <c r="B510" s="144">
        <v>37232</v>
      </c>
      <c r="C510" s="154" t="s">
        <v>64</v>
      </c>
      <c r="D510" s="158" t="s">
        <v>1409</v>
      </c>
      <c r="E510" s="156" t="s">
        <v>1929</v>
      </c>
      <c r="F510" s="156" t="s">
        <v>1317</v>
      </c>
      <c r="G510" s="156" t="s">
        <v>14</v>
      </c>
      <c r="H510" s="157">
        <v>43703</v>
      </c>
      <c r="I510" s="158">
        <v>540</v>
      </c>
      <c r="J510" s="158" t="s">
        <v>58</v>
      </c>
      <c r="K510" s="159" t="s">
        <v>82</v>
      </c>
      <c r="L510" s="159" t="s">
        <v>82</v>
      </c>
      <c r="M510" s="158" t="s">
        <v>60</v>
      </c>
      <c r="N510" s="162">
        <v>44295</v>
      </c>
      <c r="O510" s="162">
        <v>44295</v>
      </c>
      <c r="P510" s="158" t="s">
        <v>82</v>
      </c>
      <c r="Q510" s="159" t="s">
        <v>75</v>
      </c>
      <c r="R510" s="159" t="s">
        <v>82</v>
      </c>
      <c r="S510" s="159" t="s">
        <v>68</v>
      </c>
      <c r="T510" s="159" t="s">
        <v>68</v>
      </c>
      <c r="U510" s="169" t="s">
        <v>82</v>
      </c>
      <c r="V510" s="159" t="s">
        <v>82</v>
      </c>
      <c r="W510" s="159" t="s">
        <v>82</v>
      </c>
      <c r="X510" s="159" t="s">
        <v>82</v>
      </c>
      <c r="Y510" s="159" t="s">
        <v>82</v>
      </c>
      <c r="Z510" s="159" t="s">
        <v>82</v>
      </c>
      <c r="AA510" s="158" t="s">
        <v>82</v>
      </c>
      <c r="AB510" s="158" t="s">
        <v>82</v>
      </c>
      <c r="AC510" s="159" t="s">
        <v>82</v>
      </c>
      <c r="AD510" s="153"/>
      <c r="AE510" s="120"/>
    </row>
    <row r="511" spans="1:31" x14ac:dyDescent="0.25">
      <c r="A511" s="121" t="s">
        <v>82</v>
      </c>
      <c r="B511" s="144">
        <v>37232</v>
      </c>
      <c r="C511" s="154" t="s">
        <v>54</v>
      </c>
      <c r="D511" s="158" t="s">
        <v>1412</v>
      </c>
      <c r="E511" s="156" t="s">
        <v>1929</v>
      </c>
      <c r="F511" s="156" t="s">
        <v>1317</v>
      </c>
      <c r="G511" s="156" t="s">
        <v>14</v>
      </c>
      <c r="H511" s="157">
        <v>43703</v>
      </c>
      <c r="I511" s="158">
        <v>547</v>
      </c>
      <c r="J511" s="158" t="s">
        <v>58</v>
      </c>
      <c r="K511" s="159" t="s">
        <v>82</v>
      </c>
      <c r="L511" s="159" t="s">
        <v>82</v>
      </c>
      <c r="M511" s="158" t="s">
        <v>60</v>
      </c>
      <c r="N511" s="162">
        <v>44295</v>
      </c>
      <c r="O511" s="162">
        <v>44295</v>
      </c>
      <c r="P511" s="158" t="s">
        <v>82</v>
      </c>
      <c r="Q511" s="159" t="s">
        <v>75</v>
      </c>
      <c r="R511" s="159" t="s">
        <v>82</v>
      </c>
      <c r="S511" s="159" t="s">
        <v>62</v>
      </c>
      <c r="T511" s="159" t="s">
        <v>62</v>
      </c>
      <c r="U511" s="169" t="s">
        <v>82</v>
      </c>
      <c r="V511" s="159" t="s">
        <v>82</v>
      </c>
      <c r="W511" s="159" t="s">
        <v>82</v>
      </c>
      <c r="X511" s="159" t="s">
        <v>82</v>
      </c>
      <c r="Y511" s="159" t="s">
        <v>82</v>
      </c>
      <c r="Z511" s="159" t="s">
        <v>82</v>
      </c>
      <c r="AA511" s="158" t="s">
        <v>82</v>
      </c>
      <c r="AB511" s="158" t="s">
        <v>82</v>
      </c>
      <c r="AC511" s="159" t="s">
        <v>82</v>
      </c>
      <c r="AD511" s="153"/>
      <c r="AE511" s="120"/>
    </row>
    <row r="512" spans="1:31" ht="23.4" x14ac:dyDescent="0.25">
      <c r="A512" s="121" t="s">
        <v>82</v>
      </c>
      <c r="B512" s="144">
        <v>37233</v>
      </c>
      <c r="C512" s="154" t="s">
        <v>64</v>
      </c>
      <c r="D512" s="158" t="s">
        <v>1414</v>
      </c>
      <c r="E512" s="156" t="s">
        <v>1929</v>
      </c>
      <c r="F512" s="156" t="s">
        <v>1317</v>
      </c>
      <c r="G512" s="156" t="s">
        <v>14</v>
      </c>
      <c r="H512" s="157">
        <v>43703</v>
      </c>
      <c r="I512" s="158">
        <v>546</v>
      </c>
      <c r="J512" s="158" t="s">
        <v>58</v>
      </c>
      <c r="K512" s="165" t="s">
        <v>59</v>
      </c>
      <c r="L512" s="162">
        <v>44325</v>
      </c>
      <c r="M512" s="159" t="s">
        <v>82</v>
      </c>
      <c r="N512" s="159" t="s">
        <v>82</v>
      </c>
      <c r="O512" s="159" t="s">
        <v>82</v>
      </c>
      <c r="P512" s="159" t="s">
        <v>82</v>
      </c>
      <c r="Q512" s="159" t="s">
        <v>75</v>
      </c>
      <c r="R512" s="159" t="s">
        <v>82</v>
      </c>
      <c r="S512" s="159" t="s">
        <v>68</v>
      </c>
      <c r="T512" s="159" t="s">
        <v>68</v>
      </c>
      <c r="U512" s="159" t="s">
        <v>82</v>
      </c>
      <c r="V512" s="159" t="s">
        <v>82</v>
      </c>
      <c r="W512" s="159" t="s">
        <v>82</v>
      </c>
      <c r="X512" s="159" t="s">
        <v>82</v>
      </c>
      <c r="Y512" s="159" t="s">
        <v>82</v>
      </c>
      <c r="Z512" s="159" t="s">
        <v>82</v>
      </c>
      <c r="AA512" s="158" t="s">
        <v>82</v>
      </c>
      <c r="AB512" s="158" t="s">
        <v>82</v>
      </c>
      <c r="AC512" s="159" t="s">
        <v>82</v>
      </c>
      <c r="AD512" s="153"/>
      <c r="AE512" s="120"/>
    </row>
    <row r="513" spans="1:31" ht="23.4" x14ac:dyDescent="0.25">
      <c r="A513" s="121" t="s">
        <v>82</v>
      </c>
      <c r="B513" s="144">
        <v>37233</v>
      </c>
      <c r="C513" s="154" t="s">
        <v>54</v>
      </c>
      <c r="D513" s="158" t="s">
        <v>1416</v>
      </c>
      <c r="E513" s="156" t="s">
        <v>1929</v>
      </c>
      <c r="F513" s="156" t="s">
        <v>1317</v>
      </c>
      <c r="G513" s="156" t="s">
        <v>14</v>
      </c>
      <c r="H513" s="157">
        <v>43703</v>
      </c>
      <c r="I513" s="158">
        <v>550</v>
      </c>
      <c r="J513" s="158" t="s">
        <v>58</v>
      </c>
      <c r="K513" s="165" t="s">
        <v>59</v>
      </c>
      <c r="L513" s="162">
        <v>44325</v>
      </c>
      <c r="M513" s="159" t="s">
        <v>60</v>
      </c>
      <c r="N513" s="170">
        <v>44273</v>
      </c>
      <c r="O513" s="159" t="s">
        <v>82</v>
      </c>
      <c r="P513" s="159" t="s">
        <v>82</v>
      </c>
      <c r="Q513" s="159" t="s">
        <v>75</v>
      </c>
      <c r="R513" s="159" t="s">
        <v>82</v>
      </c>
      <c r="S513" s="159" t="s">
        <v>62</v>
      </c>
      <c r="T513" s="159" t="s">
        <v>62</v>
      </c>
      <c r="U513" s="159" t="s">
        <v>82</v>
      </c>
      <c r="V513" s="159" t="s">
        <v>82</v>
      </c>
      <c r="W513" s="159" t="s">
        <v>82</v>
      </c>
      <c r="X513" s="159" t="s">
        <v>82</v>
      </c>
      <c r="Y513" s="159" t="s">
        <v>82</v>
      </c>
      <c r="Z513" s="159" t="s">
        <v>82</v>
      </c>
      <c r="AA513" s="158" t="s">
        <v>82</v>
      </c>
      <c r="AB513" s="158" t="s">
        <v>82</v>
      </c>
      <c r="AC513" s="159" t="s">
        <v>82</v>
      </c>
      <c r="AD513" s="153"/>
      <c r="AE513" s="120"/>
    </row>
    <row r="514" spans="1:31" ht="23.4" x14ac:dyDescent="0.25">
      <c r="A514" s="121" t="s">
        <v>82</v>
      </c>
      <c r="B514" s="144">
        <v>37234</v>
      </c>
      <c r="C514" s="154" t="s">
        <v>64</v>
      </c>
      <c r="D514" s="158" t="s">
        <v>1417</v>
      </c>
      <c r="E514" s="156" t="s">
        <v>1929</v>
      </c>
      <c r="F514" s="156" t="s">
        <v>1317</v>
      </c>
      <c r="G514" s="156" t="s">
        <v>14</v>
      </c>
      <c r="H514" s="157">
        <v>43707</v>
      </c>
      <c r="I514" s="158">
        <v>559</v>
      </c>
      <c r="J514" s="158" t="s">
        <v>58</v>
      </c>
      <c r="K514" s="165" t="s">
        <v>59</v>
      </c>
      <c r="L514" s="162">
        <v>44330</v>
      </c>
      <c r="M514" s="159" t="s">
        <v>60</v>
      </c>
      <c r="N514" s="170">
        <v>44330</v>
      </c>
      <c r="O514" s="159" t="s">
        <v>82</v>
      </c>
      <c r="P514" s="159" t="s">
        <v>82</v>
      </c>
      <c r="Q514" s="159" t="s">
        <v>75</v>
      </c>
      <c r="R514" s="159" t="s">
        <v>82</v>
      </c>
      <c r="S514" s="159" t="s">
        <v>68</v>
      </c>
      <c r="T514" s="159" t="s">
        <v>68</v>
      </c>
      <c r="U514" s="169" t="s">
        <v>82</v>
      </c>
      <c r="V514" s="159" t="s">
        <v>82</v>
      </c>
      <c r="W514" s="159" t="s">
        <v>82</v>
      </c>
      <c r="X514" s="159" t="s">
        <v>82</v>
      </c>
      <c r="Y514" s="159" t="s">
        <v>82</v>
      </c>
      <c r="Z514" s="159" t="s">
        <v>82</v>
      </c>
      <c r="AA514" s="158" t="s">
        <v>82</v>
      </c>
      <c r="AB514" s="158" t="s">
        <v>82</v>
      </c>
      <c r="AC514" s="159" t="s">
        <v>82</v>
      </c>
      <c r="AD514" s="153"/>
      <c r="AE514" s="120"/>
    </row>
    <row r="515" spans="1:31" ht="23.4" x14ac:dyDescent="0.25">
      <c r="A515" s="121" t="s">
        <v>82</v>
      </c>
      <c r="B515" s="144">
        <v>37234</v>
      </c>
      <c r="C515" s="154" t="s">
        <v>54</v>
      </c>
      <c r="D515" s="156" t="s">
        <v>1418</v>
      </c>
      <c r="E515" s="156" t="s">
        <v>1929</v>
      </c>
      <c r="F515" s="156" t="s">
        <v>1317</v>
      </c>
      <c r="G515" s="156" t="s">
        <v>14</v>
      </c>
      <c r="H515" s="157">
        <v>43707</v>
      </c>
      <c r="I515" s="158">
        <v>561</v>
      </c>
      <c r="J515" s="158" t="s">
        <v>58</v>
      </c>
      <c r="K515" s="165" t="s">
        <v>59</v>
      </c>
      <c r="L515" s="162">
        <v>44330</v>
      </c>
      <c r="M515" s="159" t="s">
        <v>60</v>
      </c>
      <c r="N515" s="170">
        <v>44330</v>
      </c>
      <c r="O515" s="159" t="s">
        <v>82</v>
      </c>
      <c r="P515" s="159" t="s">
        <v>82</v>
      </c>
      <c r="Q515" s="159" t="s">
        <v>75</v>
      </c>
      <c r="R515" s="159" t="s">
        <v>82</v>
      </c>
      <c r="S515" s="159" t="s">
        <v>82</v>
      </c>
      <c r="T515" s="159" t="s">
        <v>82</v>
      </c>
      <c r="U515" s="159" t="s">
        <v>82</v>
      </c>
      <c r="V515" s="159" t="s">
        <v>82</v>
      </c>
      <c r="W515" s="159" t="s">
        <v>82</v>
      </c>
      <c r="X515" s="159" t="s">
        <v>82</v>
      </c>
      <c r="Y515" s="159" t="s">
        <v>82</v>
      </c>
      <c r="Z515" s="159" t="s">
        <v>82</v>
      </c>
      <c r="AA515" s="158" t="s">
        <v>82</v>
      </c>
      <c r="AB515" s="158" t="s">
        <v>82</v>
      </c>
      <c r="AC515" s="159" t="s">
        <v>82</v>
      </c>
      <c r="AD515" s="153"/>
      <c r="AE515" s="120"/>
    </row>
    <row r="516" spans="1:31" x14ac:dyDescent="0.25">
      <c r="A516" s="121" t="s">
        <v>82</v>
      </c>
      <c r="B516" s="144">
        <v>37278</v>
      </c>
      <c r="C516" s="154" t="s">
        <v>64</v>
      </c>
      <c r="D516" s="155" t="s">
        <v>1419</v>
      </c>
      <c r="E516" s="156" t="s">
        <v>1929</v>
      </c>
      <c r="F516" s="156" t="s">
        <v>1317</v>
      </c>
      <c r="G516" s="156" t="s">
        <v>14</v>
      </c>
      <c r="H516" s="157">
        <v>43795</v>
      </c>
      <c r="I516" s="158">
        <v>601</v>
      </c>
      <c r="J516" s="158" t="s">
        <v>58</v>
      </c>
      <c r="K516" s="158" t="s">
        <v>680</v>
      </c>
      <c r="L516" s="162">
        <v>44366</v>
      </c>
      <c r="M516" s="159" t="s">
        <v>60</v>
      </c>
      <c r="N516" s="170">
        <v>44252</v>
      </c>
      <c r="O516" s="159" t="s">
        <v>82</v>
      </c>
      <c r="P516" s="159" t="s">
        <v>82</v>
      </c>
      <c r="Q516" s="159" t="s">
        <v>75</v>
      </c>
      <c r="R516" s="159" t="s">
        <v>82</v>
      </c>
      <c r="S516" s="159" t="s">
        <v>62</v>
      </c>
      <c r="T516" s="159" t="s">
        <v>62</v>
      </c>
      <c r="U516" s="169" t="s">
        <v>82</v>
      </c>
      <c r="V516" s="159" t="s">
        <v>82</v>
      </c>
      <c r="W516" s="159" t="s">
        <v>82</v>
      </c>
      <c r="X516" s="159" t="s">
        <v>82</v>
      </c>
      <c r="Y516" s="159" t="s">
        <v>82</v>
      </c>
      <c r="Z516" s="159" t="s">
        <v>82</v>
      </c>
      <c r="AA516" s="158" t="s">
        <v>82</v>
      </c>
      <c r="AB516" s="158" t="s">
        <v>82</v>
      </c>
      <c r="AC516" s="159" t="s">
        <v>82</v>
      </c>
      <c r="AD516" s="153"/>
      <c r="AE516" s="120"/>
    </row>
    <row r="517" spans="1:31" ht="23.4" x14ac:dyDescent="0.25">
      <c r="A517" s="121" t="s">
        <v>82</v>
      </c>
      <c r="B517" s="144">
        <v>37278</v>
      </c>
      <c r="C517" s="154" t="s">
        <v>54</v>
      </c>
      <c r="D517" s="164" t="s">
        <v>1421</v>
      </c>
      <c r="E517" s="156" t="s">
        <v>1929</v>
      </c>
      <c r="F517" s="156" t="s">
        <v>1317</v>
      </c>
      <c r="G517" s="156" t="s">
        <v>14</v>
      </c>
      <c r="H517" s="157">
        <v>43795</v>
      </c>
      <c r="I517" s="158">
        <v>602</v>
      </c>
      <c r="J517" s="158" t="s">
        <v>58</v>
      </c>
      <c r="K517" s="165" t="s">
        <v>59</v>
      </c>
      <c r="L517" s="166">
        <v>44086</v>
      </c>
      <c r="M517" s="160" t="s">
        <v>722</v>
      </c>
      <c r="N517" s="160" t="s">
        <v>82</v>
      </c>
      <c r="O517" s="175">
        <v>44293</v>
      </c>
      <c r="P517" s="167" t="s">
        <v>82</v>
      </c>
      <c r="Q517" s="159" t="s">
        <v>75</v>
      </c>
      <c r="R517" s="160" t="s">
        <v>82</v>
      </c>
      <c r="S517" s="160" t="s">
        <v>62</v>
      </c>
      <c r="T517" s="160" t="s">
        <v>82</v>
      </c>
      <c r="U517" s="160" t="s">
        <v>82</v>
      </c>
      <c r="V517" s="160" t="s">
        <v>82</v>
      </c>
      <c r="W517" s="160" t="s">
        <v>82</v>
      </c>
      <c r="X517" s="160" t="s">
        <v>82</v>
      </c>
      <c r="Y517" s="160" t="s">
        <v>82</v>
      </c>
      <c r="Z517" s="160" t="s">
        <v>82</v>
      </c>
      <c r="AA517" s="158" t="s">
        <v>82</v>
      </c>
      <c r="AB517" s="158" t="s">
        <v>82</v>
      </c>
      <c r="AC517" s="160" t="s">
        <v>82</v>
      </c>
      <c r="AD517" s="168"/>
      <c r="AE517" s="120"/>
    </row>
    <row r="518" spans="1:31" x14ac:dyDescent="0.25">
      <c r="A518" s="121" t="s">
        <v>82</v>
      </c>
      <c r="B518" s="144">
        <v>37280</v>
      </c>
      <c r="C518" s="154" t="s">
        <v>64</v>
      </c>
      <c r="D518" s="155" t="s">
        <v>1422</v>
      </c>
      <c r="E518" s="156" t="s">
        <v>1929</v>
      </c>
      <c r="F518" s="156" t="s">
        <v>1317</v>
      </c>
      <c r="G518" s="156" t="s">
        <v>14</v>
      </c>
      <c r="H518" s="157">
        <v>43796</v>
      </c>
      <c r="I518" s="158">
        <v>639</v>
      </c>
      <c r="J518" s="158" t="s">
        <v>58</v>
      </c>
      <c r="K518" s="159" t="s">
        <v>82</v>
      </c>
      <c r="L518" s="159" t="s">
        <v>82</v>
      </c>
      <c r="M518" s="159" t="s">
        <v>999</v>
      </c>
      <c r="N518" s="159" t="s">
        <v>82</v>
      </c>
      <c r="O518" s="159" t="s">
        <v>82</v>
      </c>
      <c r="P518" s="159" t="s">
        <v>82</v>
      </c>
      <c r="Q518" s="159" t="s">
        <v>75</v>
      </c>
      <c r="R518" s="159" t="s">
        <v>82</v>
      </c>
      <c r="S518" s="159" t="s">
        <v>68</v>
      </c>
      <c r="T518" s="159" t="s">
        <v>68</v>
      </c>
      <c r="U518" s="169" t="s">
        <v>82</v>
      </c>
      <c r="V518" s="159" t="s">
        <v>82</v>
      </c>
      <c r="W518" s="159" t="s">
        <v>82</v>
      </c>
      <c r="X518" s="159" t="s">
        <v>82</v>
      </c>
      <c r="Y518" s="159" t="s">
        <v>82</v>
      </c>
      <c r="Z518" s="159" t="s">
        <v>82</v>
      </c>
      <c r="AA518" s="158" t="s">
        <v>82</v>
      </c>
      <c r="AB518" s="158" t="s">
        <v>82</v>
      </c>
      <c r="AC518" s="159" t="s">
        <v>82</v>
      </c>
      <c r="AD518" s="153"/>
      <c r="AE518" s="120"/>
    </row>
    <row r="519" spans="1:31" x14ac:dyDescent="0.25">
      <c r="A519" s="121" t="s">
        <v>82</v>
      </c>
      <c r="B519" s="144">
        <v>37280</v>
      </c>
      <c r="C519" s="154" t="s">
        <v>54</v>
      </c>
      <c r="D519" s="155" t="s">
        <v>1423</v>
      </c>
      <c r="E519" s="156" t="s">
        <v>1929</v>
      </c>
      <c r="F519" s="156" t="s">
        <v>1317</v>
      </c>
      <c r="G519" s="156" t="s">
        <v>14</v>
      </c>
      <c r="H519" s="157">
        <v>43796</v>
      </c>
      <c r="I519" s="158">
        <v>638</v>
      </c>
      <c r="J519" s="158" t="s">
        <v>58</v>
      </c>
      <c r="K519" s="159" t="s">
        <v>82</v>
      </c>
      <c r="L519" s="159" t="s">
        <v>82</v>
      </c>
      <c r="M519" s="159" t="s">
        <v>999</v>
      </c>
      <c r="N519" s="159" t="s">
        <v>82</v>
      </c>
      <c r="O519" s="159" t="s">
        <v>82</v>
      </c>
      <c r="P519" s="159" t="s">
        <v>82</v>
      </c>
      <c r="Q519" s="159" t="s">
        <v>75</v>
      </c>
      <c r="R519" s="159" t="s">
        <v>82</v>
      </c>
      <c r="S519" s="159" t="s">
        <v>62</v>
      </c>
      <c r="T519" s="159" t="s">
        <v>62</v>
      </c>
      <c r="U519" s="169" t="s">
        <v>82</v>
      </c>
      <c r="V519" s="159" t="s">
        <v>82</v>
      </c>
      <c r="W519" s="159" t="s">
        <v>82</v>
      </c>
      <c r="X519" s="159" t="s">
        <v>82</v>
      </c>
      <c r="Y519" s="159" t="s">
        <v>82</v>
      </c>
      <c r="Z519" s="159" t="s">
        <v>82</v>
      </c>
      <c r="AA519" s="158" t="s">
        <v>82</v>
      </c>
      <c r="AB519" s="158" t="s">
        <v>82</v>
      </c>
      <c r="AC519" s="159" t="s">
        <v>82</v>
      </c>
      <c r="AD519" s="153"/>
      <c r="AE519" s="120"/>
    </row>
    <row r="520" spans="1:31" ht="23.4" x14ac:dyDescent="0.25">
      <c r="A520" s="121" t="s">
        <v>82</v>
      </c>
      <c r="B520" s="144">
        <v>37282</v>
      </c>
      <c r="C520" s="154" t="s">
        <v>64</v>
      </c>
      <c r="D520" s="156" t="s">
        <v>1331</v>
      </c>
      <c r="E520" s="156" t="s">
        <v>2010</v>
      </c>
      <c r="F520" s="156" t="s">
        <v>1317</v>
      </c>
      <c r="G520" s="156" t="s">
        <v>14</v>
      </c>
      <c r="H520" s="157">
        <v>43797</v>
      </c>
      <c r="I520" s="158">
        <v>586</v>
      </c>
      <c r="J520" s="158" t="s">
        <v>58</v>
      </c>
      <c r="K520" s="165" t="s">
        <v>59</v>
      </c>
      <c r="L520" s="162">
        <v>44325</v>
      </c>
      <c r="M520" s="158" t="s">
        <v>60</v>
      </c>
      <c r="N520" s="162">
        <v>44325</v>
      </c>
      <c r="O520" s="159" t="s">
        <v>82</v>
      </c>
      <c r="P520" s="159" t="s">
        <v>82</v>
      </c>
      <c r="Q520" s="159" t="s">
        <v>75</v>
      </c>
      <c r="R520" s="159" t="s">
        <v>82</v>
      </c>
      <c r="S520" s="159" t="s">
        <v>82</v>
      </c>
      <c r="T520" s="159" t="s">
        <v>82</v>
      </c>
      <c r="U520" s="169" t="s">
        <v>82</v>
      </c>
      <c r="V520" s="159" t="s">
        <v>82</v>
      </c>
      <c r="W520" s="159" t="s">
        <v>82</v>
      </c>
      <c r="X520" s="159" t="s">
        <v>82</v>
      </c>
      <c r="Y520" s="159" t="s">
        <v>82</v>
      </c>
      <c r="Z520" s="159" t="s">
        <v>82</v>
      </c>
      <c r="AA520" s="158" t="s">
        <v>82</v>
      </c>
      <c r="AB520" s="158" t="s">
        <v>82</v>
      </c>
      <c r="AC520" s="159" t="s">
        <v>82</v>
      </c>
      <c r="AD520" s="153"/>
      <c r="AE520" s="120"/>
    </row>
    <row r="521" spans="1:31" ht="23.4" x14ac:dyDescent="0.25">
      <c r="A521" s="121" t="s">
        <v>82</v>
      </c>
      <c r="B521" s="144">
        <v>37282</v>
      </c>
      <c r="C521" s="154" t="s">
        <v>54</v>
      </c>
      <c r="D521" s="156" t="s">
        <v>1333</v>
      </c>
      <c r="E521" s="156" t="s">
        <v>2010</v>
      </c>
      <c r="F521" s="156" t="s">
        <v>1317</v>
      </c>
      <c r="G521" s="156" t="s">
        <v>14</v>
      </c>
      <c r="H521" s="157">
        <v>43797</v>
      </c>
      <c r="I521" s="158">
        <v>571</v>
      </c>
      <c r="J521" s="158" t="s">
        <v>58</v>
      </c>
      <c r="K521" s="165" t="s">
        <v>59</v>
      </c>
      <c r="L521" s="162">
        <v>44325</v>
      </c>
      <c r="M521" s="158" t="s">
        <v>60</v>
      </c>
      <c r="N521" s="162">
        <v>44325</v>
      </c>
      <c r="O521" s="159" t="s">
        <v>82</v>
      </c>
      <c r="P521" s="159" t="s">
        <v>82</v>
      </c>
      <c r="Q521" s="159" t="s">
        <v>75</v>
      </c>
      <c r="R521" s="159" t="s">
        <v>82</v>
      </c>
      <c r="S521" s="159" t="s">
        <v>82</v>
      </c>
      <c r="T521" s="159" t="s">
        <v>82</v>
      </c>
      <c r="U521" s="169" t="s">
        <v>82</v>
      </c>
      <c r="V521" s="159" t="s">
        <v>82</v>
      </c>
      <c r="W521" s="159" t="s">
        <v>82</v>
      </c>
      <c r="X521" s="159" t="s">
        <v>82</v>
      </c>
      <c r="Y521" s="159" t="s">
        <v>82</v>
      </c>
      <c r="Z521" s="159" t="s">
        <v>82</v>
      </c>
      <c r="AA521" s="158" t="s">
        <v>82</v>
      </c>
      <c r="AB521" s="158" t="s">
        <v>82</v>
      </c>
      <c r="AC521" s="159" t="s">
        <v>82</v>
      </c>
      <c r="AD521" s="153"/>
      <c r="AE521" s="120"/>
    </row>
    <row r="522" spans="1:31" ht="23.4" x14ac:dyDescent="0.25">
      <c r="A522" s="121" t="s">
        <v>82</v>
      </c>
      <c r="B522" s="144">
        <v>37305</v>
      </c>
      <c r="C522" s="154" t="s">
        <v>64</v>
      </c>
      <c r="D522" s="158" t="s">
        <v>1424</v>
      </c>
      <c r="E522" s="156" t="s">
        <v>1929</v>
      </c>
      <c r="F522" s="156" t="s">
        <v>1317</v>
      </c>
      <c r="G522" s="156" t="s">
        <v>14</v>
      </c>
      <c r="H522" s="157">
        <v>43823</v>
      </c>
      <c r="I522" s="158">
        <v>605</v>
      </c>
      <c r="J522" s="158" t="s">
        <v>58</v>
      </c>
      <c r="K522" s="165" t="s">
        <v>59</v>
      </c>
      <c r="L522" s="162">
        <v>44331</v>
      </c>
      <c r="M522" s="159" t="s">
        <v>60</v>
      </c>
      <c r="N522" s="170">
        <v>44225</v>
      </c>
      <c r="O522" s="159" t="s">
        <v>82</v>
      </c>
      <c r="P522" s="159" t="s">
        <v>82</v>
      </c>
      <c r="Q522" s="159" t="s">
        <v>75</v>
      </c>
      <c r="R522" s="159" t="s">
        <v>82</v>
      </c>
      <c r="S522" s="159" t="s">
        <v>82</v>
      </c>
      <c r="T522" s="159" t="s">
        <v>82</v>
      </c>
      <c r="U522" s="159" t="s">
        <v>82</v>
      </c>
      <c r="V522" s="159" t="s">
        <v>82</v>
      </c>
      <c r="W522" s="159" t="s">
        <v>82</v>
      </c>
      <c r="X522" s="159" t="s">
        <v>82</v>
      </c>
      <c r="Y522" s="159" t="s">
        <v>82</v>
      </c>
      <c r="Z522" s="159" t="s">
        <v>82</v>
      </c>
      <c r="AA522" s="158" t="s">
        <v>82</v>
      </c>
      <c r="AB522" s="158" t="s">
        <v>82</v>
      </c>
      <c r="AC522" s="159" t="s">
        <v>82</v>
      </c>
      <c r="AD522" s="153"/>
      <c r="AE522" s="120"/>
    </row>
    <row r="523" spans="1:31" ht="23.4" x14ac:dyDescent="0.25">
      <c r="A523" s="121" t="s">
        <v>82</v>
      </c>
      <c r="B523" s="144">
        <v>37305</v>
      </c>
      <c r="C523" s="154" t="s">
        <v>54</v>
      </c>
      <c r="D523" s="155" t="s">
        <v>1426</v>
      </c>
      <c r="E523" s="156" t="s">
        <v>1929</v>
      </c>
      <c r="F523" s="156" t="s">
        <v>1317</v>
      </c>
      <c r="G523" s="156" t="s">
        <v>14</v>
      </c>
      <c r="H523" s="157">
        <v>43823</v>
      </c>
      <c r="I523" s="158">
        <v>584</v>
      </c>
      <c r="J523" s="158" t="s">
        <v>58</v>
      </c>
      <c r="K523" s="165" t="s">
        <v>59</v>
      </c>
      <c r="L523" s="162">
        <v>44331</v>
      </c>
      <c r="M523" s="159" t="s">
        <v>60</v>
      </c>
      <c r="N523" s="170">
        <v>44260</v>
      </c>
      <c r="O523" s="159" t="s">
        <v>82</v>
      </c>
      <c r="P523" s="159" t="s">
        <v>82</v>
      </c>
      <c r="Q523" s="159" t="s">
        <v>75</v>
      </c>
      <c r="R523" s="159" t="s">
        <v>62</v>
      </c>
      <c r="S523" s="159" t="s">
        <v>62</v>
      </c>
      <c r="T523" s="159" t="s">
        <v>62</v>
      </c>
      <c r="U523" s="169" t="s">
        <v>82</v>
      </c>
      <c r="V523" s="159" t="s">
        <v>82</v>
      </c>
      <c r="W523" s="159" t="s">
        <v>82</v>
      </c>
      <c r="X523" s="159" t="s">
        <v>82</v>
      </c>
      <c r="Y523" s="159" t="s">
        <v>82</v>
      </c>
      <c r="Z523" s="159" t="s">
        <v>82</v>
      </c>
      <c r="AA523" s="158" t="s">
        <v>82</v>
      </c>
      <c r="AB523" s="158" t="s">
        <v>82</v>
      </c>
      <c r="AC523" s="159" t="s">
        <v>82</v>
      </c>
      <c r="AD523" s="153"/>
      <c r="AE523" s="120"/>
    </row>
    <row r="524" spans="1:31" ht="23.4" x14ac:dyDescent="0.25">
      <c r="A524" s="121" t="s">
        <v>82</v>
      </c>
      <c r="B524" s="144">
        <v>37359</v>
      </c>
      <c r="C524" s="154" t="s">
        <v>64</v>
      </c>
      <c r="D524" s="155" t="s">
        <v>1335</v>
      </c>
      <c r="E524" s="156" t="s">
        <v>2010</v>
      </c>
      <c r="F524" s="156" t="s">
        <v>1317</v>
      </c>
      <c r="G524" s="156" t="s">
        <v>14</v>
      </c>
      <c r="H524" s="157">
        <v>43967</v>
      </c>
      <c r="I524" s="158">
        <v>620</v>
      </c>
      <c r="J524" s="158" t="s">
        <v>58</v>
      </c>
      <c r="K524" s="165" t="s">
        <v>59</v>
      </c>
      <c r="L524" s="162">
        <v>44330</v>
      </c>
      <c r="M524" s="159" t="s">
        <v>60</v>
      </c>
      <c r="N524" s="170">
        <v>44256</v>
      </c>
      <c r="O524" s="159" t="s">
        <v>82</v>
      </c>
      <c r="P524" s="159" t="s">
        <v>82</v>
      </c>
      <c r="Q524" s="159" t="s">
        <v>75</v>
      </c>
      <c r="R524" s="159" t="s">
        <v>82</v>
      </c>
      <c r="S524" s="159" t="s">
        <v>68</v>
      </c>
      <c r="T524" s="159" t="s">
        <v>68</v>
      </c>
      <c r="U524" s="169" t="s">
        <v>82</v>
      </c>
      <c r="V524" s="159" t="s">
        <v>82</v>
      </c>
      <c r="W524" s="159" t="s">
        <v>82</v>
      </c>
      <c r="X524" s="159" t="s">
        <v>82</v>
      </c>
      <c r="Y524" s="159" t="s">
        <v>82</v>
      </c>
      <c r="Z524" s="159" t="s">
        <v>82</v>
      </c>
      <c r="AA524" s="158" t="s">
        <v>82</v>
      </c>
      <c r="AB524" s="158" t="s">
        <v>82</v>
      </c>
      <c r="AC524" s="159" t="s">
        <v>82</v>
      </c>
      <c r="AD524" s="153"/>
      <c r="AE524" s="120"/>
    </row>
    <row r="525" spans="1:31" ht="23.4" x14ac:dyDescent="0.25">
      <c r="A525" s="121" t="s">
        <v>82</v>
      </c>
      <c r="B525" s="144">
        <v>37359</v>
      </c>
      <c r="C525" s="154" t="s">
        <v>54</v>
      </c>
      <c r="D525" s="155" t="s">
        <v>1337</v>
      </c>
      <c r="E525" s="156" t="s">
        <v>2010</v>
      </c>
      <c r="F525" s="156" t="s">
        <v>1317</v>
      </c>
      <c r="G525" s="156" t="s">
        <v>14</v>
      </c>
      <c r="H525" s="157">
        <v>43967</v>
      </c>
      <c r="I525" s="158">
        <v>621</v>
      </c>
      <c r="J525" s="158" t="s">
        <v>58</v>
      </c>
      <c r="K525" s="165" t="s">
        <v>59</v>
      </c>
      <c r="L525" s="170">
        <v>44504</v>
      </c>
      <c r="M525" s="159" t="s">
        <v>60</v>
      </c>
      <c r="N525" s="170">
        <v>44256</v>
      </c>
      <c r="O525" s="159" t="s">
        <v>82</v>
      </c>
      <c r="P525" s="159" t="s">
        <v>82</v>
      </c>
      <c r="Q525" s="159" t="s">
        <v>75</v>
      </c>
      <c r="R525" s="159" t="s">
        <v>82</v>
      </c>
      <c r="S525" s="159" t="s">
        <v>62</v>
      </c>
      <c r="T525" s="159" t="s">
        <v>62</v>
      </c>
      <c r="U525" s="169" t="s">
        <v>82</v>
      </c>
      <c r="V525" s="159" t="s">
        <v>82</v>
      </c>
      <c r="W525" s="159" t="s">
        <v>82</v>
      </c>
      <c r="X525" s="159" t="s">
        <v>82</v>
      </c>
      <c r="Y525" s="159" t="s">
        <v>82</v>
      </c>
      <c r="Z525" s="159" t="s">
        <v>82</v>
      </c>
      <c r="AA525" s="158" t="s">
        <v>82</v>
      </c>
      <c r="AB525" s="158" t="s">
        <v>82</v>
      </c>
      <c r="AC525" s="159" t="s">
        <v>82</v>
      </c>
      <c r="AD525" s="153"/>
      <c r="AE525" s="120"/>
    </row>
    <row r="526" spans="1:31" ht="23.4" x14ac:dyDescent="0.25">
      <c r="A526" s="121" t="s">
        <v>82</v>
      </c>
      <c r="B526" s="144">
        <v>37384</v>
      </c>
      <c r="C526" s="154" t="s">
        <v>64</v>
      </c>
      <c r="D526" s="155" t="s">
        <v>1342</v>
      </c>
      <c r="E526" s="156" t="s">
        <v>2010</v>
      </c>
      <c r="F526" s="156" t="s">
        <v>1317</v>
      </c>
      <c r="G526" s="156" t="s">
        <v>14</v>
      </c>
      <c r="H526" s="157">
        <v>44022</v>
      </c>
      <c r="I526" s="158">
        <v>712</v>
      </c>
      <c r="J526" s="158" t="s">
        <v>58</v>
      </c>
      <c r="K526" s="165" t="s">
        <v>59</v>
      </c>
      <c r="L526" s="170">
        <v>44267</v>
      </c>
      <c r="M526" s="159" t="s">
        <v>60</v>
      </c>
      <c r="N526" s="170">
        <v>44238</v>
      </c>
      <c r="O526" s="159" t="s">
        <v>82</v>
      </c>
      <c r="P526" s="159" t="s">
        <v>82</v>
      </c>
      <c r="Q526" s="159" t="s">
        <v>75</v>
      </c>
      <c r="R526" s="159" t="s">
        <v>82</v>
      </c>
      <c r="S526" s="159" t="s">
        <v>68</v>
      </c>
      <c r="T526" s="159" t="s">
        <v>68</v>
      </c>
      <c r="U526" s="169" t="s">
        <v>82</v>
      </c>
      <c r="V526" s="159" t="s">
        <v>82</v>
      </c>
      <c r="W526" s="159" t="s">
        <v>82</v>
      </c>
      <c r="X526" s="159" t="s">
        <v>82</v>
      </c>
      <c r="Y526" s="159" t="s">
        <v>82</v>
      </c>
      <c r="Z526" s="159" t="s">
        <v>82</v>
      </c>
      <c r="AA526" s="158" t="s">
        <v>82</v>
      </c>
      <c r="AB526" s="158" t="s">
        <v>82</v>
      </c>
      <c r="AC526" s="159" t="s">
        <v>82</v>
      </c>
      <c r="AD526" s="153"/>
      <c r="AE526" s="120"/>
    </row>
    <row r="527" spans="1:31" ht="23.4" x14ac:dyDescent="0.25">
      <c r="A527" s="121" t="s">
        <v>82</v>
      </c>
      <c r="B527" s="144">
        <v>37384</v>
      </c>
      <c r="C527" s="154" t="s">
        <v>54</v>
      </c>
      <c r="D527" s="164" t="s">
        <v>887</v>
      </c>
      <c r="E527" s="156" t="s">
        <v>2010</v>
      </c>
      <c r="F527" s="156" t="s">
        <v>1317</v>
      </c>
      <c r="G527" s="156" t="s">
        <v>14</v>
      </c>
      <c r="H527" s="157">
        <v>44022</v>
      </c>
      <c r="I527" s="158">
        <v>599</v>
      </c>
      <c r="J527" s="158" t="s">
        <v>58</v>
      </c>
      <c r="K527" s="165" t="s">
        <v>59</v>
      </c>
      <c r="L527" s="166">
        <v>44074</v>
      </c>
      <c r="M527" s="160" t="s">
        <v>722</v>
      </c>
      <c r="N527" s="160" t="s">
        <v>82</v>
      </c>
      <c r="O527" s="175">
        <v>44075</v>
      </c>
      <c r="P527" s="167" t="s">
        <v>82</v>
      </c>
      <c r="Q527" s="159" t="s">
        <v>75</v>
      </c>
      <c r="R527" s="160" t="s">
        <v>82</v>
      </c>
      <c r="S527" s="167" t="s">
        <v>68</v>
      </c>
      <c r="T527" s="167" t="s">
        <v>68</v>
      </c>
      <c r="U527" s="160" t="s">
        <v>82</v>
      </c>
      <c r="V527" s="160" t="s">
        <v>82</v>
      </c>
      <c r="W527" s="160" t="s">
        <v>82</v>
      </c>
      <c r="X527" s="160" t="s">
        <v>82</v>
      </c>
      <c r="Y527" s="160" t="s">
        <v>82</v>
      </c>
      <c r="Z527" s="160" t="s">
        <v>82</v>
      </c>
      <c r="AA527" s="158" t="s">
        <v>82</v>
      </c>
      <c r="AB527" s="158" t="s">
        <v>82</v>
      </c>
      <c r="AC527" s="160" t="s">
        <v>82</v>
      </c>
      <c r="AD527" s="168"/>
      <c r="AE527" s="120"/>
    </row>
    <row r="528" spans="1:31" ht="23.4" x14ac:dyDescent="0.25">
      <c r="A528" s="121" t="s">
        <v>82</v>
      </c>
      <c r="B528" s="144">
        <v>37475</v>
      </c>
      <c r="C528" s="154" t="s">
        <v>64</v>
      </c>
      <c r="D528" s="155" t="s">
        <v>1344</v>
      </c>
      <c r="E528" s="156" t="s">
        <v>2010</v>
      </c>
      <c r="F528" s="156" t="s">
        <v>1317</v>
      </c>
      <c r="G528" s="156" t="s">
        <v>14</v>
      </c>
      <c r="H528" s="157">
        <v>44157</v>
      </c>
      <c r="I528" s="158">
        <v>892</v>
      </c>
      <c r="J528" s="158" t="s">
        <v>58</v>
      </c>
      <c r="K528" s="165" t="s">
        <v>59</v>
      </c>
      <c r="L528" s="159" t="s">
        <v>63</v>
      </c>
      <c r="M528" s="159" t="s">
        <v>60</v>
      </c>
      <c r="N528" s="170">
        <v>44281</v>
      </c>
      <c r="O528" s="159" t="s">
        <v>82</v>
      </c>
      <c r="P528" s="159" t="s">
        <v>82</v>
      </c>
      <c r="Q528" s="159" t="s">
        <v>75</v>
      </c>
      <c r="R528" s="159" t="s">
        <v>82</v>
      </c>
      <c r="S528" s="159" t="s">
        <v>68</v>
      </c>
      <c r="T528" s="159" t="s">
        <v>68</v>
      </c>
      <c r="U528" s="169" t="s">
        <v>82</v>
      </c>
      <c r="V528" s="159" t="s">
        <v>82</v>
      </c>
      <c r="W528" s="159" t="s">
        <v>75</v>
      </c>
      <c r="X528" s="159" t="s">
        <v>82</v>
      </c>
      <c r="Y528" s="159" t="s">
        <v>82</v>
      </c>
      <c r="Z528" s="159" t="s">
        <v>82</v>
      </c>
      <c r="AA528" s="158" t="s">
        <v>82</v>
      </c>
      <c r="AB528" s="158" t="s">
        <v>82</v>
      </c>
      <c r="AC528" s="159" t="s">
        <v>82</v>
      </c>
      <c r="AD528" s="153"/>
      <c r="AE528" s="120"/>
    </row>
    <row r="529" spans="1:31" ht="23.4" x14ac:dyDescent="0.25">
      <c r="A529" s="121" t="s">
        <v>82</v>
      </c>
      <c r="B529" s="144">
        <v>37475</v>
      </c>
      <c r="C529" s="154" t="s">
        <v>54</v>
      </c>
      <c r="D529" s="155" t="s">
        <v>1346</v>
      </c>
      <c r="E529" s="156" t="s">
        <v>2010</v>
      </c>
      <c r="F529" s="156" t="s">
        <v>1317</v>
      </c>
      <c r="G529" s="156" t="s">
        <v>14</v>
      </c>
      <c r="H529" s="157">
        <v>44157</v>
      </c>
      <c r="I529" s="158">
        <v>893</v>
      </c>
      <c r="J529" s="158" t="s">
        <v>58</v>
      </c>
      <c r="K529" s="165" t="s">
        <v>59</v>
      </c>
      <c r="L529" s="159" t="s">
        <v>75</v>
      </c>
      <c r="M529" s="159" t="s">
        <v>60</v>
      </c>
      <c r="N529" s="170">
        <v>44281</v>
      </c>
      <c r="O529" s="159" t="s">
        <v>82</v>
      </c>
      <c r="P529" s="159" t="s">
        <v>82</v>
      </c>
      <c r="Q529" s="159" t="s">
        <v>75</v>
      </c>
      <c r="R529" s="159" t="s">
        <v>82</v>
      </c>
      <c r="S529" s="159" t="s">
        <v>62</v>
      </c>
      <c r="T529" s="159" t="s">
        <v>62</v>
      </c>
      <c r="U529" s="169" t="s">
        <v>82</v>
      </c>
      <c r="V529" s="159" t="s">
        <v>82</v>
      </c>
      <c r="W529" s="159" t="s">
        <v>75</v>
      </c>
      <c r="X529" s="159" t="s">
        <v>82</v>
      </c>
      <c r="Y529" s="159" t="s">
        <v>82</v>
      </c>
      <c r="Z529" s="159" t="s">
        <v>82</v>
      </c>
      <c r="AA529" s="158" t="s">
        <v>82</v>
      </c>
      <c r="AB529" s="158" t="s">
        <v>82</v>
      </c>
      <c r="AC529" s="159" t="s">
        <v>82</v>
      </c>
      <c r="AD529" s="153"/>
      <c r="AE529" s="120"/>
    </row>
    <row r="530" spans="1:31" ht="23.4" x14ac:dyDescent="0.25">
      <c r="A530" s="121" t="s">
        <v>82</v>
      </c>
      <c r="B530" s="144">
        <v>37524</v>
      </c>
      <c r="C530" s="154" t="s">
        <v>64</v>
      </c>
      <c r="D530" s="155" t="s">
        <v>1347</v>
      </c>
      <c r="E530" s="156" t="s">
        <v>2010</v>
      </c>
      <c r="F530" s="158" t="s">
        <v>1317</v>
      </c>
      <c r="G530" s="156" t="s">
        <v>14</v>
      </c>
      <c r="H530" s="157">
        <v>44223</v>
      </c>
      <c r="I530" s="158">
        <v>902</v>
      </c>
      <c r="J530" s="158" t="s">
        <v>58</v>
      </c>
      <c r="K530" s="165" t="s">
        <v>59</v>
      </c>
      <c r="L530" s="159" t="s">
        <v>75</v>
      </c>
      <c r="M530" s="159" t="s">
        <v>60</v>
      </c>
      <c r="N530" s="170">
        <v>44247</v>
      </c>
      <c r="O530" s="159" t="s">
        <v>82</v>
      </c>
      <c r="P530" s="159" t="s">
        <v>82</v>
      </c>
      <c r="Q530" s="159" t="s">
        <v>75</v>
      </c>
      <c r="R530" s="159" t="s">
        <v>82</v>
      </c>
      <c r="S530" s="159" t="s">
        <v>68</v>
      </c>
      <c r="T530" s="159" t="s">
        <v>68</v>
      </c>
      <c r="U530" s="169" t="s">
        <v>82</v>
      </c>
      <c r="V530" s="159" t="s">
        <v>82</v>
      </c>
      <c r="W530" s="159" t="s">
        <v>75</v>
      </c>
      <c r="X530" s="159" t="s">
        <v>82</v>
      </c>
      <c r="Y530" s="159" t="s">
        <v>82</v>
      </c>
      <c r="Z530" s="159" t="s">
        <v>82</v>
      </c>
      <c r="AA530" s="158" t="s">
        <v>82</v>
      </c>
      <c r="AB530" s="158" t="s">
        <v>82</v>
      </c>
      <c r="AC530" s="159" t="s">
        <v>82</v>
      </c>
      <c r="AD530" s="153"/>
      <c r="AE530" s="120"/>
    </row>
    <row r="531" spans="1:31" ht="23.4" x14ac:dyDescent="0.25">
      <c r="A531" s="121" t="s">
        <v>82</v>
      </c>
      <c r="B531" s="144">
        <v>37524</v>
      </c>
      <c r="C531" s="154" t="s">
        <v>54</v>
      </c>
      <c r="D531" s="155" t="s">
        <v>1348</v>
      </c>
      <c r="E531" s="156" t="s">
        <v>2010</v>
      </c>
      <c r="F531" s="158" t="s">
        <v>1317</v>
      </c>
      <c r="G531" s="156" t="s">
        <v>14</v>
      </c>
      <c r="H531" s="157">
        <v>44223</v>
      </c>
      <c r="I531" s="158">
        <v>967</v>
      </c>
      <c r="J531" s="158" t="s">
        <v>58</v>
      </c>
      <c r="K531" s="165" t="s">
        <v>59</v>
      </c>
      <c r="L531" s="159" t="s">
        <v>75</v>
      </c>
      <c r="M531" s="159" t="s">
        <v>60</v>
      </c>
      <c r="N531" s="170">
        <v>44247</v>
      </c>
      <c r="O531" s="159" t="s">
        <v>82</v>
      </c>
      <c r="P531" s="159" t="s">
        <v>82</v>
      </c>
      <c r="Q531" s="159" t="s">
        <v>75</v>
      </c>
      <c r="R531" s="159" t="s">
        <v>82</v>
      </c>
      <c r="S531" s="159" t="s">
        <v>62</v>
      </c>
      <c r="T531" s="159" t="s">
        <v>62</v>
      </c>
      <c r="U531" s="169" t="s">
        <v>82</v>
      </c>
      <c r="V531" s="159" t="s">
        <v>82</v>
      </c>
      <c r="W531" s="159" t="s">
        <v>75</v>
      </c>
      <c r="X531" s="159" t="s">
        <v>82</v>
      </c>
      <c r="Y531" s="159" t="s">
        <v>82</v>
      </c>
      <c r="Z531" s="159" t="s">
        <v>82</v>
      </c>
      <c r="AA531" s="158" t="s">
        <v>82</v>
      </c>
      <c r="AB531" s="158" t="s">
        <v>82</v>
      </c>
      <c r="AC531" s="159" t="s">
        <v>82</v>
      </c>
      <c r="AD531" s="153"/>
      <c r="AE531" s="120"/>
    </row>
    <row r="532" spans="1:31" ht="23.4" x14ac:dyDescent="0.25">
      <c r="A532" s="121" t="s">
        <v>82</v>
      </c>
      <c r="B532" s="144">
        <v>37530</v>
      </c>
      <c r="C532" s="154" t="s">
        <v>64</v>
      </c>
      <c r="D532" s="155" t="s">
        <v>1439</v>
      </c>
      <c r="E532" s="156" t="s">
        <v>1929</v>
      </c>
      <c r="F532" s="158" t="s">
        <v>1317</v>
      </c>
      <c r="G532" s="156" t="s">
        <v>14</v>
      </c>
      <c r="H532" s="157">
        <v>44233</v>
      </c>
      <c r="I532" s="158">
        <v>982</v>
      </c>
      <c r="J532" s="158" t="s">
        <v>58</v>
      </c>
      <c r="K532" s="165" t="s">
        <v>59</v>
      </c>
      <c r="L532" s="159" t="s">
        <v>75</v>
      </c>
      <c r="M532" s="159" t="s">
        <v>60</v>
      </c>
      <c r="N532" s="170">
        <v>44270</v>
      </c>
      <c r="O532" s="159" t="s">
        <v>82</v>
      </c>
      <c r="P532" s="159" t="s">
        <v>82</v>
      </c>
      <c r="Q532" s="159" t="s">
        <v>75</v>
      </c>
      <c r="R532" s="159" t="s">
        <v>82</v>
      </c>
      <c r="S532" s="159" t="s">
        <v>68</v>
      </c>
      <c r="T532" s="159" t="s">
        <v>68</v>
      </c>
      <c r="U532" s="169" t="s">
        <v>82</v>
      </c>
      <c r="V532" s="159" t="s">
        <v>82</v>
      </c>
      <c r="W532" s="159" t="s">
        <v>75</v>
      </c>
      <c r="X532" s="159" t="s">
        <v>82</v>
      </c>
      <c r="Y532" s="159" t="s">
        <v>82</v>
      </c>
      <c r="Z532" s="159" t="s">
        <v>82</v>
      </c>
      <c r="AA532" s="158" t="s">
        <v>82</v>
      </c>
      <c r="AB532" s="158" t="s">
        <v>82</v>
      </c>
      <c r="AC532" s="159" t="s">
        <v>82</v>
      </c>
      <c r="AD532" s="153"/>
      <c r="AE532" s="120"/>
    </row>
    <row r="533" spans="1:31" ht="23.4" x14ac:dyDescent="0.25">
      <c r="A533" s="121" t="s">
        <v>82</v>
      </c>
      <c r="B533" s="144">
        <v>37530</v>
      </c>
      <c r="C533" s="154" t="s">
        <v>54</v>
      </c>
      <c r="D533" s="155" t="s">
        <v>1441</v>
      </c>
      <c r="E533" s="156" t="s">
        <v>1929</v>
      </c>
      <c r="F533" s="158" t="s">
        <v>1317</v>
      </c>
      <c r="G533" s="156" t="s">
        <v>14</v>
      </c>
      <c r="H533" s="157">
        <v>44233</v>
      </c>
      <c r="I533" s="158">
        <v>1000</v>
      </c>
      <c r="J533" s="158" t="s">
        <v>58</v>
      </c>
      <c r="K533" s="165" t="s">
        <v>59</v>
      </c>
      <c r="L533" s="159" t="s">
        <v>75</v>
      </c>
      <c r="M533" s="159" t="s">
        <v>60</v>
      </c>
      <c r="N533" s="170">
        <v>44270</v>
      </c>
      <c r="O533" s="159" t="s">
        <v>82</v>
      </c>
      <c r="P533" s="159" t="s">
        <v>82</v>
      </c>
      <c r="Q533" s="159" t="s">
        <v>75</v>
      </c>
      <c r="R533" s="159" t="s">
        <v>82</v>
      </c>
      <c r="S533" s="159" t="s">
        <v>62</v>
      </c>
      <c r="T533" s="159" t="s">
        <v>62</v>
      </c>
      <c r="U533" s="169" t="s">
        <v>82</v>
      </c>
      <c r="V533" s="159" t="s">
        <v>82</v>
      </c>
      <c r="W533" s="159" t="s">
        <v>75</v>
      </c>
      <c r="X533" s="159" t="s">
        <v>82</v>
      </c>
      <c r="Y533" s="159" t="s">
        <v>82</v>
      </c>
      <c r="Z533" s="159" t="s">
        <v>82</v>
      </c>
      <c r="AA533" s="158" t="s">
        <v>82</v>
      </c>
      <c r="AB533" s="158" t="s">
        <v>82</v>
      </c>
      <c r="AC533" s="159" t="s">
        <v>82</v>
      </c>
      <c r="AD533" s="153"/>
      <c r="AE533" s="120"/>
    </row>
    <row r="534" spans="1:31" ht="23.4" x14ac:dyDescent="0.25">
      <c r="A534" s="121" t="s">
        <v>82</v>
      </c>
      <c r="B534" s="144">
        <v>37532</v>
      </c>
      <c r="C534" s="154" t="s">
        <v>64</v>
      </c>
      <c r="D534" s="155" t="s">
        <v>1442</v>
      </c>
      <c r="E534" s="156" t="s">
        <v>1929</v>
      </c>
      <c r="F534" s="158" t="s">
        <v>1317</v>
      </c>
      <c r="G534" s="156" t="s">
        <v>14</v>
      </c>
      <c r="H534" s="157">
        <v>44230</v>
      </c>
      <c r="I534" s="158">
        <v>983</v>
      </c>
      <c r="J534" s="158" t="s">
        <v>58</v>
      </c>
      <c r="K534" s="165" t="s">
        <v>59</v>
      </c>
      <c r="L534" s="159" t="s">
        <v>75</v>
      </c>
      <c r="M534" s="159" t="s">
        <v>60</v>
      </c>
      <c r="N534" s="170">
        <v>44251</v>
      </c>
      <c r="O534" s="159" t="s">
        <v>82</v>
      </c>
      <c r="P534" s="159" t="s">
        <v>82</v>
      </c>
      <c r="Q534" s="159" t="s">
        <v>75</v>
      </c>
      <c r="R534" s="159" t="s">
        <v>82</v>
      </c>
      <c r="S534" s="159" t="s">
        <v>68</v>
      </c>
      <c r="T534" s="159" t="s">
        <v>68</v>
      </c>
      <c r="U534" s="169" t="s">
        <v>82</v>
      </c>
      <c r="V534" s="159" t="s">
        <v>82</v>
      </c>
      <c r="W534" s="159" t="s">
        <v>75</v>
      </c>
      <c r="X534" s="159" t="s">
        <v>82</v>
      </c>
      <c r="Y534" s="159" t="s">
        <v>82</v>
      </c>
      <c r="Z534" s="159" t="s">
        <v>82</v>
      </c>
      <c r="AA534" s="158" t="s">
        <v>82</v>
      </c>
      <c r="AB534" s="158" t="s">
        <v>82</v>
      </c>
      <c r="AC534" s="159" t="s">
        <v>82</v>
      </c>
      <c r="AD534" s="153"/>
      <c r="AE534" s="120"/>
    </row>
    <row r="535" spans="1:31" ht="23.4" x14ac:dyDescent="0.25">
      <c r="A535" s="121" t="s">
        <v>82</v>
      </c>
      <c r="B535" s="144">
        <v>37532</v>
      </c>
      <c r="C535" s="154" t="s">
        <v>54</v>
      </c>
      <c r="D535" s="155" t="s">
        <v>1444</v>
      </c>
      <c r="E535" s="156" t="s">
        <v>1929</v>
      </c>
      <c r="F535" s="158" t="s">
        <v>1317</v>
      </c>
      <c r="G535" s="156" t="s">
        <v>14</v>
      </c>
      <c r="H535" s="157">
        <v>44230</v>
      </c>
      <c r="I535" s="158">
        <v>956</v>
      </c>
      <c r="J535" s="158" t="s">
        <v>58</v>
      </c>
      <c r="K535" s="165" t="s">
        <v>59</v>
      </c>
      <c r="L535" s="159" t="s">
        <v>75</v>
      </c>
      <c r="M535" s="159" t="s">
        <v>60</v>
      </c>
      <c r="N535" s="170">
        <v>44251</v>
      </c>
      <c r="O535" s="159" t="s">
        <v>82</v>
      </c>
      <c r="P535" s="159" t="s">
        <v>82</v>
      </c>
      <c r="Q535" s="159" t="s">
        <v>75</v>
      </c>
      <c r="R535" s="159" t="s">
        <v>82</v>
      </c>
      <c r="S535" s="159" t="s">
        <v>62</v>
      </c>
      <c r="T535" s="159" t="s">
        <v>62</v>
      </c>
      <c r="U535" s="169" t="s">
        <v>82</v>
      </c>
      <c r="V535" s="159" t="s">
        <v>82</v>
      </c>
      <c r="W535" s="159" t="s">
        <v>75</v>
      </c>
      <c r="X535" s="159" t="s">
        <v>82</v>
      </c>
      <c r="Y535" s="159" t="s">
        <v>82</v>
      </c>
      <c r="Z535" s="159" t="s">
        <v>82</v>
      </c>
      <c r="AA535" s="158" t="s">
        <v>82</v>
      </c>
      <c r="AB535" s="158" t="s">
        <v>82</v>
      </c>
      <c r="AC535" s="159" t="s">
        <v>82</v>
      </c>
      <c r="AD535" s="153"/>
      <c r="AE535" s="120"/>
    </row>
    <row r="536" spans="1:31" ht="23.4" x14ac:dyDescent="0.25">
      <c r="A536" s="121" t="s">
        <v>82</v>
      </c>
      <c r="B536" s="144">
        <v>37533</v>
      </c>
      <c r="C536" s="154" t="s">
        <v>64</v>
      </c>
      <c r="D536" s="155" t="s">
        <v>1349</v>
      </c>
      <c r="E536" s="156" t="s">
        <v>2010</v>
      </c>
      <c r="F536" s="158" t="s">
        <v>1317</v>
      </c>
      <c r="G536" s="156" t="s">
        <v>14</v>
      </c>
      <c r="H536" s="157">
        <v>44233</v>
      </c>
      <c r="I536" s="158">
        <v>863</v>
      </c>
      <c r="J536" s="158" t="s">
        <v>58</v>
      </c>
      <c r="K536" s="165" t="s">
        <v>59</v>
      </c>
      <c r="L536" s="162">
        <v>44336</v>
      </c>
      <c r="M536" s="158" t="s">
        <v>60</v>
      </c>
      <c r="N536" s="162">
        <v>44336</v>
      </c>
      <c r="O536" s="159" t="s">
        <v>82</v>
      </c>
      <c r="P536" s="159" t="s">
        <v>82</v>
      </c>
      <c r="Q536" s="159" t="s">
        <v>75</v>
      </c>
      <c r="R536" s="159" t="s">
        <v>82</v>
      </c>
      <c r="S536" s="159" t="s">
        <v>68</v>
      </c>
      <c r="T536" s="159" t="s">
        <v>68</v>
      </c>
      <c r="U536" s="169" t="s">
        <v>82</v>
      </c>
      <c r="V536" s="159" t="s">
        <v>82</v>
      </c>
      <c r="W536" s="159" t="s">
        <v>75</v>
      </c>
      <c r="X536" s="159" t="s">
        <v>82</v>
      </c>
      <c r="Y536" s="159" t="s">
        <v>82</v>
      </c>
      <c r="Z536" s="159" t="s">
        <v>82</v>
      </c>
      <c r="AA536" s="158" t="s">
        <v>82</v>
      </c>
      <c r="AB536" s="158" t="s">
        <v>82</v>
      </c>
      <c r="AC536" s="159" t="s">
        <v>82</v>
      </c>
      <c r="AD536" s="153"/>
      <c r="AE536" s="120"/>
    </row>
    <row r="537" spans="1:31" ht="23.4" x14ac:dyDescent="0.25">
      <c r="A537" s="121" t="s">
        <v>82</v>
      </c>
      <c r="B537" s="144">
        <v>37533</v>
      </c>
      <c r="C537" s="154" t="s">
        <v>54</v>
      </c>
      <c r="D537" s="155" t="s">
        <v>1350</v>
      </c>
      <c r="E537" s="156" t="s">
        <v>2010</v>
      </c>
      <c r="F537" s="158" t="s">
        <v>1317</v>
      </c>
      <c r="G537" s="156" t="s">
        <v>14</v>
      </c>
      <c r="H537" s="157">
        <v>44233</v>
      </c>
      <c r="I537" s="158">
        <v>930</v>
      </c>
      <c r="J537" s="158" t="s">
        <v>58</v>
      </c>
      <c r="K537" s="165" t="s">
        <v>59</v>
      </c>
      <c r="L537" s="162">
        <v>44336</v>
      </c>
      <c r="M537" s="158" t="s">
        <v>60</v>
      </c>
      <c r="N537" s="162">
        <v>44336</v>
      </c>
      <c r="O537" s="159" t="s">
        <v>82</v>
      </c>
      <c r="P537" s="159" t="s">
        <v>82</v>
      </c>
      <c r="Q537" s="159" t="s">
        <v>75</v>
      </c>
      <c r="R537" s="159" t="s">
        <v>82</v>
      </c>
      <c r="S537" s="159" t="s">
        <v>62</v>
      </c>
      <c r="T537" s="159" t="s">
        <v>62</v>
      </c>
      <c r="U537" s="169" t="s">
        <v>82</v>
      </c>
      <c r="V537" s="159" t="s">
        <v>82</v>
      </c>
      <c r="W537" s="159" t="s">
        <v>75</v>
      </c>
      <c r="X537" s="159" t="s">
        <v>82</v>
      </c>
      <c r="Y537" s="159" t="s">
        <v>82</v>
      </c>
      <c r="Z537" s="159" t="s">
        <v>82</v>
      </c>
      <c r="AA537" s="158" t="s">
        <v>82</v>
      </c>
      <c r="AB537" s="158" t="s">
        <v>82</v>
      </c>
      <c r="AC537" s="159" t="s">
        <v>82</v>
      </c>
      <c r="AD537" s="153"/>
      <c r="AE537" s="120"/>
    </row>
    <row r="538" spans="1:31" ht="23.4" x14ac:dyDescent="0.25">
      <c r="A538" s="121" t="s">
        <v>82</v>
      </c>
      <c r="B538" s="144">
        <v>37535</v>
      </c>
      <c r="C538" s="154" t="s">
        <v>64</v>
      </c>
      <c r="D538" s="155" t="s">
        <v>1351</v>
      </c>
      <c r="E538" s="156" t="s">
        <v>2010</v>
      </c>
      <c r="F538" s="158" t="s">
        <v>1317</v>
      </c>
      <c r="G538" s="156" t="s">
        <v>14</v>
      </c>
      <c r="H538" s="157">
        <v>44238</v>
      </c>
      <c r="I538" s="158">
        <v>912</v>
      </c>
      <c r="J538" s="158" t="s">
        <v>58</v>
      </c>
      <c r="K538" s="165" t="s">
        <v>59</v>
      </c>
      <c r="L538" s="159" t="s">
        <v>75</v>
      </c>
      <c r="M538" s="158" t="s">
        <v>60</v>
      </c>
      <c r="N538" s="162">
        <v>44346</v>
      </c>
      <c r="O538" s="159" t="s">
        <v>82</v>
      </c>
      <c r="P538" s="159" t="s">
        <v>82</v>
      </c>
      <c r="Q538" s="159" t="s">
        <v>75</v>
      </c>
      <c r="R538" s="159" t="s">
        <v>82</v>
      </c>
      <c r="S538" s="159" t="s">
        <v>68</v>
      </c>
      <c r="T538" s="159" t="s">
        <v>68</v>
      </c>
      <c r="U538" s="169" t="s">
        <v>82</v>
      </c>
      <c r="V538" s="159" t="s">
        <v>82</v>
      </c>
      <c r="W538" s="159" t="s">
        <v>75</v>
      </c>
      <c r="X538" s="159" t="s">
        <v>82</v>
      </c>
      <c r="Y538" s="159" t="s">
        <v>82</v>
      </c>
      <c r="Z538" s="159" t="s">
        <v>82</v>
      </c>
      <c r="AA538" s="158" t="s">
        <v>82</v>
      </c>
      <c r="AB538" s="158" t="s">
        <v>82</v>
      </c>
      <c r="AC538" s="159" t="s">
        <v>82</v>
      </c>
      <c r="AD538" s="153"/>
      <c r="AE538" s="120"/>
    </row>
    <row r="539" spans="1:31" ht="23.4" x14ac:dyDescent="0.25">
      <c r="A539" s="121" t="s">
        <v>82</v>
      </c>
      <c r="B539" s="144">
        <v>37535</v>
      </c>
      <c r="C539" s="154" t="s">
        <v>54</v>
      </c>
      <c r="D539" s="155" t="s">
        <v>1353</v>
      </c>
      <c r="E539" s="156" t="s">
        <v>2010</v>
      </c>
      <c r="F539" s="158" t="s">
        <v>1317</v>
      </c>
      <c r="G539" s="156" t="s">
        <v>14</v>
      </c>
      <c r="H539" s="157">
        <v>44238</v>
      </c>
      <c r="I539" s="158">
        <v>913</v>
      </c>
      <c r="J539" s="158" t="s">
        <v>58</v>
      </c>
      <c r="K539" s="165" t="s">
        <v>59</v>
      </c>
      <c r="L539" s="159" t="s">
        <v>75</v>
      </c>
      <c r="M539" s="158" t="s">
        <v>60</v>
      </c>
      <c r="N539" s="162">
        <v>44346</v>
      </c>
      <c r="O539" s="159" t="s">
        <v>82</v>
      </c>
      <c r="P539" s="159" t="s">
        <v>82</v>
      </c>
      <c r="Q539" s="159" t="s">
        <v>75</v>
      </c>
      <c r="R539" s="159" t="s">
        <v>82</v>
      </c>
      <c r="S539" s="159" t="s">
        <v>62</v>
      </c>
      <c r="T539" s="159" t="s">
        <v>62</v>
      </c>
      <c r="U539" s="169" t="s">
        <v>82</v>
      </c>
      <c r="V539" s="159" t="s">
        <v>82</v>
      </c>
      <c r="W539" s="159" t="s">
        <v>75</v>
      </c>
      <c r="X539" s="159" t="s">
        <v>82</v>
      </c>
      <c r="Y539" s="159" t="s">
        <v>82</v>
      </c>
      <c r="Z539" s="159" t="s">
        <v>82</v>
      </c>
      <c r="AA539" s="158" t="s">
        <v>82</v>
      </c>
      <c r="AB539" s="158" t="s">
        <v>82</v>
      </c>
      <c r="AC539" s="159" t="s">
        <v>82</v>
      </c>
      <c r="AD539" s="153"/>
      <c r="AE539" s="120"/>
    </row>
    <row r="540" spans="1:31" ht="23.4" x14ac:dyDescent="0.25">
      <c r="A540" s="121" t="s">
        <v>82</v>
      </c>
      <c r="B540" s="144">
        <v>37545</v>
      </c>
      <c r="C540" s="154" t="s">
        <v>64</v>
      </c>
      <c r="D540" s="155" t="s">
        <v>1354</v>
      </c>
      <c r="E540" s="156" t="s">
        <v>2010</v>
      </c>
      <c r="F540" s="158" t="s">
        <v>1317</v>
      </c>
      <c r="G540" s="156" t="s">
        <v>14</v>
      </c>
      <c r="H540" s="157">
        <v>44268</v>
      </c>
      <c r="I540" s="158">
        <v>927</v>
      </c>
      <c r="J540" s="158" t="s">
        <v>58</v>
      </c>
      <c r="K540" s="165" t="s">
        <v>59</v>
      </c>
      <c r="L540" s="159" t="s">
        <v>75</v>
      </c>
      <c r="M540" s="159" t="s">
        <v>60</v>
      </c>
      <c r="N540" s="170">
        <v>44262</v>
      </c>
      <c r="O540" s="159" t="s">
        <v>82</v>
      </c>
      <c r="P540" s="159" t="s">
        <v>82</v>
      </c>
      <c r="Q540" s="159" t="s">
        <v>75</v>
      </c>
      <c r="R540" s="159" t="s">
        <v>68</v>
      </c>
      <c r="S540" s="159" t="s">
        <v>68</v>
      </c>
      <c r="T540" s="159" t="s">
        <v>68</v>
      </c>
      <c r="U540" s="169" t="s">
        <v>82</v>
      </c>
      <c r="V540" s="159" t="s">
        <v>82</v>
      </c>
      <c r="W540" s="159" t="s">
        <v>75</v>
      </c>
      <c r="X540" s="159" t="s">
        <v>82</v>
      </c>
      <c r="Y540" s="159" t="s">
        <v>82</v>
      </c>
      <c r="Z540" s="159" t="s">
        <v>82</v>
      </c>
      <c r="AA540" s="158" t="s">
        <v>82</v>
      </c>
      <c r="AB540" s="158" t="s">
        <v>82</v>
      </c>
      <c r="AC540" s="159" t="s">
        <v>82</v>
      </c>
      <c r="AD540" s="153"/>
      <c r="AE540" s="120"/>
    </row>
    <row r="541" spans="1:31" ht="23.4" x14ac:dyDescent="0.25">
      <c r="A541" s="121" t="s">
        <v>82</v>
      </c>
      <c r="B541" s="144">
        <v>37545</v>
      </c>
      <c r="C541" s="154" t="s">
        <v>54</v>
      </c>
      <c r="D541" s="155" t="s">
        <v>1355</v>
      </c>
      <c r="E541" s="156" t="s">
        <v>2010</v>
      </c>
      <c r="F541" s="158" t="s">
        <v>1317</v>
      </c>
      <c r="G541" s="156" t="s">
        <v>14</v>
      </c>
      <c r="H541" s="157">
        <v>44268</v>
      </c>
      <c r="I541" s="158">
        <v>945</v>
      </c>
      <c r="J541" s="158" t="s">
        <v>58</v>
      </c>
      <c r="K541" s="165" t="s">
        <v>59</v>
      </c>
      <c r="L541" s="159" t="s">
        <v>75</v>
      </c>
      <c r="M541" s="159" t="s">
        <v>60</v>
      </c>
      <c r="N541" s="170">
        <v>44262</v>
      </c>
      <c r="O541" s="159" t="s">
        <v>82</v>
      </c>
      <c r="P541" s="159" t="s">
        <v>82</v>
      </c>
      <c r="Q541" s="159" t="s">
        <v>75</v>
      </c>
      <c r="R541" s="159" t="s">
        <v>62</v>
      </c>
      <c r="S541" s="159" t="s">
        <v>62</v>
      </c>
      <c r="T541" s="159" t="s">
        <v>62</v>
      </c>
      <c r="U541" s="169" t="s">
        <v>82</v>
      </c>
      <c r="V541" s="159" t="s">
        <v>82</v>
      </c>
      <c r="W541" s="159" t="s">
        <v>75</v>
      </c>
      <c r="X541" s="159" t="s">
        <v>82</v>
      </c>
      <c r="Y541" s="159" t="s">
        <v>82</v>
      </c>
      <c r="Z541" s="159" t="s">
        <v>82</v>
      </c>
      <c r="AA541" s="158" t="s">
        <v>82</v>
      </c>
      <c r="AB541" s="158" t="s">
        <v>82</v>
      </c>
      <c r="AC541" s="159" t="s">
        <v>82</v>
      </c>
      <c r="AD541" s="153"/>
      <c r="AE541" s="120"/>
    </row>
    <row r="542" spans="1:31" ht="23.4" x14ac:dyDescent="0.25">
      <c r="A542" s="121" t="s">
        <v>82</v>
      </c>
      <c r="B542" s="144">
        <v>37552</v>
      </c>
      <c r="C542" s="154" t="s">
        <v>64</v>
      </c>
      <c r="D542" s="155" t="s">
        <v>1356</v>
      </c>
      <c r="E542" s="156" t="s">
        <v>2010</v>
      </c>
      <c r="F542" s="158" t="s">
        <v>1317</v>
      </c>
      <c r="G542" s="156" t="s">
        <v>14</v>
      </c>
      <c r="H542" s="157">
        <v>44254</v>
      </c>
      <c r="I542" s="158">
        <v>890</v>
      </c>
      <c r="J542" s="158" t="s">
        <v>58</v>
      </c>
      <c r="K542" s="165" t="s">
        <v>59</v>
      </c>
      <c r="L542" s="159" t="s">
        <v>63</v>
      </c>
      <c r="M542" s="159" t="s">
        <v>60</v>
      </c>
      <c r="N542" s="170">
        <v>44238</v>
      </c>
      <c r="O542" s="159" t="s">
        <v>82</v>
      </c>
      <c r="P542" s="159" t="s">
        <v>82</v>
      </c>
      <c r="Q542" s="159" t="s">
        <v>75</v>
      </c>
      <c r="R542" s="159" t="s">
        <v>68</v>
      </c>
      <c r="S542" s="159" t="s">
        <v>68</v>
      </c>
      <c r="T542" s="159" t="s">
        <v>68</v>
      </c>
      <c r="U542" s="169" t="s">
        <v>82</v>
      </c>
      <c r="V542" s="159" t="s">
        <v>82</v>
      </c>
      <c r="W542" s="159" t="s">
        <v>75</v>
      </c>
      <c r="X542" s="159" t="s">
        <v>82</v>
      </c>
      <c r="Y542" s="159" t="s">
        <v>82</v>
      </c>
      <c r="Z542" s="159" t="s">
        <v>82</v>
      </c>
      <c r="AA542" s="158" t="s">
        <v>82</v>
      </c>
      <c r="AB542" s="158" t="s">
        <v>82</v>
      </c>
      <c r="AC542" s="159" t="s">
        <v>82</v>
      </c>
      <c r="AD542" s="153"/>
      <c r="AE542" s="120"/>
    </row>
    <row r="543" spans="1:31" x14ac:dyDescent="0.25">
      <c r="A543" s="121" t="s">
        <v>82</v>
      </c>
      <c r="B543" s="144">
        <v>37552</v>
      </c>
      <c r="C543" s="154" t="s">
        <v>54</v>
      </c>
      <c r="D543" s="155" t="s">
        <v>1358</v>
      </c>
      <c r="E543" s="156" t="s">
        <v>2010</v>
      </c>
      <c r="F543" s="158" t="s">
        <v>1317</v>
      </c>
      <c r="G543" s="156" t="s">
        <v>14</v>
      </c>
      <c r="H543" s="157">
        <v>44254</v>
      </c>
      <c r="I543" s="158">
        <v>891</v>
      </c>
      <c r="J543" s="158" t="s">
        <v>58</v>
      </c>
      <c r="K543" s="159" t="s">
        <v>1403</v>
      </c>
      <c r="L543" s="159" t="s">
        <v>82</v>
      </c>
      <c r="M543" s="159" t="s">
        <v>60</v>
      </c>
      <c r="N543" s="170">
        <v>44238</v>
      </c>
      <c r="O543" s="159" t="s">
        <v>82</v>
      </c>
      <c r="P543" s="159" t="s">
        <v>82</v>
      </c>
      <c r="Q543" s="159" t="s">
        <v>75</v>
      </c>
      <c r="R543" s="159" t="s">
        <v>62</v>
      </c>
      <c r="S543" s="159" t="s">
        <v>62</v>
      </c>
      <c r="T543" s="159" t="s">
        <v>62</v>
      </c>
      <c r="U543" s="169" t="s">
        <v>82</v>
      </c>
      <c r="V543" s="159" t="s">
        <v>82</v>
      </c>
      <c r="W543" s="159" t="s">
        <v>75</v>
      </c>
      <c r="X543" s="159" t="s">
        <v>82</v>
      </c>
      <c r="Y543" s="159" t="s">
        <v>82</v>
      </c>
      <c r="Z543" s="159" t="s">
        <v>82</v>
      </c>
      <c r="AA543" s="158" t="s">
        <v>82</v>
      </c>
      <c r="AB543" s="158" t="s">
        <v>82</v>
      </c>
      <c r="AC543" s="159" t="s">
        <v>82</v>
      </c>
      <c r="AD543" s="153"/>
      <c r="AE543" s="120"/>
    </row>
    <row r="544" spans="1:31" ht="23.4" x14ac:dyDescent="0.25">
      <c r="A544" s="123" t="s">
        <v>82</v>
      </c>
      <c r="B544" s="176">
        <v>37576</v>
      </c>
      <c r="C544" s="177" t="s">
        <v>64</v>
      </c>
      <c r="D544" s="156" t="s">
        <v>2061</v>
      </c>
      <c r="E544" s="156" t="s">
        <v>1929</v>
      </c>
      <c r="F544" s="158" t="s">
        <v>1317</v>
      </c>
      <c r="G544" s="158" t="s">
        <v>14</v>
      </c>
      <c r="H544" s="178">
        <v>44293</v>
      </c>
      <c r="I544" s="158">
        <v>1014</v>
      </c>
      <c r="J544" s="158" t="s">
        <v>58</v>
      </c>
      <c r="K544" s="165" t="s">
        <v>59</v>
      </c>
      <c r="L544" s="159" t="s">
        <v>75</v>
      </c>
      <c r="M544" s="159" t="s">
        <v>82</v>
      </c>
      <c r="N544" s="159" t="s">
        <v>82</v>
      </c>
      <c r="O544" s="159" t="s">
        <v>82</v>
      </c>
      <c r="P544" s="159" t="s">
        <v>82</v>
      </c>
      <c r="Q544" s="159" t="s">
        <v>75</v>
      </c>
      <c r="R544" s="159" t="s">
        <v>82</v>
      </c>
      <c r="S544" s="159" t="s">
        <v>82</v>
      </c>
      <c r="T544" s="159" t="s">
        <v>82</v>
      </c>
      <c r="U544" s="159" t="s">
        <v>82</v>
      </c>
      <c r="V544" s="159" t="s">
        <v>82</v>
      </c>
      <c r="W544" s="159" t="s">
        <v>75</v>
      </c>
      <c r="X544" s="159" t="s">
        <v>82</v>
      </c>
      <c r="Y544" s="159" t="s">
        <v>82</v>
      </c>
      <c r="Z544" s="159" t="s">
        <v>82</v>
      </c>
      <c r="AA544" s="158" t="s">
        <v>82</v>
      </c>
      <c r="AB544" s="158" t="s">
        <v>82</v>
      </c>
      <c r="AC544" s="159" t="s">
        <v>82</v>
      </c>
      <c r="AD544" s="153"/>
      <c r="AE544" s="120"/>
    </row>
    <row r="545" spans="1:31" ht="23.4" x14ac:dyDescent="0.25">
      <c r="A545" s="123" t="s">
        <v>82</v>
      </c>
      <c r="B545" s="176">
        <v>37576</v>
      </c>
      <c r="C545" s="177" t="s">
        <v>54</v>
      </c>
      <c r="D545" s="156" t="s">
        <v>2062</v>
      </c>
      <c r="E545" s="156" t="s">
        <v>1929</v>
      </c>
      <c r="F545" s="158" t="s">
        <v>1317</v>
      </c>
      <c r="G545" s="158" t="s">
        <v>14</v>
      </c>
      <c r="H545" s="178">
        <v>44293</v>
      </c>
      <c r="I545" s="158">
        <v>1015</v>
      </c>
      <c r="J545" s="158" t="s">
        <v>58</v>
      </c>
      <c r="K545" s="165" t="s">
        <v>59</v>
      </c>
      <c r="L545" s="159" t="s">
        <v>75</v>
      </c>
      <c r="M545" s="159" t="s">
        <v>82</v>
      </c>
      <c r="N545" s="159" t="s">
        <v>82</v>
      </c>
      <c r="O545" s="159" t="s">
        <v>82</v>
      </c>
      <c r="P545" s="159" t="s">
        <v>82</v>
      </c>
      <c r="Q545" s="159" t="s">
        <v>75</v>
      </c>
      <c r="R545" s="159" t="s">
        <v>82</v>
      </c>
      <c r="S545" s="159" t="s">
        <v>82</v>
      </c>
      <c r="T545" s="159" t="s">
        <v>82</v>
      </c>
      <c r="U545" s="159" t="s">
        <v>82</v>
      </c>
      <c r="V545" s="159" t="s">
        <v>82</v>
      </c>
      <c r="W545" s="159" t="s">
        <v>75</v>
      </c>
      <c r="X545" s="159" t="s">
        <v>82</v>
      </c>
      <c r="Y545" s="159" t="s">
        <v>82</v>
      </c>
      <c r="Z545" s="159" t="s">
        <v>82</v>
      </c>
      <c r="AA545" s="158" t="s">
        <v>82</v>
      </c>
      <c r="AB545" s="158" t="s">
        <v>82</v>
      </c>
      <c r="AC545" s="159" t="s">
        <v>82</v>
      </c>
      <c r="AD545" s="153"/>
      <c r="AE545" s="120"/>
    </row>
    <row r="546" spans="1:31" ht="23.4" x14ac:dyDescent="0.25">
      <c r="A546" s="121" t="s">
        <v>82</v>
      </c>
      <c r="B546" s="144">
        <v>39088</v>
      </c>
      <c r="C546" s="154" t="s">
        <v>64</v>
      </c>
      <c r="D546" s="155" t="s">
        <v>1451</v>
      </c>
      <c r="E546" s="156" t="s">
        <v>1929</v>
      </c>
      <c r="F546" s="156" t="s">
        <v>1317</v>
      </c>
      <c r="G546" s="156" t="s">
        <v>14</v>
      </c>
      <c r="H546" s="157">
        <v>43700</v>
      </c>
      <c r="I546" s="158">
        <v>521</v>
      </c>
      <c r="J546" s="158" t="s">
        <v>58</v>
      </c>
      <c r="K546" s="165" t="s">
        <v>59</v>
      </c>
      <c r="L546" s="162">
        <v>44334</v>
      </c>
      <c r="M546" s="159" t="s">
        <v>60</v>
      </c>
      <c r="N546" s="170">
        <v>44256</v>
      </c>
      <c r="O546" s="159" t="s">
        <v>82</v>
      </c>
      <c r="P546" s="159" t="s">
        <v>82</v>
      </c>
      <c r="Q546" s="159" t="s">
        <v>75</v>
      </c>
      <c r="R546" s="159" t="s">
        <v>82</v>
      </c>
      <c r="S546" s="159" t="s">
        <v>68</v>
      </c>
      <c r="T546" s="159" t="s">
        <v>68</v>
      </c>
      <c r="U546" s="169" t="s">
        <v>82</v>
      </c>
      <c r="V546" s="159" t="s">
        <v>82</v>
      </c>
      <c r="W546" s="159" t="s">
        <v>82</v>
      </c>
      <c r="X546" s="159" t="s">
        <v>82</v>
      </c>
      <c r="Y546" s="159" t="s">
        <v>82</v>
      </c>
      <c r="Z546" s="159" t="s">
        <v>82</v>
      </c>
      <c r="AA546" s="158" t="s">
        <v>82</v>
      </c>
      <c r="AB546" s="158" t="s">
        <v>82</v>
      </c>
      <c r="AC546" s="159" t="s">
        <v>82</v>
      </c>
      <c r="AD546" s="153"/>
      <c r="AE546" s="120"/>
    </row>
    <row r="547" spans="1:31" ht="23.4" x14ac:dyDescent="0.25">
      <c r="A547" s="121" t="s">
        <v>82</v>
      </c>
      <c r="B547" s="144">
        <v>39088</v>
      </c>
      <c r="C547" s="154" t="s">
        <v>54</v>
      </c>
      <c r="D547" s="155" t="s">
        <v>1453</v>
      </c>
      <c r="E547" s="156" t="s">
        <v>1929</v>
      </c>
      <c r="F547" s="156" t="s">
        <v>1317</v>
      </c>
      <c r="G547" s="156" t="s">
        <v>14</v>
      </c>
      <c r="H547" s="157">
        <v>43700</v>
      </c>
      <c r="I547" s="158">
        <v>524</v>
      </c>
      <c r="J547" s="158" t="s">
        <v>58</v>
      </c>
      <c r="K547" s="165" t="s">
        <v>59</v>
      </c>
      <c r="L547" s="162">
        <v>44334</v>
      </c>
      <c r="M547" s="159" t="s">
        <v>2063</v>
      </c>
      <c r="N547" s="159" t="s">
        <v>82</v>
      </c>
      <c r="O547" s="159" t="s">
        <v>82</v>
      </c>
      <c r="P547" s="159" t="s">
        <v>82</v>
      </c>
      <c r="Q547" s="159" t="s">
        <v>75</v>
      </c>
      <c r="R547" s="159" t="s">
        <v>82</v>
      </c>
      <c r="S547" s="159" t="s">
        <v>62</v>
      </c>
      <c r="T547" s="159" t="s">
        <v>62</v>
      </c>
      <c r="U547" s="169" t="s">
        <v>82</v>
      </c>
      <c r="V547" s="159" t="s">
        <v>82</v>
      </c>
      <c r="W547" s="159" t="s">
        <v>82</v>
      </c>
      <c r="X547" s="159" t="s">
        <v>82</v>
      </c>
      <c r="Y547" s="159" t="s">
        <v>82</v>
      </c>
      <c r="Z547" s="159" t="s">
        <v>82</v>
      </c>
      <c r="AA547" s="158" t="s">
        <v>82</v>
      </c>
      <c r="AB547" s="158" t="s">
        <v>82</v>
      </c>
      <c r="AC547" s="159" t="s">
        <v>82</v>
      </c>
      <c r="AD547" s="153"/>
      <c r="AE547" s="120"/>
    </row>
    <row r="548" spans="1:31" ht="23.4" x14ac:dyDescent="0.25">
      <c r="A548" s="121" t="s">
        <v>82</v>
      </c>
      <c r="B548" s="144">
        <v>39091</v>
      </c>
      <c r="C548" s="154" t="s">
        <v>64</v>
      </c>
      <c r="D548" s="155" t="s">
        <v>1454</v>
      </c>
      <c r="E548" s="156" t="s">
        <v>1929</v>
      </c>
      <c r="F548" s="156" t="s">
        <v>1317</v>
      </c>
      <c r="G548" s="156" t="s">
        <v>14</v>
      </c>
      <c r="H548" s="157">
        <v>43710</v>
      </c>
      <c r="I548" s="158">
        <v>481</v>
      </c>
      <c r="J548" s="158" t="s">
        <v>58</v>
      </c>
      <c r="K548" s="165" t="s">
        <v>59</v>
      </c>
      <c r="L548" s="162">
        <v>44336</v>
      </c>
      <c r="M548" s="158" t="s">
        <v>60</v>
      </c>
      <c r="N548" s="162">
        <v>44317</v>
      </c>
      <c r="O548" s="162">
        <v>44317</v>
      </c>
      <c r="P548" s="158" t="s">
        <v>82</v>
      </c>
      <c r="Q548" s="159" t="s">
        <v>2060</v>
      </c>
      <c r="R548" s="159" t="s">
        <v>82</v>
      </c>
      <c r="S548" s="159" t="s">
        <v>68</v>
      </c>
      <c r="T548" s="159" t="s">
        <v>68</v>
      </c>
      <c r="U548" s="169" t="s">
        <v>82</v>
      </c>
      <c r="V548" s="159" t="s">
        <v>82</v>
      </c>
      <c r="W548" s="159" t="s">
        <v>82</v>
      </c>
      <c r="X548" s="159" t="s">
        <v>82</v>
      </c>
      <c r="Y548" s="159" t="s">
        <v>82</v>
      </c>
      <c r="Z548" s="159" t="s">
        <v>82</v>
      </c>
      <c r="AA548" s="158" t="s">
        <v>82</v>
      </c>
      <c r="AB548" s="158" t="s">
        <v>82</v>
      </c>
      <c r="AC548" s="159" t="s">
        <v>82</v>
      </c>
      <c r="AD548" s="153"/>
      <c r="AE548" s="120"/>
    </row>
    <row r="549" spans="1:31" ht="23.4" x14ac:dyDescent="0.25">
      <c r="A549" s="121" t="s">
        <v>82</v>
      </c>
      <c r="B549" s="144">
        <v>39091</v>
      </c>
      <c r="C549" s="154" t="s">
        <v>54</v>
      </c>
      <c r="D549" s="155" t="s">
        <v>1457</v>
      </c>
      <c r="E549" s="156" t="s">
        <v>1929</v>
      </c>
      <c r="F549" s="156" t="s">
        <v>1317</v>
      </c>
      <c r="G549" s="156" t="s">
        <v>14</v>
      </c>
      <c r="H549" s="157">
        <v>43710</v>
      </c>
      <c r="I549" s="158">
        <v>523</v>
      </c>
      <c r="J549" s="158" t="s">
        <v>58</v>
      </c>
      <c r="K549" s="165" t="s">
        <v>59</v>
      </c>
      <c r="L549" s="162">
        <v>44336</v>
      </c>
      <c r="M549" s="158" t="s">
        <v>60</v>
      </c>
      <c r="N549" s="162">
        <v>44317</v>
      </c>
      <c r="O549" s="162">
        <v>44317</v>
      </c>
      <c r="P549" s="158" t="s">
        <v>82</v>
      </c>
      <c r="Q549" s="159" t="s">
        <v>75</v>
      </c>
      <c r="R549" s="159" t="s">
        <v>82</v>
      </c>
      <c r="S549" s="159" t="s">
        <v>62</v>
      </c>
      <c r="T549" s="159" t="s">
        <v>62</v>
      </c>
      <c r="U549" s="169" t="s">
        <v>82</v>
      </c>
      <c r="V549" s="159" t="s">
        <v>82</v>
      </c>
      <c r="W549" s="159" t="s">
        <v>82</v>
      </c>
      <c r="X549" s="159" t="s">
        <v>82</v>
      </c>
      <c r="Y549" s="159" t="s">
        <v>82</v>
      </c>
      <c r="Z549" s="159" t="s">
        <v>82</v>
      </c>
      <c r="AA549" s="158" t="s">
        <v>82</v>
      </c>
      <c r="AB549" s="158" t="s">
        <v>82</v>
      </c>
      <c r="AC549" s="159" t="s">
        <v>82</v>
      </c>
      <c r="AD549" s="153"/>
      <c r="AE549" s="120"/>
    </row>
    <row r="550" spans="1:31" x14ac:dyDescent="0.25">
      <c r="A550" s="121" t="s">
        <v>82</v>
      </c>
      <c r="B550" s="144">
        <v>39114</v>
      </c>
      <c r="C550" s="154" t="s">
        <v>64</v>
      </c>
      <c r="D550" s="155" t="s">
        <v>1359</v>
      </c>
      <c r="E550" s="156" t="s">
        <v>2010</v>
      </c>
      <c r="F550" s="156" t="s">
        <v>1317</v>
      </c>
      <c r="G550" s="156" t="s">
        <v>14</v>
      </c>
      <c r="H550" s="157">
        <v>43813</v>
      </c>
      <c r="I550" s="158">
        <v>535</v>
      </c>
      <c r="J550" s="158" t="s">
        <v>58</v>
      </c>
      <c r="K550" s="158" t="s">
        <v>680</v>
      </c>
      <c r="L550" s="162">
        <v>44350</v>
      </c>
      <c r="M550" s="159" t="s">
        <v>60</v>
      </c>
      <c r="N550" s="170">
        <v>44247</v>
      </c>
      <c r="O550" s="159" t="s">
        <v>82</v>
      </c>
      <c r="P550" s="159" t="s">
        <v>82</v>
      </c>
      <c r="Q550" s="159" t="s">
        <v>75</v>
      </c>
      <c r="R550" s="159" t="s">
        <v>82</v>
      </c>
      <c r="S550" s="159" t="s">
        <v>68</v>
      </c>
      <c r="T550" s="159" t="s">
        <v>68</v>
      </c>
      <c r="U550" s="169" t="s">
        <v>82</v>
      </c>
      <c r="V550" s="159" t="s">
        <v>82</v>
      </c>
      <c r="W550" s="159" t="s">
        <v>82</v>
      </c>
      <c r="X550" s="159" t="s">
        <v>82</v>
      </c>
      <c r="Y550" s="159" t="s">
        <v>82</v>
      </c>
      <c r="Z550" s="159" t="s">
        <v>82</v>
      </c>
      <c r="AA550" s="158" t="s">
        <v>82</v>
      </c>
      <c r="AB550" s="158" t="s">
        <v>82</v>
      </c>
      <c r="AC550" s="159" t="s">
        <v>82</v>
      </c>
      <c r="AD550" s="153"/>
      <c r="AE550" s="120"/>
    </row>
    <row r="551" spans="1:31" x14ac:dyDescent="0.25">
      <c r="A551" s="121" t="s">
        <v>82</v>
      </c>
      <c r="B551" s="144">
        <v>39114</v>
      </c>
      <c r="C551" s="154" t="s">
        <v>54</v>
      </c>
      <c r="D551" s="155" t="s">
        <v>1361</v>
      </c>
      <c r="E551" s="156" t="s">
        <v>2010</v>
      </c>
      <c r="F551" s="156" t="s">
        <v>1317</v>
      </c>
      <c r="G551" s="156" t="s">
        <v>14</v>
      </c>
      <c r="H551" s="157">
        <v>43813</v>
      </c>
      <c r="I551" s="158">
        <v>534</v>
      </c>
      <c r="J551" s="158" t="s">
        <v>58</v>
      </c>
      <c r="K551" s="158" t="s">
        <v>680</v>
      </c>
      <c r="L551" s="162">
        <v>44350</v>
      </c>
      <c r="M551" s="159" t="s">
        <v>82</v>
      </c>
      <c r="N551" s="159" t="s">
        <v>82</v>
      </c>
      <c r="O551" s="159" t="s">
        <v>82</v>
      </c>
      <c r="P551" s="159" t="s">
        <v>82</v>
      </c>
      <c r="Q551" s="159" t="s">
        <v>75</v>
      </c>
      <c r="R551" s="159" t="s">
        <v>82</v>
      </c>
      <c r="S551" s="159" t="s">
        <v>62</v>
      </c>
      <c r="T551" s="159" t="s">
        <v>62</v>
      </c>
      <c r="U551" s="169" t="s">
        <v>82</v>
      </c>
      <c r="V551" s="159" t="s">
        <v>82</v>
      </c>
      <c r="W551" s="159" t="s">
        <v>82</v>
      </c>
      <c r="X551" s="159" t="s">
        <v>82</v>
      </c>
      <c r="Y551" s="159" t="s">
        <v>82</v>
      </c>
      <c r="Z551" s="159" t="s">
        <v>82</v>
      </c>
      <c r="AA551" s="158" t="s">
        <v>82</v>
      </c>
      <c r="AB551" s="158" t="s">
        <v>82</v>
      </c>
      <c r="AC551" s="159" t="s">
        <v>82</v>
      </c>
      <c r="AD551" s="153"/>
      <c r="AE551" s="120"/>
    </row>
    <row r="552" spans="1:31" ht="23.4" x14ac:dyDescent="0.25">
      <c r="A552" s="121" t="s">
        <v>82</v>
      </c>
      <c r="B552" s="144">
        <v>39116</v>
      </c>
      <c r="C552" s="154" t="s">
        <v>64</v>
      </c>
      <c r="D552" s="155" t="s">
        <v>1459</v>
      </c>
      <c r="E552" s="156" t="s">
        <v>1929</v>
      </c>
      <c r="F552" s="156" t="s">
        <v>1317</v>
      </c>
      <c r="G552" s="156" t="s">
        <v>14</v>
      </c>
      <c r="H552" s="157">
        <v>43820</v>
      </c>
      <c r="I552" s="158">
        <v>674</v>
      </c>
      <c r="J552" s="158" t="s">
        <v>58</v>
      </c>
      <c r="K552" s="165" t="s">
        <v>59</v>
      </c>
      <c r="L552" s="158" t="s">
        <v>1103</v>
      </c>
      <c r="M552" s="159" t="s">
        <v>60</v>
      </c>
      <c r="N552" s="170">
        <v>44260</v>
      </c>
      <c r="O552" s="159" t="s">
        <v>82</v>
      </c>
      <c r="P552" s="159" t="s">
        <v>82</v>
      </c>
      <c r="Q552" s="159" t="s">
        <v>75</v>
      </c>
      <c r="R552" s="159" t="s">
        <v>82</v>
      </c>
      <c r="S552" s="159" t="s">
        <v>68</v>
      </c>
      <c r="T552" s="159" t="s">
        <v>68</v>
      </c>
      <c r="U552" s="169" t="s">
        <v>82</v>
      </c>
      <c r="V552" s="159" t="s">
        <v>82</v>
      </c>
      <c r="W552" s="159" t="s">
        <v>82</v>
      </c>
      <c r="X552" s="159" t="s">
        <v>82</v>
      </c>
      <c r="Y552" s="159" t="s">
        <v>82</v>
      </c>
      <c r="Z552" s="159" t="s">
        <v>82</v>
      </c>
      <c r="AA552" s="158" t="s">
        <v>82</v>
      </c>
      <c r="AB552" s="158" t="s">
        <v>82</v>
      </c>
      <c r="AC552" s="159" t="s">
        <v>82</v>
      </c>
      <c r="AD552" s="153"/>
      <c r="AE552" s="120"/>
    </row>
    <row r="553" spans="1:31" ht="23.4" x14ac:dyDescent="0.25">
      <c r="A553" s="121" t="s">
        <v>82</v>
      </c>
      <c r="B553" s="144">
        <v>39116</v>
      </c>
      <c r="C553" s="154" t="s">
        <v>54</v>
      </c>
      <c r="D553" s="155" t="s">
        <v>1461</v>
      </c>
      <c r="E553" s="156" t="s">
        <v>1929</v>
      </c>
      <c r="F553" s="156" t="s">
        <v>1317</v>
      </c>
      <c r="G553" s="156" t="s">
        <v>14</v>
      </c>
      <c r="H553" s="157">
        <v>43820</v>
      </c>
      <c r="I553" s="158">
        <v>673</v>
      </c>
      <c r="J553" s="158" t="s">
        <v>58</v>
      </c>
      <c r="K553" s="165" t="s">
        <v>59</v>
      </c>
      <c r="L553" s="162">
        <v>44342</v>
      </c>
      <c r="M553" s="159" t="s">
        <v>60</v>
      </c>
      <c r="N553" s="170">
        <v>44260</v>
      </c>
      <c r="O553" s="159" t="s">
        <v>82</v>
      </c>
      <c r="P553" s="159" t="s">
        <v>82</v>
      </c>
      <c r="Q553" s="159" t="s">
        <v>75</v>
      </c>
      <c r="R553" s="159" t="s">
        <v>82</v>
      </c>
      <c r="S553" s="159" t="s">
        <v>62</v>
      </c>
      <c r="T553" s="159" t="s">
        <v>62</v>
      </c>
      <c r="U553" s="169" t="s">
        <v>82</v>
      </c>
      <c r="V553" s="159" t="s">
        <v>82</v>
      </c>
      <c r="W553" s="159" t="s">
        <v>82</v>
      </c>
      <c r="X553" s="159" t="s">
        <v>82</v>
      </c>
      <c r="Y553" s="159" t="s">
        <v>82</v>
      </c>
      <c r="Z553" s="159" t="s">
        <v>82</v>
      </c>
      <c r="AA553" s="158" t="s">
        <v>82</v>
      </c>
      <c r="AB553" s="158" t="s">
        <v>82</v>
      </c>
      <c r="AC553" s="159" t="s">
        <v>82</v>
      </c>
      <c r="AD553" s="153"/>
      <c r="AE553" s="120"/>
    </row>
    <row r="554" spans="1:31" ht="23.4" x14ac:dyDescent="0.25">
      <c r="A554" s="121" t="s">
        <v>82</v>
      </c>
      <c r="B554" s="144">
        <v>39127</v>
      </c>
      <c r="C554" s="154" t="s">
        <v>64</v>
      </c>
      <c r="D554" s="155" t="s">
        <v>1362</v>
      </c>
      <c r="E554" s="156" t="s">
        <v>2010</v>
      </c>
      <c r="F554" s="156" t="s">
        <v>1317</v>
      </c>
      <c r="G554" s="156" t="s">
        <v>14</v>
      </c>
      <c r="H554" s="157">
        <v>43865</v>
      </c>
      <c r="I554" s="158">
        <v>528</v>
      </c>
      <c r="J554" s="158" t="s">
        <v>58</v>
      </c>
      <c r="K554" s="165" t="s">
        <v>59</v>
      </c>
      <c r="L554" s="158" t="s">
        <v>1103</v>
      </c>
      <c r="M554" s="159" t="s">
        <v>60</v>
      </c>
      <c r="N554" s="170">
        <v>44260</v>
      </c>
      <c r="O554" s="170">
        <v>44291</v>
      </c>
      <c r="P554" s="159" t="s">
        <v>82</v>
      </c>
      <c r="Q554" s="159" t="s">
        <v>75</v>
      </c>
      <c r="R554" s="159" t="s">
        <v>82</v>
      </c>
      <c r="S554" s="159" t="s">
        <v>68</v>
      </c>
      <c r="T554" s="159" t="s">
        <v>68</v>
      </c>
      <c r="U554" s="169" t="s">
        <v>82</v>
      </c>
      <c r="V554" s="159" t="s">
        <v>82</v>
      </c>
      <c r="W554" s="159" t="s">
        <v>82</v>
      </c>
      <c r="X554" s="159" t="s">
        <v>82</v>
      </c>
      <c r="Y554" s="159" t="s">
        <v>82</v>
      </c>
      <c r="Z554" s="159" t="s">
        <v>82</v>
      </c>
      <c r="AA554" s="158" t="s">
        <v>82</v>
      </c>
      <c r="AB554" s="158" t="s">
        <v>82</v>
      </c>
      <c r="AC554" s="159" t="s">
        <v>82</v>
      </c>
      <c r="AD554" s="153"/>
      <c r="AE554" s="120"/>
    </row>
    <row r="555" spans="1:31" ht="23.4" x14ac:dyDescent="0.25">
      <c r="A555" s="121" t="s">
        <v>82</v>
      </c>
      <c r="B555" s="144">
        <v>39127</v>
      </c>
      <c r="C555" s="154" t="s">
        <v>54</v>
      </c>
      <c r="D555" s="155" t="s">
        <v>1365</v>
      </c>
      <c r="E555" s="156" t="s">
        <v>2010</v>
      </c>
      <c r="F555" s="156" t="s">
        <v>1317</v>
      </c>
      <c r="G555" s="156" t="s">
        <v>14</v>
      </c>
      <c r="H555" s="157">
        <v>43865</v>
      </c>
      <c r="I555" s="158">
        <v>659</v>
      </c>
      <c r="J555" s="158" t="s">
        <v>58</v>
      </c>
      <c r="K555" s="165" t="s">
        <v>59</v>
      </c>
      <c r="L555" s="158" t="s">
        <v>1103</v>
      </c>
      <c r="M555" s="159" t="s">
        <v>2064</v>
      </c>
      <c r="N555" s="159" t="s">
        <v>82</v>
      </c>
      <c r="O555" s="170">
        <v>44291</v>
      </c>
      <c r="P555" s="159" t="s">
        <v>82</v>
      </c>
      <c r="Q555" s="159" t="s">
        <v>75</v>
      </c>
      <c r="R555" s="159" t="s">
        <v>82</v>
      </c>
      <c r="S555" s="159" t="s">
        <v>62</v>
      </c>
      <c r="T555" s="159" t="s">
        <v>62</v>
      </c>
      <c r="U555" s="169" t="s">
        <v>82</v>
      </c>
      <c r="V555" s="159" t="s">
        <v>82</v>
      </c>
      <c r="W555" s="159" t="s">
        <v>82</v>
      </c>
      <c r="X555" s="159" t="s">
        <v>82</v>
      </c>
      <c r="Y555" s="159" t="s">
        <v>82</v>
      </c>
      <c r="Z555" s="159" t="s">
        <v>82</v>
      </c>
      <c r="AA555" s="158" t="s">
        <v>82</v>
      </c>
      <c r="AB555" s="158" t="s">
        <v>82</v>
      </c>
      <c r="AC555" s="159" t="s">
        <v>82</v>
      </c>
      <c r="AD555" s="153"/>
      <c r="AE555" s="120"/>
    </row>
    <row r="556" spans="1:31" x14ac:dyDescent="0.25">
      <c r="A556" s="121" t="s">
        <v>82</v>
      </c>
      <c r="B556" s="144">
        <v>39129</v>
      </c>
      <c r="C556" s="154" t="s">
        <v>64</v>
      </c>
      <c r="D556" s="155" t="s">
        <v>1367</v>
      </c>
      <c r="E556" s="156" t="s">
        <v>2010</v>
      </c>
      <c r="F556" s="156" t="s">
        <v>1317</v>
      </c>
      <c r="G556" s="156" t="s">
        <v>14</v>
      </c>
      <c r="H556" s="157">
        <v>43872</v>
      </c>
      <c r="I556" s="158">
        <v>651</v>
      </c>
      <c r="J556" s="158" t="s">
        <v>58</v>
      </c>
      <c r="K556" s="158" t="s">
        <v>680</v>
      </c>
      <c r="L556" s="162">
        <v>44374</v>
      </c>
      <c r="M556" s="159" t="s">
        <v>60</v>
      </c>
      <c r="N556" s="170">
        <v>44209</v>
      </c>
      <c r="O556" s="170">
        <v>44318</v>
      </c>
      <c r="P556" s="159" t="s">
        <v>82</v>
      </c>
      <c r="Q556" s="159" t="s">
        <v>75</v>
      </c>
      <c r="R556" s="159" t="s">
        <v>82</v>
      </c>
      <c r="S556" s="159" t="s">
        <v>68</v>
      </c>
      <c r="T556" s="159" t="s">
        <v>68</v>
      </c>
      <c r="U556" s="169" t="s">
        <v>82</v>
      </c>
      <c r="V556" s="159" t="s">
        <v>82</v>
      </c>
      <c r="W556" s="159" t="s">
        <v>82</v>
      </c>
      <c r="X556" s="159" t="s">
        <v>82</v>
      </c>
      <c r="Y556" s="159" t="s">
        <v>82</v>
      </c>
      <c r="Z556" s="159" t="s">
        <v>82</v>
      </c>
      <c r="AA556" s="158" t="s">
        <v>82</v>
      </c>
      <c r="AB556" s="158" t="s">
        <v>82</v>
      </c>
      <c r="AC556" s="159" t="s">
        <v>82</v>
      </c>
      <c r="AD556" s="153"/>
      <c r="AE556" s="120"/>
    </row>
    <row r="557" spans="1:31" x14ac:dyDescent="0.25">
      <c r="A557" s="121" t="s">
        <v>82</v>
      </c>
      <c r="B557" s="144">
        <v>39129</v>
      </c>
      <c r="C557" s="154" t="s">
        <v>54</v>
      </c>
      <c r="D557" s="155" t="s">
        <v>1372</v>
      </c>
      <c r="E557" s="156" t="s">
        <v>2010</v>
      </c>
      <c r="F557" s="156" t="s">
        <v>1317</v>
      </c>
      <c r="G557" s="156" t="s">
        <v>14</v>
      </c>
      <c r="H557" s="157">
        <v>43872</v>
      </c>
      <c r="I557" s="158">
        <v>668</v>
      </c>
      <c r="J557" s="158" t="s">
        <v>58</v>
      </c>
      <c r="K557" s="158" t="s">
        <v>680</v>
      </c>
      <c r="L557" s="162">
        <v>44374</v>
      </c>
      <c r="M557" s="159" t="s">
        <v>60</v>
      </c>
      <c r="N557" s="170">
        <v>44209</v>
      </c>
      <c r="O557" s="170">
        <v>44318</v>
      </c>
      <c r="P557" s="159" t="s">
        <v>82</v>
      </c>
      <c r="Q557" s="159" t="s">
        <v>75</v>
      </c>
      <c r="R557" s="159" t="s">
        <v>82</v>
      </c>
      <c r="S557" s="159" t="s">
        <v>62</v>
      </c>
      <c r="T557" s="159" t="s">
        <v>62</v>
      </c>
      <c r="U557" s="169" t="s">
        <v>82</v>
      </c>
      <c r="V557" s="159" t="s">
        <v>82</v>
      </c>
      <c r="W557" s="159" t="s">
        <v>82</v>
      </c>
      <c r="X557" s="159" t="s">
        <v>82</v>
      </c>
      <c r="Y557" s="159" t="s">
        <v>82</v>
      </c>
      <c r="Z557" s="159" t="s">
        <v>82</v>
      </c>
      <c r="AA557" s="158" t="s">
        <v>82</v>
      </c>
      <c r="AB557" s="158" t="s">
        <v>82</v>
      </c>
      <c r="AC557" s="159" t="s">
        <v>82</v>
      </c>
      <c r="AD557" s="153"/>
      <c r="AE557" s="120"/>
    </row>
    <row r="558" spans="1:31" ht="23.4" x14ac:dyDescent="0.25">
      <c r="A558" s="121" t="s">
        <v>82</v>
      </c>
      <c r="B558" s="144">
        <v>39134</v>
      </c>
      <c r="C558" s="154" t="s">
        <v>64</v>
      </c>
      <c r="D558" s="155" t="s">
        <v>1462</v>
      </c>
      <c r="E558" s="156" t="s">
        <v>1929</v>
      </c>
      <c r="F558" s="156" t="s">
        <v>1317</v>
      </c>
      <c r="G558" s="156" t="s">
        <v>14</v>
      </c>
      <c r="H558" s="157">
        <v>43889</v>
      </c>
      <c r="I558" s="158">
        <v>661</v>
      </c>
      <c r="J558" s="158" t="s">
        <v>58</v>
      </c>
      <c r="K558" s="165" t="s">
        <v>59</v>
      </c>
      <c r="L558" s="162">
        <v>44331</v>
      </c>
      <c r="M558" s="159" t="s">
        <v>60</v>
      </c>
      <c r="N558" s="170">
        <v>44272</v>
      </c>
      <c r="O558" s="159" t="s">
        <v>82</v>
      </c>
      <c r="P558" s="159" t="s">
        <v>82</v>
      </c>
      <c r="Q558" s="159" t="s">
        <v>75</v>
      </c>
      <c r="R558" s="159" t="s">
        <v>68</v>
      </c>
      <c r="S558" s="159" t="s">
        <v>68</v>
      </c>
      <c r="T558" s="159" t="s">
        <v>68</v>
      </c>
      <c r="U558" s="169" t="s">
        <v>82</v>
      </c>
      <c r="V558" s="159" t="s">
        <v>82</v>
      </c>
      <c r="W558" s="159" t="s">
        <v>82</v>
      </c>
      <c r="X558" s="159" t="s">
        <v>82</v>
      </c>
      <c r="Y558" s="159" t="s">
        <v>82</v>
      </c>
      <c r="Z558" s="159" t="s">
        <v>82</v>
      </c>
      <c r="AA558" s="158" t="s">
        <v>82</v>
      </c>
      <c r="AB558" s="158" t="s">
        <v>82</v>
      </c>
      <c r="AC558" s="159" t="s">
        <v>82</v>
      </c>
      <c r="AD558" s="153"/>
      <c r="AE558" s="120"/>
    </row>
    <row r="559" spans="1:31" ht="23.4" x14ac:dyDescent="0.25">
      <c r="A559" s="121" t="s">
        <v>82</v>
      </c>
      <c r="B559" s="144">
        <v>39134</v>
      </c>
      <c r="C559" s="154" t="s">
        <v>54</v>
      </c>
      <c r="D559" s="155" t="s">
        <v>1464</v>
      </c>
      <c r="E559" s="156" t="s">
        <v>1929</v>
      </c>
      <c r="F559" s="156" t="s">
        <v>1317</v>
      </c>
      <c r="G559" s="156" t="s">
        <v>14</v>
      </c>
      <c r="H559" s="157">
        <v>43889</v>
      </c>
      <c r="I559" s="158">
        <v>672</v>
      </c>
      <c r="J559" s="158" t="s">
        <v>58</v>
      </c>
      <c r="K559" s="165" t="s">
        <v>59</v>
      </c>
      <c r="L559" s="162">
        <v>44331</v>
      </c>
      <c r="M559" s="159" t="s">
        <v>60</v>
      </c>
      <c r="N559" s="170">
        <v>44272</v>
      </c>
      <c r="O559" s="159" t="s">
        <v>82</v>
      </c>
      <c r="P559" s="159" t="s">
        <v>82</v>
      </c>
      <c r="Q559" s="159" t="s">
        <v>75</v>
      </c>
      <c r="R559" s="159" t="s">
        <v>62</v>
      </c>
      <c r="S559" s="159" t="s">
        <v>62</v>
      </c>
      <c r="T559" s="159" t="s">
        <v>62</v>
      </c>
      <c r="U559" s="169" t="s">
        <v>82</v>
      </c>
      <c r="V559" s="159" t="s">
        <v>82</v>
      </c>
      <c r="W559" s="159" t="s">
        <v>82</v>
      </c>
      <c r="X559" s="159" t="s">
        <v>82</v>
      </c>
      <c r="Y559" s="159" t="s">
        <v>82</v>
      </c>
      <c r="Z559" s="159" t="s">
        <v>82</v>
      </c>
      <c r="AA559" s="158" t="s">
        <v>82</v>
      </c>
      <c r="AB559" s="158" t="s">
        <v>82</v>
      </c>
      <c r="AC559" s="159" t="s">
        <v>82</v>
      </c>
      <c r="AD559" s="153"/>
      <c r="AE559" s="120"/>
    </row>
    <row r="560" spans="1:31" ht="23.4" x14ac:dyDescent="0.25">
      <c r="A560" s="121" t="s">
        <v>82</v>
      </c>
      <c r="B560" s="144">
        <v>37134</v>
      </c>
      <c r="C560" s="154" t="s">
        <v>64</v>
      </c>
      <c r="D560" s="158" t="s">
        <v>2065</v>
      </c>
      <c r="E560" s="156" t="s">
        <v>660</v>
      </c>
      <c r="F560" s="156" t="s">
        <v>1317</v>
      </c>
      <c r="G560" s="156" t="s">
        <v>14</v>
      </c>
      <c r="H560" s="172">
        <v>43553</v>
      </c>
      <c r="I560" s="158">
        <v>295</v>
      </c>
      <c r="J560" s="158" t="s">
        <v>58</v>
      </c>
      <c r="K560" s="165" t="s">
        <v>59</v>
      </c>
      <c r="L560" s="159" t="s">
        <v>63</v>
      </c>
      <c r="M560" s="159" t="s">
        <v>60</v>
      </c>
      <c r="N560" s="159" t="s">
        <v>63</v>
      </c>
      <c r="O560" s="170">
        <v>44681</v>
      </c>
      <c r="P560" s="159" t="s">
        <v>82</v>
      </c>
      <c r="Q560" s="159" t="s">
        <v>82</v>
      </c>
      <c r="R560" s="159" t="s">
        <v>82</v>
      </c>
      <c r="S560" s="159" t="s">
        <v>68</v>
      </c>
      <c r="T560" s="159" t="s">
        <v>68</v>
      </c>
      <c r="U560" s="159" t="s">
        <v>82</v>
      </c>
      <c r="V560" s="159" t="s">
        <v>82</v>
      </c>
      <c r="W560" s="159" t="s">
        <v>82</v>
      </c>
      <c r="X560" s="159" t="s">
        <v>82</v>
      </c>
      <c r="Y560" s="159" t="s">
        <v>82</v>
      </c>
      <c r="Z560" s="159" t="s">
        <v>82</v>
      </c>
      <c r="AA560" s="158" t="s">
        <v>82</v>
      </c>
      <c r="AB560" s="158" t="s">
        <v>82</v>
      </c>
      <c r="AC560" s="159" t="s">
        <v>82</v>
      </c>
      <c r="AD560" s="153"/>
      <c r="AE560" s="120"/>
    </row>
    <row r="561" spans="1:31" ht="23.4" x14ac:dyDescent="0.25">
      <c r="A561" s="121" t="s">
        <v>82</v>
      </c>
      <c r="B561" s="144">
        <v>37134</v>
      </c>
      <c r="C561" s="154" t="s">
        <v>54</v>
      </c>
      <c r="D561" s="158" t="s">
        <v>2066</v>
      </c>
      <c r="E561" s="156" t="s">
        <v>660</v>
      </c>
      <c r="F561" s="156" t="s">
        <v>1317</v>
      </c>
      <c r="G561" s="156" t="s">
        <v>14</v>
      </c>
      <c r="H561" s="172">
        <v>43553</v>
      </c>
      <c r="I561" s="158">
        <v>294</v>
      </c>
      <c r="J561" s="158" t="s">
        <v>58</v>
      </c>
      <c r="K561" s="165" t="s">
        <v>59</v>
      </c>
      <c r="L561" s="159" t="s">
        <v>63</v>
      </c>
      <c r="M561" s="159" t="s">
        <v>60</v>
      </c>
      <c r="N561" s="159" t="s">
        <v>63</v>
      </c>
      <c r="O561" s="170">
        <v>44682</v>
      </c>
      <c r="P561" s="159" t="s">
        <v>82</v>
      </c>
      <c r="Q561" s="159" t="s">
        <v>82</v>
      </c>
      <c r="R561" s="159" t="s">
        <v>82</v>
      </c>
      <c r="S561" s="159" t="s">
        <v>62</v>
      </c>
      <c r="T561" s="160" t="s">
        <v>62</v>
      </c>
      <c r="U561" s="159" t="s">
        <v>82</v>
      </c>
      <c r="V561" s="159" t="s">
        <v>82</v>
      </c>
      <c r="W561" s="159" t="s">
        <v>82</v>
      </c>
      <c r="X561" s="159" t="s">
        <v>82</v>
      </c>
      <c r="Y561" s="159" t="s">
        <v>82</v>
      </c>
      <c r="Z561" s="159" t="s">
        <v>82</v>
      </c>
      <c r="AA561" s="158" t="s">
        <v>82</v>
      </c>
      <c r="AB561" s="158" t="s">
        <v>82</v>
      </c>
      <c r="AC561" s="159" t="s">
        <v>82</v>
      </c>
      <c r="AD561" s="153"/>
      <c r="AE561" s="120"/>
    </row>
    <row r="562" spans="1:31" ht="23.4" x14ac:dyDescent="0.25">
      <c r="A562" s="121" t="s">
        <v>82</v>
      </c>
      <c r="B562" s="144">
        <v>37542</v>
      </c>
      <c r="C562" s="154" t="s">
        <v>64</v>
      </c>
      <c r="D562" s="156" t="s">
        <v>988</v>
      </c>
      <c r="E562" s="156" t="s">
        <v>932</v>
      </c>
      <c r="F562" s="158" t="s">
        <v>933</v>
      </c>
      <c r="G562" s="156" t="s">
        <v>13</v>
      </c>
      <c r="H562" s="157">
        <v>44251</v>
      </c>
      <c r="I562" s="158">
        <v>908</v>
      </c>
      <c r="J562" s="158" t="s">
        <v>58</v>
      </c>
      <c r="K562" s="165" t="s">
        <v>59</v>
      </c>
      <c r="L562" s="159" t="s">
        <v>75</v>
      </c>
      <c r="M562" s="159" t="s">
        <v>60</v>
      </c>
      <c r="N562" s="170">
        <v>44670</v>
      </c>
      <c r="O562" s="159" t="s">
        <v>82</v>
      </c>
      <c r="P562" s="159" t="s">
        <v>82</v>
      </c>
      <c r="Q562" s="159" t="s">
        <v>75</v>
      </c>
      <c r="R562" s="159" t="s">
        <v>82</v>
      </c>
      <c r="S562" s="159" t="s">
        <v>82</v>
      </c>
      <c r="T562" s="159" t="s">
        <v>82</v>
      </c>
      <c r="U562" s="159" t="s">
        <v>82</v>
      </c>
      <c r="V562" s="159" t="s">
        <v>82</v>
      </c>
      <c r="W562" s="159" t="s">
        <v>75</v>
      </c>
      <c r="X562" s="159" t="s">
        <v>82</v>
      </c>
      <c r="Y562" s="158" t="s">
        <v>82</v>
      </c>
      <c r="Z562" s="158" t="s">
        <v>82</v>
      </c>
      <c r="AA562" s="158" t="s">
        <v>82</v>
      </c>
      <c r="AB562" s="158" t="s">
        <v>82</v>
      </c>
      <c r="AC562" s="158" t="s">
        <v>82</v>
      </c>
      <c r="AD562" s="173"/>
      <c r="AE562" s="120"/>
    </row>
    <row r="563" spans="1:31" ht="23.4" x14ac:dyDescent="0.25">
      <c r="A563" s="121" t="s">
        <v>82</v>
      </c>
      <c r="B563" s="144">
        <v>37542</v>
      </c>
      <c r="C563" s="154" t="s">
        <v>54</v>
      </c>
      <c r="D563" s="156" t="s">
        <v>993</v>
      </c>
      <c r="E563" s="156" t="s">
        <v>932</v>
      </c>
      <c r="F563" s="158" t="s">
        <v>933</v>
      </c>
      <c r="G563" s="156" t="s">
        <v>13</v>
      </c>
      <c r="H563" s="157">
        <v>44245</v>
      </c>
      <c r="I563" s="158">
        <v>934</v>
      </c>
      <c r="J563" s="158" t="s">
        <v>58</v>
      </c>
      <c r="K563" s="165" t="s">
        <v>59</v>
      </c>
      <c r="L563" s="159" t="s">
        <v>75</v>
      </c>
      <c r="M563" s="159" t="s">
        <v>60</v>
      </c>
      <c r="N563" s="170">
        <v>44670</v>
      </c>
      <c r="O563" s="159" t="s">
        <v>82</v>
      </c>
      <c r="P563" s="159" t="s">
        <v>82</v>
      </c>
      <c r="Q563" s="159" t="s">
        <v>75</v>
      </c>
      <c r="R563" s="165" t="s">
        <v>82</v>
      </c>
      <c r="S563" s="159" t="s">
        <v>82</v>
      </c>
      <c r="T563" s="159" t="s">
        <v>82</v>
      </c>
      <c r="U563" s="159" t="s">
        <v>82</v>
      </c>
      <c r="V563" s="159" t="s">
        <v>82</v>
      </c>
      <c r="W563" s="159" t="s">
        <v>75</v>
      </c>
      <c r="X563" s="159" t="s">
        <v>82</v>
      </c>
      <c r="Y563" s="159" t="s">
        <v>82</v>
      </c>
      <c r="Z563" s="159" t="s">
        <v>82</v>
      </c>
      <c r="AA563" s="158" t="s">
        <v>82</v>
      </c>
      <c r="AB563" s="158" t="s">
        <v>82</v>
      </c>
      <c r="AC563" s="159" t="s">
        <v>82</v>
      </c>
      <c r="AD563" s="153"/>
      <c r="AE563" s="120"/>
    </row>
    <row r="564" spans="1:31" ht="23.4" x14ac:dyDescent="0.25">
      <c r="A564" s="121" t="s">
        <v>82</v>
      </c>
      <c r="B564" s="144">
        <v>30455</v>
      </c>
      <c r="C564" s="154" t="s">
        <v>64</v>
      </c>
      <c r="D564" s="158" t="s">
        <v>1499</v>
      </c>
      <c r="E564" s="156" t="s">
        <v>1927</v>
      </c>
      <c r="F564" s="156" t="s">
        <v>1102</v>
      </c>
      <c r="G564" s="156" t="s">
        <v>14</v>
      </c>
      <c r="H564" s="157">
        <v>42459</v>
      </c>
      <c r="I564" s="158">
        <v>11</v>
      </c>
      <c r="J564" s="158" t="s">
        <v>66</v>
      </c>
      <c r="K564" s="165" t="s">
        <v>59</v>
      </c>
      <c r="L564" s="170">
        <v>44141</v>
      </c>
      <c r="M564" s="160" t="s">
        <v>67</v>
      </c>
      <c r="N564" s="159" t="s">
        <v>63</v>
      </c>
      <c r="O564" s="170">
        <v>44141</v>
      </c>
      <c r="P564" s="159" t="s">
        <v>82</v>
      </c>
      <c r="Q564" s="159" t="s">
        <v>68</v>
      </c>
      <c r="R564" s="159" t="s">
        <v>68</v>
      </c>
      <c r="S564" s="159" t="s">
        <v>68</v>
      </c>
      <c r="T564" s="159" t="s">
        <v>68</v>
      </c>
      <c r="U564" s="159" t="s">
        <v>68</v>
      </c>
      <c r="V564" s="159" t="s">
        <v>82</v>
      </c>
      <c r="W564" s="159" t="s">
        <v>82</v>
      </c>
      <c r="X564" s="159" t="s">
        <v>869</v>
      </c>
      <c r="Y564" s="159" t="s">
        <v>869</v>
      </c>
      <c r="Z564" s="159" t="s">
        <v>82</v>
      </c>
      <c r="AA564" s="158" t="s">
        <v>82</v>
      </c>
      <c r="AB564" s="158" t="s">
        <v>82</v>
      </c>
      <c r="AC564" s="159" t="s">
        <v>82</v>
      </c>
      <c r="AD564" s="153"/>
      <c r="AE564" s="120"/>
    </row>
    <row r="565" spans="1:31" ht="23.4" x14ac:dyDescent="0.25">
      <c r="A565" s="121" t="s">
        <v>82</v>
      </c>
      <c r="B565" s="144">
        <v>30455</v>
      </c>
      <c r="C565" s="154" t="s">
        <v>54</v>
      </c>
      <c r="D565" s="158" t="s">
        <v>1504</v>
      </c>
      <c r="E565" s="156" t="s">
        <v>1927</v>
      </c>
      <c r="F565" s="156" t="s">
        <v>1102</v>
      </c>
      <c r="G565" s="156" t="s">
        <v>14</v>
      </c>
      <c r="H565" s="157">
        <v>42459</v>
      </c>
      <c r="I565" s="158">
        <v>10</v>
      </c>
      <c r="J565" s="158" t="s">
        <v>66</v>
      </c>
      <c r="K565" s="165" t="s">
        <v>59</v>
      </c>
      <c r="L565" s="170">
        <v>44141</v>
      </c>
      <c r="M565" s="160" t="s">
        <v>67</v>
      </c>
      <c r="N565" s="159" t="s">
        <v>63</v>
      </c>
      <c r="O565" s="170">
        <v>44141</v>
      </c>
      <c r="P565" s="159" t="s">
        <v>82</v>
      </c>
      <c r="Q565" s="159" t="s">
        <v>62</v>
      </c>
      <c r="R565" s="159" t="s">
        <v>62</v>
      </c>
      <c r="S565" s="159" t="s">
        <v>62</v>
      </c>
      <c r="T565" s="159" t="s">
        <v>62</v>
      </c>
      <c r="U565" s="159" t="s">
        <v>62</v>
      </c>
      <c r="V565" s="159" t="s">
        <v>82</v>
      </c>
      <c r="W565" s="159" t="s">
        <v>82</v>
      </c>
      <c r="X565" s="159" t="s">
        <v>869</v>
      </c>
      <c r="Y565" s="159" t="s">
        <v>869</v>
      </c>
      <c r="Z565" s="159" t="s">
        <v>82</v>
      </c>
      <c r="AA565" s="158" t="s">
        <v>82</v>
      </c>
      <c r="AB565" s="158" t="s">
        <v>82</v>
      </c>
      <c r="AC565" s="159" t="s">
        <v>82</v>
      </c>
      <c r="AD565" s="153"/>
      <c r="AE565" s="120"/>
    </row>
    <row r="566" spans="1:31" x14ac:dyDescent="0.25">
      <c r="A566" s="121" t="s">
        <v>82</v>
      </c>
      <c r="B566" s="144">
        <v>30457</v>
      </c>
      <c r="C566" s="154" t="s">
        <v>64</v>
      </c>
      <c r="D566" s="155" t="s">
        <v>1505</v>
      </c>
      <c r="E566" s="156" t="s">
        <v>1927</v>
      </c>
      <c r="F566" s="156" t="s">
        <v>1102</v>
      </c>
      <c r="G566" s="156" t="s">
        <v>14</v>
      </c>
      <c r="H566" s="157">
        <v>42450</v>
      </c>
      <c r="I566" s="158">
        <v>19</v>
      </c>
      <c r="J566" s="158" t="s">
        <v>66</v>
      </c>
      <c r="K566" s="159" t="s">
        <v>1249</v>
      </c>
      <c r="L566" s="159" t="s">
        <v>82</v>
      </c>
      <c r="M566" s="160" t="s">
        <v>67</v>
      </c>
      <c r="N566" s="159" t="s">
        <v>63</v>
      </c>
      <c r="O566" s="170">
        <v>44034</v>
      </c>
      <c r="P566" s="159" t="s">
        <v>82</v>
      </c>
      <c r="Q566" s="159" t="s">
        <v>68</v>
      </c>
      <c r="R566" s="159" t="s">
        <v>68</v>
      </c>
      <c r="S566" s="159" t="s">
        <v>68</v>
      </c>
      <c r="T566" s="159" t="s">
        <v>68</v>
      </c>
      <c r="U566" s="159" t="s">
        <v>68</v>
      </c>
      <c r="V566" s="159" t="s">
        <v>82</v>
      </c>
      <c r="W566" s="159" t="s">
        <v>82</v>
      </c>
      <c r="X566" s="159" t="s">
        <v>869</v>
      </c>
      <c r="Y566" s="159" t="s">
        <v>869</v>
      </c>
      <c r="Z566" s="159" t="s">
        <v>82</v>
      </c>
      <c r="AA566" s="158" t="s">
        <v>82</v>
      </c>
      <c r="AB566" s="158" t="s">
        <v>82</v>
      </c>
      <c r="AC566" s="159" t="s">
        <v>82</v>
      </c>
      <c r="AD566" s="153"/>
      <c r="AE566" s="120"/>
    </row>
    <row r="567" spans="1:31" x14ac:dyDescent="0.25">
      <c r="A567" s="121" t="s">
        <v>82</v>
      </c>
      <c r="B567" s="144">
        <v>30457</v>
      </c>
      <c r="C567" s="154" t="s">
        <v>54</v>
      </c>
      <c r="D567" s="155" t="s">
        <v>1507</v>
      </c>
      <c r="E567" s="156" t="s">
        <v>1927</v>
      </c>
      <c r="F567" s="156" t="s">
        <v>1102</v>
      </c>
      <c r="G567" s="156" t="s">
        <v>14</v>
      </c>
      <c r="H567" s="157">
        <v>42450</v>
      </c>
      <c r="I567" s="158">
        <v>27</v>
      </c>
      <c r="J567" s="158" t="s">
        <v>66</v>
      </c>
      <c r="K567" s="159" t="s">
        <v>1249</v>
      </c>
      <c r="L567" s="159" t="s">
        <v>82</v>
      </c>
      <c r="M567" s="160" t="s">
        <v>67</v>
      </c>
      <c r="N567" s="159" t="s">
        <v>63</v>
      </c>
      <c r="O567" s="170">
        <v>44034</v>
      </c>
      <c r="P567" s="159" t="s">
        <v>82</v>
      </c>
      <c r="Q567" s="159" t="s">
        <v>62</v>
      </c>
      <c r="R567" s="159" t="s">
        <v>62</v>
      </c>
      <c r="S567" s="159" t="s">
        <v>62</v>
      </c>
      <c r="T567" s="159" t="s">
        <v>62</v>
      </c>
      <c r="U567" s="159" t="s">
        <v>62</v>
      </c>
      <c r="V567" s="159" t="s">
        <v>82</v>
      </c>
      <c r="W567" s="159" t="s">
        <v>82</v>
      </c>
      <c r="X567" s="159" t="s">
        <v>869</v>
      </c>
      <c r="Y567" s="159" t="s">
        <v>869</v>
      </c>
      <c r="Z567" s="159" t="s">
        <v>82</v>
      </c>
      <c r="AA567" s="158" t="s">
        <v>82</v>
      </c>
      <c r="AB567" s="158" t="s">
        <v>82</v>
      </c>
      <c r="AC567" s="159" t="s">
        <v>82</v>
      </c>
      <c r="AD567" s="153"/>
      <c r="AE567" s="120"/>
    </row>
    <row r="568" spans="1:31" ht="23.4" x14ac:dyDescent="0.25">
      <c r="A568" s="121" t="s">
        <v>82</v>
      </c>
      <c r="B568" s="144">
        <v>30458</v>
      </c>
      <c r="C568" s="154" t="s">
        <v>64</v>
      </c>
      <c r="D568" s="155" t="s">
        <v>1508</v>
      </c>
      <c r="E568" s="156" t="s">
        <v>1927</v>
      </c>
      <c r="F568" s="156" t="s">
        <v>1102</v>
      </c>
      <c r="G568" s="156" t="s">
        <v>14</v>
      </c>
      <c r="H568" s="157">
        <v>42467</v>
      </c>
      <c r="I568" s="158">
        <v>14</v>
      </c>
      <c r="J568" s="158" t="s">
        <v>66</v>
      </c>
      <c r="K568" s="165" t="s">
        <v>59</v>
      </c>
      <c r="L568" s="170">
        <v>44084</v>
      </c>
      <c r="M568" s="160" t="s">
        <v>67</v>
      </c>
      <c r="N568" s="159" t="s">
        <v>63</v>
      </c>
      <c r="O568" s="170">
        <v>44065</v>
      </c>
      <c r="P568" s="159" t="s">
        <v>82</v>
      </c>
      <c r="Q568" s="159" t="s">
        <v>68</v>
      </c>
      <c r="R568" s="159" t="s">
        <v>68</v>
      </c>
      <c r="S568" s="159" t="s">
        <v>68</v>
      </c>
      <c r="T568" s="159" t="s">
        <v>68</v>
      </c>
      <c r="U568" s="159" t="s">
        <v>68</v>
      </c>
      <c r="V568" s="159" t="s">
        <v>82</v>
      </c>
      <c r="W568" s="159" t="s">
        <v>82</v>
      </c>
      <c r="X568" s="159" t="s">
        <v>869</v>
      </c>
      <c r="Y568" s="159" t="s">
        <v>869</v>
      </c>
      <c r="Z568" s="159" t="s">
        <v>82</v>
      </c>
      <c r="AA568" s="158" t="s">
        <v>82</v>
      </c>
      <c r="AB568" s="158" t="s">
        <v>82</v>
      </c>
      <c r="AC568" s="159" t="s">
        <v>82</v>
      </c>
      <c r="AD568" s="153"/>
      <c r="AE568" s="120"/>
    </row>
    <row r="569" spans="1:31" ht="23.4" x14ac:dyDescent="0.25">
      <c r="A569" s="121" t="s">
        <v>82</v>
      </c>
      <c r="B569" s="144">
        <v>30458</v>
      </c>
      <c r="C569" s="154" t="s">
        <v>54</v>
      </c>
      <c r="D569" s="155" t="s">
        <v>1511</v>
      </c>
      <c r="E569" s="156" t="s">
        <v>1927</v>
      </c>
      <c r="F569" s="156" t="s">
        <v>1102</v>
      </c>
      <c r="G569" s="156" t="s">
        <v>14</v>
      </c>
      <c r="H569" s="157">
        <v>42467</v>
      </c>
      <c r="I569" s="158">
        <v>26</v>
      </c>
      <c r="J569" s="158" t="s">
        <v>66</v>
      </c>
      <c r="K569" s="165" t="s">
        <v>59</v>
      </c>
      <c r="L569" s="170">
        <v>44084</v>
      </c>
      <c r="M569" s="160" t="s">
        <v>67</v>
      </c>
      <c r="N569" s="159" t="s">
        <v>63</v>
      </c>
      <c r="O569" s="170">
        <v>44065</v>
      </c>
      <c r="P569" s="159" t="s">
        <v>82</v>
      </c>
      <c r="Q569" s="159" t="s">
        <v>62</v>
      </c>
      <c r="R569" s="159" t="s">
        <v>62</v>
      </c>
      <c r="S569" s="159" t="s">
        <v>62</v>
      </c>
      <c r="T569" s="159" t="s">
        <v>62</v>
      </c>
      <c r="U569" s="159" t="s">
        <v>62</v>
      </c>
      <c r="V569" s="159" t="s">
        <v>82</v>
      </c>
      <c r="W569" s="159" t="s">
        <v>82</v>
      </c>
      <c r="X569" s="159" t="s">
        <v>869</v>
      </c>
      <c r="Y569" s="159" t="s">
        <v>869</v>
      </c>
      <c r="Z569" s="159" t="s">
        <v>82</v>
      </c>
      <c r="AA569" s="158" t="s">
        <v>82</v>
      </c>
      <c r="AB569" s="158" t="s">
        <v>82</v>
      </c>
      <c r="AC569" s="159" t="s">
        <v>82</v>
      </c>
      <c r="AD569" s="153"/>
      <c r="AE569" s="120"/>
    </row>
    <row r="570" spans="1:31" ht="23.4" x14ac:dyDescent="0.25">
      <c r="A570" s="121" t="s">
        <v>82</v>
      </c>
      <c r="B570" s="144">
        <v>30468</v>
      </c>
      <c r="C570" s="154" t="s">
        <v>64</v>
      </c>
      <c r="D570" s="155" t="s">
        <v>1512</v>
      </c>
      <c r="E570" s="156" t="s">
        <v>1927</v>
      </c>
      <c r="F570" s="156" t="s">
        <v>1102</v>
      </c>
      <c r="G570" s="156" t="s">
        <v>14</v>
      </c>
      <c r="H570" s="157">
        <v>42486</v>
      </c>
      <c r="I570" s="158">
        <v>52</v>
      </c>
      <c r="J570" s="158" t="s">
        <v>66</v>
      </c>
      <c r="K570" s="165" t="s">
        <v>59</v>
      </c>
      <c r="L570" s="170">
        <v>44181</v>
      </c>
      <c r="M570" s="160" t="s">
        <v>67</v>
      </c>
      <c r="N570" s="159" t="s">
        <v>63</v>
      </c>
      <c r="O570" s="170">
        <v>44280</v>
      </c>
      <c r="P570" s="159" t="s">
        <v>82</v>
      </c>
      <c r="Q570" s="159" t="s">
        <v>68</v>
      </c>
      <c r="R570" s="159" t="s">
        <v>68</v>
      </c>
      <c r="S570" s="159" t="s">
        <v>68</v>
      </c>
      <c r="T570" s="159" t="s">
        <v>68</v>
      </c>
      <c r="U570" s="159" t="s">
        <v>68</v>
      </c>
      <c r="V570" s="159" t="s">
        <v>82</v>
      </c>
      <c r="W570" s="159" t="s">
        <v>82</v>
      </c>
      <c r="X570" s="159" t="s">
        <v>869</v>
      </c>
      <c r="Y570" s="159" t="s">
        <v>869</v>
      </c>
      <c r="Z570" s="159" t="s">
        <v>82</v>
      </c>
      <c r="AA570" s="158" t="s">
        <v>82</v>
      </c>
      <c r="AB570" s="158" t="s">
        <v>82</v>
      </c>
      <c r="AC570" s="159" t="s">
        <v>82</v>
      </c>
      <c r="AD570" s="153"/>
      <c r="AE570" s="120"/>
    </row>
    <row r="571" spans="1:31" ht="23.4" x14ac:dyDescent="0.25">
      <c r="A571" s="121" t="s">
        <v>82</v>
      </c>
      <c r="B571" s="144">
        <v>30468</v>
      </c>
      <c r="C571" s="154" t="s">
        <v>54</v>
      </c>
      <c r="D571" s="155" t="s">
        <v>1515</v>
      </c>
      <c r="E571" s="156" t="s">
        <v>1927</v>
      </c>
      <c r="F571" s="156" t="s">
        <v>1102</v>
      </c>
      <c r="G571" s="156" t="s">
        <v>14</v>
      </c>
      <c r="H571" s="157">
        <v>42486</v>
      </c>
      <c r="I571" s="158">
        <v>51</v>
      </c>
      <c r="J571" s="158" t="s">
        <v>66</v>
      </c>
      <c r="K571" s="165" t="s">
        <v>59</v>
      </c>
      <c r="L571" s="170">
        <v>44181</v>
      </c>
      <c r="M571" s="160" t="s">
        <v>67</v>
      </c>
      <c r="N571" s="159" t="s">
        <v>63</v>
      </c>
      <c r="O571" s="170">
        <v>44280</v>
      </c>
      <c r="P571" s="159" t="s">
        <v>82</v>
      </c>
      <c r="Q571" s="159" t="s">
        <v>62</v>
      </c>
      <c r="R571" s="159" t="s">
        <v>82</v>
      </c>
      <c r="S571" s="159" t="s">
        <v>62</v>
      </c>
      <c r="T571" s="159" t="s">
        <v>62</v>
      </c>
      <c r="U571" s="159" t="s">
        <v>62</v>
      </c>
      <c r="V571" s="159" t="s">
        <v>82</v>
      </c>
      <c r="W571" s="159" t="s">
        <v>82</v>
      </c>
      <c r="X571" s="159" t="s">
        <v>869</v>
      </c>
      <c r="Y571" s="159" t="s">
        <v>869</v>
      </c>
      <c r="Z571" s="159" t="s">
        <v>82</v>
      </c>
      <c r="AA571" s="158" t="s">
        <v>82</v>
      </c>
      <c r="AB571" s="158" t="s">
        <v>82</v>
      </c>
      <c r="AC571" s="159" t="s">
        <v>82</v>
      </c>
      <c r="AD571" s="153"/>
      <c r="AE571" s="120"/>
    </row>
    <row r="572" spans="1:31" ht="23.4" x14ac:dyDescent="0.25">
      <c r="A572" s="121" t="s">
        <v>82</v>
      </c>
      <c r="B572" s="144">
        <v>30469</v>
      </c>
      <c r="C572" s="154" t="s">
        <v>64</v>
      </c>
      <c r="D572" s="155" t="s">
        <v>1516</v>
      </c>
      <c r="E572" s="156" t="s">
        <v>1927</v>
      </c>
      <c r="F572" s="156" t="s">
        <v>1102</v>
      </c>
      <c r="G572" s="156" t="s">
        <v>14</v>
      </c>
      <c r="H572" s="157">
        <v>42480</v>
      </c>
      <c r="I572" s="158">
        <v>53</v>
      </c>
      <c r="J572" s="158" t="s">
        <v>66</v>
      </c>
      <c r="K572" s="165" t="s">
        <v>59</v>
      </c>
      <c r="L572" s="162">
        <v>44335</v>
      </c>
      <c r="M572" s="160" t="s">
        <v>67</v>
      </c>
      <c r="N572" s="159" t="s">
        <v>63</v>
      </c>
      <c r="O572" s="170">
        <v>44018</v>
      </c>
      <c r="P572" s="159" t="s">
        <v>82</v>
      </c>
      <c r="Q572" s="159" t="s">
        <v>68</v>
      </c>
      <c r="R572" s="159" t="s">
        <v>68</v>
      </c>
      <c r="S572" s="159" t="s">
        <v>68</v>
      </c>
      <c r="T572" s="159" t="s">
        <v>68</v>
      </c>
      <c r="U572" s="159" t="s">
        <v>68</v>
      </c>
      <c r="V572" s="159" t="s">
        <v>82</v>
      </c>
      <c r="W572" s="159" t="s">
        <v>82</v>
      </c>
      <c r="X572" s="159" t="s">
        <v>869</v>
      </c>
      <c r="Y572" s="159" t="s">
        <v>869</v>
      </c>
      <c r="Z572" s="159" t="s">
        <v>82</v>
      </c>
      <c r="AA572" s="158" t="s">
        <v>82</v>
      </c>
      <c r="AB572" s="158" t="s">
        <v>82</v>
      </c>
      <c r="AC572" s="159" t="s">
        <v>82</v>
      </c>
      <c r="AD572" s="153"/>
      <c r="AE572" s="120"/>
    </row>
    <row r="573" spans="1:31" ht="23.4" x14ac:dyDescent="0.25">
      <c r="A573" s="121" t="s">
        <v>82</v>
      </c>
      <c r="B573" s="144">
        <v>30469</v>
      </c>
      <c r="C573" s="154" t="s">
        <v>54</v>
      </c>
      <c r="D573" s="155" t="s">
        <v>1519</v>
      </c>
      <c r="E573" s="156" t="s">
        <v>1927</v>
      </c>
      <c r="F573" s="156" t="s">
        <v>1102</v>
      </c>
      <c r="G573" s="156" t="s">
        <v>14</v>
      </c>
      <c r="H573" s="157">
        <v>42480</v>
      </c>
      <c r="I573" s="158">
        <v>50</v>
      </c>
      <c r="J573" s="158" t="s">
        <v>66</v>
      </c>
      <c r="K573" s="165" t="s">
        <v>59</v>
      </c>
      <c r="L573" s="162">
        <v>44335</v>
      </c>
      <c r="M573" s="160" t="s">
        <v>67</v>
      </c>
      <c r="N573" s="159" t="s">
        <v>63</v>
      </c>
      <c r="O573" s="170">
        <v>44018</v>
      </c>
      <c r="P573" s="159" t="s">
        <v>82</v>
      </c>
      <c r="Q573" s="159" t="s">
        <v>62</v>
      </c>
      <c r="R573" s="159" t="s">
        <v>62</v>
      </c>
      <c r="S573" s="159" t="s">
        <v>62</v>
      </c>
      <c r="T573" s="159" t="s">
        <v>62</v>
      </c>
      <c r="U573" s="159" t="s">
        <v>62</v>
      </c>
      <c r="V573" s="159" t="s">
        <v>82</v>
      </c>
      <c r="W573" s="159" t="s">
        <v>82</v>
      </c>
      <c r="X573" s="159" t="s">
        <v>869</v>
      </c>
      <c r="Y573" s="159" t="s">
        <v>869</v>
      </c>
      <c r="Z573" s="159" t="s">
        <v>82</v>
      </c>
      <c r="AA573" s="158" t="s">
        <v>82</v>
      </c>
      <c r="AB573" s="158" t="s">
        <v>82</v>
      </c>
      <c r="AC573" s="159" t="s">
        <v>82</v>
      </c>
      <c r="AD573" s="153"/>
      <c r="AE573" s="120"/>
    </row>
    <row r="574" spans="1:31" ht="23.4" x14ac:dyDescent="0.25">
      <c r="A574" s="121" t="s">
        <v>82</v>
      </c>
      <c r="B574" s="144">
        <v>30478</v>
      </c>
      <c r="C574" s="154" t="s">
        <v>64</v>
      </c>
      <c r="D574" s="155" t="s">
        <v>1528</v>
      </c>
      <c r="E574" s="156" t="s">
        <v>1927</v>
      </c>
      <c r="F574" s="156" t="s">
        <v>1102</v>
      </c>
      <c r="G574" s="156" t="s">
        <v>14</v>
      </c>
      <c r="H574" s="157">
        <v>42516</v>
      </c>
      <c r="I574" s="158">
        <v>28</v>
      </c>
      <c r="J574" s="158" t="s">
        <v>66</v>
      </c>
      <c r="K574" s="165" t="s">
        <v>59</v>
      </c>
      <c r="L574" s="170">
        <v>44162</v>
      </c>
      <c r="M574" s="160" t="s">
        <v>67</v>
      </c>
      <c r="N574" s="159" t="s">
        <v>63</v>
      </c>
      <c r="O574" s="170">
        <v>44254</v>
      </c>
      <c r="P574" s="179">
        <v>44623</v>
      </c>
      <c r="Q574" s="159" t="s">
        <v>82</v>
      </c>
      <c r="R574" s="159" t="s">
        <v>68</v>
      </c>
      <c r="S574" s="159" t="s">
        <v>68</v>
      </c>
      <c r="T574" s="159" t="s">
        <v>68</v>
      </c>
      <c r="U574" s="159" t="s">
        <v>68</v>
      </c>
      <c r="V574" s="159" t="s">
        <v>82</v>
      </c>
      <c r="W574" s="159" t="s">
        <v>82</v>
      </c>
      <c r="X574" s="159" t="s">
        <v>869</v>
      </c>
      <c r="Y574" s="159" t="s">
        <v>869</v>
      </c>
      <c r="Z574" s="159" t="s">
        <v>82</v>
      </c>
      <c r="AA574" s="158" t="s">
        <v>82</v>
      </c>
      <c r="AB574" s="158" t="s">
        <v>82</v>
      </c>
      <c r="AC574" s="159" t="s">
        <v>82</v>
      </c>
      <c r="AD574" s="153"/>
      <c r="AE574" s="120"/>
    </row>
    <row r="575" spans="1:31" ht="23.4" x14ac:dyDescent="0.25">
      <c r="A575" s="121" t="s">
        <v>82</v>
      </c>
      <c r="B575" s="144">
        <v>30478</v>
      </c>
      <c r="C575" s="154" t="s">
        <v>54</v>
      </c>
      <c r="D575" s="155" t="s">
        <v>1529</v>
      </c>
      <c r="E575" s="156" t="s">
        <v>1927</v>
      </c>
      <c r="F575" s="156" t="s">
        <v>1102</v>
      </c>
      <c r="G575" s="156" t="s">
        <v>14</v>
      </c>
      <c r="H575" s="157">
        <v>42516</v>
      </c>
      <c r="I575" s="158">
        <v>31</v>
      </c>
      <c r="J575" s="158" t="s">
        <v>66</v>
      </c>
      <c r="K575" s="165" t="s">
        <v>59</v>
      </c>
      <c r="L575" s="170">
        <v>44162</v>
      </c>
      <c r="M575" s="160" t="s">
        <v>67</v>
      </c>
      <c r="N575" s="159" t="s">
        <v>63</v>
      </c>
      <c r="O575" s="170">
        <v>44254</v>
      </c>
      <c r="P575" s="179">
        <v>44623</v>
      </c>
      <c r="Q575" s="159" t="s">
        <v>82</v>
      </c>
      <c r="R575" s="159" t="s">
        <v>62</v>
      </c>
      <c r="S575" s="159" t="s">
        <v>62</v>
      </c>
      <c r="T575" s="159" t="s">
        <v>62</v>
      </c>
      <c r="U575" s="159" t="s">
        <v>62</v>
      </c>
      <c r="V575" s="159" t="s">
        <v>82</v>
      </c>
      <c r="W575" s="159" t="s">
        <v>82</v>
      </c>
      <c r="X575" s="159" t="s">
        <v>869</v>
      </c>
      <c r="Y575" s="159" t="s">
        <v>869</v>
      </c>
      <c r="Z575" s="159" t="s">
        <v>82</v>
      </c>
      <c r="AA575" s="158" t="s">
        <v>82</v>
      </c>
      <c r="AB575" s="158" t="s">
        <v>82</v>
      </c>
      <c r="AC575" s="159" t="s">
        <v>82</v>
      </c>
      <c r="AD575" s="153"/>
      <c r="AE575" s="120"/>
    </row>
    <row r="576" spans="1:31" ht="23.4" x14ac:dyDescent="0.25">
      <c r="A576" s="121" t="s">
        <v>82</v>
      </c>
      <c r="B576" s="144">
        <v>30487</v>
      </c>
      <c r="C576" s="154" t="s">
        <v>64</v>
      </c>
      <c r="D576" s="155" t="s">
        <v>1530</v>
      </c>
      <c r="E576" s="156" t="s">
        <v>1927</v>
      </c>
      <c r="F576" s="156" t="s">
        <v>1102</v>
      </c>
      <c r="G576" s="156" t="s">
        <v>14</v>
      </c>
      <c r="H576" s="157">
        <v>42595</v>
      </c>
      <c r="I576" s="158">
        <v>57</v>
      </c>
      <c r="J576" s="158" t="s">
        <v>66</v>
      </c>
      <c r="K576" s="165" t="s">
        <v>59</v>
      </c>
      <c r="L576" s="170">
        <v>44112</v>
      </c>
      <c r="M576" s="160" t="s">
        <v>67</v>
      </c>
      <c r="N576" s="159" t="s">
        <v>63</v>
      </c>
      <c r="O576" s="170">
        <v>44216</v>
      </c>
      <c r="P576" s="159" t="s">
        <v>82</v>
      </c>
      <c r="Q576" s="159" t="s">
        <v>82</v>
      </c>
      <c r="R576" s="159" t="s">
        <v>68</v>
      </c>
      <c r="S576" s="159" t="s">
        <v>68</v>
      </c>
      <c r="T576" s="159" t="s">
        <v>68</v>
      </c>
      <c r="U576" s="159" t="s">
        <v>68</v>
      </c>
      <c r="V576" s="159" t="s">
        <v>82</v>
      </c>
      <c r="W576" s="159" t="s">
        <v>82</v>
      </c>
      <c r="X576" s="159" t="s">
        <v>869</v>
      </c>
      <c r="Y576" s="159" t="s">
        <v>869</v>
      </c>
      <c r="Z576" s="159" t="s">
        <v>82</v>
      </c>
      <c r="AA576" s="158" t="s">
        <v>82</v>
      </c>
      <c r="AB576" s="158" t="s">
        <v>82</v>
      </c>
      <c r="AC576" s="159" t="s">
        <v>82</v>
      </c>
      <c r="AD576" s="153"/>
      <c r="AE576" s="120"/>
    </row>
    <row r="577" spans="1:31" ht="23.4" x14ac:dyDescent="0.25">
      <c r="A577" s="121" t="s">
        <v>82</v>
      </c>
      <c r="B577" s="144">
        <v>30487</v>
      </c>
      <c r="C577" s="154" t="s">
        <v>54</v>
      </c>
      <c r="D577" s="155" t="s">
        <v>1531</v>
      </c>
      <c r="E577" s="156" t="s">
        <v>1927</v>
      </c>
      <c r="F577" s="156" t="s">
        <v>1102</v>
      </c>
      <c r="G577" s="156" t="s">
        <v>14</v>
      </c>
      <c r="H577" s="157">
        <v>42595</v>
      </c>
      <c r="I577" s="158">
        <v>56</v>
      </c>
      <c r="J577" s="158" t="s">
        <v>66</v>
      </c>
      <c r="K577" s="165" t="s">
        <v>59</v>
      </c>
      <c r="L577" s="170">
        <v>44112</v>
      </c>
      <c r="M577" s="160" t="s">
        <v>67</v>
      </c>
      <c r="N577" s="159" t="s">
        <v>63</v>
      </c>
      <c r="O577" s="170">
        <v>44216</v>
      </c>
      <c r="P577" s="159" t="s">
        <v>82</v>
      </c>
      <c r="Q577" s="159" t="s">
        <v>82</v>
      </c>
      <c r="R577" s="159" t="s">
        <v>62</v>
      </c>
      <c r="S577" s="159" t="s">
        <v>62</v>
      </c>
      <c r="T577" s="159" t="s">
        <v>62</v>
      </c>
      <c r="U577" s="159" t="s">
        <v>62</v>
      </c>
      <c r="V577" s="159" t="s">
        <v>82</v>
      </c>
      <c r="W577" s="159" t="s">
        <v>82</v>
      </c>
      <c r="X577" s="159" t="s">
        <v>869</v>
      </c>
      <c r="Y577" s="159" t="s">
        <v>869</v>
      </c>
      <c r="Z577" s="159" t="s">
        <v>82</v>
      </c>
      <c r="AA577" s="158" t="s">
        <v>82</v>
      </c>
      <c r="AB577" s="158" t="s">
        <v>82</v>
      </c>
      <c r="AC577" s="159" t="s">
        <v>82</v>
      </c>
      <c r="AD577" s="153"/>
      <c r="AE577" s="120"/>
    </row>
    <row r="578" spans="1:31" ht="23.4" x14ac:dyDescent="0.25">
      <c r="A578" s="121" t="s">
        <v>82</v>
      </c>
      <c r="B578" s="144">
        <v>30504</v>
      </c>
      <c r="C578" s="154" t="s">
        <v>64</v>
      </c>
      <c r="D578" s="155" t="s">
        <v>1532</v>
      </c>
      <c r="E578" s="156" t="s">
        <v>1927</v>
      </c>
      <c r="F578" s="156" t="s">
        <v>1102</v>
      </c>
      <c r="G578" s="156" t="s">
        <v>14</v>
      </c>
      <c r="H578" s="157">
        <v>42702</v>
      </c>
      <c r="I578" s="158">
        <v>18</v>
      </c>
      <c r="J578" s="158" t="s">
        <v>66</v>
      </c>
      <c r="K578" s="165" t="s">
        <v>59</v>
      </c>
      <c r="L578" s="170">
        <v>44092</v>
      </c>
      <c r="M578" s="160" t="s">
        <v>67</v>
      </c>
      <c r="N578" s="159" t="s">
        <v>63</v>
      </c>
      <c r="O578" s="170">
        <v>44256</v>
      </c>
      <c r="P578" s="179">
        <v>44629</v>
      </c>
      <c r="Q578" s="159" t="s">
        <v>82</v>
      </c>
      <c r="R578" s="159" t="s">
        <v>68</v>
      </c>
      <c r="S578" s="159" t="s">
        <v>68</v>
      </c>
      <c r="T578" s="159" t="s">
        <v>68</v>
      </c>
      <c r="U578" s="159" t="s">
        <v>68</v>
      </c>
      <c r="V578" s="159" t="s">
        <v>82</v>
      </c>
      <c r="W578" s="159" t="s">
        <v>82</v>
      </c>
      <c r="X578" s="159" t="s">
        <v>869</v>
      </c>
      <c r="Y578" s="159" t="s">
        <v>869</v>
      </c>
      <c r="Z578" s="159" t="s">
        <v>82</v>
      </c>
      <c r="AA578" s="158" t="s">
        <v>82</v>
      </c>
      <c r="AB578" s="158" t="s">
        <v>82</v>
      </c>
      <c r="AC578" s="159" t="s">
        <v>82</v>
      </c>
      <c r="AD578" s="153"/>
      <c r="AE578" s="120"/>
    </row>
    <row r="579" spans="1:31" ht="23.4" x14ac:dyDescent="0.25">
      <c r="A579" s="121" t="s">
        <v>82</v>
      </c>
      <c r="B579" s="144">
        <v>30504</v>
      </c>
      <c r="C579" s="154" t="s">
        <v>54</v>
      </c>
      <c r="D579" s="155" t="s">
        <v>1533</v>
      </c>
      <c r="E579" s="156" t="s">
        <v>1927</v>
      </c>
      <c r="F579" s="156" t="s">
        <v>1102</v>
      </c>
      <c r="G579" s="156" t="s">
        <v>14</v>
      </c>
      <c r="H579" s="157">
        <v>42702</v>
      </c>
      <c r="I579" s="158">
        <v>20</v>
      </c>
      <c r="J579" s="158" t="s">
        <v>66</v>
      </c>
      <c r="K579" s="165" t="s">
        <v>59</v>
      </c>
      <c r="L579" s="170">
        <v>44092</v>
      </c>
      <c r="M579" s="160" t="s">
        <v>67</v>
      </c>
      <c r="N579" s="159" t="s">
        <v>63</v>
      </c>
      <c r="O579" s="170">
        <v>44256</v>
      </c>
      <c r="P579" s="179">
        <v>44629</v>
      </c>
      <c r="Q579" s="159" t="s">
        <v>82</v>
      </c>
      <c r="R579" s="159" t="s">
        <v>62</v>
      </c>
      <c r="S579" s="159" t="s">
        <v>62</v>
      </c>
      <c r="T579" s="159" t="s">
        <v>62</v>
      </c>
      <c r="U579" s="159" t="s">
        <v>62</v>
      </c>
      <c r="V579" s="159" t="s">
        <v>82</v>
      </c>
      <c r="W579" s="159" t="s">
        <v>82</v>
      </c>
      <c r="X579" s="159" t="s">
        <v>869</v>
      </c>
      <c r="Y579" s="159" t="s">
        <v>869</v>
      </c>
      <c r="Z579" s="159" t="s">
        <v>82</v>
      </c>
      <c r="AA579" s="158" t="s">
        <v>82</v>
      </c>
      <c r="AB579" s="158" t="s">
        <v>82</v>
      </c>
      <c r="AC579" s="159" t="s">
        <v>82</v>
      </c>
      <c r="AD579" s="153"/>
      <c r="AE579" s="120"/>
    </row>
    <row r="580" spans="1:31" ht="23.4" x14ac:dyDescent="0.25">
      <c r="A580" s="121" t="s">
        <v>82</v>
      </c>
      <c r="B580" s="144">
        <v>30529</v>
      </c>
      <c r="C580" s="154" t="s">
        <v>64</v>
      </c>
      <c r="D580" s="155" t="s">
        <v>1534</v>
      </c>
      <c r="E580" s="156" t="s">
        <v>1927</v>
      </c>
      <c r="F580" s="156" t="s">
        <v>1102</v>
      </c>
      <c r="G580" s="156" t="s">
        <v>14</v>
      </c>
      <c r="H580" s="157">
        <v>42815</v>
      </c>
      <c r="I580" s="158">
        <v>73</v>
      </c>
      <c r="J580" s="158" t="s">
        <v>66</v>
      </c>
      <c r="K580" s="165" t="s">
        <v>59</v>
      </c>
      <c r="L580" s="170">
        <v>44061</v>
      </c>
      <c r="M580" s="159" t="s">
        <v>60</v>
      </c>
      <c r="N580" s="170">
        <v>44187</v>
      </c>
      <c r="O580" s="170">
        <v>44188</v>
      </c>
      <c r="P580" s="179">
        <v>44631</v>
      </c>
      <c r="Q580" s="159" t="s">
        <v>82</v>
      </c>
      <c r="R580" s="159" t="s">
        <v>68</v>
      </c>
      <c r="S580" s="159" t="s">
        <v>68</v>
      </c>
      <c r="T580" s="159" t="s">
        <v>68</v>
      </c>
      <c r="U580" s="159" t="s">
        <v>68</v>
      </c>
      <c r="V580" s="159" t="s">
        <v>82</v>
      </c>
      <c r="W580" s="159" t="s">
        <v>82</v>
      </c>
      <c r="X580" s="159" t="s">
        <v>869</v>
      </c>
      <c r="Y580" s="159" t="s">
        <v>869</v>
      </c>
      <c r="Z580" s="159" t="s">
        <v>82</v>
      </c>
      <c r="AA580" s="158" t="s">
        <v>82</v>
      </c>
      <c r="AB580" s="158" t="s">
        <v>82</v>
      </c>
      <c r="AC580" s="159" t="s">
        <v>82</v>
      </c>
      <c r="AD580" s="153"/>
      <c r="AE580" s="120"/>
    </row>
    <row r="581" spans="1:31" ht="23.4" x14ac:dyDescent="0.25">
      <c r="A581" s="121" t="s">
        <v>82</v>
      </c>
      <c r="B581" s="144">
        <v>30529</v>
      </c>
      <c r="C581" s="154" t="s">
        <v>54</v>
      </c>
      <c r="D581" s="155" t="s">
        <v>1536</v>
      </c>
      <c r="E581" s="156" t="s">
        <v>1927</v>
      </c>
      <c r="F581" s="156" t="s">
        <v>1102</v>
      </c>
      <c r="G581" s="156" t="s">
        <v>14</v>
      </c>
      <c r="H581" s="157">
        <v>42815</v>
      </c>
      <c r="I581" s="158">
        <v>75</v>
      </c>
      <c r="J581" s="158" t="s">
        <v>66</v>
      </c>
      <c r="K581" s="165" t="s">
        <v>59</v>
      </c>
      <c r="L581" s="170">
        <v>44061</v>
      </c>
      <c r="M581" s="159" t="s">
        <v>60</v>
      </c>
      <c r="N581" s="170">
        <v>44187</v>
      </c>
      <c r="O581" s="170">
        <v>44188</v>
      </c>
      <c r="P581" s="179">
        <v>44631</v>
      </c>
      <c r="Q581" s="159" t="s">
        <v>82</v>
      </c>
      <c r="R581" s="159" t="s">
        <v>62</v>
      </c>
      <c r="S581" s="159" t="s">
        <v>62</v>
      </c>
      <c r="T581" s="159" t="s">
        <v>62</v>
      </c>
      <c r="U581" s="159" t="s">
        <v>62</v>
      </c>
      <c r="V581" s="159" t="s">
        <v>82</v>
      </c>
      <c r="W581" s="159" t="s">
        <v>82</v>
      </c>
      <c r="X581" s="159" t="s">
        <v>869</v>
      </c>
      <c r="Y581" s="159" t="s">
        <v>869</v>
      </c>
      <c r="Z581" s="159" t="s">
        <v>82</v>
      </c>
      <c r="AA581" s="158" t="s">
        <v>82</v>
      </c>
      <c r="AB581" s="158" t="s">
        <v>82</v>
      </c>
      <c r="AC581" s="159" t="s">
        <v>82</v>
      </c>
      <c r="AD581" s="153"/>
      <c r="AE581" s="120"/>
    </row>
    <row r="582" spans="1:31" ht="23.4" x14ac:dyDescent="0.25">
      <c r="A582" s="121" t="s">
        <v>82</v>
      </c>
      <c r="B582" s="144">
        <v>30621</v>
      </c>
      <c r="C582" s="154" t="s">
        <v>64</v>
      </c>
      <c r="D582" s="155" t="s">
        <v>2067</v>
      </c>
      <c r="E582" s="156" t="s">
        <v>1927</v>
      </c>
      <c r="F582" s="156" t="s">
        <v>1102</v>
      </c>
      <c r="G582" s="156" t="s">
        <v>14</v>
      </c>
      <c r="H582" s="157">
        <v>43081</v>
      </c>
      <c r="I582" s="158">
        <v>128</v>
      </c>
      <c r="J582" s="158" t="s">
        <v>58</v>
      </c>
      <c r="K582" s="165" t="s">
        <v>59</v>
      </c>
      <c r="L582" s="170">
        <v>44105</v>
      </c>
      <c r="M582" s="159" t="s">
        <v>60</v>
      </c>
      <c r="N582" s="170">
        <v>44186</v>
      </c>
      <c r="O582" s="170">
        <v>44156</v>
      </c>
      <c r="P582" s="159" t="s">
        <v>82</v>
      </c>
      <c r="Q582" s="159" t="s">
        <v>82</v>
      </c>
      <c r="R582" s="159" t="s">
        <v>82</v>
      </c>
      <c r="S582" s="159" t="s">
        <v>68</v>
      </c>
      <c r="T582" s="159" t="s">
        <v>68</v>
      </c>
      <c r="U582" s="165" t="s">
        <v>82</v>
      </c>
      <c r="V582" s="159" t="s">
        <v>82</v>
      </c>
      <c r="W582" s="159" t="s">
        <v>82</v>
      </c>
      <c r="X582" s="159" t="s">
        <v>869</v>
      </c>
      <c r="Y582" s="159" t="s">
        <v>869</v>
      </c>
      <c r="Z582" s="159" t="s">
        <v>82</v>
      </c>
      <c r="AA582" s="158" t="s">
        <v>82</v>
      </c>
      <c r="AB582" s="158" t="s">
        <v>82</v>
      </c>
      <c r="AC582" s="159" t="s">
        <v>82</v>
      </c>
      <c r="AD582" s="153"/>
      <c r="AE582" s="120"/>
    </row>
    <row r="583" spans="1:31" x14ac:dyDescent="0.25">
      <c r="A583" s="121" t="s">
        <v>82</v>
      </c>
      <c r="B583" s="144">
        <v>30621</v>
      </c>
      <c r="C583" s="154" t="s">
        <v>54</v>
      </c>
      <c r="D583" s="155" t="s">
        <v>2068</v>
      </c>
      <c r="E583" s="156" t="s">
        <v>1927</v>
      </c>
      <c r="F583" s="156" t="s">
        <v>1102</v>
      </c>
      <c r="G583" s="156" t="s">
        <v>14</v>
      </c>
      <c r="H583" s="157">
        <v>43081</v>
      </c>
      <c r="I583" s="158">
        <v>162</v>
      </c>
      <c r="J583" s="158" t="s">
        <v>58</v>
      </c>
      <c r="K583" s="159" t="s">
        <v>1249</v>
      </c>
      <c r="L583" s="170">
        <v>44293</v>
      </c>
      <c r="M583" s="159" t="s">
        <v>60</v>
      </c>
      <c r="N583" s="170">
        <v>44186</v>
      </c>
      <c r="O583" s="170">
        <v>44156</v>
      </c>
      <c r="P583" s="159" t="s">
        <v>82</v>
      </c>
      <c r="Q583" s="159" t="s">
        <v>82</v>
      </c>
      <c r="R583" s="159" t="s">
        <v>82</v>
      </c>
      <c r="S583" s="159" t="s">
        <v>62</v>
      </c>
      <c r="T583" s="159" t="s">
        <v>62</v>
      </c>
      <c r="U583" s="165" t="s">
        <v>82</v>
      </c>
      <c r="V583" s="159" t="s">
        <v>82</v>
      </c>
      <c r="W583" s="159" t="s">
        <v>82</v>
      </c>
      <c r="X583" s="159" t="s">
        <v>869</v>
      </c>
      <c r="Y583" s="159" t="s">
        <v>869</v>
      </c>
      <c r="Z583" s="159" t="s">
        <v>82</v>
      </c>
      <c r="AA583" s="158" t="s">
        <v>82</v>
      </c>
      <c r="AB583" s="158" t="s">
        <v>82</v>
      </c>
      <c r="AC583" s="159" t="s">
        <v>82</v>
      </c>
      <c r="AD583" s="153"/>
      <c r="AE583" s="120"/>
    </row>
    <row r="584" spans="1:31" ht="23.4" x14ac:dyDescent="0.25">
      <c r="A584" s="121" t="s">
        <v>82</v>
      </c>
      <c r="B584" s="144">
        <v>30806</v>
      </c>
      <c r="C584" s="154" t="s">
        <v>64</v>
      </c>
      <c r="D584" s="155" t="s">
        <v>1537</v>
      </c>
      <c r="E584" s="156" t="s">
        <v>1927</v>
      </c>
      <c r="F584" s="158" t="s">
        <v>1102</v>
      </c>
      <c r="G584" s="156" t="s">
        <v>14</v>
      </c>
      <c r="H584" s="157">
        <v>44272</v>
      </c>
      <c r="I584" s="158">
        <v>993</v>
      </c>
      <c r="J584" s="158" t="s">
        <v>58</v>
      </c>
      <c r="K584" s="165" t="s">
        <v>59</v>
      </c>
      <c r="L584" s="159" t="s">
        <v>75</v>
      </c>
      <c r="M584" s="159" t="s">
        <v>60</v>
      </c>
      <c r="N584" s="159" t="s">
        <v>75</v>
      </c>
      <c r="O584" s="159" t="s">
        <v>82</v>
      </c>
      <c r="P584" s="179">
        <v>44627</v>
      </c>
      <c r="Q584" s="159" t="s">
        <v>75</v>
      </c>
      <c r="R584" s="159" t="s">
        <v>82</v>
      </c>
      <c r="S584" s="159" t="s">
        <v>68</v>
      </c>
      <c r="T584" s="159" t="s">
        <v>68</v>
      </c>
      <c r="U584" s="161" t="s">
        <v>82</v>
      </c>
      <c r="V584" s="159" t="s">
        <v>82</v>
      </c>
      <c r="W584" s="159" t="s">
        <v>75</v>
      </c>
      <c r="X584" s="159" t="s">
        <v>869</v>
      </c>
      <c r="Y584" s="159" t="s">
        <v>869</v>
      </c>
      <c r="Z584" s="159" t="s">
        <v>82</v>
      </c>
      <c r="AA584" s="158" t="s">
        <v>82</v>
      </c>
      <c r="AB584" s="158" t="s">
        <v>82</v>
      </c>
      <c r="AC584" s="159" t="s">
        <v>82</v>
      </c>
      <c r="AD584" s="153"/>
      <c r="AE584" s="120"/>
    </row>
    <row r="585" spans="1:31" ht="23.4" x14ac:dyDescent="0.25">
      <c r="A585" s="121" t="s">
        <v>82</v>
      </c>
      <c r="B585" s="144">
        <v>30806</v>
      </c>
      <c r="C585" s="154" t="s">
        <v>54</v>
      </c>
      <c r="D585" s="155" t="s">
        <v>1539</v>
      </c>
      <c r="E585" s="156" t="s">
        <v>1927</v>
      </c>
      <c r="F585" s="158" t="s">
        <v>1102</v>
      </c>
      <c r="G585" s="156" t="s">
        <v>14</v>
      </c>
      <c r="H585" s="157">
        <v>44272</v>
      </c>
      <c r="I585" s="158">
        <v>987</v>
      </c>
      <c r="J585" s="158" t="s">
        <v>58</v>
      </c>
      <c r="K585" s="165" t="s">
        <v>59</v>
      </c>
      <c r="L585" s="159" t="s">
        <v>75</v>
      </c>
      <c r="M585" s="159" t="s">
        <v>60</v>
      </c>
      <c r="N585" s="159" t="s">
        <v>75</v>
      </c>
      <c r="O585" s="159" t="s">
        <v>82</v>
      </c>
      <c r="P585" s="179">
        <v>44627</v>
      </c>
      <c r="Q585" s="159" t="s">
        <v>75</v>
      </c>
      <c r="R585" s="159" t="s">
        <v>82</v>
      </c>
      <c r="S585" s="159" t="s">
        <v>62</v>
      </c>
      <c r="T585" s="159" t="s">
        <v>62</v>
      </c>
      <c r="U585" s="161" t="s">
        <v>82</v>
      </c>
      <c r="V585" s="159" t="s">
        <v>82</v>
      </c>
      <c r="W585" s="159" t="s">
        <v>75</v>
      </c>
      <c r="X585" s="159" t="s">
        <v>869</v>
      </c>
      <c r="Y585" s="159" t="s">
        <v>869</v>
      </c>
      <c r="Z585" s="159" t="s">
        <v>82</v>
      </c>
      <c r="AA585" s="158" t="s">
        <v>82</v>
      </c>
      <c r="AB585" s="158" t="s">
        <v>82</v>
      </c>
      <c r="AC585" s="159" t="s">
        <v>82</v>
      </c>
      <c r="AD585" s="153"/>
      <c r="AE585" s="120"/>
    </row>
    <row r="586" spans="1:31" ht="23.4" x14ac:dyDescent="0.25">
      <c r="A586" s="121" t="s">
        <v>82</v>
      </c>
      <c r="B586" s="144">
        <v>37005</v>
      </c>
      <c r="C586" s="154" t="s">
        <v>64</v>
      </c>
      <c r="D586" s="155" t="s">
        <v>1541</v>
      </c>
      <c r="E586" s="156" t="s">
        <v>1927</v>
      </c>
      <c r="F586" s="156" t="s">
        <v>1102</v>
      </c>
      <c r="G586" s="156" t="s">
        <v>14</v>
      </c>
      <c r="H586" s="172">
        <v>43281</v>
      </c>
      <c r="I586" s="158">
        <v>183</v>
      </c>
      <c r="J586" s="158" t="s">
        <v>58</v>
      </c>
      <c r="K586" s="165" t="s">
        <v>59</v>
      </c>
      <c r="L586" s="170">
        <v>44224</v>
      </c>
      <c r="M586" s="159" t="s">
        <v>60</v>
      </c>
      <c r="N586" s="170">
        <v>44173</v>
      </c>
      <c r="O586" s="170">
        <v>44040</v>
      </c>
      <c r="P586" s="159" t="s">
        <v>82</v>
      </c>
      <c r="Q586" s="159" t="s">
        <v>82</v>
      </c>
      <c r="R586" s="159" t="s">
        <v>68</v>
      </c>
      <c r="S586" s="159" t="s">
        <v>68</v>
      </c>
      <c r="T586" s="159" t="s">
        <v>68</v>
      </c>
      <c r="U586" s="165" t="s">
        <v>82</v>
      </c>
      <c r="V586" s="159" t="s">
        <v>82</v>
      </c>
      <c r="W586" s="159" t="s">
        <v>82</v>
      </c>
      <c r="X586" s="159" t="s">
        <v>869</v>
      </c>
      <c r="Y586" s="159" t="s">
        <v>869</v>
      </c>
      <c r="Z586" s="159" t="s">
        <v>82</v>
      </c>
      <c r="AA586" s="158" t="s">
        <v>82</v>
      </c>
      <c r="AB586" s="158" t="s">
        <v>82</v>
      </c>
      <c r="AC586" s="159" t="s">
        <v>82</v>
      </c>
      <c r="AD586" s="153"/>
      <c r="AE586" s="120"/>
    </row>
    <row r="587" spans="1:31" ht="23.4" x14ac:dyDescent="0.25">
      <c r="A587" s="121" t="s">
        <v>82</v>
      </c>
      <c r="B587" s="144">
        <v>37005</v>
      </c>
      <c r="C587" s="154" t="s">
        <v>54</v>
      </c>
      <c r="D587" s="155" t="s">
        <v>1545</v>
      </c>
      <c r="E587" s="156" t="s">
        <v>1927</v>
      </c>
      <c r="F587" s="156" t="s">
        <v>1102</v>
      </c>
      <c r="G587" s="156" t="s">
        <v>14</v>
      </c>
      <c r="H587" s="172">
        <v>43281</v>
      </c>
      <c r="I587" s="158">
        <v>181</v>
      </c>
      <c r="J587" s="158" t="s">
        <v>58</v>
      </c>
      <c r="K587" s="165" t="s">
        <v>59</v>
      </c>
      <c r="L587" s="170">
        <v>44224</v>
      </c>
      <c r="M587" s="159" t="s">
        <v>60</v>
      </c>
      <c r="N587" s="170">
        <v>44173</v>
      </c>
      <c r="O587" s="170">
        <v>44040</v>
      </c>
      <c r="P587" s="159" t="s">
        <v>82</v>
      </c>
      <c r="Q587" s="159" t="s">
        <v>82</v>
      </c>
      <c r="R587" s="159" t="s">
        <v>62</v>
      </c>
      <c r="S587" s="159" t="s">
        <v>62</v>
      </c>
      <c r="T587" s="159" t="s">
        <v>62</v>
      </c>
      <c r="U587" s="165" t="s">
        <v>82</v>
      </c>
      <c r="V587" s="159" t="s">
        <v>82</v>
      </c>
      <c r="W587" s="159" t="s">
        <v>82</v>
      </c>
      <c r="X587" s="159" t="s">
        <v>869</v>
      </c>
      <c r="Y587" s="159" t="s">
        <v>869</v>
      </c>
      <c r="Z587" s="159" t="s">
        <v>82</v>
      </c>
      <c r="AA587" s="158" t="s">
        <v>82</v>
      </c>
      <c r="AB587" s="158" t="s">
        <v>82</v>
      </c>
      <c r="AC587" s="159" t="s">
        <v>82</v>
      </c>
      <c r="AD587" s="153"/>
      <c r="AE587" s="120"/>
    </row>
    <row r="588" spans="1:31" ht="23.4" x14ac:dyDescent="0.25">
      <c r="A588" s="121" t="s">
        <v>82</v>
      </c>
      <c r="B588" s="144">
        <v>37024</v>
      </c>
      <c r="C588" s="154" t="s">
        <v>64</v>
      </c>
      <c r="D588" s="155" t="s">
        <v>1546</v>
      </c>
      <c r="E588" s="156" t="s">
        <v>1927</v>
      </c>
      <c r="F588" s="156" t="s">
        <v>1102</v>
      </c>
      <c r="G588" s="156" t="s">
        <v>14</v>
      </c>
      <c r="H588" s="172">
        <v>43367</v>
      </c>
      <c r="I588" s="158">
        <v>195</v>
      </c>
      <c r="J588" s="158" t="s">
        <v>58</v>
      </c>
      <c r="K588" s="165" t="s">
        <v>59</v>
      </c>
      <c r="L588" s="170">
        <v>44059</v>
      </c>
      <c r="M588" s="159" t="s">
        <v>60</v>
      </c>
      <c r="N588" s="170">
        <v>44190</v>
      </c>
      <c r="O588" s="159" t="s">
        <v>82</v>
      </c>
      <c r="P588" s="159" t="s">
        <v>82</v>
      </c>
      <c r="Q588" s="159" t="s">
        <v>82</v>
      </c>
      <c r="R588" s="159" t="s">
        <v>82</v>
      </c>
      <c r="S588" s="159" t="s">
        <v>68</v>
      </c>
      <c r="T588" s="159" t="s">
        <v>68</v>
      </c>
      <c r="U588" s="165" t="s">
        <v>82</v>
      </c>
      <c r="V588" s="159" t="s">
        <v>82</v>
      </c>
      <c r="W588" s="159" t="s">
        <v>82</v>
      </c>
      <c r="X588" s="159" t="s">
        <v>869</v>
      </c>
      <c r="Y588" s="159" t="s">
        <v>869</v>
      </c>
      <c r="Z588" s="159" t="s">
        <v>82</v>
      </c>
      <c r="AA588" s="158" t="s">
        <v>82</v>
      </c>
      <c r="AB588" s="158" t="s">
        <v>82</v>
      </c>
      <c r="AC588" s="159" t="s">
        <v>82</v>
      </c>
      <c r="AD588" s="153"/>
      <c r="AE588" s="120"/>
    </row>
    <row r="589" spans="1:31" ht="23.4" x14ac:dyDescent="0.25">
      <c r="A589" s="121" t="s">
        <v>82</v>
      </c>
      <c r="B589" s="144">
        <v>37024</v>
      </c>
      <c r="C589" s="154" t="s">
        <v>54</v>
      </c>
      <c r="D589" s="155" t="s">
        <v>1547</v>
      </c>
      <c r="E589" s="156" t="s">
        <v>1927</v>
      </c>
      <c r="F589" s="156" t="s">
        <v>1102</v>
      </c>
      <c r="G589" s="156" t="s">
        <v>14</v>
      </c>
      <c r="H589" s="172">
        <v>43367</v>
      </c>
      <c r="I589" s="158">
        <v>194</v>
      </c>
      <c r="J589" s="158" t="s">
        <v>58</v>
      </c>
      <c r="K589" s="165" t="s">
        <v>59</v>
      </c>
      <c r="L589" s="170">
        <v>44059</v>
      </c>
      <c r="M589" s="159" t="s">
        <v>60</v>
      </c>
      <c r="N589" s="170">
        <v>44190</v>
      </c>
      <c r="O589" s="159" t="s">
        <v>82</v>
      </c>
      <c r="P589" s="159" t="s">
        <v>82</v>
      </c>
      <c r="Q589" s="159" t="s">
        <v>82</v>
      </c>
      <c r="R589" s="159" t="s">
        <v>82</v>
      </c>
      <c r="S589" s="159" t="s">
        <v>62</v>
      </c>
      <c r="T589" s="159" t="s">
        <v>62</v>
      </c>
      <c r="U589" s="165" t="s">
        <v>82</v>
      </c>
      <c r="V589" s="159" t="s">
        <v>82</v>
      </c>
      <c r="W589" s="159" t="s">
        <v>82</v>
      </c>
      <c r="X589" s="159" t="s">
        <v>869</v>
      </c>
      <c r="Y589" s="159" t="s">
        <v>869</v>
      </c>
      <c r="Z589" s="159" t="s">
        <v>82</v>
      </c>
      <c r="AA589" s="158" t="s">
        <v>82</v>
      </c>
      <c r="AB589" s="158" t="s">
        <v>82</v>
      </c>
      <c r="AC589" s="159" t="s">
        <v>82</v>
      </c>
      <c r="AD589" s="153"/>
      <c r="AE589" s="120"/>
    </row>
    <row r="590" spans="1:31" ht="23.4" x14ac:dyDescent="0.25">
      <c r="A590" s="121" t="s">
        <v>82</v>
      </c>
      <c r="B590" s="144">
        <v>37025</v>
      </c>
      <c r="C590" s="154" t="s">
        <v>64</v>
      </c>
      <c r="D590" s="155" t="s">
        <v>1549</v>
      </c>
      <c r="E590" s="156" t="s">
        <v>1927</v>
      </c>
      <c r="F590" s="156" t="s">
        <v>1102</v>
      </c>
      <c r="G590" s="156" t="s">
        <v>14</v>
      </c>
      <c r="H590" s="172">
        <v>43367</v>
      </c>
      <c r="I590" s="158">
        <v>186</v>
      </c>
      <c r="J590" s="158" t="s">
        <v>58</v>
      </c>
      <c r="K590" s="165" t="s">
        <v>59</v>
      </c>
      <c r="L590" s="170">
        <v>44061</v>
      </c>
      <c r="M590" s="159" t="s">
        <v>60</v>
      </c>
      <c r="N590" s="170">
        <v>44210</v>
      </c>
      <c r="O590" s="159" t="s">
        <v>82</v>
      </c>
      <c r="P590" s="179">
        <v>44621</v>
      </c>
      <c r="Q590" s="159" t="s">
        <v>82</v>
      </c>
      <c r="R590" s="159" t="s">
        <v>68</v>
      </c>
      <c r="S590" s="159" t="s">
        <v>68</v>
      </c>
      <c r="T590" s="159" t="s">
        <v>68</v>
      </c>
      <c r="U590" s="159" t="s">
        <v>68</v>
      </c>
      <c r="V590" s="159" t="s">
        <v>82</v>
      </c>
      <c r="W590" s="159" t="s">
        <v>82</v>
      </c>
      <c r="X590" s="159" t="s">
        <v>869</v>
      </c>
      <c r="Y590" s="159" t="s">
        <v>869</v>
      </c>
      <c r="Z590" s="159" t="s">
        <v>82</v>
      </c>
      <c r="AA590" s="158" t="s">
        <v>82</v>
      </c>
      <c r="AB590" s="158" t="s">
        <v>82</v>
      </c>
      <c r="AC590" s="159" t="s">
        <v>82</v>
      </c>
      <c r="AD590" s="153"/>
      <c r="AE590" s="120"/>
    </row>
    <row r="591" spans="1:31" ht="23.4" x14ac:dyDescent="0.25">
      <c r="A591" s="121" t="s">
        <v>82</v>
      </c>
      <c r="B591" s="144">
        <v>37025</v>
      </c>
      <c r="C591" s="154" t="s">
        <v>54</v>
      </c>
      <c r="D591" s="155" t="s">
        <v>1551</v>
      </c>
      <c r="E591" s="156" t="s">
        <v>1927</v>
      </c>
      <c r="F591" s="156" t="s">
        <v>1102</v>
      </c>
      <c r="G591" s="156" t="s">
        <v>14</v>
      </c>
      <c r="H591" s="172">
        <v>43367</v>
      </c>
      <c r="I591" s="158">
        <v>189</v>
      </c>
      <c r="J591" s="158" t="s">
        <v>58</v>
      </c>
      <c r="K591" s="165" t="s">
        <v>59</v>
      </c>
      <c r="L591" s="170">
        <v>44061</v>
      </c>
      <c r="M591" s="159" t="s">
        <v>60</v>
      </c>
      <c r="N591" s="170">
        <v>44303</v>
      </c>
      <c r="O591" s="159" t="s">
        <v>82</v>
      </c>
      <c r="P591" s="179">
        <v>44621</v>
      </c>
      <c r="Q591" s="159" t="s">
        <v>82</v>
      </c>
      <c r="R591" s="159" t="s">
        <v>62</v>
      </c>
      <c r="S591" s="159" t="s">
        <v>62</v>
      </c>
      <c r="T591" s="159" t="s">
        <v>62</v>
      </c>
      <c r="U591" s="159" t="s">
        <v>62</v>
      </c>
      <c r="V591" s="159" t="s">
        <v>82</v>
      </c>
      <c r="W591" s="159" t="s">
        <v>82</v>
      </c>
      <c r="X591" s="159" t="s">
        <v>869</v>
      </c>
      <c r="Y591" s="159" t="s">
        <v>869</v>
      </c>
      <c r="Z591" s="159" t="s">
        <v>82</v>
      </c>
      <c r="AA591" s="158" t="s">
        <v>82</v>
      </c>
      <c r="AB591" s="158" t="s">
        <v>82</v>
      </c>
      <c r="AC591" s="159" t="s">
        <v>82</v>
      </c>
      <c r="AD591" s="153"/>
      <c r="AE591" s="120"/>
    </row>
    <row r="592" spans="1:31" ht="23.4" x14ac:dyDescent="0.25">
      <c r="A592" s="121" t="s">
        <v>82</v>
      </c>
      <c r="B592" s="144">
        <v>37080</v>
      </c>
      <c r="C592" s="154" t="s">
        <v>64</v>
      </c>
      <c r="D592" s="155" t="s">
        <v>1552</v>
      </c>
      <c r="E592" s="156" t="s">
        <v>1927</v>
      </c>
      <c r="F592" s="156" t="s">
        <v>1102</v>
      </c>
      <c r="G592" s="156" t="s">
        <v>14</v>
      </c>
      <c r="H592" s="157">
        <v>43487</v>
      </c>
      <c r="I592" s="158">
        <v>269</v>
      </c>
      <c r="J592" s="158" t="s">
        <v>58</v>
      </c>
      <c r="K592" s="165" t="s">
        <v>59</v>
      </c>
      <c r="L592" s="170">
        <v>44061</v>
      </c>
      <c r="M592" s="159" t="s">
        <v>60</v>
      </c>
      <c r="N592" s="170">
        <v>44181</v>
      </c>
      <c r="O592" s="159" t="s">
        <v>82</v>
      </c>
      <c r="P592" s="159" t="s">
        <v>82</v>
      </c>
      <c r="Q592" s="159" t="s">
        <v>82</v>
      </c>
      <c r="R592" s="159" t="s">
        <v>82</v>
      </c>
      <c r="S592" s="159" t="s">
        <v>68</v>
      </c>
      <c r="T592" s="159" t="s">
        <v>68</v>
      </c>
      <c r="U592" s="165" t="s">
        <v>82</v>
      </c>
      <c r="V592" s="159" t="s">
        <v>82</v>
      </c>
      <c r="W592" s="159" t="s">
        <v>82</v>
      </c>
      <c r="X592" s="159" t="s">
        <v>869</v>
      </c>
      <c r="Y592" s="159" t="s">
        <v>869</v>
      </c>
      <c r="Z592" s="159" t="s">
        <v>82</v>
      </c>
      <c r="AA592" s="158" t="s">
        <v>82</v>
      </c>
      <c r="AB592" s="158" t="s">
        <v>82</v>
      </c>
      <c r="AC592" s="159" t="s">
        <v>82</v>
      </c>
      <c r="AD592" s="153"/>
      <c r="AE592" s="120"/>
    </row>
    <row r="593" spans="1:31" ht="23.4" x14ac:dyDescent="0.25">
      <c r="A593" s="121" t="s">
        <v>82</v>
      </c>
      <c r="B593" s="144">
        <v>37080</v>
      </c>
      <c r="C593" s="154" t="s">
        <v>54</v>
      </c>
      <c r="D593" s="155" t="s">
        <v>1555</v>
      </c>
      <c r="E593" s="156" t="s">
        <v>1927</v>
      </c>
      <c r="F593" s="156" t="s">
        <v>1102</v>
      </c>
      <c r="G593" s="156" t="s">
        <v>14</v>
      </c>
      <c r="H593" s="157">
        <v>43487</v>
      </c>
      <c r="I593" s="158">
        <v>268</v>
      </c>
      <c r="J593" s="158" t="s">
        <v>58</v>
      </c>
      <c r="K593" s="165" t="s">
        <v>59</v>
      </c>
      <c r="L593" s="170">
        <v>44061</v>
      </c>
      <c r="M593" s="159" t="s">
        <v>60</v>
      </c>
      <c r="N593" s="170">
        <v>44181</v>
      </c>
      <c r="O593" s="159" t="s">
        <v>82</v>
      </c>
      <c r="P593" s="159" t="s">
        <v>82</v>
      </c>
      <c r="Q593" s="159" t="s">
        <v>82</v>
      </c>
      <c r="R593" s="159" t="s">
        <v>82</v>
      </c>
      <c r="S593" s="159" t="s">
        <v>62</v>
      </c>
      <c r="T593" s="159" t="s">
        <v>62</v>
      </c>
      <c r="U593" s="165" t="s">
        <v>82</v>
      </c>
      <c r="V593" s="159" t="s">
        <v>82</v>
      </c>
      <c r="W593" s="159" t="s">
        <v>82</v>
      </c>
      <c r="X593" s="159" t="s">
        <v>869</v>
      </c>
      <c r="Y593" s="159" t="s">
        <v>869</v>
      </c>
      <c r="Z593" s="159" t="s">
        <v>82</v>
      </c>
      <c r="AA593" s="158" t="s">
        <v>82</v>
      </c>
      <c r="AB593" s="158" t="s">
        <v>82</v>
      </c>
      <c r="AC593" s="159" t="s">
        <v>82</v>
      </c>
      <c r="AD593" s="153"/>
      <c r="AE593" s="120"/>
    </row>
    <row r="594" spans="1:31" ht="23.4" x14ac:dyDescent="0.25">
      <c r="A594" s="121" t="s">
        <v>82</v>
      </c>
      <c r="B594" s="144">
        <v>37116</v>
      </c>
      <c r="C594" s="154" t="s">
        <v>64</v>
      </c>
      <c r="D594" s="155" t="s">
        <v>1557</v>
      </c>
      <c r="E594" s="156" t="s">
        <v>1927</v>
      </c>
      <c r="F594" s="156" t="s">
        <v>1102</v>
      </c>
      <c r="G594" s="156" t="s">
        <v>14</v>
      </c>
      <c r="H594" s="157">
        <v>43542</v>
      </c>
      <c r="I594" s="158">
        <v>370</v>
      </c>
      <c r="J594" s="158" t="s">
        <v>58</v>
      </c>
      <c r="K594" s="165" t="s">
        <v>59</v>
      </c>
      <c r="L594" s="170">
        <v>44090</v>
      </c>
      <c r="M594" s="159" t="s">
        <v>60</v>
      </c>
      <c r="N594" s="170">
        <v>44273</v>
      </c>
      <c r="O594" s="159" t="s">
        <v>82</v>
      </c>
      <c r="P594" s="159" t="s">
        <v>82</v>
      </c>
      <c r="Q594" s="159" t="s">
        <v>82</v>
      </c>
      <c r="R594" s="159" t="s">
        <v>68</v>
      </c>
      <c r="S594" s="159" t="s">
        <v>68</v>
      </c>
      <c r="T594" s="159" t="s">
        <v>68</v>
      </c>
      <c r="U594" s="165" t="s">
        <v>82</v>
      </c>
      <c r="V594" s="159" t="s">
        <v>82</v>
      </c>
      <c r="W594" s="159" t="s">
        <v>82</v>
      </c>
      <c r="X594" s="159" t="s">
        <v>869</v>
      </c>
      <c r="Y594" s="159" t="s">
        <v>869</v>
      </c>
      <c r="Z594" s="159" t="s">
        <v>82</v>
      </c>
      <c r="AA594" s="158" t="s">
        <v>82</v>
      </c>
      <c r="AB594" s="158" t="s">
        <v>82</v>
      </c>
      <c r="AC594" s="159" t="s">
        <v>82</v>
      </c>
      <c r="AD594" s="153"/>
      <c r="AE594" s="120"/>
    </row>
    <row r="595" spans="1:31" ht="23.4" x14ac:dyDescent="0.25">
      <c r="A595" s="121" t="s">
        <v>82</v>
      </c>
      <c r="B595" s="144">
        <v>37116</v>
      </c>
      <c r="C595" s="154" t="s">
        <v>54</v>
      </c>
      <c r="D595" s="155" t="s">
        <v>1559</v>
      </c>
      <c r="E595" s="156" t="s">
        <v>1927</v>
      </c>
      <c r="F595" s="156" t="s">
        <v>1102</v>
      </c>
      <c r="G595" s="156" t="s">
        <v>14</v>
      </c>
      <c r="H595" s="157">
        <v>43542</v>
      </c>
      <c r="I595" s="158">
        <v>371</v>
      </c>
      <c r="J595" s="158" t="s">
        <v>58</v>
      </c>
      <c r="K595" s="165" t="s">
        <v>59</v>
      </c>
      <c r="L595" s="170">
        <v>44090</v>
      </c>
      <c r="M595" s="159" t="s">
        <v>60</v>
      </c>
      <c r="N595" s="170">
        <v>44181</v>
      </c>
      <c r="O595" s="159" t="s">
        <v>82</v>
      </c>
      <c r="P595" s="159" t="s">
        <v>82</v>
      </c>
      <c r="Q595" s="159" t="s">
        <v>82</v>
      </c>
      <c r="R595" s="159" t="s">
        <v>62</v>
      </c>
      <c r="S595" s="159" t="s">
        <v>62</v>
      </c>
      <c r="T595" s="159" t="s">
        <v>62</v>
      </c>
      <c r="U595" s="165" t="s">
        <v>82</v>
      </c>
      <c r="V595" s="159" t="s">
        <v>82</v>
      </c>
      <c r="W595" s="159" t="s">
        <v>82</v>
      </c>
      <c r="X595" s="159" t="s">
        <v>869</v>
      </c>
      <c r="Y595" s="159" t="s">
        <v>869</v>
      </c>
      <c r="Z595" s="159" t="s">
        <v>82</v>
      </c>
      <c r="AA595" s="158" t="s">
        <v>82</v>
      </c>
      <c r="AB595" s="158" t="s">
        <v>82</v>
      </c>
      <c r="AC595" s="159" t="s">
        <v>82</v>
      </c>
      <c r="AD595" s="153"/>
      <c r="AE595" s="120"/>
    </row>
    <row r="596" spans="1:31" ht="23.4" x14ac:dyDescent="0.25">
      <c r="A596" s="121" t="s">
        <v>82</v>
      </c>
      <c r="B596" s="144">
        <v>37120</v>
      </c>
      <c r="C596" s="154" t="s">
        <v>64</v>
      </c>
      <c r="D596" s="155" t="s">
        <v>1560</v>
      </c>
      <c r="E596" s="156" t="s">
        <v>1927</v>
      </c>
      <c r="F596" s="156" t="s">
        <v>1102</v>
      </c>
      <c r="G596" s="156" t="s">
        <v>14</v>
      </c>
      <c r="H596" s="157">
        <v>43547</v>
      </c>
      <c r="I596" s="158">
        <v>411</v>
      </c>
      <c r="J596" s="158" t="s">
        <v>58</v>
      </c>
      <c r="K596" s="165" t="s">
        <v>59</v>
      </c>
      <c r="L596" s="170">
        <v>44090</v>
      </c>
      <c r="M596" s="159" t="s">
        <v>60</v>
      </c>
      <c r="N596" s="170">
        <v>44219</v>
      </c>
      <c r="O596" s="159" t="s">
        <v>82</v>
      </c>
      <c r="P596" s="159" t="s">
        <v>82</v>
      </c>
      <c r="Q596" s="159" t="s">
        <v>82</v>
      </c>
      <c r="R596" s="159" t="s">
        <v>82</v>
      </c>
      <c r="S596" s="159" t="s">
        <v>68</v>
      </c>
      <c r="T596" s="159" t="s">
        <v>68</v>
      </c>
      <c r="U596" s="165" t="s">
        <v>82</v>
      </c>
      <c r="V596" s="159" t="s">
        <v>82</v>
      </c>
      <c r="W596" s="159" t="s">
        <v>82</v>
      </c>
      <c r="X596" s="159" t="s">
        <v>869</v>
      </c>
      <c r="Y596" s="159" t="s">
        <v>869</v>
      </c>
      <c r="Z596" s="159" t="s">
        <v>82</v>
      </c>
      <c r="AA596" s="158" t="s">
        <v>82</v>
      </c>
      <c r="AB596" s="158" t="s">
        <v>82</v>
      </c>
      <c r="AC596" s="159" t="s">
        <v>82</v>
      </c>
      <c r="AD596" s="153"/>
      <c r="AE596" s="120"/>
    </row>
    <row r="597" spans="1:31" ht="23.4" x14ac:dyDescent="0.25">
      <c r="A597" s="121" t="s">
        <v>82</v>
      </c>
      <c r="B597" s="144">
        <v>37120</v>
      </c>
      <c r="C597" s="154" t="s">
        <v>54</v>
      </c>
      <c r="D597" s="155" t="s">
        <v>1562</v>
      </c>
      <c r="E597" s="156" t="s">
        <v>1927</v>
      </c>
      <c r="F597" s="156" t="s">
        <v>1102</v>
      </c>
      <c r="G597" s="156" t="s">
        <v>14</v>
      </c>
      <c r="H597" s="157">
        <v>43547</v>
      </c>
      <c r="I597" s="158">
        <v>343</v>
      </c>
      <c r="J597" s="158" t="s">
        <v>58</v>
      </c>
      <c r="K597" s="165" t="s">
        <v>59</v>
      </c>
      <c r="L597" s="170">
        <v>44090</v>
      </c>
      <c r="M597" s="159" t="s">
        <v>60</v>
      </c>
      <c r="N597" s="170">
        <v>44199</v>
      </c>
      <c r="O597" s="159" t="s">
        <v>82</v>
      </c>
      <c r="P597" s="159" t="s">
        <v>82</v>
      </c>
      <c r="Q597" s="159" t="s">
        <v>82</v>
      </c>
      <c r="R597" s="159" t="s">
        <v>82</v>
      </c>
      <c r="S597" s="159" t="s">
        <v>62</v>
      </c>
      <c r="T597" s="159" t="s">
        <v>62</v>
      </c>
      <c r="U597" s="165" t="s">
        <v>82</v>
      </c>
      <c r="V597" s="159" t="s">
        <v>82</v>
      </c>
      <c r="W597" s="159" t="s">
        <v>82</v>
      </c>
      <c r="X597" s="159" t="s">
        <v>869</v>
      </c>
      <c r="Y597" s="159" t="s">
        <v>869</v>
      </c>
      <c r="Z597" s="159" t="s">
        <v>82</v>
      </c>
      <c r="AA597" s="158" t="s">
        <v>82</v>
      </c>
      <c r="AB597" s="158" t="s">
        <v>82</v>
      </c>
      <c r="AC597" s="159" t="s">
        <v>82</v>
      </c>
      <c r="AD597" s="153"/>
      <c r="AE597" s="120"/>
    </row>
    <row r="598" spans="1:31" ht="23.4" x14ac:dyDescent="0.25">
      <c r="A598" s="121" t="s">
        <v>82</v>
      </c>
      <c r="B598" s="144">
        <v>37168</v>
      </c>
      <c r="C598" s="154" t="s">
        <v>64</v>
      </c>
      <c r="D598" s="155" t="s">
        <v>1564</v>
      </c>
      <c r="E598" s="156" t="s">
        <v>1927</v>
      </c>
      <c r="F598" s="156" t="s">
        <v>1102</v>
      </c>
      <c r="G598" s="156" t="s">
        <v>14</v>
      </c>
      <c r="H598" s="172">
        <v>43599</v>
      </c>
      <c r="I598" s="158">
        <v>446</v>
      </c>
      <c r="J598" s="158" t="s">
        <v>58</v>
      </c>
      <c r="K598" s="165" t="s">
        <v>59</v>
      </c>
      <c r="L598" s="170">
        <v>44112</v>
      </c>
      <c r="M598" s="159" t="s">
        <v>60</v>
      </c>
      <c r="N598" s="170">
        <v>44312</v>
      </c>
      <c r="O598" s="159" t="s">
        <v>82</v>
      </c>
      <c r="P598" s="179">
        <v>44638</v>
      </c>
      <c r="Q598" s="159" t="s">
        <v>82</v>
      </c>
      <c r="R598" s="159" t="s">
        <v>82</v>
      </c>
      <c r="S598" s="159" t="s">
        <v>68</v>
      </c>
      <c r="T598" s="159" t="s">
        <v>68</v>
      </c>
      <c r="U598" s="165" t="s">
        <v>82</v>
      </c>
      <c r="V598" s="159" t="s">
        <v>82</v>
      </c>
      <c r="W598" s="159" t="s">
        <v>82</v>
      </c>
      <c r="X598" s="159" t="s">
        <v>869</v>
      </c>
      <c r="Y598" s="159" t="s">
        <v>869</v>
      </c>
      <c r="Z598" s="159" t="s">
        <v>82</v>
      </c>
      <c r="AA598" s="158" t="s">
        <v>82</v>
      </c>
      <c r="AB598" s="158" t="s">
        <v>82</v>
      </c>
      <c r="AC598" s="159" t="s">
        <v>82</v>
      </c>
      <c r="AD598" s="153"/>
      <c r="AE598" s="120"/>
    </row>
    <row r="599" spans="1:31" ht="23.4" x14ac:dyDescent="0.25">
      <c r="A599" s="121" t="s">
        <v>82</v>
      </c>
      <c r="B599" s="144">
        <v>37168</v>
      </c>
      <c r="C599" s="154" t="s">
        <v>54</v>
      </c>
      <c r="D599" s="155" t="s">
        <v>1566</v>
      </c>
      <c r="E599" s="156" t="s">
        <v>1927</v>
      </c>
      <c r="F599" s="156" t="s">
        <v>1102</v>
      </c>
      <c r="G599" s="156" t="s">
        <v>14</v>
      </c>
      <c r="H599" s="172">
        <v>43599</v>
      </c>
      <c r="I599" s="158">
        <v>447</v>
      </c>
      <c r="J599" s="158" t="s">
        <v>58</v>
      </c>
      <c r="K599" s="165" t="s">
        <v>59</v>
      </c>
      <c r="L599" s="170">
        <v>44112</v>
      </c>
      <c r="M599" s="159" t="s">
        <v>60</v>
      </c>
      <c r="N599" s="170">
        <v>44183</v>
      </c>
      <c r="O599" s="159" t="s">
        <v>82</v>
      </c>
      <c r="P599" s="179">
        <v>44638</v>
      </c>
      <c r="Q599" s="159" t="s">
        <v>82</v>
      </c>
      <c r="R599" s="159" t="s">
        <v>82</v>
      </c>
      <c r="S599" s="159" t="s">
        <v>62</v>
      </c>
      <c r="T599" s="159" t="s">
        <v>62</v>
      </c>
      <c r="U599" s="165" t="s">
        <v>82</v>
      </c>
      <c r="V599" s="159" t="s">
        <v>82</v>
      </c>
      <c r="W599" s="159" t="s">
        <v>82</v>
      </c>
      <c r="X599" s="159" t="s">
        <v>869</v>
      </c>
      <c r="Y599" s="159" t="s">
        <v>869</v>
      </c>
      <c r="Z599" s="159" t="s">
        <v>82</v>
      </c>
      <c r="AA599" s="158" t="s">
        <v>82</v>
      </c>
      <c r="AB599" s="158" t="s">
        <v>82</v>
      </c>
      <c r="AC599" s="159" t="s">
        <v>82</v>
      </c>
      <c r="AD599" s="153"/>
      <c r="AE599" s="120"/>
    </row>
    <row r="600" spans="1:31" ht="23.4" x14ac:dyDescent="0.25">
      <c r="A600" s="121" t="s">
        <v>82</v>
      </c>
      <c r="B600" s="144">
        <v>37169</v>
      </c>
      <c r="C600" s="154" t="s">
        <v>64</v>
      </c>
      <c r="D600" s="155" t="s">
        <v>1567</v>
      </c>
      <c r="E600" s="156" t="s">
        <v>1927</v>
      </c>
      <c r="F600" s="156" t="s">
        <v>1102</v>
      </c>
      <c r="G600" s="156" t="s">
        <v>14</v>
      </c>
      <c r="H600" s="172">
        <v>43599</v>
      </c>
      <c r="I600" s="158">
        <v>436</v>
      </c>
      <c r="J600" s="158" t="s">
        <v>58</v>
      </c>
      <c r="K600" s="165" t="s">
        <v>59</v>
      </c>
      <c r="L600" s="170">
        <v>44056</v>
      </c>
      <c r="M600" s="159" t="s">
        <v>60</v>
      </c>
      <c r="N600" s="170">
        <v>44193</v>
      </c>
      <c r="O600" s="159" t="s">
        <v>82</v>
      </c>
      <c r="P600" s="159" t="s">
        <v>82</v>
      </c>
      <c r="Q600" s="159" t="s">
        <v>82</v>
      </c>
      <c r="R600" s="159" t="s">
        <v>82</v>
      </c>
      <c r="S600" s="159" t="s">
        <v>68</v>
      </c>
      <c r="T600" s="159" t="s">
        <v>68</v>
      </c>
      <c r="U600" s="165" t="s">
        <v>82</v>
      </c>
      <c r="V600" s="159" t="s">
        <v>82</v>
      </c>
      <c r="W600" s="159" t="s">
        <v>82</v>
      </c>
      <c r="X600" s="159" t="s">
        <v>869</v>
      </c>
      <c r="Y600" s="159" t="s">
        <v>869</v>
      </c>
      <c r="Z600" s="159" t="s">
        <v>82</v>
      </c>
      <c r="AA600" s="158" t="s">
        <v>82</v>
      </c>
      <c r="AB600" s="158" t="s">
        <v>82</v>
      </c>
      <c r="AC600" s="159" t="s">
        <v>82</v>
      </c>
      <c r="AD600" s="153"/>
      <c r="AE600" s="120"/>
    </row>
    <row r="601" spans="1:31" ht="23.4" x14ac:dyDescent="0.25">
      <c r="A601" s="121" t="s">
        <v>82</v>
      </c>
      <c r="B601" s="144">
        <v>37169</v>
      </c>
      <c r="C601" s="154" t="s">
        <v>54</v>
      </c>
      <c r="D601" s="155" t="s">
        <v>1569</v>
      </c>
      <c r="E601" s="156" t="s">
        <v>1927</v>
      </c>
      <c r="F601" s="156" t="s">
        <v>1102</v>
      </c>
      <c r="G601" s="156" t="s">
        <v>14</v>
      </c>
      <c r="H601" s="172">
        <v>43599</v>
      </c>
      <c r="I601" s="158">
        <v>448</v>
      </c>
      <c r="J601" s="158" t="s">
        <v>58</v>
      </c>
      <c r="K601" s="165" t="s">
        <v>59</v>
      </c>
      <c r="L601" s="170">
        <v>44056</v>
      </c>
      <c r="M601" s="159" t="s">
        <v>60</v>
      </c>
      <c r="N601" s="170">
        <v>44173</v>
      </c>
      <c r="O601" s="159" t="s">
        <v>82</v>
      </c>
      <c r="P601" s="159" t="s">
        <v>82</v>
      </c>
      <c r="Q601" s="159" t="s">
        <v>82</v>
      </c>
      <c r="R601" s="159" t="s">
        <v>82</v>
      </c>
      <c r="S601" s="159" t="s">
        <v>62</v>
      </c>
      <c r="T601" s="159" t="s">
        <v>62</v>
      </c>
      <c r="U601" s="165" t="s">
        <v>82</v>
      </c>
      <c r="V601" s="159" t="s">
        <v>82</v>
      </c>
      <c r="W601" s="159" t="s">
        <v>82</v>
      </c>
      <c r="X601" s="159" t="s">
        <v>869</v>
      </c>
      <c r="Y601" s="159" t="s">
        <v>869</v>
      </c>
      <c r="Z601" s="159" t="s">
        <v>82</v>
      </c>
      <c r="AA601" s="158" t="s">
        <v>82</v>
      </c>
      <c r="AB601" s="158" t="s">
        <v>82</v>
      </c>
      <c r="AC601" s="159" t="s">
        <v>82</v>
      </c>
      <c r="AD601" s="153"/>
      <c r="AE601" s="120"/>
    </row>
    <row r="602" spans="1:31" ht="23.4" x14ac:dyDescent="0.25">
      <c r="A602" s="121" t="s">
        <v>82</v>
      </c>
      <c r="B602" s="144">
        <v>37181</v>
      </c>
      <c r="C602" s="154" t="s">
        <v>64</v>
      </c>
      <c r="D602" s="155" t="s">
        <v>1570</v>
      </c>
      <c r="E602" s="156" t="s">
        <v>1927</v>
      </c>
      <c r="F602" s="156" t="s">
        <v>1102</v>
      </c>
      <c r="G602" s="156" t="s">
        <v>14</v>
      </c>
      <c r="H602" s="157">
        <v>43608</v>
      </c>
      <c r="I602" s="158">
        <v>464</v>
      </c>
      <c r="J602" s="158" t="s">
        <v>58</v>
      </c>
      <c r="K602" s="165" t="s">
        <v>59</v>
      </c>
      <c r="L602" s="170">
        <v>44207</v>
      </c>
      <c r="M602" s="159" t="s">
        <v>60</v>
      </c>
      <c r="N602" s="170">
        <v>44185</v>
      </c>
      <c r="O602" s="159" t="s">
        <v>82</v>
      </c>
      <c r="P602" s="159" t="s">
        <v>82</v>
      </c>
      <c r="Q602" s="159" t="s">
        <v>82</v>
      </c>
      <c r="R602" s="159" t="s">
        <v>82</v>
      </c>
      <c r="S602" s="159" t="s">
        <v>68</v>
      </c>
      <c r="T602" s="159" t="s">
        <v>68</v>
      </c>
      <c r="U602" s="165" t="s">
        <v>82</v>
      </c>
      <c r="V602" s="159" t="s">
        <v>82</v>
      </c>
      <c r="W602" s="159" t="s">
        <v>82</v>
      </c>
      <c r="X602" s="159" t="s">
        <v>869</v>
      </c>
      <c r="Y602" s="159" t="s">
        <v>869</v>
      </c>
      <c r="Z602" s="159" t="s">
        <v>82</v>
      </c>
      <c r="AA602" s="158" t="s">
        <v>82</v>
      </c>
      <c r="AB602" s="158" t="s">
        <v>82</v>
      </c>
      <c r="AC602" s="159" t="s">
        <v>82</v>
      </c>
      <c r="AD602" s="153"/>
      <c r="AE602" s="120"/>
    </row>
    <row r="603" spans="1:31" ht="23.4" x14ac:dyDescent="0.25">
      <c r="A603" s="121" t="s">
        <v>82</v>
      </c>
      <c r="B603" s="144">
        <v>37181</v>
      </c>
      <c r="C603" s="154" t="s">
        <v>54</v>
      </c>
      <c r="D603" s="155" t="s">
        <v>1571</v>
      </c>
      <c r="E603" s="156" t="s">
        <v>1927</v>
      </c>
      <c r="F603" s="156" t="s">
        <v>1102</v>
      </c>
      <c r="G603" s="156" t="s">
        <v>14</v>
      </c>
      <c r="H603" s="157">
        <v>43608</v>
      </c>
      <c r="I603" s="158">
        <v>465</v>
      </c>
      <c r="J603" s="158" t="s">
        <v>58</v>
      </c>
      <c r="K603" s="165" t="s">
        <v>59</v>
      </c>
      <c r="L603" s="170">
        <v>44207</v>
      </c>
      <c r="M603" s="159" t="s">
        <v>60</v>
      </c>
      <c r="N603" s="170">
        <v>44185</v>
      </c>
      <c r="O603" s="159" t="s">
        <v>82</v>
      </c>
      <c r="P603" s="159" t="s">
        <v>82</v>
      </c>
      <c r="Q603" s="159" t="s">
        <v>82</v>
      </c>
      <c r="R603" s="159" t="s">
        <v>82</v>
      </c>
      <c r="S603" s="159" t="s">
        <v>62</v>
      </c>
      <c r="T603" s="159" t="s">
        <v>62</v>
      </c>
      <c r="U603" s="165" t="s">
        <v>82</v>
      </c>
      <c r="V603" s="159" t="s">
        <v>82</v>
      </c>
      <c r="W603" s="159" t="s">
        <v>82</v>
      </c>
      <c r="X603" s="159" t="s">
        <v>869</v>
      </c>
      <c r="Y603" s="159" t="s">
        <v>869</v>
      </c>
      <c r="Z603" s="159" t="s">
        <v>82</v>
      </c>
      <c r="AA603" s="158" t="s">
        <v>82</v>
      </c>
      <c r="AB603" s="158" t="s">
        <v>82</v>
      </c>
      <c r="AC603" s="159" t="s">
        <v>82</v>
      </c>
      <c r="AD603" s="153"/>
      <c r="AE603" s="120"/>
    </row>
    <row r="604" spans="1:31" ht="23.4" x14ac:dyDescent="0.25">
      <c r="A604" s="121" t="s">
        <v>82</v>
      </c>
      <c r="B604" s="144">
        <v>37182</v>
      </c>
      <c r="C604" s="154" t="s">
        <v>64</v>
      </c>
      <c r="D604" s="155" t="s">
        <v>1572</v>
      </c>
      <c r="E604" s="156" t="s">
        <v>1927</v>
      </c>
      <c r="F604" s="156" t="s">
        <v>1102</v>
      </c>
      <c r="G604" s="156" t="s">
        <v>14</v>
      </c>
      <c r="H604" s="157">
        <v>43609</v>
      </c>
      <c r="I604" s="158">
        <v>452</v>
      </c>
      <c r="J604" s="158" t="s">
        <v>58</v>
      </c>
      <c r="K604" s="165" t="s">
        <v>59</v>
      </c>
      <c r="L604" s="170">
        <v>44160</v>
      </c>
      <c r="M604" s="159" t="s">
        <v>60</v>
      </c>
      <c r="N604" s="170">
        <v>44193</v>
      </c>
      <c r="O604" s="159" t="s">
        <v>82</v>
      </c>
      <c r="P604" s="159" t="s">
        <v>82</v>
      </c>
      <c r="Q604" s="159" t="s">
        <v>82</v>
      </c>
      <c r="R604" s="159" t="s">
        <v>82</v>
      </c>
      <c r="S604" s="159" t="s">
        <v>68</v>
      </c>
      <c r="T604" s="159" t="s">
        <v>68</v>
      </c>
      <c r="U604" s="165" t="s">
        <v>82</v>
      </c>
      <c r="V604" s="159" t="s">
        <v>82</v>
      </c>
      <c r="W604" s="159" t="s">
        <v>82</v>
      </c>
      <c r="X604" s="159" t="s">
        <v>869</v>
      </c>
      <c r="Y604" s="159" t="s">
        <v>869</v>
      </c>
      <c r="Z604" s="159" t="s">
        <v>82</v>
      </c>
      <c r="AA604" s="158" t="s">
        <v>82</v>
      </c>
      <c r="AB604" s="158" t="s">
        <v>82</v>
      </c>
      <c r="AC604" s="159" t="s">
        <v>82</v>
      </c>
      <c r="AD604" s="153"/>
      <c r="AE604" s="120"/>
    </row>
    <row r="605" spans="1:31" ht="23.4" x14ac:dyDescent="0.25">
      <c r="A605" s="121" t="s">
        <v>82</v>
      </c>
      <c r="B605" s="144">
        <v>37182</v>
      </c>
      <c r="C605" s="154" t="s">
        <v>54</v>
      </c>
      <c r="D605" s="155" t="s">
        <v>1574</v>
      </c>
      <c r="E605" s="156" t="s">
        <v>1927</v>
      </c>
      <c r="F605" s="156" t="s">
        <v>1102</v>
      </c>
      <c r="G605" s="156" t="s">
        <v>14</v>
      </c>
      <c r="H605" s="157">
        <v>43609</v>
      </c>
      <c r="I605" s="158">
        <v>453</v>
      </c>
      <c r="J605" s="158" t="s">
        <v>58</v>
      </c>
      <c r="K605" s="165" t="s">
        <v>59</v>
      </c>
      <c r="L605" s="170">
        <v>44160</v>
      </c>
      <c r="M605" s="159" t="s">
        <v>60</v>
      </c>
      <c r="N605" s="170">
        <v>44193</v>
      </c>
      <c r="O605" s="159" t="s">
        <v>82</v>
      </c>
      <c r="P605" s="159" t="s">
        <v>82</v>
      </c>
      <c r="Q605" s="159" t="s">
        <v>82</v>
      </c>
      <c r="R605" s="159" t="s">
        <v>82</v>
      </c>
      <c r="S605" s="159" t="s">
        <v>62</v>
      </c>
      <c r="T605" s="159" t="s">
        <v>62</v>
      </c>
      <c r="U605" s="165" t="s">
        <v>82</v>
      </c>
      <c r="V605" s="159" t="s">
        <v>82</v>
      </c>
      <c r="W605" s="159" t="s">
        <v>82</v>
      </c>
      <c r="X605" s="159" t="s">
        <v>869</v>
      </c>
      <c r="Y605" s="159" t="s">
        <v>869</v>
      </c>
      <c r="Z605" s="159" t="s">
        <v>82</v>
      </c>
      <c r="AA605" s="158" t="s">
        <v>82</v>
      </c>
      <c r="AB605" s="158" t="s">
        <v>82</v>
      </c>
      <c r="AC605" s="159" t="s">
        <v>82</v>
      </c>
      <c r="AD605" s="153"/>
      <c r="AE605" s="120"/>
    </row>
    <row r="606" spans="1:31" ht="23.4" x14ac:dyDescent="0.25">
      <c r="A606" s="121" t="s">
        <v>82</v>
      </c>
      <c r="B606" s="144">
        <v>37185</v>
      </c>
      <c r="C606" s="154" t="s">
        <v>64</v>
      </c>
      <c r="D606" s="155" t="s">
        <v>1575</v>
      </c>
      <c r="E606" s="156" t="s">
        <v>1927</v>
      </c>
      <c r="F606" s="156" t="s">
        <v>1102</v>
      </c>
      <c r="G606" s="156" t="s">
        <v>14</v>
      </c>
      <c r="H606" s="157">
        <v>43610</v>
      </c>
      <c r="I606" s="158">
        <v>467</v>
      </c>
      <c r="J606" s="158" t="s">
        <v>58</v>
      </c>
      <c r="K606" s="165" t="s">
        <v>59</v>
      </c>
      <c r="L606" s="170">
        <v>44061</v>
      </c>
      <c r="M606" s="159" t="s">
        <v>60</v>
      </c>
      <c r="N606" s="170">
        <v>44217</v>
      </c>
      <c r="O606" s="159" t="s">
        <v>82</v>
      </c>
      <c r="P606" s="179">
        <v>44645</v>
      </c>
      <c r="Q606" s="159" t="s">
        <v>82</v>
      </c>
      <c r="R606" s="159" t="s">
        <v>82</v>
      </c>
      <c r="S606" s="159" t="s">
        <v>68</v>
      </c>
      <c r="T606" s="159" t="s">
        <v>68</v>
      </c>
      <c r="U606" s="165" t="s">
        <v>82</v>
      </c>
      <c r="V606" s="159" t="s">
        <v>82</v>
      </c>
      <c r="W606" s="159" t="s">
        <v>82</v>
      </c>
      <c r="X606" s="159" t="s">
        <v>869</v>
      </c>
      <c r="Y606" s="159" t="s">
        <v>869</v>
      </c>
      <c r="Z606" s="159" t="s">
        <v>82</v>
      </c>
      <c r="AA606" s="158" t="s">
        <v>82</v>
      </c>
      <c r="AB606" s="158" t="s">
        <v>82</v>
      </c>
      <c r="AC606" s="159" t="s">
        <v>82</v>
      </c>
      <c r="AD606" s="153"/>
      <c r="AE606" s="120"/>
    </row>
    <row r="607" spans="1:31" ht="23.4" x14ac:dyDescent="0.25">
      <c r="A607" s="121" t="s">
        <v>82</v>
      </c>
      <c r="B607" s="144">
        <v>37185</v>
      </c>
      <c r="C607" s="154" t="s">
        <v>54</v>
      </c>
      <c r="D607" s="155" t="s">
        <v>1576</v>
      </c>
      <c r="E607" s="156" t="s">
        <v>1927</v>
      </c>
      <c r="F607" s="156" t="s">
        <v>1102</v>
      </c>
      <c r="G607" s="156" t="s">
        <v>14</v>
      </c>
      <c r="H607" s="157">
        <v>43610</v>
      </c>
      <c r="I607" s="158">
        <v>461</v>
      </c>
      <c r="J607" s="158" t="s">
        <v>58</v>
      </c>
      <c r="K607" s="165" t="s">
        <v>59</v>
      </c>
      <c r="L607" s="170">
        <v>44061</v>
      </c>
      <c r="M607" s="159" t="s">
        <v>60</v>
      </c>
      <c r="N607" s="170">
        <v>44217</v>
      </c>
      <c r="O607" s="159" t="s">
        <v>82</v>
      </c>
      <c r="P607" s="179">
        <v>44645</v>
      </c>
      <c r="Q607" s="159" t="s">
        <v>82</v>
      </c>
      <c r="R607" s="159" t="s">
        <v>82</v>
      </c>
      <c r="S607" s="159" t="s">
        <v>62</v>
      </c>
      <c r="T607" s="159" t="s">
        <v>62</v>
      </c>
      <c r="U607" s="165" t="s">
        <v>82</v>
      </c>
      <c r="V607" s="159" t="s">
        <v>82</v>
      </c>
      <c r="W607" s="159" t="s">
        <v>82</v>
      </c>
      <c r="X607" s="159" t="s">
        <v>869</v>
      </c>
      <c r="Y607" s="159" t="s">
        <v>869</v>
      </c>
      <c r="Z607" s="159" t="s">
        <v>82</v>
      </c>
      <c r="AA607" s="158" t="s">
        <v>82</v>
      </c>
      <c r="AB607" s="158" t="s">
        <v>82</v>
      </c>
      <c r="AC607" s="159" t="s">
        <v>82</v>
      </c>
      <c r="AD607" s="153"/>
      <c r="AE607" s="120"/>
    </row>
    <row r="608" spans="1:31" ht="23.4" x14ac:dyDescent="0.25">
      <c r="A608" s="121" t="s">
        <v>82</v>
      </c>
      <c r="B608" s="144">
        <v>37244</v>
      </c>
      <c r="C608" s="154" t="s">
        <v>64</v>
      </c>
      <c r="D608" s="155" t="s">
        <v>1579</v>
      </c>
      <c r="E608" s="156" t="s">
        <v>1927</v>
      </c>
      <c r="F608" s="156" t="s">
        <v>1102</v>
      </c>
      <c r="G608" s="156" t="s">
        <v>14</v>
      </c>
      <c r="H608" s="157">
        <v>43732</v>
      </c>
      <c r="I608" s="158">
        <v>552</v>
      </c>
      <c r="J608" s="158" t="s">
        <v>58</v>
      </c>
      <c r="K608" s="165" t="s">
        <v>59</v>
      </c>
      <c r="L608" s="170">
        <v>44021</v>
      </c>
      <c r="M608" s="159" t="s">
        <v>60</v>
      </c>
      <c r="N608" s="170">
        <v>44188</v>
      </c>
      <c r="O608" s="159" t="s">
        <v>82</v>
      </c>
      <c r="P608" s="179">
        <v>44641</v>
      </c>
      <c r="Q608" s="159" t="s">
        <v>75</v>
      </c>
      <c r="R608" s="159" t="s">
        <v>82</v>
      </c>
      <c r="S608" s="159" t="s">
        <v>62</v>
      </c>
      <c r="T608" s="159" t="s">
        <v>62</v>
      </c>
      <c r="U608" s="165" t="s">
        <v>82</v>
      </c>
      <c r="V608" s="159" t="s">
        <v>82</v>
      </c>
      <c r="W608" s="159" t="s">
        <v>82</v>
      </c>
      <c r="X608" s="159" t="s">
        <v>869</v>
      </c>
      <c r="Y608" s="159" t="s">
        <v>869</v>
      </c>
      <c r="Z608" s="159" t="s">
        <v>82</v>
      </c>
      <c r="AA608" s="158" t="s">
        <v>82</v>
      </c>
      <c r="AB608" s="158" t="s">
        <v>82</v>
      </c>
      <c r="AC608" s="159" t="s">
        <v>82</v>
      </c>
      <c r="AD608" s="153"/>
      <c r="AE608" s="120"/>
    </row>
    <row r="609" spans="1:31" ht="23.4" x14ac:dyDescent="0.25">
      <c r="A609" s="121" t="s">
        <v>82</v>
      </c>
      <c r="B609" s="144">
        <v>37244</v>
      </c>
      <c r="C609" s="154" t="s">
        <v>54</v>
      </c>
      <c r="D609" s="155" t="s">
        <v>1577</v>
      </c>
      <c r="E609" s="156" t="s">
        <v>1927</v>
      </c>
      <c r="F609" s="156" t="s">
        <v>1102</v>
      </c>
      <c r="G609" s="156" t="s">
        <v>14</v>
      </c>
      <c r="H609" s="157">
        <v>43732</v>
      </c>
      <c r="I609" s="158">
        <v>553</v>
      </c>
      <c r="J609" s="158" t="s">
        <v>58</v>
      </c>
      <c r="K609" s="165" t="s">
        <v>59</v>
      </c>
      <c r="L609" s="170">
        <v>44021</v>
      </c>
      <c r="M609" s="159" t="s">
        <v>60</v>
      </c>
      <c r="N609" s="170">
        <v>44188</v>
      </c>
      <c r="O609" s="159" t="s">
        <v>82</v>
      </c>
      <c r="P609" s="179">
        <v>44641</v>
      </c>
      <c r="Q609" s="159" t="s">
        <v>75</v>
      </c>
      <c r="R609" s="159" t="s">
        <v>82</v>
      </c>
      <c r="S609" s="159" t="s">
        <v>68</v>
      </c>
      <c r="T609" s="159" t="s">
        <v>68</v>
      </c>
      <c r="U609" s="165" t="s">
        <v>82</v>
      </c>
      <c r="V609" s="159" t="s">
        <v>82</v>
      </c>
      <c r="W609" s="159" t="s">
        <v>82</v>
      </c>
      <c r="X609" s="159" t="s">
        <v>869</v>
      </c>
      <c r="Y609" s="159" t="s">
        <v>869</v>
      </c>
      <c r="Z609" s="159" t="s">
        <v>82</v>
      </c>
      <c r="AA609" s="158" t="s">
        <v>82</v>
      </c>
      <c r="AB609" s="158" t="s">
        <v>82</v>
      </c>
      <c r="AC609" s="159" t="s">
        <v>82</v>
      </c>
      <c r="AD609" s="153"/>
      <c r="AE609" s="120"/>
    </row>
    <row r="610" spans="1:31" ht="23.4" x14ac:dyDescent="0.25">
      <c r="A610" s="121" t="s">
        <v>82</v>
      </c>
      <c r="B610" s="144">
        <v>37246</v>
      </c>
      <c r="C610" s="154" t="s">
        <v>64</v>
      </c>
      <c r="D610" s="155" t="s">
        <v>1582</v>
      </c>
      <c r="E610" s="156" t="s">
        <v>1927</v>
      </c>
      <c r="F610" s="156" t="s">
        <v>1102</v>
      </c>
      <c r="G610" s="156" t="s">
        <v>14</v>
      </c>
      <c r="H610" s="157">
        <v>43728</v>
      </c>
      <c r="I610" s="158">
        <v>611</v>
      </c>
      <c r="J610" s="158" t="s">
        <v>58</v>
      </c>
      <c r="K610" s="165" t="s">
        <v>59</v>
      </c>
      <c r="L610" s="170">
        <v>44057</v>
      </c>
      <c r="M610" s="159" t="s">
        <v>60</v>
      </c>
      <c r="N610" s="170">
        <v>44180</v>
      </c>
      <c r="O610" s="159" t="s">
        <v>82</v>
      </c>
      <c r="P610" s="159" t="s">
        <v>82</v>
      </c>
      <c r="Q610" s="159" t="s">
        <v>75</v>
      </c>
      <c r="R610" s="159" t="s">
        <v>82</v>
      </c>
      <c r="S610" s="159" t="s">
        <v>68</v>
      </c>
      <c r="T610" s="159" t="s">
        <v>68</v>
      </c>
      <c r="U610" s="165" t="s">
        <v>82</v>
      </c>
      <c r="V610" s="159" t="s">
        <v>82</v>
      </c>
      <c r="W610" s="159" t="s">
        <v>82</v>
      </c>
      <c r="X610" s="159" t="s">
        <v>869</v>
      </c>
      <c r="Y610" s="159" t="s">
        <v>869</v>
      </c>
      <c r="Z610" s="159" t="s">
        <v>82</v>
      </c>
      <c r="AA610" s="158" t="s">
        <v>82</v>
      </c>
      <c r="AB610" s="158" t="s">
        <v>82</v>
      </c>
      <c r="AC610" s="159" t="s">
        <v>82</v>
      </c>
      <c r="AD610" s="153"/>
      <c r="AE610" s="120"/>
    </row>
    <row r="611" spans="1:31" ht="23.4" x14ac:dyDescent="0.25">
      <c r="A611" s="121" t="s">
        <v>82</v>
      </c>
      <c r="B611" s="144">
        <v>37246</v>
      </c>
      <c r="C611" s="154" t="s">
        <v>54</v>
      </c>
      <c r="D611" s="155" t="s">
        <v>1580</v>
      </c>
      <c r="E611" s="156" t="s">
        <v>1927</v>
      </c>
      <c r="F611" s="156" t="s">
        <v>1102</v>
      </c>
      <c r="G611" s="156" t="s">
        <v>14</v>
      </c>
      <c r="H611" s="157">
        <v>43728</v>
      </c>
      <c r="I611" s="158">
        <v>577</v>
      </c>
      <c r="J611" s="158" t="s">
        <v>58</v>
      </c>
      <c r="K611" s="165" t="s">
        <v>59</v>
      </c>
      <c r="L611" s="170">
        <v>44147</v>
      </c>
      <c r="M611" s="159" t="s">
        <v>60</v>
      </c>
      <c r="N611" s="170">
        <v>44186</v>
      </c>
      <c r="O611" s="159" t="s">
        <v>82</v>
      </c>
      <c r="P611" s="159" t="s">
        <v>82</v>
      </c>
      <c r="Q611" s="159" t="s">
        <v>75</v>
      </c>
      <c r="R611" s="159" t="s">
        <v>82</v>
      </c>
      <c r="S611" s="159" t="s">
        <v>62</v>
      </c>
      <c r="T611" s="159" t="s">
        <v>62</v>
      </c>
      <c r="U611" s="165" t="s">
        <v>82</v>
      </c>
      <c r="V611" s="159" t="s">
        <v>82</v>
      </c>
      <c r="W611" s="159" t="s">
        <v>82</v>
      </c>
      <c r="X611" s="159" t="s">
        <v>869</v>
      </c>
      <c r="Y611" s="159" t="s">
        <v>869</v>
      </c>
      <c r="Z611" s="159" t="s">
        <v>82</v>
      </c>
      <c r="AA611" s="158" t="s">
        <v>82</v>
      </c>
      <c r="AB611" s="158" t="s">
        <v>82</v>
      </c>
      <c r="AC611" s="159" t="s">
        <v>82</v>
      </c>
      <c r="AD611" s="153"/>
      <c r="AE611" s="120"/>
    </row>
    <row r="612" spans="1:31" ht="23.4" x14ac:dyDescent="0.25">
      <c r="A612" s="121" t="s">
        <v>82</v>
      </c>
      <c r="B612" s="144">
        <v>37268</v>
      </c>
      <c r="C612" s="154" t="s">
        <v>64</v>
      </c>
      <c r="D612" s="155" t="s">
        <v>1592</v>
      </c>
      <c r="E612" s="156" t="s">
        <v>1927</v>
      </c>
      <c r="F612" s="156" t="s">
        <v>1102</v>
      </c>
      <c r="G612" s="156" t="s">
        <v>14</v>
      </c>
      <c r="H612" s="157">
        <v>43757</v>
      </c>
      <c r="I612" s="158">
        <v>612</v>
      </c>
      <c r="J612" s="158" t="s">
        <v>58</v>
      </c>
      <c r="K612" s="165" t="s">
        <v>59</v>
      </c>
      <c r="L612" s="170">
        <v>44236</v>
      </c>
      <c r="M612" s="159" t="s">
        <v>60</v>
      </c>
      <c r="N612" s="170">
        <v>44173</v>
      </c>
      <c r="O612" s="159" t="s">
        <v>82</v>
      </c>
      <c r="P612" s="159" t="s">
        <v>82</v>
      </c>
      <c r="Q612" s="159" t="s">
        <v>75</v>
      </c>
      <c r="R612" s="159" t="s">
        <v>62</v>
      </c>
      <c r="S612" s="159" t="s">
        <v>62</v>
      </c>
      <c r="T612" s="159" t="s">
        <v>62</v>
      </c>
      <c r="U612" s="165" t="s">
        <v>82</v>
      </c>
      <c r="V612" s="159" t="s">
        <v>82</v>
      </c>
      <c r="W612" s="159" t="s">
        <v>82</v>
      </c>
      <c r="X612" s="159" t="s">
        <v>869</v>
      </c>
      <c r="Y612" s="159" t="s">
        <v>869</v>
      </c>
      <c r="Z612" s="159" t="s">
        <v>82</v>
      </c>
      <c r="AA612" s="158" t="s">
        <v>82</v>
      </c>
      <c r="AB612" s="158" t="s">
        <v>82</v>
      </c>
      <c r="AC612" s="159" t="s">
        <v>82</v>
      </c>
      <c r="AD612" s="153"/>
      <c r="AE612" s="120"/>
    </row>
    <row r="613" spans="1:31" ht="23.4" x14ac:dyDescent="0.25">
      <c r="A613" s="121" t="s">
        <v>82</v>
      </c>
      <c r="B613" s="144">
        <v>37268</v>
      </c>
      <c r="C613" s="154" t="s">
        <v>54</v>
      </c>
      <c r="D613" s="155" t="s">
        <v>1584</v>
      </c>
      <c r="E613" s="156" t="s">
        <v>1927</v>
      </c>
      <c r="F613" s="156" t="s">
        <v>1102</v>
      </c>
      <c r="G613" s="156" t="s">
        <v>14</v>
      </c>
      <c r="H613" s="157">
        <v>43757</v>
      </c>
      <c r="I613" s="158">
        <v>570</v>
      </c>
      <c r="J613" s="158" t="s">
        <v>58</v>
      </c>
      <c r="K613" s="165" t="s">
        <v>59</v>
      </c>
      <c r="L613" s="170">
        <v>44057</v>
      </c>
      <c r="M613" s="159" t="s">
        <v>60</v>
      </c>
      <c r="N613" s="170">
        <v>44180</v>
      </c>
      <c r="O613" s="159" t="s">
        <v>82</v>
      </c>
      <c r="P613" s="159" t="s">
        <v>82</v>
      </c>
      <c r="Q613" s="159" t="s">
        <v>75</v>
      </c>
      <c r="R613" s="159" t="s">
        <v>82</v>
      </c>
      <c r="S613" s="159" t="s">
        <v>62</v>
      </c>
      <c r="T613" s="159" t="s">
        <v>62</v>
      </c>
      <c r="U613" s="165" t="s">
        <v>82</v>
      </c>
      <c r="V613" s="159" t="s">
        <v>82</v>
      </c>
      <c r="W613" s="159" t="s">
        <v>82</v>
      </c>
      <c r="X613" s="159" t="s">
        <v>869</v>
      </c>
      <c r="Y613" s="159" t="s">
        <v>869</v>
      </c>
      <c r="Z613" s="159" t="s">
        <v>82</v>
      </c>
      <c r="AA613" s="158" t="s">
        <v>82</v>
      </c>
      <c r="AB613" s="158" t="s">
        <v>82</v>
      </c>
      <c r="AC613" s="159" t="s">
        <v>82</v>
      </c>
      <c r="AD613" s="153"/>
      <c r="AE613" s="120"/>
    </row>
    <row r="614" spans="1:31" ht="23.4" x14ac:dyDescent="0.25">
      <c r="A614" s="121" t="s">
        <v>82</v>
      </c>
      <c r="B614" s="144">
        <v>37272</v>
      </c>
      <c r="C614" s="154" t="s">
        <v>64</v>
      </c>
      <c r="D614" s="155" t="s">
        <v>1586</v>
      </c>
      <c r="E614" s="156" t="s">
        <v>1927</v>
      </c>
      <c r="F614" s="156" t="s">
        <v>1102</v>
      </c>
      <c r="G614" s="156" t="s">
        <v>14</v>
      </c>
      <c r="H614" s="157">
        <v>43759</v>
      </c>
      <c r="I614" s="158">
        <v>644</v>
      </c>
      <c r="J614" s="158" t="s">
        <v>58</v>
      </c>
      <c r="K614" s="165" t="s">
        <v>59</v>
      </c>
      <c r="L614" s="170">
        <v>44199</v>
      </c>
      <c r="M614" s="159" t="s">
        <v>60</v>
      </c>
      <c r="N614" s="170">
        <v>44186</v>
      </c>
      <c r="O614" s="159" t="s">
        <v>82</v>
      </c>
      <c r="P614" s="159" t="s">
        <v>82</v>
      </c>
      <c r="Q614" s="159" t="s">
        <v>75</v>
      </c>
      <c r="R614" s="159" t="s">
        <v>82</v>
      </c>
      <c r="S614" s="159" t="s">
        <v>68</v>
      </c>
      <c r="T614" s="159" t="s">
        <v>68</v>
      </c>
      <c r="U614" s="165" t="s">
        <v>82</v>
      </c>
      <c r="V614" s="159" t="s">
        <v>82</v>
      </c>
      <c r="W614" s="159" t="s">
        <v>82</v>
      </c>
      <c r="X614" s="159" t="s">
        <v>869</v>
      </c>
      <c r="Y614" s="159" t="s">
        <v>869</v>
      </c>
      <c r="Z614" s="159" t="s">
        <v>82</v>
      </c>
      <c r="AA614" s="158" t="s">
        <v>82</v>
      </c>
      <c r="AB614" s="158" t="s">
        <v>82</v>
      </c>
      <c r="AC614" s="159" t="s">
        <v>82</v>
      </c>
      <c r="AD614" s="153"/>
      <c r="AE614" s="120"/>
    </row>
    <row r="615" spans="1:31" ht="23.4" x14ac:dyDescent="0.25">
      <c r="A615" s="121" t="s">
        <v>82</v>
      </c>
      <c r="B615" s="144">
        <v>37272</v>
      </c>
      <c r="C615" s="154" t="s">
        <v>54</v>
      </c>
      <c r="D615" s="155" t="s">
        <v>1589</v>
      </c>
      <c r="E615" s="156" t="s">
        <v>1927</v>
      </c>
      <c r="F615" s="156" t="s">
        <v>1102</v>
      </c>
      <c r="G615" s="156" t="s">
        <v>14</v>
      </c>
      <c r="H615" s="157">
        <v>43759</v>
      </c>
      <c r="I615" s="158">
        <v>645</v>
      </c>
      <c r="J615" s="158" t="s">
        <v>58</v>
      </c>
      <c r="K615" s="165" t="s">
        <v>59</v>
      </c>
      <c r="L615" s="170">
        <v>44199</v>
      </c>
      <c r="M615" s="159" t="s">
        <v>60</v>
      </c>
      <c r="N615" s="170">
        <v>44186</v>
      </c>
      <c r="O615" s="159" t="s">
        <v>82</v>
      </c>
      <c r="P615" s="159" t="s">
        <v>82</v>
      </c>
      <c r="Q615" s="159" t="s">
        <v>75</v>
      </c>
      <c r="R615" s="159" t="s">
        <v>82</v>
      </c>
      <c r="S615" s="159" t="s">
        <v>62</v>
      </c>
      <c r="T615" s="159" t="s">
        <v>62</v>
      </c>
      <c r="U615" s="165" t="s">
        <v>82</v>
      </c>
      <c r="V615" s="159" t="s">
        <v>82</v>
      </c>
      <c r="W615" s="159" t="s">
        <v>82</v>
      </c>
      <c r="X615" s="159" t="s">
        <v>869</v>
      </c>
      <c r="Y615" s="159" t="s">
        <v>869</v>
      </c>
      <c r="Z615" s="159" t="s">
        <v>82</v>
      </c>
      <c r="AA615" s="158" t="s">
        <v>82</v>
      </c>
      <c r="AB615" s="158" t="s">
        <v>82</v>
      </c>
      <c r="AC615" s="159" t="s">
        <v>82</v>
      </c>
      <c r="AD615" s="153"/>
      <c r="AE615" s="120"/>
    </row>
    <row r="616" spans="1:31" ht="23.4" x14ac:dyDescent="0.25">
      <c r="A616" s="121" t="s">
        <v>82</v>
      </c>
      <c r="B616" s="144">
        <v>37357</v>
      </c>
      <c r="C616" s="154" t="s">
        <v>64</v>
      </c>
      <c r="D616" s="155" t="s">
        <v>1590</v>
      </c>
      <c r="E616" s="156" t="s">
        <v>1927</v>
      </c>
      <c r="F616" s="156" t="s">
        <v>1102</v>
      </c>
      <c r="G616" s="156" t="s">
        <v>14</v>
      </c>
      <c r="H616" s="157">
        <v>43911</v>
      </c>
      <c r="I616" s="158">
        <v>741</v>
      </c>
      <c r="J616" s="158" t="s">
        <v>58</v>
      </c>
      <c r="K616" s="165" t="s">
        <v>59</v>
      </c>
      <c r="L616" s="170">
        <v>44236</v>
      </c>
      <c r="M616" s="159" t="s">
        <v>60</v>
      </c>
      <c r="N616" s="170">
        <v>44173</v>
      </c>
      <c r="O616" s="159" t="s">
        <v>82</v>
      </c>
      <c r="P616" s="179">
        <v>44647</v>
      </c>
      <c r="Q616" s="159" t="s">
        <v>75</v>
      </c>
      <c r="R616" s="159" t="s">
        <v>68</v>
      </c>
      <c r="S616" s="159" t="s">
        <v>68</v>
      </c>
      <c r="T616" s="159" t="s">
        <v>68</v>
      </c>
      <c r="U616" s="165" t="s">
        <v>82</v>
      </c>
      <c r="V616" s="159" t="s">
        <v>82</v>
      </c>
      <c r="W616" s="159" t="s">
        <v>82</v>
      </c>
      <c r="X616" s="159" t="s">
        <v>869</v>
      </c>
      <c r="Y616" s="159" t="s">
        <v>869</v>
      </c>
      <c r="Z616" s="159" t="s">
        <v>82</v>
      </c>
      <c r="AA616" s="158" t="s">
        <v>82</v>
      </c>
      <c r="AB616" s="158" t="s">
        <v>82</v>
      </c>
      <c r="AC616" s="159" t="s">
        <v>82</v>
      </c>
      <c r="AD616" s="153"/>
      <c r="AE616" s="120"/>
    </row>
    <row r="617" spans="1:31" ht="23.4" x14ac:dyDescent="0.25">
      <c r="A617" s="121" t="s">
        <v>82</v>
      </c>
      <c r="B617" s="144">
        <v>37357</v>
      </c>
      <c r="C617" s="154" t="s">
        <v>54</v>
      </c>
      <c r="D617" s="156" t="s">
        <v>1340</v>
      </c>
      <c r="E617" s="156" t="s">
        <v>1927</v>
      </c>
      <c r="F617" s="156" t="s">
        <v>1102</v>
      </c>
      <c r="G617" s="156" t="s">
        <v>14</v>
      </c>
      <c r="H617" s="157">
        <v>43911</v>
      </c>
      <c r="I617" s="158">
        <v>613</v>
      </c>
      <c r="J617" s="158" t="s">
        <v>58</v>
      </c>
      <c r="K617" s="165" t="s">
        <v>59</v>
      </c>
      <c r="L617" s="159" t="s">
        <v>63</v>
      </c>
      <c r="M617" s="159" t="s">
        <v>60</v>
      </c>
      <c r="N617" s="159" t="s">
        <v>63</v>
      </c>
      <c r="O617" s="159" t="s">
        <v>82</v>
      </c>
      <c r="P617" s="179">
        <v>44647</v>
      </c>
      <c r="Q617" s="159" t="s">
        <v>75</v>
      </c>
      <c r="R617" s="159" t="s">
        <v>82</v>
      </c>
      <c r="S617" s="159" t="s">
        <v>82</v>
      </c>
      <c r="T617" s="160" t="s">
        <v>62</v>
      </c>
      <c r="U617" s="159" t="s">
        <v>82</v>
      </c>
      <c r="V617" s="159" t="s">
        <v>82</v>
      </c>
      <c r="W617" s="159" t="s">
        <v>82</v>
      </c>
      <c r="X617" s="159" t="s">
        <v>82</v>
      </c>
      <c r="Y617" s="159" t="s">
        <v>82</v>
      </c>
      <c r="Z617" s="159" t="s">
        <v>82</v>
      </c>
      <c r="AA617" s="158" t="s">
        <v>82</v>
      </c>
      <c r="AB617" s="158" t="s">
        <v>82</v>
      </c>
      <c r="AC617" s="159" t="s">
        <v>82</v>
      </c>
      <c r="AD617" s="153"/>
      <c r="AE617" s="120"/>
    </row>
    <row r="618" spans="1:31" ht="23.4" x14ac:dyDescent="0.25">
      <c r="A618" s="121" t="s">
        <v>82</v>
      </c>
      <c r="B618" s="144">
        <v>37400</v>
      </c>
      <c r="C618" s="154" t="s">
        <v>64</v>
      </c>
      <c r="D618" s="155" t="s">
        <v>1595</v>
      </c>
      <c r="E618" s="156" t="s">
        <v>1927</v>
      </c>
      <c r="F618" s="156" t="s">
        <v>1102</v>
      </c>
      <c r="G618" s="156" t="s">
        <v>14</v>
      </c>
      <c r="H618" s="157">
        <v>44037</v>
      </c>
      <c r="I618" s="158">
        <v>794</v>
      </c>
      <c r="J618" s="158" t="s">
        <v>58</v>
      </c>
      <c r="K618" s="165" t="s">
        <v>59</v>
      </c>
      <c r="L618" s="170">
        <v>44290</v>
      </c>
      <c r="M618" s="159" t="s">
        <v>999</v>
      </c>
      <c r="N618" s="159" t="s">
        <v>82</v>
      </c>
      <c r="O618" s="159" t="s">
        <v>82</v>
      </c>
      <c r="P618" s="159" t="s">
        <v>82</v>
      </c>
      <c r="Q618" s="159" t="s">
        <v>75</v>
      </c>
      <c r="R618" s="159" t="s">
        <v>68</v>
      </c>
      <c r="S618" s="159" t="s">
        <v>68</v>
      </c>
      <c r="T618" s="159" t="s">
        <v>68</v>
      </c>
      <c r="U618" s="165" t="s">
        <v>82</v>
      </c>
      <c r="V618" s="159" t="s">
        <v>82</v>
      </c>
      <c r="W618" s="159" t="s">
        <v>75</v>
      </c>
      <c r="X618" s="159" t="s">
        <v>869</v>
      </c>
      <c r="Y618" s="159" t="s">
        <v>869</v>
      </c>
      <c r="Z618" s="159" t="s">
        <v>82</v>
      </c>
      <c r="AA618" s="158" t="s">
        <v>82</v>
      </c>
      <c r="AB618" s="158" t="s">
        <v>82</v>
      </c>
      <c r="AC618" s="159" t="s">
        <v>82</v>
      </c>
      <c r="AD618" s="153"/>
      <c r="AE618" s="120"/>
    </row>
    <row r="619" spans="1:31" ht="23.4" x14ac:dyDescent="0.25">
      <c r="A619" s="121" t="s">
        <v>82</v>
      </c>
      <c r="B619" s="144">
        <v>37400</v>
      </c>
      <c r="C619" s="154" t="s">
        <v>54</v>
      </c>
      <c r="D619" s="155" t="s">
        <v>1599</v>
      </c>
      <c r="E619" s="156" t="s">
        <v>1927</v>
      </c>
      <c r="F619" s="156" t="s">
        <v>1102</v>
      </c>
      <c r="G619" s="156" t="s">
        <v>14</v>
      </c>
      <c r="H619" s="157">
        <v>44037</v>
      </c>
      <c r="I619" s="158">
        <v>721</v>
      </c>
      <c r="J619" s="158" t="s">
        <v>58</v>
      </c>
      <c r="K619" s="165" t="s">
        <v>59</v>
      </c>
      <c r="L619" s="170">
        <v>44290</v>
      </c>
      <c r="M619" s="159" t="s">
        <v>999</v>
      </c>
      <c r="N619" s="159" t="s">
        <v>82</v>
      </c>
      <c r="O619" s="159" t="s">
        <v>82</v>
      </c>
      <c r="P619" s="159" t="s">
        <v>82</v>
      </c>
      <c r="Q619" s="159" t="s">
        <v>75</v>
      </c>
      <c r="R619" s="159" t="s">
        <v>62</v>
      </c>
      <c r="S619" s="159" t="s">
        <v>62</v>
      </c>
      <c r="T619" s="159" t="s">
        <v>62</v>
      </c>
      <c r="U619" s="165" t="s">
        <v>82</v>
      </c>
      <c r="V619" s="159" t="s">
        <v>82</v>
      </c>
      <c r="W619" s="159" t="s">
        <v>82</v>
      </c>
      <c r="X619" s="159" t="s">
        <v>869</v>
      </c>
      <c r="Y619" s="159" t="s">
        <v>869</v>
      </c>
      <c r="Z619" s="159" t="s">
        <v>82</v>
      </c>
      <c r="AA619" s="158" t="s">
        <v>82</v>
      </c>
      <c r="AB619" s="158" t="s">
        <v>82</v>
      </c>
      <c r="AC619" s="159" t="s">
        <v>82</v>
      </c>
      <c r="AD619" s="153"/>
      <c r="AE619" s="120"/>
    </row>
    <row r="620" spans="1:31" x14ac:dyDescent="0.25">
      <c r="A620" s="121" t="s">
        <v>82</v>
      </c>
      <c r="B620" s="144">
        <v>37401</v>
      </c>
      <c r="C620" s="154" t="s">
        <v>64</v>
      </c>
      <c r="D620" s="155" t="s">
        <v>1603</v>
      </c>
      <c r="E620" s="156" t="s">
        <v>1927</v>
      </c>
      <c r="F620" s="156" t="s">
        <v>1102</v>
      </c>
      <c r="G620" s="156" t="s">
        <v>14</v>
      </c>
      <c r="H620" s="157">
        <v>44039</v>
      </c>
      <c r="I620" s="158">
        <v>795</v>
      </c>
      <c r="J620" s="158" t="s">
        <v>58</v>
      </c>
      <c r="K620" s="159" t="s">
        <v>1318</v>
      </c>
      <c r="L620" s="159" t="s">
        <v>82</v>
      </c>
      <c r="M620" s="159" t="s">
        <v>60</v>
      </c>
      <c r="N620" s="170">
        <v>44180</v>
      </c>
      <c r="O620" s="159" t="s">
        <v>82</v>
      </c>
      <c r="P620" s="159" t="s">
        <v>82</v>
      </c>
      <c r="Q620" s="159" t="s">
        <v>75</v>
      </c>
      <c r="R620" s="159" t="s">
        <v>62</v>
      </c>
      <c r="S620" s="159" t="s">
        <v>62</v>
      </c>
      <c r="T620" s="159" t="s">
        <v>62</v>
      </c>
      <c r="U620" s="165" t="s">
        <v>82</v>
      </c>
      <c r="V620" s="159" t="s">
        <v>82</v>
      </c>
      <c r="W620" s="159" t="s">
        <v>75</v>
      </c>
      <c r="X620" s="159" t="s">
        <v>869</v>
      </c>
      <c r="Y620" s="159" t="s">
        <v>869</v>
      </c>
      <c r="Z620" s="159" t="s">
        <v>82</v>
      </c>
      <c r="AA620" s="158" t="s">
        <v>82</v>
      </c>
      <c r="AB620" s="158" t="s">
        <v>82</v>
      </c>
      <c r="AC620" s="159" t="s">
        <v>82</v>
      </c>
      <c r="AD620" s="153"/>
      <c r="AE620" s="120"/>
    </row>
    <row r="621" spans="1:31" x14ac:dyDescent="0.25">
      <c r="A621" s="121" t="s">
        <v>82</v>
      </c>
      <c r="B621" s="144">
        <v>37401</v>
      </c>
      <c r="C621" s="154" t="s">
        <v>54</v>
      </c>
      <c r="D621" s="155" t="s">
        <v>1600</v>
      </c>
      <c r="E621" s="156" t="s">
        <v>1927</v>
      </c>
      <c r="F621" s="156" t="s">
        <v>1102</v>
      </c>
      <c r="G621" s="156" t="s">
        <v>14</v>
      </c>
      <c r="H621" s="157">
        <v>44039</v>
      </c>
      <c r="I621" s="158">
        <v>797</v>
      </c>
      <c r="J621" s="158" t="s">
        <v>58</v>
      </c>
      <c r="K621" s="159" t="s">
        <v>1318</v>
      </c>
      <c r="L621" s="159" t="s">
        <v>82</v>
      </c>
      <c r="M621" s="159" t="s">
        <v>60</v>
      </c>
      <c r="N621" s="170">
        <v>44180</v>
      </c>
      <c r="O621" s="159" t="s">
        <v>82</v>
      </c>
      <c r="P621" s="159" t="s">
        <v>82</v>
      </c>
      <c r="Q621" s="159" t="s">
        <v>75</v>
      </c>
      <c r="R621" s="159" t="s">
        <v>82</v>
      </c>
      <c r="S621" s="159" t="s">
        <v>68</v>
      </c>
      <c r="T621" s="159" t="s">
        <v>68</v>
      </c>
      <c r="U621" s="165" t="s">
        <v>82</v>
      </c>
      <c r="V621" s="159" t="s">
        <v>82</v>
      </c>
      <c r="W621" s="159" t="s">
        <v>75</v>
      </c>
      <c r="X621" s="159" t="s">
        <v>869</v>
      </c>
      <c r="Y621" s="159" t="s">
        <v>869</v>
      </c>
      <c r="Z621" s="159" t="s">
        <v>82</v>
      </c>
      <c r="AA621" s="158" t="s">
        <v>82</v>
      </c>
      <c r="AB621" s="158" t="s">
        <v>82</v>
      </c>
      <c r="AC621" s="159" t="s">
        <v>82</v>
      </c>
      <c r="AD621" s="153"/>
      <c r="AE621" s="120"/>
    </row>
    <row r="622" spans="1:31" ht="23.4" x14ac:dyDescent="0.25">
      <c r="A622" s="121" t="s">
        <v>82</v>
      </c>
      <c r="B622" s="144">
        <v>37403</v>
      </c>
      <c r="C622" s="154" t="s">
        <v>64</v>
      </c>
      <c r="D622" s="155" t="s">
        <v>1606</v>
      </c>
      <c r="E622" s="156" t="s">
        <v>1927</v>
      </c>
      <c r="F622" s="156" t="s">
        <v>1102</v>
      </c>
      <c r="G622" s="156" t="s">
        <v>14</v>
      </c>
      <c r="H622" s="157">
        <v>44041</v>
      </c>
      <c r="I622" s="158">
        <v>796</v>
      </c>
      <c r="J622" s="158" t="s">
        <v>58</v>
      </c>
      <c r="K622" s="165" t="s">
        <v>59</v>
      </c>
      <c r="L622" s="170">
        <v>44216</v>
      </c>
      <c r="M622" s="159" t="s">
        <v>60</v>
      </c>
      <c r="N622" s="170">
        <v>44180</v>
      </c>
      <c r="O622" s="159" t="s">
        <v>82</v>
      </c>
      <c r="P622" s="159" t="s">
        <v>82</v>
      </c>
      <c r="Q622" s="159" t="s">
        <v>75</v>
      </c>
      <c r="R622" s="159" t="s">
        <v>68</v>
      </c>
      <c r="S622" s="159" t="s">
        <v>82</v>
      </c>
      <c r="T622" s="159" t="s">
        <v>68</v>
      </c>
      <c r="U622" s="165" t="s">
        <v>82</v>
      </c>
      <c r="V622" s="159" t="s">
        <v>82</v>
      </c>
      <c r="W622" s="159" t="s">
        <v>75</v>
      </c>
      <c r="X622" s="159" t="s">
        <v>869</v>
      </c>
      <c r="Y622" s="159" t="s">
        <v>869</v>
      </c>
      <c r="Z622" s="159" t="s">
        <v>82</v>
      </c>
      <c r="AA622" s="158" t="s">
        <v>82</v>
      </c>
      <c r="AB622" s="158" t="s">
        <v>82</v>
      </c>
      <c r="AC622" s="159" t="s">
        <v>82</v>
      </c>
      <c r="AD622" s="153"/>
      <c r="AE622" s="120"/>
    </row>
    <row r="623" spans="1:31" ht="23.4" x14ac:dyDescent="0.25">
      <c r="A623" s="121" t="s">
        <v>82</v>
      </c>
      <c r="B623" s="144">
        <v>37403</v>
      </c>
      <c r="C623" s="154" t="s">
        <v>54</v>
      </c>
      <c r="D623" s="155" t="s">
        <v>1608</v>
      </c>
      <c r="E623" s="156" t="s">
        <v>1927</v>
      </c>
      <c r="F623" s="156" t="s">
        <v>1102</v>
      </c>
      <c r="G623" s="156" t="s">
        <v>14</v>
      </c>
      <c r="H623" s="157">
        <v>44041</v>
      </c>
      <c r="I623" s="158">
        <v>793</v>
      </c>
      <c r="J623" s="158" t="s">
        <v>58</v>
      </c>
      <c r="K623" s="165" t="s">
        <v>59</v>
      </c>
      <c r="L623" s="170">
        <v>44216</v>
      </c>
      <c r="M623" s="159" t="s">
        <v>60</v>
      </c>
      <c r="N623" s="170">
        <v>44180</v>
      </c>
      <c r="O623" s="159" t="s">
        <v>82</v>
      </c>
      <c r="P623" s="159" t="s">
        <v>82</v>
      </c>
      <c r="Q623" s="159" t="s">
        <v>75</v>
      </c>
      <c r="R623" s="159" t="s">
        <v>62</v>
      </c>
      <c r="S623" s="159" t="s">
        <v>82</v>
      </c>
      <c r="T623" s="159" t="s">
        <v>62</v>
      </c>
      <c r="U623" s="165" t="s">
        <v>82</v>
      </c>
      <c r="V623" s="159" t="s">
        <v>82</v>
      </c>
      <c r="W623" s="159" t="s">
        <v>75</v>
      </c>
      <c r="X623" s="159" t="s">
        <v>869</v>
      </c>
      <c r="Y623" s="159" t="s">
        <v>869</v>
      </c>
      <c r="Z623" s="159" t="s">
        <v>82</v>
      </c>
      <c r="AA623" s="158" t="s">
        <v>82</v>
      </c>
      <c r="AB623" s="158" t="s">
        <v>82</v>
      </c>
      <c r="AC623" s="159" t="s">
        <v>82</v>
      </c>
      <c r="AD623" s="153"/>
      <c r="AE623" s="120"/>
    </row>
    <row r="624" spans="1:31" x14ac:dyDescent="0.25">
      <c r="A624" s="121" t="s">
        <v>82</v>
      </c>
      <c r="B624" s="144">
        <v>37405</v>
      </c>
      <c r="C624" s="154" t="s">
        <v>64</v>
      </c>
      <c r="D624" s="155" t="s">
        <v>1609</v>
      </c>
      <c r="E624" s="156" t="s">
        <v>1927</v>
      </c>
      <c r="F624" s="156" t="s">
        <v>1102</v>
      </c>
      <c r="G624" s="156" t="s">
        <v>14</v>
      </c>
      <c r="H624" s="157">
        <v>44040</v>
      </c>
      <c r="I624" s="158">
        <v>790</v>
      </c>
      <c r="J624" s="158" t="s">
        <v>58</v>
      </c>
      <c r="K624" s="159" t="s">
        <v>680</v>
      </c>
      <c r="L624" s="170">
        <v>44368</v>
      </c>
      <c r="M624" s="159" t="s">
        <v>60</v>
      </c>
      <c r="N624" s="170">
        <v>44181</v>
      </c>
      <c r="O624" s="159" t="s">
        <v>82</v>
      </c>
      <c r="P624" s="159" t="s">
        <v>82</v>
      </c>
      <c r="Q624" s="159" t="s">
        <v>75</v>
      </c>
      <c r="R624" s="159" t="s">
        <v>68</v>
      </c>
      <c r="S624" s="159" t="s">
        <v>68</v>
      </c>
      <c r="T624" s="159" t="s">
        <v>68</v>
      </c>
      <c r="U624" s="165" t="s">
        <v>82</v>
      </c>
      <c r="V624" s="159" t="s">
        <v>82</v>
      </c>
      <c r="W624" s="159" t="s">
        <v>75</v>
      </c>
      <c r="X624" s="159" t="s">
        <v>869</v>
      </c>
      <c r="Y624" s="159" t="s">
        <v>869</v>
      </c>
      <c r="Z624" s="159" t="s">
        <v>82</v>
      </c>
      <c r="AA624" s="158" t="s">
        <v>82</v>
      </c>
      <c r="AB624" s="158" t="s">
        <v>82</v>
      </c>
      <c r="AC624" s="159" t="s">
        <v>82</v>
      </c>
      <c r="AD624" s="153"/>
      <c r="AE624" s="120"/>
    </row>
    <row r="625" spans="1:31" ht="23.4" x14ac:dyDescent="0.25">
      <c r="A625" s="121" t="s">
        <v>82</v>
      </c>
      <c r="B625" s="144">
        <v>37405</v>
      </c>
      <c r="C625" s="154" t="s">
        <v>54</v>
      </c>
      <c r="D625" s="155" t="s">
        <v>1610</v>
      </c>
      <c r="E625" s="156" t="s">
        <v>1927</v>
      </c>
      <c r="F625" s="156" t="s">
        <v>1102</v>
      </c>
      <c r="G625" s="156" t="s">
        <v>14</v>
      </c>
      <c r="H625" s="157">
        <v>44040</v>
      </c>
      <c r="I625" s="158">
        <v>791</v>
      </c>
      <c r="J625" s="158" t="s">
        <v>58</v>
      </c>
      <c r="K625" s="165" t="s">
        <v>59</v>
      </c>
      <c r="L625" s="170">
        <v>44233</v>
      </c>
      <c r="M625" s="159" t="s">
        <v>60</v>
      </c>
      <c r="N625" s="170">
        <v>44181</v>
      </c>
      <c r="O625" s="159" t="s">
        <v>82</v>
      </c>
      <c r="P625" s="159" t="s">
        <v>82</v>
      </c>
      <c r="Q625" s="159" t="s">
        <v>75</v>
      </c>
      <c r="R625" s="159" t="s">
        <v>62</v>
      </c>
      <c r="S625" s="159" t="s">
        <v>62</v>
      </c>
      <c r="T625" s="159" t="s">
        <v>62</v>
      </c>
      <c r="U625" s="165" t="s">
        <v>82</v>
      </c>
      <c r="V625" s="159" t="s">
        <v>82</v>
      </c>
      <c r="W625" s="159" t="s">
        <v>75</v>
      </c>
      <c r="X625" s="159" t="s">
        <v>869</v>
      </c>
      <c r="Y625" s="159" t="s">
        <v>869</v>
      </c>
      <c r="Z625" s="159" t="s">
        <v>82</v>
      </c>
      <c r="AA625" s="158" t="s">
        <v>82</v>
      </c>
      <c r="AB625" s="158" t="s">
        <v>82</v>
      </c>
      <c r="AC625" s="159" t="s">
        <v>82</v>
      </c>
      <c r="AD625" s="153"/>
      <c r="AE625" s="120"/>
    </row>
    <row r="626" spans="1:31" ht="23.4" x14ac:dyDescent="0.25">
      <c r="A626" s="121" t="s">
        <v>82</v>
      </c>
      <c r="B626" s="144">
        <v>37408</v>
      </c>
      <c r="C626" s="154" t="s">
        <v>64</v>
      </c>
      <c r="D626" s="155" t="s">
        <v>1495</v>
      </c>
      <c r="E626" s="156" t="s">
        <v>1927</v>
      </c>
      <c r="F626" s="156" t="s">
        <v>1102</v>
      </c>
      <c r="G626" s="156" t="s">
        <v>14</v>
      </c>
      <c r="H626" s="157">
        <v>44057</v>
      </c>
      <c r="I626" s="158">
        <v>855</v>
      </c>
      <c r="J626" s="158" t="s">
        <v>58</v>
      </c>
      <c r="K626" s="165" t="s">
        <v>59</v>
      </c>
      <c r="L626" s="170">
        <v>44208</v>
      </c>
      <c r="M626" s="159" t="s">
        <v>60</v>
      </c>
      <c r="N626" s="170">
        <v>44189</v>
      </c>
      <c r="O626" s="159" t="s">
        <v>82</v>
      </c>
      <c r="P626" s="159" t="s">
        <v>82</v>
      </c>
      <c r="Q626" s="159" t="s">
        <v>75</v>
      </c>
      <c r="R626" s="159" t="s">
        <v>82</v>
      </c>
      <c r="S626" s="159" t="s">
        <v>68</v>
      </c>
      <c r="T626" s="159" t="s">
        <v>68</v>
      </c>
      <c r="U626" s="165" t="s">
        <v>82</v>
      </c>
      <c r="V626" s="159" t="s">
        <v>82</v>
      </c>
      <c r="W626" s="159" t="s">
        <v>75</v>
      </c>
      <c r="X626" s="159" t="s">
        <v>869</v>
      </c>
      <c r="Y626" s="159" t="s">
        <v>869</v>
      </c>
      <c r="Z626" s="159" t="s">
        <v>82</v>
      </c>
      <c r="AA626" s="158" t="s">
        <v>82</v>
      </c>
      <c r="AB626" s="158" t="s">
        <v>82</v>
      </c>
      <c r="AC626" s="159" t="s">
        <v>82</v>
      </c>
      <c r="AD626" s="153"/>
      <c r="AE626" s="120"/>
    </row>
    <row r="627" spans="1:31" ht="23.4" x14ac:dyDescent="0.25">
      <c r="A627" s="121" t="s">
        <v>82</v>
      </c>
      <c r="B627" s="144">
        <v>37408</v>
      </c>
      <c r="C627" s="154" t="s">
        <v>54</v>
      </c>
      <c r="D627" s="155" t="s">
        <v>1498</v>
      </c>
      <c r="E627" s="156" t="s">
        <v>1927</v>
      </c>
      <c r="F627" s="156" t="s">
        <v>1102</v>
      </c>
      <c r="G627" s="156" t="s">
        <v>14</v>
      </c>
      <c r="H627" s="157">
        <v>44057</v>
      </c>
      <c r="I627" s="158">
        <v>792</v>
      </c>
      <c r="J627" s="158" t="s">
        <v>58</v>
      </c>
      <c r="K627" s="165" t="s">
        <v>59</v>
      </c>
      <c r="L627" s="170">
        <v>44208</v>
      </c>
      <c r="M627" s="159" t="s">
        <v>60</v>
      </c>
      <c r="N627" s="170">
        <v>44189</v>
      </c>
      <c r="O627" s="159" t="s">
        <v>82</v>
      </c>
      <c r="P627" s="179">
        <v>44649</v>
      </c>
      <c r="Q627" s="159" t="s">
        <v>75</v>
      </c>
      <c r="R627" s="159" t="s">
        <v>82</v>
      </c>
      <c r="S627" s="159" t="s">
        <v>62</v>
      </c>
      <c r="T627" s="159" t="s">
        <v>62</v>
      </c>
      <c r="U627" s="165" t="s">
        <v>82</v>
      </c>
      <c r="V627" s="159" t="s">
        <v>82</v>
      </c>
      <c r="W627" s="159" t="s">
        <v>75</v>
      </c>
      <c r="X627" s="159" t="s">
        <v>869</v>
      </c>
      <c r="Y627" s="159" t="s">
        <v>869</v>
      </c>
      <c r="Z627" s="159" t="s">
        <v>82</v>
      </c>
      <c r="AA627" s="158" t="s">
        <v>82</v>
      </c>
      <c r="AB627" s="158" t="s">
        <v>82</v>
      </c>
      <c r="AC627" s="159" t="s">
        <v>82</v>
      </c>
      <c r="AD627" s="153"/>
      <c r="AE627" s="120"/>
    </row>
    <row r="628" spans="1:31" ht="23.4" x14ac:dyDescent="0.25">
      <c r="A628" s="121" t="s">
        <v>82</v>
      </c>
      <c r="B628" s="144">
        <v>37430</v>
      </c>
      <c r="C628" s="154" t="s">
        <v>64</v>
      </c>
      <c r="D628" s="155" t="s">
        <v>1101</v>
      </c>
      <c r="E628" s="156" t="s">
        <v>1927</v>
      </c>
      <c r="F628" s="156" t="s">
        <v>1102</v>
      </c>
      <c r="G628" s="156" t="s">
        <v>14</v>
      </c>
      <c r="H628" s="157">
        <v>44068</v>
      </c>
      <c r="I628" s="158">
        <v>859</v>
      </c>
      <c r="J628" s="158" t="s">
        <v>58</v>
      </c>
      <c r="K628" s="165" t="s">
        <v>59</v>
      </c>
      <c r="L628" s="170">
        <v>44207</v>
      </c>
      <c r="M628" s="159" t="s">
        <v>60</v>
      </c>
      <c r="N628" s="170">
        <v>44169</v>
      </c>
      <c r="O628" s="159" t="s">
        <v>82</v>
      </c>
      <c r="P628" s="179">
        <v>44649</v>
      </c>
      <c r="Q628" s="159" t="s">
        <v>75</v>
      </c>
      <c r="R628" s="159" t="s">
        <v>82</v>
      </c>
      <c r="S628" s="159" t="s">
        <v>68</v>
      </c>
      <c r="T628" s="159" t="s">
        <v>68</v>
      </c>
      <c r="U628" s="165" t="s">
        <v>82</v>
      </c>
      <c r="V628" s="159" t="s">
        <v>82</v>
      </c>
      <c r="W628" s="159" t="s">
        <v>75</v>
      </c>
      <c r="X628" s="159" t="s">
        <v>869</v>
      </c>
      <c r="Y628" s="159" t="s">
        <v>869</v>
      </c>
      <c r="Z628" s="159" t="s">
        <v>82</v>
      </c>
      <c r="AA628" s="158" t="s">
        <v>82</v>
      </c>
      <c r="AB628" s="158" t="s">
        <v>82</v>
      </c>
      <c r="AC628" s="159" t="s">
        <v>82</v>
      </c>
      <c r="AD628" s="153"/>
      <c r="AE628" s="120"/>
    </row>
    <row r="629" spans="1:31" ht="23.4" x14ac:dyDescent="0.25">
      <c r="A629" s="121" t="s">
        <v>82</v>
      </c>
      <c r="B629" s="144">
        <v>37430</v>
      </c>
      <c r="C629" s="154" t="s">
        <v>54</v>
      </c>
      <c r="D629" s="155" t="s">
        <v>1106</v>
      </c>
      <c r="E629" s="156" t="s">
        <v>1927</v>
      </c>
      <c r="F629" s="156" t="s">
        <v>1102</v>
      </c>
      <c r="G629" s="156" t="s">
        <v>14</v>
      </c>
      <c r="H629" s="157">
        <v>44068</v>
      </c>
      <c r="I629" s="158">
        <v>858</v>
      </c>
      <c r="J629" s="158" t="s">
        <v>58</v>
      </c>
      <c r="K629" s="165" t="s">
        <v>59</v>
      </c>
      <c r="L629" s="170">
        <v>44207</v>
      </c>
      <c r="M629" s="159" t="s">
        <v>60</v>
      </c>
      <c r="N629" s="170">
        <v>44169</v>
      </c>
      <c r="O629" s="159" t="s">
        <v>82</v>
      </c>
      <c r="P629" s="159" t="s">
        <v>82</v>
      </c>
      <c r="Q629" s="159" t="s">
        <v>75</v>
      </c>
      <c r="R629" s="159" t="s">
        <v>82</v>
      </c>
      <c r="S629" s="159" t="s">
        <v>62</v>
      </c>
      <c r="T629" s="159" t="s">
        <v>62</v>
      </c>
      <c r="U629" s="165" t="s">
        <v>82</v>
      </c>
      <c r="V629" s="159" t="s">
        <v>82</v>
      </c>
      <c r="W629" s="159" t="s">
        <v>75</v>
      </c>
      <c r="X629" s="159" t="s">
        <v>869</v>
      </c>
      <c r="Y629" s="159" t="s">
        <v>869</v>
      </c>
      <c r="Z629" s="159" t="s">
        <v>82</v>
      </c>
      <c r="AA629" s="158" t="s">
        <v>82</v>
      </c>
      <c r="AB629" s="158" t="s">
        <v>82</v>
      </c>
      <c r="AC629" s="159" t="s">
        <v>82</v>
      </c>
      <c r="AD629" s="153"/>
      <c r="AE629" s="120"/>
    </row>
    <row r="630" spans="1:31" ht="23.4" x14ac:dyDescent="0.25">
      <c r="A630" s="121" t="s">
        <v>82</v>
      </c>
      <c r="B630" s="144">
        <v>37432</v>
      </c>
      <c r="C630" s="154" t="s">
        <v>64</v>
      </c>
      <c r="D630" s="155" t="s">
        <v>1611</v>
      </c>
      <c r="E630" s="156" t="s">
        <v>1927</v>
      </c>
      <c r="F630" s="156" t="s">
        <v>1102</v>
      </c>
      <c r="G630" s="156" t="s">
        <v>14</v>
      </c>
      <c r="H630" s="157">
        <v>44068</v>
      </c>
      <c r="I630" s="158">
        <v>811</v>
      </c>
      <c r="J630" s="158" t="s">
        <v>58</v>
      </c>
      <c r="K630" s="165" t="s">
        <v>59</v>
      </c>
      <c r="L630" s="170">
        <v>44226</v>
      </c>
      <c r="M630" s="159" t="s">
        <v>60</v>
      </c>
      <c r="N630" s="170">
        <v>44172</v>
      </c>
      <c r="O630" s="159" t="s">
        <v>82</v>
      </c>
      <c r="P630" s="159" t="s">
        <v>82</v>
      </c>
      <c r="Q630" s="159" t="s">
        <v>75</v>
      </c>
      <c r="R630" s="159" t="s">
        <v>82</v>
      </c>
      <c r="S630" s="159" t="s">
        <v>68</v>
      </c>
      <c r="T630" s="159" t="s">
        <v>68</v>
      </c>
      <c r="U630" s="165" t="s">
        <v>82</v>
      </c>
      <c r="V630" s="159" t="s">
        <v>82</v>
      </c>
      <c r="W630" s="159" t="s">
        <v>75</v>
      </c>
      <c r="X630" s="159" t="s">
        <v>869</v>
      </c>
      <c r="Y630" s="159" t="s">
        <v>869</v>
      </c>
      <c r="Z630" s="159" t="s">
        <v>82</v>
      </c>
      <c r="AA630" s="158" t="s">
        <v>82</v>
      </c>
      <c r="AB630" s="158" t="s">
        <v>82</v>
      </c>
      <c r="AC630" s="159" t="s">
        <v>82</v>
      </c>
      <c r="AD630" s="153"/>
      <c r="AE630" s="120"/>
    </row>
    <row r="631" spans="1:31" ht="23.4" x14ac:dyDescent="0.25">
      <c r="A631" s="121" t="s">
        <v>82</v>
      </c>
      <c r="B631" s="144">
        <v>37432</v>
      </c>
      <c r="C631" s="154" t="s">
        <v>54</v>
      </c>
      <c r="D631" s="155" t="s">
        <v>1613</v>
      </c>
      <c r="E631" s="156" t="s">
        <v>1927</v>
      </c>
      <c r="F631" s="156" t="s">
        <v>1102</v>
      </c>
      <c r="G631" s="156" t="s">
        <v>14</v>
      </c>
      <c r="H631" s="157">
        <v>44068</v>
      </c>
      <c r="I631" s="158">
        <v>810</v>
      </c>
      <c r="J631" s="158" t="s">
        <v>58</v>
      </c>
      <c r="K631" s="165" t="s">
        <v>59</v>
      </c>
      <c r="L631" s="170">
        <v>44226</v>
      </c>
      <c r="M631" s="159" t="s">
        <v>60</v>
      </c>
      <c r="N631" s="170">
        <v>44172</v>
      </c>
      <c r="O631" s="159" t="s">
        <v>82</v>
      </c>
      <c r="P631" s="159" t="s">
        <v>82</v>
      </c>
      <c r="Q631" s="159" t="s">
        <v>75</v>
      </c>
      <c r="R631" s="159" t="s">
        <v>82</v>
      </c>
      <c r="S631" s="159" t="s">
        <v>62</v>
      </c>
      <c r="T631" s="159" t="s">
        <v>62</v>
      </c>
      <c r="U631" s="165" t="s">
        <v>82</v>
      </c>
      <c r="V631" s="159" t="s">
        <v>82</v>
      </c>
      <c r="W631" s="159" t="s">
        <v>75</v>
      </c>
      <c r="X631" s="159" t="s">
        <v>869</v>
      </c>
      <c r="Y631" s="159" t="s">
        <v>869</v>
      </c>
      <c r="Z631" s="159" t="s">
        <v>82</v>
      </c>
      <c r="AA631" s="158" t="s">
        <v>82</v>
      </c>
      <c r="AB631" s="158" t="s">
        <v>82</v>
      </c>
      <c r="AC631" s="159" t="s">
        <v>82</v>
      </c>
      <c r="AD631" s="153"/>
      <c r="AE631" s="120"/>
    </row>
    <row r="632" spans="1:31" x14ac:dyDescent="0.25">
      <c r="A632" s="121" t="s">
        <v>82</v>
      </c>
      <c r="B632" s="144">
        <v>37452</v>
      </c>
      <c r="C632" s="154" t="s">
        <v>64</v>
      </c>
      <c r="D632" s="155" t="s">
        <v>1615</v>
      </c>
      <c r="E632" s="156" t="s">
        <v>1927</v>
      </c>
      <c r="F632" s="156" t="s">
        <v>1102</v>
      </c>
      <c r="G632" s="156" t="s">
        <v>14</v>
      </c>
      <c r="H632" s="157">
        <v>44124</v>
      </c>
      <c r="I632" s="158">
        <v>832</v>
      </c>
      <c r="J632" s="158" t="s">
        <v>58</v>
      </c>
      <c r="K632" s="159" t="s">
        <v>1403</v>
      </c>
      <c r="L632" s="170">
        <v>44251</v>
      </c>
      <c r="M632" s="159" t="s">
        <v>60</v>
      </c>
      <c r="N632" s="170">
        <v>44173</v>
      </c>
      <c r="O632" s="159" t="s">
        <v>82</v>
      </c>
      <c r="P632" s="159" t="s">
        <v>82</v>
      </c>
      <c r="Q632" s="159" t="s">
        <v>75</v>
      </c>
      <c r="R632" s="159" t="s">
        <v>82</v>
      </c>
      <c r="S632" s="159" t="s">
        <v>82</v>
      </c>
      <c r="T632" s="159" t="s">
        <v>68</v>
      </c>
      <c r="U632" s="165" t="s">
        <v>82</v>
      </c>
      <c r="V632" s="159" t="s">
        <v>82</v>
      </c>
      <c r="W632" s="159" t="s">
        <v>75</v>
      </c>
      <c r="X632" s="159" t="s">
        <v>869</v>
      </c>
      <c r="Y632" s="159" t="s">
        <v>869</v>
      </c>
      <c r="Z632" s="159" t="s">
        <v>82</v>
      </c>
      <c r="AA632" s="158" t="s">
        <v>82</v>
      </c>
      <c r="AB632" s="158" t="s">
        <v>82</v>
      </c>
      <c r="AC632" s="159" t="s">
        <v>82</v>
      </c>
      <c r="AD632" s="153"/>
      <c r="AE632" s="120"/>
    </row>
    <row r="633" spans="1:31" x14ac:dyDescent="0.25">
      <c r="A633" s="121" t="s">
        <v>82</v>
      </c>
      <c r="B633" s="144">
        <v>37452</v>
      </c>
      <c r="C633" s="154" t="s">
        <v>54</v>
      </c>
      <c r="D633" s="155" t="s">
        <v>2069</v>
      </c>
      <c r="E633" s="156" t="s">
        <v>1927</v>
      </c>
      <c r="F633" s="156" t="s">
        <v>1102</v>
      </c>
      <c r="G633" s="156" t="s">
        <v>14</v>
      </c>
      <c r="H633" s="157">
        <v>44124</v>
      </c>
      <c r="I633" s="158">
        <v>833</v>
      </c>
      <c r="J633" s="158" t="s">
        <v>58</v>
      </c>
      <c r="K633" s="159" t="s">
        <v>1403</v>
      </c>
      <c r="L633" s="170">
        <v>44251</v>
      </c>
      <c r="M633" s="159" t="s">
        <v>60</v>
      </c>
      <c r="N633" s="170">
        <v>44173</v>
      </c>
      <c r="O633" s="159" t="s">
        <v>82</v>
      </c>
      <c r="P633" s="159" t="s">
        <v>82</v>
      </c>
      <c r="Q633" s="159" t="s">
        <v>75</v>
      </c>
      <c r="R633" s="159" t="s">
        <v>82</v>
      </c>
      <c r="S633" s="159" t="s">
        <v>82</v>
      </c>
      <c r="T633" s="159" t="s">
        <v>62</v>
      </c>
      <c r="U633" s="165" t="s">
        <v>82</v>
      </c>
      <c r="V633" s="159" t="s">
        <v>82</v>
      </c>
      <c r="W633" s="159" t="s">
        <v>75</v>
      </c>
      <c r="X633" s="159" t="s">
        <v>869</v>
      </c>
      <c r="Y633" s="159" t="s">
        <v>869</v>
      </c>
      <c r="Z633" s="159" t="s">
        <v>82</v>
      </c>
      <c r="AA633" s="158" t="s">
        <v>82</v>
      </c>
      <c r="AB633" s="158" t="s">
        <v>82</v>
      </c>
      <c r="AC633" s="159" t="s">
        <v>82</v>
      </c>
      <c r="AD633" s="153"/>
      <c r="AE633" s="120"/>
    </row>
    <row r="634" spans="1:31" ht="23.4" x14ac:dyDescent="0.25">
      <c r="A634" s="121" t="s">
        <v>82</v>
      </c>
      <c r="B634" s="144">
        <v>37456</v>
      </c>
      <c r="C634" s="154" t="s">
        <v>64</v>
      </c>
      <c r="D634" s="155" t="s">
        <v>1618</v>
      </c>
      <c r="E634" s="156" t="s">
        <v>1927</v>
      </c>
      <c r="F634" s="156" t="s">
        <v>1102</v>
      </c>
      <c r="G634" s="156" t="s">
        <v>14</v>
      </c>
      <c r="H634" s="157">
        <v>44126</v>
      </c>
      <c r="I634" s="158">
        <v>920</v>
      </c>
      <c r="J634" s="158" t="s">
        <v>58</v>
      </c>
      <c r="K634" s="165" t="s">
        <v>59</v>
      </c>
      <c r="L634" s="159" t="s">
        <v>75</v>
      </c>
      <c r="M634" s="159" t="s">
        <v>60</v>
      </c>
      <c r="N634" s="170">
        <v>44189</v>
      </c>
      <c r="O634" s="170">
        <v>44290</v>
      </c>
      <c r="P634" s="179">
        <v>44634</v>
      </c>
      <c r="Q634" s="159" t="s">
        <v>75</v>
      </c>
      <c r="R634" s="159" t="s">
        <v>82</v>
      </c>
      <c r="S634" s="159" t="s">
        <v>68</v>
      </c>
      <c r="T634" s="159" t="s">
        <v>68</v>
      </c>
      <c r="U634" s="161" t="s">
        <v>82</v>
      </c>
      <c r="V634" s="159" t="s">
        <v>82</v>
      </c>
      <c r="W634" s="159" t="s">
        <v>75</v>
      </c>
      <c r="X634" s="159" t="s">
        <v>869</v>
      </c>
      <c r="Y634" s="159" t="s">
        <v>869</v>
      </c>
      <c r="Z634" s="159" t="s">
        <v>82</v>
      </c>
      <c r="AA634" s="158" t="s">
        <v>82</v>
      </c>
      <c r="AB634" s="158" t="s">
        <v>82</v>
      </c>
      <c r="AC634" s="159" t="s">
        <v>82</v>
      </c>
      <c r="AD634" s="153"/>
      <c r="AE634" s="120"/>
    </row>
    <row r="635" spans="1:31" ht="23.4" x14ac:dyDescent="0.25">
      <c r="A635" s="121" t="s">
        <v>82</v>
      </c>
      <c r="B635" s="144">
        <v>37456</v>
      </c>
      <c r="C635" s="154" t="s">
        <v>54</v>
      </c>
      <c r="D635" s="155" t="s">
        <v>1620</v>
      </c>
      <c r="E635" s="156" t="s">
        <v>1927</v>
      </c>
      <c r="F635" s="156" t="s">
        <v>1102</v>
      </c>
      <c r="G635" s="156" t="s">
        <v>14</v>
      </c>
      <c r="H635" s="157">
        <v>44126</v>
      </c>
      <c r="I635" s="158">
        <v>921</v>
      </c>
      <c r="J635" s="158" t="s">
        <v>58</v>
      </c>
      <c r="K635" s="165" t="s">
        <v>59</v>
      </c>
      <c r="L635" s="159" t="s">
        <v>75</v>
      </c>
      <c r="M635" s="159" t="s">
        <v>60</v>
      </c>
      <c r="N635" s="170">
        <v>44189</v>
      </c>
      <c r="O635" s="170">
        <v>44290</v>
      </c>
      <c r="P635" s="179">
        <v>44634</v>
      </c>
      <c r="Q635" s="159" t="s">
        <v>75</v>
      </c>
      <c r="R635" s="159" t="s">
        <v>82</v>
      </c>
      <c r="S635" s="159" t="s">
        <v>62</v>
      </c>
      <c r="T635" s="159" t="s">
        <v>62</v>
      </c>
      <c r="U635" s="161" t="s">
        <v>82</v>
      </c>
      <c r="V635" s="159" t="s">
        <v>82</v>
      </c>
      <c r="W635" s="159" t="s">
        <v>75</v>
      </c>
      <c r="X635" s="159" t="s">
        <v>869</v>
      </c>
      <c r="Y635" s="159" t="s">
        <v>869</v>
      </c>
      <c r="Z635" s="159" t="s">
        <v>82</v>
      </c>
      <c r="AA635" s="158" t="s">
        <v>82</v>
      </c>
      <c r="AB635" s="158" t="s">
        <v>82</v>
      </c>
      <c r="AC635" s="159" t="s">
        <v>82</v>
      </c>
      <c r="AD635" s="153"/>
      <c r="AE635" s="120"/>
    </row>
    <row r="636" spans="1:31" ht="23.4" x14ac:dyDescent="0.25">
      <c r="A636" s="121" t="s">
        <v>82</v>
      </c>
      <c r="B636" s="144">
        <v>37502</v>
      </c>
      <c r="C636" s="154" t="s">
        <v>64</v>
      </c>
      <c r="D636" s="155" t="s">
        <v>1621</v>
      </c>
      <c r="E636" s="156" t="s">
        <v>1927</v>
      </c>
      <c r="F636" s="156" t="s">
        <v>1102</v>
      </c>
      <c r="G636" s="156" t="s">
        <v>14</v>
      </c>
      <c r="H636" s="157">
        <v>44189</v>
      </c>
      <c r="I636" s="158">
        <v>952</v>
      </c>
      <c r="J636" s="158" t="s">
        <v>58</v>
      </c>
      <c r="K636" s="165" t="s">
        <v>59</v>
      </c>
      <c r="L636" s="159" t="s">
        <v>75</v>
      </c>
      <c r="M636" s="159" t="s">
        <v>60</v>
      </c>
      <c r="N636" s="159" t="s">
        <v>75</v>
      </c>
      <c r="O636" s="159" t="s">
        <v>82</v>
      </c>
      <c r="P636" s="180" t="s">
        <v>82</v>
      </c>
      <c r="Q636" s="159" t="s">
        <v>75</v>
      </c>
      <c r="R636" s="159" t="s">
        <v>82</v>
      </c>
      <c r="S636" s="159" t="s">
        <v>68</v>
      </c>
      <c r="T636" s="159" t="s">
        <v>68</v>
      </c>
      <c r="U636" s="161" t="s">
        <v>82</v>
      </c>
      <c r="V636" s="159" t="s">
        <v>82</v>
      </c>
      <c r="W636" s="159" t="s">
        <v>75</v>
      </c>
      <c r="X636" s="159" t="s">
        <v>869</v>
      </c>
      <c r="Y636" s="159" t="s">
        <v>869</v>
      </c>
      <c r="Z636" s="159" t="s">
        <v>82</v>
      </c>
      <c r="AA636" s="158" t="s">
        <v>82</v>
      </c>
      <c r="AB636" s="158" t="s">
        <v>82</v>
      </c>
      <c r="AC636" s="159" t="s">
        <v>82</v>
      </c>
      <c r="AD636" s="153"/>
      <c r="AE636" s="120"/>
    </row>
    <row r="637" spans="1:31" ht="23.4" x14ac:dyDescent="0.25">
      <c r="A637" s="121" t="s">
        <v>82</v>
      </c>
      <c r="B637" s="144">
        <v>37502</v>
      </c>
      <c r="C637" s="154" t="s">
        <v>54</v>
      </c>
      <c r="D637" s="155" t="s">
        <v>1624</v>
      </c>
      <c r="E637" s="156" t="s">
        <v>1927</v>
      </c>
      <c r="F637" s="156" t="s">
        <v>1102</v>
      </c>
      <c r="G637" s="156" t="s">
        <v>14</v>
      </c>
      <c r="H637" s="157">
        <v>44189</v>
      </c>
      <c r="I637" s="158">
        <v>953</v>
      </c>
      <c r="J637" s="158" t="s">
        <v>58</v>
      </c>
      <c r="K637" s="165" t="s">
        <v>59</v>
      </c>
      <c r="L637" s="159" t="s">
        <v>75</v>
      </c>
      <c r="M637" s="159" t="s">
        <v>60</v>
      </c>
      <c r="N637" s="159" t="s">
        <v>75</v>
      </c>
      <c r="O637" s="159" t="s">
        <v>82</v>
      </c>
      <c r="P637" s="159" t="s">
        <v>82</v>
      </c>
      <c r="Q637" s="159" t="s">
        <v>75</v>
      </c>
      <c r="R637" s="159" t="s">
        <v>82</v>
      </c>
      <c r="S637" s="159" t="s">
        <v>62</v>
      </c>
      <c r="T637" s="159" t="s">
        <v>62</v>
      </c>
      <c r="U637" s="161" t="s">
        <v>82</v>
      </c>
      <c r="V637" s="159" t="s">
        <v>82</v>
      </c>
      <c r="W637" s="159" t="s">
        <v>75</v>
      </c>
      <c r="X637" s="159" t="s">
        <v>869</v>
      </c>
      <c r="Y637" s="159" t="s">
        <v>869</v>
      </c>
      <c r="Z637" s="159" t="s">
        <v>82</v>
      </c>
      <c r="AA637" s="158" t="s">
        <v>82</v>
      </c>
      <c r="AB637" s="158" t="s">
        <v>82</v>
      </c>
      <c r="AC637" s="159" t="s">
        <v>82</v>
      </c>
      <c r="AD637" s="153"/>
      <c r="AE637" s="120"/>
    </row>
    <row r="638" spans="1:31" ht="23.4" x14ac:dyDescent="0.25">
      <c r="A638" s="121" t="s">
        <v>82</v>
      </c>
      <c r="B638" s="144">
        <v>39093</v>
      </c>
      <c r="C638" s="154" t="s">
        <v>64</v>
      </c>
      <c r="D638" s="155" t="s">
        <v>1634</v>
      </c>
      <c r="E638" s="156" t="s">
        <v>1927</v>
      </c>
      <c r="F638" s="156" t="s">
        <v>1102</v>
      </c>
      <c r="G638" s="156" t="s">
        <v>14</v>
      </c>
      <c r="H638" s="157">
        <v>43724</v>
      </c>
      <c r="I638" s="158">
        <v>539</v>
      </c>
      <c r="J638" s="158" t="s">
        <v>58</v>
      </c>
      <c r="K638" s="165" t="s">
        <v>59</v>
      </c>
      <c r="L638" s="170">
        <v>44146</v>
      </c>
      <c r="M638" s="159" t="s">
        <v>60</v>
      </c>
      <c r="N638" s="170">
        <v>44173</v>
      </c>
      <c r="O638" s="159" t="s">
        <v>82</v>
      </c>
      <c r="P638" s="159" t="s">
        <v>82</v>
      </c>
      <c r="Q638" s="159" t="s">
        <v>75</v>
      </c>
      <c r="R638" s="159" t="s">
        <v>82</v>
      </c>
      <c r="S638" s="159" t="s">
        <v>68</v>
      </c>
      <c r="T638" s="159" t="s">
        <v>68</v>
      </c>
      <c r="U638" s="165" t="s">
        <v>82</v>
      </c>
      <c r="V638" s="159" t="s">
        <v>82</v>
      </c>
      <c r="W638" s="159" t="s">
        <v>82</v>
      </c>
      <c r="X638" s="159" t="s">
        <v>869</v>
      </c>
      <c r="Y638" s="159" t="s">
        <v>869</v>
      </c>
      <c r="Z638" s="159" t="s">
        <v>82</v>
      </c>
      <c r="AA638" s="158" t="s">
        <v>82</v>
      </c>
      <c r="AB638" s="158" t="s">
        <v>82</v>
      </c>
      <c r="AC638" s="159" t="s">
        <v>82</v>
      </c>
      <c r="AD638" s="153"/>
      <c r="AE638" s="120"/>
    </row>
    <row r="639" spans="1:31" ht="23.4" x14ac:dyDescent="0.25">
      <c r="A639" s="121" t="s">
        <v>82</v>
      </c>
      <c r="B639" s="144">
        <v>39093</v>
      </c>
      <c r="C639" s="154" t="s">
        <v>54</v>
      </c>
      <c r="D639" s="155" t="s">
        <v>1635</v>
      </c>
      <c r="E639" s="156" t="s">
        <v>1927</v>
      </c>
      <c r="F639" s="156" t="s">
        <v>1102</v>
      </c>
      <c r="G639" s="156" t="s">
        <v>14</v>
      </c>
      <c r="H639" s="157">
        <v>43724</v>
      </c>
      <c r="I639" s="158">
        <v>536</v>
      </c>
      <c r="J639" s="158" t="s">
        <v>58</v>
      </c>
      <c r="K639" s="165" t="s">
        <v>59</v>
      </c>
      <c r="L639" s="170">
        <v>44146</v>
      </c>
      <c r="M639" s="159" t="s">
        <v>60</v>
      </c>
      <c r="N639" s="170">
        <v>44173</v>
      </c>
      <c r="O639" s="159" t="s">
        <v>82</v>
      </c>
      <c r="P639" s="159" t="s">
        <v>82</v>
      </c>
      <c r="Q639" s="159" t="s">
        <v>75</v>
      </c>
      <c r="R639" s="159" t="s">
        <v>82</v>
      </c>
      <c r="S639" s="159" t="s">
        <v>62</v>
      </c>
      <c r="T639" s="159" t="s">
        <v>62</v>
      </c>
      <c r="U639" s="165" t="s">
        <v>82</v>
      </c>
      <c r="V639" s="159" t="s">
        <v>82</v>
      </c>
      <c r="W639" s="159" t="s">
        <v>82</v>
      </c>
      <c r="X639" s="159" t="s">
        <v>869</v>
      </c>
      <c r="Y639" s="159" t="s">
        <v>869</v>
      </c>
      <c r="Z639" s="159" t="s">
        <v>82</v>
      </c>
      <c r="AA639" s="158" t="s">
        <v>82</v>
      </c>
      <c r="AB639" s="158" t="s">
        <v>82</v>
      </c>
      <c r="AC639" s="159" t="s">
        <v>82</v>
      </c>
      <c r="AD639" s="153"/>
      <c r="AE639" s="120"/>
    </row>
    <row r="640" spans="1:31" ht="23.4" x14ac:dyDescent="0.25">
      <c r="A640" s="121" t="s">
        <v>82</v>
      </c>
      <c r="B640" s="144">
        <v>39095</v>
      </c>
      <c r="C640" s="154" t="s">
        <v>64</v>
      </c>
      <c r="D640" s="158" t="s">
        <v>1637</v>
      </c>
      <c r="E640" s="156" t="s">
        <v>1927</v>
      </c>
      <c r="F640" s="156" t="s">
        <v>1102</v>
      </c>
      <c r="G640" s="156" t="s">
        <v>14</v>
      </c>
      <c r="H640" s="157">
        <v>43728</v>
      </c>
      <c r="I640" s="158">
        <v>590</v>
      </c>
      <c r="J640" s="158" t="s">
        <v>58</v>
      </c>
      <c r="K640" s="165" t="s">
        <v>59</v>
      </c>
      <c r="L640" s="170">
        <v>44256</v>
      </c>
      <c r="M640" s="159" t="s">
        <v>60</v>
      </c>
      <c r="N640" s="170">
        <v>44179</v>
      </c>
      <c r="O640" s="170">
        <v>44287</v>
      </c>
      <c r="P640" s="179">
        <v>44637</v>
      </c>
      <c r="Q640" s="159" t="s">
        <v>75</v>
      </c>
      <c r="R640" s="159" t="s">
        <v>82</v>
      </c>
      <c r="S640" s="159" t="s">
        <v>68</v>
      </c>
      <c r="T640" s="159" t="s">
        <v>68</v>
      </c>
      <c r="U640" s="165" t="s">
        <v>82</v>
      </c>
      <c r="V640" s="159" t="s">
        <v>82</v>
      </c>
      <c r="W640" s="159" t="s">
        <v>82</v>
      </c>
      <c r="X640" s="159" t="s">
        <v>869</v>
      </c>
      <c r="Y640" s="159" t="s">
        <v>869</v>
      </c>
      <c r="Z640" s="159" t="s">
        <v>82</v>
      </c>
      <c r="AA640" s="158" t="s">
        <v>82</v>
      </c>
      <c r="AB640" s="158" t="s">
        <v>82</v>
      </c>
      <c r="AC640" s="159" t="s">
        <v>82</v>
      </c>
      <c r="AD640" s="153"/>
      <c r="AE640" s="120"/>
    </row>
    <row r="641" spans="1:31" ht="23.4" x14ac:dyDescent="0.25">
      <c r="A641" s="121" t="s">
        <v>82</v>
      </c>
      <c r="B641" s="144">
        <v>39095</v>
      </c>
      <c r="C641" s="154" t="s">
        <v>54</v>
      </c>
      <c r="D641" s="158" t="s">
        <v>1639</v>
      </c>
      <c r="E641" s="156" t="s">
        <v>1927</v>
      </c>
      <c r="F641" s="156" t="s">
        <v>1102</v>
      </c>
      <c r="G641" s="156" t="s">
        <v>14</v>
      </c>
      <c r="H641" s="157">
        <v>43728</v>
      </c>
      <c r="I641" s="158">
        <v>591</v>
      </c>
      <c r="J641" s="158" t="s">
        <v>58</v>
      </c>
      <c r="K641" s="165" t="s">
        <v>59</v>
      </c>
      <c r="L641" s="170">
        <v>44256</v>
      </c>
      <c r="M641" s="159" t="s">
        <v>60</v>
      </c>
      <c r="N641" s="170">
        <v>44179</v>
      </c>
      <c r="O641" s="170">
        <v>44287</v>
      </c>
      <c r="P641" s="179">
        <v>44637</v>
      </c>
      <c r="Q641" s="159" t="s">
        <v>75</v>
      </c>
      <c r="R641" s="159" t="s">
        <v>82</v>
      </c>
      <c r="S641" s="159" t="s">
        <v>62</v>
      </c>
      <c r="T641" s="159" t="s">
        <v>62</v>
      </c>
      <c r="U641" s="165" t="s">
        <v>82</v>
      </c>
      <c r="V641" s="159" t="s">
        <v>82</v>
      </c>
      <c r="W641" s="159" t="s">
        <v>82</v>
      </c>
      <c r="X641" s="159" t="s">
        <v>869</v>
      </c>
      <c r="Y641" s="159" t="s">
        <v>869</v>
      </c>
      <c r="Z641" s="159" t="s">
        <v>82</v>
      </c>
      <c r="AA641" s="158" t="s">
        <v>82</v>
      </c>
      <c r="AB641" s="158" t="s">
        <v>82</v>
      </c>
      <c r="AC641" s="159" t="s">
        <v>82</v>
      </c>
      <c r="AD641" s="153"/>
      <c r="AE641" s="120"/>
    </row>
    <row r="642" spans="1:31" ht="23.4" x14ac:dyDescent="0.25">
      <c r="A642" s="121" t="s">
        <v>82</v>
      </c>
      <c r="B642" s="144">
        <v>39132</v>
      </c>
      <c r="C642" s="154" t="s">
        <v>64</v>
      </c>
      <c r="D642" s="155" t="s">
        <v>1642</v>
      </c>
      <c r="E642" s="156" t="s">
        <v>1927</v>
      </c>
      <c r="F642" s="156" t="s">
        <v>1102</v>
      </c>
      <c r="G642" s="156" t="s">
        <v>14</v>
      </c>
      <c r="H642" s="157">
        <v>43889</v>
      </c>
      <c r="I642" s="158">
        <v>665</v>
      </c>
      <c r="J642" s="158" t="s">
        <v>58</v>
      </c>
      <c r="K642" s="165" t="s">
        <v>59</v>
      </c>
      <c r="L642" s="170">
        <v>44090</v>
      </c>
      <c r="M642" s="159" t="s">
        <v>60</v>
      </c>
      <c r="N642" s="170">
        <v>44207</v>
      </c>
      <c r="O642" s="159" t="s">
        <v>82</v>
      </c>
      <c r="P642" s="159" t="s">
        <v>82</v>
      </c>
      <c r="Q642" s="159" t="s">
        <v>75</v>
      </c>
      <c r="R642" s="159" t="s">
        <v>82</v>
      </c>
      <c r="S642" s="159" t="s">
        <v>68</v>
      </c>
      <c r="T642" s="159" t="s">
        <v>68</v>
      </c>
      <c r="U642" s="165" t="s">
        <v>82</v>
      </c>
      <c r="V642" s="159" t="s">
        <v>82</v>
      </c>
      <c r="W642" s="159" t="s">
        <v>82</v>
      </c>
      <c r="X642" s="159" t="s">
        <v>869</v>
      </c>
      <c r="Y642" s="159" t="s">
        <v>869</v>
      </c>
      <c r="Z642" s="159" t="s">
        <v>82</v>
      </c>
      <c r="AA642" s="158" t="s">
        <v>82</v>
      </c>
      <c r="AB642" s="158" t="s">
        <v>82</v>
      </c>
      <c r="AC642" s="159" t="s">
        <v>82</v>
      </c>
      <c r="AD642" s="153"/>
      <c r="AE642" s="120"/>
    </row>
    <row r="643" spans="1:31" x14ac:dyDescent="0.25">
      <c r="A643" s="121" t="s">
        <v>82</v>
      </c>
      <c r="B643" s="144">
        <v>39132</v>
      </c>
      <c r="C643" s="154" t="s">
        <v>54</v>
      </c>
      <c r="D643" s="156" t="s">
        <v>1645</v>
      </c>
      <c r="E643" s="156" t="s">
        <v>1927</v>
      </c>
      <c r="F643" s="156" t="s">
        <v>1102</v>
      </c>
      <c r="G643" s="156" t="s">
        <v>14</v>
      </c>
      <c r="H643" s="157">
        <v>43889</v>
      </c>
      <c r="I643" s="158">
        <v>667</v>
      </c>
      <c r="J643" s="158" t="s">
        <v>58</v>
      </c>
      <c r="K643" s="159" t="s">
        <v>680</v>
      </c>
      <c r="L643" s="170">
        <v>44090</v>
      </c>
      <c r="M643" s="159" t="s">
        <v>60</v>
      </c>
      <c r="N643" s="170">
        <v>44207</v>
      </c>
      <c r="O643" s="159" t="s">
        <v>82</v>
      </c>
      <c r="P643" s="159" t="s">
        <v>82</v>
      </c>
      <c r="Q643" s="159" t="s">
        <v>75</v>
      </c>
      <c r="R643" s="159" t="s">
        <v>82</v>
      </c>
      <c r="S643" s="159" t="s">
        <v>82</v>
      </c>
      <c r="T643" s="159" t="s">
        <v>82</v>
      </c>
      <c r="U643" s="159" t="s">
        <v>82</v>
      </c>
      <c r="V643" s="159" t="s">
        <v>82</v>
      </c>
      <c r="W643" s="159" t="s">
        <v>82</v>
      </c>
      <c r="X643" s="159" t="s">
        <v>82</v>
      </c>
      <c r="Y643" s="159" t="s">
        <v>82</v>
      </c>
      <c r="Z643" s="159" t="s">
        <v>82</v>
      </c>
      <c r="AA643" s="158" t="s">
        <v>82</v>
      </c>
      <c r="AB643" s="158" t="s">
        <v>82</v>
      </c>
      <c r="AC643" s="159" t="s">
        <v>82</v>
      </c>
      <c r="AD643" s="153"/>
      <c r="AE643" s="120"/>
    </row>
    <row r="644" spans="1:31" x14ac:dyDescent="0.25">
      <c r="A644" s="121" t="s">
        <v>82</v>
      </c>
      <c r="B644" s="144">
        <v>30586</v>
      </c>
      <c r="C644" s="154" t="s">
        <v>64</v>
      </c>
      <c r="D644" s="155" t="s">
        <v>1651</v>
      </c>
      <c r="E644" s="156" t="s">
        <v>1928</v>
      </c>
      <c r="F644" s="156" t="s">
        <v>1243</v>
      </c>
      <c r="G644" s="156" t="s">
        <v>14</v>
      </c>
      <c r="H644" s="157">
        <v>42942</v>
      </c>
      <c r="I644" s="158">
        <v>100</v>
      </c>
      <c r="J644" s="158" t="s">
        <v>58</v>
      </c>
      <c r="K644" s="159" t="s">
        <v>1249</v>
      </c>
      <c r="L644" s="159" t="s">
        <v>82</v>
      </c>
      <c r="M644" s="159" t="s">
        <v>82</v>
      </c>
      <c r="N644" s="159" t="s">
        <v>82</v>
      </c>
      <c r="O644" s="159" t="s">
        <v>82</v>
      </c>
      <c r="P644" s="159" t="s">
        <v>82</v>
      </c>
      <c r="Q644" s="159" t="s">
        <v>82</v>
      </c>
      <c r="R644" s="159" t="s">
        <v>82</v>
      </c>
      <c r="S644" s="159" t="s">
        <v>68</v>
      </c>
      <c r="T644" s="159" t="s">
        <v>68</v>
      </c>
      <c r="U644" s="159" t="s">
        <v>68</v>
      </c>
      <c r="V644" s="159" t="s">
        <v>82</v>
      </c>
      <c r="W644" s="159" t="s">
        <v>82</v>
      </c>
      <c r="X644" s="159" t="s">
        <v>82</v>
      </c>
      <c r="Y644" s="159" t="s">
        <v>82</v>
      </c>
      <c r="Z644" s="159" t="s">
        <v>82</v>
      </c>
      <c r="AA644" s="158" t="s">
        <v>82</v>
      </c>
      <c r="AB644" s="158" t="s">
        <v>82</v>
      </c>
      <c r="AC644" s="159" t="s">
        <v>82</v>
      </c>
      <c r="AD644" s="153"/>
      <c r="AE644" s="120"/>
    </row>
    <row r="645" spans="1:31" x14ac:dyDescent="0.25">
      <c r="A645" s="121" t="s">
        <v>82</v>
      </c>
      <c r="B645" s="144">
        <v>30586</v>
      </c>
      <c r="C645" s="154" t="s">
        <v>54</v>
      </c>
      <c r="D645" s="155" t="s">
        <v>1653</v>
      </c>
      <c r="E645" s="156" t="s">
        <v>1928</v>
      </c>
      <c r="F645" s="156" t="s">
        <v>1243</v>
      </c>
      <c r="G645" s="156" t="s">
        <v>14</v>
      </c>
      <c r="H645" s="157">
        <v>42942</v>
      </c>
      <c r="I645" s="158">
        <v>101</v>
      </c>
      <c r="J645" s="158" t="s">
        <v>58</v>
      </c>
      <c r="K645" s="159" t="s">
        <v>1249</v>
      </c>
      <c r="L645" s="159" t="s">
        <v>82</v>
      </c>
      <c r="M645" s="159" t="s">
        <v>82</v>
      </c>
      <c r="N645" s="159" t="s">
        <v>82</v>
      </c>
      <c r="O645" s="159" t="s">
        <v>82</v>
      </c>
      <c r="P645" s="159" t="s">
        <v>82</v>
      </c>
      <c r="Q645" s="159" t="s">
        <v>82</v>
      </c>
      <c r="R645" s="159" t="s">
        <v>82</v>
      </c>
      <c r="S645" s="159" t="s">
        <v>62</v>
      </c>
      <c r="T645" s="159" t="s">
        <v>62</v>
      </c>
      <c r="U645" s="159" t="s">
        <v>62</v>
      </c>
      <c r="V645" s="159" t="s">
        <v>82</v>
      </c>
      <c r="W645" s="159" t="s">
        <v>82</v>
      </c>
      <c r="X645" s="159" t="s">
        <v>82</v>
      </c>
      <c r="Y645" s="159" t="s">
        <v>82</v>
      </c>
      <c r="Z645" s="159" t="s">
        <v>82</v>
      </c>
      <c r="AA645" s="158" t="s">
        <v>82</v>
      </c>
      <c r="AB645" s="158" t="s">
        <v>82</v>
      </c>
      <c r="AC645" s="159" t="s">
        <v>82</v>
      </c>
      <c r="AD645" s="153"/>
      <c r="AE645" s="120"/>
    </row>
    <row r="646" spans="1:31" x14ac:dyDescent="0.25">
      <c r="A646" s="121" t="s">
        <v>82</v>
      </c>
      <c r="B646" s="144">
        <v>30594</v>
      </c>
      <c r="C646" s="154" t="s">
        <v>64</v>
      </c>
      <c r="D646" s="155" t="s">
        <v>2070</v>
      </c>
      <c r="E646" s="156" t="s">
        <v>1928</v>
      </c>
      <c r="F646" s="156" t="s">
        <v>1243</v>
      </c>
      <c r="G646" s="156" t="s">
        <v>14</v>
      </c>
      <c r="H646" s="157">
        <v>43040</v>
      </c>
      <c r="I646" s="158">
        <v>124</v>
      </c>
      <c r="J646" s="158" t="s">
        <v>58</v>
      </c>
      <c r="K646" s="159" t="s">
        <v>1318</v>
      </c>
      <c r="L646" s="159" t="s">
        <v>82</v>
      </c>
      <c r="M646" s="159" t="s">
        <v>60</v>
      </c>
      <c r="N646" s="159" t="s">
        <v>63</v>
      </c>
      <c r="O646" s="159" t="s">
        <v>82</v>
      </c>
      <c r="P646" s="159" t="s">
        <v>82</v>
      </c>
      <c r="Q646" s="159" t="s">
        <v>82</v>
      </c>
      <c r="R646" s="159" t="s">
        <v>82</v>
      </c>
      <c r="S646" s="159" t="s">
        <v>68</v>
      </c>
      <c r="T646" s="159" t="s">
        <v>68</v>
      </c>
      <c r="U646" s="159" t="s">
        <v>68</v>
      </c>
      <c r="V646" s="159" t="s">
        <v>82</v>
      </c>
      <c r="W646" s="159" t="s">
        <v>82</v>
      </c>
      <c r="X646" s="159" t="s">
        <v>82</v>
      </c>
      <c r="Y646" s="159" t="s">
        <v>82</v>
      </c>
      <c r="Z646" s="159" t="s">
        <v>82</v>
      </c>
      <c r="AA646" s="158" t="s">
        <v>82</v>
      </c>
      <c r="AB646" s="158" t="s">
        <v>82</v>
      </c>
      <c r="AC646" s="159" t="s">
        <v>82</v>
      </c>
      <c r="AD646" s="153"/>
      <c r="AE646" s="120"/>
    </row>
    <row r="647" spans="1:31" x14ac:dyDescent="0.25">
      <c r="A647" s="121" t="s">
        <v>82</v>
      </c>
      <c r="B647" s="144">
        <v>30594</v>
      </c>
      <c r="C647" s="154" t="s">
        <v>54</v>
      </c>
      <c r="D647" s="155" t="s">
        <v>2071</v>
      </c>
      <c r="E647" s="156" t="s">
        <v>1928</v>
      </c>
      <c r="F647" s="156" t="s">
        <v>1243</v>
      </c>
      <c r="G647" s="156" t="s">
        <v>14</v>
      </c>
      <c r="H647" s="157">
        <v>43040</v>
      </c>
      <c r="I647" s="158">
        <v>125</v>
      </c>
      <c r="J647" s="158" t="s">
        <v>58</v>
      </c>
      <c r="K647" s="159" t="s">
        <v>1318</v>
      </c>
      <c r="L647" s="159" t="s">
        <v>82</v>
      </c>
      <c r="M647" s="159" t="s">
        <v>60</v>
      </c>
      <c r="N647" s="159" t="s">
        <v>63</v>
      </c>
      <c r="O647" s="159" t="s">
        <v>82</v>
      </c>
      <c r="P647" s="159" t="s">
        <v>82</v>
      </c>
      <c r="Q647" s="159" t="s">
        <v>82</v>
      </c>
      <c r="R647" s="159" t="s">
        <v>82</v>
      </c>
      <c r="S647" s="159" t="s">
        <v>62</v>
      </c>
      <c r="T647" s="159" t="s">
        <v>62</v>
      </c>
      <c r="U647" s="159" t="s">
        <v>62</v>
      </c>
      <c r="V647" s="159" t="s">
        <v>82</v>
      </c>
      <c r="W647" s="159" t="s">
        <v>82</v>
      </c>
      <c r="X647" s="159" t="s">
        <v>82</v>
      </c>
      <c r="Y647" s="159" t="s">
        <v>82</v>
      </c>
      <c r="Z647" s="159" t="s">
        <v>82</v>
      </c>
      <c r="AA647" s="158" t="s">
        <v>82</v>
      </c>
      <c r="AB647" s="158" t="s">
        <v>82</v>
      </c>
      <c r="AC647" s="159" t="s">
        <v>82</v>
      </c>
      <c r="AD647" s="153"/>
      <c r="AE647" s="120"/>
    </row>
    <row r="648" spans="1:31" x14ac:dyDescent="0.25">
      <c r="A648" s="121" t="s">
        <v>82</v>
      </c>
      <c r="B648" s="144">
        <v>30601</v>
      </c>
      <c r="C648" s="154" t="s">
        <v>64</v>
      </c>
      <c r="D648" s="155" t="s">
        <v>1658</v>
      </c>
      <c r="E648" s="156" t="s">
        <v>1928</v>
      </c>
      <c r="F648" s="156" t="s">
        <v>1243</v>
      </c>
      <c r="G648" s="156" t="s">
        <v>14</v>
      </c>
      <c r="H648" s="157">
        <v>43038</v>
      </c>
      <c r="I648" s="158">
        <v>122</v>
      </c>
      <c r="J648" s="158" t="s">
        <v>58</v>
      </c>
      <c r="K648" s="159" t="s">
        <v>1318</v>
      </c>
      <c r="L648" s="159" t="s">
        <v>82</v>
      </c>
      <c r="M648" s="159" t="s">
        <v>60</v>
      </c>
      <c r="N648" s="162">
        <v>44289</v>
      </c>
      <c r="O648" s="159" t="s">
        <v>82</v>
      </c>
      <c r="P648" s="159" t="s">
        <v>82</v>
      </c>
      <c r="Q648" s="159" t="s">
        <v>82</v>
      </c>
      <c r="R648" s="159" t="s">
        <v>82</v>
      </c>
      <c r="S648" s="159" t="s">
        <v>68</v>
      </c>
      <c r="T648" s="159" t="s">
        <v>68</v>
      </c>
      <c r="U648" s="159" t="s">
        <v>68</v>
      </c>
      <c r="V648" s="159" t="s">
        <v>82</v>
      </c>
      <c r="W648" s="159" t="s">
        <v>82</v>
      </c>
      <c r="X648" s="159" t="s">
        <v>1659</v>
      </c>
      <c r="Y648" s="159" t="s">
        <v>1659</v>
      </c>
      <c r="Z648" s="159" t="s">
        <v>82</v>
      </c>
      <c r="AA648" s="158" t="s">
        <v>82</v>
      </c>
      <c r="AB648" s="158" t="s">
        <v>82</v>
      </c>
      <c r="AC648" s="159" t="s">
        <v>82</v>
      </c>
      <c r="AD648" s="153"/>
      <c r="AE648" s="120"/>
    </row>
    <row r="649" spans="1:31" x14ac:dyDescent="0.25">
      <c r="A649" s="121" t="s">
        <v>82</v>
      </c>
      <c r="B649" s="144">
        <v>30601</v>
      </c>
      <c r="C649" s="154" t="s">
        <v>54</v>
      </c>
      <c r="D649" s="155" t="s">
        <v>1660</v>
      </c>
      <c r="E649" s="156" t="s">
        <v>1928</v>
      </c>
      <c r="F649" s="156" t="s">
        <v>1243</v>
      </c>
      <c r="G649" s="156" t="s">
        <v>14</v>
      </c>
      <c r="H649" s="157">
        <v>43038</v>
      </c>
      <c r="I649" s="158">
        <v>123</v>
      </c>
      <c r="J649" s="158" t="s">
        <v>58</v>
      </c>
      <c r="K649" s="159" t="s">
        <v>1318</v>
      </c>
      <c r="L649" s="159" t="s">
        <v>82</v>
      </c>
      <c r="M649" s="159" t="s">
        <v>60</v>
      </c>
      <c r="N649" s="162">
        <v>44289</v>
      </c>
      <c r="O649" s="159" t="s">
        <v>82</v>
      </c>
      <c r="P649" s="159" t="s">
        <v>82</v>
      </c>
      <c r="Q649" s="159" t="s">
        <v>82</v>
      </c>
      <c r="R649" s="159" t="s">
        <v>82</v>
      </c>
      <c r="S649" s="159" t="s">
        <v>62</v>
      </c>
      <c r="T649" s="159" t="s">
        <v>62</v>
      </c>
      <c r="U649" s="159" t="s">
        <v>62</v>
      </c>
      <c r="V649" s="159" t="s">
        <v>82</v>
      </c>
      <c r="W649" s="159" t="s">
        <v>82</v>
      </c>
      <c r="X649" s="159" t="s">
        <v>82</v>
      </c>
      <c r="Y649" s="159" t="s">
        <v>82</v>
      </c>
      <c r="Z649" s="159" t="s">
        <v>82</v>
      </c>
      <c r="AA649" s="158" t="s">
        <v>82</v>
      </c>
      <c r="AB649" s="158" t="s">
        <v>82</v>
      </c>
      <c r="AC649" s="159" t="s">
        <v>82</v>
      </c>
      <c r="AD649" s="153"/>
      <c r="AE649" s="120"/>
    </row>
    <row r="650" spans="1:31" x14ac:dyDescent="0.25">
      <c r="A650" s="121" t="s">
        <v>82</v>
      </c>
      <c r="B650" s="144">
        <v>37003</v>
      </c>
      <c r="C650" s="154" t="s">
        <v>64</v>
      </c>
      <c r="D650" s="155" t="s">
        <v>1664</v>
      </c>
      <c r="E650" s="156" t="s">
        <v>1928</v>
      </c>
      <c r="F650" s="156" t="s">
        <v>1243</v>
      </c>
      <c r="G650" s="156" t="s">
        <v>14</v>
      </c>
      <c r="H650" s="172">
        <v>43279</v>
      </c>
      <c r="I650" s="158">
        <v>179</v>
      </c>
      <c r="J650" s="158" t="s">
        <v>58</v>
      </c>
      <c r="K650" s="159" t="s">
        <v>1318</v>
      </c>
      <c r="L650" s="159" t="s">
        <v>82</v>
      </c>
      <c r="M650" s="159" t="s">
        <v>60</v>
      </c>
      <c r="N650" s="159" t="s">
        <v>63</v>
      </c>
      <c r="O650" s="170">
        <v>44073</v>
      </c>
      <c r="P650" s="159" t="s">
        <v>82</v>
      </c>
      <c r="Q650" s="159" t="s">
        <v>82</v>
      </c>
      <c r="R650" s="159" t="s">
        <v>82</v>
      </c>
      <c r="S650" s="159" t="s">
        <v>68</v>
      </c>
      <c r="T650" s="159" t="s">
        <v>68</v>
      </c>
      <c r="U650" s="159" t="s">
        <v>68</v>
      </c>
      <c r="V650" s="159" t="s">
        <v>82</v>
      </c>
      <c r="W650" s="159" t="s">
        <v>82</v>
      </c>
      <c r="X650" s="159" t="s">
        <v>1659</v>
      </c>
      <c r="Y650" s="159" t="s">
        <v>1659</v>
      </c>
      <c r="Z650" s="159" t="s">
        <v>82</v>
      </c>
      <c r="AA650" s="158" t="s">
        <v>82</v>
      </c>
      <c r="AB650" s="158" t="s">
        <v>82</v>
      </c>
      <c r="AC650" s="159" t="s">
        <v>82</v>
      </c>
      <c r="AD650" s="153"/>
      <c r="AE650" s="120"/>
    </row>
    <row r="651" spans="1:31" x14ac:dyDescent="0.25">
      <c r="A651" s="121" t="s">
        <v>82</v>
      </c>
      <c r="B651" s="144">
        <v>37003</v>
      </c>
      <c r="C651" s="154" t="s">
        <v>54</v>
      </c>
      <c r="D651" s="155" t="s">
        <v>1667</v>
      </c>
      <c r="E651" s="156" t="s">
        <v>1928</v>
      </c>
      <c r="F651" s="156" t="s">
        <v>1243</v>
      </c>
      <c r="G651" s="156" t="s">
        <v>14</v>
      </c>
      <c r="H651" s="172">
        <v>43279</v>
      </c>
      <c r="I651" s="158">
        <v>178</v>
      </c>
      <c r="J651" s="158" t="s">
        <v>58</v>
      </c>
      <c r="K651" s="159" t="s">
        <v>1249</v>
      </c>
      <c r="L651" s="159" t="s">
        <v>82</v>
      </c>
      <c r="M651" s="159" t="s">
        <v>60</v>
      </c>
      <c r="N651" s="159" t="s">
        <v>63</v>
      </c>
      <c r="O651" s="170">
        <v>44073</v>
      </c>
      <c r="P651" s="159" t="s">
        <v>82</v>
      </c>
      <c r="Q651" s="159" t="s">
        <v>82</v>
      </c>
      <c r="R651" s="159" t="s">
        <v>82</v>
      </c>
      <c r="S651" s="159" t="s">
        <v>62</v>
      </c>
      <c r="T651" s="159" t="s">
        <v>62</v>
      </c>
      <c r="U651" s="159" t="s">
        <v>62</v>
      </c>
      <c r="V651" s="159" t="s">
        <v>82</v>
      </c>
      <c r="W651" s="159" t="s">
        <v>82</v>
      </c>
      <c r="X651" s="159" t="s">
        <v>82</v>
      </c>
      <c r="Y651" s="159" t="s">
        <v>82</v>
      </c>
      <c r="Z651" s="159" t="s">
        <v>82</v>
      </c>
      <c r="AA651" s="158" t="s">
        <v>82</v>
      </c>
      <c r="AB651" s="158" t="s">
        <v>82</v>
      </c>
      <c r="AC651" s="159" t="s">
        <v>82</v>
      </c>
      <c r="AD651" s="153"/>
      <c r="AE651" s="120"/>
    </row>
    <row r="652" spans="1:31" ht="23.4" x14ac:dyDescent="0.25">
      <c r="A652" s="121" t="s">
        <v>82</v>
      </c>
      <c r="B652" s="144">
        <v>37004</v>
      </c>
      <c r="C652" s="154" t="s">
        <v>64</v>
      </c>
      <c r="D652" s="155" t="s">
        <v>1669</v>
      </c>
      <c r="E652" s="156" t="s">
        <v>1928</v>
      </c>
      <c r="F652" s="156" t="s">
        <v>1243</v>
      </c>
      <c r="G652" s="156" t="s">
        <v>14</v>
      </c>
      <c r="H652" s="172">
        <v>43279</v>
      </c>
      <c r="I652" s="158">
        <v>172</v>
      </c>
      <c r="J652" s="158" t="s">
        <v>58</v>
      </c>
      <c r="K652" s="165" t="s">
        <v>59</v>
      </c>
      <c r="L652" s="162">
        <v>44198</v>
      </c>
      <c r="M652" s="159" t="s">
        <v>60</v>
      </c>
      <c r="N652" s="159" t="s">
        <v>63</v>
      </c>
      <c r="O652" s="159" t="s">
        <v>82</v>
      </c>
      <c r="P652" s="159" t="s">
        <v>82</v>
      </c>
      <c r="Q652" s="159" t="s">
        <v>82</v>
      </c>
      <c r="R652" s="159" t="s">
        <v>82</v>
      </c>
      <c r="S652" s="159" t="s">
        <v>68</v>
      </c>
      <c r="T652" s="159" t="s">
        <v>68</v>
      </c>
      <c r="U652" s="159" t="s">
        <v>68</v>
      </c>
      <c r="V652" s="159" t="s">
        <v>82</v>
      </c>
      <c r="W652" s="159" t="s">
        <v>82</v>
      </c>
      <c r="X652" s="159" t="s">
        <v>1659</v>
      </c>
      <c r="Y652" s="159" t="s">
        <v>1659</v>
      </c>
      <c r="Z652" s="159" t="s">
        <v>82</v>
      </c>
      <c r="AA652" s="158" t="s">
        <v>82</v>
      </c>
      <c r="AB652" s="158" t="s">
        <v>82</v>
      </c>
      <c r="AC652" s="159" t="s">
        <v>82</v>
      </c>
      <c r="AD652" s="153"/>
      <c r="AE652" s="120"/>
    </row>
    <row r="653" spans="1:31" ht="23.4" x14ac:dyDescent="0.25">
      <c r="A653" s="121" t="s">
        <v>82</v>
      </c>
      <c r="B653" s="144">
        <v>37004</v>
      </c>
      <c r="C653" s="154" t="s">
        <v>54</v>
      </c>
      <c r="D653" s="155" t="s">
        <v>1670</v>
      </c>
      <c r="E653" s="156" t="s">
        <v>1928</v>
      </c>
      <c r="F653" s="156" t="s">
        <v>1243</v>
      </c>
      <c r="G653" s="156" t="s">
        <v>14</v>
      </c>
      <c r="H653" s="172">
        <v>43279</v>
      </c>
      <c r="I653" s="158">
        <v>173</v>
      </c>
      <c r="J653" s="158" t="s">
        <v>58</v>
      </c>
      <c r="K653" s="165" t="s">
        <v>59</v>
      </c>
      <c r="L653" s="162">
        <v>44198</v>
      </c>
      <c r="M653" s="159" t="s">
        <v>60</v>
      </c>
      <c r="N653" s="159" t="s">
        <v>63</v>
      </c>
      <c r="O653" s="159" t="s">
        <v>82</v>
      </c>
      <c r="P653" s="159" t="s">
        <v>82</v>
      </c>
      <c r="Q653" s="159" t="s">
        <v>82</v>
      </c>
      <c r="R653" s="159" t="s">
        <v>82</v>
      </c>
      <c r="S653" s="159" t="s">
        <v>62</v>
      </c>
      <c r="T653" s="159" t="s">
        <v>62</v>
      </c>
      <c r="U653" s="159" t="s">
        <v>62</v>
      </c>
      <c r="V653" s="159" t="s">
        <v>82</v>
      </c>
      <c r="W653" s="159" t="s">
        <v>82</v>
      </c>
      <c r="X653" s="159" t="s">
        <v>82</v>
      </c>
      <c r="Y653" s="159" t="s">
        <v>82</v>
      </c>
      <c r="Z653" s="159" t="s">
        <v>82</v>
      </c>
      <c r="AA653" s="158" t="s">
        <v>82</v>
      </c>
      <c r="AB653" s="158" t="s">
        <v>82</v>
      </c>
      <c r="AC653" s="159" t="s">
        <v>82</v>
      </c>
      <c r="AD653" s="153"/>
      <c r="AE653" s="120"/>
    </row>
    <row r="654" spans="1:31" ht="23.4" x14ac:dyDescent="0.25">
      <c r="A654" s="121" t="s">
        <v>82</v>
      </c>
      <c r="B654" s="144">
        <v>37106</v>
      </c>
      <c r="C654" s="154" t="s">
        <v>64</v>
      </c>
      <c r="D654" s="155" t="s">
        <v>1674</v>
      </c>
      <c r="E654" s="156" t="s">
        <v>1928</v>
      </c>
      <c r="F654" s="156" t="s">
        <v>1243</v>
      </c>
      <c r="G654" s="156" t="s">
        <v>14</v>
      </c>
      <c r="H654" s="157">
        <v>43536</v>
      </c>
      <c r="I654" s="158">
        <v>225</v>
      </c>
      <c r="J654" s="158" t="s">
        <v>58</v>
      </c>
      <c r="K654" s="165" t="s">
        <v>59</v>
      </c>
      <c r="L654" s="162">
        <v>44547</v>
      </c>
      <c r="M654" s="159" t="s">
        <v>60</v>
      </c>
      <c r="N654" s="159" t="s">
        <v>63</v>
      </c>
      <c r="O654" s="159" t="s">
        <v>82</v>
      </c>
      <c r="P654" s="159" t="s">
        <v>82</v>
      </c>
      <c r="Q654" s="159" t="s">
        <v>82</v>
      </c>
      <c r="R654" s="159" t="s">
        <v>68</v>
      </c>
      <c r="S654" s="159" t="s">
        <v>68</v>
      </c>
      <c r="T654" s="159" t="s">
        <v>68</v>
      </c>
      <c r="U654" s="159" t="s">
        <v>68</v>
      </c>
      <c r="V654" s="159" t="s">
        <v>82</v>
      </c>
      <c r="W654" s="159" t="s">
        <v>82</v>
      </c>
      <c r="X654" s="159" t="s">
        <v>82</v>
      </c>
      <c r="Y654" s="159" t="s">
        <v>82</v>
      </c>
      <c r="Z654" s="159" t="s">
        <v>82</v>
      </c>
      <c r="AA654" s="158" t="s">
        <v>82</v>
      </c>
      <c r="AB654" s="158" t="s">
        <v>82</v>
      </c>
      <c r="AC654" s="159" t="s">
        <v>82</v>
      </c>
      <c r="AD654" s="153"/>
      <c r="AE654" s="120"/>
    </row>
    <row r="655" spans="1:31" ht="23.4" x14ac:dyDescent="0.25">
      <c r="A655" s="121" t="s">
        <v>82</v>
      </c>
      <c r="B655" s="144">
        <v>37106</v>
      </c>
      <c r="C655" s="154" t="s">
        <v>54</v>
      </c>
      <c r="D655" s="155" t="s">
        <v>1676</v>
      </c>
      <c r="E655" s="156" t="s">
        <v>1928</v>
      </c>
      <c r="F655" s="156" t="s">
        <v>1243</v>
      </c>
      <c r="G655" s="156" t="s">
        <v>14</v>
      </c>
      <c r="H655" s="157">
        <v>43536</v>
      </c>
      <c r="I655" s="158">
        <v>222</v>
      </c>
      <c r="J655" s="158" t="s">
        <v>58</v>
      </c>
      <c r="K655" s="165" t="s">
        <v>59</v>
      </c>
      <c r="L655" s="162">
        <v>44547</v>
      </c>
      <c r="M655" s="159" t="s">
        <v>60</v>
      </c>
      <c r="N655" s="159" t="s">
        <v>63</v>
      </c>
      <c r="O655" s="159" t="s">
        <v>82</v>
      </c>
      <c r="P655" s="159" t="s">
        <v>82</v>
      </c>
      <c r="Q655" s="159" t="s">
        <v>82</v>
      </c>
      <c r="R655" s="159" t="s">
        <v>62</v>
      </c>
      <c r="S655" s="159" t="s">
        <v>62</v>
      </c>
      <c r="T655" s="159" t="s">
        <v>62</v>
      </c>
      <c r="U655" s="159" t="s">
        <v>62</v>
      </c>
      <c r="V655" s="159" t="s">
        <v>82</v>
      </c>
      <c r="W655" s="159" t="s">
        <v>82</v>
      </c>
      <c r="X655" s="159" t="s">
        <v>82</v>
      </c>
      <c r="Y655" s="159" t="s">
        <v>82</v>
      </c>
      <c r="Z655" s="159" t="s">
        <v>82</v>
      </c>
      <c r="AA655" s="158" t="s">
        <v>82</v>
      </c>
      <c r="AB655" s="158" t="s">
        <v>82</v>
      </c>
      <c r="AC655" s="159" t="s">
        <v>82</v>
      </c>
      <c r="AD655" s="153"/>
      <c r="AE655" s="120"/>
    </row>
    <row r="656" spans="1:31" x14ac:dyDescent="0.25">
      <c r="A656" s="121" t="s">
        <v>82</v>
      </c>
      <c r="B656" s="144">
        <v>37108</v>
      </c>
      <c r="C656" s="154" t="s">
        <v>64</v>
      </c>
      <c r="D656" s="155" t="s">
        <v>1677</v>
      </c>
      <c r="E656" s="156" t="s">
        <v>1928</v>
      </c>
      <c r="F656" s="156" t="s">
        <v>1243</v>
      </c>
      <c r="G656" s="156" t="s">
        <v>14</v>
      </c>
      <c r="H656" s="157">
        <v>43536</v>
      </c>
      <c r="I656" s="158">
        <v>217</v>
      </c>
      <c r="J656" s="158" t="s">
        <v>58</v>
      </c>
      <c r="K656" s="159" t="s">
        <v>1318</v>
      </c>
      <c r="L656" s="159" t="s">
        <v>82</v>
      </c>
      <c r="M656" s="159" t="s">
        <v>60</v>
      </c>
      <c r="N656" s="159" t="s">
        <v>63</v>
      </c>
      <c r="O656" s="159" t="s">
        <v>82</v>
      </c>
      <c r="P656" s="159" t="s">
        <v>82</v>
      </c>
      <c r="Q656" s="159" t="s">
        <v>82</v>
      </c>
      <c r="R656" s="159" t="s">
        <v>82</v>
      </c>
      <c r="S656" s="159" t="s">
        <v>68</v>
      </c>
      <c r="T656" s="159" t="s">
        <v>68</v>
      </c>
      <c r="U656" s="159" t="s">
        <v>68</v>
      </c>
      <c r="V656" s="159" t="s">
        <v>82</v>
      </c>
      <c r="W656" s="159" t="s">
        <v>82</v>
      </c>
      <c r="X656" s="159" t="s">
        <v>1659</v>
      </c>
      <c r="Y656" s="159" t="s">
        <v>1659</v>
      </c>
      <c r="Z656" s="159" t="s">
        <v>82</v>
      </c>
      <c r="AA656" s="158" t="s">
        <v>82</v>
      </c>
      <c r="AB656" s="158" t="s">
        <v>82</v>
      </c>
      <c r="AC656" s="159" t="s">
        <v>82</v>
      </c>
      <c r="AD656" s="153"/>
      <c r="AE656" s="120"/>
    </row>
    <row r="657" spans="1:31" x14ac:dyDescent="0.25">
      <c r="A657" s="121" t="s">
        <v>82</v>
      </c>
      <c r="B657" s="144">
        <v>37108</v>
      </c>
      <c r="C657" s="154" t="s">
        <v>54</v>
      </c>
      <c r="D657" s="155" t="s">
        <v>1678</v>
      </c>
      <c r="E657" s="156" t="s">
        <v>1928</v>
      </c>
      <c r="F657" s="156" t="s">
        <v>1243</v>
      </c>
      <c r="G657" s="156" t="s">
        <v>14</v>
      </c>
      <c r="H657" s="157">
        <v>43536</v>
      </c>
      <c r="I657" s="158">
        <v>215</v>
      </c>
      <c r="J657" s="158" t="s">
        <v>58</v>
      </c>
      <c r="K657" s="159" t="s">
        <v>1249</v>
      </c>
      <c r="L657" s="159" t="s">
        <v>82</v>
      </c>
      <c r="M657" s="159" t="s">
        <v>60</v>
      </c>
      <c r="N657" s="159" t="s">
        <v>63</v>
      </c>
      <c r="O657" s="159" t="s">
        <v>82</v>
      </c>
      <c r="P657" s="159" t="s">
        <v>82</v>
      </c>
      <c r="Q657" s="159" t="s">
        <v>82</v>
      </c>
      <c r="R657" s="159" t="s">
        <v>82</v>
      </c>
      <c r="S657" s="159" t="s">
        <v>62</v>
      </c>
      <c r="T657" s="159" t="s">
        <v>62</v>
      </c>
      <c r="U657" s="159" t="s">
        <v>62</v>
      </c>
      <c r="V657" s="159" t="s">
        <v>82</v>
      </c>
      <c r="W657" s="159" t="s">
        <v>82</v>
      </c>
      <c r="X657" s="159" t="s">
        <v>82</v>
      </c>
      <c r="Y657" s="159" t="s">
        <v>82</v>
      </c>
      <c r="Z657" s="159" t="s">
        <v>82</v>
      </c>
      <c r="AA657" s="158" t="s">
        <v>82</v>
      </c>
      <c r="AB657" s="158" t="s">
        <v>82</v>
      </c>
      <c r="AC657" s="159" t="s">
        <v>82</v>
      </c>
      <c r="AD657" s="153"/>
      <c r="AE657" s="120"/>
    </row>
    <row r="658" spans="1:31" x14ac:dyDescent="0.25">
      <c r="A658" s="121" t="s">
        <v>82</v>
      </c>
      <c r="B658" s="144">
        <v>37109</v>
      </c>
      <c r="C658" s="154" t="s">
        <v>64</v>
      </c>
      <c r="D658" s="155" t="s">
        <v>1680</v>
      </c>
      <c r="E658" s="156" t="s">
        <v>1928</v>
      </c>
      <c r="F658" s="156" t="s">
        <v>1243</v>
      </c>
      <c r="G658" s="156" t="s">
        <v>14</v>
      </c>
      <c r="H658" s="157">
        <v>43537</v>
      </c>
      <c r="I658" s="158">
        <v>216</v>
      </c>
      <c r="J658" s="158" t="s">
        <v>58</v>
      </c>
      <c r="K658" s="159" t="s">
        <v>1318</v>
      </c>
      <c r="L658" s="159" t="s">
        <v>82</v>
      </c>
      <c r="M658" s="159" t="s">
        <v>60</v>
      </c>
      <c r="N658" s="159" t="s">
        <v>63</v>
      </c>
      <c r="O658" s="159" t="s">
        <v>82</v>
      </c>
      <c r="P658" s="159" t="s">
        <v>82</v>
      </c>
      <c r="Q658" s="159" t="s">
        <v>82</v>
      </c>
      <c r="R658" s="159" t="s">
        <v>68</v>
      </c>
      <c r="S658" s="159" t="s">
        <v>68</v>
      </c>
      <c r="T658" s="159" t="s">
        <v>68</v>
      </c>
      <c r="U658" s="159" t="s">
        <v>68</v>
      </c>
      <c r="V658" s="159" t="s">
        <v>82</v>
      </c>
      <c r="W658" s="159" t="s">
        <v>82</v>
      </c>
      <c r="X658" s="159" t="s">
        <v>1659</v>
      </c>
      <c r="Y658" s="159" t="s">
        <v>1659</v>
      </c>
      <c r="Z658" s="159" t="s">
        <v>82</v>
      </c>
      <c r="AA658" s="158" t="s">
        <v>82</v>
      </c>
      <c r="AB658" s="158" t="s">
        <v>82</v>
      </c>
      <c r="AC658" s="159" t="s">
        <v>82</v>
      </c>
      <c r="AD658" s="153"/>
      <c r="AE658" s="120"/>
    </row>
    <row r="659" spans="1:31" x14ac:dyDescent="0.25">
      <c r="A659" s="121" t="s">
        <v>82</v>
      </c>
      <c r="B659" s="144">
        <v>37109</v>
      </c>
      <c r="C659" s="154" t="s">
        <v>54</v>
      </c>
      <c r="D659" s="155" t="s">
        <v>1682</v>
      </c>
      <c r="E659" s="156" t="s">
        <v>1928</v>
      </c>
      <c r="F659" s="156" t="s">
        <v>1243</v>
      </c>
      <c r="G659" s="156" t="s">
        <v>14</v>
      </c>
      <c r="H659" s="157">
        <v>43537</v>
      </c>
      <c r="I659" s="158">
        <v>214</v>
      </c>
      <c r="J659" s="158" t="s">
        <v>58</v>
      </c>
      <c r="K659" s="159" t="s">
        <v>1318</v>
      </c>
      <c r="L659" s="159" t="s">
        <v>82</v>
      </c>
      <c r="M659" s="159" t="s">
        <v>60</v>
      </c>
      <c r="N659" s="159" t="s">
        <v>63</v>
      </c>
      <c r="O659" s="159" t="s">
        <v>82</v>
      </c>
      <c r="P659" s="159" t="s">
        <v>82</v>
      </c>
      <c r="Q659" s="159" t="s">
        <v>82</v>
      </c>
      <c r="R659" s="159" t="s">
        <v>62</v>
      </c>
      <c r="S659" s="159" t="s">
        <v>62</v>
      </c>
      <c r="T659" s="159" t="s">
        <v>62</v>
      </c>
      <c r="U659" s="159" t="s">
        <v>62</v>
      </c>
      <c r="V659" s="159" t="s">
        <v>82</v>
      </c>
      <c r="W659" s="159" t="s">
        <v>82</v>
      </c>
      <c r="X659" s="159" t="s">
        <v>82</v>
      </c>
      <c r="Y659" s="159" t="s">
        <v>82</v>
      </c>
      <c r="Z659" s="159" t="s">
        <v>82</v>
      </c>
      <c r="AA659" s="158" t="s">
        <v>82</v>
      </c>
      <c r="AB659" s="158" t="s">
        <v>82</v>
      </c>
      <c r="AC659" s="159" t="s">
        <v>82</v>
      </c>
      <c r="AD659" s="153"/>
      <c r="AE659" s="120"/>
    </row>
    <row r="660" spans="1:31" x14ac:dyDescent="0.25">
      <c r="A660" s="121" t="s">
        <v>82</v>
      </c>
      <c r="B660" s="144">
        <v>37152</v>
      </c>
      <c r="C660" s="154" t="s">
        <v>64</v>
      </c>
      <c r="D660" s="155" t="s">
        <v>1686</v>
      </c>
      <c r="E660" s="156" t="s">
        <v>1928</v>
      </c>
      <c r="F660" s="156" t="s">
        <v>1243</v>
      </c>
      <c r="G660" s="156" t="s">
        <v>14</v>
      </c>
      <c r="H660" s="172">
        <v>43580</v>
      </c>
      <c r="I660" s="158">
        <v>418</v>
      </c>
      <c r="J660" s="158" t="s">
        <v>58</v>
      </c>
      <c r="K660" s="159" t="s">
        <v>1403</v>
      </c>
      <c r="L660" s="159" t="s">
        <v>82</v>
      </c>
      <c r="M660" s="159" t="s">
        <v>60</v>
      </c>
      <c r="N660" s="159" t="s">
        <v>63</v>
      </c>
      <c r="O660" s="159" t="s">
        <v>82</v>
      </c>
      <c r="P660" s="159" t="s">
        <v>82</v>
      </c>
      <c r="Q660" s="159" t="s">
        <v>82</v>
      </c>
      <c r="R660" s="159" t="s">
        <v>82</v>
      </c>
      <c r="S660" s="159" t="s">
        <v>68</v>
      </c>
      <c r="T660" s="159" t="s">
        <v>68</v>
      </c>
      <c r="U660" s="159" t="s">
        <v>68</v>
      </c>
      <c r="V660" s="159" t="s">
        <v>82</v>
      </c>
      <c r="W660" s="159" t="s">
        <v>82</v>
      </c>
      <c r="X660" s="159" t="s">
        <v>82</v>
      </c>
      <c r="Y660" s="159" t="s">
        <v>82</v>
      </c>
      <c r="Z660" s="159" t="s">
        <v>82</v>
      </c>
      <c r="AA660" s="158" t="s">
        <v>82</v>
      </c>
      <c r="AB660" s="158" t="s">
        <v>82</v>
      </c>
      <c r="AC660" s="159" t="s">
        <v>82</v>
      </c>
      <c r="AD660" s="153"/>
      <c r="AE660" s="120"/>
    </row>
    <row r="661" spans="1:31" x14ac:dyDescent="0.25">
      <c r="A661" s="121" t="s">
        <v>82</v>
      </c>
      <c r="B661" s="144">
        <v>37152</v>
      </c>
      <c r="C661" s="154" t="s">
        <v>54</v>
      </c>
      <c r="D661" s="155" t="s">
        <v>1690</v>
      </c>
      <c r="E661" s="156" t="s">
        <v>1928</v>
      </c>
      <c r="F661" s="156" t="s">
        <v>1243</v>
      </c>
      <c r="G661" s="156" t="s">
        <v>14</v>
      </c>
      <c r="H661" s="172">
        <v>43580</v>
      </c>
      <c r="I661" s="158">
        <v>439</v>
      </c>
      <c r="J661" s="158" t="s">
        <v>58</v>
      </c>
      <c r="K661" s="159" t="s">
        <v>1403</v>
      </c>
      <c r="L661" s="159" t="s">
        <v>82</v>
      </c>
      <c r="M661" s="159" t="s">
        <v>60</v>
      </c>
      <c r="N661" s="159" t="s">
        <v>63</v>
      </c>
      <c r="O661" s="159" t="s">
        <v>82</v>
      </c>
      <c r="P661" s="159" t="s">
        <v>82</v>
      </c>
      <c r="Q661" s="159" t="s">
        <v>82</v>
      </c>
      <c r="R661" s="159" t="s">
        <v>82</v>
      </c>
      <c r="S661" s="159" t="s">
        <v>62</v>
      </c>
      <c r="T661" s="159" t="s">
        <v>62</v>
      </c>
      <c r="U661" s="159" t="s">
        <v>62</v>
      </c>
      <c r="V661" s="159" t="s">
        <v>82</v>
      </c>
      <c r="W661" s="159" t="s">
        <v>82</v>
      </c>
      <c r="X661" s="159" t="s">
        <v>82</v>
      </c>
      <c r="Y661" s="159" t="s">
        <v>82</v>
      </c>
      <c r="Z661" s="159" t="s">
        <v>82</v>
      </c>
      <c r="AA661" s="158" t="s">
        <v>82</v>
      </c>
      <c r="AB661" s="158" t="s">
        <v>82</v>
      </c>
      <c r="AC661" s="159" t="s">
        <v>82</v>
      </c>
      <c r="AD661" s="153"/>
      <c r="AE661" s="120"/>
    </row>
    <row r="662" spans="1:31" x14ac:dyDescent="0.25">
      <c r="A662" s="121" t="s">
        <v>82</v>
      </c>
      <c r="B662" s="144">
        <v>37209</v>
      </c>
      <c r="C662" s="154" t="s">
        <v>64</v>
      </c>
      <c r="D662" s="155" t="s">
        <v>1691</v>
      </c>
      <c r="E662" s="156" t="s">
        <v>1928</v>
      </c>
      <c r="F662" s="156" t="s">
        <v>1243</v>
      </c>
      <c r="G662" s="156" t="s">
        <v>14</v>
      </c>
      <c r="H662" s="157">
        <v>43641</v>
      </c>
      <c r="I662" s="158">
        <v>518</v>
      </c>
      <c r="J662" s="158" t="s">
        <v>58</v>
      </c>
      <c r="K662" s="159" t="s">
        <v>1403</v>
      </c>
      <c r="L662" s="159" t="s">
        <v>82</v>
      </c>
      <c r="M662" s="159" t="s">
        <v>82</v>
      </c>
      <c r="N662" s="159" t="s">
        <v>82</v>
      </c>
      <c r="O662" s="159" t="s">
        <v>82</v>
      </c>
      <c r="P662" s="159" t="s">
        <v>82</v>
      </c>
      <c r="Q662" s="159" t="s">
        <v>75</v>
      </c>
      <c r="R662" s="159" t="s">
        <v>82</v>
      </c>
      <c r="S662" s="159" t="s">
        <v>68</v>
      </c>
      <c r="T662" s="159" t="s">
        <v>68</v>
      </c>
      <c r="U662" s="159" t="s">
        <v>68</v>
      </c>
      <c r="V662" s="159" t="s">
        <v>82</v>
      </c>
      <c r="W662" s="159" t="s">
        <v>82</v>
      </c>
      <c r="X662" s="159" t="s">
        <v>82</v>
      </c>
      <c r="Y662" s="159" t="s">
        <v>82</v>
      </c>
      <c r="Z662" s="159" t="s">
        <v>82</v>
      </c>
      <c r="AA662" s="158" t="s">
        <v>82</v>
      </c>
      <c r="AB662" s="158" t="s">
        <v>82</v>
      </c>
      <c r="AC662" s="159" t="s">
        <v>82</v>
      </c>
      <c r="AD662" s="153"/>
      <c r="AE662" s="120"/>
    </row>
    <row r="663" spans="1:31" ht="23.4" x14ac:dyDescent="0.25">
      <c r="A663" s="121" t="s">
        <v>82</v>
      </c>
      <c r="B663" s="144">
        <v>37209</v>
      </c>
      <c r="C663" s="154" t="s">
        <v>54</v>
      </c>
      <c r="D663" s="156" t="s">
        <v>1693</v>
      </c>
      <c r="E663" s="156" t="s">
        <v>1928</v>
      </c>
      <c r="F663" s="156" t="s">
        <v>1243</v>
      </c>
      <c r="G663" s="156" t="s">
        <v>14</v>
      </c>
      <c r="H663" s="157">
        <v>43641</v>
      </c>
      <c r="I663" s="158">
        <v>498</v>
      </c>
      <c r="J663" s="158" t="s">
        <v>58</v>
      </c>
      <c r="K663" s="165" t="s">
        <v>59</v>
      </c>
      <c r="L663" s="170">
        <v>44250</v>
      </c>
      <c r="M663" s="159" t="s">
        <v>82</v>
      </c>
      <c r="N663" s="159" t="s">
        <v>82</v>
      </c>
      <c r="O663" s="159" t="s">
        <v>82</v>
      </c>
      <c r="P663" s="159" t="s">
        <v>82</v>
      </c>
      <c r="Q663" s="161" t="s">
        <v>82</v>
      </c>
      <c r="R663" s="161" t="s">
        <v>82</v>
      </c>
      <c r="S663" s="161" t="s">
        <v>82</v>
      </c>
      <c r="T663" s="161" t="s">
        <v>62</v>
      </c>
      <c r="U663" s="161" t="s">
        <v>82</v>
      </c>
      <c r="V663" s="161" t="s">
        <v>82</v>
      </c>
      <c r="W663" s="161" t="s">
        <v>82</v>
      </c>
      <c r="X663" s="161" t="s">
        <v>82</v>
      </c>
      <c r="Y663" s="161" t="s">
        <v>82</v>
      </c>
      <c r="Z663" s="161" t="s">
        <v>82</v>
      </c>
      <c r="AA663" s="158" t="s">
        <v>82</v>
      </c>
      <c r="AB663" s="158" t="s">
        <v>82</v>
      </c>
      <c r="AC663" s="161" t="s">
        <v>82</v>
      </c>
      <c r="AD663" s="174"/>
      <c r="AE663" s="120"/>
    </row>
    <row r="664" spans="1:31" ht="23.4" x14ac:dyDescent="0.25">
      <c r="A664" s="121" t="s">
        <v>82</v>
      </c>
      <c r="B664" s="144">
        <v>37212</v>
      </c>
      <c r="C664" s="154" t="s">
        <v>64</v>
      </c>
      <c r="D664" s="155" t="s">
        <v>1695</v>
      </c>
      <c r="E664" s="156" t="s">
        <v>1928</v>
      </c>
      <c r="F664" s="156" t="s">
        <v>1243</v>
      </c>
      <c r="G664" s="156" t="s">
        <v>14</v>
      </c>
      <c r="H664" s="157">
        <v>43669</v>
      </c>
      <c r="I664" s="158">
        <v>493</v>
      </c>
      <c r="J664" s="158" t="s">
        <v>58</v>
      </c>
      <c r="K664" s="165" t="s">
        <v>59</v>
      </c>
      <c r="L664" s="159" t="s">
        <v>63</v>
      </c>
      <c r="M664" s="159" t="s">
        <v>60</v>
      </c>
      <c r="N664" s="159" t="s">
        <v>63</v>
      </c>
      <c r="O664" s="159" t="s">
        <v>82</v>
      </c>
      <c r="P664" s="159" t="s">
        <v>82</v>
      </c>
      <c r="Q664" s="159" t="s">
        <v>82</v>
      </c>
      <c r="R664" s="159" t="s">
        <v>68</v>
      </c>
      <c r="S664" s="159" t="s">
        <v>68</v>
      </c>
      <c r="T664" s="159" t="s">
        <v>68</v>
      </c>
      <c r="U664" s="159" t="s">
        <v>68</v>
      </c>
      <c r="V664" s="159" t="s">
        <v>82</v>
      </c>
      <c r="W664" s="159" t="s">
        <v>82</v>
      </c>
      <c r="X664" s="159" t="s">
        <v>1659</v>
      </c>
      <c r="Y664" s="159" t="s">
        <v>1659</v>
      </c>
      <c r="Z664" s="159" t="s">
        <v>82</v>
      </c>
      <c r="AA664" s="158" t="s">
        <v>82</v>
      </c>
      <c r="AB664" s="158" t="s">
        <v>82</v>
      </c>
      <c r="AC664" s="159" t="s">
        <v>82</v>
      </c>
      <c r="AD664" s="153"/>
      <c r="AE664" s="120"/>
    </row>
    <row r="665" spans="1:31" x14ac:dyDescent="0.25">
      <c r="A665" s="121" t="s">
        <v>82</v>
      </c>
      <c r="B665" s="144">
        <v>37212</v>
      </c>
      <c r="C665" s="154" t="s">
        <v>54</v>
      </c>
      <c r="D665" s="155" t="s">
        <v>1699</v>
      </c>
      <c r="E665" s="156" t="s">
        <v>1928</v>
      </c>
      <c r="F665" s="156" t="s">
        <v>1243</v>
      </c>
      <c r="G665" s="156" t="s">
        <v>14</v>
      </c>
      <c r="H665" s="157">
        <v>43669</v>
      </c>
      <c r="I665" s="158">
        <v>508</v>
      </c>
      <c r="J665" s="158" t="s">
        <v>58</v>
      </c>
      <c r="K665" s="159" t="s">
        <v>1403</v>
      </c>
      <c r="L665" s="159" t="s">
        <v>82</v>
      </c>
      <c r="M665" s="159" t="s">
        <v>60</v>
      </c>
      <c r="N665" s="159" t="s">
        <v>63</v>
      </c>
      <c r="O665" s="159" t="s">
        <v>82</v>
      </c>
      <c r="P665" s="159" t="s">
        <v>82</v>
      </c>
      <c r="Q665" s="159" t="s">
        <v>75</v>
      </c>
      <c r="R665" s="159" t="s">
        <v>62</v>
      </c>
      <c r="S665" s="159" t="s">
        <v>62</v>
      </c>
      <c r="T665" s="159" t="s">
        <v>62</v>
      </c>
      <c r="U665" s="159" t="s">
        <v>62</v>
      </c>
      <c r="V665" s="159" t="s">
        <v>82</v>
      </c>
      <c r="W665" s="159" t="s">
        <v>82</v>
      </c>
      <c r="X665" s="159" t="s">
        <v>82</v>
      </c>
      <c r="Y665" s="159" t="s">
        <v>82</v>
      </c>
      <c r="Z665" s="159" t="s">
        <v>82</v>
      </c>
      <c r="AA665" s="158" t="s">
        <v>82</v>
      </c>
      <c r="AB665" s="158" t="s">
        <v>82</v>
      </c>
      <c r="AC665" s="159" t="s">
        <v>82</v>
      </c>
      <c r="AD665" s="153"/>
      <c r="AE665" s="120"/>
    </row>
    <row r="666" spans="1:31" ht="23.4" x14ac:dyDescent="0.25">
      <c r="A666" s="121" t="s">
        <v>82</v>
      </c>
      <c r="B666" s="144">
        <v>39058</v>
      </c>
      <c r="C666" s="154" t="s">
        <v>64</v>
      </c>
      <c r="D666" s="155" t="s">
        <v>1706</v>
      </c>
      <c r="E666" s="156" t="s">
        <v>1928</v>
      </c>
      <c r="F666" s="156" t="s">
        <v>1243</v>
      </c>
      <c r="G666" s="156" t="s">
        <v>14</v>
      </c>
      <c r="H666" s="157">
        <v>43630</v>
      </c>
      <c r="I666" s="158">
        <v>390</v>
      </c>
      <c r="J666" s="158" t="s">
        <v>58</v>
      </c>
      <c r="K666" s="165" t="s">
        <v>59</v>
      </c>
      <c r="L666" s="162">
        <v>44194</v>
      </c>
      <c r="M666" s="159" t="s">
        <v>60</v>
      </c>
      <c r="N666" s="159" t="s">
        <v>63</v>
      </c>
      <c r="O666" s="159" t="s">
        <v>82</v>
      </c>
      <c r="P666" s="159" t="s">
        <v>82</v>
      </c>
      <c r="Q666" s="159" t="s">
        <v>82</v>
      </c>
      <c r="R666" s="159" t="s">
        <v>68</v>
      </c>
      <c r="S666" s="159" t="s">
        <v>68</v>
      </c>
      <c r="T666" s="159" t="s">
        <v>68</v>
      </c>
      <c r="U666" s="159" t="s">
        <v>68</v>
      </c>
      <c r="V666" s="159" t="s">
        <v>82</v>
      </c>
      <c r="W666" s="159" t="s">
        <v>82</v>
      </c>
      <c r="X666" s="159" t="s">
        <v>82</v>
      </c>
      <c r="Y666" s="159" t="s">
        <v>82</v>
      </c>
      <c r="Z666" s="159" t="s">
        <v>82</v>
      </c>
      <c r="AA666" s="158" t="s">
        <v>82</v>
      </c>
      <c r="AB666" s="158" t="s">
        <v>82</v>
      </c>
      <c r="AC666" s="159" t="s">
        <v>82</v>
      </c>
      <c r="AD666" s="153"/>
      <c r="AE666" s="120"/>
    </row>
    <row r="667" spans="1:31" ht="23.4" x14ac:dyDescent="0.25">
      <c r="A667" s="121" t="s">
        <v>82</v>
      </c>
      <c r="B667" s="144">
        <v>39058</v>
      </c>
      <c r="C667" s="154" t="s">
        <v>54</v>
      </c>
      <c r="D667" s="155" t="s">
        <v>1707</v>
      </c>
      <c r="E667" s="156" t="s">
        <v>1928</v>
      </c>
      <c r="F667" s="156" t="s">
        <v>1243</v>
      </c>
      <c r="G667" s="156" t="s">
        <v>14</v>
      </c>
      <c r="H667" s="157">
        <v>43630</v>
      </c>
      <c r="I667" s="158">
        <v>397</v>
      </c>
      <c r="J667" s="158" t="s">
        <v>58</v>
      </c>
      <c r="K667" s="165" t="s">
        <v>59</v>
      </c>
      <c r="L667" s="162">
        <v>44194</v>
      </c>
      <c r="M667" s="159" t="s">
        <v>60</v>
      </c>
      <c r="N667" s="159" t="s">
        <v>63</v>
      </c>
      <c r="O667" s="159" t="s">
        <v>82</v>
      </c>
      <c r="P667" s="159" t="s">
        <v>82</v>
      </c>
      <c r="Q667" s="159" t="s">
        <v>82</v>
      </c>
      <c r="R667" s="159" t="s">
        <v>62</v>
      </c>
      <c r="S667" s="159" t="s">
        <v>62</v>
      </c>
      <c r="T667" s="159" t="s">
        <v>62</v>
      </c>
      <c r="U667" s="159" t="s">
        <v>62</v>
      </c>
      <c r="V667" s="159" t="s">
        <v>82</v>
      </c>
      <c r="W667" s="159" t="s">
        <v>82</v>
      </c>
      <c r="X667" s="159" t="s">
        <v>82</v>
      </c>
      <c r="Y667" s="159" t="s">
        <v>82</v>
      </c>
      <c r="Z667" s="159" t="s">
        <v>82</v>
      </c>
      <c r="AA667" s="158" t="s">
        <v>82</v>
      </c>
      <c r="AB667" s="158" t="s">
        <v>82</v>
      </c>
      <c r="AC667" s="159" t="s">
        <v>82</v>
      </c>
      <c r="AD667" s="153"/>
      <c r="AE667" s="120"/>
    </row>
    <row r="668" spans="1:31" ht="23.4" x14ac:dyDescent="0.25">
      <c r="A668" s="121" t="s">
        <v>82</v>
      </c>
      <c r="B668" s="144">
        <v>39094</v>
      </c>
      <c r="C668" s="154" t="s">
        <v>64</v>
      </c>
      <c r="D668" s="156" t="s">
        <v>1708</v>
      </c>
      <c r="E668" s="156" t="s">
        <v>1928</v>
      </c>
      <c r="F668" s="156" t="s">
        <v>1243</v>
      </c>
      <c r="G668" s="156" t="s">
        <v>14</v>
      </c>
      <c r="H668" s="157">
        <v>43718</v>
      </c>
      <c r="I668" s="158">
        <v>588</v>
      </c>
      <c r="J668" s="158" t="s">
        <v>58</v>
      </c>
      <c r="K668" s="165" t="s">
        <v>59</v>
      </c>
      <c r="L668" s="162">
        <v>44232</v>
      </c>
      <c r="M668" s="158" t="s">
        <v>60</v>
      </c>
      <c r="N668" s="162">
        <v>44200</v>
      </c>
      <c r="O668" s="159" t="s">
        <v>82</v>
      </c>
      <c r="P668" s="159" t="s">
        <v>82</v>
      </c>
      <c r="Q668" s="159" t="s">
        <v>75</v>
      </c>
      <c r="R668" s="159" t="s">
        <v>82</v>
      </c>
      <c r="S668" s="159" t="s">
        <v>68</v>
      </c>
      <c r="T668" s="159" t="s">
        <v>68</v>
      </c>
      <c r="U668" s="159" t="s">
        <v>68</v>
      </c>
      <c r="V668" s="159" t="s">
        <v>82</v>
      </c>
      <c r="W668" s="159" t="s">
        <v>82</v>
      </c>
      <c r="X668" s="159" t="s">
        <v>82</v>
      </c>
      <c r="Y668" s="159" t="s">
        <v>82</v>
      </c>
      <c r="Z668" s="159" t="s">
        <v>82</v>
      </c>
      <c r="AA668" s="158" t="s">
        <v>82</v>
      </c>
      <c r="AB668" s="158" t="s">
        <v>82</v>
      </c>
      <c r="AC668" s="159" t="s">
        <v>82</v>
      </c>
      <c r="AD668" s="153"/>
      <c r="AE668" s="120"/>
    </row>
    <row r="669" spans="1:31" ht="23.4" x14ac:dyDescent="0.25">
      <c r="A669" s="121" t="s">
        <v>82</v>
      </c>
      <c r="B669" s="144">
        <v>39094</v>
      </c>
      <c r="C669" s="154" t="s">
        <v>54</v>
      </c>
      <c r="D669" s="156" t="s">
        <v>1710</v>
      </c>
      <c r="E669" s="156" t="s">
        <v>1928</v>
      </c>
      <c r="F669" s="156" t="s">
        <v>1243</v>
      </c>
      <c r="G669" s="156" t="s">
        <v>14</v>
      </c>
      <c r="H669" s="157">
        <v>43718</v>
      </c>
      <c r="I669" s="158">
        <v>589</v>
      </c>
      <c r="J669" s="158" t="s">
        <v>58</v>
      </c>
      <c r="K669" s="165" t="s">
        <v>59</v>
      </c>
      <c r="L669" s="162">
        <v>44232</v>
      </c>
      <c r="M669" s="158" t="s">
        <v>60</v>
      </c>
      <c r="N669" s="162">
        <v>44200</v>
      </c>
      <c r="O669" s="159" t="s">
        <v>82</v>
      </c>
      <c r="P669" s="159" t="s">
        <v>82</v>
      </c>
      <c r="Q669" s="159" t="s">
        <v>75</v>
      </c>
      <c r="R669" s="159" t="s">
        <v>82</v>
      </c>
      <c r="S669" s="159" t="s">
        <v>82</v>
      </c>
      <c r="T669" s="159" t="s">
        <v>82</v>
      </c>
      <c r="U669" s="159" t="s">
        <v>82</v>
      </c>
      <c r="V669" s="159" t="s">
        <v>82</v>
      </c>
      <c r="W669" s="159" t="s">
        <v>82</v>
      </c>
      <c r="X669" s="159" t="s">
        <v>82</v>
      </c>
      <c r="Y669" s="159" t="s">
        <v>82</v>
      </c>
      <c r="Z669" s="159" t="s">
        <v>82</v>
      </c>
      <c r="AA669" s="158" t="s">
        <v>82</v>
      </c>
      <c r="AB669" s="158" t="s">
        <v>82</v>
      </c>
      <c r="AC669" s="159" t="s">
        <v>82</v>
      </c>
      <c r="AD669" s="153"/>
      <c r="AE669" s="120"/>
    </row>
    <row r="670" spans="1:31" x14ac:dyDescent="0.25">
      <c r="A670" s="121" t="s">
        <v>82</v>
      </c>
      <c r="B670" s="144">
        <v>30547</v>
      </c>
      <c r="C670" s="154" t="s">
        <v>64</v>
      </c>
      <c r="D670" s="156" t="s">
        <v>1648</v>
      </c>
      <c r="E670" s="156" t="s">
        <v>1242</v>
      </c>
      <c r="F670" s="158" t="s">
        <v>1243</v>
      </c>
      <c r="G670" s="156" t="s">
        <v>14</v>
      </c>
      <c r="H670" s="157">
        <v>42870</v>
      </c>
      <c r="I670" s="158">
        <v>86</v>
      </c>
      <c r="J670" s="158" t="s">
        <v>66</v>
      </c>
      <c r="K670" s="159" t="s">
        <v>82</v>
      </c>
      <c r="L670" s="159" t="s">
        <v>82</v>
      </c>
      <c r="M670" s="160" t="s">
        <v>67</v>
      </c>
      <c r="N670" s="159" t="s">
        <v>63</v>
      </c>
      <c r="O670" s="159" t="s">
        <v>82</v>
      </c>
      <c r="P670" s="159" t="s">
        <v>82</v>
      </c>
      <c r="Q670" s="167" t="s">
        <v>82</v>
      </c>
      <c r="R670" s="165" t="s">
        <v>82</v>
      </c>
      <c r="S670" s="159" t="s">
        <v>82</v>
      </c>
      <c r="T670" s="159" t="s">
        <v>82</v>
      </c>
      <c r="U670" s="159" t="s">
        <v>82</v>
      </c>
      <c r="V670" s="159" t="s">
        <v>82</v>
      </c>
      <c r="W670" s="159" t="s">
        <v>82</v>
      </c>
      <c r="X670" s="159" t="s">
        <v>82</v>
      </c>
      <c r="Y670" s="159" t="s">
        <v>82</v>
      </c>
      <c r="Z670" s="159" t="s">
        <v>82</v>
      </c>
      <c r="AA670" s="158" t="s">
        <v>82</v>
      </c>
      <c r="AB670" s="158" t="s">
        <v>82</v>
      </c>
      <c r="AC670" s="159" t="s">
        <v>82</v>
      </c>
      <c r="AD670" s="153"/>
      <c r="AE670" s="120"/>
    </row>
    <row r="671" spans="1:31" x14ac:dyDescent="0.25">
      <c r="A671" s="121" t="s">
        <v>82</v>
      </c>
      <c r="B671" s="144">
        <v>30547</v>
      </c>
      <c r="C671" s="154" t="s">
        <v>54</v>
      </c>
      <c r="D671" s="156" t="s">
        <v>1650</v>
      </c>
      <c r="E671" s="156" t="s">
        <v>1242</v>
      </c>
      <c r="F671" s="158" t="s">
        <v>1243</v>
      </c>
      <c r="G671" s="156" t="s">
        <v>14</v>
      </c>
      <c r="H671" s="157">
        <v>42870</v>
      </c>
      <c r="I671" s="158">
        <v>87</v>
      </c>
      <c r="J671" s="158" t="s">
        <v>66</v>
      </c>
      <c r="K671" s="159" t="s">
        <v>82</v>
      </c>
      <c r="L671" s="159" t="s">
        <v>82</v>
      </c>
      <c r="M671" s="160" t="s">
        <v>67</v>
      </c>
      <c r="N671" s="159" t="s">
        <v>63</v>
      </c>
      <c r="O671" s="159" t="s">
        <v>82</v>
      </c>
      <c r="P671" s="159" t="s">
        <v>82</v>
      </c>
      <c r="Q671" s="167" t="s">
        <v>82</v>
      </c>
      <c r="R671" s="165" t="s">
        <v>82</v>
      </c>
      <c r="S671" s="159" t="s">
        <v>82</v>
      </c>
      <c r="T671" s="159" t="s">
        <v>82</v>
      </c>
      <c r="U671" s="159" t="s">
        <v>82</v>
      </c>
      <c r="V671" s="159" t="s">
        <v>82</v>
      </c>
      <c r="W671" s="159" t="s">
        <v>82</v>
      </c>
      <c r="X671" s="159" t="s">
        <v>82</v>
      </c>
      <c r="Y671" s="159" t="s">
        <v>82</v>
      </c>
      <c r="Z671" s="159" t="s">
        <v>82</v>
      </c>
      <c r="AA671" s="158" t="s">
        <v>82</v>
      </c>
      <c r="AB671" s="158" t="s">
        <v>82</v>
      </c>
      <c r="AC671" s="159" t="s">
        <v>82</v>
      </c>
      <c r="AD671" s="153"/>
      <c r="AE671" s="120"/>
    </row>
    <row r="672" spans="1:31" x14ac:dyDescent="0.25">
      <c r="A672" s="121" t="s">
        <v>82</v>
      </c>
      <c r="B672" s="144">
        <v>30609</v>
      </c>
      <c r="C672" s="154" t="s">
        <v>64</v>
      </c>
      <c r="D672" s="156" t="s">
        <v>2072</v>
      </c>
      <c r="E672" s="156" t="s">
        <v>1242</v>
      </c>
      <c r="F672" s="156" t="s">
        <v>1243</v>
      </c>
      <c r="G672" s="156" t="s">
        <v>14</v>
      </c>
      <c r="H672" s="157">
        <v>43080</v>
      </c>
      <c r="I672" s="158">
        <v>133</v>
      </c>
      <c r="J672" s="158" t="s">
        <v>58</v>
      </c>
      <c r="K672" s="158" t="s">
        <v>680</v>
      </c>
      <c r="L672" s="162">
        <v>44371</v>
      </c>
      <c r="M672" s="158" t="s">
        <v>60</v>
      </c>
      <c r="N672" s="162">
        <v>44180</v>
      </c>
      <c r="O672" s="159" t="s">
        <v>82</v>
      </c>
      <c r="P672" s="159" t="s">
        <v>82</v>
      </c>
      <c r="Q672" s="159" t="s">
        <v>82</v>
      </c>
      <c r="R672" s="159" t="s">
        <v>82</v>
      </c>
      <c r="S672" s="159" t="s">
        <v>82</v>
      </c>
      <c r="T672" s="159" t="s">
        <v>82</v>
      </c>
      <c r="U672" s="159" t="s">
        <v>82</v>
      </c>
      <c r="V672" s="159" t="s">
        <v>82</v>
      </c>
      <c r="W672" s="159" t="s">
        <v>82</v>
      </c>
      <c r="X672" s="159" t="s">
        <v>82</v>
      </c>
      <c r="Y672" s="159" t="s">
        <v>82</v>
      </c>
      <c r="Z672" s="159" t="s">
        <v>82</v>
      </c>
      <c r="AA672" s="158" t="s">
        <v>82</v>
      </c>
      <c r="AB672" s="158" t="s">
        <v>82</v>
      </c>
      <c r="AC672" s="159" t="s">
        <v>82</v>
      </c>
      <c r="AD672" s="153"/>
      <c r="AE672" s="120"/>
    </row>
    <row r="673" spans="1:31" x14ac:dyDescent="0.25">
      <c r="A673" s="121" t="s">
        <v>82</v>
      </c>
      <c r="B673" s="144">
        <v>30609</v>
      </c>
      <c r="C673" s="154" t="s">
        <v>54</v>
      </c>
      <c r="D673" s="156" t="s">
        <v>2073</v>
      </c>
      <c r="E673" s="156" t="s">
        <v>1242</v>
      </c>
      <c r="F673" s="156" t="s">
        <v>1243</v>
      </c>
      <c r="G673" s="156" t="s">
        <v>14</v>
      </c>
      <c r="H673" s="157">
        <v>43080</v>
      </c>
      <c r="I673" s="158">
        <v>132</v>
      </c>
      <c r="J673" s="158" t="s">
        <v>58</v>
      </c>
      <c r="K673" s="158" t="s">
        <v>680</v>
      </c>
      <c r="L673" s="162">
        <v>44371</v>
      </c>
      <c r="M673" s="158" t="s">
        <v>60</v>
      </c>
      <c r="N673" s="162">
        <v>44180</v>
      </c>
      <c r="O673" s="159" t="s">
        <v>82</v>
      </c>
      <c r="P673" s="159" t="s">
        <v>82</v>
      </c>
      <c r="Q673" s="159" t="s">
        <v>82</v>
      </c>
      <c r="R673" s="159" t="s">
        <v>82</v>
      </c>
      <c r="S673" s="159" t="s">
        <v>82</v>
      </c>
      <c r="T673" s="159" t="s">
        <v>82</v>
      </c>
      <c r="U673" s="159" t="s">
        <v>82</v>
      </c>
      <c r="V673" s="159" t="s">
        <v>82</v>
      </c>
      <c r="W673" s="159" t="s">
        <v>82</v>
      </c>
      <c r="X673" s="159" t="s">
        <v>82</v>
      </c>
      <c r="Y673" s="159" t="s">
        <v>82</v>
      </c>
      <c r="Z673" s="159" t="s">
        <v>82</v>
      </c>
      <c r="AA673" s="158" t="s">
        <v>82</v>
      </c>
      <c r="AB673" s="158" t="s">
        <v>82</v>
      </c>
      <c r="AC673" s="159" t="s">
        <v>82</v>
      </c>
      <c r="AD673" s="153"/>
      <c r="AE673" s="120"/>
    </row>
    <row r="674" spans="1:31" x14ac:dyDescent="0.25">
      <c r="A674" s="121" t="s">
        <v>82</v>
      </c>
      <c r="B674" s="144">
        <v>30614</v>
      </c>
      <c r="C674" s="154" t="s">
        <v>64</v>
      </c>
      <c r="D674" s="155" t="s">
        <v>1711</v>
      </c>
      <c r="E674" s="156" t="s">
        <v>1242</v>
      </c>
      <c r="F674" s="156" t="s">
        <v>1243</v>
      </c>
      <c r="G674" s="156" t="s">
        <v>14</v>
      </c>
      <c r="H674" s="157">
        <v>43062</v>
      </c>
      <c r="I674" s="158">
        <v>102</v>
      </c>
      <c r="J674" s="158" t="s">
        <v>58</v>
      </c>
      <c r="K674" s="158" t="s">
        <v>680</v>
      </c>
      <c r="L674" s="162">
        <v>44370</v>
      </c>
      <c r="M674" s="159" t="s">
        <v>60</v>
      </c>
      <c r="N674" s="162">
        <v>44268</v>
      </c>
      <c r="O674" s="159" t="s">
        <v>82</v>
      </c>
      <c r="P674" s="159" t="s">
        <v>82</v>
      </c>
      <c r="Q674" s="159" t="s">
        <v>82</v>
      </c>
      <c r="R674" s="159" t="s">
        <v>82</v>
      </c>
      <c r="S674" s="159" t="s">
        <v>82</v>
      </c>
      <c r="T674" s="159" t="s">
        <v>82</v>
      </c>
      <c r="U674" s="159" t="s">
        <v>82</v>
      </c>
      <c r="V674" s="159" t="s">
        <v>82</v>
      </c>
      <c r="W674" s="159" t="s">
        <v>82</v>
      </c>
      <c r="X674" s="159" t="s">
        <v>82</v>
      </c>
      <c r="Y674" s="159" t="s">
        <v>82</v>
      </c>
      <c r="Z674" s="159" t="s">
        <v>82</v>
      </c>
      <c r="AA674" s="158" t="s">
        <v>82</v>
      </c>
      <c r="AB674" s="158" t="s">
        <v>82</v>
      </c>
      <c r="AC674" s="159" t="s">
        <v>82</v>
      </c>
      <c r="AD674" s="153"/>
      <c r="AE674" s="120"/>
    </row>
    <row r="675" spans="1:31" x14ac:dyDescent="0.25">
      <c r="A675" s="121" t="s">
        <v>82</v>
      </c>
      <c r="B675" s="144">
        <v>30614</v>
      </c>
      <c r="C675" s="154" t="s">
        <v>54</v>
      </c>
      <c r="D675" s="155" t="s">
        <v>1713</v>
      </c>
      <c r="E675" s="156" t="s">
        <v>1242</v>
      </c>
      <c r="F675" s="156" t="s">
        <v>1243</v>
      </c>
      <c r="G675" s="156" t="s">
        <v>14</v>
      </c>
      <c r="H675" s="157">
        <v>43062</v>
      </c>
      <c r="I675" s="158">
        <v>114</v>
      </c>
      <c r="J675" s="158" t="s">
        <v>58</v>
      </c>
      <c r="K675" s="158" t="s">
        <v>680</v>
      </c>
      <c r="L675" s="162">
        <v>44370</v>
      </c>
      <c r="M675" s="159" t="s">
        <v>60</v>
      </c>
      <c r="N675" s="162">
        <v>44268</v>
      </c>
      <c r="O675" s="159" t="s">
        <v>82</v>
      </c>
      <c r="P675" s="159" t="s">
        <v>82</v>
      </c>
      <c r="Q675" s="159" t="s">
        <v>82</v>
      </c>
      <c r="R675" s="159" t="s">
        <v>82</v>
      </c>
      <c r="S675" s="159" t="s">
        <v>82</v>
      </c>
      <c r="T675" s="159" t="s">
        <v>82</v>
      </c>
      <c r="U675" s="159" t="s">
        <v>82</v>
      </c>
      <c r="V675" s="159" t="s">
        <v>82</v>
      </c>
      <c r="W675" s="159" t="s">
        <v>82</v>
      </c>
      <c r="X675" s="159" t="s">
        <v>82</v>
      </c>
      <c r="Y675" s="159" t="s">
        <v>82</v>
      </c>
      <c r="Z675" s="159" t="s">
        <v>82</v>
      </c>
      <c r="AA675" s="158" t="s">
        <v>82</v>
      </c>
      <c r="AB675" s="158" t="s">
        <v>82</v>
      </c>
      <c r="AC675" s="159" t="s">
        <v>82</v>
      </c>
      <c r="AD675" s="153"/>
      <c r="AE675" s="120"/>
    </row>
    <row r="676" spans="1:31" x14ac:dyDescent="0.25">
      <c r="A676" s="121" t="s">
        <v>82</v>
      </c>
      <c r="B676" s="144">
        <v>37060</v>
      </c>
      <c r="C676" s="154" t="s">
        <v>64</v>
      </c>
      <c r="D676" s="155" t="s">
        <v>1671</v>
      </c>
      <c r="E676" s="156" t="s">
        <v>1242</v>
      </c>
      <c r="F676" s="158" t="s">
        <v>1243</v>
      </c>
      <c r="G676" s="156" t="s">
        <v>14</v>
      </c>
      <c r="H676" s="157">
        <v>43447</v>
      </c>
      <c r="I676" s="158">
        <v>201</v>
      </c>
      <c r="J676" s="158" t="s">
        <v>58</v>
      </c>
      <c r="K676" s="158" t="s">
        <v>1318</v>
      </c>
      <c r="L676" s="158" t="s">
        <v>82</v>
      </c>
      <c r="M676" s="158" t="s">
        <v>60</v>
      </c>
      <c r="N676" s="162">
        <v>44294</v>
      </c>
      <c r="O676" s="158" t="s">
        <v>82</v>
      </c>
      <c r="P676" s="158" t="s">
        <v>82</v>
      </c>
      <c r="Q676" s="158" t="s">
        <v>82</v>
      </c>
      <c r="R676" s="158" t="s">
        <v>82</v>
      </c>
      <c r="S676" s="158" t="s">
        <v>68</v>
      </c>
      <c r="T676" s="158" t="s">
        <v>82</v>
      </c>
      <c r="U676" s="155" t="s">
        <v>82</v>
      </c>
      <c r="V676" s="158" t="s">
        <v>82</v>
      </c>
      <c r="W676" s="158" t="s">
        <v>82</v>
      </c>
      <c r="X676" s="158" t="s">
        <v>68</v>
      </c>
      <c r="Y676" s="158" t="s">
        <v>68</v>
      </c>
      <c r="Z676" s="158" t="s">
        <v>82</v>
      </c>
      <c r="AA676" s="158" t="s">
        <v>82</v>
      </c>
      <c r="AB676" s="158" t="s">
        <v>82</v>
      </c>
      <c r="AC676" s="158" t="s">
        <v>82</v>
      </c>
      <c r="AD676" s="173"/>
      <c r="AE676" s="120"/>
    </row>
    <row r="677" spans="1:31" x14ac:dyDescent="0.25">
      <c r="A677" s="121" t="s">
        <v>82</v>
      </c>
      <c r="B677" s="144">
        <v>37060</v>
      </c>
      <c r="C677" s="154" t="s">
        <v>54</v>
      </c>
      <c r="D677" s="155" t="s">
        <v>1673</v>
      </c>
      <c r="E677" s="156" t="s">
        <v>1242</v>
      </c>
      <c r="F677" s="158" t="s">
        <v>1243</v>
      </c>
      <c r="G677" s="156" t="s">
        <v>14</v>
      </c>
      <c r="H677" s="157">
        <v>43447</v>
      </c>
      <c r="I677" s="158">
        <v>191</v>
      </c>
      <c r="J677" s="158" t="s">
        <v>58</v>
      </c>
      <c r="K677" s="159" t="s">
        <v>1318</v>
      </c>
      <c r="L677" s="159" t="s">
        <v>82</v>
      </c>
      <c r="M677" s="158" t="s">
        <v>60</v>
      </c>
      <c r="N677" s="162">
        <v>44294</v>
      </c>
      <c r="O677" s="159" t="s">
        <v>82</v>
      </c>
      <c r="P677" s="159" t="s">
        <v>82</v>
      </c>
      <c r="Q677" s="159" t="s">
        <v>82</v>
      </c>
      <c r="R677" s="159" t="s">
        <v>82</v>
      </c>
      <c r="S677" s="159" t="s">
        <v>62</v>
      </c>
      <c r="T677" s="159" t="s">
        <v>82</v>
      </c>
      <c r="U677" s="165" t="s">
        <v>82</v>
      </c>
      <c r="V677" s="159" t="s">
        <v>82</v>
      </c>
      <c r="W677" s="159" t="s">
        <v>82</v>
      </c>
      <c r="X677" s="159" t="s">
        <v>62</v>
      </c>
      <c r="Y677" s="159" t="s">
        <v>62</v>
      </c>
      <c r="Z677" s="159" t="s">
        <v>82</v>
      </c>
      <c r="AA677" s="158" t="s">
        <v>82</v>
      </c>
      <c r="AB677" s="158" t="s">
        <v>82</v>
      </c>
      <c r="AC677" s="159" t="s">
        <v>82</v>
      </c>
      <c r="AD677" s="153"/>
      <c r="AE677" s="120"/>
    </row>
    <row r="678" spans="1:31" x14ac:dyDescent="0.25">
      <c r="A678" s="121" t="s">
        <v>82</v>
      </c>
      <c r="B678" s="144">
        <v>37061</v>
      </c>
      <c r="C678" s="154" t="s">
        <v>64</v>
      </c>
      <c r="D678" s="155" t="s">
        <v>1714</v>
      </c>
      <c r="E678" s="156" t="s">
        <v>1242</v>
      </c>
      <c r="F678" s="158" t="s">
        <v>1243</v>
      </c>
      <c r="G678" s="156" t="s">
        <v>14</v>
      </c>
      <c r="H678" s="157">
        <v>43448</v>
      </c>
      <c r="I678" s="158">
        <v>202</v>
      </c>
      <c r="J678" s="158" t="s">
        <v>58</v>
      </c>
      <c r="K678" s="158" t="s">
        <v>680</v>
      </c>
      <c r="L678" s="162">
        <v>44320</v>
      </c>
      <c r="M678" s="158" t="s">
        <v>60</v>
      </c>
      <c r="N678" s="162">
        <v>44265</v>
      </c>
      <c r="O678" s="159" t="s">
        <v>82</v>
      </c>
      <c r="P678" s="159" t="s">
        <v>82</v>
      </c>
      <c r="Q678" s="159" t="s">
        <v>82</v>
      </c>
      <c r="R678" s="159" t="s">
        <v>82</v>
      </c>
      <c r="S678" s="159" t="s">
        <v>82</v>
      </c>
      <c r="T678" s="159" t="s">
        <v>82</v>
      </c>
      <c r="U678" s="159" t="s">
        <v>82</v>
      </c>
      <c r="V678" s="159" t="s">
        <v>82</v>
      </c>
      <c r="W678" s="159" t="s">
        <v>82</v>
      </c>
      <c r="X678" s="159" t="s">
        <v>82</v>
      </c>
      <c r="Y678" s="159" t="s">
        <v>82</v>
      </c>
      <c r="Z678" s="159" t="s">
        <v>82</v>
      </c>
      <c r="AA678" s="158" t="s">
        <v>82</v>
      </c>
      <c r="AB678" s="158" t="s">
        <v>82</v>
      </c>
      <c r="AC678" s="159" t="s">
        <v>82</v>
      </c>
      <c r="AD678" s="153"/>
      <c r="AE678" s="120"/>
    </row>
    <row r="679" spans="1:31" x14ac:dyDescent="0.25">
      <c r="A679" s="121" t="s">
        <v>82</v>
      </c>
      <c r="B679" s="144">
        <v>37061</v>
      </c>
      <c r="C679" s="154" t="s">
        <v>54</v>
      </c>
      <c r="D679" s="155" t="s">
        <v>1717</v>
      </c>
      <c r="E679" s="156" t="s">
        <v>1242</v>
      </c>
      <c r="F679" s="158" t="s">
        <v>1243</v>
      </c>
      <c r="G679" s="156" t="s">
        <v>14</v>
      </c>
      <c r="H679" s="157">
        <v>43448</v>
      </c>
      <c r="I679" s="158">
        <v>203</v>
      </c>
      <c r="J679" s="158" t="s">
        <v>58</v>
      </c>
      <c r="K679" s="158" t="s">
        <v>680</v>
      </c>
      <c r="L679" s="162">
        <v>44320</v>
      </c>
      <c r="M679" s="158" t="s">
        <v>60</v>
      </c>
      <c r="N679" s="162">
        <v>44265</v>
      </c>
      <c r="O679" s="159" t="s">
        <v>82</v>
      </c>
      <c r="P679" s="159" t="s">
        <v>82</v>
      </c>
      <c r="Q679" s="159" t="s">
        <v>82</v>
      </c>
      <c r="R679" s="159" t="s">
        <v>82</v>
      </c>
      <c r="S679" s="159" t="s">
        <v>82</v>
      </c>
      <c r="T679" s="159" t="s">
        <v>82</v>
      </c>
      <c r="U679" s="159" t="s">
        <v>82</v>
      </c>
      <c r="V679" s="159" t="s">
        <v>82</v>
      </c>
      <c r="W679" s="159" t="s">
        <v>82</v>
      </c>
      <c r="X679" s="159" t="s">
        <v>82</v>
      </c>
      <c r="Y679" s="159" t="s">
        <v>82</v>
      </c>
      <c r="Z679" s="159" t="s">
        <v>82</v>
      </c>
      <c r="AA679" s="158" t="s">
        <v>82</v>
      </c>
      <c r="AB679" s="158" t="s">
        <v>82</v>
      </c>
      <c r="AC679" s="159" t="s">
        <v>82</v>
      </c>
      <c r="AD679" s="153"/>
      <c r="AE679" s="120"/>
    </row>
    <row r="680" spans="1:31" x14ac:dyDescent="0.25">
      <c r="A680" s="121" t="s">
        <v>82</v>
      </c>
      <c r="B680" s="144">
        <v>37076</v>
      </c>
      <c r="C680" s="154" t="s">
        <v>64</v>
      </c>
      <c r="D680" s="155" t="s">
        <v>1718</v>
      </c>
      <c r="E680" s="156" t="s">
        <v>1242</v>
      </c>
      <c r="F680" s="158" t="s">
        <v>1243</v>
      </c>
      <c r="G680" s="156" t="s">
        <v>14</v>
      </c>
      <c r="H680" s="157">
        <v>43465</v>
      </c>
      <c r="I680" s="158">
        <v>193</v>
      </c>
      <c r="J680" s="158" t="s">
        <v>58</v>
      </c>
      <c r="K680" s="158" t="s">
        <v>680</v>
      </c>
      <c r="L680" s="162">
        <v>44362</v>
      </c>
      <c r="M680" s="158" t="s">
        <v>60</v>
      </c>
      <c r="N680" s="162">
        <v>44344</v>
      </c>
      <c r="O680" s="159" t="s">
        <v>82</v>
      </c>
      <c r="P680" s="159" t="s">
        <v>82</v>
      </c>
      <c r="Q680" s="159" t="s">
        <v>82</v>
      </c>
      <c r="R680" s="159" t="s">
        <v>68</v>
      </c>
      <c r="S680" s="159" t="s">
        <v>68</v>
      </c>
      <c r="T680" s="159" t="s">
        <v>82</v>
      </c>
      <c r="U680" s="161" t="s">
        <v>82</v>
      </c>
      <c r="V680" s="159" t="s">
        <v>82</v>
      </c>
      <c r="W680" s="159" t="s">
        <v>82</v>
      </c>
      <c r="X680" s="159" t="s">
        <v>206</v>
      </c>
      <c r="Y680" s="159" t="s">
        <v>206</v>
      </c>
      <c r="Z680" s="159" t="s">
        <v>82</v>
      </c>
      <c r="AA680" s="158" t="s">
        <v>82</v>
      </c>
      <c r="AB680" s="158" t="s">
        <v>82</v>
      </c>
      <c r="AC680" s="159" t="s">
        <v>82</v>
      </c>
      <c r="AD680" s="153"/>
      <c r="AE680" s="120"/>
    </row>
    <row r="681" spans="1:31" x14ac:dyDescent="0.25">
      <c r="A681" s="121" t="s">
        <v>82</v>
      </c>
      <c r="B681" s="144">
        <v>37076</v>
      </c>
      <c r="C681" s="154" t="s">
        <v>54</v>
      </c>
      <c r="D681" s="155" t="s">
        <v>1719</v>
      </c>
      <c r="E681" s="156" t="s">
        <v>1242</v>
      </c>
      <c r="F681" s="158" t="s">
        <v>1243</v>
      </c>
      <c r="G681" s="156" t="s">
        <v>14</v>
      </c>
      <c r="H681" s="157">
        <v>43465</v>
      </c>
      <c r="I681" s="158">
        <v>199</v>
      </c>
      <c r="J681" s="158" t="s">
        <v>58</v>
      </c>
      <c r="K681" s="158" t="s">
        <v>680</v>
      </c>
      <c r="L681" s="162">
        <v>44362</v>
      </c>
      <c r="M681" s="158" t="s">
        <v>60</v>
      </c>
      <c r="N681" s="162">
        <v>44344</v>
      </c>
      <c r="O681" s="159" t="s">
        <v>82</v>
      </c>
      <c r="P681" s="159" t="s">
        <v>82</v>
      </c>
      <c r="Q681" s="159" t="s">
        <v>82</v>
      </c>
      <c r="R681" s="159" t="s">
        <v>62</v>
      </c>
      <c r="S681" s="159" t="s">
        <v>62</v>
      </c>
      <c r="T681" s="159" t="s">
        <v>82</v>
      </c>
      <c r="U681" s="161" t="s">
        <v>82</v>
      </c>
      <c r="V681" s="159" t="s">
        <v>82</v>
      </c>
      <c r="W681" s="159" t="s">
        <v>82</v>
      </c>
      <c r="X681" s="159" t="s">
        <v>206</v>
      </c>
      <c r="Y681" s="159" t="s">
        <v>206</v>
      </c>
      <c r="Z681" s="159" t="s">
        <v>82</v>
      </c>
      <c r="AA681" s="158" t="s">
        <v>82</v>
      </c>
      <c r="AB681" s="158" t="s">
        <v>82</v>
      </c>
      <c r="AC681" s="159" t="s">
        <v>82</v>
      </c>
      <c r="AD681" s="153"/>
      <c r="AE681" s="120"/>
    </row>
    <row r="682" spans="1:31" x14ac:dyDescent="0.25">
      <c r="A682" s="121" t="s">
        <v>82</v>
      </c>
      <c r="B682" s="144">
        <v>37077</v>
      </c>
      <c r="C682" s="154" t="s">
        <v>64</v>
      </c>
      <c r="D682" s="155" t="s">
        <v>2074</v>
      </c>
      <c r="E682" s="156" t="s">
        <v>1242</v>
      </c>
      <c r="F682" s="158" t="s">
        <v>1243</v>
      </c>
      <c r="G682" s="156" t="s">
        <v>14</v>
      </c>
      <c r="H682" s="157">
        <v>43465</v>
      </c>
      <c r="I682" s="158">
        <v>200</v>
      </c>
      <c r="J682" s="158" t="s">
        <v>58</v>
      </c>
      <c r="K682" s="159" t="s">
        <v>1318</v>
      </c>
      <c r="L682" s="159" t="s">
        <v>82</v>
      </c>
      <c r="M682" s="158" t="s">
        <v>60</v>
      </c>
      <c r="N682" s="162">
        <v>44189</v>
      </c>
      <c r="O682" s="159" t="s">
        <v>82</v>
      </c>
      <c r="P682" s="159" t="s">
        <v>82</v>
      </c>
      <c r="Q682" s="159" t="s">
        <v>82</v>
      </c>
      <c r="R682" s="159" t="s">
        <v>82</v>
      </c>
      <c r="S682" s="159" t="s">
        <v>68</v>
      </c>
      <c r="T682" s="159" t="s">
        <v>82</v>
      </c>
      <c r="U682" s="161" t="s">
        <v>82</v>
      </c>
      <c r="V682" s="159" t="s">
        <v>82</v>
      </c>
      <c r="W682" s="159" t="s">
        <v>82</v>
      </c>
      <c r="X682" s="159" t="s">
        <v>82</v>
      </c>
      <c r="Y682" s="159" t="s">
        <v>82</v>
      </c>
      <c r="Z682" s="159" t="s">
        <v>82</v>
      </c>
      <c r="AA682" s="158" t="s">
        <v>82</v>
      </c>
      <c r="AB682" s="158" t="s">
        <v>82</v>
      </c>
      <c r="AC682" s="159" t="s">
        <v>82</v>
      </c>
      <c r="AD682" s="153"/>
      <c r="AE682" s="120"/>
    </row>
    <row r="683" spans="1:31" x14ac:dyDescent="0.25">
      <c r="A683" s="121" t="s">
        <v>82</v>
      </c>
      <c r="B683" s="144">
        <v>37077</v>
      </c>
      <c r="C683" s="154" t="s">
        <v>54</v>
      </c>
      <c r="D683" s="155" t="s">
        <v>2075</v>
      </c>
      <c r="E683" s="156" t="s">
        <v>1242</v>
      </c>
      <c r="F683" s="158" t="s">
        <v>1243</v>
      </c>
      <c r="G683" s="156" t="s">
        <v>14</v>
      </c>
      <c r="H683" s="157">
        <v>43465</v>
      </c>
      <c r="I683" s="158">
        <v>190</v>
      </c>
      <c r="J683" s="158" t="s">
        <v>58</v>
      </c>
      <c r="K683" s="159" t="s">
        <v>1318</v>
      </c>
      <c r="L683" s="159" t="s">
        <v>82</v>
      </c>
      <c r="M683" s="158" t="s">
        <v>60</v>
      </c>
      <c r="N683" s="162">
        <v>44189</v>
      </c>
      <c r="O683" s="159" t="s">
        <v>82</v>
      </c>
      <c r="P683" s="159" t="s">
        <v>82</v>
      </c>
      <c r="Q683" s="159" t="s">
        <v>82</v>
      </c>
      <c r="R683" s="159" t="s">
        <v>82</v>
      </c>
      <c r="S683" s="159" t="s">
        <v>62</v>
      </c>
      <c r="T683" s="159" t="s">
        <v>82</v>
      </c>
      <c r="U683" s="161" t="s">
        <v>82</v>
      </c>
      <c r="V683" s="159" t="s">
        <v>82</v>
      </c>
      <c r="W683" s="159" t="s">
        <v>82</v>
      </c>
      <c r="X683" s="159" t="s">
        <v>82</v>
      </c>
      <c r="Y683" s="159" t="s">
        <v>82</v>
      </c>
      <c r="Z683" s="159" t="s">
        <v>82</v>
      </c>
      <c r="AA683" s="158" t="s">
        <v>82</v>
      </c>
      <c r="AB683" s="158" t="s">
        <v>82</v>
      </c>
      <c r="AC683" s="159" t="s">
        <v>82</v>
      </c>
      <c r="AD683" s="153"/>
      <c r="AE683" s="120"/>
    </row>
    <row r="684" spans="1:31" x14ac:dyDescent="0.25">
      <c r="A684" s="121" t="s">
        <v>82</v>
      </c>
      <c r="B684" s="144">
        <v>37121</v>
      </c>
      <c r="C684" s="154" t="s">
        <v>64</v>
      </c>
      <c r="D684" s="155" t="s">
        <v>1684</v>
      </c>
      <c r="E684" s="156" t="s">
        <v>1242</v>
      </c>
      <c r="F684" s="158" t="s">
        <v>1243</v>
      </c>
      <c r="G684" s="156" t="s">
        <v>14</v>
      </c>
      <c r="H684" s="157">
        <v>43547</v>
      </c>
      <c r="I684" s="158">
        <v>341</v>
      </c>
      <c r="J684" s="158" t="s">
        <v>58</v>
      </c>
      <c r="K684" s="159" t="s">
        <v>82</v>
      </c>
      <c r="L684" s="159" t="s">
        <v>82</v>
      </c>
      <c r="M684" s="158" t="s">
        <v>60</v>
      </c>
      <c r="N684" s="162">
        <v>44269</v>
      </c>
      <c r="O684" s="159" t="s">
        <v>82</v>
      </c>
      <c r="P684" s="159" t="s">
        <v>82</v>
      </c>
      <c r="Q684" s="159" t="s">
        <v>82</v>
      </c>
      <c r="R684" s="159" t="s">
        <v>82</v>
      </c>
      <c r="S684" s="159" t="s">
        <v>68</v>
      </c>
      <c r="T684" s="159" t="s">
        <v>82</v>
      </c>
      <c r="U684" s="161" t="s">
        <v>82</v>
      </c>
      <c r="V684" s="159" t="s">
        <v>82</v>
      </c>
      <c r="W684" s="159" t="s">
        <v>82</v>
      </c>
      <c r="X684" s="159" t="s">
        <v>82</v>
      </c>
      <c r="Y684" s="159" t="s">
        <v>82</v>
      </c>
      <c r="Z684" s="159" t="s">
        <v>82</v>
      </c>
      <c r="AA684" s="158" t="s">
        <v>82</v>
      </c>
      <c r="AB684" s="158" t="s">
        <v>82</v>
      </c>
      <c r="AC684" s="159" t="s">
        <v>82</v>
      </c>
      <c r="AD684" s="153"/>
      <c r="AE684" s="120"/>
    </row>
    <row r="685" spans="1:31" ht="23.4" x14ac:dyDescent="0.25">
      <c r="A685" s="121" t="s">
        <v>82</v>
      </c>
      <c r="B685" s="144">
        <v>37121</v>
      </c>
      <c r="C685" s="154" t="s">
        <v>54</v>
      </c>
      <c r="D685" s="156" t="s">
        <v>2076</v>
      </c>
      <c r="E685" s="156" t="s">
        <v>1242</v>
      </c>
      <c r="F685" s="158" t="s">
        <v>1243</v>
      </c>
      <c r="G685" s="156" t="s">
        <v>14</v>
      </c>
      <c r="H685" s="157">
        <v>43547</v>
      </c>
      <c r="I685" s="158">
        <v>291</v>
      </c>
      <c r="J685" s="158" t="s">
        <v>58</v>
      </c>
      <c r="K685" s="165" t="s">
        <v>59</v>
      </c>
      <c r="L685" s="166">
        <v>44118</v>
      </c>
      <c r="M685" s="160" t="s">
        <v>722</v>
      </c>
      <c r="N685" s="160" t="s">
        <v>82</v>
      </c>
      <c r="O685" s="160" t="s">
        <v>82</v>
      </c>
      <c r="P685" s="160" t="s">
        <v>82</v>
      </c>
      <c r="Q685" s="167" t="s">
        <v>82</v>
      </c>
      <c r="R685" s="167" t="s">
        <v>82</v>
      </c>
      <c r="S685" s="167" t="s">
        <v>62</v>
      </c>
      <c r="T685" s="167" t="s">
        <v>82</v>
      </c>
      <c r="U685" s="167" t="s">
        <v>82</v>
      </c>
      <c r="V685" s="167" t="s">
        <v>62</v>
      </c>
      <c r="W685" s="167" t="s">
        <v>82</v>
      </c>
      <c r="X685" s="167" t="s">
        <v>82</v>
      </c>
      <c r="Y685" s="167" t="s">
        <v>82</v>
      </c>
      <c r="Z685" s="167" t="s">
        <v>82</v>
      </c>
      <c r="AA685" s="158" t="s">
        <v>82</v>
      </c>
      <c r="AB685" s="158" t="s">
        <v>82</v>
      </c>
      <c r="AC685" s="167" t="s">
        <v>82</v>
      </c>
      <c r="AD685" s="181"/>
      <c r="AE685" s="120"/>
    </row>
    <row r="686" spans="1:31" x14ac:dyDescent="0.25">
      <c r="A686" s="121" t="s">
        <v>82</v>
      </c>
      <c r="B686" s="144">
        <v>37283</v>
      </c>
      <c r="C686" s="154" t="s">
        <v>64</v>
      </c>
      <c r="D686" s="155" t="s">
        <v>1721</v>
      </c>
      <c r="E686" s="156" t="s">
        <v>1242</v>
      </c>
      <c r="F686" s="158" t="s">
        <v>1243</v>
      </c>
      <c r="G686" s="156" t="s">
        <v>14</v>
      </c>
      <c r="H686" s="157">
        <v>43795</v>
      </c>
      <c r="I686" s="158">
        <v>587</v>
      </c>
      <c r="J686" s="158" t="s">
        <v>58</v>
      </c>
      <c r="K686" s="158" t="s">
        <v>680</v>
      </c>
      <c r="L686" s="162">
        <v>44363</v>
      </c>
      <c r="M686" s="158" t="s">
        <v>60</v>
      </c>
      <c r="N686" s="162">
        <v>44186</v>
      </c>
      <c r="O686" s="159" t="s">
        <v>82</v>
      </c>
      <c r="P686" s="159" t="s">
        <v>82</v>
      </c>
      <c r="Q686" s="159" t="s">
        <v>75</v>
      </c>
      <c r="R686" s="159" t="s">
        <v>68</v>
      </c>
      <c r="S686" s="159" t="s">
        <v>68</v>
      </c>
      <c r="T686" s="159" t="s">
        <v>82</v>
      </c>
      <c r="U686" s="161" t="s">
        <v>82</v>
      </c>
      <c r="V686" s="159" t="s">
        <v>82</v>
      </c>
      <c r="W686" s="159" t="s">
        <v>82</v>
      </c>
      <c r="X686" s="159" t="s">
        <v>68</v>
      </c>
      <c r="Y686" s="159" t="s">
        <v>68</v>
      </c>
      <c r="Z686" s="159" t="s">
        <v>82</v>
      </c>
      <c r="AA686" s="158" t="s">
        <v>82</v>
      </c>
      <c r="AB686" s="158" t="s">
        <v>82</v>
      </c>
      <c r="AC686" s="159" t="s">
        <v>82</v>
      </c>
      <c r="AD686" s="153"/>
      <c r="AE686" s="120"/>
    </row>
    <row r="687" spans="1:31" x14ac:dyDescent="0.25">
      <c r="A687" s="121" t="s">
        <v>82</v>
      </c>
      <c r="B687" s="144">
        <v>37283</v>
      </c>
      <c r="C687" s="154" t="s">
        <v>54</v>
      </c>
      <c r="D687" s="155" t="s">
        <v>1723</v>
      </c>
      <c r="E687" s="156" t="s">
        <v>1242</v>
      </c>
      <c r="F687" s="158" t="s">
        <v>1243</v>
      </c>
      <c r="G687" s="156" t="s">
        <v>14</v>
      </c>
      <c r="H687" s="157">
        <v>43795</v>
      </c>
      <c r="I687" s="158">
        <v>573</v>
      </c>
      <c r="J687" s="158" t="s">
        <v>58</v>
      </c>
      <c r="K687" s="158" t="s">
        <v>680</v>
      </c>
      <c r="L687" s="162">
        <v>44363</v>
      </c>
      <c r="M687" s="158" t="s">
        <v>60</v>
      </c>
      <c r="N687" s="162">
        <v>44186</v>
      </c>
      <c r="O687" s="159" t="s">
        <v>82</v>
      </c>
      <c r="P687" s="159" t="s">
        <v>82</v>
      </c>
      <c r="Q687" s="159" t="s">
        <v>75</v>
      </c>
      <c r="R687" s="159" t="s">
        <v>62</v>
      </c>
      <c r="S687" s="159" t="s">
        <v>62</v>
      </c>
      <c r="T687" s="159" t="s">
        <v>82</v>
      </c>
      <c r="U687" s="161" t="s">
        <v>82</v>
      </c>
      <c r="V687" s="159" t="s">
        <v>82</v>
      </c>
      <c r="W687" s="159" t="s">
        <v>82</v>
      </c>
      <c r="X687" s="159" t="s">
        <v>62</v>
      </c>
      <c r="Y687" s="159" t="s">
        <v>62</v>
      </c>
      <c r="Z687" s="159" t="s">
        <v>82</v>
      </c>
      <c r="AA687" s="158" t="s">
        <v>82</v>
      </c>
      <c r="AB687" s="158" t="s">
        <v>82</v>
      </c>
      <c r="AC687" s="159" t="s">
        <v>82</v>
      </c>
      <c r="AD687" s="153"/>
      <c r="AE687" s="120"/>
    </row>
    <row r="688" spans="1:31" x14ac:dyDescent="0.25">
      <c r="A688" s="121" t="s">
        <v>82</v>
      </c>
      <c r="B688" s="144">
        <v>37284</v>
      </c>
      <c r="C688" s="154" t="s">
        <v>64</v>
      </c>
      <c r="D688" s="155" t="s">
        <v>1724</v>
      </c>
      <c r="E688" s="156" t="s">
        <v>1242</v>
      </c>
      <c r="F688" s="158" t="s">
        <v>1243</v>
      </c>
      <c r="G688" s="156" t="s">
        <v>14</v>
      </c>
      <c r="H688" s="157">
        <v>43796</v>
      </c>
      <c r="I688" s="158">
        <v>647</v>
      </c>
      <c r="J688" s="158" t="s">
        <v>58</v>
      </c>
      <c r="K688" s="159" t="s">
        <v>82</v>
      </c>
      <c r="L688" s="159" t="s">
        <v>82</v>
      </c>
      <c r="M688" s="158" t="s">
        <v>60</v>
      </c>
      <c r="N688" s="162">
        <v>44268</v>
      </c>
      <c r="O688" s="159" t="s">
        <v>82</v>
      </c>
      <c r="P688" s="159" t="s">
        <v>82</v>
      </c>
      <c r="Q688" s="159" t="s">
        <v>75</v>
      </c>
      <c r="R688" s="159" t="s">
        <v>82</v>
      </c>
      <c r="S688" s="159" t="s">
        <v>68</v>
      </c>
      <c r="T688" s="159" t="s">
        <v>82</v>
      </c>
      <c r="U688" s="161" t="s">
        <v>82</v>
      </c>
      <c r="V688" s="159" t="s">
        <v>82</v>
      </c>
      <c r="W688" s="159" t="s">
        <v>82</v>
      </c>
      <c r="X688" s="159" t="s">
        <v>68</v>
      </c>
      <c r="Y688" s="159" t="s">
        <v>68</v>
      </c>
      <c r="Z688" s="159" t="s">
        <v>82</v>
      </c>
      <c r="AA688" s="158" t="s">
        <v>82</v>
      </c>
      <c r="AB688" s="158" t="s">
        <v>82</v>
      </c>
      <c r="AC688" s="159" t="s">
        <v>82</v>
      </c>
      <c r="AD688" s="153"/>
      <c r="AE688" s="120"/>
    </row>
    <row r="689" spans="1:31" x14ac:dyDescent="0.25">
      <c r="A689" s="121" t="s">
        <v>82</v>
      </c>
      <c r="B689" s="144">
        <v>37284</v>
      </c>
      <c r="C689" s="154" t="s">
        <v>54</v>
      </c>
      <c r="D689" s="155" t="s">
        <v>1726</v>
      </c>
      <c r="E689" s="156" t="s">
        <v>1242</v>
      </c>
      <c r="F689" s="158" t="s">
        <v>1243</v>
      </c>
      <c r="G689" s="156" t="s">
        <v>14</v>
      </c>
      <c r="H689" s="157">
        <v>43796</v>
      </c>
      <c r="I689" s="158">
        <v>646</v>
      </c>
      <c r="J689" s="158" t="s">
        <v>58</v>
      </c>
      <c r="K689" s="159" t="s">
        <v>82</v>
      </c>
      <c r="L689" s="159" t="s">
        <v>82</v>
      </c>
      <c r="M689" s="158" t="s">
        <v>60</v>
      </c>
      <c r="N689" s="162">
        <v>44268</v>
      </c>
      <c r="O689" s="159" t="s">
        <v>82</v>
      </c>
      <c r="P689" s="159" t="s">
        <v>82</v>
      </c>
      <c r="Q689" s="159" t="s">
        <v>75</v>
      </c>
      <c r="R689" s="159" t="s">
        <v>82</v>
      </c>
      <c r="S689" s="159" t="s">
        <v>62</v>
      </c>
      <c r="T689" s="159" t="s">
        <v>82</v>
      </c>
      <c r="U689" s="161" t="s">
        <v>82</v>
      </c>
      <c r="V689" s="159" t="s">
        <v>82</v>
      </c>
      <c r="W689" s="159" t="s">
        <v>82</v>
      </c>
      <c r="X689" s="159" t="s">
        <v>62</v>
      </c>
      <c r="Y689" s="159" t="s">
        <v>62</v>
      </c>
      <c r="Z689" s="159" t="s">
        <v>82</v>
      </c>
      <c r="AA689" s="158" t="s">
        <v>82</v>
      </c>
      <c r="AB689" s="158" t="s">
        <v>82</v>
      </c>
      <c r="AC689" s="159" t="s">
        <v>82</v>
      </c>
      <c r="AD689" s="153"/>
      <c r="AE689" s="120"/>
    </row>
    <row r="690" spans="1:31" x14ac:dyDescent="0.25">
      <c r="A690" s="121" t="s">
        <v>82</v>
      </c>
      <c r="B690" s="144">
        <v>37290</v>
      </c>
      <c r="C690" s="154" t="s">
        <v>64</v>
      </c>
      <c r="D690" s="155" t="s">
        <v>1727</v>
      </c>
      <c r="E690" s="156" t="s">
        <v>1242</v>
      </c>
      <c r="F690" s="158" t="s">
        <v>1243</v>
      </c>
      <c r="G690" s="156" t="s">
        <v>14</v>
      </c>
      <c r="H690" s="157">
        <v>43798</v>
      </c>
      <c r="I690" s="158">
        <v>630</v>
      </c>
      <c r="J690" s="158" t="s">
        <v>58</v>
      </c>
      <c r="K690" s="158" t="s">
        <v>680</v>
      </c>
      <c r="L690" s="162">
        <v>44370</v>
      </c>
      <c r="M690" s="159" t="s">
        <v>82</v>
      </c>
      <c r="N690" s="159" t="s">
        <v>82</v>
      </c>
      <c r="O690" s="159" t="s">
        <v>82</v>
      </c>
      <c r="P690" s="159" t="s">
        <v>82</v>
      </c>
      <c r="Q690" s="159" t="s">
        <v>75</v>
      </c>
      <c r="R690" s="159" t="s">
        <v>82</v>
      </c>
      <c r="S690" s="159" t="s">
        <v>68</v>
      </c>
      <c r="T690" s="159" t="s">
        <v>82</v>
      </c>
      <c r="U690" s="161" t="s">
        <v>82</v>
      </c>
      <c r="V690" s="159" t="s">
        <v>82</v>
      </c>
      <c r="W690" s="159" t="s">
        <v>82</v>
      </c>
      <c r="X690" s="159" t="s">
        <v>82</v>
      </c>
      <c r="Y690" s="159" t="s">
        <v>82</v>
      </c>
      <c r="Z690" s="159" t="s">
        <v>82</v>
      </c>
      <c r="AA690" s="158" t="s">
        <v>82</v>
      </c>
      <c r="AB690" s="158" t="s">
        <v>82</v>
      </c>
      <c r="AC690" s="159" t="s">
        <v>82</v>
      </c>
      <c r="AD690" s="153"/>
      <c r="AE690" s="120"/>
    </row>
    <row r="691" spans="1:31" x14ac:dyDescent="0.25">
      <c r="A691" s="121" t="s">
        <v>82</v>
      </c>
      <c r="B691" s="144">
        <v>37290</v>
      </c>
      <c r="C691" s="154" t="s">
        <v>54</v>
      </c>
      <c r="D691" s="155" t="s">
        <v>1731</v>
      </c>
      <c r="E691" s="156" t="s">
        <v>1242</v>
      </c>
      <c r="F691" s="158" t="s">
        <v>1243</v>
      </c>
      <c r="G691" s="156" t="s">
        <v>14</v>
      </c>
      <c r="H691" s="157">
        <v>43798</v>
      </c>
      <c r="I691" s="158">
        <v>631</v>
      </c>
      <c r="J691" s="158" t="s">
        <v>58</v>
      </c>
      <c r="K691" s="158" t="s">
        <v>680</v>
      </c>
      <c r="L691" s="162">
        <v>44370</v>
      </c>
      <c r="M691" s="159" t="s">
        <v>82</v>
      </c>
      <c r="N691" s="159" t="s">
        <v>82</v>
      </c>
      <c r="O691" s="159" t="s">
        <v>82</v>
      </c>
      <c r="P691" s="159" t="s">
        <v>82</v>
      </c>
      <c r="Q691" s="159" t="s">
        <v>75</v>
      </c>
      <c r="R691" s="159" t="s">
        <v>82</v>
      </c>
      <c r="S691" s="159" t="s">
        <v>62</v>
      </c>
      <c r="T691" s="159" t="s">
        <v>82</v>
      </c>
      <c r="U691" s="161" t="s">
        <v>82</v>
      </c>
      <c r="V691" s="159" t="s">
        <v>82</v>
      </c>
      <c r="W691" s="159" t="s">
        <v>82</v>
      </c>
      <c r="X691" s="159" t="s">
        <v>82</v>
      </c>
      <c r="Y691" s="159" t="s">
        <v>82</v>
      </c>
      <c r="Z691" s="159" t="s">
        <v>82</v>
      </c>
      <c r="AA691" s="158" t="s">
        <v>82</v>
      </c>
      <c r="AB691" s="158" t="s">
        <v>82</v>
      </c>
      <c r="AC691" s="159" t="s">
        <v>82</v>
      </c>
      <c r="AD691" s="153"/>
      <c r="AE691" s="120"/>
    </row>
    <row r="692" spans="1:31" x14ac:dyDescent="0.25">
      <c r="A692" s="121" t="s">
        <v>82</v>
      </c>
      <c r="B692" s="144">
        <v>37291</v>
      </c>
      <c r="C692" s="154" t="s">
        <v>64</v>
      </c>
      <c r="D692" s="156" t="s">
        <v>1418</v>
      </c>
      <c r="E692" s="156" t="s">
        <v>1242</v>
      </c>
      <c r="F692" s="158" t="s">
        <v>1243</v>
      </c>
      <c r="G692" s="156" t="s">
        <v>14</v>
      </c>
      <c r="H692" s="157">
        <v>43799</v>
      </c>
      <c r="I692" s="158">
        <v>561</v>
      </c>
      <c r="J692" s="158" t="s">
        <v>58</v>
      </c>
      <c r="K692" s="158" t="s">
        <v>680</v>
      </c>
      <c r="L692" s="162">
        <v>44371</v>
      </c>
      <c r="M692" s="159" t="s">
        <v>999</v>
      </c>
      <c r="N692" s="159" t="s">
        <v>82</v>
      </c>
      <c r="O692" s="159" t="s">
        <v>82</v>
      </c>
      <c r="P692" s="159" t="s">
        <v>82</v>
      </c>
      <c r="Q692" s="159" t="s">
        <v>75</v>
      </c>
      <c r="R692" s="159" t="s">
        <v>82</v>
      </c>
      <c r="S692" s="159" t="s">
        <v>62</v>
      </c>
      <c r="T692" s="159" t="s">
        <v>62</v>
      </c>
      <c r="U692" s="169" t="s">
        <v>82</v>
      </c>
      <c r="V692" s="159" t="s">
        <v>82</v>
      </c>
      <c r="W692" s="159" t="s">
        <v>82</v>
      </c>
      <c r="X692" s="159" t="s">
        <v>82</v>
      </c>
      <c r="Y692" s="159" t="s">
        <v>82</v>
      </c>
      <c r="Z692" s="159" t="s">
        <v>82</v>
      </c>
      <c r="AA692" s="158" t="s">
        <v>82</v>
      </c>
      <c r="AB692" s="158" t="s">
        <v>82</v>
      </c>
      <c r="AC692" s="159" t="s">
        <v>82</v>
      </c>
      <c r="AD692" s="153"/>
      <c r="AE692" s="120"/>
    </row>
    <row r="693" spans="1:31" x14ac:dyDescent="0.25">
      <c r="A693" s="121" t="s">
        <v>82</v>
      </c>
      <c r="B693" s="144">
        <v>37291</v>
      </c>
      <c r="C693" s="154" t="s">
        <v>54</v>
      </c>
      <c r="D693" s="156" t="s">
        <v>1733</v>
      </c>
      <c r="E693" s="156" t="s">
        <v>1242</v>
      </c>
      <c r="F693" s="158" t="s">
        <v>1243</v>
      </c>
      <c r="G693" s="156" t="s">
        <v>14</v>
      </c>
      <c r="H693" s="157">
        <v>43799</v>
      </c>
      <c r="I693" s="158">
        <v>565</v>
      </c>
      <c r="J693" s="158" t="s">
        <v>58</v>
      </c>
      <c r="K693" s="158" t="s">
        <v>680</v>
      </c>
      <c r="L693" s="162">
        <v>44371</v>
      </c>
      <c r="M693" s="159" t="s">
        <v>82</v>
      </c>
      <c r="N693" s="159" t="s">
        <v>82</v>
      </c>
      <c r="O693" s="159" t="s">
        <v>82</v>
      </c>
      <c r="P693" s="159" t="s">
        <v>82</v>
      </c>
      <c r="Q693" s="159" t="s">
        <v>75</v>
      </c>
      <c r="R693" s="159" t="s">
        <v>82</v>
      </c>
      <c r="S693" s="159" t="s">
        <v>62</v>
      </c>
      <c r="T693" s="159" t="s">
        <v>82</v>
      </c>
      <c r="U693" s="161" t="s">
        <v>82</v>
      </c>
      <c r="V693" s="159" t="s">
        <v>82</v>
      </c>
      <c r="W693" s="159" t="s">
        <v>82</v>
      </c>
      <c r="X693" s="159" t="s">
        <v>82</v>
      </c>
      <c r="Y693" s="159" t="s">
        <v>82</v>
      </c>
      <c r="Z693" s="159" t="s">
        <v>82</v>
      </c>
      <c r="AA693" s="158" t="s">
        <v>82</v>
      </c>
      <c r="AB693" s="158" t="s">
        <v>82</v>
      </c>
      <c r="AC693" s="159" t="s">
        <v>82</v>
      </c>
      <c r="AD693" s="153"/>
      <c r="AE693" s="120"/>
    </row>
    <row r="694" spans="1:31" ht="23.4" x14ac:dyDescent="0.25">
      <c r="A694" s="122" t="s">
        <v>82</v>
      </c>
      <c r="B694" s="144">
        <v>37520</v>
      </c>
      <c r="C694" s="154" t="s">
        <v>64</v>
      </c>
      <c r="D694" s="156" t="s">
        <v>2077</v>
      </c>
      <c r="E694" s="156" t="s">
        <v>1242</v>
      </c>
      <c r="F694" s="158" t="s">
        <v>1243</v>
      </c>
      <c r="G694" s="156" t="s">
        <v>14</v>
      </c>
      <c r="H694" s="157">
        <v>44204</v>
      </c>
      <c r="I694" s="158">
        <v>924</v>
      </c>
      <c r="J694" s="158" t="s">
        <v>58</v>
      </c>
      <c r="K694" s="165" t="s">
        <v>59</v>
      </c>
      <c r="L694" s="159" t="s">
        <v>75</v>
      </c>
      <c r="M694" s="158" t="s">
        <v>82</v>
      </c>
      <c r="N694" s="158" t="s">
        <v>82</v>
      </c>
      <c r="O694" s="158" t="s">
        <v>82</v>
      </c>
      <c r="P694" s="158" t="s">
        <v>82</v>
      </c>
      <c r="Q694" s="159" t="s">
        <v>75</v>
      </c>
      <c r="R694" s="158" t="s">
        <v>82</v>
      </c>
      <c r="S694" s="158" t="s">
        <v>82</v>
      </c>
      <c r="T694" s="158" t="s">
        <v>82</v>
      </c>
      <c r="U694" s="158" t="s">
        <v>82</v>
      </c>
      <c r="V694" s="158" t="s">
        <v>82</v>
      </c>
      <c r="W694" s="159" t="s">
        <v>75</v>
      </c>
      <c r="X694" s="158" t="s">
        <v>82</v>
      </c>
      <c r="Y694" s="158" t="s">
        <v>82</v>
      </c>
      <c r="Z694" s="158" t="s">
        <v>82</v>
      </c>
      <c r="AA694" s="158" t="s">
        <v>82</v>
      </c>
      <c r="AB694" s="158" t="s">
        <v>82</v>
      </c>
      <c r="AC694" s="158" t="s">
        <v>82</v>
      </c>
      <c r="AD694" s="173"/>
      <c r="AE694" s="120"/>
    </row>
    <row r="695" spans="1:31" ht="23.4" x14ac:dyDescent="0.25">
      <c r="A695" s="122" t="s">
        <v>82</v>
      </c>
      <c r="B695" s="144">
        <v>37520</v>
      </c>
      <c r="C695" s="154" t="s">
        <v>54</v>
      </c>
      <c r="D695" s="156" t="s">
        <v>2078</v>
      </c>
      <c r="E695" s="156" t="s">
        <v>1242</v>
      </c>
      <c r="F695" s="158" t="s">
        <v>1243</v>
      </c>
      <c r="G695" s="156" t="s">
        <v>14</v>
      </c>
      <c r="H695" s="157">
        <v>44204</v>
      </c>
      <c r="I695" s="158">
        <v>975</v>
      </c>
      <c r="J695" s="158" t="s">
        <v>58</v>
      </c>
      <c r="K695" s="165" t="s">
        <v>59</v>
      </c>
      <c r="L695" s="159" t="s">
        <v>75</v>
      </c>
      <c r="M695" s="158" t="s">
        <v>82</v>
      </c>
      <c r="N695" s="158" t="s">
        <v>82</v>
      </c>
      <c r="O695" s="158" t="s">
        <v>82</v>
      </c>
      <c r="P695" s="158" t="s">
        <v>82</v>
      </c>
      <c r="Q695" s="159" t="s">
        <v>75</v>
      </c>
      <c r="R695" s="158" t="s">
        <v>82</v>
      </c>
      <c r="S695" s="158" t="s">
        <v>82</v>
      </c>
      <c r="T695" s="158" t="s">
        <v>82</v>
      </c>
      <c r="U695" s="158" t="s">
        <v>82</v>
      </c>
      <c r="V695" s="158" t="s">
        <v>82</v>
      </c>
      <c r="W695" s="159" t="s">
        <v>75</v>
      </c>
      <c r="X695" s="158" t="s">
        <v>82</v>
      </c>
      <c r="Y695" s="158" t="s">
        <v>82</v>
      </c>
      <c r="Z695" s="158" t="s">
        <v>82</v>
      </c>
      <c r="AA695" s="158" t="s">
        <v>82</v>
      </c>
      <c r="AB695" s="158" t="s">
        <v>82</v>
      </c>
      <c r="AC695" s="158" t="s">
        <v>82</v>
      </c>
      <c r="AD695" s="173"/>
      <c r="AE695" s="120"/>
    </row>
    <row r="696" spans="1:31" ht="23.4" x14ac:dyDescent="0.25">
      <c r="A696" s="121" t="s">
        <v>82</v>
      </c>
      <c r="B696" s="144">
        <v>37082</v>
      </c>
      <c r="C696" s="154" t="s">
        <v>64</v>
      </c>
      <c r="D696" s="155" t="s">
        <v>1760</v>
      </c>
      <c r="E696" s="156" t="s">
        <v>1739</v>
      </c>
      <c r="F696" s="158" t="s">
        <v>1740</v>
      </c>
      <c r="G696" s="156" t="s">
        <v>14</v>
      </c>
      <c r="H696" s="157">
        <v>43489</v>
      </c>
      <c r="I696" s="158">
        <v>271</v>
      </c>
      <c r="J696" s="158" t="s">
        <v>58</v>
      </c>
      <c r="K696" s="165" t="s">
        <v>59</v>
      </c>
      <c r="L696" s="162">
        <v>44197</v>
      </c>
      <c r="M696" s="158" t="s">
        <v>60</v>
      </c>
      <c r="N696" s="162">
        <v>44327</v>
      </c>
      <c r="O696" s="159" t="s">
        <v>82</v>
      </c>
      <c r="P696" s="159" t="s">
        <v>82</v>
      </c>
      <c r="Q696" s="159" t="s">
        <v>82</v>
      </c>
      <c r="R696" s="159" t="s">
        <v>82</v>
      </c>
      <c r="S696" s="159" t="s">
        <v>68</v>
      </c>
      <c r="T696" s="159" t="s">
        <v>68</v>
      </c>
      <c r="U696" s="161" t="s">
        <v>82</v>
      </c>
      <c r="V696" s="159" t="s">
        <v>82</v>
      </c>
      <c r="W696" s="159" t="s">
        <v>82</v>
      </c>
      <c r="X696" s="159" t="s">
        <v>68</v>
      </c>
      <c r="Y696" s="159" t="s">
        <v>82</v>
      </c>
      <c r="Z696" s="159" t="s">
        <v>82</v>
      </c>
      <c r="AA696" s="158" t="s">
        <v>82</v>
      </c>
      <c r="AB696" s="158" t="s">
        <v>82</v>
      </c>
      <c r="AC696" s="159" t="s">
        <v>82</v>
      </c>
      <c r="AD696" s="153"/>
      <c r="AE696" s="120"/>
    </row>
    <row r="697" spans="1:31" ht="23.4" x14ac:dyDescent="0.25">
      <c r="A697" s="121" t="s">
        <v>82</v>
      </c>
      <c r="B697" s="144">
        <v>37082</v>
      </c>
      <c r="C697" s="154" t="s">
        <v>54</v>
      </c>
      <c r="D697" s="155" t="s">
        <v>1762</v>
      </c>
      <c r="E697" s="156" t="s">
        <v>1739</v>
      </c>
      <c r="F697" s="158" t="s">
        <v>1740</v>
      </c>
      <c r="G697" s="156" t="s">
        <v>14</v>
      </c>
      <c r="H697" s="157">
        <v>43489</v>
      </c>
      <c r="I697" s="158">
        <v>270</v>
      </c>
      <c r="J697" s="158" t="s">
        <v>58</v>
      </c>
      <c r="K697" s="165" t="s">
        <v>59</v>
      </c>
      <c r="L697" s="162">
        <v>44197</v>
      </c>
      <c r="M697" s="158" t="s">
        <v>60</v>
      </c>
      <c r="N697" s="162">
        <v>44327</v>
      </c>
      <c r="O697" s="159" t="s">
        <v>82</v>
      </c>
      <c r="P697" s="159" t="s">
        <v>82</v>
      </c>
      <c r="Q697" s="159" t="s">
        <v>82</v>
      </c>
      <c r="R697" s="159" t="s">
        <v>82</v>
      </c>
      <c r="S697" s="159" t="s">
        <v>62</v>
      </c>
      <c r="T697" s="159" t="s">
        <v>62</v>
      </c>
      <c r="U697" s="161" t="s">
        <v>82</v>
      </c>
      <c r="V697" s="159" t="s">
        <v>82</v>
      </c>
      <c r="W697" s="159" t="s">
        <v>82</v>
      </c>
      <c r="X697" s="159" t="s">
        <v>62</v>
      </c>
      <c r="Y697" s="159" t="s">
        <v>82</v>
      </c>
      <c r="Z697" s="159" t="s">
        <v>82</v>
      </c>
      <c r="AA697" s="158" t="s">
        <v>82</v>
      </c>
      <c r="AB697" s="158" t="s">
        <v>82</v>
      </c>
      <c r="AC697" s="159" t="s">
        <v>82</v>
      </c>
      <c r="AD697" s="153"/>
      <c r="AE697" s="120"/>
    </row>
    <row r="698" spans="1:31" ht="23.4" x14ac:dyDescent="0.25">
      <c r="A698" s="121" t="s">
        <v>82</v>
      </c>
      <c r="B698" s="144">
        <v>37083</v>
      </c>
      <c r="C698" s="154" t="s">
        <v>64</v>
      </c>
      <c r="D698" s="155" t="s">
        <v>1763</v>
      </c>
      <c r="E698" s="156" t="s">
        <v>1739</v>
      </c>
      <c r="F698" s="158" t="s">
        <v>1740</v>
      </c>
      <c r="G698" s="156" t="s">
        <v>14</v>
      </c>
      <c r="H698" s="157">
        <v>43490</v>
      </c>
      <c r="I698" s="158">
        <v>267</v>
      </c>
      <c r="J698" s="158" t="s">
        <v>58</v>
      </c>
      <c r="K698" s="165" t="s">
        <v>59</v>
      </c>
      <c r="L698" s="162">
        <v>44193</v>
      </c>
      <c r="M698" s="158" t="s">
        <v>60</v>
      </c>
      <c r="N698" s="162">
        <v>44334</v>
      </c>
      <c r="O698" s="159" t="s">
        <v>82</v>
      </c>
      <c r="P698" s="159" t="s">
        <v>82</v>
      </c>
      <c r="Q698" s="159" t="s">
        <v>82</v>
      </c>
      <c r="R698" s="159" t="s">
        <v>82</v>
      </c>
      <c r="S698" s="159" t="s">
        <v>68</v>
      </c>
      <c r="T698" s="159" t="s">
        <v>68</v>
      </c>
      <c r="U698" s="161" t="s">
        <v>82</v>
      </c>
      <c r="V698" s="159" t="s">
        <v>82</v>
      </c>
      <c r="W698" s="159" t="s">
        <v>82</v>
      </c>
      <c r="X698" s="159" t="s">
        <v>68</v>
      </c>
      <c r="Y698" s="159" t="s">
        <v>82</v>
      </c>
      <c r="Z698" s="159" t="s">
        <v>82</v>
      </c>
      <c r="AA698" s="158" t="s">
        <v>82</v>
      </c>
      <c r="AB698" s="158" t="s">
        <v>82</v>
      </c>
      <c r="AC698" s="159" t="s">
        <v>82</v>
      </c>
      <c r="AD698" s="153"/>
      <c r="AE698" s="120"/>
    </row>
    <row r="699" spans="1:31" ht="23.4" x14ac:dyDescent="0.25">
      <c r="A699" s="121" t="s">
        <v>82</v>
      </c>
      <c r="B699" s="144">
        <v>37083</v>
      </c>
      <c r="C699" s="154" t="s">
        <v>54</v>
      </c>
      <c r="D699" s="155" t="s">
        <v>1764</v>
      </c>
      <c r="E699" s="156" t="s">
        <v>1739</v>
      </c>
      <c r="F699" s="158" t="s">
        <v>1740</v>
      </c>
      <c r="G699" s="156" t="s">
        <v>14</v>
      </c>
      <c r="H699" s="157">
        <v>43490</v>
      </c>
      <c r="I699" s="158">
        <v>266</v>
      </c>
      <c r="J699" s="158" t="s">
        <v>58</v>
      </c>
      <c r="K699" s="165" t="s">
        <v>59</v>
      </c>
      <c r="L699" s="162">
        <v>44193</v>
      </c>
      <c r="M699" s="158" t="s">
        <v>60</v>
      </c>
      <c r="N699" s="162">
        <v>44334</v>
      </c>
      <c r="O699" s="159" t="s">
        <v>82</v>
      </c>
      <c r="P699" s="159" t="s">
        <v>82</v>
      </c>
      <c r="Q699" s="159" t="s">
        <v>82</v>
      </c>
      <c r="R699" s="159" t="s">
        <v>82</v>
      </c>
      <c r="S699" s="159" t="s">
        <v>62</v>
      </c>
      <c r="T699" s="159" t="s">
        <v>62</v>
      </c>
      <c r="U699" s="161" t="s">
        <v>82</v>
      </c>
      <c r="V699" s="159" t="s">
        <v>82</v>
      </c>
      <c r="W699" s="159" t="s">
        <v>82</v>
      </c>
      <c r="X699" s="159" t="s">
        <v>62</v>
      </c>
      <c r="Y699" s="159" t="s">
        <v>82</v>
      </c>
      <c r="Z699" s="159" t="s">
        <v>82</v>
      </c>
      <c r="AA699" s="158" t="s">
        <v>82</v>
      </c>
      <c r="AB699" s="158" t="s">
        <v>82</v>
      </c>
      <c r="AC699" s="159" t="s">
        <v>82</v>
      </c>
      <c r="AD699" s="153"/>
      <c r="AE699" s="120"/>
    </row>
    <row r="700" spans="1:31" ht="23.4" x14ac:dyDescent="0.25">
      <c r="A700" s="121" t="s">
        <v>82</v>
      </c>
      <c r="B700" s="144">
        <v>37101</v>
      </c>
      <c r="C700" s="154" t="s">
        <v>64</v>
      </c>
      <c r="D700" s="155" t="s">
        <v>1766</v>
      </c>
      <c r="E700" s="156" t="s">
        <v>1739</v>
      </c>
      <c r="F700" s="158" t="s">
        <v>1740</v>
      </c>
      <c r="G700" s="156" t="s">
        <v>14</v>
      </c>
      <c r="H700" s="157">
        <v>43522</v>
      </c>
      <c r="I700" s="158">
        <v>263</v>
      </c>
      <c r="J700" s="158" t="s">
        <v>58</v>
      </c>
      <c r="K700" s="165" t="s">
        <v>59</v>
      </c>
      <c r="L700" s="162">
        <v>44202</v>
      </c>
      <c r="M700" s="158" t="s">
        <v>60</v>
      </c>
      <c r="N700" s="162">
        <v>44340</v>
      </c>
      <c r="O700" s="159" t="s">
        <v>82</v>
      </c>
      <c r="P700" s="159" t="s">
        <v>82</v>
      </c>
      <c r="Q700" s="159" t="s">
        <v>82</v>
      </c>
      <c r="R700" s="159" t="s">
        <v>82</v>
      </c>
      <c r="S700" s="159" t="s">
        <v>68</v>
      </c>
      <c r="T700" s="159" t="s">
        <v>68</v>
      </c>
      <c r="U700" s="161" t="s">
        <v>82</v>
      </c>
      <c r="V700" s="159" t="s">
        <v>82</v>
      </c>
      <c r="W700" s="159" t="s">
        <v>82</v>
      </c>
      <c r="X700" s="159" t="s">
        <v>68</v>
      </c>
      <c r="Y700" s="159" t="s">
        <v>82</v>
      </c>
      <c r="Z700" s="159" t="s">
        <v>82</v>
      </c>
      <c r="AA700" s="158" t="s">
        <v>82</v>
      </c>
      <c r="AB700" s="158" t="s">
        <v>82</v>
      </c>
      <c r="AC700" s="159" t="s">
        <v>82</v>
      </c>
      <c r="AD700" s="153"/>
      <c r="AE700" s="120"/>
    </row>
    <row r="701" spans="1:31" ht="23.4" x14ac:dyDescent="0.25">
      <c r="A701" s="121" t="s">
        <v>82</v>
      </c>
      <c r="B701" s="144">
        <v>37101</v>
      </c>
      <c r="C701" s="154" t="s">
        <v>54</v>
      </c>
      <c r="D701" s="155" t="s">
        <v>1768</v>
      </c>
      <c r="E701" s="156" t="s">
        <v>1739</v>
      </c>
      <c r="F701" s="158" t="s">
        <v>1740</v>
      </c>
      <c r="G701" s="156" t="s">
        <v>14</v>
      </c>
      <c r="H701" s="157">
        <v>43522</v>
      </c>
      <c r="I701" s="158">
        <v>262</v>
      </c>
      <c r="J701" s="158" t="s">
        <v>58</v>
      </c>
      <c r="K701" s="165" t="s">
        <v>59</v>
      </c>
      <c r="L701" s="162">
        <v>44202</v>
      </c>
      <c r="M701" s="158" t="s">
        <v>60</v>
      </c>
      <c r="N701" s="162">
        <v>44340</v>
      </c>
      <c r="O701" s="159" t="s">
        <v>82</v>
      </c>
      <c r="P701" s="159" t="s">
        <v>82</v>
      </c>
      <c r="Q701" s="159" t="s">
        <v>82</v>
      </c>
      <c r="R701" s="159" t="s">
        <v>82</v>
      </c>
      <c r="S701" s="159" t="s">
        <v>62</v>
      </c>
      <c r="T701" s="159" t="s">
        <v>62</v>
      </c>
      <c r="U701" s="161" t="s">
        <v>82</v>
      </c>
      <c r="V701" s="159" t="s">
        <v>82</v>
      </c>
      <c r="W701" s="159" t="s">
        <v>82</v>
      </c>
      <c r="X701" s="159" t="s">
        <v>62</v>
      </c>
      <c r="Y701" s="159" t="s">
        <v>82</v>
      </c>
      <c r="Z701" s="159" t="s">
        <v>82</v>
      </c>
      <c r="AA701" s="158" t="s">
        <v>82</v>
      </c>
      <c r="AB701" s="158" t="s">
        <v>82</v>
      </c>
      <c r="AC701" s="159" t="s">
        <v>82</v>
      </c>
      <c r="AD701" s="153"/>
      <c r="AE701" s="120"/>
    </row>
    <row r="702" spans="1:31" ht="23.4" x14ac:dyDescent="0.25">
      <c r="A702" s="121" t="s">
        <v>82</v>
      </c>
      <c r="B702" s="144">
        <v>37115</v>
      </c>
      <c r="C702" s="154" t="s">
        <v>64</v>
      </c>
      <c r="D702" s="155" t="s">
        <v>1770</v>
      </c>
      <c r="E702" s="156" t="s">
        <v>1739</v>
      </c>
      <c r="F702" s="158" t="s">
        <v>1740</v>
      </c>
      <c r="G702" s="156" t="s">
        <v>14</v>
      </c>
      <c r="H702" s="157">
        <v>43542</v>
      </c>
      <c r="I702" s="158">
        <v>328</v>
      </c>
      <c r="J702" s="158" t="s">
        <v>58</v>
      </c>
      <c r="K702" s="165" t="s">
        <v>59</v>
      </c>
      <c r="L702" s="162">
        <v>44259</v>
      </c>
      <c r="M702" s="158" t="s">
        <v>60</v>
      </c>
      <c r="N702" s="162">
        <v>44340</v>
      </c>
      <c r="O702" s="159" t="s">
        <v>82</v>
      </c>
      <c r="P702" s="159" t="s">
        <v>82</v>
      </c>
      <c r="Q702" s="159" t="s">
        <v>82</v>
      </c>
      <c r="R702" s="159" t="s">
        <v>82</v>
      </c>
      <c r="S702" s="159" t="s">
        <v>68</v>
      </c>
      <c r="T702" s="159" t="s">
        <v>68</v>
      </c>
      <c r="U702" s="161" t="s">
        <v>82</v>
      </c>
      <c r="V702" s="159" t="s">
        <v>82</v>
      </c>
      <c r="W702" s="159" t="s">
        <v>82</v>
      </c>
      <c r="X702" s="159" t="s">
        <v>68</v>
      </c>
      <c r="Y702" s="159" t="s">
        <v>82</v>
      </c>
      <c r="Z702" s="159" t="s">
        <v>82</v>
      </c>
      <c r="AA702" s="158" t="s">
        <v>82</v>
      </c>
      <c r="AB702" s="158" t="s">
        <v>82</v>
      </c>
      <c r="AC702" s="159" t="s">
        <v>82</v>
      </c>
      <c r="AD702" s="153"/>
      <c r="AE702" s="120"/>
    </row>
    <row r="703" spans="1:31" ht="23.4" x14ac:dyDescent="0.25">
      <c r="A703" s="121" t="s">
        <v>82</v>
      </c>
      <c r="B703" s="144">
        <v>37115</v>
      </c>
      <c r="C703" s="154" t="s">
        <v>54</v>
      </c>
      <c r="D703" s="155" t="s">
        <v>1772</v>
      </c>
      <c r="E703" s="156" t="s">
        <v>1739</v>
      </c>
      <c r="F703" s="158" t="s">
        <v>1740</v>
      </c>
      <c r="G703" s="156" t="s">
        <v>14</v>
      </c>
      <c r="H703" s="157">
        <v>43542</v>
      </c>
      <c r="I703" s="158">
        <v>329</v>
      </c>
      <c r="J703" s="158" t="s">
        <v>58</v>
      </c>
      <c r="K703" s="165" t="s">
        <v>59</v>
      </c>
      <c r="L703" s="162">
        <v>44259</v>
      </c>
      <c r="M703" s="158" t="s">
        <v>60</v>
      </c>
      <c r="N703" s="162">
        <v>44340</v>
      </c>
      <c r="O703" s="159" t="s">
        <v>82</v>
      </c>
      <c r="P703" s="159" t="s">
        <v>82</v>
      </c>
      <c r="Q703" s="159" t="s">
        <v>82</v>
      </c>
      <c r="R703" s="159" t="s">
        <v>82</v>
      </c>
      <c r="S703" s="159" t="s">
        <v>62</v>
      </c>
      <c r="T703" s="159" t="s">
        <v>62</v>
      </c>
      <c r="U703" s="161" t="s">
        <v>82</v>
      </c>
      <c r="V703" s="159" t="s">
        <v>82</v>
      </c>
      <c r="W703" s="159" t="s">
        <v>82</v>
      </c>
      <c r="X703" s="159" t="s">
        <v>62</v>
      </c>
      <c r="Y703" s="159" t="s">
        <v>82</v>
      </c>
      <c r="Z703" s="159" t="s">
        <v>82</v>
      </c>
      <c r="AA703" s="158" t="s">
        <v>82</v>
      </c>
      <c r="AB703" s="158" t="s">
        <v>82</v>
      </c>
      <c r="AC703" s="159" t="s">
        <v>82</v>
      </c>
      <c r="AD703" s="153"/>
      <c r="AE703" s="120"/>
    </row>
    <row r="704" spans="1:31" ht="23.4" x14ac:dyDescent="0.25">
      <c r="A704" s="121" t="s">
        <v>82</v>
      </c>
      <c r="B704" s="144">
        <v>37122</v>
      </c>
      <c r="C704" s="154" t="s">
        <v>64</v>
      </c>
      <c r="D704" s="155" t="s">
        <v>1773</v>
      </c>
      <c r="E704" s="156" t="s">
        <v>1739</v>
      </c>
      <c r="F704" s="158" t="s">
        <v>1740</v>
      </c>
      <c r="G704" s="156" t="s">
        <v>14</v>
      </c>
      <c r="H704" s="172">
        <v>43547</v>
      </c>
      <c r="I704" s="158">
        <v>321</v>
      </c>
      <c r="J704" s="158" t="s">
        <v>58</v>
      </c>
      <c r="K704" s="165" t="s">
        <v>59</v>
      </c>
      <c r="L704" s="162">
        <v>44189</v>
      </c>
      <c r="M704" s="158" t="s">
        <v>60</v>
      </c>
      <c r="N704" s="162">
        <v>44259</v>
      </c>
      <c r="O704" s="159" t="s">
        <v>82</v>
      </c>
      <c r="P704" s="159" t="s">
        <v>82</v>
      </c>
      <c r="Q704" s="159" t="s">
        <v>82</v>
      </c>
      <c r="R704" s="159" t="s">
        <v>82</v>
      </c>
      <c r="S704" s="159" t="s">
        <v>68</v>
      </c>
      <c r="T704" s="159" t="s">
        <v>68</v>
      </c>
      <c r="U704" s="161" t="s">
        <v>82</v>
      </c>
      <c r="V704" s="159" t="s">
        <v>82</v>
      </c>
      <c r="W704" s="159" t="s">
        <v>82</v>
      </c>
      <c r="X704" s="159" t="s">
        <v>68</v>
      </c>
      <c r="Y704" s="159" t="s">
        <v>82</v>
      </c>
      <c r="Z704" s="159" t="s">
        <v>82</v>
      </c>
      <c r="AA704" s="158" t="s">
        <v>82</v>
      </c>
      <c r="AB704" s="158" t="s">
        <v>82</v>
      </c>
      <c r="AC704" s="159" t="s">
        <v>82</v>
      </c>
      <c r="AD704" s="153"/>
      <c r="AE704" s="120"/>
    </row>
    <row r="705" spans="1:31" ht="23.4" x14ac:dyDescent="0.25">
      <c r="A705" s="121" t="s">
        <v>82</v>
      </c>
      <c r="B705" s="144">
        <v>37122</v>
      </c>
      <c r="C705" s="154" t="s">
        <v>54</v>
      </c>
      <c r="D705" s="155" t="s">
        <v>1774</v>
      </c>
      <c r="E705" s="156" t="s">
        <v>1739</v>
      </c>
      <c r="F705" s="158" t="s">
        <v>1740</v>
      </c>
      <c r="G705" s="156" t="s">
        <v>14</v>
      </c>
      <c r="H705" s="172">
        <v>43547</v>
      </c>
      <c r="I705" s="158">
        <v>320</v>
      </c>
      <c r="J705" s="158" t="s">
        <v>58</v>
      </c>
      <c r="K705" s="165" t="s">
        <v>59</v>
      </c>
      <c r="L705" s="162">
        <v>44189</v>
      </c>
      <c r="M705" s="158" t="s">
        <v>60</v>
      </c>
      <c r="N705" s="162">
        <v>44259</v>
      </c>
      <c r="O705" s="159" t="s">
        <v>82</v>
      </c>
      <c r="P705" s="159" t="s">
        <v>82</v>
      </c>
      <c r="Q705" s="159" t="s">
        <v>82</v>
      </c>
      <c r="R705" s="159" t="s">
        <v>82</v>
      </c>
      <c r="S705" s="159" t="s">
        <v>62</v>
      </c>
      <c r="T705" s="159" t="s">
        <v>62</v>
      </c>
      <c r="U705" s="161" t="s">
        <v>82</v>
      </c>
      <c r="V705" s="159" t="s">
        <v>82</v>
      </c>
      <c r="W705" s="159" t="s">
        <v>82</v>
      </c>
      <c r="X705" s="159" t="s">
        <v>62</v>
      </c>
      <c r="Y705" s="159" t="s">
        <v>82</v>
      </c>
      <c r="Z705" s="159" t="s">
        <v>82</v>
      </c>
      <c r="AA705" s="158" t="s">
        <v>82</v>
      </c>
      <c r="AB705" s="158" t="s">
        <v>82</v>
      </c>
      <c r="AC705" s="159" t="s">
        <v>82</v>
      </c>
      <c r="AD705" s="153"/>
      <c r="AE705" s="120"/>
    </row>
    <row r="706" spans="1:31" ht="23.4" x14ac:dyDescent="0.25">
      <c r="A706" s="121" t="s">
        <v>82</v>
      </c>
      <c r="B706" s="144">
        <v>37150</v>
      </c>
      <c r="C706" s="154" t="s">
        <v>64</v>
      </c>
      <c r="D706" s="155" t="s">
        <v>1775</v>
      </c>
      <c r="E706" s="156" t="s">
        <v>1739</v>
      </c>
      <c r="F706" s="158" t="s">
        <v>1740</v>
      </c>
      <c r="G706" s="156" t="s">
        <v>14</v>
      </c>
      <c r="H706" s="172">
        <v>43580</v>
      </c>
      <c r="I706" s="158">
        <v>424</v>
      </c>
      <c r="J706" s="158" t="s">
        <v>58</v>
      </c>
      <c r="K706" s="165" t="s">
        <v>59</v>
      </c>
      <c r="L706" s="162">
        <v>44196</v>
      </c>
      <c r="M706" s="158" t="s">
        <v>1776</v>
      </c>
      <c r="N706" s="158" t="s">
        <v>82</v>
      </c>
      <c r="O706" s="162">
        <v>44293</v>
      </c>
      <c r="P706" s="158" t="s">
        <v>82</v>
      </c>
      <c r="Q706" s="159" t="s">
        <v>82</v>
      </c>
      <c r="R706" s="159" t="s">
        <v>68</v>
      </c>
      <c r="S706" s="159" t="s">
        <v>68</v>
      </c>
      <c r="T706" s="159" t="s">
        <v>68</v>
      </c>
      <c r="U706" s="159" t="s">
        <v>68</v>
      </c>
      <c r="V706" s="159" t="s">
        <v>68</v>
      </c>
      <c r="W706" s="159" t="s">
        <v>82</v>
      </c>
      <c r="X706" s="159" t="s">
        <v>68</v>
      </c>
      <c r="Y706" s="159" t="s">
        <v>82</v>
      </c>
      <c r="Z706" s="159" t="s">
        <v>82</v>
      </c>
      <c r="AA706" s="158" t="s">
        <v>82</v>
      </c>
      <c r="AB706" s="158" t="s">
        <v>82</v>
      </c>
      <c r="AC706" s="159" t="s">
        <v>82</v>
      </c>
      <c r="AD706" s="153"/>
      <c r="AE706" s="120"/>
    </row>
    <row r="707" spans="1:31" ht="23.4" x14ac:dyDescent="0.25">
      <c r="A707" s="121" t="s">
        <v>82</v>
      </c>
      <c r="B707" s="144">
        <v>37150</v>
      </c>
      <c r="C707" s="154" t="s">
        <v>54</v>
      </c>
      <c r="D707" s="155" t="s">
        <v>1777</v>
      </c>
      <c r="E707" s="156" t="s">
        <v>1739</v>
      </c>
      <c r="F707" s="158" t="s">
        <v>1740</v>
      </c>
      <c r="G707" s="156" t="s">
        <v>14</v>
      </c>
      <c r="H707" s="172">
        <v>43580</v>
      </c>
      <c r="I707" s="158">
        <v>365</v>
      </c>
      <c r="J707" s="158" t="s">
        <v>58</v>
      </c>
      <c r="K707" s="165" t="s">
        <v>59</v>
      </c>
      <c r="L707" s="162">
        <v>44196</v>
      </c>
      <c r="M707" s="158" t="s">
        <v>60</v>
      </c>
      <c r="N707" s="162">
        <v>44293</v>
      </c>
      <c r="O707" s="162">
        <v>44293</v>
      </c>
      <c r="P707" s="158" t="s">
        <v>82</v>
      </c>
      <c r="Q707" s="159" t="s">
        <v>82</v>
      </c>
      <c r="R707" s="159" t="s">
        <v>62</v>
      </c>
      <c r="S707" s="159" t="s">
        <v>62</v>
      </c>
      <c r="T707" s="159" t="s">
        <v>62</v>
      </c>
      <c r="U707" s="159" t="s">
        <v>62</v>
      </c>
      <c r="V707" s="159" t="s">
        <v>62</v>
      </c>
      <c r="W707" s="159" t="s">
        <v>82</v>
      </c>
      <c r="X707" s="159" t="s">
        <v>62</v>
      </c>
      <c r="Y707" s="159" t="s">
        <v>82</v>
      </c>
      <c r="Z707" s="159" t="s">
        <v>82</v>
      </c>
      <c r="AA707" s="158" t="s">
        <v>82</v>
      </c>
      <c r="AB707" s="158" t="s">
        <v>82</v>
      </c>
      <c r="AC707" s="159" t="s">
        <v>82</v>
      </c>
      <c r="AD707" s="153"/>
      <c r="AE707" s="120"/>
    </row>
    <row r="708" spans="1:31" ht="23.4" x14ac:dyDescent="0.25">
      <c r="A708" s="121" t="s">
        <v>82</v>
      </c>
      <c r="B708" s="144">
        <v>37154</v>
      </c>
      <c r="C708" s="154" t="s">
        <v>64</v>
      </c>
      <c r="D708" s="155" t="s">
        <v>1778</v>
      </c>
      <c r="E708" s="156" t="s">
        <v>1739</v>
      </c>
      <c r="F708" s="158" t="s">
        <v>1740</v>
      </c>
      <c r="G708" s="156" t="s">
        <v>14</v>
      </c>
      <c r="H708" s="172">
        <v>43581</v>
      </c>
      <c r="I708" s="158">
        <v>427</v>
      </c>
      <c r="J708" s="158" t="s">
        <v>58</v>
      </c>
      <c r="K708" s="165" t="s">
        <v>59</v>
      </c>
      <c r="L708" s="162">
        <v>44195</v>
      </c>
      <c r="M708" s="158" t="s">
        <v>60</v>
      </c>
      <c r="N708" s="162">
        <v>44334</v>
      </c>
      <c r="O708" s="159" t="s">
        <v>82</v>
      </c>
      <c r="P708" s="159" t="s">
        <v>82</v>
      </c>
      <c r="Q708" s="159" t="s">
        <v>82</v>
      </c>
      <c r="R708" s="159" t="s">
        <v>82</v>
      </c>
      <c r="S708" s="159" t="s">
        <v>68</v>
      </c>
      <c r="T708" s="159" t="s">
        <v>68</v>
      </c>
      <c r="U708" s="161" t="s">
        <v>82</v>
      </c>
      <c r="V708" s="159" t="s">
        <v>82</v>
      </c>
      <c r="W708" s="159" t="s">
        <v>82</v>
      </c>
      <c r="X708" s="159" t="s">
        <v>68</v>
      </c>
      <c r="Y708" s="159" t="s">
        <v>82</v>
      </c>
      <c r="Z708" s="159" t="s">
        <v>82</v>
      </c>
      <c r="AA708" s="158" t="s">
        <v>82</v>
      </c>
      <c r="AB708" s="158" t="s">
        <v>82</v>
      </c>
      <c r="AC708" s="159" t="s">
        <v>82</v>
      </c>
      <c r="AD708" s="153"/>
      <c r="AE708" s="120"/>
    </row>
    <row r="709" spans="1:31" ht="23.4" x14ac:dyDescent="0.25">
      <c r="A709" s="121" t="s">
        <v>82</v>
      </c>
      <c r="B709" s="144">
        <v>37154</v>
      </c>
      <c r="C709" s="154" t="s">
        <v>54</v>
      </c>
      <c r="D709" s="155" t="s">
        <v>1780</v>
      </c>
      <c r="E709" s="156" t="s">
        <v>1739</v>
      </c>
      <c r="F709" s="158" t="s">
        <v>1740</v>
      </c>
      <c r="G709" s="156" t="s">
        <v>14</v>
      </c>
      <c r="H709" s="172">
        <v>43581</v>
      </c>
      <c r="I709" s="158">
        <v>422</v>
      </c>
      <c r="J709" s="158" t="s">
        <v>58</v>
      </c>
      <c r="K709" s="165" t="s">
        <v>59</v>
      </c>
      <c r="L709" s="162">
        <v>44195</v>
      </c>
      <c r="M709" s="159" t="s">
        <v>82</v>
      </c>
      <c r="N709" s="159" t="s">
        <v>82</v>
      </c>
      <c r="O709" s="159" t="s">
        <v>82</v>
      </c>
      <c r="P709" s="159" t="s">
        <v>82</v>
      </c>
      <c r="Q709" s="159" t="s">
        <v>82</v>
      </c>
      <c r="R709" s="159" t="s">
        <v>82</v>
      </c>
      <c r="S709" s="159" t="s">
        <v>62</v>
      </c>
      <c r="T709" s="159" t="s">
        <v>62</v>
      </c>
      <c r="U709" s="161" t="s">
        <v>82</v>
      </c>
      <c r="V709" s="159" t="s">
        <v>82</v>
      </c>
      <c r="W709" s="159" t="s">
        <v>82</v>
      </c>
      <c r="X709" s="159" t="s">
        <v>62</v>
      </c>
      <c r="Y709" s="159" t="s">
        <v>82</v>
      </c>
      <c r="Z709" s="159" t="s">
        <v>82</v>
      </c>
      <c r="AA709" s="158" t="s">
        <v>82</v>
      </c>
      <c r="AB709" s="158" t="s">
        <v>82</v>
      </c>
      <c r="AC709" s="159" t="s">
        <v>82</v>
      </c>
      <c r="AD709" s="153"/>
      <c r="AE709" s="120"/>
    </row>
    <row r="710" spans="1:31" ht="23.4" x14ac:dyDescent="0.25">
      <c r="A710" s="121" t="s">
        <v>82</v>
      </c>
      <c r="B710" s="144">
        <v>37191</v>
      </c>
      <c r="C710" s="154" t="s">
        <v>64</v>
      </c>
      <c r="D710" s="155" t="s">
        <v>1781</v>
      </c>
      <c r="E710" s="156" t="s">
        <v>1739</v>
      </c>
      <c r="F710" s="158" t="s">
        <v>1740</v>
      </c>
      <c r="G710" s="156" t="s">
        <v>14</v>
      </c>
      <c r="H710" s="157">
        <v>43632</v>
      </c>
      <c r="I710" s="158">
        <v>478</v>
      </c>
      <c r="J710" s="158" t="s">
        <v>58</v>
      </c>
      <c r="K710" s="165" t="s">
        <v>59</v>
      </c>
      <c r="L710" s="162">
        <v>44251</v>
      </c>
      <c r="M710" s="159" t="s">
        <v>82</v>
      </c>
      <c r="N710" s="159" t="s">
        <v>82</v>
      </c>
      <c r="O710" s="159" t="s">
        <v>82</v>
      </c>
      <c r="P710" s="159" t="s">
        <v>82</v>
      </c>
      <c r="Q710" s="159" t="s">
        <v>82</v>
      </c>
      <c r="R710" s="159" t="s">
        <v>82</v>
      </c>
      <c r="S710" s="159" t="s">
        <v>68</v>
      </c>
      <c r="T710" s="159" t="s">
        <v>68</v>
      </c>
      <c r="U710" s="161" t="s">
        <v>82</v>
      </c>
      <c r="V710" s="159" t="s">
        <v>82</v>
      </c>
      <c r="W710" s="159" t="s">
        <v>82</v>
      </c>
      <c r="X710" s="159" t="s">
        <v>68</v>
      </c>
      <c r="Y710" s="159" t="s">
        <v>82</v>
      </c>
      <c r="Z710" s="159" t="s">
        <v>82</v>
      </c>
      <c r="AA710" s="158" t="s">
        <v>82</v>
      </c>
      <c r="AB710" s="158" t="s">
        <v>82</v>
      </c>
      <c r="AC710" s="159" t="s">
        <v>82</v>
      </c>
      <c r="AD710" s="153"/>
      <c r="AE710" s="120"/>
    </row>
    <row r="711" spans="1:31" ht="23.4" x14ac:dyDescent="0.25">
      <c r="A711" s="121" t="s">
        <v>82</v>
      </c>
      <c r="B711" s="144">
        <v>37191</v>
      </c>
      <c r="C711" s="154" t="s">
        <v>54</v>
      </c>
      <c r="D711" s="155" t="s">
        <v>1782</v>
      </c>
      <c r="E711" s="156" t="s">
        <v>1739</v>
      </c>
      <c r="F711" s="158" t="s">
        <v>1740</v>
      </c>
      <c r="G711" s="156" t="s">
        <v>14</v>
      </c>
      <c r="H711" s="157">
        <v>43632</v>
      </c>
      <c r="I711" s="158">
        <v>479</v>
      </c>
      <c r="J711" s="158" t="s">
        <v>58</v>
      </c>
      <c r="K711" s="165" t="s">
        <v>59</v>
      </c>
      <c r="L711" s="162">
        <v>44251</v>
      </c>
      <c r="M711" s="159" t="s">
        <v>82</v>
      </c>
      <c r="N711" s="159" t="s">
        <v>82</v>
      </c>
      <c r="O711" s="159" t="s">
        <v>82</v>
      </c>
      <c r="P711" s="159" t="s">
        <v>82</v>
      </c>
      <c r="Q711" s="159" t="s">
        <v>82</v>
      </c>
      <c r="R711" s="159" t="s">
        <v>82</v>
      </c>
      <c r="S711" s="159" t="s">
        <v>62</v>
      </c>
      <c r="T711" s="159" t="s">
        <v>62</v>
      </c>
      <c r="U711" s="161" t="s">
        <v>82</v>
      </c>
      <c r="V711" s="159" t="s">
        <v>82</v>
      </c>
      <c r="W711" s="159" t="s">
        <v>82</v>
      </c>
      <c r="X711" s="159" t="s">
        <v>62</v>
      </c>
      <c r="Y711" s="159" t="s">
        <v>82</v>
      </c>
      <c r="Z711" s="159" t="s">
        <v>82</v>
      </c>
      <c r="AA711" s="158" t="s">
        <v>82</v>
      </c>
      <c r="AB711" s="158" t="s">
        <v>82</v>
      </c>
      <c r="AC711" s="159" t="s">
        <v>82</v>
      </c>
      <c r="AD711" s="153"/>
      <c r="AE711" s="120"/>
    </row>
    <row r="712" spans="1:31" ht="23.4" x14ac:dyDescent="0.25">
      <c r="A712" s="121" t="s">
        <v>82</v>
      </c>
      <c r="B712" s="144">
        <v>37195</v>
      </c>
      <c r="C712" s="154" t="s">
        <v>64</v>
      </c>
      <c r="D712" s="155" t="s">
        <v>1783</v>
      </c>
      <c r="E712" s="156" t="s">
        <v>1739</v>
      </c>
      <c r="F712" s="158" t="s">
        <v>1740</v>
      </c>
      <c r="G712" s="156" t="s">
        <v>14</v>
      </c>
      <c r="H712" s="157">
        <v>43634</v>
      </c>
      <c r="I712" s="158">
        <v>456</v>
      </c>
      <c r="J712" s="158" t="s">
        <v>58</v>
      </c>
      <c r="K712" s="165" t="s">
        <v>59</v>
      </c>
      <c r="L712" s="162">
        <v>44226</v>
      </c>
      <c r="M712" s="159" t="s">
        <v>82</v>
      </c>
      <c r="N712" s="159" t="s">
        <v>82</v>
      </c>
      <c r="O712" s="159" t="s">
        <v>82</v>
      </c>
      <c r="P712" s="159" t="s">
        <v>82</v>
      </c>
      <c r="Q712" s="159" t="s">
        <v>82</v>
      </c>
      <c r="R712" s="159" t="s">
        <v>82</v>
      </c>
      <c r="S712" s="159" t="s">
        <v>68</v>
      </c>
      <c r="T712" s="159" t="s">
        <v>68</v>
      </c>
      <c r="U712" s="161" t="s">
        <v>82</v>
      </c>
      <c r="V712" s="159" t="s">
        <v>82</v>
      </c>
      <c r="W712" s="159" t="s">
        <v>82</v>
      </c>
      <c r="X712" s="159" t="s">
        <v>68</v>
      </c>
      <c r="Y712" s="159" t="s">
        <v>82</v>
      </c>
      <c r="Z712" s="159" t="s">
        <v>82</v>
      </c>
      <c r="AA712" s="158" t="s">
        <v>82</v>
      </c>
      <c r="AB712" s="158" t="s">
        <v>82</v>
      </c>
      <c r="AC712" s="159" t="s">
        <v>82</v>
      </c>
      <c r="AD712" s="153"/>
      <c r="AE712" s="120"/>
    </row>
    <row r="713" spans="1:31" ht="23.4" x14ac:dyDescent="0.25">
      <c r="A713" s="121" t="s">
        <v>82</v>
      </c>
      <c r="B713" s="144">
        <v>37195</v>
      </c>
      <c r="C713" s="154" t="s">
        <v>54</v>
      </c>
      <c r="D713" s="155" t="s">
        <v>1784</v>
      </c>
      <c r="E713" s="156" t="s">
        <v>1739</v>
      </c>
      <c r="F713" s="158" t="s">
        <v>1740</v>
      </c>
      <c r="G713" s="156" t="s">
        <v>14</v>
      </c>
      <c r="H713" s="157">
        <v>43634</v>
      </c>
      <c r="I713" s="158">
        <v>457</v>
      </c>
      <c r="J713" s="158" t="s">
        <v>58</v>
      </c>
      <c r="K713" s="165" t="s">
        <v>59</v>
      </c>
      <c r="L713" s="162">
        <v>44226</v>
      </c>
      <c r="M713" s="159" t="s">
        <v>82</v>
      </c>
      <c r="N713" s="159" t="s">
        <v>82</v>
      </c>
      <c r="O713" s="159" t="s">
        <v>82</v>
      </c>
      <c r="P713" s="159" t="s">
        <v>82</v>
      </c>
      <c r="Q713" s="159" t="s">
        <v>82</v>
      </c>
      <c r="R713" s="159" t="s">
        <v>82</v>
      </c>
      <c r="S713" s="159" t="s">
        <v>62</v>
      </c>
      <c r="T713" s="159" t="s">
        <v>62</v>
      </c>
      <c r="U713" s="161" t="s">
        <v>82</v>
      </c>
      <c r="V713" s="159" t="s">
        <v>82</v>
      </c>
      <c r="W713" s="159" t="s">
        <v>82</v>
      </c>
      <c r="X713" s="159" t="s">
        <v>62</v>
      </c>
      <c r="Y713" s="159" t="s">
        <v>82</v>
      </c>
      <c r="Z713" s="159" t="s">
        <v>82</v>
      </c>
      <c r="AA713" s="158" t="s">
        <v>82</v>
      </c>
      <c r="AB713" s="158" t="s">
        <v>82</v>
      </c>
      <c r="AC713" s="159" t="s">
        <v>82</v>
      </c>
      <c r="AD713" s="153"/>
      <c r="AE713" s="120"/>
    </row>
    <row r="714" spans="1:31" ht="23.4" x14ac:dyDescent="0.25">
      <c r="A714" s="121" t="s">
        <v>82</v>
      </c>
      <c r="B714" s="144">
        <v>37206</v>
      </c>
      <c r="C714" s="154" t="s">
        <v>64</v>
      </c>
      <c r="D714" s="155" t="s">
        <v>1785</v>
      </c>
      <c r="E714" s="156" t="s">
        <v>1739</v>
      </c>
      <c r="F714" s="158" t="s">
        <v>1740</v>
      </c>
      <c r="G714" s="156" t="s">
        <v>14</v>
      </c>
      <c r="H714" s="157">
        <v>43640</v>
      </c>
      <c r="I714" s="158">
        <v>490</v>
      </c>
      <c r="J714" s="158" t="s">
        <v>58</v>
      </c>
      <c r="K714" s="165" t="s">
        <v>59</v>
      </c>
      <c r="L714" s="162">
        <v>44194</v>
      </c>
      <c r="M714" s="159" t="s">
        <v>82</v>
      </c>
      <c r="N714" s="159" t="s">
        <v>82</v>
      </c>
      <c r="O714" s="159" t="s">
        <v>82</v>
      </c>
      <c r="P714" s="159" t="s">
        <v>82</v>
      </c>
      <c r="Q714" s="159" t="s">
        <v>82</v>
      </c>
      <c r="R714" s="159" t="s">
        <v>82</v>
      </c>
      <c r="S714" s="159" t="s">
        <v>68</v>
      </c>
      <c r="T714" s="159" t="s">
        <v>68</v>
      </c>
      <c r="U714" s="161" t="s">
        <v>82</v>
      </c>
      <c r="V714" s="159" t="s">
        <v>82</v>
      </c>
      <c r="W714" s="159" t="s">
        <v>82</v>
      </c>
      <c r="X714" s="159" t="s">
        <v>68</v>
      </c>
      <c r="Y714" s="159" t="s">
        <v>82</v>
      </c>
      <c r="Z714" s="159" t="s">
        <v>82</v>
      </c>
      <c r="AA714" s="158" t="s">
        <v>82</v>
      </c>
      <c r="AB714" s="158" t="s">
        <v>82</v>
      </c>
      <c r="AC714" s="159" t="s">
        <v>82</v>
      </c>
      <c r="AD714" s="153"/>
      <c r="AE714" s="120"/>
    </row>
    <row r="715" spans="1:31" ht="23.4" x14ac:dyDescent="0.25">
      <c r="A715" s="121" t="s">
        <v>82</v>
      </c>
      <c r="B715" s="144">
        <v>37206</v>
      </c>
      <c r="C715" s="154" t="s">
        <v>54</v>
      </c>
      <c r="D715" s="155" t="s">
        <v>1787</v>
      </c>
      <c r="E715" s="156" t="s">
        <v>1739</v>
      </c>
      <c r="F715" s="158" t="s">
        <v>1740</v>
      </c>
      <c r="G715" s="156" t="s">
        <v>14</v>
      </c>
      <c r="H715" s="157">
        <v>43640</v>
      </c>
      <c r="I715" s="158">
        <v>491</v>
      </c>
      <c r="J715" s="158" t="s">
        <v>58</v>
      </c>
      <c r="K715" s="165" t="s">
        <v>59</v>
      </c>
      <c r="L715" s="162">
        <v>44194</v>
      </c>
      <c r="M715" s="159" t="s">
        <v>82</v>
      </c>
      <c r="N715" s="159" t="s">
        <v>82</v>
      </c>
      <c r="O715" s="159" t="s">
        <v>82</v>
      </c>
      <c r="P715" s="159" t="s">
        <v>82</v>
      </c>
      <c r="Q715" s="159" t="s">
        <v>82</v>
      </c>
      <c r="R715" s="159" t="s">
        <v>82</v>
      </c>
      <c r="S715" s="159" t="s">
        <v>62</v>
      </c>
      <c r="T715" s="159" t="s">
        <v>62</v>
      </c>
      <c r="U715" s="161" t="s">
        <v>82</v>
      </c>
      <c r="V715" s="159" t="s">
        <v>82</v>
      </c>
      <c r="W715" s="159" t="s">
        <v>82</v>
      </c>
      <c r="X715" s="159" t="s">
        <v>62</v>
      </c>
      <c r="Y715" s="159" t="s">
        <v>82</v>
      </c>
      <c r="Z715" s="159" t="s">
        <v>82</v>
      </c>
      <c r="AA715" s="158" t="s">
        <v>82</v>
      </c>
      <c r="AB715" s="158" t="s">
        <v>82</v>
      </c>
      <c r="AC715" s="159" t="s">
        <v>82</v>
      </c>
      <c r="AD715" s="153"/>
      <c r="AE715" s="120"/>
    </row>
    <row r="716" spans="1:31" ht="23.4" x14ac:dyDescent="0.25">
      <c r="A716" s="121" t="s">
        <v>82</v>
      </c>
      <c r="B716" s="144">
        <v>37420</v>
      </c>
      <c r="C716" s="154" t="s">
        <v>64</v>
      </c>
      <c r="D716" s="155" t="s">
        <v>1788</v>
      </c>
      <c r="E716" s="156" t="s">
        <v>1739</v>
      </c>
      <c r="F716" s="158" t="s">
        <v>1740</v>
      </c>
      <c r="G716" s="156" t="s">
        <v>14</v>
      </c>
      <c r="H716" s="157">
        <v>44057</v>
      </c>
      <c r="I716" s="158">
        <v>812</v>
      </c>
      <c r="J716" s="158" t="s">
        <v>58</v>
      </c>
      <c r="K716" s="165" t="s">
        <v>59</v>
      </c>
      <c r="L716" s="162">
        <v>44189</v>
      </c>
      <c r="M716" s="158" t="s">
        <v>60</v>
      </c>
      <c r="N716" s="162">
        <v>44321</v>
      </c>
      <c r="O716" s="159" t="s">
        <v>82</v>
      </c>
      <c r="P716" s="159" t="s">
        <v>82</v>
      </c>
      <c r="Q716" s="159" t="s">
        <v>75</v>
      </c>
      <c r="R716" s="159" t="s">
        <v>82</v>
      </c>
      <c r="S716" s="159" t="s">
        <v>68</v>
      </c>
      <c r="T716" s="159" t="s">
        <v>68</v>
      </c>
      <c r="U716" s="161" t="s">
        <v>82</v>
      </c>
      <c r="V716" s="159" t="s">
        <v>82</v>
      </c>
      <c r="W716" s="159" t="s">
        <v>75</v>
      </c>
      <c r="X716" s="159" t="s">
        <v>68</v>
      </c>
      <c r="Y716" s="159" t="s">
        <v>82</v>
      </c>
      <c r="Z716" s="159" t="s">
        <v>82</v>
      </c>
      <c r="AA716" s="158" t="s">
        <v>82</v>
      </c>
      <c r="AB716" s="158" t="s">
        <v>82</v>
      </c>
      <c r="AC716" s="159" t="s">
        <v>82</v>
      </c>
      <c r="AD716" s="153"/>
      <c r="AE716" s="120"/>
    </row>
    <row r="717" spans="1:31" ht="23.4" x14ac:dyDescent="0.25">
      <c r="A717" s="121" t="s">
        <v>82</v>
      </c>
      <c r="B717" s="144">
        <v>37420</v>
      </c>
      <c r="C717" s="154" t="s">
        <v>54</v>
      </c>
      <c r="D717" s="155" t="s">
        <v>1791</v>
      </c>
      <c r="E717" s="156" t="s">
        <v>1739</v>
      </c>
      <c r="F717" s="158" t="s">
        <v>1740</v>
      </c>
      <c r="G717" s="156" t="s">
        <v>14</v>
      </c>
      <c r="H717" s="157">
        <v>44057</v>
      </c>
      <c r="I717" s="158">
        <v>785</v>
      </c>
      <c r="J717" s="158" t="s">
        <v>58</v>
      </c>
      <c r="K717" s="165" t="s">
        <v>59</v>
      </c>
      <c r="L717" s="162">
        <v>44189</v>
      </c>
      <c r="M717" s="158" t="s">
        <v>60</v>
      </c>
      <c r="N717" s="162">
        <v>44321</v>
      </c>
      <c r="O717" s="159" t="s">
        <v>82</v>
      </c>
      <c r="P717" s="159" t="s">
        <v>82</v>
      </c>
      <c r="Q717" s="159" t="s">
        <v>75</v>
      </c>
      <c r="R717" s="159" t="s">
        <v>82</v>
      </c>
      <c r="S717" s="159" t="s">
        <v>62</v>
      </c>
      <c r="T717" s="159" t="s">
        <v>62</v>
      </c>
      <c r="U717" s="161" t="s">
        <v>82</v>
      </c>
      <c r="V717" s="159" t="s">
        <v>82</v>
      </c>
      <c r="W717" s="159" t="s">
        <v>75</v>
      </c>
      <c r="X717" s="159" t="s">
        <v>62</v>
      </c>
      <c r="Y717" s="159" t="s">
        <v>82</v>
      </c>
      <c r="Z717" s="159" t="s">
        <v>82</v>
      </c>
      <c r="AA717" s="158" t="s">
        <v>82</v>
      </c>
      <c r="AB717" s="158" t="s">
        <v>82</v>
      </c>
      <c r="AC717" s="159" t="s">
        <v>82</v>
      </c>
      <c r="AD717" s="153"/>
      <c r="AE717" s="120"/>
    </row>
    <row r="718" spans="1:31" ht="23.4" x14ac:dyDescent="0.25">
      <c r="A718" s="121" t="s">
        <v>82</v>
      </c>
      <c r="B718" s="144">
        <v>37428</v>
      </c>
      <c r="C718" s="154" t="s">
        <v>64</v>
      </c>
      <c r="D718" s="155" t="s">
        <v>1794</v>
      </c>
      <c r="E718" s="156" t="s">
        <v>1739</v>
      </c>
      <c r="F718" s="158" t="s">
        <v>1740</v>
      </c>
      <c r="G718" s="156" t="s">
        <v>14</v>
      </c>
      <c r="H718" s="157">
        <v>44067</v>
      </c>
      <c r="I718" s="158">
        <v>814</v>
      </c>
      <c r="J718" s="158" t="s">
        <v>58</v>
      </c>
      <c r="K718" s="165" t="s">
        <v>59</v>
      </c>
      <c r="L718" s="162">
        <v>44193</v>
      </c>
      <c r="M718" s="159" t="s">
        <v>60</v>
      </c>
      <c r="N718" s="162">
        <v>44306</v>
      </c>
      <c r="O718" s="162">
        <v>44306</v>
      </c>
      <c r="P718" s="158" t="s">
        <v>82</v>
      </c>
      <c r="Q718" s="159" t="s">
        <v>75</v>
      </c>
      <c r="R718" s="159" t="s">
        <v>82</v>
      </c>
      <c r="S718" s="159" t="s">
        <v>68</v>
      </c>
      <c r="T718" s="159" t="s">
        <v>68</v>
      </c>
      <c r="U718" s="159" t="s">
        <v>68</v>
      </c>
      <c r="V718" s="159" t="s">
        <v>68</v>
      </c>
      <c r="W718" s="159" t="s">
        <v>75</v>
      </c>
      <c r="X718" s="159" t="s">
        <v>68</v>
      </c>
      <c r="Y718" s="159" t="s">
        <v>82</v>
      </c>
      <c r="Z718" s="159" t="s">
        <v>82</v>
      </c>
      <c r="AA718" s="158" t="s">
        <v>82</v>
      </c>
      <c r="AB718" s="158" t="s">
        <v>82</v>
      </c>
      <c r="AC718" s="159" t="s">
        <v>82</v>
      </c>
      <c r="AD718" s="153"/>
      <c r="AE718" s="120"/>
    </row>
    <row r="719" spans="1:31" ht="23.4" x14ac:dyDescent="0.25">
      <c r="A719" s="121" t="s">
        <v>82</v>
      </c>
      <c r="B719" s="144">
        <v>37428</v>
      </c>
      <c r="C719" s="154" t="s">
        <v>54</v>
      </c>
      <c r="D719" s="155" t="s">
        <v>1796</v>
      </c>
      <c r="E719" s="156" t="s">
        <v>1739</v>
      </c>
      <c r="F719" s="158" t="s">
        <v>1740</v>
      </c>
      <c r="G719" s="156" t="s">
        <v>14</v>
      </c>
      <c r="H719" s="157">
        <v>44067</v>
      </c>
      <c r="I719" s="158">
        <v>815</v>
      </c>
      <c r="J719" s="158" t="s">
        <v>58</v>
      </c>
      <c r="K719" s="165" t="s">
        <v>59</v>
      </c>
      <c r="L719" s="162">
        <v>44193</v>
      </c>
      <c r="M719" s="159" t="s">
        <v>60</v>
      </c>
      <c r="N719" s="162">
        <v>44306</v>
      </c>
      <c r="O719" s="162">
        <v>44306</v>
      </c>
      <c r="P719" s="158" t="s">
        <v>82</v>
      </c>
      <c r="Q719" s="159" t="s">
        <v>75</v>
      </c>
      <c r="R719" s="159" t="s">
        <v>82</v>
      </c>
      <c r="S719" s="159" t="s">
        <v>62</v>
      </c>
      <c r="T719" s="159" t="s">
        <v>62</v>
      </c>
      <c r="U719" s="159" t="s">
        <v>62</v>
      </c>
      <c r="V719" s="159" t="s">
        <v>62</v>
      </c>
      <c r="W719" s="159" t="s">
        <v>75</v>
      </c>
      <c r="X719" s="159" t="s">
        <v>62</v>
      </c>
      <c r="Y719" s="159" t="s">
        <v>82</v>
      </c>
      <c r="Z719" s="159" t="s">
        <v>82</v>
      </c>
      <c r="AA719" s="158" t="s">
        <v>82</v>
      </c>
      <c r="AB719" s="158" t="s">
        <v>82</v>
      </c>
      <c r="AC719" s="159" t="s">
        <v>82</v>
      </c>
      <c r="AD719" s="153"/>
      <c r="AE719" s="120"/>
    </row>
    <row r="720" spans="1:31" ht="23.4" x14ac:dyDescent="0.25">
      <c r="A720" s="121" t="s">
        <v>82</v>
      </c>
      <c r="B720" s="144">
        <v>37466</v>
      </c>
      <c r="C720" s="154" t="s">
        <v>64</v>
      </c>
      <c r="D720" s="155" t="s">
        <v>1799</v>
      </c>
      <c r="E720" s="156" t="s">
        <v>1739</v>
      </c>
      <c r="F720" s="158" t="s">
        <v>1740</v>
      </c>
      <c r="G720" s="156" t="s">
        <v>14</v>
      </c>
      <c r="H720" s="157">
        <v>44134</v>
      </c>
      <c r="I720" s="158">
        <v>804</v>
      </c>
      <c r="J720" s="158" t="s">
        <v>58</v>
      </c>
      <c r="K720" s="165" t="s">
        <v>59</v>
      </c>
      <c r="L720" s="162">
        <v>44259</v>
      </c>
      <c r="M720" s="159" t="s">
        <v>60</v>
      </c>
      <c r="N720" s="162">
        <v>44259</v>
      </c>
      <c r="O720" s="162">
        <v>44308</v>
      </c>
      <c r="P720" s="158" t="s">
        <v>82</v>
      </c>
      <c r="Q720" s="159" t="s">
        <v>75</v>
      </c>
      <c r="R720" s="159" t="s">
        <v>82</v>
      </c>
      <c r="S720" s="159" t="s">
        <v>82</v>
      </c>
      <c r="T720" s="159" t="s">
        <v>68</v>
      </c>
      <c r="U720" s="159" t="s">
        <v>68</v>
      </c>
      <c r="V720" s="159" t="s">
        <v>82</v>
      </c>
      <c r="W720" s="159" t="s">
        <v>75</v>
      </c>
      <c r="X720" s="159" t="s">
        <v>68</v>
      </c>
      <c r="Y720" s="159" t="s">
        <v>82</v>
      </c>
      <c r="Z720" s="159" t="s">
        <v>82</v>
      </c>
      <c r="AA720" s="158" t="s">
        <v>82</v>
      </c>
      <c r="AB720" s="158" t="s">
        <v>82</v>
      </c>
      <c r="AC720" s="159" t="s">
        <v>82</v>
      </c>
      <c r="AD720" s="153"/>
      <c r="AE720" s="120"/>
    </row>
    <row r="721" spans="1:31" ht="23.4" x14ac:dyDescent="0.25">
      <c r="A721" s="121" t="s">
        <v>82</v>
      </c>
      <c r="B721" s="144">
        <v>37466</v>
      </c>
      <c r="C721" s="154" t="s">
        <v>54</v>
      </c>
      <c r="D721" s="155" t="s">
        <v>1801</v>
      </c>
      <c r="E721" s="156" t="s">
        <v>1739</v>
      </c>
      <c r="F721" s="158" t="s">
        <v>1740</v>
      </c>
      <c r="G721" s="156" t="s">
        <v>14</v>
      </c>
      <c r="H721" s="157">
        <v>44134</v>
      </c>
      <c r="I721" s="158">
        <v>805</v>
      </c>
      <c r="J721" s="158" t="s">
        <v>58</v>
      </c>
      <c r="K721" s="165" t="s">
        <v>59</v>
      </c>
      <c r="L721" s="162">
        <v>44259</v>
      </c>
      <c r="M721" s="159" t="s">
        <v>60</v>
      </c>
      <c r="N721" s="162">
        <v>44259</v>
      </c>
      <c r="O721" s="162">
        <v>44308</v>
      </c>
      <c r="P721" s="158" t="s">
        <v>82</v>
      </c>
      <c r="Q721" s="159" t="s">
        <v>75</v>
      </c>
      <c r="R721" s="159" t="s">
        <v>82</v>
      </c>
      <c r="S721" s="159" t="s">
        <v>82</v>
      </c>
      <c r="T721" s="159" t="s">
        <v>62</v>
      </c>
      <c r="U721" s="159" t="s">
        <v>62</v>
      </c>
      <c r="V721" s="159" t="s">
        <v>82</v>
      </c>
      <c r="W721" s="159" t="s">
        <v>75</v>
      </c>
      <c r="X721" s="159" t="s">
        <v>62</v>
      </c>
      <c r="Y721" s="159" t="s">
        <v>82</v>
      </c>
      <c r="Z721" s="159" t="s">
        <v>82</v>
      </c>
      <c r="AA721" s="158" t="s">
        <v>82</v>
      </c>
      <c r="AB721" s="158" t="s">
        <v>82</v>
      </c>
      <c r="AC721" s="159" t="s">
        <v>82</v>
      </c>
      <c r="AD721" s="153"/>
      <c r="AE721" s="120"/>
    </row>
    <row r="722" spans="1:31" ht="23.4" x14ac:dyDescent="0.25">
      <c r="A722" s="121" t="s">
        <v>82</v>
      </c>
      <c r="B722" s="144">
        <v>39101</v>
      </c>
      <c r="C722" s="154" t="s">
        <v>64</v>
      </c>
      <c r="D722" s="155" t="s">
        <v>1802</v>
      </c>
      <c r="E722" s="156" t="s">
        <v>1739</v>
      </c>
      <c r="F722" s="158" t="s">
        <v>1740</v>
      </c>
      <c r="G722" s="156" t="s">
        <v>14</v>
      </c>
      <c r="H722" s="157">
        <v>43759</v>
      </c>
      <c r="I722" s="158">
        <v>537</v>
      </c>
      <c r="J722" s="158" t="s">
        <v>58</v>
      </c>
      <c r="K722" s="165" t="s">
        <v>59</v>
      </c>
      <c r="L722" s="162">
        <v>44200</v>
      </c>
      <c r="M722" s="158" t="s">
        <v>60</v>
      </c>
      <c r="N722" s="162">
        <v>44324</v>
      </c>
      <c r="O722" s="159" t="s">
        <v>82</v>
      </c>
      <c r="P722" s="159" t="s">
        <v>82</v>
      </c>
      <c r="Q722" s="159" t="s">
        <v>75</v>
      </c>
      <c r="R722" s="159" t="s">
        <v>82</v>
      </c>
      <c r="S722" s="159" t="s">
        <v>68</v>
      </c>
      <c r="T722" s="159" t="s">
        <v>68</v>
      </c>
      <c r="U722" s="161" t="s">
        <v>82</v>
      </c>
      <c r="V722" s="159" t="s">
        <v>82</v>
      </c>
      <c r="W722" s="159" t="s">
        <v>82</v>
      </c>
      <c r="X722" s="159" t="s">
        <v>68</v>
      </c>
      <c r="Y722" s="159" t="s">
        <v>82</v>
      </c>
      <c r="Z722" s="159" t="s">
        <v>82</v>
      </c>
      <c r="AA722" s="158" t="s">
        <v>82</v>
      </c>
      <c r="AB722" s="158" t="s">
        <v>82</v>
      </c>
      <c r="AC722" s="159" t="s">
        <v>82</v>
      </c>
      <c r="AD722" s="153"/>
      <c r="AE722" s="120"/>
    </row>
    <row r="723" spans="1:31" ht="23.4" x14ac:dyDescent="0.25">
      <c r="A723" s="121" t="s">
        <v>82</v>
      </c>
      <c r="B723" s="144">
        <v>39101</v>
      </c>
      <c r="C723" s="154" t="s">
        <v>54</v>
      </c>
      <c r="D723" s="155" t="s">
        <v>1803</v>
      </c>
      <c r="E723" s="156" t="s">
        <v>1739</v>
      </c>
      <c r="F723" s="158" t="s">
        <v>1740</v>
      </c>
      <c r="G723" s="156" t="s">
        <v>14</v>
      </c>
      <c r="H723" s="157">
        <v>43759</v>
      </c>
      <c r="I723" s="158">
        <v>530</v>
      </c>
      <c r="J723" s="158" t="s">
        <v>58</v>
      </c>
      <c r="K723" s="165" t="s">
        <v>59</v>
      </c>
      <c r="L723" s="162">
        <v>44200</v>
      </c>
      <c r="M723" s="158" t="s">
        <v>60</v>
      </c>
      <c r="N723" s="162">
        <v>44324</v>
      </c>
      <c r="O723" s="159" t="s">
        <v>82</v>
      </c>
      <c r="P723" s="159" t="s">
        <v>82</v>
      </c>
      <c r="Q723" s="159" t="s">
        <v>75</v>
      </c>
      <c r="R723" s="159" t="s">
        <v>82</v>
      </c>
      <c r="S723" s="159" t="s">
        <v>62</v>
      </c>
      <c r="T723" s="159" t="s">
        <v>62</v>
      </c>
      <c r="U723" s="161" t="s">
        <v>82</v>
      </c>
      <c r="V723" s="159" t="s">
        <v>82</v>
      </c>
      <c r="W723" s="159" t="s">
        <v>82</v>
      </c>
      <c r="X723" s="159" t="s">
        <v>62</v>
      </c>
      <c r="Y723" s="159" t="s">
        <v>82</v>
      </c>
      <c r="Z723" s="159" t="s">
        <v>82</v>
      </c>
      <c r="AA723" s="158" t="s">
        <v>82</v>
      </c>
      <c r="AB723" s="158" t="s">
        <v>82</v>
      </c>
      <c r="AC723" s="159" t="s">
        <v>82</v>
      </c>
      <c r="AD723" s="153"/>
      <c r="AE723" s="120"/>
    </row>
    <row r="724" spans="1:31" ht="23.4" x14ac:dyDescent="0.25">
      <c r="A724" s="121" t="s">
        <v>82</v>
      </c>
      <c r="B724" s="144">
        <v>39102</v>
      </c>
      <c r="C724" s="154" t="s">
        <v>64</v>
      </c>
      <c r="D724" s="155" t="s">
        <v>1804</v>
      </c>
      <c r="E724" s="156" t="s">
        <v>1739</v>
      </c>
      <c r="F724" s="158" t="s">
        <v>1740</v>
      </c>
      <c r="G724" s="156" t="s">
        <v>14</v>
      </c>
      <c r="H724" s="157">
        <v>43762</v>
      </c>
      <c r="I724" s="158">
        <v>531</v>
      </c>
      <c r="J724" s="158" t="s">
        <v>58</v>
      </c>
      <c r="K724" s="165" t="s">
        <v>59</v>
      </c>
      <c r="L724" s="162">
        <v>44193</v>
      </c>
      <c r="M724" s="159" t="s">
        <v>82</v>
      </c>
      <c r="N724" s="159" t="s">
        <v>82</v>
      </c>
      <c r="O724" s="159" t="s">
        <v>82</v>
      </c>
      <c r="P724" s="159" t="s">
        <v>82</v>
      </c>
      <c r="Q724" s="159" t="s">
        <v>75</v>
      </c>
      <c r="R724" s="159" t="s">
        <v>82</v>
      </c>
      <c r="S724" s="159" t="s">
        <v>68</v>
      </c>
      <c r="T724" s="159" t="s">
        <v>68</v>
      </c>
      <c r="U724" s="161" t="s">
        <v>82</v>
      </c>
      <c r="V724" s="159" t="s">
        <v>82</v>
      </c>
      <c r="W724" s="159" t="s">
        <v>82</v>
      </c>
      <c r="X724" s="159" t="s">
        <v>68</v>
      </c>
      <c r="Y724" s="159" t="s">
        <v>82</v>
      </c>
      <c r="Z724" s="159" t="s">
        <v>82</v>
      </c>
      <c r="AA724" s="158" t="s">
        <v>82</v>
      </c>
      <c r="AB724" s="158" t="s">
        <v>82</v>
      </c>
      <c r="AC724" s="159" t="s">
        <v>82</v>
      </c>
      <c r="AD724" s="153"/>
      <c r="AE724" s="120"/>
    </row>
    <row r="725" spans="1:31" ht="23.4" x14ac:dyDescent="0.25">
      <c r="A725" s="121" t="s">
        <v>82</v>
      </c>
      <c r="B725" s="144">
        <v>39102</v>
      </c>
      <c r="C725" s="154" t="s">
        <v>54</v>
      </c>
      <c r="D725" s="155" t="s">
        <v>1806</v>
      </c>
      <c r="E725" s="156" t="s">
        <v>1739</v>
      </c>
      <c r="F725" s="158" t="s">
        <v>1740</v>
      </c>
      <c r="G725" s="156" t="s">
        <v>14</v>
      </c>
      <c r="H725" s="157">
        <v>43762</v>
      </c>
      <c r="I725" s="158">
        <v>533</v>
      </c>
      <c r="J725" s="158" t="s">
        <v>58</v>
      </c>
      <c r="K725" s="165" t="s">
        <v>59</v>
      </c>
      <c r="L725" s="162">
        <v>44193</v>
      </c>
      <c r="M725" s="158" t="s">
        <v>60</v>
      </c>
      <c r="N725" s="162">
        <v>44347</v>
      </c>
      <c r="O725" s="159" t="s">
        <v>82</v>
      </c>
      <c r="P725" s="159" t="s">
        <v>82</v>
      </c>
      <c r="Q725" s="159" t="s">
        <v>75</v>
      </c>
      <c r="R725" s="159" t="s">
        <v>82</v>
      </c>
      <c r="S725" s="159" t="s">
        <v>62</v>
      </c>
      <c r="T725" s="159" t="s">
        <v>62</v>
      </c>
      <c r="U725" s="161" t="s">
        <v>82</v>
      </c>
      <c r="V725" s="159" t="s">
        <v>82</v>
      </c>
      <c r="W725" s="159" t="s">
        <v>82</v>
      </c>
      <c r="X725" s="159" t="s">
        <v>62</v>
      </c>
      <c r="Y725" s="159" t="s">
        <v>82</v>
      </c>
      <c r="Z725" s="159" t="s">
        <v>82</v>
      </c>
      <c r="AA725" s="158" t="s">
        <v>82</v>
      </c>
      <c r="AB725" s="158" t="s">
        <v>82</v>
      </c>
      <c r="AC725" s="159" t="s">
        <v>82</v>
      </c>
      <c r="AD725" s="153"/>
      <c r="AE725" s="120"/>
    </row>
    <row r="726" spans="1:31" ht="23.4" x14ac:dyDescent="0.25">
      <c r="A726" s="121" t="s">
        <v>82</v>
      </c>
      <c r="B726" s="144">
        <v>39143</v>
      </c>
      <c r="C726" s="154" t="s">
        <v>64</v>
      </c>
      <c r="D726" s="155" t="s">
        <v>1807</v>
      </c>
      <c r="E726" s="156" t="s">
        <v>1739</v>
      </c>
      <c r="F726" s="158" t="s">
        <v>1740</v>
      </c>
      <c r="G726" s="156" t="s">
        <v>14</v>
      </c>
      <c r="H726" s="157">
        <v>44007</v>
      </c>
      <c r="I726" s="158">
        <v>767</v>
      </c>
      <c r="J726" s="158" t="s">
        <v>58</v>
      </c>
      <c r="K726" s="165" t="s">
        <v>59</v>
      </c>
      <c r="L726" s="162">
        <v>44196</v>
      </c>
      <c r="M726" s="159" t="s">
        <v>60</v>
      </c>
      <c r="N726" s="162">
        <v>44235</v>
      </c>
      <c r="O726" s="162">
        <v>44292</v>
      </c>
      <c r="P726" s="158" t="s">
        <v>82</v>
      </c>
      <c r="Q726" s="159" t="s">
        <v>75</v>
      </c>
      <c r="R726" s="159" t="s">
        <v>68</v>
      </c>
      <c r="S726" s="159" t="s">
        <v>68</v>
      </c>
      <c r="T726" s="159" t="s">
        <v>68</v>
      </c>
      <c r="U726" s="159" t="s">
        <v>68</v>
      </c>
      <c r="V726" s="159" t="s">
        <v>68</v>
      </c>
      <c r="W726" s="159" t="s">
        <v>82</v>
      </c>
      <c r="X726" s="159" t="s">
        <v>68</v>
      </c>
      <c r="Y726" s="159" t="s">
        <v>82</v>
      </c>
      <c r="Z726" s="159" t="s">
        <v>82</v>
      </c>
      <c r="AA726" s="158" t="s">
        <v>82</v>
      </c>
      <c r="AB726" s="158" t="s">
        <v>82</v>
      </c>
      <c r="AC726" s="159" t="s">
        <v>82</v>
      </c>
      <c r="AD726" s="153"/>
      <c r="AE726" s="120"/>
    </row>
    <row r="727" spans="1:31" ht="23.4" x14ac:dyDescent="0.25">
      <c r="A727" s="121" t="s">
        <v>82</v>
      </c>
      <c r="B727" s="144">
        <v>39143</v>
      </c>
      <c r="C727" s="154" t="s">
        <v>54</v>
      </c>
      <c r="D727" s="155" t="s">
        <v>1809</v>
      </c>
      <c r="E727" s="156" t="s">
        <v>1739</v>
      </c>
      <c r="F727" s="158" t="s">
        <v>1740</v>
      </c>
      <c r="G727" s="156" t="s">
        <v>14</v>
      </c>
      <c r="H727" s="157">
        <v>44007</v>
      </c>
      <c r="I727" s="158">
        <v>766</v>
      </c>
      <c r="J727" s="158" t="s">
        <v>58</v>
      </c>
      <c r="K727" s="165" t="s">
        <v>59</v>
      </c>
      <c r="L727" s="162">
        <v>44196</v>
      </c>
      <c r="M727" s="159" t="s">
        <v>60</v>
      </c>
      <c r="N727" s="162">
        <v>44235</v>
      </c>
      <c r="O727" s="162">
        <v>44292</v>
      </c>
      <c r="P727" s="158" t="s">
        <v>82</v>
      </c>
      <c r="Q727" s="159" t="s">
        <v>75</v>
      </c>
      <c r="R727" s="159" t="s">
        <v>62</v>
      </c>
      <c r="S727" s="159" t="s">
        <v>62</v>
      </c>
      <c r="T727" s="159" t="s">
        <v>62</v>
      </c>
      <c r="U727" s="159" t="s">
        <v>62</v>
      </c>
      <c r="V727" s="159" t="s">
        <v>62</v>
      </c>
      <c r="W727" s="159" t="s">
        <v>82</v>
      </c>
      <c r="X727" s="159" t="s">
        <v>62</v>
      </c>
      <c r="Y727" s="159" t="s">
        <v>82</v>
      </c>
      <c r="Z727" s="159" t="s">
        <v>82</v>
      </c>
      <c r="AA727" s="158" t="s">
        <v>82</v>
      </c>
      <c r="AB727" s="158" t="s">
        <v>82</v>
      </c>
      <c r="AC727" s="159" t="s">
        <v>82</v>
      </c>
      <c r="AD727" s="153"/>
      <c r="AE727" s="120"/>
    </row>
    <row r="728" spans="1:31" ht="23.4" x14ac:dyDescent="0.25">
      <c r="A728" s="121" t="s">
        <v>82</v>
      </c>
      <c r="B728" s="144">
        <v>39144</v>
      </c>
      <c r="C728" s="154" t="s">
        <v>64</v>
      </c>
      <c r="D728" s="155" t="s">
        <v>2079</v>
      </c>
      <c r="E728" s="156" t="s">
        <v>1739</v>
      </c>
      <c r="F728" s="158" t="s">
        <v>1740</v>
      </c>
      <c r="G728" s="156" t="s">
        <v>14</v>
      </c>
      <c r="H728" s="157">
        <v>44009</v>
      </c>
      <c r="I728" s="158">
        <v>770</v>
      </c>
      <c r="J728" s="158" t="s">
        <v>58</v>
      </c>
      <c r="K728" s="165" t="s">
        <v>59</v>
      </c>
      <c r="L728" s="162">
        <v>44189</v>
      </c>
      <c r="M728" s="159" t="s">
        <v>60</v>
      </c>
      <c r="N728" s="162">
        <v>44228</v>
      </c>
      <c r="O728" s="158" t="s">
        <v>82</v>
      </c>
      <c r="P728" s="158" t="s">
        <v>82</v>
      </c>
      <c r="Q728" s="159" t="s">
        <v>75</v>
      </c>
      <c r="R728" s="159" t="s">
        <v>82</v>
      </c>
      <c r="S728" s="159" t="s">
        <v>68</v>
      </c>
      <c r="T728" s="159" t="s">
        <v>68</v>
      </c>
      <c r="U728" s="161" t="s">
        <v>82</v>
      </c>
      <c r="V728" s="159" t="s">
        <v>82</v>
      </c>
      <c r="W728" s="159" t="s">
        <v>82</v>
      </c>
      <c r="X728" s="159" t="s">
        <v>68</v>
      </c>
      <c r="Y728" s="159" t="s">
        <v>82</v>
      </c>
      <c r="Z728" s="159" t="s">
        <v>82</v>
      </c>
      <c r="AA728" s="158" t="s">
        <v>82</v>
      </c>
      <c r="AB728" s="158" t="s">
        <v>82</v>
      </c>
      <c r="AC728" s="159" t="s">
        <v>82</v>
      </c>
      <c r="AD728" s="153"/>
      <c r="AE728" s="120"/>
    </row>
    <row r="729" spans="1:31" ht="23.4" x14ac:dyDescent="0.25">
      <c r="A729" s="121" t="s">
        <v>82</v>
      </c>
      <c r="B729" s="144">
        <v>39144</v>
      </c>
      <c r="C729" s="154" t="s">
        <v>54</v>
      </c>
      <c r="D729" s="155" t="s">
        <v>2080</v>
      </c>
      <c r="E729" s="156" t="s">
        <v>1739</v>
      </c>
      <c r="F729" s="158" t="s">
        <v>1740</v>
      </c>
      <c r="G729" s="156" t="s">
        <v>14</v>
      </c>
      <c r="H729" s="157">
        <v>44009</v>
      </c>
      <c r="I729" s="158">
        <v>764</v>
      </c>
      <c r="J729" s="158" t="s">
        <v>58</v>
      </c>
      <c r="K729" s="165" t="s">
        <v>59</v>
      </c>
      <c r="L729" s="162">
        <v>44189</v>
      </c>
      <c r="M729" s="159" t="s">
        <v>60</v>
      </c>
      <c r="N729" s="162">
        <v>44228</v>
      </c>
      <c r="O729" s="158" t="s">
        <v>82</v>
      </c>
      <c r="P729" s="158" t="s">
        <v>82</v>
      </c>
      <c r="Q729" s="159" t="s">
        <v>75</v>
      </c>
      <c r="R729" s="159" t="s">
        <v>82</v>
      </c>
      <c r="S729" s="159" t="s">
        <v>62</v>
      </c>
      <c r="T729" s="159" t="s">
        <v>62</v>
      </c>
      <c r="U729" s="161" t="s">
        <v>82</v>
      </c>
      <c r="V729" s="159" t="s">
        <v>82</v>
      </c>
      <c r="W729" s="159" t="s">
        <v>82</v>
      </c>
      <c r="X729" s="159" t="s">
        <v>62</v>
      </c>
      <c r="Y729" s="159" t="s">
        <v>82</v>
      </c>
      <c r="Z729" s="159" t="s">
        <v>82</v>
      </c>
      <c r="AA729" s="158" t="s">
        <v>82</v>
      </c>
      <c r="AB729" s="158" t="s">
        <v>82</v>
      </c>
      <c r="AC729" s="159" t="s">
        <v>82</v>
      </c>
      <c r="AD729" s="153"/>
      <c r="AE729" s="120"/>
    </row>
    <row r="730" spans="1:31" ht="23.4" x14ac:dyDescent="0.25">
      <c r="A730" s="121" t="s">
        <v>82</v>
      </c>
      <c r="B730" s="144">
        <v>39145</v>
      </c>
      <c r="C730" s="154" t="s">
        <v>64</v>
      </c>
      <c r="D730" s="155" t="s">
        <v>1815</v>
      </c>
      <c r="E730" s="156" t="s">
        <v>1739</v>
      </c>
      <c r="F730" s="158" t="s">
        <v>1740</v>
      </c>
      <c r="G730" s="156" t="s">
        <v>14</v>
      </c>
      <c r="H730" s="157">
        <v>44022</v>
      </c>
      <c r="I730" s="158">
        <v>776</v>
      </c>
      <c r="J730" s="158" t="s">
        <v>58</v>
      </c>
      <c r="K730" s="165" t="s">
        <v>59</v>
      </c>
      <c r="L730" s="162">
        <v>44247</v>
      </c>
      <c r="M730" s="159" t="s">
        <v>60</v>
      </c>
      <c r="N730" s="162">
        <v>44247</v>
      </c>
      <c r="O730" s="162">
        <v>44303</v>
      </c>
      <c r="P730" s="158" t="s">
        <v>82</v>
      </c>
      <c r="Q730" s="159" t="s">
        <v>75</v>
      </c>
      <c r="R730" s="159" t="s">
        <v>68</v>
      </c>
      <c r="S730" s="159" t="s">
        <v>68</v>
      </c>
      <c r="T730" s="159" t="s">
        <v>68</v>
      </c>
      <c r="U730" s="159" t="s">
        <v>68</v>
      </c>
      <c r="V730" s="159" t="s">
        <v>68</v>
      </c>
      <c r="W730" s="159" t="s">
        <v>82</v>
      </c>
      <c r="X730" s="159" t="s">
        <v>68</v>
      </c>
      <c r="Y730" s="159" t="s">
        <v>82</v>
      </c>
      <c r="Z730" s="159" t="s">
        <v>82</v>
      </c>
      <c r="AA730" s="158" t="s">
        <v>82</v>
      </c>
      <c r="AB730" s="158" t="s">
        <v>82</v>
      </c>
      <c r="AC730" s="159" t="s">
        <v>82</v>
      </c>
      <c r="AD730" s="153"/>
      <c r="AE730" s="120"/>
    </row>
    <row r="731" spans="1:31" ht="23.4" x14ac:dyDescent="0.25">
      <c r="A731" s="121" t="s">
        <v>82</v>
      </c>
      <c r="B731" s="144">
        <v>39145</v>
      </c>
      <c r="C731" s="154" t="s">
        <v>54</v>
      </c>
      <c r="D731" s="155" t="s">
        <v>1816</v>
      </c>
      <c r="E731" s="156" t="s">
        <v>1739</v>
      </c>
      <c r="F731" s="158" t="s">
        <v>1740</v>
      </c>
      <c r="G731" s="156" t="s">
        <v>14</v>
      </c>
      <c r="H731" s="157">
        <v>44022</v>
      </c>
      <c r="I731" s="158">
        <v>775</v>
      </c>
      <c r="J731" s="158" t="s">
        <v>58</v>
      </c>
      <c r="K731" s="165" t="s">
        <v>59</v>
      </c>
      <c r="L731" s="162">
        <v>44247</v>
      </c>
      <c r="M731" s="159" t="s">
        <v>60</v>
      </c>
      <c r="N731" s="162">
        <v>44247</v>
      </c>
      <c r="O731" s="162">
        <v>44303</v>
      </c>
      <c r="P731" s="158" t="s">
        <v>82</v>
      </c>
      <c r="Q731" s="159" t="s">
        <v>75</v>
      </c>
      <c r="R731" s="159" t="s">
        <v>62</v>
      </c>
      <c r="S731" s="159" t="s">
        <v>62</v>
      </c>
      <c r="T731" s="159" t="s">
        <v>62</v>
      </c>
      <c r="U731" s="159" t="s">
        <v>62</v>
      </c>
      <c r="V731" s="159" t="s">
        <v>62</v>
      </c>
      <c r="W731" s="159" t="s">
        <v>82</v>
      </c>
      <c r="X731" s="159" t="s">
        <v>62</v>
      </c>
      <c r="Y731" s="159" t="s">
        <v>82</v>
      </c>
      <c r="Z731" s="159" t="s">
        <v>82</v>
      </c>
      <c r="AA731" s="158" t="s">
        <v>82</v>
      </c>
      <c r="AB731" s="158" t="s">
        <v>82</v>
      </c>
      <c r="AC731" s="159" t="s">
        <v>82</v>
      </c>
      <c r="AD731" s="153"/>
      <c r="AE731" s="120"/>
    </row>
    <row r="732" spans="1:31" x14ac:dyDescent="0.25">
      <c r="A732" s="121" t="s">
        <v>82</v>
      </c>
      <c r="B732" s="182">
        <v>37585</v>
      </c>
      <c r="C732" s="154" t="s">
        <v>64</v>
      </c>
      <c r="D732" s="156" t="s">
        <v>2081</v>
      </c>
      <c r="E732" s="156" t="s">
        <v>1927</v>
      </c>
      <c r="F732" s="158" t="s">
        <v>82</v>
      </c>
      <c r="G732" s="158" t="s">
        <v>14</v>
      </c>
      <c r="H732" s="157">
        <v>44345</v>
      </c>
      <c r="I732" s="158">
        <v>754</v>
      </c>
      <c r="J732" s="158" t="s">
        <v>58</v>
      </c>
      <c r="K732" s="159" t="s">
        <v>82</v>
      </c>
      <c r="L732" s="159" t="s">
        <v>82</v>
      </c>
      <c r="M732" s="159" t="s">
        <v>82</v>
      </c>
      <c r="N732" s="159" t="s">
        <v>82</v>
      </c>
      <c r="O732" s="159" t="s">
        <v>82</v>
      </c>
      <c r="P732" s="159" t="s">
        <v>82</v>
      </c>
      <c r="Q732" s="159" t="s">
        <v>75</v>
      </c>
      <c r="R732" s="159" t="s">
        <v>82</v>
      </c>
      <c r="S732" s="159" t="s">
        <v>82</v>
      </c>
      <c r="T732" s="160" t="s">
        <v>82</v>
      </c>
      <c r="U732" s="159" t="s">
        <v>82</v>
      </c>
      <c r="V732" s="159" t="s">
        <v>82</v>
      </c>
      <c r="W732" s="159" t="s">
        <v>82</v>
      </c>
      <c r="X732" s="159" t="s">
        <v>82</v>
      </c>
      <c r="Y732" s="159" t="s">
        <v>82</v>
      </c>
      <c r="Z732" s="159" t="s">
        <v>82</v>
      </c>
      <c r="AA732" s="158" t="s">
        <v>82</v>
      </c>
      <c r="AB732" s="158" t="s">
        <v>82</v>
      </c>
      <c r="AC732" s="159" t="s">
        <v>82</v>
      </c>
      <c r="AD732" s="153"/>
      <c r="AE732" s="120"/>
    </row>
    <row r="733" spans="1:31" x14ac:dyDescent="0.25">
      <c r="A733" s="121" t="s">
        <v>82</v>
      </c>
      <c r="B733" s="182">
        <v>37585</v>
      </c>
      <c r="C733" s="154" t="s">
        <v>54</v>
      </c>
      <c r="D733" s="156" t="s">
        <v>2082</v>
      </c>
      <c r="E733" s="156" t="s">
        <v>1927</v>
      </c>
      <c r="F733" s="158" t="s">
        <v>82</v>
      </c>
      <c r="G733" s="158" t="s">
        <v>14</v>
      </c>
      <c r="H733" s="157">
        <v>44345</v>
      </c>
      <c r="I733" s="158">
        <v>760</v>
      </c>
      <c r="J733" s="158" t="s">
        <v>58</v>
      </c>
      <c r="K733" s="159" t="s">
        <v>82</v>
      </c>
      <c r="L733" s="159" t="s">
        <v>82</v>
      </c>
      <c r="M733" s="159" t="s">
        <v>82</v>
      </c>
      <c r="N733" s="159" t="s">
        <v>82</v>
      </c>
      <c r="O733" s="159" t="s">
        <v>82</v>
      </c>
      <c r="P733" s="159" t="s">
        <v>82</v>
      </c>
      <c r="Q733" s="159" t="s">
        <v>75</v>
      </c>
      <c r="R733" s="159" t="s">
        <v>82</v>
      </c>
      <c r="S733" s="159" t="s">
        <v>82</v>
      </c>
      <c r="T733" s="160" t="s">
        <v>82</v>
      </c>
      <c r="U733" s="159" t="s">
        <v>82</v>
      </c>
      <c r="V733" s="159" t="s">
        <v>82</v>
      </c>
      <c r="W733" s="159" t="s">
        <v>82</v>
      </c>
      <c r="X733" s="159" t="s">
        <v>82</v>
      </c>
      <c r="Y733" s="159" t="s">
        <v>82</v>
      </c>
      <c r="Z733" s="159" t="s">
        <v>82</v>
      </c>
      <c r="AA733" s="158" t="s">
        <v>82</v>
      </c>
      <c r="AB733" s="158" t="s">
        <v>82</v>
      </c>
      <c r="AC733" s="159" t="s">
        <v>82</v>
      </c>
      <c r="AD733" s="153"/>
      <c r="AE733" s="120"/>
    </row>
    <row r="734" spans="1:31" x14ac:dyDescent="0.25">
      <c r="A734" s="121" t="s">
        <v>82</v>
      </c>
      <c r="B734" s="182">
        <v>37591</v>
      </c>
      <c r="C734" s="154" t="s">
        <v>54</v>
      </c>
      <c r="D734" s="156" t="s">
        <v>2083</v>
      </c>
      <c r="E734" s="156" t="s">
        <v>1928</v>
      </c>
      <c r="F734" s="156" t="s">
        <v>82</v>
      </c>
      <c r="G734" s="156" t="s">
        <v>14</v>
      </c>
      <c r="H734" s="157">
        <v>44343</v>
      </c>
      <c r="I734" s="158">
        <v>761</v>
      </c>
      <c r="J734" s="158" t="s">
        <v>58</v>
      </c>
      <c r="K734" s="159" t="s">
        <v>82</v>
      </c>
      <c r="L734" s="159" t="s">
        <v>82</v>
      </c>
      <c r="M734" s="159" t="s">
        <v>82</v>
      </c>
      <c r="N734" s="159" t="s">
        <v>82</v>
      </c>
      <c r="O734" s="159" t="s">
        <v>82</v>
      </c>
      <c r="P734" s="159" t="s">
        <v>82</v>
      </c>
      <c r="Q734" s="159" t="s">
        <v>75</v>
      </c>
      <c r="R734" s="159" t="s">
        <v>82</v>
      </c>
      <c r="S734" s="159" t="s">
        <v>82</v>
      </c>
      <c r="T734" s="160" t="s">
        <v>82</v>
      </c>
      <c r="U734" s="159" t="s">
        <v>82</v>
      </c>
      <c r="V734" s="159" t="s">
        <v>82</v>
      </c>
      <c r="W734" s="159" t="s">
        <v>82</v>
      </c>
      <c r="X734" s="159" t="s">
        <v>82</v>
      </c>
      <c r="Y734" s="159" t="s">
        <v>82</v>
      </c>
      <c r="Z734" s="159" t="s">
        <v>82</v>
      </c>
      <c r="AA734" s="158" t="s">
        <v>82</v>
      </c>
      <c r="AB734" s="158" t="s">
        <v>82</v>
      </c>
      <c r="AC734" s="159" t="s">
        <v>82</v>
      </c>
      <c r="AD734" s="153"/>
      <c r="AE734" s="120"/>
    </row>
    <row r="735" spans="1:31" x14ac:dyDescent="0.25">
      <c r="A735" s="121" t="s">
        <v>82</v>
      </c>
      <c r="B735" s="182">
        <v>37591</v>
      </c>
      <c r="C735" s="154" t="s">
        <v>64</v>
      </c>
      <c r="D735" s="156" t="s">
        <v>2084</v>
      </c>
      <c r="E735" s="156" t="s">
        <v>1928</v>
      </c>
      <c r="F735" s="156" t="s">
        <v>82</v>
      </c>
      <c r="G735" s="156" t="s">
        <v>14</v>
      </c>
      <c r="H735" s="157">
        <v>44343</v>
      </c>
      <c r="I735" s="158">
        <v>868</v>
      </c>
      <c r="J735" s="158" t="s">
        <v>58</v>
      </c>
      <c r="K735" s="159" t="s">
        <v>82</v>
      </c>
      <c r="L735" s="158" t="s">
        <v>82</v>
      </c>
      <c r="M735" s="159" t="s">
        <v>82</v>
      </c>
      <c r="N735" s="158" t="s">
        <v>82</v>
      </c>
      <c r="O735" s="159" t="s">
        <v>82</v>
      </c>
      <c r="P735" s="159" t="s">
        <v>82</v>
      </c>
      <c r="Q735" s="159" t="s">
        <v>75</v>
      </c>
      <c r="R735" s="159" t="s">
        <v>82</v>
      </c>
      <c r="S735" s="159" t="s">
        <v>82</v>
      </c>
      <c r="T735" s="159" t="s">
        <v>82</v>
      </c>
      <c r="U735" s="161" t="s">
        <v>82</v>
      </c>
      <c r="V735" s="159" t="s">
        <v>82</v>
      </c>
      <c r="W735" s="159" t="s">
        <v>75</v>
      </c>
      <c r="X735" s="159" t="s">
        <v>82</v>
      </c>
      <c r="Y735" s="159" t="s">
        <v>82</v>
      </c>
      <c r="Z735" s="159" t="s">
        <v>82</v>
      </c>
      <c r="AA735" s="158" t="s">
        <v>82</v>
      </c>
      <c r="AB735" s="158" t="s">
        <v>82</v>
      </c>
      <c r="AC735" s="159" t="s">
        <v>82</v>
      </c>
      <c r="AD735" s="153"/>
      <c r="AE735" s="120"/>
    </row>
    <row r="736" spans="1:31" x14ac:dyDescent="0.25">
      <c r="A736" s="121" t="s">
        <v>82</v>
      </c>
      <c r="B736" s="182">
        <v>37592</v>
      </c>
      <c r="C736" s="154" t="s">
        <v>54</v>
      </c>
      <c r="D736" s="156" t="s">
        <v>2085</v>
      </c>
      <c r="E736" s="156" t="s">
        <v>1928</v>
      </c>
      <c r="F736" s="158" t="s">
        <v>82</v>
      </c>
      <c r="G736" s="158" t="s">
        <v>14</v>
      </c>
      <c r="H736" s="157">
        <v>44352</v>
      </c>
      <c r="I736" s="158">
        <v>869</v>
      </c>
      <c r="J736" s="158" t="s">
        <v>58</v>
      </c>
      <c r="K736" s="159" t="s">
        <v>82</v>
      </c>
      <c r="L736" s="158" t="s">
        <v>82</v>
      </c>
      <c r="M736" s="159" t="s">
        <v>82</v>
      </c>
      <c r="N736" s="158" t="s">
        <v>82</v>
      </c>
      <c r="O736" s="159" t="s">
        <v>82</v>
      </c>
      <c r="P736" s="159" t="s">
        <v>82</v>
      </c>
      <c r="Q736" s="159" t="s">
        <v>75</v>
      </c>
      <c r="R736" s="159" t="s">
        <v>82</v>
      </c>
      <c r="S736" s="159" t="s">
        <v>82</v>
      </c>
      <c r="T736" s="159" t="s">
        <v>82</v>
      </c>
      <c r="U736" s="161" t="s">
        <v>82</v>
      </c>
      <c r="V736" s="159" t="s">
        <v>82</v>
      </c>
      <c r="W736" s="159" t="s">
        <v>75</v>
      </c>
      <c r="X736" s="159" t="s">
        <v>82</v>
      </c>
      <c r="Y736" s="159" t="s">
        <v>82</v>
      </c>
      <c r="Z736" s="159" t="s">
        <v>82</v>
      </c>
      <c r="AA736" s="158" t="s">
        <v>82</v>
      </c>
      <c r="AB736" s="158" t="s">
        <v>82</v>
      </c>
      <c r="AC736" s="159" t="s">
        <v>82</v>
      </c>
      <c r="AD736" s="153"/>
      <c r="AE736" s="120"/>
    </row>
    <row r="737" spans="1:31" x14ac:dyDescent="0.25">
      <c r="A737" s="121" t="s">
        <v>82</v>
      </c>
      <c r="B737" s="182">
        <v>37586</v>
      </c>
      <c r="C737" s="154" t="s">
        <v>64</v>
      </c>
      <c r="D737" s="156" t="s">
        <v>2086</v>
      </c>
      <c r="E737" s="177" t="s">
        <v>1927</v>
      </c>
      <c r="F737" s="158" t="s">
        <v>82</v>
      </c>
      <c r="G737" s="158" t="s">
        <v>14</v>
      </c>
      <c r="H737" s="157">
        <v>44362</v>
      </c>
      <c r="I737" s="158">
        <v>870</v>
      </c>
      <c r="J737" s="158" t="s">
        <v>58</v>
      </c>
      <c r="K737" s="159" t="s">
        <v>82</v>
      </c>
      <c r="L737" s="158" t="s">
        <v>82</v>
      </c>
      <c r="M737" s="159" t="s">
        <v>82</v>
      </c>
      <c r="N737" s="158" t="s">
        <v>82</v>
      </c>
      <c r="O737" s="159" t="s">
        <v>82</v>
      </c>
      <c r="P737" s="159" t="s">
        <v>82</v>
      </c>
      <c r="Q737" s="159" t="s">
        <v>75</v>
      </c>
      <c r="R737" s="159" t="s">
        <v>82</v>
      </c>
      <c r="S737" s="159" t="s">
        <v>82</v>
      </c>
      <c r="T737" s="159" t="s">
        <v>82</v>
      </c>
      <c r="U737" s="161" t="s">
        <v>82</v>
      </c>
      <c r="V737" s="159" t="s">
        <v>82</v>
      </c>
      <c r="W737" s="159" t="s">
        <v>75</v>
      </c>
      <c r="X737" s="159" t="s">
        <v>82</v>
      </c>
      <c r="Y737" s="159" t="s">
        <v>82</v>
      </c>
      <c r="Z737" s="159" t="s">
        <v>82</v>
      </c>
      <c r="AA737" s="158" t="s">
        <v>82</v>
      </c>
      <c r="AB737" s="158" t="s">
        <v>82</v>
      </c>
      <c r="AC737" s="159" t="s">
        <v>82</v>
      </c>
      <c r="AD737" s="153"/>
      <c r="AE737" s="120"/>
    </row>
    <row r="738" spans="1:31" x14ac:dyDescent="0.25">
      <c r="A738" s="124"/>
      <c r="B738" s="182">
        <v>37586</v>
      </c>
      <c r="C738" s="154" t="s">
        <v>54</v>
      </c>
      <c r="D738" s="156" t="s">
        <v>2087</v>
      </c>
      <c r="E738" s="177" t="s">
        <v>1927</v>
      </c>
      <c r="F738" s="158" t="s">
        <v>82</v>
      </c>
      <c r="G738" s="158" t="s">
        <v>14</v>
      </c>
      <c r="H738" s="157">
        <v>44362</v>
      </c>
      <c r="I738" s="158">
        <v>871</v>
      </c>
      <c r="J738" s="158" t="s">
        <v>58</v>
      </c>
      <c r="K738" s="159" t="s">
        <v>82</v>
      </c>
      <c r="L738" s="158" t="s">
        <v>82</v>
      </c>
      <c r="M738" s="153"/>
      <c r="N738" s="173"/>
      <c r="O738" s="153"/>
      <c r="P738" s="153"/>
      <c r="Q738" s="171" t="s">
        <v>75</v>
      </c>
      <c r="R738" s="153"/>
      <c r="S738" s="153"/>
      <c r="T738" s="153"/>
      <c r="U738" s="174"/>
      <c r="V738" s="153"/>
      <c r="W738" s="171" t="s">
        <v>75</v>
      </c>
      <c r="X738" s="153"/>
      <c r="Y738" s="153"/>
      <c r="Z738" s="153"/>
      <c r="AA738" s="183" t="s">
        <v>82</v>
      </c>
      <c r="AB738" s="158" t="s">
        <v>82</v>
      </c>
      <c r="AC738" s="153"/>
      <c r="AD738" s="153"/>
      <c r="AE738" s="120"/>
    </row>
    <row r="739" spans="1:31" x14ac:dyDescent="0.25">
      <c r="A739" s="125"/>
      <c r="B739" s="182">
        <v>37593</v>
      </c>
      <c r="C739" s="154" t="s">
        <v>54</v>
      </c>
      <c r="D739" s="156" t="s">
        <v>2088</v>
      </c>
      <c r="E739" s="156" t="s">
        <v>1929</v>
      </c>
      <c r="F739" s="184"/>
      <c r="G739" s="183" t="s">
        <v>14</v>
      </c>
      <c r="H739" s="157">
        <v>44364</v>
      </c>
      <c r="I739" s="158">
        <v>886</v>
      </c>
      <c r="J739" s="158" t="s">
        <v>58</v>
      </c>
      <c r="K739" s="158" t="s">
        <v>82</v>
      </c>
      <c r="L739" s="158" t="s">
        <v>82</v>
      </c>
      <c r="M739" s="173"/>
      <c r="N739" s="173"/>
      <c r="O739" s="173"/>
      <c r="P739" s="173"/>
      <c r="Q739" s="171" t="s">
        <v>75</v>
      </c>
      <c r="R739" s="173"/>
      <c r="S739" s="173"/>
      <c r="T739" s="173"/>
      <c r="U739" s="173"/>
      <c r="V739" s="173"/>
      <c r="W739" s="171" t="s">
        <v>75</v>
      </c>
      <c r="X739" s="173"/>
      <c r="Y739" s="173"/>
      <c r="Z739" s="173"/>
      <c r="AA739" s="183" t="s">
        <v>82</v>
      </c>
      <c r="AB739" s="158" t="s">
        <v>82</v>
      </c>
      <c r="AC739" s="173"/>
      <c r="AD739" s="173"/>
      <c r="AE739" s="120"/>
    </row>
    <row r="740" spans="1:31" x14ac:dyDescent="0.25">
      <c r="A740" s="125"/>
      <c r="B740" s="182">
        <v>37593</v>
      </c>
      <c r="C740" s="154" t="s">
        <v>64</v>
      </c>
      <c r="D740" s="156" t="s">
        <v>2089</v>
      </c>
      <c r="E740" s="156" t="s">
        <v>1929</v>
      </c>
      <c r="F740" s="184"/>
      <c r="G740" s="183" t="s">
        <v>14</v>
      </c>
      <c r="H740" s="157">
        <v>44364</v>
      </c>
      <c r="I740" s="158">
        <v>887</v>
      </c>
      <c r="J740" s="158" t="s">
        <v>58</v>
      </c>
      <c r="K740" s="158" t="s">
        <v>82</v>
      </c>
      <c r="L740" s="158" t="s">
        <v>82</v>
      </c>
      <c r="M740" s="173"/>
      <c r="N740" s="173"/>
      <c r="O740" s="173"/>
      <c r="P740" s="173"/>
      <c r="Q740" s="171" t="s">
        <v>75</v>
      </c>
      <c r="R740" s="173"/>
      <c r="S740" s="173"/>
      <c r="T740" s="173"/>
      <c r="U740" s="173"/>
      <c r="V740" s="173"/>
      <c r="W740" s="171" t="s">
        <v>75</v>
      </c>
      <c r="X740" s="173"/>
      <c r="Y740" s="173"/>
      <c r="Z740" s="173"/>
      <c r="AA740" s="183" t="s">
        <v>82</v>
      </c>
      <c r="AB740" s="158" t="s">
        <v>82</v>
      </c>
      <c r="AC740" s="173"/>
      <c r="AD740" s="173"/>
      <c r="AE740" s="120"/>
    </row>
    <row r="741" spans="1:31" ht="23.4" x14ac:dyDescent="0.25">
      <c r="A741" s="126" t="s">
        <v>82</v>
      </c>
      <c r="B741" s="182">
        <v>37592</v>
      </c>
      <c r="C741" s="185" t="s">
        <v>64</v>
      </c>
      <c r="D741" s="156" t="s">
        <v>2090</v>
      </c>
      <c r="E741" s="177" t="s">
        <v>1928</v>
      </c>
      <c r="F741" s="158" t="s">
        <v>82</v>
      </c>
      <c r="G741" s="158" t="s">
        <v>14</v>
      </c>
      <c r="H741" s="158" t="s">
        <v>82</v>
      </c>
      <c r="I741" s="158">
        <v>1030</v>
      </c>
      <c r="J741" s="158" t="s">
        <v>58</v>
      </c>
      <c r="K741" s="165" t="s">
        <v>59</v>
      </c>
      <c r="L741" s="159" t="s">
        <v>75</v>
      </c>
      <c r="M741" s="159" t="s">
        <v>60</v>
      </c>
      <c r="N741" s="159" t="s">
        <v>75</v>
      </c>
      <c r="O741" s="153"/>
      <c r="P741" s="153"/>
      <c r="Q741" s="171" t="s">
        <v>75</v>
      </c>
      <c r="R741" s="153"/>
      <c r="S741" s="153"/>
      <c r="T741" s="153"/>
      <c r="U741" s="153"/>
      <c r="V741" s="153"/>
      <c r="W741" s="171" t="s">
        <v>75</v>
      </c>
      <c r="X741" s="153"/>
      <c r="Y741" s="153"/>
      <c r="Z741" s="153"/>
      <c r="AA741" s="183" t="s">
        <v>82</v>
      </c>
      <c r="AB741" s="158" t="s">
        <v>82</v>
      </c>
      <c r="AC741" s="153"/>
      <c r="AD741" s="153"/>
      <c r="AE741" s="120"/>
    </row>
    <row r="742" spans="1:31" ht="22.8" x14ac:dyDescent="0.25">
      <c r="A742" s="28"/>
      <c r="B742" s="20">
        <v>30593</v>
      </c>
      <c r="C742" s="27" t="s">
        <v>64</v>
      </c>
      <c r="D742" s="3" t="s">
        <v>2091</v>
      </c>
      <c r="E742" s="20" t="s">
        <v>2092</v>
      </c>
      <c r="F742" s="29" t="s">
        <v>2093</v>
      </c>
      <c r="G742" s="29" t="s">
        <v>15</v>
      </c>
      <c r="H742" s="19">
        <v>43038</v>
      </c>
      <c r="I742" s="3">
        <v>94</v>
      </c>
      <c r="J742" s="3" t="s">
        <v>58</v>
      </c>
      <c r="K742" s="37" t="s">
        <v>59</v>
      </c>
      <c r="L742" s="33" t="s">
        <v>63</v>
      </c>
      <c r="M742" s="41" t="s">
        <v>60</v>
      </c>
      <c r="N742" s="33" t="s">
        <v>63</v>
      </c>
      <c r="O742" s="33">
        <v>44070</v>
      </c>
      <c r="P742" s="33"/>
      <c r="Q742" s="37" t="s">
        <v>68</v>
      </c>
      <c r="R742" s="37" t="s">
        <v>68</v>
      </c>
      <c r="S742" s="16"/>
      <c r="T742" s="16"/>
      <c r="U742" s="16"/>
      <c r="V742" s="37" t="s">
        <v>68</v>
      </c>
      <c r="W742" s="37" t="s">
        <v>68</v>
      </c>
      <c r="X742" s="16"/>
      <c r="Y742" s="16"/>
      <c r="Z742" s="16"/>
      <c r="AA742" s="16"/>
      <c r="AB742" s="24"/>
      <c r="AC742" s="24"/>
      <c r="AD742" s="16"/>
    </row>
    <row r="743" spans="1:31" ht="22.8" x14ac:dyDescent="0.25">
      <c r="A743" s="28"/>
      <c r="B743" s="20">
        <v>30593</v>
      </c>
      <c r="C743" s="27" t="s">
        <v>54</v>
      </c>
      <c r="D743" s="3" t="s">
        <v>2094</v>
      </c>
      <c r="E743" s="20" t="s">
        <v>2092</v>
      </c>
      <c r="F743" s="29" t="s">
        <v>2093</v>
      </c>
      <c r="G743" s="29" t="s">
        <v>15</v>
      </c>
      <c r="H743" s="19">
        <v>43038</v>
      </c>
      <c r="I743" s="3">
        <v>95</v>
      </c>
      <c r="J743" s="3" t="s">
        <v>58</v>
      </c>
      <c r="K743" s="37" t="s">
        <v>59</v>
      </c>
      <c r="L743" s="33" t="s">
        <v>63</v>
      </c>
      <c r="M743" s="16" t="s">
        <v>60</v>
      </c>
      <c r="N743" s="33" t="s">
        <v>63</v>
      </c>
      <c r="O743" s="33">
        <v>44070</v>
      </c>
      <c r="P743" s="33"/>
      <c r="Q743" s="37" t="s">
        <v>62</v>
      </c>
      <c r="R743" s="37" t="s">
        <v>62</v>
      </c>
      <c r="S743" s="16"/>
      <c r="T743" s="16"/>
      <c r="U743" s="16"/>
      <c r="V743" s="37" t="s">
        <v>62</v>
      </c>
      <c r="W743" s="37" t="s">
        <v>62</v>
      </c>
      <c r="X743" s="16"/>
      <c r="Y743" s="16"/>
      <c r="Z743" s="16"/>
      <c r="AA743" s="16"/>
      <c r="AB743" s="24"/>
      <c r="AC743" s="24"/>
      <c r="AD743" s="16"/>
    </row>
    <row r="744" spans="1:31" ht="22.8" x14ac:dyDescent="0.25">
      <c r="A744" s="28"/>
      <c r="B744" s="20">
        <v>30616</v>
      </c>
      <c r="C744" s="27" t="s">
        <v>64</v>
      </c>
      <c r="D744" s="3" t="s">
        <v>2095</v>
      </c>
      <c r="E744" s="20" t="s">
        <v>2092</v>
      </c>
      <c r="F744" s="29" t="s">
        <v>2093</v>
      </c>
      <c r="G744" s="29" t="s">
        <v>15</v>
      </c>
      <c r="H744" s="19">
        <v>43080</v>
      </c>
      <c r="I744" s="3">
        <v>103</v>
      </c>
      <c r="J744" s="3" t="s">
        <v>58</v>
      </c>
      <c r="K744" s="37" t="s">
        <v>59</v>
      </c>
      <c r="L744" s="33">
        <v>44359</v>
      </c>
      <c r="M744" s="16" t="s">
        <v>60</v>
      </c>
      <c r="N744" s="33" t="s">
        <v>63</v>
      </c>
      <c r="O744" s="33">
        <v>44050</v>
      </c>
      <c r="P744" s="33"/>
      <c r="Q744" s="16"/>
      <c r="R744" s="37" t="s">
        <v>68</v>
      </c>
      <c r="S744" s="37" t="s">
        <v>68</v>
      </c>
      <c r="T744" s="16" t="s">
        <v>206</v>
      </c>
      <c r="U744" s="16"/>
      <c r="V744" s="16"/>
      <c r="W744" s="37" t="s">
        <v>68</v>
      </c>
      <c r="X744" s="37" t="s">
        <v>68</v>
      </c>
      <c r="Y744" s="16"/>
      <c r="Z744" s="16"/>
      <c r="AA744" s="16"/>
      <c r="AB744" s="24"/>
      <c r="AC744" s="24"/>
      <c r="AD744" s="33">
        <v>44687</v>
      </c>
    </row>
    <row r="745" spans="1:31" ht="22.8" x14ac:dyDescent="0.25">
      <c r="A745" s="28"/>
      <c r="B745" s="20">
        <v>30616</v>
      </c>
      <c r="C745" s="27" t="s">
        <v>54</v>
      </c>
      <c r="D745" s="3" t="s">
        <v>2096</v>
      </c>
      <c r="E745" s="20" t="s">
        <v>2092</v>
      </c>
      <c r="F745" s="29" t="s">
        <v>2093</v>
      </c>
      <c r="G745" s="29" t="s">
        <v>15</v>
      </c>
      <c r="H745" s="19">
        <v>43080</v>
      </c>
      <c r="I745" s="3">
        <v>111</v>
      </c>
      <c r="J745" s="3" t="s">
        <v>58</v>
      </c>
      <c r="K745" s="37" t="s">
        <v>59</v>
      </c>
      <c r="L745" s="33">
        <v>44359</v>
      </c>
      <c r="M745" s="16" t="s">
        <v>60</v>
      </c>
      <c r="N745" s="33" t="s">
        <v>63</v>
      </c>
      <c r="O745" s="33">
        <v>44050</v>
      </c>
      <c r="P745" s="33"/>
      <c r="Q745" s="16"/>
      <c r="R745" s="37" t="s">
        <v>62</v>
      </c>
      <c r="S745" s="37" t="s">
        <v>62</v>
      </c>
      <c r="T745" s="16" t="s">
        <v>206</v>
      </c>
      <c r="U745" s="16"/>
      <c r="V745" s="16"/>
      <c r="W745" s="37" t="s">
        <v>62</v>
      </c>
      <c r="X745" s="37" t="s">
        <v>62</v>
      </c>
      <c r="Y745" s="16"/>
      <c r="Z745" s="16"/>
      <c r="AA745" s="16"/>
      <c r="AB745" s="24"/>
      <c r="AC745" s="24"/>
      <c r="AD745" s="33">
        <v>44687</v>
      </c>
    </row>
    <row r="746" spans="1:31" ht="22.8" x14ac:dyDescent="0.25">
      <c r="A746" s="28"/>
      <c r="B746" s="20">
        <v>30619</v>
      </c>
      <c r="C746" s="27" t="s">
        <v>64</v>
      </c>
      <c r="D746" s="3" t="s">
        <v>2097</v>
      </c>
      <c r="E746" s="20" t="s">
        <v>2092</v>
      </c>
      <c r="F746" s="29" t="s">
        <v>2093</v>
      </c>
      <c r="G746" s="29" t="s">
        <v>15</v>
      </c>
      <c r="H746" s="19">
        <v>43078</v>
      </c>
      <c r="I746" s="3">
        <v>117</v>
      </c>
      <c r="J746" s="3" t="s">
        <v>58</v>
      </c>
      <c r="K746" s="37" t="s">
        <v>59</v>
      </c>
      <c r="L746" s="33" t="s">
        <v>63</v>
      </c>
      <c r="M746" s="16" t="s">
        <v>60</v>
      </c>
      <c r="N746" s="33">
        <v>44400</v>
      </c>
      <c r="O746" s="33">
        <v>43994</v>
      </c>
      <c r="P746" s="33"/>
      <c r="Q746" s="16"/>
      <c r="R746" s="37" t="s">
        <v>68</v>
      </c>
      <c r="S746" s="37" t="s">
        <v>68</v>
      </c>
      <c r="T746" s="16" t="s">
        <v>206</v>
      </c>
      <c r="U746" s="16"/>
      <c r="V746" s="16"/>
      <c r="W746" s="16" t="s">
        <v>68</v>
      </c>
      <c r="X746" s="16"/>
      <c r="Y746" s="16"/>
      <c r="Z746" s="16"/>
      <c r="AA746" s="16"/>
      <c r="AB746" s="24"/>
      <c r="AC746" s="24"/>
      <c r="AD746" s="33">
        <v>44692</v>
      </c>
    </row>
    <row r="747" spans="1:31" ht="22.8" x14ac:dyDescent="0.25">
      <c r="A747" s="28"/>
      <c r="B747" s="20">
        <v>30619</v>
      </c>
      <c r="C747" s="27" t="s">
        <v>54</v>
      </c>
      <c r="D747" s="3" t="s">
        <v>2098</v>
      </c>
      <c r="E747" s="20" t="s">
        <v>2092</v>
      </c>
      <c r="F747" s="29" t="s">
        <v>2093</v>
      </c>
      <c r="G747" s="29" t="s">
        <v>15</v>
      </c>
      <c r="H747" s="19">
        <v>43078</v>
      </c>
      <c r="I747" s="3">
        <v>154</v>
      </c>
      <c r="J747" s="3" t="s">
        <v>58</v>
      </c>
      <c r="K747" s="37" t="s">
        <v>59</v>
      </c>
      <c r="L747" s="33" t="s">
        <v>63</v>
      </c>
      <c r="M747" s="16" t="s">
        <v>60</v>
      </c>
      <c r="N747" s="33">
        <v>44400</v>
      </c>
      <c r="O747" s="33">
        <v>43994</v>
      </c>
      <c r="P747" s="33"/>
      <c r="Q747" s="16"/>
      <c r="R747" s="37" t="s">
        <v>62</v>
      </c>
      <c r="S747" s="37" t="s">
        <v>62</v>
      </c>
      <c r="T747" s="16" t="s">
        <v>206</v>
      </c>
      <c r="U747" s="16"/>
      <c r="V747" s="16"/>
      <c r="W747" s="16" t="s">
        <v>62</v>
      </c>
      <c r="X747" s="16"/>
      <c r="Y747" s="16"/>
      <c r="Z747" s="16"/>
      <c r="AA747" s="16"/>
      <c r="AB747" s="24"/>
      <c r="AC747" s="24"/>
      <c r="AD747" s="33">
        <v>44692</v>
      </c>
    </row>
    <row r="748" spans="1:31" ht="22.8" x14ac:dyDescent="0.25">
      <c r="A748" s="28"/>
      <c r="B748" s="20">
        <v>37002</v>
      </c>
      <c r="C748" s="27" t="s">
        <v>64</v>
      </c>
      <c r="D748" s="3" t="s">
        <v>2099</v>
      </c>
      <c r="E748" s="20" t="s">
        <v>2092</v>
      </c>
      <c r="F748" s="29" t="s">
        <v>2093</v>
      </c>
      <c r="G748" s="29" t="s">
        <v>15</v>
      </c>
      <c r="H748" s="49">
        <v>43251</v>
      </c>
      <c r="I748" s="3">
        <v>174</v>
      </c>
      <c r="J748" s="3" t="s">
        <v>58</v>
      </c>
      <c r="K748" s="37" t="s">
        <v>59</v>
      </c>
      <c r="L748" s="33">
        <v>44322</v>
      </c>
      <c r="M748" s="16" t="s">
        <v>60</v>
      </c>
      <c r="N748" s="33">
        <v>44183</v>
      </c>
      <c r="O748" s="33">
        <v>44053</v>
      </c>
      <c r="P748" s="33"/>
      <c r="Q748" s="16"/>
      <c r="R748" s="37" t="s">
        <v>68</v>
      </c>
      <c r="S748" s="16"/>
      <c r="T748" s="16"/>
      <c r="U748" s="16"/>
      <c r="V748" s="16"/>
      <c r="W748" s="37" t="s">
        <v>68</v>
      </c>
      <c r="X748" s="16"/>
      <c r="Y748" s="16"/>
      <c r="Z748" s="16"/>
      <c r="AA748" s="16"/>
      <c r="AB748" s="24"/>
      <c r="AC748" s="24"/>
      <c r="AD748" s="16"/>
    </row>
    <row r="749" spans="1:31" ht="22.8" x14ac:dyDescent="0.25">
      <c r="A749" s="28"/>
      <c r="B749" s="20">
        <v>37002</v>
      </c>
      <c r="C749" s="27" t="s">
        <v>54</v>
      </c>
      <c r="D749" s="3" t="s">
        <v>2100</v>
      </c>
      <c r="E749" s="20" t="s">
        <v>2092</v>
      </c>
      <c r="F749" s="29" t="s">
        <v>2093</v>
      </c>
      <c r="G749" s="29" t="s">
        <v>15</v>
      </c>
      <c r="H749" s="49">
        <v>43251</v>
      </c>
      <c r="I749" s="3">
        <v>175</v>
      </c>
      <c r="J749" s="3" t="s">
        <v>58</v>
      </c>
      <c r="K749" s="37" t="s">
        <v>59</v>
      </c>
      <c r="L749" s="33">
        <v>44322</v>
      </c>
      <c r="M749" s="16" t="s">
        <v>60</v>
      </c>
      <c r="N749" s="33">
        <v>44183</v>
      </c>
      <c r="O749" s="33">
        <v>44053</v>
      </c>
      <c r="P749" s="33"/>
      <c r="Q749" s="16"/>
      <c r="R749" s="37" t="s">
        <v>62</v>
      </c>
      <c r="S749" s="16"/>
      <c r="T749" s="16"/>
      <c r="U749" s="16"/>
      <c r="V749" s="16"/>
      <c r="W749" s="37" t="s">
        <v>62</v>
      </c>
      <c r="X749" s="16"/>
      <c r="Y749" s="16"/>
      <c r="Z749" s="16"/>
      <c r="AA749" s="16"/>
      <c r="AB749" s="24"/>
      <c r="AC749" s="24"/>
      <c r="AD749" s="16"/>
    </row>
    <row r="750" spans="1:31" ht="22.8" x14ac:dyDescent="0.25">
      <c r="A750" s="28"/>
      <c r="B750" s="20">
        <v>37006</v>
      </c>
      <c r="C750" s="27" t="s">
        <v>64</v>
      </c>
      <c r="D750" s="3" t="s">
        <v>2101</v>
      </c>
      <c r="E750" s="20" t="s">
        <v>2092</v>
      </c>
      <c r="F750" s="29" t="s">
        <v>2093</v>
      </c>
      <c r="G750" s="29" t="s">
        <v>15</v>
      </c>
      <c r="H750" s="49">
        <v>43280</v>
      </c>
      <c r="I750" s="3">
        <v>184</v>
      </c>
      <c r="J750" s="3" t="s">
        <v>58</v>
      </c>
      <c r="K750" s="37" t="s">
        <v>59</v>
      </c>
      <c r="L750" s="33">
        <v>44417</v>
      </c>
      <c r="M750" s="16" t="s">
        <v>60</v>
      </c>
      <c r="N750" s="33">
        <v>44200</v>
      </c>
      <c r="O750" s="33">
        <v>44200</v>
      </c>
      <c r="P750" s="33"/>
      <c r="Q750" s="16"/>
      <c r="R750" s="37" t="s">
        <v>68</v>
      </c>
      <c r="S750" s="16"/>
      <c r="T750" s="16"/>
      <c r="U750" s="37" t="s">
        <v>68</v>
      </c>
      <c r="V750" s="16"/>
      <c r="W750" s="37" t="s">
        <v>68</v>
      </c>
      <c r="X750" s="37" t="s">
        <v>68</v>
      </c>
      <c r="Y750" s="16"/>
      <c r="Z750" s="16"/>
      <c r="AA750" s="16"/>
      <c r="AB750" s="24"/>
      <c r="AC750" s="24"/>
      <c r="AD750" s="16"/>
    </row>
    <row r="751" spans="1:31" ht="22.8" x14ac:dyDescent="0.25">
      <c r="A751" s="28"/>
      <c r="B751" s="20">
        <v>37006</v>
      </c>
      <c r="C751" s="27" t="s">
        <v>54</v>
      </c>
      <c r="D751" s="3" t="s">
        <v>2102</v>
      </c>
      <c r="E751" s="20" t="s">
        <v>2092</v>
      </c>
      <c r="F751" s="29" t="s">
        <v>2093</v>
      </c>
      <c r="G751" s="29" t="s">
        <v>15</v>
      </c>
      <c r="H751" s="49">
        <v>43280</v>
      </c>
      <c r="I751" s="3">
        <v>185</v>
      </c>
      <c r="J751" s="3" t="s">
        <v>58</v>
      </c>
      <c r="K751" s="37" t="s">
        <v>59</v>
      </c>
      <c r="L751" s="33">
        <v>44417</v>
      </c>
      <c r="M751" s="16" t="s">
        <v>60</v>
      </c>
      <c r="N751" s="33">
        <v>44200</v>
      </c>
      <c r="O751" s="33">
        <v>44200</v>
      </c>
      <c r="P751" s="33"/>
      <c r="Q751" s="16"/>
      <c r="R751" s="37" t="s">
        <v>62</v>
      </c>
      <c r="S751" s="16"/>
      <c r="T751" s="16"/>
      <c r="U751" s="37" t="s">
        <v>62</v>
      </c>
      <c r="V751" s="16"/>
      <c r="W751" s="37" t="s">
        <v>62</v>
      </c>
      <c r="X751" s="37" t="s">
        <v>62</v>
      </c>
      <c r="Y751" s="16"/>
      <c r="Z751" s="16"/>
      <c r="AA751" s="16"/>
      <c r="AB751" s="24"/>
      <c r="AC751" s="24"/>
      <c r="AD751" s="16"/>
    </row>
    <row r="752" spans="1:31" ht="22.8" x14ac:dyDescent="0.25">
      <c r="A752" s="28"/>
      <c r="B752" s="20">
        <v>37021</v>
      </c>
      <c r="C752" s="27" t="s">
        <v>64</v>
      </c>
      <c r="D752" s="3" t="s">
        <v>2103</v>
      </c>
      <c r="E752" s="20" t="s">
        <v>2092</v>
      </c>
      <c r="F752" s="29" t="s">
        <v>2093</v>
      </c>
      <c r="G752" s="29" t="s">
        <v>15</v>
      </c>
      <c r="H752" s="49">
        <v>43357</v>
      </c>
      <c r="I752" s="3">
        <v>176</v>
      </c>
      <c r="J752" s="3" t="s">
        <v>58</v>
      </c>
      <c r="K752" s="37" t="s">
        <v>59</v>
      </c>
      <c r="L752" s="33" t="s">
        <v>63</v>
      </c>
      <c r="M752" s="16" t="s">
        <v>60</v>
      </c>
      <c r="N752" s="33">
        <v>44175</v>
      </c>
      <c r="O752" s="33">
        <v>44117</v>
      </c>
      <c r="P752" s="33"/>
      <c r="Q752" s="16"/>
      <c r="R752" s="37" t="s">
        <v>68</v>
      </c>
      <c r="S752" s="37" t="s">
        <v>68</v>
      </c>
      <c r="T752" s="16"/>
      <c r="U752" s="16"/>
      <c r="V752" s="16"/>
      <c r="W752" s="37" t="s">
        <v>68</v>
      </c>
      <c r="X752" s="37" t="s">
        <v>68</v>
      </c>
      <c r="Y752" s="16"/>
      <c r="Z752" s="16"/>
      <c r="AA752" s="16"/>
      <c r="AB752" s="24"/>
      <c r="AC752" s="24"/>
      <c r="AD752" s="16"/>
    </row>
    <row r="753" spans="1:30" ht="22.8" x14ac:dyDescent="0.25">
      <c r="A753" s="28"/>
      <c r="B753" s="20">
        <v>37021</v>
      </c>
      <c r="C753" s="27" t="s">
        <v>54</v>
      </c>
      <c r="D753" s="3" t="s">
        <v>2104</v>
      </c>
      <c r="E753" s="20" t="s">
        <v>2092</v>
      </c>
      <c r="F753" s="29" t="s">
        <v>2093</v>
      </c>
      <c r="G753" s="29" t="s">
        <v>15</v>
      </c>
      <c r="H753" s="49">
        <v>43357</v>
      </c>
      <c r="I753" s="3">
        <v>177</v>
      </c>
      <c r="J753" s="3" t="s">
        <v>58</v>
      </c>
      <c r="K753" s="37" t="s">
        <v>59</v>
      </c>
      <c r="L753" s="33">
        <v>44331</v>
      </c>
      <c r="M753" s="16" t="s">
        <v>60</v>
      </c>
      <c r="N753" s="33">
        <v>44175</v>
      </c>
      <c r="O753" s="33">
        <v>44117</v>
      </c>
      <c r="P753" s="33"/>
      <c r="Q753" s="16"/>
      <c r="R753" s="37" t="s">
        <v>62</v>
      </c>
      <c r="S753" s="37" t="s">
        <v>62</v>
      </c>
      <c r="T753" s="16"/>
      <c r="U753" s="16"/>
      <c r="V753" s="16"/>
      <c r="W753" s="37" t="s">
        <v>62</v>
      </c>
      <c r="X753" s="37" t="s">
        <v>62</v>
      </c>
      <c r="Y753" s="16"/>
      <c r="Z753" s="16"/>
      <c r="AA753" s="16"/>
      <c r="AB753" s="24"/>
      <c r="AC753" s="24"/>
      <c r="AD753" s="16"/>
    </row>
    <row r="754" spans="1:30" x14ac:dyDescent="0.25">
      <c r="A754" s="28"/>
      <c r="B754" s="20">
        <v>37022</v>
      </c>
      <c r="C754" s="27" t="s">
        <v>64</v>
      </c>
      <c r="D754" s="3" t="s">
        <v>2105</v>
      </c>
      <c r="E754" s="20" t="s">
        <v>2092</v>
      </c>
      <c r="F754" s="29" t="s">
        <v>2093</v>
      </c>
      <c r="G754" s="29" t="s">
        <v>15</v>
      </c>
      <c r="H754" s="49">
        <v>43363</v>
      </c>
      <c r="I754" s="3">
        <v>170</v>
      </c>
      <c r="J754" s="3" t="s">
        <v>58</v>
      </c>
      <c r="K754" s="16" t="s">
        <v>680</v>
      </c>
      <c r="L754" s="33">
        <v>44375</v>
      </c>
      <c r="M754" s="16" t="s">
        <v>60</v>
      </c>
      <c r="N754" s="33">
        <v>44236</v>
      </c>
      <c r="O754" s="33">
        <v>44063</v>
      </c>
      <c r="P754" s="33"/>
      <c r="Q754" s="16"/>
      <c r="R754" s="37" t="s">
        <v>68</v>
      </c>
      <c r="S754" s="16"/>
      <c r="T754" s="16"/>
      <c r="U754" s="37"/>
      <c r="V754" s="16"/>
      <c r="W754" s="37" t="s">
        <v>68</v>
      </c>
      <c r="X754" s="16"/>
      <c r="Y754" s="16"/>
      <c r="Z754" s="16"/>
      <c r="AA754" s="16"/>
      <c r="AB754" s="24"/>
      <c r="AC754" s="24"/>
      <c r="AD754" s="16"/>
    </row>
    <row r="755" spans="1:30" x14ac:dyDescent="0.25">
      <c r="A755" s="28"/>
      <c r="B755" s="20">
        <v>37022</v>
      </c>
      <c r="C755" s="27" t="s">
        <v>54</v>
      </c>
      <c r="D755" s="3" t="s">
        <v>2106</v>
      </c>
      <c r="E755" s="20" t="s">
        <v>2092</v>
      </c>
      <c r="F755" s="29" t="s">
        <v>2093</v>
      </c>
      <c r="G755" s="29" t="s">
        <v>15</v>
      </c>
      <c r="H755" s="49">
        <v>43363</v>
      </c>
      <c r="I755" s="3">
        <v>171</v>
      </c>
      <c r="J755" s="3" t="s">
        <v>58</v>
      </c>
      <c r="K755" s="16" t="s">
        <v>680</v>
      </c>
      <c r="L755" s="33">
        <v>44375</v>
      </c>
      <c r="M755" s="16" t="s">
        <v>60</v>
      </c>
      <c r="N755" s="33">
        <v>44236</v>
      </c>
      <c r="O755" s="33">
        <v>44063</v>
      </c>
      <c r="P755" s="33"/>
      <c r="Q755" s="16"/>
      <c r="R755" s="37" t="s">
        <v>62</v>
      </c>
      <c r="S755" s="16"/>
      <c r="T755" s="16"/>
      <c r="U755" s="37"/>
      <c r="V755" s="16"/>
      <c r="W755" s="37" t="s">
        <v>62</v>
      </c>
      <c r="X755" s="16"/>
      <c r="Y755" s="16"/>
      <c r="Z755" s="16"/>
      <c r="AA755" s="16"/>
      <c r="AB755" s="24"/>
      <c r="AC755" s="24"/>
      <c r="AD755" s="16"/>
    </row>
    <row r="756" spans="1:30" ht="22.8" x14ac:dyDescent="0.25">
      <c r="A756" s="28"/>
      <c r="B756" s="20">
        <v>37027</v>
      </c>
      <c r="C756" s="27" t="s">
        <v>64</v>
      </c>
      <c r="D756" s="3" t="s">
        <v>2107</v>
      </c>
      <c r="E756" s="20" t="s">
        <v>2092</v>
      </c>
      <c r="F756" s="29" t="s">
        <v>2093</v>
      </c>
      <c r="G756" s="29" t="s">
        <v>15</v>
      </c>
      <c r="H756" s="49">
        <v>43369</v>
      </c>
      <c r="I756" s="3">
        <v>182</v>
      </c>
      <c r="J756" s="3" t="s">
        <v>58</v>
      </c>
      <c r="K756" s="37" t="s">
        <v>59</v>
      </c>
      <c r="L756" s="33" t="s">
        <v>63</v>
      </c>
      <c r="M756" s="16" t="s">
        <v>60</v>
      </c>
      <c r="N756" s="33">
        <v>44186</v>
      </c>
      <c r="O756" s="33">
        <v>44056</v>
      </c>
      <c r="P756" s="33"/>
      <c r="Q756" s="37" t="s">
        <v>68</v>
      </c>
      <c r="R756" s="37" t="s">
        <v>68</v>
      </c>
      <c r="S756" s="37" t="s">
        <v>68</v>
      </c>
      <c r="T756" s="37" t="s">
        <v>68</v>
      </c>
      <c r="U756" s="37" t="s">
        <v>68</v>
      </c>
      <c r="V756" s="16"/>
      <c r="W756" s="37" t="s">
        <v>68</v>
      </c>
      <c r="X756" s="37" t="s">
        <v>68</v>
      </c>
      <c r="Y756" s="16"/>
      <c r="Z756" s="16"/>
      <c r="AA756" s="16"/>
      <c r="AB756" s="24"/>
      <c r="AC756" s="24"/>
      <c r="AD756" s="16"/>
    </row>
    <row r="757" spans="1:30" ht="22.8" x14ac:dyDescent="0.25">
      <c r="A757" s="28"/>
      <c r="B757" s="20">
        <v>37027</v>
      </c>
      <c r="C757" s="27" t="s">
        <v>54</v>
      </c>
      <c r="D757" s="3" t="s">
        <v>2108</v>
      </c>
      <c r="E757" s="20" t="s">
        <v>2092</v>
      </c>
      <c r="F757" s="29" t="s">
        <v>2093</v>
      </c>
      <c r="G757" s="29" t="s">
        <v>15</v>
      </c>
      <c r="H757" s="49">
        <v>43369</v>
      </c>
      <c r="I757" s="3">
        <v>192</v>
      </c>
      <c r="J757" s="3" t="s">
        <v>58</v>
      </c>
      <c r="K757" s="37" t="s">
        <v>59</v>
      </c>
      <c r="L757" s="33">
        <v>44334</v>
      </c>
      <c r="M757" s="16" t="s">
        <v>60</v>
      </c>
      <c r="N757" s="33">
        <v>44186</v>
      </c>
      <c r="O757" s="33">
        <v>44056</v>
      </c>
      <c r="P757" s="33"/>
      <c r="Q757" s="37" t="s">
        <v>62</v>
      </c>
      <c r="R757" s="37" t="s">
        <v>62</v>
      </c>
      <c r="S757" s="37" t="s">
        <v>62</v>
      </c>
      <c r="T757" s="37" t="s">
        <v>62</v>
      </c>
      <c r="U757" s="37" t="s">
        <v>62</v>
      </c>
      <c r="V757" s="16"/>
      <c r="W757" s="37" t="s">
        <v>62</v>
      </c>
      <c r="X757" s="37" t="s">
        <v>62</v>
      </c>
      <c r="Y757" s="16"/>
      <c r="Z757" s="16"/>
      <c r="AA757" s="16"/>
      <c r="AB757" s="24"/>
      <c r="AC757" s="24"/>
      <c r="AD757" s="16"/>
    </row>
    <row r="758" spans="1:30" ht="22.8" x14ac:dyDescent="0.25">
      <c r="A758" s="28"/>
      <c r="B758" s="20">
        <v>37028</v>
      </c>
      <c r="C758" s="27" t="s">
        <v>64</v>
      </c>
      <c r="D758" s="3" t="s">
        <v>2109</v>
      </c>
      <c r="E758" s="20" t="s">
        <v>2092</v>
      </c>
      <c r="F758" s="29" t="s">
        <v>2093</v>
      </c>
      <c r="G758" s="29" t="s">
        <v>15</v>
      </c>
      <c r="H758" s="49">
        <v>43369</v>
      </c>
      <c r="I758" s="3">
        <v>187</v>
      </c>
      <c r="J758" s="3" t="s">
        <v>58</v>
      </c>
      <c r="K758" s="37" t="s">
        <v>59</v>
      </c>
      <c r="L758" s="33" t="s">
        <v>63</v>
      </c>
      <c r="M758" s="16" t="s">
        <v>60</v>
      </c>
      <c r="N758" s="33">
        <v>44206</v>
      </c>
      <c r="O758" s="33">
        <v>44206</v>
      </c>
      <c r="P758" s="33"/>
      <c r="Q758" s="16"/>
      <c r="R758" s="37" t="s">
        <v>68</v>
      </c>
      <c r="S758" s="37" t="s">
        <v>68</v>
      </c>
      <c r="T758" s="16"/>
      <c r="U758" s="16" t="s">
        <v>68</v>
      </c>
      <c r="V758" s="16"/>
      <c r="W758" s="16" t="s">
        <v>68</v>
      </c>
      <c r="X758" s="16"/>
      <c r="Y758" s="16"/>
      <c r="Z758" s="16"/>
      <c r="AA758" s="16"/>
      <c r="AB758" s="24"/>
      <c r="AC758" s="24"/>
      <c r="AD758" s="16"/>
    </row>
    <row r="759" spans="1:30" ht="22.8" x14ac:dyDescent="0.25">
      <c r="A759" s="28"/>
      <c r="B759" s="20">
        <v>37028</v>
      </c>
      <c r="C759" s="27" t="s">
        <v>54</v>
      </c>
      <c r="D759" s="3" t="s">
        <v>2110</v>
      </c>
      <c r="E759" s="20" t="s">
        <v>2092</v>
      </c>
      <c r="F759" s="29" t="s">
        <v>2093</v>
      </c>
      <c r="G759" s="29" t="s">
        <v>15</v>
      </c>
      <c r="H759" s="49">
        <v>43369</v>
      </c>
      <c r="I759" s="3">
        <v>188</v>
      </c>
      <c r="J759" s="3" t="s">
        <v>58</v>
      </c>
      <c r="K759" s="37" t="s">
        <v>59</v>
      </c>
      <c r="L759" s="33" t="s">
        <v>63</v>
      </c>
      <c r="M759" s="16" t="s">
        <v>60</v>
      </c>
      <c r="N759" s="33">
        <v>44206</v>
      </c>
      <c r="O759" s="33">
        <v>44206</v>
      </c>
      <c r="P759" s="33"/>
      <c r="Q759" s="16"/>
      <c r="R759" s="37" t="s">
        <v>62</v>
      </c>
      <c r="S759" s="37" t="s">
        <v>62</v>
      </c>
      <c r="T759" s="16"/>
      <c r="U759" s="16" t="s">
        <v>62</v>
      </c>
      <c r="V759" s="16"/>
      <c r="W759" s="16" t="s">
        <v>62</v>
      </c>
      <c r="X759" s="16"/>
      <c r="Y759" s="16"/>
      <c r="Z759" s="16"/>
      <c r="AA759" s="16"/>
      <c r="AB759" s="24"/>
      <c r="AC759" s="24"/>
      <c r="AD759" s="16"/>
    </row>
    <row r="760" spans="1:30" ht="22.8" x14ac:dyDescent="0.25">
      <c r="A760" s="28"/>
      <c r="B760" s="20">
        <v>37166</v>
      </c>
      <c r="C760" s="27" t="s">
        <v>64</v>
      </c>
      <c r="D760" s="3" t="s">
        <v>2111</v>
      </c>
      <c r="E760" s="20" t="s">
        <v>2092</v>
      </c>
      <c r="F760" s="29" t="s">
        <v>2093</v>
      </c>
      <c r="G760" s="29" t="s">
        <v>15</v>
      </c>
      <c r="H760" s="49">
        <v>43594</v>
      </c>
      <c r="I760" s="3">
        <v>445</v>
      </c>
      <c r="J760" s="3" t="s">
        <v>58</v>
      </c>
      <c r="K760" s="37" t="s">
        <v>59</v>
      </c>
      <c r="L760" s="33">
        <v>44418</v>
      </c>
      <c r="M760" s="16" t="s">
        <v>60</v>
      </c>
      <c r="N760" s="33">
        <v>44214</v>
      </c>
      <c r="O760" s="33">
        <v>44205</v>
      </c>
      <c r="P760" s="33"/>
      <c r="Q760" s="16"/>
      <c r="R760" s="37" t="s">
        <v>68</v>
      </c>
      <c r="S760" s="37" t="s">
        <v>68</v>
      </c>
      <c r="T760" s="16"/>
      <c r="U760" s="37" t="s">
        <v>68</v>
      </c>
      <c r="V760" s="16"/>
      <c r="W760" s="37" t="s">
        <v>68</v>
      </c>
      <c r="X760" s="37" t="s">
        <v>68</v>
      </c>
      <c r="Y760" s="16"/>
      <c r="Z760" s="16"/>
      <c r="AA760" s="16"/>
      <c r="AB760" s="24"/>
      <c r="AC760" s="24"/>
      <c r="AD760" s="16"/>
    </row>
    <row r="761" spans="1:30" ht="22.8" x14ac:dyDescent="0.25">
      <c r="A761" s="28"/>
      <c r="B761" s="20">
        <v>37166</v>
      </c>
      <c r="C761" s="27" t="s">
        <v>54</v>
      </c>
      <c r="D761" s="3" t="s">
        <v>2112</v>
      </c>
      <c r="E761" s="20" t="s">
        <v>2092</v>
      </c>
      <c r="F761" s="29" t="s">
        <v>2093</v>
      </c>
      <c r="G761" s="29" t="s">
        <v>15</v>
      </c>
      <c r="H761" s="49">
        <v>43594</v>
      </c>
      <c r="I761" s="3">
        <v>444</v>
      </c>
      <c r="J761" s="3" t="s">
        <v>58</v>
      </c>
      <c r="K761" s="37" t="s">
        <v>59</v>
      </c>
      <c r="L761" s="33">
        <v>44418</v>
      </c>
      <c r="M761" s="16" t="s">
        <v>60</v>
      </c>
      <c r="N761" s="33">
        <v>44214</v>
      </c>
      <c r="O761" s="33">
        <v>44205</v>
      </c>
      <c r="P761" s="33"/>
      <c r="Q761" s="16"/>
      <c r="R761" s="37" t="s">
        <v>62</v>
      </c>
      <c r="S761" s="37" t="s">
        <v>62</v>
      </c>
      <c r="T761" s="16"/>
      <c r="U761" s="16"/>
      <c r="V761" s="16"/>
      <c r="W761" s="37" t="s">
        <v>62</v>
      </c>
      <c r="X761" s="37" t="s">
        <v>62</v>
      </c>
      <c r="Y761" s="16"/>
      <c r="Z761" s="16"/>
      <c r="AA761" s="16"/>
      <c r="AB761" s="24"/>
      <c r="AC761" s="24"/>
      <c r="AD761" s="16"/>
    </row>
    <row r="762" spans="1:30" ht="22.8" x14ac:dyDescent="0.25">
      <c r="A762" s="28"/>
      <c r="B762" s="20">
        <v>37167</v>
      </c>
      <c r="C762" s="27" t="s">
        <v>64</v>
      </c>
      <c r="D762" s="3" t="s">
        <v>2113</v>
      </c>
      <c r="E762" s="20" t="s">
        <v>2092</v>
      </c>
      <c r="F762" s="29" t="s">
        <v>2093</v>
      </c>
      <c r="G762" s="29" t="s">
        <v>15</v>
      </c>
      <c r="H762" s="49">
        <v>43596</v>
      </c>
      <c r="I762" s="3">
        <v>437</v>
      </c>
      <c r="J762" s="3" t="s">
        <v>58</v>
      </c>
      <c r="K762" s="37" t="s">
        <v>59</v>
      </c>
      <c r="L762" s="33">
        <v>44334</v>
      </c>
      <c r="M762" s="16" t="s">
        <v>60</v>
      </c>
      <c r="N762" s="33">
        <v>44175</v>
      </c>
      <c r="O762" s="33">
        <v>44214</v>
      </c>
      <c r="P762" s="33"/>
      <c r="Q762" s="16"/>
      <c r="R762" s="16"/>
      <c r="S762" s="37" t="s">
        <v>68</v>
      </c>
      <c r="T762" s="16"/>
      <c r="U762" s="16"/>
      <c r="V762" s="16"/>
      <c r="W762" s="37" t="s">
        <v>68</v>
      </c>
      <c r="X762" s="16"/>
      <c r="Y762" s="16"/>
      <c r="Z762" s="16"/>
      <c r="AA762" s="16"/>
      <c r="AB762" s="24"/>
      <c r="AC762" s="24"/>
      <c r="AD762" s="16"/>
    </row>
    <row r="763" spans="1:30" ht="22.8" x14ac:dyDescent="0.25">
      <c r="A763" s="28"/>
      <c r="B763" s="20">
        <v>37167</v>
      </c>
      <c r="C763" s="27" t="s">
        <v>54</v>
      </c>
      <c r="D763" s="3" t="s">
        <v>2114</v>
      </c>
      <c r="E763" s="20" t="s">
        <v>2092</v>
      </c>
      <c r="F763" s="29" t="s">
        <v>2093</v>
      </c>
      <c r="G763" s="29" t="s">
        <v>15</v>
      </c>
      <c r="H763" s="49">
        <v>43596</v>
      </c>
      <c r="I763" s="3">
        <v>449</v>
      </c>
      <c r="J763" s="3" t="s">
        <v>58</v>
      </c>
      <c r="K763" s="37" t="s">
        <v>59</v>
      </c>
      <c r="L763" s="33">
        <v>44334</v>
      </c>
      <c r="M763" s="16" t="s">
        <v>60</v>
      </c>
      <c r="N763" s="33">
        <v>44175</v>
      </c>
      <c r="O763" s="33">
        <v>44214</v>
      </c>
      <c r="P763" s="33"/>
      <c r="Q763" s="16"/>
      <c r="R763" s="16"/>
      <c r="S763" s="37" t="s">
        <v>62</v>
      </c>
      <c r="T763" s="16"/>
      <c r="U763" s="16"/>
      <c r="V763" s="16"/>
      <c r="W763" s="37" t="s">
        <v>62</v>
      </c>
      <c r="X763" s="16"/>
      <c r="Y763" s="16"/>
      <c r="Z763" s="16"/>
      <c r="AA763" s="16"/>
      <c r="AB763" s="24"/>
      <c r="AC763" s="24"/>
      <c r="AD763" s="16"/>
    </row>
    <row r="764" spans="1:30" ht="22.8" x14ac:dyDescent="0.25">
      <c r="A764" s="28"/>
      <c r="B764" s="20">
        <v>37194</v>
      </c>
      <c r="C764" s="27" t="s">
        <v>64</v>
      </c>
      <c r="D764" s="3" t="s">
        <v>2115</v>
      </c>
      <c r="E764" s="20" t="s">
        <v>2092</v>
      </c>
      <c r="F764" s="29" t="s">
        <v>2093</v>
      </c>
      <c r="G764" s="29" t="s">
        <v>15</v>
      </c>
      <c r="H764" s="19">
        <v>43634</v>
      </c>
      <c r="I764" s="3">
        <v>463</v>
      </c>
      <c r="J764" s="3" t="s">
        <v>58</v>
      </c>
      <c r="K764" s="37" t="s">
        <v>59</v>
      </c>
      <c r="L764" s="33">
        <v>44194</v>
      </c>
      <c r="M764" s="16" t="s">
        <v>60</v>
      </c>
      <c r="N764" s="33">
        <v>44194</v>
      </c>
      <c r="O764" s="33">
        <v>44218</v>
      </c>
      <c r="P764" s="33"/>
      <c r="Q764" s="16"/>
      <c r="R764" s="37" t="s">
        <v>68</v>
      </c>
      <c r="S764" s="16"/>
      <c r="T764" s="16"/>
      <c r="U764" s="16" t="s">
        <v>68</v>
      </c>
      <c r="V764" s="16"/>
      <c r="W764" s="16" t="s">
        <v>68</v>
      </c>
      <c r="X764" s="16"/>
      <c r="Y764" s="16"/>
      <c r="Z764" s="16"/>
      <c r="AA764" s="16"/>
      <c r="AB764" s="24"/>
      <c r="AC764" s="24"/>
      <c r="AD764" s="16"/>
    </row>
    <row r="765" spans="1:30" ht="22.8" x14ac:dyDescent="0.25">
      <c r="A765" s="28"/>
      <c r="B765" s="20">
        <v>37194</v>
      </c>
      <c r="C765" s="27" t="s">
        <v>54</v>
      </c>
      <c r="D765" s="3" t="s">
        <v>2116</v>
      </c>
      <c r="E765" s="20" t="s">
        <v>2092</v>
      </c>
      <c r="F765" s="29" t="s">
        <v>2093</v>
      </c>
      <c r="G765" s="29" t="s">
        <v>15</v>
      </c>
      <c r="H765" s="19">
        <v>43634</v>
      </c>
      <c r="I765" s="3">
        <v>462</v>
      </c>
      <c r="J765" s="3" t="s">
        <v>58</v>
      </c>
      <c r="K765" s="37" t="s">
        <v>59</v>
      </c>
      <c r="L765" s="33">
        <v>44194</v>
      </c>
      <c r="M765" s="16" t="s">
        <v>60</v>
      </c>
      <c r="N765" s="33">
        <v>44194</v>
      </c>
      <c r="O765" s="33">
        <v>44218</v>
      </c>
      <c r="P765" s="33"/>
      <c r="Q765" s="16"/>
      <c r="R765" s="16"/>
      <c r="S765" s="16"/>
      <c r="T765" s="16"/>
      <c r="U765" s="16" t="s">
        <v>62</v>
      </c>
      <c r="V765" s="16"/>
      <c r="W765" s="16" t="s">
        <v>62</v>
      </c>
      <c r="X765" s="16"/>
      <c r="Y765" s="16"/>
      <c r="Z765" s="16"/>
      <c r="AA765" s="16"/>
      <c r="AB765" s="24"/>
      <c r="AC765" s="24"/>
      <c r="AD765" s="16"/>
    </row>
    <row r="766" spans="1:30" ht="22.8" x14ac:dyDescent="0.25">
      <c r="A766" s="28"/>
      <c r="B766" s="20">
        <v>37288</v>
      </c>
      <c r="C766" s="27" t="s">
        <v>64</v>
      </c>
      <c r="D766" s="3" t="s">
        <v>2117</v>
      </c>
      <c r="E766" s="20" t="s">
        <v>2092</v>
      </c>
      <c r="F766" s="29" t="s">
        <v>2093</v>
      </c>
      <c r="G766" s="29" t="s">
        <v>15</v>
      </c>
      <c r="H766" s="19">
        <v>43797</v>
      </c>
      <c r="I766" s="3">
        <v>548</v>
      </c>
      <c r="J766" s="3" t="s">
        <v>58</v>
      </c>
      <c r="K766" s="37" t="s">
        <v>59</v>
      </c>
      <c r="L766" s="33" t="s">
        <v>63</v>
      </c>
      <c r="M766" s="16" t="s">
        <v>60</v>
      </c>
      <c r="N766" s="33">
        <v>44183</v>
      </c>
      <c r="O766" s="33">
        <v>44183</v>
      </c>
      <c r="P766" s="33"/>
      <c r="Q766" s="16" t="s">
        <v>75</v>
      </c>
      <c r="R766" s="16" t="s">
        <v>68</v>
      </c>
      <c r="S766" s="16"/>
      <c r="T766" s="16"/>
      <c r="U766" s="16"/>
      <c r="V766" s="16"/>
      <c r="W766" s="37" t="s">
        <v>68</v>
      </c>
      <c r="X766" s="16"/>
      <c r="Y766" s="16"/>
      <c r="Z766" s="16"/>
      <c r="AA766" s="16"/>
      <c r="AB766" s="24"/>
      <c r="AC766" s="24"/>
      <c r="AD766" s="33">
        <v>44688</v>
      </c>
    </row>
    <row r="767" spans="1:30" ht="22.8" x14ac:dyDescent="0.25">
      <c r="A767" s="28"/>
      <c r="B767" s="20">
        <v>37288</v>
      </c>
      <c r="C767" s="27" t="s">
        <v>54</v>
      </c>
      <c r="D767" s="3" t="s">
        <v>2118</v>
      </c>
      <c r="E767" s="20" t="s">
        <v>2092</v>
      </c>
      <c r="F767" s="29" t="s">
        <v>2093</v>
      </c>
      <c r="G767" s="29" t="s">
        <v>15</v>
      </c>
      <c r="H767" s="19">
        <v>43797</v>
      </c>
      <c r="I767" s="3">
        <v>649</v>
      </c>
      <c r="J767" s="3" t="s">
        <v>58</v>
      </c>
      <c r="K767" s="37" t="s">
        <v>59</v>
      </c>
      <c r="L767" s="33" t="s">
        <v>63</v>
      </c>
      <c r="M767" s="16" t="s">
        <v>60</v>
      </c>
      <c r="N767" s="33">
        <v>44183</v>
      </c>
      <c r="O767" s="33">
        <v>44183</v>
      </c>
      <c r="P767" s="33"/>
      <c r="Q767" s="16" t="s">
        <v>75</v>
      </c>
      <c r="R767" s="16" t="s">
        <v>75</v>
      </c>
      <c r="S767" s="16"/>
      <c r="T767" s="16" t="s">
        <v>206</v>
      </c>
      <c r="U767" s="16"/>
      <c r="V767" s="16"/>
      <c r="W767" s="37" t="s">
        <v>62</v>
      </c>
      <c r="X767" s="16"/>
      <c r="Y767" s="16"/>
      <c r="Z767" s="16"/>
      <c r="AA767" s="16"/>
      <c r="AB767" s="24"/>
      <c r="AC767" s="24"/>
      <c r="AD767" s="33">
        <v>44688</v>
      </c>
    </row>
    <row r="768" spans="1:30" ht="22.8" x14ac:dyDescent="0.25">
      <c r="A768" s="28"/>
      <c r="B768" s="20">
        <v>37289</v>
      </c>
      <c r="C768" s="27" t="s">
        <v>64</v>
      </c>
      <c r="D768" s="3" t="s">
        <v>2119</v>
      </c>
      <c r="E768" s="20" t="s">
        <v>2092</v>
      </c>
      <c r="F768" s="29" t="s">
        <v>2093</v>
      </c>
      <c r="G768" s="29" t="s">
        <v>15</v>
      </c>
      <c r="H768" s="19">
        <v>43798</v>
      </c>
      <c r="I768" s="3">
        <v>549</v>
      </c>
      <c r="J768" s="3" t="s">
        <v>58</v>
      </c>
      <c r="K768" s="37" t="s">
        <v>59</v>
      </c>
      <c r="L768" s="33" t="s">
        <v>63</v>
      </c>
      <c r="M768" s="16" t="s">
        <v>60</v>
      </c>
      <c r="N768" s="33" t="s">
        <v>63</v>
      </c>
      <c r="O768" s="33">
        <v>44055</v>
      </c>
      <c r="P768" s="33"/>
      <c r="Q768" s="16" t="s">
        <v>75</v>
      </c>
      <c r="R768" s="16" t="s">
        <v>68</v>
      </c>
      <c r="S768" s="16"/>
      <c r="T768" s="16" t="s">
        <v>206</v>
      </c>
      <c r="U768" s="37" t="s">
        <v>68</v>
      </c>
      <c r="V768" s="16"/>
      <c r="W768" s="37" t="s">
        <v>68</v>
      </c>
      <c r="X768" s="16"/>
      <c r="Y768" s="16"/>
      <c r="Z768" s="16"/>
      <c r="AA768" s="16"/>
      <c r="AB768" s="24"/>
      <c r="AC768" s="24"/>
      <c r="AD768" s="16"/>
    </row>
    <row r="769" spans="1:30" ht="22.8" x14ac:dyDescent="0.25">
      <c r="A769" s="28"/>
      <c r="B769" s="20">
        <v>37289</v>
      </c>
      <c r="C769" s="27" t="s">
        <v>54</v>
      </c>
      <c r="D769" s="3" t="s">
        <v>2120</v>
      </c>
      <c r="E769" s="20" t="s">
        <v>2092</v>
      </c>
      <c r="F769" s="29" t="s">
        <v>2093</v>
      </c>
      <c r="G769" s="29" t="s">
        <v>15</v>
      </c>
      <c r="H769" s="19">
        <v>43798</v>
      </c>
      <c r="I769" s="3">
        <v>648</v>
      </c>
      <c r="J769" s="3" t="s">
        <v>58</v>
      </c>
      <c r="K769" s="37" t="s">
        <v>59</v>
      </c>
      <c r="L769" s="33" t="s">
        <v>63</v>
      </c>
      <c r="M769" s="16" t="s">
        <v>60</v>
      </c>
      <c r="N769" s="33" t="s">
        <v>63</v>
      </c>
      <c r="O769" s="33">
        <v>44055</v>
      </c>
      <c r="P769" s="33"/>
      <c r="Q769" s="16" t="s">
        <v>75</v>
      </c>
      <c r="R769" s="16" t="s">
        <v>75</v>
      </c>
      <c r="S769" s="16"/>
      <c r="T769" s="16"/>
      <c r="U769" s="37" t="s">
        <v>62</v>
      </c>
      <c r="V769" s="16"/>
      <c r="W769" s="37" t="s">
        <v>62</v>
      </c>
      <c r="X769" s="16"/>
      <c r="Y769" s="16"/>
      <c r="Z769" s="16"/>
      <c r="AA769" s="16"/>
      <c r="AB769" s="24"/>
      <c r="AC769" s="24"/>
      <c r="AD769" s="16"/>
    </row>
    <row r="770" spans="1:30" ht="22.8" x14ac:dyDescent="0.25">
      <c r="A770" s="28"/>
      <c r="B770" s="20">
        <v>37343</v>
      </c>
      <c r="C770" s="27" t="s">
        <v>64</v>
      </c>
      <c r="D770" s="3" t="s">
        <v>2121</v>
      </c>
      <c r="E770" s="20" t="s">
        <v>2092</v>
      </c>
      <c r="F770" s="29" t="s">
        <v>2093</v>
      </c>
      <c r="G770" s="29" t="s">
        <v>15</v>
      </c>
      <c r="H770" s="19">
        <v>43890</v>
      </c>
      <c r="I770" s="3">
        <v>708</v>
      </c>
      <c r="J770" s="3" t="s">
        <v>58</v>
      </c>
      <c r="K770" s="37" t="s">
        <v>59</v>
      </c>
      <c r="L770" s="33" t="s">
        <v>63</v>
      </c>
      <c r="M770" s="16" t="s">
        <v>60</v>
      </c>
      <c r="N770" s="33">
        <v>44176</v>
      </c>
      <c r="O770" s="33">
        <v>44177</v>
      </c>
      <c r="P770" s="33"/>
      <c r="Q770" s="16" t="s">
        <v>75</v>
      </c>
      <c r="R770" s="16" t="s">
        <v>75</v>
      </c>
      <c r="S770" s="16" t="s">
        <v>68</v>
      </c>
      <c r="T770" s="16"/>
      <c r="U770" s="16"/>
      <c r="V770" s="16"/>
      <c r="W770" s="37" t="s">
        <v>68</v>
      </c>
      <c r="X770" s="16"/>
      <c r="Y770" s="16"/>
      <c r="Z770" s="16"/>
      <c r="AA770" s="16"/>
      <c r="AB770" s="24"/>
      <c r="AC770" s="24"/>
      <c r="AD770" s="16"/>
    </row>
    <row r="771" spans="1:30" ht="22.8" x14ac:dyDescent="0.25">
      <c r="A771" s="28"/>
      <c r="B771" s="20">
        <v>37343</v>
      </c>
      <c r="C771" s="27" t="s">
        <v>54</v>
      </c>
      <c r="D771" s="3" t="s">
        <v>2122</v>
      </c>
      <c r="E771" s="20" t="s">
        <v>2092</v>
      </c>
      <c r="F771" s="29" t="s">
        <v>2093</v>
      </c>
      <c r="G771" s="29" t="s">
        <v>15</v>
      </c>
      <c r="H771" s="19">
        <v>43890</v>
      </c>
      <c r="I771" s="3">
        <v>707</v>
      </c>
      <c r="J771" s="3" t="s">
        <v>58</v>
      </c>
      <c r="K771" s="37" t="s">
        <v>59</v>
      </c>
      <c r="L771" s="33" t="s">
        <v>63</v>
      </c>
      <c r="M771" s="16" t="s">
        <v>60</v>
      </c>
      <c r="N771" s="33">
        <v>44176</v>
      </c>
      <c r="O771" s="33">
        <v>44177</v>
      </c>
      <c r="P771" s="33"/>
      <c r="Q771" s="16" t="s">
        <v>75</v>
      </c>
      <c r="R771" s="16" t="s">
        <v>75</v>
      </c>
      <c r="S771" s="16" t="s">
        <v>62</v>
      </c>
      <c r="T771" s="16"/>
      <c r="U771" s="16"/>
      <c r="V771" s="16"/>
      <c r="W771" s="37" t="s">
        <v>62</v>
      </c>
      <c r="X771" s="16"/>
      <c r="Y771" s="16"/>
      <c r="Z771" s="16"/>
      <c r="AA771" s="16"/>
      <c r="AB771" s="24"/>
      <c r="AC771" s="24"/>
      <c r="AD771" s="16"/>
    </row>
    <row r="772" spans="1:30" ht="22.8" x14ac:dyDescent="0.25">
      <c r="A772" s="28"/>
      <c r="B772" s="20">
        <v>37345</v>
      </c>
      <c r="C772" s="27" t="s">
        <v>64</v>
      </c>
      <c r="D772" s="3" t="s">
        <v>2123</v>
      </c>
      <c r="E772" s="20" t="s">
        <v>2092</v>
      </c>
      <c r="F772" s="29" t="s">
        <v>2093</v>
      </c>
      <c r="G772" s="29" t="s">
        <v>15</v>
      </c>
      <c r="H772" s="19">
        <v>43895</v>
      </c>
      <c r="I772" s="3">
        <v>686</v>
      </c>
      <c r="J772" s="3" t="s">
        <v>58</v>
      </c>
      <c r="K772" s="37" t="s">
        <v>59</v>
      </c>
      <c r="L772" s="33">
        <v>44345</v>
      </c>
      <c r="M772" s="16" t="s">
        <v>60</v>
      </c>
      <c r="N772" s="33">
        <v>44182</v>
      </c>
      <c r="O772" s="33"/>
      <c r="P772" s="33"/>
      <c r="Q772" s="16" t="s">
        <v>75</v>
      </c>
      <c r="R772" s="16" t="s">
        <v>75</v>
      </c>
      <c r="S772" s="16" t="s">
        <v>68</v>
      </c>
      <c r="T772" s="16"/>
      <c r="U772" s="16"/>
      <c r="V772" s="16"/>
      <c r="W772" s="16" t="s">
        <v>68</v>
      </c>
      <c r="X772" s="16"/>
      <c r="Y772" s="16"/>
      <c r="Z772" s="16"/>
      <c r="AA772" s="16"/>
      <c r="AB772" s="24"/>
      <c r="AC772" s="24"/>
      <c r="AD772" s="16"/>
    </row>
    <row r="773" spans="1:30" ht="22.8" x14ac:dyDescent="0.25">
      <c r="A773" s="28"/>
      <c r="B773" s="20">
        <v>37345</v>
      </c>
      <c r="C773" s="27" t="s">
        <v>54</v>
      </c>
      <c r="D773" s="3" t="s">
        <v>2124</v>
      </c>
      <c r="E773" s="20" t="s">
        <v>2092</v>
      </c>
      <c r="F773" s="29" t="s">
        <v>2093</v>
      </c>
      <c r="G773" s="29" t="s">
        <v>15</v>
      </c>
      <c r="H773" s="19">
        <v>43895</v>
      </c>
      <c r="I773" s="3">
        <v>563</v>
      </c>
      <c r="J773" s="3" t="s">
        <v>58</v>
      </c>
      <c r="K773" s="37" t="s">
        <v>59</v>
      </c>
      <c r="L773" s="33">
        <v>44345</v>
      </c>
      <c r="M773" s="16" t="s">
        <v>60</v>
      </c>
      <c r="N773" s="33">
        <v>44182</v>
      </c>
      <c r="O773" s="33"/>
      <c r="P773" s="33"/>
      <c r="Q773" s="16" t="s">
        <v>75</v>
      </c>
      <c r="R773" s="16" t="s">
        <v>75</v>
      </c>
      <c r="S773" s="16" t="s">
        <v>62</v>
      </c>
      <c r="T773" s="16"/>
      <c r="U773" s="16"/>
      <c r="V773" s="16"/>
      <c r="W773" s="16" t="s">
        <v>62</v>
      </c>
      <c r="X773" s="16"/>
      <c r="Y773" s="16"/>
      <c r="Z773" s="16"/>
      <c r="AA773" s="16"/>
      <c r="AB773" s="24"/>
      <c r="AC773" s="24"/>
      <c r="AD773" s="16"/>
    </row>
    <row r="774" spans="1:30" ht="22.8" x14ac:dyDescent="0.25">
      <c r="A774" s="28"/>
      <c r="B774" s="20">
        <v>37347</v>
      </c>
      <c r="C774" s="27" t="s">
        <v>64</v>
      </c>
      <c r="D774" s="24" t="s">
        <v>2125</v>
      </c>
      <c r="E774" s="20" t="s">
        <v>2092</v>
      </c>
      <c r="F774" s="29" t="s">
        <v>2093</v>
      </c>
      <c r="G774" s="29" t="s">
        <v>15</v>
      </c>
      <c r="H774" s="19">
        <v>43897</v>
      </c>
      <c r="I774" s="3">
        <v>556</v>
      </c>
      <c r="J774" s="3" t="s">
        <v>58</v>
      </c>
      <c r="K774" s="37" t="s">
        <v>59</v>
      </c>
      <c r="L774" s="33">
        <v>44415</v>
      </c>
      <c r="M774" s="16" t="s">
        <v>60</v>
      </c>
      <c r="N774" s="33">
        <v>44173</v>
      </c>
      <c r="O774" s="33">
        <v>44055</v>
      </c>
      <c r="P774" s="33"/>
      <c r="Q774" s="16" t="s">
        <v>75</v>
      </c>
      <c r="R774" s="16" t="s">
        <v>75</v>
      </c>
      <c r="S774" s="16" t="s">
        <v>68</v>
      </c>
      <c r="T774" s="16" t="s">
        <v>206</v>
      </c>
      <c r="U774" s="16"/>
      <c r="V774" s="16"/>
      <c r="W774" s="16" t="s">
        <v>68</v>
      </c>
      <c r="X774" s="16"/>
      <c r="Y774" s="16"/>
      <c r="Z774" s="16"/>
      <c r="AA774" s="16"/>
      <c r="AB774" s="24"/>
      <c r="AC774" s="24"/>
      <c r="AD774" s="33">
        <v>44691</v>
      </c>
    </row>
    <row r="775" spans="1:30" ht="22.8" x14ac:dyDescent="0.25">
      <c r="A775" s="28"/>
      <c r="B775" s="20">
        <v>37347</v>
      </c>
      <c r="C775" s="27" t="s">
        <v>54</v>
      </c>
      <c r="D775" s="24" t="s">
        <v>2126</v>
      </c>
      <c r="E775" s="20" t="s">
        <v>2092</v>
      </c>
      <c r="F775" s="29" t="s">
        <v>2093</v>
      </c>
      <c r="G775" s="29" t="s">
        <v>15</v>
      </c>
      <c r="H775" s="19">
        <v>43897</v>
      </c>
      <c r="I775" s="3">
        <v>687</v>
      </c>
      <c r="J775" s="3" t="s">
        <v>58</v>
      </c>
      <c r="K775" s="37" t="s">
        <v>59</v>
      </c>
      <c r="L775" s="33">
        <v>44410</v>
      </c>
      <c r="M775" s="16" t="s">
        <v>60</v>
      </c>
      <c r="N775" s="33">
        <v>44173</v>
      </c>
      <c r="O775" s="33">
        <v>44055</v>
      </c>
      <c r="P775" s="33"/>
      <c r="Q775" s="16" t="s">
        <v>75</v>
      </c>
      <c r="R775" s="16" t="s">
        <v>75</v>
      </c>
      <c r="S775" s="16" t="s">
        <v>62</v>
      </c>
      <c r="T775" s="16" t="s">
        <v>206</v>
      </c>
      <c r="U775" s="16"/>
      <c r="V775" s="16"/>
      <c r="W775" s="16" t="s">
        <v>62</v>
      </c>
      <c r="X775" s="16"/>
      <c r="Y775" s="16"/>
      <c r="Z775" s="16"/>
      <c r="AA775" s="16"/>
      <c r="AB775" s="24"/>
      <c r="AC775" s="24"/>
      <c r="AD775" s="33">
        <v>44691</v>
      </c>
    </row>
    <row r="776" spans="1:30" ht="22.8" x14ac:dyDescent="0.25">
      <c r="A776" s="28"/>
      <c r="B776" s="20">
        <v>37410</v>
      </c>
      <c r="C776" s="27" t="s">
        <v>64</v>
      </c>
      <c r="D776" s="56" t="s">
        <v>2127</v>
      </c>
      <c r="E776" s="20" t="s">
        <v>2092</v>
      </c>
      <c r="F776" s="29" t="s">
        <v>2093</v>
      </c>
      <c r="G776" s="29" t="s">
        <v>15</v>
      </c>
      <c r="H776" s="19">
        <v>44041</v>
      </c>
      <c r="I776" s="3">
        <v>854</v>
      </c>
      <c r="J776" s="3" t="s">
        <v>58</v>
      </c>
      <c r="K776" s="37" t="s">
        <v>59</v>
      </c>
      <c r="L776" s="33">
        <v>44196</v>
      </c>
      <c r="M776" s="41" t="s">
        <v>60</v>
      </c>
      <c r="N776" s="40">
        <v>44196</v>
      </c>
      <c r="O776" s="33"/>
      <c r="P776" s="33"/>
      <c r="Q776" s="16" t="s">
        <v>75</v>
      </c>
      <c r="R776" s="16" t="s">
        <v>75</v>
      </c>
      <c r="S776" s="37" t="s">
        <v>68</v>
      </c>
      <c r="T776" s="16" t="s">
        <v>206</v>
      </c>
      <c r="U776" s="16" t="s">
        <v>68</v>
      </c>
      <c r="V776" s="16"/>
      <c r="W776" s="16"/>
      <c r="X776" s="16" t="s">
        <v>75</v>
      </c>
      <c r="Y776" s="16"/>
      <c r="Z776" s="16"/>
      <c r="AA776" s="16"/>
      <c r="AB776" s="24"/>
      <c r="AC776" s="24"/>
      <c r="AD776" s="33">
        <v>44681</v>
      </c>
    </row>
    <row r="777" spans="1:30" ht="22.8" x14ac:dyDescent="0.25">
      <c r="A777" s="28"/>
      <c r="B777" s="20">
        <v>37410</v>
      </c>
      <c r="C777" s="27" t="s">
        <v>54</v>
      </c>
      <c r="D777" s="56" t="s">
        <v>2128</v>
      </c>
      <c r="E777" s="20" t="s">
        <v>2092</v>
      </c>
      <c r="F777" s="29" t="s">
        <v>2093</v>
      </c>
      <c r="G777" s="29" t="s">
        <v>15</v>
      </c>
      <c r="H777" s="19">
        <v>44041</v>
      </c>
      <c r="I777" s="3">
        <v>720</v>
      </c>
      <c r="J777" s="3" t="s">
        <v>58</v>
      </c>
      <c r="K777" s="37" t="s">
        <v>59</v>
      </c>
      <c r="L777" s="33">
        <v>44196</v>
      </c>
      <c r="M777" s="41" t="s">
        <v>60</v>
      </c>
      <c r="N777" s="40">
        <v>44196</v>
      </c>
      <c r="O777" s="33"/>
      <c r="P777" s="33"/>
      <c r="Q777" s="16" t="s">
        <v>75</v>
      </c>
      <c r="R777" s="16" t="s">
        <v>75</v>
      </c>
      <c r="S777" s="37" t="s">
        <v>62</v>
      </c>
      <c r="T777" s="16" t="s">
        <v>206</v>
      </c>
      <c r="U777" s="16" t="s">
        <v>62</v>
      </c>
      <c r="V777" s="16"/>
      <c r="W777" s="16"/>
      <c r="X777" s="16"/>
      <c r="Y777" s="16"/>
      <c r="Z777" s="16"/>
      <c r="AA777" s="16"/>
      <c r="AB777" s="24"/>
      <c r="AC777" s="24"/>
      <c r="AD777" s="33">
        <v>44681</v>
      </c>
    </row>
    <row r="778" spans="1:30" ht="22.8" x14ac:dyDescent="0.25">
      <c r="A778" s="28"/>
      <c r="B778" s="20">
        <v>37412</v>
      </c>
      <c r="C778" s="27" t="s">
        <v>64</v>
      </c>
      <c r="D778" s="56" t="s">
        <v>2129</v>
      </c>
      <c r="E778" s="20" t="s">
        <v>2092</v>
      </c>
      <c r="F778" s="29" t="s">
        <v>2093</v>
      </c>
      <c r="G778" s="29" t="s">
        <v>15</v>
      </c>
      <c r="H778" s="19">
        <v>44062</v>
      </c>
      <c r="I778" s="3">
        <v>816</v>
      </c>
      <c r="J778" s="3" t="s">
        <v>58</v>
      </c>
      <c r="K778" s="37" t="s">
        <v>59</v>
      </c>
      <c r="L778" s="33">
        <v>44125</v>
      </c>
      <c r="M778" s="41" t="s">
        <v>999</v>
      </c>
      <c r="N778" s="40"/>
      <c r="O778" s="33"/>
      <c r="P778" s="33"/>
      <c r="Q778" s="16" t="s">
        <v>75</v>
      </c>
      <c r="R778" s="16" t="s">
        <v>75</v>
      </c>
      <c r="S778" s="37" t="s">
        <v>68</v>
      </c>
      <c r="T778" s="16" t="s">
        <v>68</v>
      </c>
      <c r="U778" s="37" t="s">
        <v>68</v>
      </c>
      <c r="V778" s="16"/>
      <c r="W778" s="16" t="s">
        <v>68</v>
      </c>
      <c r="X778" s="16" t="s">
        <v>75</v>
      </c>
      <c r="Y778" s="16"/>
      <c r="Z778" s="16"/>
      <c r="AA778" s="16"/>
      <c r="AB778" s="24"/>
      <c r="AC778" s="24"/>
      <c r="AD778" s="16"/>
    </row>
    <row r="779" spans="1:30" ht="22.8" x14ac:dyDescent="0.25">
      <c r="A779" s="28"/>
      <c r="B779" s="20">
        <v>37412</v>
      </c>
      <c r="C779" s="27" t="s">
        <v>54</v>
      </c>
      <c r="D779" s="56" t="s">
        <v>2130</v>
      </c>
      <c r="E779" s="20" t="s">
        <v>2092</v>
      </c>
      <c r="F779" s="29" t="s">
        <v>2093</v>
      </c>
      <c r="G779" s="29" t="s">
        <v>15</v>
      </c>
      <c r="H779" s="19">
        <v>44062</v>
      </c>
      <c r="I779" s="3">
        <v>817</v>
      </c>
      <c r="J779" s="3" t="s">
        <v>58</v>
      </c>
      <c r="K779" s="37" t="s">
        <v>59</v>
      </c>
      <c r="L779" s="33">
        <v>44125</v>
      </c>
      <c r="M779" s="41" t="s">
        <v>999</v>
      </c>
      <c r="N779" s="40"/>
      <c r="O779" s="33"/>
      <c r="P779" s="33"/>
      <c r="Q779" s="16" t="s">
        <v>75</v>
      </c>
      <c r="R779" s="16" t="s">
        <v>75</v>
      </c>
      <c r="S779" s="37" t="s">
        <v>62</v>
      </c>
      <c r="T779" s="16" t="s">
        <v>62</v>
      </c>
      <c r="U779" s="37" t="s">
        <v>62</v>
      </c>
      <c r="V779" s="16"/>
      <c r="W779" s="16" t="s">
        <v>62</v>
      </c>
      <c r="X779" s="16" t="s">
        <v>75</v>
      </c>
      <c r="Y779" s="16"/>
      <c r="Z779" s="16"/>
      <c r="AA779" s="16"/>
      <c r="AB779" s="24"/>
      <c r="AC779" s="24"/>
      <c r="AD779" s="16"/>
    </row>
    <row r="780" spans="1:30" ht="22.8" x14ac:dyDescent="0.25">
      <c r="A780" s="28"/>
      <c r="B780" s="20">
        <v>37414</v>
      </c>
      <c r="C780" s="27" t="s">
        <v>64</v>
      </c>
      <c r="D780" s="56" t="s">
        <v>2131</v>
      </c>
      <c r="E780" s="20" t="s">
        <v>2092</v>
      </c>
      <c r="F780" s="29" t="s">
        <v>2093</v>
      </c>
      <c r="G780" s="29" t="s">
        <v>15</v>
      </c>
      <c r="H780" s="19">
        <v>44049</v>
      </c>
      <c r="I780" s="3">
        <v>719</v>
      </c>
      <c r="J780" s="3" t="s">
        <v>58</v>
      </c>
      <c r="K780" s="37" t="s">
        <v>59</v>
      </c>
      <c r="L780" s="33">
        <v>44415</v>
      </c>
      <c r="M780" s="41" t="s">
        <v>60</v>
      </c>
      <c r="N780" s="40">
        <v>44183</v>
      </c>
      <c r="O780" s="33"/>
      <c r="P780" s="33"/>
      <c r="Q780" s="16" t="s">
        <v>75</v>
      </c>
      <c r="R780" s="16" t="s">
        <v>75</v>
      </c>
      <c r="S780" s="37" t="s">
        <v>68</v>
      </c>
      <c r="T780" s="16" t="s">
        <v>68</v>
      </c>
      <c r="U780" s="37" t="s">
        <v>68</v>
      </c>
      <c r="V780" s="16"/>
      <c r="W780" s="16" t="s">
        <v>68</v>
      </c>
      <c r="X780" s="16"/>
      <c r="Y780" s="16"/>
      <c r="Z780" s="16"/>
      <c r="AA780" s="16"/>
      <c r="AB780" s="24"/>
      <c r="AC780" s="24"/>
      <c r="AD780" s="16"/>
    </row>
    <row r="781" spans="1:30" ht="22.8" x14ac:dyDescent="0.25">
      <c r="A781" s="28"/>
      <c r="B781" s="20">
        <v>37414</v>
      </c>
      <c r="C781" s="27" t="s">
        <v>54</v>
      </c>
      <c r="D781" s="56" t="s">
        <v>2132</v>
      </c>
      <c r="E781" s="20" t="s">
        <v>2092</v>
      </c>
      <c r="F781" s="29" t="s">
        <v>2093</v>
      </c>
      <c r="G781" s="29" t="s">
        <v>15</v>
      </c>
      <c r="H781" s="19">
        <v>44049</v>
      </c>
      <c r="I781" s="3">
        <v>784</v>
      </c>
      <c r="J781" s="3" t="s">
        <v>58</v>
      </c>
      <c r="K781" s="37" t="s">
        <v>59</v>
      </c>
      <c r="L781" s="33">
        <v>44415</v>
      </c>
      <c r="M781" s="41" t="s">
        <v>60</v>
      </c>
      <c r="N781" s="40">
        <v>44183</v>
      </c>
      <c r="O781" s="33"/>
      <c r="P781" s="33"/>
      <c r="Q781" s="16" t="s">
        <v>75</v>
      </c>
      <c r="R781" s="16" t="s">
        <v>75</v>
      </c>
      <c r="S781" s="37" t="s">
        <v>62</v>
      </c>
      <c r="T781" s="16" t="s">
        <v>62</v>
      </c>
      <c r="U781" s="37" t="s">
        <v>62</v>
      </c>
      <c r="V781" s="16"/>
      <c r="W781" s="16" t="s">
        <v>62</v>
      </c>
      <c r="X781" s="16" t="s">
        <v>75</v>
      </c>
      <c r="Y781" s="16"/>
      <c r="Z781" s="16"/>
      <c r="AA781" s="16"/>
      <c r="AB781" s="24"/>
      <c r="AC781" s="24"/>
      <c r="AD781" s="16"/>
    </row>
    <row r="782" spans="1:30" ht="22.8" x14ac:dyDescent="0.25">
      <c r="A782" s="28"/>
      <c r="B782" s="20">
        <v>37454</v>
      </c>
      <c r="C782" s="27" t="s">
        <v>64</v>
      </c>
      <c r="D782" s="24" t="s">
        <v>2133</v>
      </c>
      <c r="E782" s="20" t="s">
        <v>2092</v>
      </c>
      <c r="F782" s="29" t="s">
        <v>2093</v>
      </c>
      <c r="G782" s="29" t="s">
        <v>15</v>
      </c>
      <c r="H782" s="19">
        <v>44201</v>
      </c>
      <c r="I782" s="3">
        <v>844</v>
      </c>
      <c r="J782" s="3" t="s">
        <v>58</v>
      </c>
      <c r="K782" s="37" t="s">
        <v>59</v>
      </c>
      <c r="L782" s="33">
        <v>44398</v>
      </c>
      <c r="M782" s="16" t="s">
        <v>60</v>
      </c>
      <c r="N782" s="33">
        <v>44187</v>
      </c>
      <c r="O782" s="33">
        <v>44197</v>
      </c>
      <c r="P782" s="33"/>
      <c r="Q782" s="16" t="s">
        <v>75</v>
      </c>
      <c r="R782" s="16" t="s">
        <v>75</v>
      </c>
      <c r="S782" s="16" t="s">
        <v>68</v>
      </c>
      <c r="T782" s="16" t="s">
        <v>68</v>
      </c>
      <c r="U782" s="37" t="s">
        <v>68</v>
      </c>
      <c r="V782" s="16"/>
      <c r="W782" s="16" t="s">
        <v>68</v>
      </c>
      <c r="X782" s="16" t="s">
        <v>75</v>
      </c>
      <c r="Y782" s="16"/>
      <c r="Z782" s="16"/>
      <c r="AA782" s="16"/>
      <c r="AB782" s="24"/>
      <c r="AC782" s="24"/>
      <c r="AD782" s="33">
        <v>44697</v>
      </c>
    </row>
    <row r="783" spans="1:30" ht="22.8" x14ac:dyDescent="0.25">
      <c r="A783" s="28"/>
      <c r="B783" s="20">
        <v>37454</v>
      </c>
      <c r="C783" s="27" t="s">
        <v>54</v>
      </c>
      <c r="D783" s="24" t="s">
        <v>2134</v>
      </c>
      <c r="E783" s="20" t="s">
        <v>2092</v>
      </c>
      <c r="F783" s="29" t="s">
        <v>2093</v>
      </c>
      <c r="G783" s="29" t="s">
        <v>15</v>
      </c>
      <c r="H783" s="19">
        <v>44201</v>
      </c>
      <c r="I783" s="3">
        <v>845</v>
      </c>
      <c r="J783" s="3" t="s">
        <v>58</v>
      </c>
      <c r="K783" s="37" t="s">
        <v>59</v>
      </c>
      <c r="L783" s="33">
        <v>44398</v>
      </c>
      <c r="M783" s="16" t="s">
        <v>60</v>
      </c>
      <c r="N783" s="33">
        <v>44187</v>
      </c>
      <c r="O783" s="33">
        <v>44197</v>
      </c>
      <c r="P783" s="33"/>
      <c r="Q783" s="16" t="s">
        <v>75</v>
      </c>
      <c r="R783" s="16" t="s">
        <v>75</v>
      </c>
      <c r="S783" s="16" t="s">
        <v>62</v>
      </c>
      <c r="T783" s="16" t="s">
        <v>62</v>
      </c>
      <c r="U783" s="37" t="s">
        <v>62</v>
      </c>
      <c r="V783" s="16"/>
      <c r="W783" s="16" t="s">
        <v>62</v>
      </c>
      <c r="X783" s="16" t="s">
        <v>75</v>
      </c>
      <c r="Y783" s="16"/>
      <c r="Z783" s="16"/>
      <c r="AA783" s="16"/>
      <c r="AB783" s="24"/>
      <c r="AC783" s="24"/>
      <c r="AD783" s="33">
        <v>44697</v>
      </c>
    </row>
    <row r="784" spans="1:30" ht="22.8" x14ac:dyDescent="0.25">
      <c r="A784" s="28"/>
      <c r="B784" s="20">
        <v>37561</v>
      </c>
      <c r="C784" s="27" t="s">
        <v>64</v>
      </c>
      <c r="D784" s="20" t="s">
        <v>2135</v>
      </c>
      <c r="E784" s="20" t="s">
        <v>2092</v>
      </c>
      <c r="F784" s="29" t="s">
        <v>2093</v>
      </c>
      <c r="G784" s="29" t="s">
        <v>15</v>
      </c>
      <c r="H784" s="19">
        <v>44277</v>
      </c>
      <c r="I784" s="3">
        <v>860</v>
      </c>
      <c r="J784" s="3" t="s">
        <v>58</v>
      </c>
      <c r="K784" s="37" t="s">
        <v>59</v>
      </c>
      <c r="L784" s="33" t="s">
        <v>63</v>
      </c>
      <c r="M784" s="16" t="s">
        <v>60</v>
      </c>
      <c r="N784" s="33" t="s">
        <v>63</v>
      </c>
      <c r="O784" s="33"/>
      <c r="P784" s="33"/>
      <c r="Q784" s="16" t="s">
        <v>75</v>
      </c>
      <c r="R784" s="16" t="s">
        <v>75</v>
      </c>
      <c r="S784" s="16" t="s">
        <v>68</v>
      </c>
      <c r="T784" s="16" t="s">
        <v>68</v>
      </c>
      <c r="U784" s="16" t="s">
        <v>68</v>
      </c>
      <c r="V784" s="37"/>
      <c r="W784" s="16"/>
      <c r="X784" s="16" t="s">
        <v>75</v>
      </c>
      <c r="Y784" s="16"/>
      <c r="Z784" s="16"/>
      <c r="AA784" s="16"/>
      <c r="AB784" s="24"/>
      <c r="AC784" s="24"/>
      <c r="AD784" s="16"/>
    </row>
    <row r="785" spans="1:30" ht="22.8" x14ac:dyDescent="0.25">
      <c r="A785" s="28"/>
      <c r="B785" s="20">
        <v>37561</v>
      </c>
      <c r="C785" s="27" t="s">
        <v>54</v>
      </c>
      <c r="D785" s="20" t="s">
        <v>2136</v>
      </c>
      <c r="E785" s="20" t="s">
        <v>2092</v>
      </c>
      <c r="F785" s="29" t="s">
        <v>2093</v>
      </c>
      <c r="G785" s="29" t="s">
        <v>15</v>
      </c>
      <c r="H785" s="19">
        <v>44277</v>
      </c>
      <c r="I785" s="3">
        <v>861</v>
      </c>
      <c r="J785" s="3" t="s">
        <v>58</v>
      </c>
      <c r="K785" s="37" t="s">
        <v>59</v>
      </c>
      <c r="L785" s="33" t="s">
        <v>63</v>
      </c>
      <c r="M785" s="16" t="s">
        <v>60</v>
      </c>
      <c r="N785" s="33" t="s">
        <v>63</v>
      </c>
      <c r="O785" s="33"/>
      <c r="P785" s="33"/>
      <c r="Q785" s="16" t="s">
        <v>75</v>
      </c>
      <c r="R785" s="16" t="s">
        <v>75</v>
      </c>
      <c r="S785" s="16" t="s">
        <v>62</v>
      </c>
      <c r="T785" s="16" t="s">
        <v>62</v>
      </c>
      <c r="U785" s="16" t="s">
        <v>62</v>
      </c>
      <c r="V785" s="37"/>
      <c r="W785" s="16"/>
      <c r="X785" s="16" t="s">
        <v>75</v>
      </c>
      <c r="Y785" s="16"/>
      <c r="Z785" s="16"/>
      <c r="AA785" s="16"/>
      <c r="AB785" s="24"/>
      <c r="AC785" s="24"/>
      <c r="AD785" s="16"/>
    </row>
    <row r="786" spans="1:30" x14ac:dyDescent="0.25">
      <c r="A786" s="28"/>
      <c r="B786" s="20">
        <v>39003</v>
      </c>
      <c r="C786" s="27" t="s">
        <v>64</v>
      </c>
      <c r="D786" s="3" t="s">
        <v>2137</v>
      </c>
      <c r="E786" s="20" t="s">
        <v>2092</v>
      </c>
      <c r="F786" s="29" t="s">
        <v>2093</v>
      </c>
      <c r="G786" s="29" t="s">
        <v>15</v>
      </c>
      <c r="H786" s="19">
        <v>43464</v>
      </c>
      <c r="I786" s="3">
        <v>205</v>
      </c>
      <c r="J786" s="3" t="s">
        <v>58</v>
      </c>
      <c r="K786" s="16" t="s">
        <v>680</v>
      </c>
      <c r="L786" s="33">
        <v>44365</v>
      </c>
      <c r="M786" s="41" t="s">
        <v>60</v>
      </c>
      <c r="N786" s="40">
        <v>44206</v>
      </c>
      <c r="O786" s="33">
        <v>44214</v>
      </c>
      <c r="P786" s="33"/>
      <c r="Q786" s="37" t="s">
        <v>68</v>
      </c>
      <c r="R786" s="37" t="s">
        <v>68</v>
      </c>
      <c r="S786" s="37" t="s">
        <v>68</v>
      </c>
      <c r="T786" s="37" t="s">
        <v>68</v>
      </c>
      <c r="U786" s="37" t="s">
        <v>68</v>
      </c>
      <c r="V786" s="16"/>
      <c r="W786" s="37" t="s">
        <v>68</v>
      </c>
      <c r="X786" s="37" t="s">
        <v>68</v>
      </c>
      <c r="Y786" s="16"/>
      <c r="Z786" s="16"/>
      <c r="AA786" s="16"/>
      <c r="AB786" s="24"/>
      <c r="AC786" s="24"/>
      <c r="AD786" s="33">
        <v>44701</v>
      </c>
    </row>
    <row r="787" spans="1:30" x14ac:dyDescent="0.25">
      <c r="A787" s="28"/>
      <c r="B787" s="20">
        <v>39003</v>
      </c>
      <c r="C787" s="27" t="s">
        <v>54</v>
      </c>
      <c r="D787" s="3" t="s">
        <v>2138</v>
      </c>
      <c r="E787" s="20" t="s">
        <v>2092</v>
      </c>
      <c r="F787" s="29" t="s">
        <v>2093</v>
      </c>
      <c r="G787" s="29" t="s">
        <v>15</v>
      </c>
      <c r="H787" s="19">
        <v>43464</v>
      </c>
      <c r="I787" s="3">
        <v>204</v>
      </c>
      <c r="J787" s="3" t="s">
        <v>58</v>
      </c>
      <c r="K787" s="16" t="s">
        <v>680</v>
      </c>
      <c r="L787" s="33">
        <v>44365</v>
      </c>
      <c r="M787" s="41" t="s">
        <v>60</v>
      </c>
      <c r="N787" s="40">
        <v>44206</v>
      </c>
      <c r="O787" s="33">
        <v>44214</v>
      </c>
      <c r="P787" s="33"/>
      <c r="Q787" s="37" t="s">
        <v>62</v>
      </c>
      <c r="R787" s="37" t="s">
        <v>62</v>
      </c>
      <c r="S787" s="37" t="s">
        <v>62</v>
      </c>
      <c r="T787" s="37" t="s">
        <v>62</v>
      </c>
      <c r="U787" s="37" t="s">
        <v>62</v>
      </c>
      <c r="V787" s="16"/>
      <c r="W787" s="37" t="s">
        <v>62</v>
      </c>
      <c r="X787" s="37" t="s">
        <v>62</v>
      </c>
      <c r="Y787" s="16"/>
      <c r="Z787" s="16"/>
      <c r="AA787" s="16"/>
      <c r="AB787" s="24"/>
      <c r="AC787" s="24"/>
      <c r="AD787" s="33">
        <v>44701</v>
      </c>
    </row>
    <row r="788" spans="1:30" ht="22.8" x14ac:dyDescent="0.25">
      <c r="A788" s="28"/>
      <c r="B788" s="20">
        <v>39076</v>
      </c>
      <c r="C788" s="27" t="s">
        <v>64</v>
      </c>
      <c r="D788" s="3" t="s">
        <v>2139</v>
      </c>
      <c r="E788" s="20" t="s">
        <v>2092</v>
      </c>
      <c r="F788" s="29" t="s">
        <v>2093</v>
      </c>
      <c r="G788" s="29" t="s">
        <v>15</v>
      </c>
      <c r="H788" s="19">
        <v>43672</v>
      </c>
      <c r="I788" s="3">
        <v>483</v>
      </c>
      <c r="J788" s="3" t="s">
        <v>58</v>
      </c>
      <c r="K788" s="37" t="s">
        <v>59</v>
      </c>
      <c r="L788" s="33" t="s">
        <v>63</v>
      </c>
      <c r="M788" s="16" t="s">
        <v>60</v>
      </c>
      <c r="N788" s="33">
        <v>44198</v>
      </c>
      <c r="O788" s="33">
        <v>44198</v>
      </c>
      <c r="P788" s="33"/>
      <c r="Q788" s="16"/>
      <c r="R788" s="16" t="s">
        <v>68</v>
      </c>
      <c r="S788" s="16" t="s">
        <v>68</v>
      </c>
      <c r="T788" s="16" t="s">
        <v>68</v>
      </c>
      <c r="U788" s="16" t="s">
        <v>68</v>
      </c>
      <c r="V788" s="16"/>
      <c r="W788" s="16" t="s">
        <v>68</v>
      </c>
      <c r="X788" s="16"/>
      <c r="Y788" s="16"/>
      <c r="Z788" s="16"/>
      <c r="AA788" s="16"/>
      <c r="AB788" s="24"/>
      <c r="AC788" s="24"/>
      <c r="AD788" s="33">
        <v>44698</v>
      </c>
    </row>
    <row r="789" spans="1:30" ht="22.8" x14ac:dyDescent="0.25">
      <c r="A789" s="28"/>
      <c r="B789" s="20">
        <v>39076</v>
      </c>
      <c r="C789" s="27" t="s">
        <v>54</v>
      </c>
      <c r="D789" s="3" t="s">
        <v>2140</v>
      </c>
      <c r="E789" s="20" t="s">
        <v>2092</v>
      </c>
      <c r="F789" s="29" t="s">
        <v>2093</v>
      </c>
      <c r="G789" s="29" t="s">
        <v>15</v>
      </c>
      <c r="H789" s="19">
        <v>43672</v>
      </c>
      <c r="I789" s="3">
        <v>484</v>
      </c>
      <c r="J789" s="3" t="s">
        <v>58</v>
      </c>
      <c r="K789" s="37" t="s">
        <v>59</v>
      </c>
      <c r="L789" s="33" t="s">
        <v>63</v>
      </c>
      <c r="M789" s="16" t="s">
        <v>60</v>
      </c>
      <c r="N789" s="33">
        <v>44198</v>
      </c>
      <c r="O789" s="33">
        <v>44198</v>
      </c>
      <c r="P789" s="33"/>
      <c r="Q789" s="16"/>
      <c r="R789" s="16" t="s">
        <v>62</v>
      </c>
      <c r="S789" s="16" t="s">
        <v>62</v>
      </c>
      <c r="T789" s="16" t="s">
        <v>62</v>
      </c>
      <c r="U789" s="16" t="s">
        <v>62</v>
      </c>
      <c r="V789" s="16"/>
      <c r="W789" s="16" t="s">
        <v>62</v>
      </c>
      <c r="X789" s="16"/>
      <c r="Y789" s="16"/>
      <c r="Z789" s="16"/>
      <c r="AA789" s="16"/>
      <c r="AB789" s="24"/>
      <c r="AC789" s="24"/>
      <c r="AD789" s="33">
        <v>44698</v>
      </c>
    </row>
    <row r="790" spans="1:30" ht="22.8" x14ac:dyDescent="0.25">
      <c r="A790" s="28"/>
      <c r="B790" s="20">
        <v>37063</v>
      </c>
      <c r="C790" s="27" t="s">
        <v>64</v>
      </c>
      <c r="D790" s="3" t="s">
        <v>2141</v>
      </c>
      <c r="E790" s="20" t="s">
        <v>1932</v>
      </c>
      <c r="F790" s="3" t="s">
        <v>863</v>
      </c>
      <c r="G790" s="29" t="s">
        <v>15</v>
      </c>
      <c r="H790" s="19">
        <v>43452</v>
      </c>
      <c r="I790" s="3">
        <v>241</v>
      </c>
      <c r="J790" s="3" t="s">
        <v>58</v>
      </c>
      <c r="K790" s="37" t="s">
        <v>59</v>
      </c>
      <c r="L790" s="33">
        <v>44231</v>
      </c>
      <c r="M790" s="41" t="s">
        <v>60</v>
      </c>
      <c r="N790" s="40">
        <v>44231</v>
      </c>
      <c r="O790" s="33">
        <v>44231</v>
      </c>
      <c r="P790" s="33"/>
      <c r="Q790" s="16"/>
      <c r="R790" s="16" t="s">
        <v>68</v>
      </c>
      <c r="S790" s="16"/>
      <c r="T790" s="16"/>
      <c r="U790" s="16"/>
      <c r="V790" s="16"/>
      <c r="W790" s="16"/>
      <c r="X790" s="16"/>
      <c r="Y790" s="16"/>
      <c r="Z790" s="16"/>
      <c r="AA790" s="16"/>
      <c r="AB790" s="24"/>
      <c r="AC790" s="24"/>
      <c r="AD790" s="16"/>
    </row>
    <row r="791" spans="1:30" ht="22.8" x14ac:dyDescent="0.25">
      <c r="A791" s="28"/>
      <c r="B791" s="20">
        <v>37063</v>
      </c>
      <c r="C791" s="27" t="s">
        <v>54</v>
      </c>
      <c r="D791" s="3" t="s">
        <v>2142</v>
      </c>
      <c r="E791" s="20" t="s">
        <v>1932</v>
      </c>
      <c r="F791" s="3" t="s">
        <v>863</v>
      </c>
      <c r="G791" s="29" t="s">
        <v>15</v>
      </c>
      <c r="H791" s="19">
        <v>43452</v>
      </c>
      <c r="I791" s="3">
        <v>240</v>
      </c>
      <c r="J791" s="3" t="s">
        <v>58</v>
      </c>
      <c r="K791" s="37" t="s">
        <v>59</v>
      </c>
      <c r="L791" s="33">
        <v>44231</v>
      </c>
      <c r="M791" s="41" t="s">
        <v>60</v>
      </c>
      <c r="N791" s="40">
        <v>44231</v>
      </c>
      <c r="O791" s="33"/>
      <c r="P791" s="33"/>
      <c r="Q791" s="16"/>
      <c r="R791" s="16" t="s">
        <v>62</v>
      </c>
      <c r="S791" s="16"/>
      <c r="T791" s="16"/>
      <c r="U791" s="16"/>
      <c r="V791" s="16"/>
      <c r="W791" s="16"/>
      <c r="X791" s="16"/>
      <c r="Y791" s="16"/>
      <c r="Z791" s="16"/>
      <c r="AA791" s="16"/>
      <c r="AB791" s="24"/>
      <c r="AC791" s="24"/>
      <c r="AD791" s="16"/>
    </row>
    <row r="792" spans="1:30" ht="22.8" x14ac:dyDescent="0.25">
      <c r="A792" s="28"/>
      <c r="B792" s="20">
        <v>37064</v>
      </c>
      <c r="C792" s="27" t="s">
        <v>64</v>
      </c>
      <c r="D792" s="3" t="s">
        <v>2143</v>
      </c>
      <c r="E792" s="20" t="s">
        <v>1932</v>
      </c>
      <c r="F792" s="3" t="s">
        <v>863</v>
      </c>
      <c r="G792" s="29" t="s">
        <v>15</v>
      </c>
      <c r="H792" s="19">
        <v>43457</v>
      </c>
      <c r="I792" s="3">
        <v>243</v>
      </c>
      <c r="J792" s="3" t="s">
        <v>58</v>
      </c>
      <c r="K792" s="37" t="s">
        <v>59</v>
      </c>
      <c r="L792" s="33">
        <v>44184</v>
      </c>
      <c r="M792" s="41" t="s">
        <v>60</v>
      </c>
      <c r="N792" s="40">
        <v>44184</v>
      </c>
      <c r="O792" s="33">
        <v>44184</v>
      </c>
      <c r="P792" s="33"/>
      <c r="Q792" s="16"/>
      <c r="R792" s="16" t="s">
        <v>68</v>
      </c>
      <c r="S792" s="16"/>
      <c r="T792" s="16"/>
      <c r="U792" s="16"/>
      <c r="V792" s="16"/>
      <c r="W792" s="16"/>
      <c r="X792" s="16"/>
      <c r="Y792" s="16"/>
      <c r="Z792" s="16"/>
      <c r="AA792" s="16"/>
      <c r="AB792" s="24"/>
      <c r="AC792" s="24"/>
      <c r="AD792" s="16"/>
    </row>
    <row r="793" spans="1:30" ht="22.8" x14ac:dyDescent="0.25">
      <c r="A793" s="28"/>
      <c r="B793" s="20">
        <v>37064</v>
      </c>
      <c r="C793" s="27" t="s">
        <v>54</v>
      </c>
      <c r="D793" s="3" t="s">
        <v>2144</v>
      </c>
      <c r="E793" s="20" t="s">
        <v>1932</v>
      </c>
      <c r="F793" s="3" t="s">
        <v>863</v>
      </c>
      <c r="G793" s="29" t="s">
        <v>15</v>
      </c>
      <c r="H793" s="19">
        <v>43457</v>
      </c>
      <c r="I793" s="3">
        <v>247</v>
      </c>
      <c r="J793" s="3" t="s">
        <v>58</v>
      </c>
      <c r="K793" s="37" t="s">
        <v>59</v>
      </c>
      <c r="L793" s="33">
        <v>44184</v>
      </c>
      <c r="M793" s="41" t="s">
        <v>60</v>
      </c>
      <c r="N793" s="40">
        <v>44184</v>
      </c>
      <c r="O793" s="33"/>
      <c r="P793" s="33"/>
      <c r="Q793" s="16"/>
      <c r="R793" s="16" t="s">
        <v>62</v>
      </c>
      <c r="S793" s="16"/>
      <c r="T793" s="16"/>
      <c r="U793" s="16"/>
      <c r="V793" s="16"/>
      <c r="W793" s="16"/>
      <c r="X793" s="16"/>
      <c r="Y793" s="16"/>
      <c r="Z793" s="16"/>
      <c r="AA793" s="16"/>
      <c r="AB793" s="24"/>
      <c r="AC793" s="24"/>
      <c r="AD793" s="16"/>
    </row>
    <row r="794" spans="1:30" ht="22.8" x14ac:dyDescent="0.25">
      <c r="A794" s="28"/>
      <c r="B794" s="20">
        <v>37065</v>
      </c>
      <c r="C794" s="27" t="s">
        <v>64</v>
      </c>
      <c r="D794" s="3" t="s">
        <v>2145</v>
      </c>
      <c r="E794" s="20" t="s">
        <v>1932</v>
      </c>
      <c r="F794" s="3" t="s">
        <v>863</v>
      </c>
      <c r="G794" s="29" t="s">
        <v>15</v>
      </c>
      <c r="H794" s="19">
        <v>43456</v>
      </c>
      <c r="I794" s="3">
        <v>246</v>
      </c>
      <c r="J794" s="3" t="s">
        <v>58</v>
      </c>
      <c r="K794" s="37" t="s">
        <v>59</v>
      </c>
      <c r="L794" s="33">
        <v>44231</v>
      </c>
      <c r="M794" s="41" t="s">
        <v>60</v>
      </c>
      <c r="N794" s="40">
        <v>44231</v>
      </c>
      <c r="O794" s="33">
        <v>44231</v>
      </c>
      <c r="P794" s="33"/>
      <c r="Q794" s="16"/>
      <c r="R794" s="16" t="s">
        <v>68</v>
      </c>
      <c r="S794" s="16"/>
      <c r="T794" s="16"/>
      <c r="U794" s="16"/>
      <c r="V794" s="16"/>
      <c r="W794" s="16"/>
      <c r="X794" s="16"/>
      <c r="Y794" s="16"/>
      <c r="Z794" s="16"/>
      <c r="AA794" s="16"/>
      <c r="AB794" s="24"/>
      <c r="AC794" s="24"/>
      <c r="AD794" s="16"/>
    </row>
    <row r="795" spans="1:30" ht="22.8" x14ac:dyDescent="0.25">
      <c r="A795" s="28"/>
      <c r="B795" s="20">
        <v>37065</v>
      </c>
      <c r="C795" s="27" t="s">
        <v>54</v>
      </c>
      <c r="D795" s="3" t="s">
        <v>2146</v>
      </c>
      <c r="E795" s="20" t="s">
        <v>1932</v>
      </c>
      <c r="F795" s="3" t="s">
        <v>863</v>
      </c>
      <c r="G795" s="29" t="s">
        <v>15</v>
      </c>
      <c r="H795" s="19">
        <v>43456</v>
      </c>
      <c r="I795" s="3">
        <v>242</v>
      </c>
      <c r="J795" s="3" t="s">
        <v>58</v>
      </c>
      <c r="K795" s="37" t="s">
        <v>59</v>
      </c>
      <c r="L795" s="33">
        <v>44231</v>
      </c>
      <c r="M795" s="41" t="s">
        <v>60</v>
      </c>
      <c r="N795" s="40">
        <v>44231</v>
      </c>
      <c r="O795" s="33"/>
      <c r="P795" s="33"/>
      <c r="Q795" s="16"/>
      <c r="R795" s="16" t="s">
        <v>62</v>
      </c>
      <c r="S795" s="16"/>
      <c r="T795" s="16"/>
      <c r="U795" s="16"/>
      <c r="V795" s="16"/>
      <c r="W795" s="16"/>
      <c r="X795" s="16"/>
      <c r="Y795" s="16"/>
      <c r="Z795" s="16"/>
      <c r="AA795" s="16"/>
      <c r="AB795" s="24"/>
      <c r="AC795" s="24"/>
      <c r="AD795" s="16"/>
    </row>
    <row r="796" spans="1:30" ht="22.8" x14ac:dyDescent="0.25">
      <c r="A796" s="28"/>
      <c r="B796" s="20">
        <v>37072</v>
      </c>
      <c r="C796" s="27" t="s">
        <v>64</v>
      </c>
      <c r="D796" s="3" t="s">
        <v>2147</v>
      </c>
      <c r="E796" s="20" t="s">
        <v>1932</v>
      </c>
      <c r="F796" s="3" t="s">
        <v>863</v>
      </c>
      <c r="G796" s="29" t="s">
        <v>15</v>
      </c>
      <c r="H796" s="19">
        <v>43462</v>
      </c>
      <c r="I796" s="3">
        <v>285</v>
      </c>
      <c r="J796" s="3" t="s">
        <v>58</v>
      </c>
      <c r="K796" s="37" t="s">
        <v>59</v>
      </c>
      <c r="L796" s="33">
        <v>44216</v>
      </c>
      <c r="M796" s="41" t="s">
        <v>60</v>
      </c>
      <c r="N796" s="40">
        <v>44216</v>
      </c>
      <c r="O796" s="33">
        <v>44216</v>
      </c>
      <c r="P796" s="33"/>
      <c r="Q796" s="16"/>
      <c r="R796" s="16" t="s">
        <v>68</v>
      </c>
      <c r="S796" s="16"/>
      <c r="T796" s="16"/>
      <c r="U796" s="16"/>
      <c r="V796" s="16"/>
      <c r="W796" s="16"/>
      <c r="X796" s="16"/>
      <c r="Y796" s="16"/>
      <c r="Z796" s="16"/>
      <c r="AA796" s="16"/>
      <c r="AB796" s="24"/>
      <c r="AC796" s="24"/>
      <c r="AD796" s="16"/>
    </row>
    <row r="797" spans="1:30" ht="22.8" x14ac:dyDescent="0.25">
      <c r="A797" s="28"/>
      <c r="B797" s="20">
        <v>37072</v>
      </c>
      <c r="C797" s="27" t="s">
        <v>54</v>
      </c>
      <c r="D797" s="3" t="s">
        <v>2148</v>
      </c>
      <c r="E797" s="20" t="s">
        <v>1932</v>
      </c>
      <c r="F797" s="3" t="s">
        <v>863</v>
      </c>
      <c r="G797" s="29" t="s">
        <v>15</v>
      </c>
      <c r="H797" s="19">
        <v>43462</v>
      </c>
      <c r="I797" s="3">
        <v>284</v>
      </c>
      <c r="J797" s="3" t="s">
        <v>58</v>
      </c>
      <c r="K797" s="37" t="s">
        <v>59</v>
      </c>
      <c r="L797" s="33">
        <v>44216</v>
      </c>
      <c r="M797" s="41" t="s">
        <v>60</v>
      </c>
      <c r="N797" s="40">
        <v>44216</v>
      </c>
      <c r="O797" s="33"/>
      <c r="P797" s="33"/>
      <c r="Q797" s="16"/>
      <c r="R797" s="16" t="s">
        <v>62</v>
      </c>
      <c r="S797" s="16"/>
      <c r="T797" s="16"/>
      <c r="U797" s="16"/>
      <c r="V797" s="16"/>
      <c r="W797" s="16"/>
      <c r="X797" s="16"/>
      <c r="Y797" s="16"/>
      <c r="Z797" s="16"/>
      <c r="AA797" s="16"/>
      <c r="AB797" s="24"/>
      <c r="AC797" s="24"/>
      <c r="AD797" s="16"/>
    </row>
    <row r="798" spans="1:30" ht="22.8" x14ac:dyDescent="0.25">
      <c r="A798" s="28"/>
      <c r="B798" s="20">
        <v>37074</v>
      </c>
      <c r="C798" s="27" t="s">
        <v>64</v>
      </c>
      <c r="D798" s="3" t="s">
        <v>2149</v>
      </c>
      <c r="E798" s="20" t="s">
        <v>1932</v>
      </c>
      <c r="F798" s="3" t="s">
        <v>863</v>
      </c>
      <c r="G798" s="29" t="s">
        <v>15</v>
      </c>
      <c r="H798" s="19">
        <v>43463</v>
      </c>
      <c r="I798" s="3">
        <v>276</v>
      </c>
      <c r="J798" s="3" t="s">
        <v>58</v>
      </c>
      <c r="K798" s="37" t="s">
        <v>59</v>
      </c>
      <c r="L798" s="33">
        <v>44322</v>
      </c>
      <c r="M798" s="41" t="s">
        <v>60</v>
      </c>
      <c r="N798" s="33" t="s">
        <v>63</v>
      </c>
      <c r="O798" s="33"/>
      <c r="P798" s="33"/>
      <c r="Q798" s="16"/>
      <c r="R798" s="16" t="s">
        <v>68</v>
      </c>
      <c r="S798" s="16"/>
      <c r="T798" s="16"/>
      <c r="U798" s="16"/>
      <c r="V798" s="16"/>
      <c r="W798" s="16"/>
      <c r="X798" s="16"/>
      <c r="Y798" s="16"/>
      <c r="Z798" s="16"/>
      <c r="AA798" s="16"/>
      <c r="AB798" s="24"/>
      <c r="AC798" s="24"/>
      <c r="AD798" s="16"/>
    </row>
    <row r="799" spans="1:30" x14ac:dyDescent="0.25">
      <c r="A799" s="28"/>
      <c r="B799" s="20">
        <v>37074</v>
      </c>
      <c r="C799" s="27" t="s">
        <v>54</v>
      </c>
      <c r="D799" s="3" t="s">
        <v>2150</v>
      </c>
      <c r="E799" s="20" t="s">
        <v>1932</v>
      </c>
      <c r="F799" s="3" t="s">
        <v>863</v>
      </c>
      <c r="G799" s="29" t="s">
        <v>15</v>
      </c>
      <c r="H799" s="19">
        <v>43463</v>
      </c>
      <c r="I799" s="3">
        <v>277</v>
      </c>
      <c r="J799" s="3" t="s">
        <v>58</v>
      </c>
      <c r="K799" s="16"/>
      <c r="L799" s="33"/>
      <c r="M799" s="41" t="s">
        <v>60</v>
      </c>
      <c r="N799" s="33" t="s">
        <v>63</v>
      </c>
      <c r="O799" s="33"/>
      <c r="P799" s="33"/>
      <c r="Q799" s="16"/>
      <c r="R799" s="16" t="s">
        <v>62</v>
      </c>
      <c r="S799" s="16"/>
      <c r="T799" s="16"/>
      <c r="U799" s="16"/>
      <c r="V799" s="16"/>
      <c r="W799" s="16"/>
      <c r="X799" s="16"/>
      <c r="Y799" s="16"/>
      <c r="Z799" s="16"/>
      <c r="AA799" s="16"/>
      <c r="AB799" s="24"/>
      <c r="AC799" s="24"/>
      <c r="AD799" s="16"/>
    </row>
    <row r="800" spans="1:30" ht="22.8" x14ac:dyDescent="0.25">
      <c r="A800" s="28"/>
      <c r="B800" s="20">
        <v>37228</v>
      </c>
      <c r="C800" s="27" t="s">
        <v>64</v>
      </c>
      <c r="D800" s="3" t="s">
        <v>2151</v>
      </c>
      <c r="E800" s="20" t="s">
        <v>1932</v>
      </c>
      <c r="F800" s="3" t="s">
        <v>863</v>
      </c>
      <c r="G800" s="29" t="s">
        <v>15</v>
      </c>
      <c r="H800" s="19">
        <v>43672</v>
      </c>
      <c r="I800" s="3">
        <v>512</v>
      </c>
      <c r="J800" s="3" t="s">
        <v>58</v>
      </c>
      <c r="K800" s="37" t="s">
        <v>59</v>
      </c>
      <c r="L800" s="38">
        <v>44238</v>
      </c>
      <c r="M800" s="41" t="s">
        <v>999</v>
      </c>
      <c r="N800" s="40">
        <v>44213</v>
      </c>
      <c r="O800" s="33"/>
      <c r="P800" s="33"/>
      <c r="Q800" s="16" t="s">
        <v>75</v>
      </c>
      <c r="R800" s="16" t="s">
        <v>68</v>
      </c>
      <c r="S800" s="16"/>
      <c r="T800" s="16"/>
      <c r="U800" s="16"/>
      <c r="V800" s="16"/>
      <c r="W800" s="16"/>
      <c r="X800" s="16"/>
      <c r="Y800" s="16"/>
      <c r="Z800" s="16"/>
      <c r="AA800" s="16"/>
      <c r="AB800" s="24"/>
      <c r="AC800" s="24"/>
      <c r="AD800" s="16"/>
    </row>
    <row r="801" spans="1:30" ht="22.8" x14ac:dyDescent="0.25">
      <c r="A801" s="28"/>
      <c r="B801" s="20">
        <v>37228</v>
      </c>
      <c r="C801" s="27" t="s">
        <v>54</v>
      </c>
      <c r="D801" s="3" t="s">
        <v>2152</v>
      </c>
      <c r="E801" s="20" t="s">
        <v>1932</v>
      </c>
      <c r="F801" s="3" t="s">
        <v>863</v>
      </c>
      <c r="G801" s="29" t="s">
        <v>15</v>
      </c>
      <c r="H801" s="19">
        <v>43672</v>
      </c>
      <c r="I801" s="3">
        <v>513</v>
      </c>
      <c r="J801" s="3" t="s">
        <v>58</v>
      </c>
      <c r="K801" s="37" t="s">
        <v>59</v>
      </c>
      <c r="L801" s="38">
        <v>44238</v>
      </c>
      <c r="M801" s="41" t="s">
        <v>999</v>
      </c>
      <c r="N801" s="40">
        <v>7688</v>
      </c>
      <c r="O801" s="33"/>
      <c r="P801" s="33"/>
      <c r="Q801" s="16" t="s">
        <v>75</v>
      </c>
      <c r="R801" s="16" t="s">
        <v>62</v>
      </c>
      <c r="S801" s="16"/>
      <c r="T801" s="16"/>
      <c r="U801" s="16"/>
      <c r="V801" s="16"/>
      <c r="W801" s="16"/>
      <c r="X801" s="16"/>
      <c r="Y801" s="16"/>
      <c r="Z801" s="16"/>
      <c r="AA801" s="16"/>
      <c r="AB801" s="24"/>
      <c r="AC801" s="24"/>
      <c r="AD801" s="16"/>
    </row>
    <row r="802" spans="1:30" ht="22.8" x14ac:dyDescent="0.25">
      <c r="A802" s="28"/>
      <c r="B802" s="20">
        <v>37229</v>
      </c>
      <c r="C802" s="27" t="s">
        <v>64</v>
      </c>
      <c r="D802" s="3" t="s">
        <v>2153</v>
      </c>
      <c r="E802" s="20" t="s">
        <v>1932</v>
      </c>
      <c r="F802" s="3" t="s">
        <v>863</v>
      </c>
      <c r="G802" s="29" t="s">
        <v>15</v>
      </c>
      <c r="H802" s="19">
        <v>43673</v>
      </c>
      <c r="I802" s="3">
        <v>544</v>
      </c>
      <c r="J802" s="3" t="s">
        <v>58</v>
      </c>
      <c r="K802" s="37" t="s">
        <v>59</v>
      </c>
      <c r="L802" s="33">
        <v>44264</v>
      </c>
      <c r="M802" s="41" t="s">
        <v>999</v>
      </c>
      <c r="N802" s="40">
        <v>44264</v>
      </c>
      <c r="O802" s="33"/>
      <c r="P802" s="33"/>
      <c r="Q802" s="16" t="s">
        <v>75</v>
      </c>
      <c r="R802" s="16" t="s">
        <v>68</v>
      </c>
      <c r="S802" s="16"/>
      <c r="T802" s="16"/>
      <c r="U802" s="16"/>
      <c r="V802" s="16"/>
      <c r="W802" s="16"/>
      <c r="X802" s="16"/>
      <c r="Y802" s="16"/>
      <c r="Z802" s="16"/>
      <c r="AA802" s="16"/>
      <c r="AB802" s="24"/>
      <c r="AC802" s="24"/>
      <c r="AD802" s="16"/>
    </row>
    <row r="803" spans="1:30" ht="22.8" x14ac:dyDescent="0.25">
      <c r="A803" s="28"/>
      <c r="B803" s="20">
        <v>37229</v>
      </c>
      <c r="C803" s="27" t="s">
        <v>54</v>
      </c>
      <c r="D803" s="3" t="s">
        <v>2154</v>
      </c>
      <c r="E803" s="20" t="s">
        <v>1932</v>
      </c>
      <c r="F803" s="3" t="s">
        <v>863</v>
      </c>
      <c r="G803" s="29" t="s">
        <v>15</v>
      </c>
      <c r="H803" s="19">
        <v>43673</v>
      </c>
      <c r="I803" s="3">
        <v>545</v>
      </c>
      <c r="J803" s="3" t="s">
        <v>58</v>
      </c>
      <c r="K803" s="37" t="s">
        <v>59</v>
      </c>
      <c r="L803" s="33">
        <v>44264</v>
      </c>
      <c r="M803" s="41" t="s">
        <v>999</v>
      </c>
      <c r="N803" s="40">
        <v>44264</v>
      </c>
      <c r="O803" s="33"/>
      <c r="P803" s="33"/>
      <c r="Q803" s="16" t="s">
        <v>75</v>
      </c>
      <c r="R803" s="16" t="s">
        <v>62</v>
      </c>
      <c r="S803" s="16"/>
      <c r="T803" s="16"/>
      <c r="U803" s="16"/>
      <c r="V803" s="16"/>
      <c r="W803" s="16"/>
      <c r="X803" s="16"/>
      <c r="Y803" s="16"/>
      <c r="Z803" s="16"/>
      <c r="AA803" s="16"/>
      <c r="AB803" s="24"/>
      <c r="AC803" s="24"/>
      <c r="AD803" s="16"/>
    </row>
    <row r="804" spans="1:30" ht="22.8" x14ac:dyDescent="0.25">
      <c r="A804" s="28"/>
      <c r="B804" s="20">
        <v>37230</v>
      </c>
      <c r="C804" s="27" t="s">
        <v>64</v>
      </c>
      <c r="D804" s="3" t="s">
        <v>2155</v>
      </c>
      <c r="E804" s="20" t="s">
        <v>1932</v>
      </c>
      <c r="F804" s="3" t="s">
        <v>863</v>
      </c>
      <c r="G804" s="29" t="s">
        <v>15</v>
      </c>
      <c r="H804" s="19">
        <v>43702</v>
      </c>
      <c r="I804" s="3">
        <v>560</v>
      </c>
      <c r="J804" s="3" t="s">
        <v>58</v>
      </c>
      <c r="K804" s="37" t="s">
        <v>59</v>
      </c>
      <c r="L804" s="38">
        <v>44265</v>
      </c>
      <c r="M804" s="41" t="s">
        <v>999</v>
      </c>
      <c r="N804" s="40">
        <v>44183</v>
      </c>
      <c r="O804" s="33"/>
      <c r="P804" s="33"/>
      <c r="Q804" s="16" t="s">
        <v>75</v>
      </c>
      <c r="R804" s="16" t="s">
        <v>75</v>
      </c>
      <c r="S804" s="16"/>
      <c r="T804" s="16"/>
      <c r="U804" s="16"/>
      <c r="V804" s="16"/>
      <c r="W804" s="16"/>
      <c r="X804" s="16"/>
      <c r="Y804" s="16"/>
      <c r="Z804" s="16"/>
      <c r="AA804" s="16"/>
      <c r="AB804" s="24"/>
      <c r="AC804" s="24"/>
      <c r="AD804" s="16"/>
    </row>
    <row r="805" spans="1:30" ht="22.8" x14ac:dyDescent="0.25">
      <c r="A805" s="28"/>
      <c r="B805" s="20">
        <v>37230</v>
      </c>
      <c r="C805" s="27" t="s">
        <v>54</v>
      </c>
      <c r="D805" s="3" t="s">
        <v>2156</v>
      </c>
      <c r="E805" s="20" t="s">
        <v>1932</v>
      </c>
      <c r="F805" s="3" t="s">
        <v>863</v>
      </c>
      <c r="G805" s="29" t="s">
        <v>15</v>
      </c>
      <c r="H805" s="19">
        <v>43702</v>
      </c>
      <c r="I805" s="3">
        <v>558</v>
      </c>
      <c r="J805" s="3" t="s">
        <v>58</v>
      </c>
      <c r="K805" s="37" t="s">
        <v>59</v>
      </c>
      <c r="L805" s="38">
        <v>44265</v>
      </c>
      <c r="M805" s="41" t="s">
        <v>999</v>
      </c>
      <c r="N805" s="40">
        <v>44183</v>
      </c>
      <c r="O805" s="33"/>
      <c r="P805" s="33"/>
      <c r="Q805" s="16" t="s">
        <v>75</v>
      </c>
      <c r="R805" s="16" t="s">
        <v>75</v>
      </c>
      <c r="S805" s="16"/>
      <c r="T805" s="16"/>
      <c r="U805" s="16"/>
      <c r="V805" s="16"/>
      <c r="W805" s="16"/>
      <c r="X805" s="16"/>
      <c r="Y805" s="16"/>
      <c r="Z805" s="16"/>
      <c r="AA805" s="16"/>
      <c r="AB805" s="24"/>
      <c r="AC805" s="24"/>
      <c r="AD805" s="16"/>
    </row>
    <row r="806" spans="1:30" ht="22.8" x14ac:dyDescent="0.25">
      <c r="A806" s="28"/>
      <c r="B806" s="20">
        <v>37541</v>
      </c>
      <c r="C806" s="27" t="s">
        <v>64</v>
      </c>
      <c r="D806" s="3" t="s">
        <v>2157</v>
      </c>
      <c r="E806" s="20" t="s">
        <v>1932</v>
      </c>
      <c r="F806" s="3" t="s">
        <v>863</v>
      </c>
      <c r="G806" s="29" t="s">
        <v>15</v>
      </c>
      <c r="H806" s="19">
        <v>44242</v>
      </c>
      <c r="I806" s="3">
        <v>935</v>
      </c>
      <c r="J806" s="3" t="s">
        <v>58</v>
      </c>
      <c r="K806" s="37" t="s">
        <v>59</v>
      </c>
      <c r="L806" s="16" t="s">
        <v>75</v>
      </c>
      <c r="M806" s="41" t="s">
        <v>60</v>
      </c>
      <c r="N806" s="33">
        <v>44250</v>
      </c>
      <c r="O806" s="33"/>
      <c r="P806" s="33"/>
      <c r="Q806" s="16" t="s">
        <v>75</v>
      </c>
      <c r="R806" s="16" t="s">
        <v>75</v>
      </c>
      <c r="S806" s="16"/>
      <c r="T806" s="16"/>
      <c r="U806" s="16"/>
      <c r="V806" s="16"/>
      <c r="W806" s="16"/>
      <c r="X806" s="16" t="s">
        <v>75</v>
      </c>
      <c r="Y806" s="16"/>
      <c r="Z806" s="16"/>
      <c r="AA806" s="16"/>
      <c r="AB806" s="24"/>
      <c r="AC806" s="24"/>
      <c r="AD806" s="16"/>
    </row>
    <row r="807" spans="1:30" ht="22.8" x14ac:dyDescent="0.25">
      <c r="A807" s="28"/>
      <c r="B807" s="20">
        <v>37541</v>
      </c>
      <c r="C807" s="27" t="s">
        <v>54</v>
      </c>
      <c r="D807" s="3" t="s">
        <v>2158</v>
      </c>
      <c r="E807" s="20" t="s">
        <v>1932</v>
      </c>
      <c r="F807" s="3" t="s">
        <v>863</v>
      </c>
      <c r="G807" s="29" t="s">
        <v>15</v>
      </c>
      <c r="H807" s="19">
        <v>44242</v>
      </c>
      <c r="I807" s="3">
        <v>909</v>
      </c>
      <c r="J807" s="3" t="s">
        <v>58</v>
      </c>
      <c r="K807" s="37" t="s">
        <v>59</v>
      </c>
      <c r="L807" s="16" t="s">
        <v>75</v>
      </c>
      <c r="M807" s="41" t="s">
        <v>60</v>
      </c>
      <c r="N807" s="33">
        <v>44250</v>
      </c>
      <c r="O807" s="33"/>
      <c r="P807" s="33"/>
      <c r="Q807" s="16" t="s">
        <v>75</v>
      </c>
      <c r="R807" s="16" t="s">
        <v>75</v>
      </c>
      <c r="S807" s="16"/>
      <c r="T807" s="16"/>
      <c r="U807" s="16"/>
      <c r="V807" s="16"/>
      <c r="W807" s="16"/>
      <c r="X807" s="16" t="s">
        <v>75</v>
      </c>
      <c r="Y807" s="16"/>
      <c r="Z807" s="16"/>
      <c r="AA807" s="16"/>
      <c r="AB807" s="24"/>
      <c r="AC807" s="24"/>
      <c r="AD807" s="16"/>
    </row>
    <row r="808" spans="1:30" ht="22.8" x14ac:dyDescent="0.25">
      <c r="A808" s="28"/>
      <c r="B808" s="20">
        <v>39040</v>
      </c>
      <c r="C808" s="27" t="s">
        <v>64</v>
      </c>
      <c r="D808" s="3" t="s">
        <v>2159</v>
      </c>
      <c r="E808" s="20" t="s">
        <v>1932</v>
      </c>
      <c r="F808" s="3" t="s">
        <v>863</v>
      </c>
      <c r="G808" s="29" t="s">
        <v>15</v>
      </c>
      <c r="H808" s="19">
        <v>43558</v>
      </c>
      <c r="I808" s="3">
        <v>307</v>
      </c>
      <c r="J808" s="3" t="s">
        <v>58</v>
      </c>
      <c r="K808" s="37" t="s">
        <v>59</v>
      </c>
      <c r="L808" s="33">
        <v>44121</v>
      </c>
      <c r="M808" s="41" t="s">
        <v>60</v>
      </c>
      <c r="N808" s="33">
        <v>44410</v>
      </c>
      <c r="O808" s="33"/>
      <c r="P808" s="33"/>
      <c r="Q808" s="16"/>
      <c r="R808" s="16" t="s">
        <v>68</v>
      </c>
      <c r="S808" s="16"/>
      <c r="T808" s="16"/>
      <c r="U808" s="16"/>
      <c r="V808" s="16"/>
      <c r="W808" s="16"/>
      <c r="X808" s="16"/>
      <c r="Y808" s="16"/>
      <c r="Z808" s="16"/>
      <c r="AA808" s="16"/>
      <c r="AB808" s="24"/>
      <c r="AC808" s="24"/>
      <c r="AD808" s="16"/>
    </row>
    <row r="809" spans="1:30" ht="22.8" x14ac:dyDescent="0.25">
      <c r="A809" s="28"/>
      <c r="B809" s="20">
        <v>39040</v>
      </c>
      <c r="C809" s="27" t="s">
        <v>54</v>
      </c>
      <c r="D809" s="3" t="s">
        <v>2160</v>
      </c>
      <c r="E809" s="20" t="s">
        <v>1932</v>
      </c>
      <c r="F809" s="3" t="s">
        <v>863</v>
      </c>
      <c r="G809" s="29" t="s">
        <v>15</v>
      </c>
      <c r="H809" s="19">
        <v>43558</v>
      </c>
      <c r="I809" s="3">
        <v>306</v>
      </c>
      <c r="J809" s="3" t="s">
        <v>58</v>
      </c>
      <c r="K809" s="37" t="s">
        <v>59</v>
      </c>
      <c r="L809" s="33">
        <v>44121</v>
      </c>
      <c r="M809" s="41" t="s">
        <v>60</v>
      </c>
      <c r="N809" s="33">
        <v>44410</v>
      </c>
      <c r="O809" s="33"/>
      <c r="P809" s="33"/>
      <c r="Q809" s="16"/>
      <c r="R809" s="16" t="s">
        <v>62</v>
      </c>
      <c r="S809" s="16"/>
      <c r="T809" s="16"/>
      <c r="U809" s="16"/>
      <c r="V809" s="16"/>
      <c r="W809" s="16"/>
      <c r="X809" s="16"/>
      <c r="Y809" s="16"/>
      <c r="Z809" s="16"/>
      <c r="AA809" s="16"/>
      <c r="AB809" s="24"/>
      <c r="AC809" s="24"/>
      <c r="AD809" s="16"/>
    </row>
    <row r="810" spans="1:30" ht="22.8" x14ac:dyDescent="0.25">
      <c r="A810" s="28"/>
      <c r="B810" s="20">
        <v>39043</v>
      </c>
      <c r="C810" s="27" t="s">
        <v>64</v>
      </c>
      <c r="D810" s="3" t="s">
        <v>2161</v>
      </c>
      <c r="E810" s="20" t="s">
        <v>1932</v>
      </c>
      <c r="F810" s="3" t="s">
        <v>863</v>
      </c>
      <c r="G810" s="29" t="s">
        <v>15</v>
      </c>
      <c r="H810" s="19">
        <v>43587</v>
      </c>
      <c r="I810" s="3">
        <v>302</v>
      </c>
      <c r="J810" s="3" t="s">
        <v>58</v>
      </c>
      <c r="K810" s="37" t="s">
        <v>59</v>
      </c>
      <c r="L810" s="33">
        <v>44261</v>
      </c>
      <c r="M810" s="41" t="s">
        <v>999</v>
      </c>
      <c r="N810" s="40">
        <v>44261</v>
      </c>
      <c r="O810" s="33">
        <v>44261</v>
      </c>
      <c r="P810" s="33"/>
      <c r="Q810" s="16"/>
      <c r="R810" s="16" t="s">
        <v>68</v>
      </c>
      <c r="S810" s="16"/>
      <c r="T810" s="16"/>
      <c r="U810" s="16"/>
      <c r="V810" s="16"/>
      <c r="W810" s="16"/>
      <c r="X810" s="16"/>
      <c r="Y810" s="16"/>
      <c r="Z810" s="16"/>
      <c r="AA810" s="16"/>
      <c r="AB810" s="24"/>
      <c r="AC810" s="24"/>
      <c r="AD810" s="16"/>
    </row>
    <row r="811" spans="1:30" ht="22.8" x14ac:dyDescent="0.25">
      <c r="A811" s="28"/>
      <c r="B811" s="20">
        <v>39043</v>
      </c>
      <c r="C811" s="27" t="s">
        <v>54</v>
      </c>
      <c r="D811" s="3" t="s">
        <v>2162</v>
      </c>
      <c r="E811" s="20" t="s">
        <v>1932</v>
      </c>
      <c r="F811" s="3" t="s">
        <v>863</v>
      </c>
      <c r="G811" s="29" t="s">
        <v>15</v>
      </c>
      <c r="H811" s="19">
        <v>43587</v>
      </c>
      <c r="I811" s="3">
        <v>303</v>
      </c>
      <c r="J811" s="3" t="s">
        <v>58</v>
      </c>
      <c r="K811" s="37" t="s">
        <v>59</v>
      </c>
      <c r="L811" s="33">
        <v>44261</v>
      </c>
      <c r="M811" s="41" t="s">
        <v>999</v>
      </c>
      <c r="N811" s="40">
        <v>44261</v>
      </c>
      <c r="O811" s="33"/>
      <c r="P811" s="33"/>
      <c r="Q811" s="16"/>
      <c r="R811" s="16" t="s">
        <v>62</v>
      </c>
      <c r="S811" s="16"/>
      <c r="T811" s="16"/>
      <c r="U811" s="16"/>
      <c r="V811" s="16"/>
      <c r="W811" s="16"/>
      <c r="X811" s="16"/>
      <c r="Y811" s="16"/>
      <c r="Z811" s="16"/>
      <c r="AA811" s="16"/>
      <c r="AB811" s="24"/>
      <c r="AC811" s="24"/>
      <c r="AD811" s="16"/>
    </row>
    <row r="812" spans="1:30" ht="22.8" x14ac:dyDescent="0.25">
      <c r="A812" s="28"/>
      <c r="B812" s="20">
        <v>30542</v>
      </c>
      <c r="C812" s="27" t="s">
        <v>64</v>
      </c>
      <c r="D812" s="3" t="s">
        <v>2163</v>
      </c>
      <c r="E812" s="20" t="s">
        <v>1933</v>
      </c>
      <c r="F812" s="29" t="s">
        <v>2093</v>
      </c>
      <c r="G812" s="29" t="s">
        <v>15</v>
      </c>
      <c r="H812" s="19">
        <v>42865</v>
      </c>
      <c r="I812" s="3">
        <v>77</v>
      </c>
      <c r="J812" s="3" t="s">
        <v>66</v>
      </c>
      <c r="K812" s="37" t="s">
        <v>59</v>
      </c>
      <c r="L812" s="33">
        <v>44161</v>
      </c>
      <c r="M812" s="41" t="s">
        <v>871</v>
      </c>
      <c r="N812" s="40">
        <v>44433</v>
      </c>
      <c r="O812" s="33">
        <v>44194</v>
      </c>
      <c r="P812" s="33"/>
      <c r="Q812" s="16"/>
      <c r="R812" s="37" t="s">
        <v>68</v>
      </c>
      <c r="S812" s="16" t="s">
        <v>68</v>
      </c>
      <c r="T812" s="16"/>
      <c r="U812" s="16"/>
      <c r="V812" s="16"/>
      <c r="W812" s="16"/>
      <c r="X812" s="37" t="s">
        <v>68</v>
      </c>
      <c r="Y812" s="16"/>
      <c r="Z812" s="16"/>
      <c r="AA812" s="16"/>
      <c r="AB812" s="24"/>
      <c r="AC812" s="24"/>
      <c r="AD812" s="33">
        <v>44601</v>
      </c>
    </row>
    <row r="813" spans="1:30" ht="22.8" x14ac:dyDescent="0.25">
      <c r="A813" s="28"/>
      <c r="B813" s="20">
        <v>30542</v>
      </c>
      <c r="C813" s="27" t="s">
        <v>54</v>
      </c>
      <c r="D813" s="3" t="s">
        <v>2164</v>
      </c>
      <c r="E813" s="20" t="s">
        <v>1933</v>
      </c>
      <c r="F813" s="29" t="s">
        <v>2093</v>
      </c>
      <c r="G813" s="29" t="s">
        <v>15</v>
      </c>
      <c r="H813" s="19">
        <v>42865</v>
      </c>
      <c r="I813" s="3">
        <v>72</v>
      </c>
      <c r="J813" s="3" t="s">
        <v>66</v>
      </c>
      <c r="K813" s="37" t="s">
        <v>59</v>
      </c>
      <c r="L813" s="33">
        <v>44161</v>
      </c>
      <c r="M813" s="41" t="s">
        <v>871</v>
      </c>
      <c r="N813" s="40">
        <v>44433</v>
      </c>
      <c r="O813" s="33">
        <v>44184</v>
      </c>
      <c r="P813" s="33"/>
      <c r="Q813" s="16"/>
      <c r="R813" s="37" t="s">
        <v>62</v>
      </c>
      <c r="S813" s="16" t="s">
        <v>62</v>
      </c>
      <c r="T813" s="16"/>
      <c r="U813" s="16"/>
      <c r="V813" s="16"/>
      <c r="W813" s="16"/>
      <c r="X813" s="37" t="s">
        <v>62</v>
      </c>
      <c r="Y813" s="16"/>
      <c r="Z813" s="16"/>
      <c r="AA813" s="16"/>
      <c r="AB813" s="24"/>
      <c r="AC813" s="24"/>
      <c r="AD813" s="33">
        <v>44601</v>
      </c>
    </row>
    <row r="814" spans="1:30" x14ac:dyDescent="0.25">
      <c r="A814" s="28"/>
      <c r="B814" s="20">
        <v>30543</v>
      </c>
      <c r="C814" s="27" t="s">
        <v>64</v>
      </c>
      <c r="D814" s="3" t="s">
        <v>2165</v>
      </c>
      <c r="E814" s="20" t="s">
        <v>1933</v>
      </c>
      <c r="F814" s="29" t="s">
        <v>2093</v>
      </c>
      <c r="G814" s="29" t="s">
        <v>15</v>
      </c>
      <c r="H814" s="19">
        <v>42854</v>
      </c>
      <c r="I814" s="3">
        <v>76</v>
      </c>
      <c r="J814" s="3" t="s">
        <v>66</v>
      </c>
      <c r="K814" s="16"/>
      <c r="L814" s="33"/>
      <c r="M814" s="41" t="s">
        <v>871</v>
      </c>
      <c r="N814" s="33">
        <v>44601</v>
      </c>
      <c r="O814" s="33">
        <v>44211</v>
      </c>
      <c r="P814" s="33"/>
      <c r="Q814" s="16"/>
      <c r="R814" s="16" t="s">
        <v>68</v>
      </c>
      <c r="S814" s="37" t="s">
        <v>68</v>
      </c>
      <c r="T814" s="37" t="s">
        <v>68</v>
      </c>
      <c r="U814" s="16"/>
      <c r="V814" s="16"/>
      <c r="W814" s="16"/>
      <c r="X814" s="37" t="s">
        <v>68</v>
      </c>
      <c r="Y814" s="16"/>
      <c r="Z814" s="16"/>
      <c r="AA814" s="16"/>
      <c r="AB814" s="24"/>
      <c r="AC814" s="24"/>
      <c r="AD814" s="33">
        <v>44601</v>
      </c>
    </row>
    <row r="815" spans="1:30" x14ac:dyDescent="0.25">
      <c r="A815" s="28"/>
      <c r="B815" s="20">
        <v>30543</v>
      </c>
      <c r="C815" s="27" t="s">
        <v>54</v>
      </c>
      <c r="D815" s="3" t="s">
        <v>2166</v>
      </c>
      <c r="E815" s="20" t="s">
        <v>1933</v>
      </c>
      <c r="F815" s="29" t="s">
        <v>2093</v>
      </c>
      <c r="G815" s="29" t="s">
        <v>15</v>
      </c>
      <c r="H815" s="19">
        <v>42854</v>
      </c>
      <c r="I815" s="3">
        <v>74</v>
      </c>
      <c r="J815" s="3" t="s">
        <v>66</v>
      </c>
      <c r="K815" s="16"/>
      <c r="L815" s="33"/>
      <c r="M815" s="41" t="s">
        <v>871</v>
      </c>
      <c r="N815" s="33">
        <v>44601</v>
      </c>
      <c r="O815" s="33">
        <v>44211</v>
      </c>
      <c r="P815" s="33"/>
      <c r="Q815" s="16"/>
      <c r="R815" s="16" t="s">
        <v>62</v>
      </c>
      <c r="S815" s="37" t="s">
        <v>62</v>
      </c>
      <c r="T815" s="37" t="s">
        <v>62</v>
      </c>
      <c r="U815" s="16"/>
      <c r="V815" s="16"/>
      <c r="W815" s="16"/>
      <c r="X815" s="37" t="s">
        <v>62</v>
      </c>
      <c r="Y815" s="16"/>
      <c r="Z815" s="16"/>
      <c r="AA815" s="16"/>
      <c r="AB815" s="24"/>
      <c r="AC815" s="24"/>
      <c r="AD815" s="33">
        <v>44601</v>
      </c>
    </row>
    <row r="816" spans="1:30" ht="22.8" x14ac:dyDescent="0.25">
      <c r="A816" s="28"/>
      <c r="B816" s="20">
        <v>30546</v>
      </c>
      <c r="C816" s="27" t="s">
        <v>64</v>
      </c>
      <c r="D816" s="56" t="s">
        <v>2167</v>
      </c>
      <c r="E816" s="20" t="s">
        <v>1933</v>
      </c>
      <c r="F816" s="29" t="s">
        <v>2093</v>
      </c>
      <c r="G816" s="29" t="s">
        <v>15</v>
      </c>
      <c r="H816" s="19">
        <v>42950</v>
      </c>
      <c r="I816" s="3">
        <v>85</v>
      </c>
      <c r="J816" s="3" t="s">
        <v>66</v>
      </c>
      <c r="K816" s="37" t="s">
        <v>59</v>
      </c>
      <c r="L816" s="33">
        <v>44045</v>
      </c>
      <c r="M816" s="41" t="s">
        <v>871</v>
      </c>
      <c r="N816" s="40">
        <v>44464</v>
      </c>
      <c r="O816" s="33">
        <v>43869</v>
      </c>
      <c r="P816" s="33"/>
      <c r="Q816" s="42" t="s">
        <v>68</v>
      </c>
      <c r="R816" s="42" t="s">
        <v>68</v>
      </c>
      <c r="S816" s="37" t="s">
        <v>68</v>
      </c>
      <c r="T816" s="16"/>
      <c r="U816" s="16" t="s">
        <v>68</v>
      </c>
      <c r="V816" s="16"/>
      <c r="W816" s="16"/>
      <c r="X816" s="16" t="s">
        <v>2168</v>
      </c>
      <c r="Y816" s="16"/>
      <c r="Z816" s="16"/>
      <c r="AA816" s="16"/>
      <c r="AB816" s="24"/>
      <c r="AC816" s="24"/>
      <c r="AD816" s="33">
        <v>44669</v>
      </c>
    </row>
    <row r="817" spans="1:31" ht="22.8" x14ac:dyDescent="0.25">
      <c r="A817" s="28"/>
      <c r="B817" s="20">
        <v>30546</v>
      </c>
      <c r="C817" s="27" t="s">
        <v>54</v>
      </c>
      <c r="D817" s="56" t="s">
        <v>2169</v>
      </c>
      <c r="E817" s="20" t="s">
        <v>1933</v>
      </c>
      <c r="F817" s="29" t="s">
        <v>2093</v>
      </c>
      <c r="G817" s="29" t="s">
        <v>15</v>
      </c>
      <c r="H817" s="19">
        <v>42950</v>
      </c>
      <c r="I817" s="3">
        <v>88</v>
      </c>
      <c r="J817" s="3" t="s">
        <v>66</v>
      </c>
      <c r="K817" s="37" t="s">
        <v>59</v>
      </c>
      <c r="L817" s="33">
        <v>44045</v>
      </c>
      <c r="M817" s="41" t="s">
        <v>2170</v>
      </c>
      <c r="N817" s="40">
        <v>44464</v>
      </c>
      <c r="O817" s="33">
        <v>43869</v>
      </c>
      <c r="P817" s="33"/>
      <c r="Q817" s="42" t="s">
        <v>62</v>
      </c>
      <c r="R817" s="42" t="s">
        <v>62</v>
      </c>
      <c r="S817" s="37" t="s">
        <v>62</v>
      </c>
      <c r="T817" s="16"/>
      <c r="U817" s="16" t="s">
        <v>62</v>
      </c>
      <c r="V817" s="16"/>
      <c r="W817" s="16"/>
      <c r="X817" s="16"/>
      <c r="Y817" s="16"/>
      <c r="Z817" s="16"/>
      <c r="AA817" s="16"/>
      <c r="AB817" s="24"/>
      <c r="AC817" s="24"/>
      <c r="AD817" s="33">
        <v>44669</v>
      </c>
    </row>
    <row r="818" spans="1:31" ht="22.8" x14ac:dyDescent="0.25">
      <c r="A818" s="28"/>
      <c r="B818" s="20">
        <v>30592</v>
      </c>
      <c r="C818" s="27" t="s">
        <v>64</v>
      </c>
      <c r="D818" s="17" t="s">
        <v>2171</v>
      </c>
      <c r="E818" s="20" t="s">
        <v>1933</v>
      </c>
      <c r="F818" s="29" t="s">
        <v>2093</v>
      </c>
      <c r="G818" s="29" t="s">
        <v>15</v>
      </c>
      <c r="H818" s="19">
        <v>43129</v>
      </c>
      <c r="I818" s="3">
        <v>141</v>
      </c>
      <c r="J818" s="3" t="s">
        <v>58</v>
      </c>
      <c r="K818" s="37" t="s">
        <v>59</v>
      </c>
      <c r="L818" s="33">
        <v>44066</v>
      </c>
      <c r="M818" s="41" t="s">
        <v>60</v>
      </c>
      <c r="N818" s="40">
        <v>44177</v>
      </c>
      <c r="O818" s="33">
        <v>44029</v>
      </c>
      <c r="P818" s="33"/>
      <c r="Q818" s="42" t="s">
        <v>68</v>
      </c>
      <c r="R818" s="42" t="s">
        <v>68</v>
      </c>
      <c r="S818" s="37" t="s">
        <v>68</v>
      </c>
      <c r="T818" s="37"/>
      <c r="U818" s="37" t="s">
        <v>68</v>
      </c>
      <c r="V818" s="37"/>
      <c r="W818" s="37"/>
      <c r="X818" s="37" t="s">
        <v>2168</v>
      </c>
      <c r="Y818" s="37"/>
      <c r="Z818" s="37"/>
      <c r="AA818" s="37"/>
      <c r="AB818" s="24"/>
      <c r="AC818" s="24"/>
      <c r="AD818" s="33">
        <v>44606</v>
      </c>
      <c r="AE818" s="92"/>
    </row>
    <row r="819" spans="1:31" ht="22.8" x14ac:dyDescent="0.25">
      <c r="A819" s="28"/>
      <c r="B819" s="20">
        <v>30592</v>
      </c>
      <c r="C819" s="27" t="s">
        <v>54</v>
      </c>
      <c r="D819" s="17" t="s">
        <v>2172</v>
      </c>
      <c r="E819" s="20" t="s">
        <v>1933</v>
      </c>
      <c r="F819" s="29" t="s">
        <v>2093</v>
      </c>
      <c r="G819" s="29" t="s">
        <v>15</v>
      </c>
      <c r="H819" s="19">
        <v>43129</v>
      </c>
      <c r="I819" s="3">
        <v>139</v>
      </c>
      <c r="J819" s="3" t="s">
        <v>58</v>
      </c>
      <c r="K819" s="37" t="s">
        <v>59</v>
      </c>
      <c r="L819" s="33">
        <v>44066</v>
      </c>
      <c r="M819" s="41" t="s">
        <v>60</v>
      </c>
      <c r="N819" s="40">
        <v>44177</v>
      </c>
      <c r="O819" s="33">
        <v>44029</v>
      </c>
      <c r="P819" s="33"/>
      <c r="Q819" s="42" t="s">
        <v>62</v>
      </c>
      <c r="R819" s="42" t="s">
        <v>62</v>
      </c>
      <c r="S819" s="37" t="s">
        <v>62</v>
      </c>
      <c r="T819" s="37"/>
      <c r="U819" s="37" t="s">
        <v>62</v>
      </c>
      <c r="V819" s="37"/>
      <c r="W819" s="37"/>
      <c r="X819" s="37"/>
      <c r="Y819" s="37"/>
      <c r="Z819" s="37"/>
      <c r="AA819" s="37"/>
      <c r="AB819" s="24"/>
      <c r="AC819" s="24"/>
      <c r="AD819" s="33">
        <v>44606</v>
      </c>
      <c r="AE819" s="92"/>
    </row>
    <row r="820" spans="1:31" ht="22.8" x14ac:dyDescent="0.25">
      <c r="A820" s="28"/>
      <c r="B820" s="20">
        <v>30818</v>
      </c>
      <c r="C820" s="27" t="s">
        <v>64</v>
      </c>
      <c r="D820" s="56" t="s">
        <v>2173</v>
      </c>
      <c r="E820" s="20" t="s">
        <v>1933</v>
      </c>
      <c r="F820" s="29" t="s">
        <v>2093</v>
      </c>
      <c r="G820" s="29" t="s">
        <v>15</v>
      </c>
      <c r="H820" s="19">
        <v>44174</v>
      </c>
      <c r="I820" s="3">
        <v>358</v>
      </c>
      <c r="J820" s="3" t="s">
        <v>58</v>
      </c>
      <c r="K820" s="37" t="s">
        <v>59</v>
      </c>
      <c r="L820" s="33">
        <v>44328</v>
      </c>
      <c r="M820" s="41" t="s">
        <v>871</v>
      </c>
      <c r="N820" s="33">
        <v>44212</v>
      </c>
      <c r="O820" s="33"/>
      <c r="P820" s="33"/>
      <c r="Q820" s="16" t="s">
        <v>68</v>
      </c>
      <c r="R820" s="42" t="s">
        <v>68</v>
      </c>
      <c r="S820" s="16" t="s">
        <v>68</v>
      </c>
      <c r="T820" s="16" t="s">
        <v>68</v>
      </c>
      <c r="U820" s="16" t="s">
        <v>68</v>
      </c>
      <c r="V820" s="16"/>
      <c r="W820" s="16"/>
      <c r="X820" s="16"/>
      <c r="Y820" s="16"/>
      <c r="Z820" s="16"/>
      <c r="AA820" s="16"/>
      <c r="AB820" s="24"/>
      <c r="AC820" s="24"/>
      <c r="AD820" s="33">
        <v>44702</v>
      </c>
    </row>
    <row r="821" spans="1:31" ht="22.8" x14ac:dyDescent="0.25">
      <c r="A821" s="28"/>
      <c r="B821" s="20">
        <v>30818</v>
      </c>
      <c r="C821" s="27" t="s">
        <v>54</v>
      </c>
      <c r="D821" s="56" t="s">
        <v>2174</v>
      </c>
      <c r="E821" s="20" t="s">
        <v>1933</v>
      </c>
      <c r="F821" s="29" t="s">
        <v>2093</v>
      </c>
      <c r="G821" s="29" t="s">
        <v>15</v>
      </c>
      <c r="H821" s="19">
        <v>44174</v>
      </c>
      <c r="I821" s="3">
        <v>369</v>
      </c>
      <c r="J821" s="3" t="s">
        <v>58</v>
      </c>
      <c r="K821" s="37" t="s">
        <v>59</v>
      </c>
      <c r="L821" s="33">
        <v>44328</v>
      </c>
      <c r="M821" s="41" t="s">
        <v>871</v>
      </c>
      <c r="N821" s="33">
        <v>44212</v>
      </c>
      <c r="O821" s="33"/>
      <c r="P821" s="33"/>
      <c r="Q821" s="16" t="s">
        <v>62</v>
      </c>
      <c r="R821" s="42" t="s">
        <v>62</v>
      </c>
      <c r="S821" s="16" t="s">
        <v>62</v>
      </c>
      <c r="T821" s="16" t="s">
        <v>62</v>
      </c>
      <c r="U821" s="16" t="s">
        <v>62</v>
      </c>
      <c r="V821" s="16"/>
      <c r="W821" s="16"/>
      <c r="X821" s="16"/>
      <c r="Y821" s="16"/>
      <c r="Z821" s="16"/>
      <c r="AA821" s="16"/>
      <c r="AB821" s="24"/>
      <c r="AC821" s="24"/>
      <c r="AD821" s="33">
        <v>44702</v>
      </c>
    </row>
    <row r="822" spans="1:31" x14ac:dyDescent="0.25">
      <c r="A822" s="28"/>
      <c r="B822" s="20">
        <v>37267</v>
      </c>
      <c r="C822" s="27" t="s">
        <v>64</v>
      </c>
      <c r="D822" s="56" t="s">
        <v>2175</v>
      </c>
      <c r="E822" s="20" t="s">
        <v>1933</v>
      </c>
      <c r="F822" s="29" t="s">
        <v>2093</v>
      </c>
      <c r="G822" s="29" t="s">
        <v>15</v>
      </c>
      <c r="H822" s="19">
        <v>43757</v>
      </c>
      <c r="I822" s="3">
        <v>628</v>
      </c>
      <c r="J822" s="3" t="s">
        <v>58</v>
      </c>
      <c r="K822" s="16" t="s">
        <v>2176</v>
      </c>
      <c r="L822" s="33"/>
      <c r="M822" s="41" t="s">
        <v>871</v>
      </c>
      <c r="N822" s="40">
        <v>44545</v>
      </c>
      <c r="O822" s="33"/>
      <c r="P822" s="33"/>
      <c r="Q822" s="16" t="s">
        <v>75</v>
      </c>
      <c r="R822" s="16" t="s">
        <v>75</v>
      </c>
      <c r="S822" s="37" t="s">
        <v>62</v>
      </c>
      <c r="T822" s="37"/>
      <c r="U822" s="37" t="s">
        <v>62</v>
      </c>
      <c r="V822" s="37"/>
      <c r="W822" s="37"/>
      <c r="X822" s="37"/>
      <c r="Y822" s="37"/>
      <c r="Z822" s="37"/>
      <c r="AA822" s="37"/>
      <c r="AB822" s="24"/>
      <c r="AC822" s="24"/>
      <c r="AD822" s="33">
        <v>44651</v>
      </c>
      <c r="AE822" s="92"/>
    </row>
    <row r="823" spans="1:31" x14ac:dyDescent="0.25">
      <c r="A823" s="28"/>
      <c r="B823" s="20">
        <v>37267</v>
      </c>
      <c r="C823" s="27" t="s">
        <v>54</v>
      </c>
      <c r="D823" s="56" t="s">
        <v>2177</v>
      </c>
      <c r="E823" s="20" t="s">
        <v>1933</v>
      </c>
      <c r="F823" s="29" t="s">
        <v>2093</v>
      </c>
      <c r="G823" s="29" t="s">
        <v>15</v>
      </c>
      <c r="H823" s="19">
        <v>43757</v>
      </c>
      <c r="I823" s="3">
        <v>629</v>
      </c>
      <c r="J823" s="3" t="s">
        <v>58</v>
      </c>
      <c r="K823" s="16" t="s">
        <v>2176</v>
      </c>
      <c r="L823" s="33"/>
      <c r="M823" s="41" t="s">
        <v>871</v>
      </c>
      <c r="N823" s="40">
        <v>44182</v>
      </c>
      <c r="O823" s="33"/>
      <c r="P823" s="33"/>
      <c r="Q823" s="16" t="s">
        <v>75</v>
      </c>
      <c r="R823" s="16" t="s">
        <v>75</v>
      </c>
      <c r="S823" s="37" t="s">
        <v>68</v>
      </c>
      <c r="T823" s="37"/>
      <c r="U823" s="37" t="s">
        <v>68</v>
      </c>
      <c r="V823" s="37"/>
      <c r="W823" s="37"/>
      <c r="X823" s="37"/>
      <c r="Y823" s="37"/>
      <c r="Z823" s="37"/>
      <c r="AA823" s="37"/>
      <c r="AB823" s="24"/>
      <c r="AC823" s="24"/>
      <c r="AD823" s="33">
        <v>44651</v>
      </c>
      <c r="AE823" s="92"/>
    </row>
    <row r="824" spans="1:31" ht="22.8" x14ac:dyDescent="0.25">
      <c r="A824" s="28"/>
      <c r="B824" s="20">
        <v>37270</v>
      </c>
      <c r="C824" s="27" t="s">
        <v>64</v>
      </c>
      <c r="D824" s="56" t="s">
        <v>2178</v>
      </c>
      <c r="E824" s="20" t="s">
        <v>1933</v>
      </c>
      <c r="F824" s="29" t="s">
        <v>2093</v>
      </c>
      <c r="G824" s="29" t="s">
        <v>15</v>
      </c>
      <c r="H824" s="19">
        <v>43759</v>
      </c>
      <c r="I824" s="3">
        <v>579</v>
      </c>
      <c r="J824" s="3" t="s">
        <v>58</v>
      </c>
      <c r="K824" s="37" t="s">
        <v>59</v>
      </c>
      <c r="L824" s="40">
        <v>44044</v>
      </c>
      <c r="M824" s="16" t="s">
        <v>60</v>
      </c>
      <c r="N824" s="33">
        <v>44170</v>
      </c>
      <c r="O824" s="47">
        <v>43869</v>
      </c>
      <c r="P824" s="47"/>
      <c r="Q824" s="16" t="s">
        <v>75</v>
      </c>
      <c r="R824" s="16" t="s">
        <v>75</v>
      </c>
      <c r="S824" s="37" t="s">
        <v>62</v>
      </c>
      <c r="T824" s="42"/>
      <c r="U824" s="42" t="s">
        <v>62</v>
      </c>
      <c r="V824" s="42"/>
      <c r="W824" s="42"/>
      <c r="X824" s="42"/>
      <c r="Y824" s="42"/>
      <c r="Z824" s="42"/>
      <c r="AA824" s="42"/>
      <c r="AB824" s="24"/>
      <c r="AC824" s="24"/>
      <c r="AD824" s="33">
        <v>44688</v>
      </c>
      <c r="AE824" s="90"/>
    </row>
    <row r="825" spans="1:31" ht="22.8" x14ac:dyDescent="0.25">
      <c r="A825" s="28"/>
      <c r="B825" s="20">
        <v>37270</v>
      </c>
      <c r="C825" s="27" t="s">
        <v>54</v>
      </c>
      <c r="D825" s="56" t="s">
        <v>2179</v>
      </c>
      <c r="E825" s="20" t="s">
        <v>1933</v>
      </c>
      <c r="F825" s="29" t="s">
        <v>2093</v>
      </c>
      <c r="G825" s="29" t="s">
        <v>15</v>
      </c>
      <c r="H825" s="19">
        <v>43759</v>
      </c>
      <c r="I825" s="3">
        <v>578</v>
      </c>
      <c r="J825" s="3" t="s">
        <v>58</v>
      </c>
      <c r="K825" s="37" t="s">
        <v>59</v>
      </c>
      <c r="L825" s="40">
        <v>44044</v>
      </c>
      <c r="M825" s="16" t="s">
        <v>60</v>
      </c>
      <c r="N825" s="33">
        <v>44170</v>
      </c>
      <c r="O825" s="47">
        <v>43869</v>
      </c>
      <c r="P825" s="47"/>
      <c r="Q825" s="16" t="s">
        <v>75</v>
      </c>
      <c r="R825" s="16" t="s">
        <v>75</v>
      </c>
      <c r="S825" s="37" t="s">
        <v>68</v>
      </c>
      <c r="T825" s="42"/>
      <c r="U825" s="42" t="s">
        <v>68</v>
      </c>
      <c r="V825" s="42"/>
      <c r="W825" s="42"/>
      <c r="X825" s="42"/>
      <c r="Y825" s="42"/>
      <c r="Z825" s="42"/>
      <c r="AA825" s="42"/>
      <c r="AB825" s="24"/>
      <c r="AC825" s="24"/>
      <c r="AD825" s="33">
        <v>44688</v>
      </c>
      <c r="AE825" s="90"/>
    </row>
    <row r="826" spans="1:31" ht="22.8" x14ac:dyDescent="0.25">
      <c r="A826" s="28"/>
      <c r="B826" s="20">
        <v>37274</v>
      </c>
      <c r="C826" s="27" t="s">
        <v>64</v>
      </c>
      <c r="D826" s="17" t="s">
        <v>2180</v>
      </c>
      <c r="E826" s="20" t="s">
        <v>1933</v>
      </c>
      <c r="F826" s="29" t="s">
        <v>2093</v>
      </c>
      <c r="G826" s="29" t="s">
        <v>15</v>
      </c>
      <c r="H826" s="19">
        <v>43761</v>
      </c>
      <c r="I826" s="3">
        <v>596</v>
      </c>
      <c r="J826" s="3" t="s">
        <v>58</v>
      </c>
      <c r="K826" s="37" t="s">
        <v>59</v>
      </c>
      <c r="L826" s="33">
        <v>44097</v>
      </c>
      <c r="M826" s="41" t="s">
        <v>871</v>
      </c>
      <c r="N826" s="40">
        <v>44438</v>
      </c>
      <c r="O826" s="33">
        <v>43910</v>
      </c>
      <c r="P826" s="33"/>
      <c r="Q826" s="16" t="s">
        <v>75</v>
      </c>
      <c r="R826" s="16" t="s">
        <v>75</v>
      </c>
      <c r="S826" s="37" t="s">
        <v>68</v>
      </c>
      <c r="T826" s="37"/>
      <c r="U826" s="37" t="s">
        <v>68</v>
      </c>
      <c r="V826" s="37"/>
      <c r="W826" s="37"/>
      <c r="X826" s="37"/>
      <c r="Y826" s="37"/>
      <c r="Z826" s="37"/>
      <c r="AA826" s="37"/>
      <c r="AB826" s="24"/>
      <c r="AC826" s="24"/>
      <c r="AD826" s="33">
        <v>44596</v>
      </c>
      <c r="AE826" s="92"/>
    </row>
    <row r="827" spans="1:31" ht="22.8" x14ac:dyDescent="0.25">
      <c r="A827" s="28"/>
      <c r="B827" s="20">
        <v>37274</v>
      </c>
      <c r="C827" s="27" t="s">
        <v>54</v>
      </c>
      <c r="D827" s="17" t="s">
        <v>2181</v>
      </c>
      <c r="E827" s="20" t="s">
        <v>1933</v>
      </c>
      <c r="F827" s="29" t="s">
        <v>2093</v>
      </c>
      <c r="G827" s="29" t="s">
        <v>15</v>
      </c>
      <c r="H827" s="19">
        <v>43761</v>
      </c>
      <c r="I827" s="3">
        <v>597</v>
      </c>
      <c r="J827" s="3" t="s">
        <v>58</v>
      </c>
      <c r="K827" s="37" t="s">
        <v>59</v>
      </c>
      <c r="L827" s="33">
        <v>44097</v>
      </c>
      <c r="M827" s="41" t="s">
        <v>871</v>
      </c>
      <c r="N827" s="40">
        <v>44438</v>
      </c>
      <c r="O827" s="33">
        <v>43910</v>
      </c>
      <c r="P827" s="33"/>
      <c r="Q827" s="16" t="s">
        <v>75</v>
      </c>
      <c r="R827" s="16" t="s">
        <v>75</v>
      </c>
      <c r="S827" s="37" t="s">
        <v>62</v>
      </c>
      <c r="T827" s="37"/>
      <c r="U827" s="37" t="s">
        <v>62</v>
      </c>
      <c r="V827" s="37"/>
      <c r="W827" s="37"/>
      <c r="X827" s="37"/>
      <c r="Y827" s="37"/>
      <c r="Z827" s="37"/>
      <c r="AA827" s="37"/>
      <c r="AB827" s="24"/>
      <c r="AC827" s="24"/>
      <c r="AD827" s="33">
        <v>44596</v>
      </c>
      <c r="AE827" s="92"/>
    </row>
    <row r="828" spans="1:31" ht="22.8" x14ac:dyDescent="0.25">
      <c r="A828" s="28"/>
      <c r="B828" s="20">
        <v>37276</v>
      </c>
      <c r="C828" s="27" t="s">
        <v>64</v>
      </c>
      <c r="D828" s="17" t="s">
        <v>2182</v>
      </c>
      <c r="E828" s="20" t="s">
        <v>1933</v>
      </c>
      <c r="F828" s="29" t="s">
        <v>2093</v>
      </c>
      <c r="G828" s="29" t="s">
        <v>15</v>
      </c>
      <c r="H828" s="19">
        <v>43798</v>
      </c>
      <c r="I828" s="3">
        <v>626</v>
      </c>
      <c r="J828" s="3" t="s">
        <v>58</v>
      </c>
      <c r="K828" s="37" t="s">
        <v>59</v>
      </c>
      <c r="L828" s="33">
        <v>44187</v>
      </c>
      <c r="M828" s="41" t="s">
        <v>871</v>
      </c>
      <c r="N828" s="40">
        <v>44440</v>
      </c>
      <c r="O828" s="33">
        <v>44152</v>
      </c>
      <c r="P828" s="33"/>
      <c r="Q828" s="16" t="s">
        <v>75</v>
      </c>
      <c r="R828" s="16" t="s">
        <v>75</v>
      </c>
      <c r="S828" s="37" t="s">
        <v>68</v>
      </c>
      <c r="T828" s="37"/>
      <c r="U828" s="37" t="s">
        <v>68</v>
      </c>
      <c r="V828" s="37"/>
      <c r="W828" s="37"/>
      <c r="X828" s="37"/>
      <c r="Y828" s="37"/>
      <c r="Z828" s="37"/>
      <c r="AA828" s="37"/>
      <c r="AB828" s="24"/>
      <c r="AC828" s="24"/>
      <c r="AD828" s="33">
        <v>44603</v>
      </c>
      <c r="AE828" s="92"/>
    </row>
    <row r="829" spans="1:31" ht="22.8" x14ac:dyDescent="0.25">
      <c r="A829" s="28"/>
      <c r="B829" s="20">
        <v>37276</v>
      </c>
      <c r="C829" s="27" t="s">
        <v>54</v>
      </c>
      <c r="D829" s="17" t="s">
        <v>2183</v>
      </c>
      <c r="E829" s="20" t="s">
        <v>1933</v>
      </c>
      <c r="F829" s="29" t="s">
        <v>2093</v>
      </c>
      <c r="G829" s="29" t="s">
        <v>15</v>
      </c>
      <c r="H829" s="19">
        <v>43798</v>
      </c>
      <c r="I829" s="3">
        <v>627</v>
      </c>
      <c r="J829" s="3" t="s">
        <v>58</v>
      </c>
      <c r="K829" s="37" t="s">
        <v>59</v>
      </c>
      <c r="L829" s="33">
        <v>44187</v>
      </c>
      <c r="M829" s="41" t="s">
        <v>871</v>
      </c>
      <c r="N829" s="40">
        <v>44440</v>
      </c>
      <c r="O829" s="33">
        <v>44152</v>
      </c>
      <c r="P829" s="33"/>
      <c r="Q829" s="16" t="s">
        <v>75</v>
      </c>
      <c r="R829" s="16" t="s">
        <v>75</v>
      </c>
      <c r="S829" s="37" t="s">
        <v>62</v>
      </c>
      <c r="T829" s="37"/>
      <c r="U829" s="37" t="s">
        <v>62</v>
      </c>
      <c r="V829" s="37"/>
      <c r="W829" s="37"/>
      <c r="X829" s="37"/>
      <c r="Y829" s="37"/>
      <c r="Z829" s="37"/>
      <c r="AA829" s="37"/>
      <c r="AB829" s="24"/>
      <c r="AC829" s="24"/>
      <c r="AD829" s="33">
        <v>44603</v>
      </c>
      <c r="AE829" s="92"/>
    </row>
    <row r="830" spans="1:31" ht="22.8" x14ac:dyDescent="0.25">
      <c r="A830" s="28"/>
      <c r="B830" s="20">
        <v>37323</v>
      </c>
      <c r="C830" s="27" t="s">
        <v>64</v>
      </c>
      <c r="D830" s="3" t="s">
        <v>2184</v>
      </c>
      <c r="E830" s="20" t="s">
        <v>1933</v>
      </c>
      <c r="F830" s="29" t="s">
        <v>2093</v>
      </c>
      <c r="G830" s="29" t="s">
        <v>15</v>
      </c>
      <c r="H830" s="19">
        <v>43858</v>
      </c>
      <c r="I830" s="3">
        <v>698</v>
      </c>
      <c r="J830" s="3" t="s">
        <v>58</v>
      </c>
      <c r="K830" s="37" t="s">
        <v>59</v>
      </c>
      <c r="L830" s="33">
        <v>44121</v>
      </c>
      <c r="M830" s="41" t="s">
        <v>871</v>
      </c>
      <c r="N830" s="40">
        <v>44482</v>
      </c>
      <c r="O830" s="33">
        <v>44168</v>
      </c>
      <c r="P830" s="33"/>
      <c r="Q830" s="16" t="s">
        <v>75</v>
      </c>
      <c r="R830" s="16" t="s">
        <v>75</v>
      </c>
      <c r="S830" s="37" t="s">
        <v>68</v>
      </c>
      <c r="T830" s="16"/>
      <c r="U830" s="16" t="s">
        <v>68</v>
      </c>
      <c r="V830" s="16"/>
      <c r="W830" s="16"/>
      <c r="X830" s="16"/>
      <c r="Y830" s="16"/>
      <c r="Z830" s="16"/>
      <c r="AA830" s="16"/>
      <c r="AB830" s="24"/>
      <c r="AC830" s="24"/>
      <c r="AD830" s="33">
        <v>44674</v>
      </c>
    </row>
    <row r="831" spans="1:31" ht="22.8" x14ac:dyDescent="0.25">
      <c r="A831" s="28"/>
      <c r="B831" s="20">
        <v>37323</v>
      </c>
      <c r="C831" s="27" t="s">
        <v>54</v>
      </c>
      <c r="D831" s="3" t="s">
        <v>2185</v>
      </c>
      <c r="E831" s="20" t="s">
        <v>1933</v>
      </c>
      <c r="F831" s="29" t="s">
        <v>2093</v>
      </c>
      <c r="G831" s="29" t="s">
        <v>15</v>
      </c>
      <c r="H831" s="19">
        <v>43858</v>
      </c>
      <c r="I831" s="3">
        <v>704</v>
      </c>
      <c r="J831" s="3" t="s">
        <v>58</v>
      </c>
      <c r="K831" s="37" t="s">
        <v>59</v>
      </c>
      <c r="L831" s="33">
        <v>44121</v>
      </c>
      <c r="M831" s="41" t="s">
        <v>871</v>
      </c>
      <c r="N831" s="40">
        <v>44482</v>
      </c>
      <c r="O831" s="33">
        <v>44168</v>
      </c>
      <c r="P831" s="33"/>
      <c r="Q831" s="16" t="s">
        <v>75</v>
      </c>
      <c r="R831" s="16" t="s">
        <v>75</v>
      </c>
      <c r="S831" s="37" t="s">
        <v>62</v>
      </c>
      <c r="T831" s="16"/>
      <c r="U831" s="16" t="s">
        <v>62</v>
      </c>
      <c r="V831" s="16"/>
      <c r="W831" s="16"/>
      <c r="X831" s="16"/>
      <c r="Y831" s="16"/>
      <c r="Z831" s="16"/>
      <c r="AA831" s="16"/>
      <c r="AB831" s="24"/>
      <c r="AC831" s="24"/>
      <c r="AD831" s="33">
        <v>44674</v>
      </c>
    </row>
    <row r="832" spans="1:31" x14ac:dyDescent="0.25">
      <c r="A832" s="28"/>
      <c r="B832" s="20">
        <v>37325</v>
      </c>
      <c r="C832" s="27" t="s">
        <v>64</v>
      </c>
      <c r="D832" s="3" t="s">
        <v>2186</v>
      </c>
      <c r="E832" s="20" t="s">
        <v>1933</v>
      </c>
      <c r="F832" s="29" t="s">
        <v>2093</v>
      </c>
      <c r="G832" s="29" t="s">
        <v>15</v>
      </c>
      <c r="H832" s="19">
        <v>43860</v>
      </c>
      <c r="I832" s="3">
        <v>684</v>
      </c>
      <c r="J832" s="3" t="s">
        <v>58</v>
      </c>
      <c r="K832" s="16"/>
      <c r="L832" s="33"/>
      <c r="M832" s="41" t="s">
        <v>871</v>
      </c>
      <c r="N832" s="40">
        <v>44596</v>
      </c>
      <c r="O832" s="33">
        <v>44282</v>
      </c>
      <c r="P832" s="33"/>
      <c r="Q832" s="16" t="s">
        <v>75</v>
      </c>
      <c r="R832" s="16" t="s">
        <v>75</v>
      </c>
      <c r="S832" s="37" t="s">
        <v>68</v>
      </c>
      <c r="T832" s="16"/>
      <c r="U832" s="37" t="s">
        <v>68</v>
      </c>
      <c r="V832" s="16"/>
      <c r="W832" s="16"/>
      <c r="X832" s="16"/>
      <c r="Y832" s="16"/>
      <c r="Z832" s="16"/>
      <c r="AA832" s="16"/>
      <c r="AB832" s="24"/>
      <c r="AC832" s="24"/>
      <c r="AD832" s="33">
        <v>44596</v>
      </c>
    </row>
    <row r="833" spans="1:30" x14ac:dyDescent="0.25">
      <c r="A833" s="28"/>
      <c r="B833" s="20">
        <v>37325</v>
      </c>
      <c r="C833" s="27" t="s">
        <v>54</v>
      </c>
      <c r="D833" s="3" t="s">
        <v>2187</v>
      </c>
      <c r="E833" s="20" t="s">
        <v>1933</v>
      </c>
      <c r="F833" s="29" t="s">
        <v>2093</v>
      </c>
      <c r="G833" s="29" t="s">
        <v>15</v>
      </c>
      <c r="H833" s="19">
        <v>43860</v>
      </c>
      <c r="I833" s="3">
        <v>685</v>
      </c>
      <c r="J833" s="3" t="s">
        <v>58</v>
      </c>
      <c r="K833" s="16"/>
      <c r="L833" s="33"/>
      <c r="M833" s="41" t="s">
        <v>871</v>
      </c>
      <c r="N833" s="40">
        <v>44596</v>
      </c>
      <c r="O833" s="33">
        <v>44282</v>
      </c>
      <c r="P833" s="33"/>
      <c r="Q833" s="16" t="s">
        <v>75</v>
      </c>
      <c r="R833" s="16" t="s">
        <v>75</v>
      </c>
      <c r="S833" s="37" t="s">
        <v>62</v>
      </c>
      <c r="T833" s="16"/>
      <c r="U833" s="37" t="s">
        <v>62</v>
      </c>
      <c r="V833" s="16"/>
      <c r="W833" s="16"/>
      <c r="X833" s="16"/>
      <c r="Y833" s="16"/>
      <c r="Z833" s="16"/>
      <c r="AA833" s="16"/>
      <c r="AB833" s="24"/>
      <c r="AC833" s="24"/>
      <c r="AD833" s="33">
        <v>44596</v>
      </c>
    </row>
    <row r="834" spans="1:30" ht="22.8" x14ac:dyDescent="0.25">
      <c r="A834" s="28"/>
      <c r="B834" s="20">
        <v>37329</v>
      </c>
      <c r="C834" s="27" t="s">
        <v>64</v>
      </c>
      <c r="D834" s="3" t="s">
        <v>2188</v>
      </c>
      <c r="E834" s="20" t="s">
        <v>1933</v>
      </c>
      <c r="F834" s="29" t="s">
        <v>2093</v>
      </c>
      <c r="G834" s="29" t="s">
        <v>15</v>
      </c>
      <c r="H834" s="19">
        <v>43867</v>
      </c>
      <c r="I834" s="3">
        <v>693</v>
      </c>
      <c r="J834" s="3" t="s">
        <v>58</v>
      </c>
      <c r="K834" s="37" t="s">
        <v>59</v>
      </c>
      <c r="L834" s="33">
        <v>44045</v>
      </c>
      <c r="M834" s="41" t="s">
        <v>871</v>
      </c>
      <c r="N834" s="40">
        <v>44271</v>
      </c>
      <c r="O834" s="33">
        <v>43869</v>
      </c>
      <c r="P834" s="33"/>
      <c r="Q834" s="16" t="s">
        <v>75</v>
      </c>
      <c r="R834" s="16" t="s">
        <v>75</v>
      </c>
      <c r="S834" s="37" t="s">
        <v>68</v>
      </c>
      <c r="T834" s="16"/>
      <c r="U834" s="16" t="s">
        <v>68</v>
      </c>
      <c r="V834" s="16"/>
      <c r="W834" s="16"/>
      <c r="X834" s="16"/>
      <c r="Y834" s="16"/>
      <c r="Z834" s="16"/>
      <c r="AA834" s="16"/>
      <c r="AB834" s="24"/>
      <c r="AC834" s="24"/>
      <c r="AD834" s="33">
        <v>44661</v>
      </c>
    </row>
    <row r="835" spans="1:30" ht="22.8" x14ac:dyDescent="0.25">
      <c r="A835" s="28"/>
      <c r="B835" s="20">
        <v>37329</v>
      </c>
      <c r="C835" s="27" t="s">
        <v>54</v>
      </c>
      <c r="D835" s="3" t="s">
        <v>2189</v>
      </c>
      <c r="E835" s="20" t="s">
        <v>1933</v>
      </c>
      <c r="F835" s="29" t="s">
        <v>2093</v>
      </c>
      <c r="G835" s="29" t="s">
        <v>15</v>
      </c>
      <c r="H835" s="19">
        <v>43867</v>
      </c>
      <c r="I835" s="3">
        <v>701</v>
      </c>
      <c r="J835" s="3" t="s">
        <v>58</v>
      </c>
      <c r="K835" s="37" t="s">
        <v>59</v>
      </c>
      <c r="L835" s="33">
        <v>44045</v>
      </c>
      <c r="M835" s="41" t="s">
        <v>871</v>
      </c>
      <c r="N835" s="40">
        <v>44193</v>
      </c>
      <c r="O835" s="33">
        <v>43869</v>
      </c>
      <c r="P835" s="33"/>
      <c r="Q835" s="16" t="s">
        <v>75</v>
      </c>
      <c r="R835" s="16" t="s">
        <v>75</v>
      </c>
      <c r="S835" s="37" t="s">
        <v>62</v>
      </c>
      <c r="T835" s="16"/>
      <c r="U835" s="16" t="s">
        <v>62</v>
      </c>
      <c r="V835" s="16"/>
      <c r="W835" s="16"/>
      <c r="X835" s="16"/>
      <c r="Y835" s="16"/>
      <c r="Z835" s="16"/>
      <c r="AA835" s="16"/>
      <c r="AB835" s="24"/>
      <c r="AC835" s="24"/>
      <c r="AD835" s="33">
        <v>44661</v>
      </c>
    </row>
    <row r="836" spans="1:30" ht="22.8" x14ac:dyDescent="0.25">
      <c r="A836" s="28"/>
      <c r="B836" s="20">
        <v>37333</v>
      </c>
      <c r="C836" s="27" t="s">
        <v>64</v>
      </c>
      <c r="D836" s="56" t="s">
        <v>2190</v>
      </c>
      <c r="E836" s="20" t="s">
        <v>1933</v>
      </c>
      <c r="F836" s="29" t="s">
        <v>2093</v>
      </c>
      <c r="G836" s="29" t="s">
        <v>15</v>
      </c>
      <c r="H836" s="19">
        <v>43879</v>
      </c>
      <c r="I836" s="3">
        <v>585</v>
      </c>
      <c r="J836" s="3" t="s">
        <v>58</v>
      </c>
      <c r="K836" s="37" t="s">
        <v>59</v>
      </c>
      <c r="L836" s="33">
        <v>44086</v>
      </c>
      <c r="M836" s="41" t="s">
        <v>871</v>
      </c>
      <c r="N836" s="40">
        <v>44601</v>
      </c>
      <c r="O836" s="33"/>
      <c r="P836" s="33"/>
      <c r="Q836" s="16" t="s">
        <v>75</v>
      </c>
      <c r="R836" s="16" t="s">
        <v>75</v>
      </c>
      <c r="S836" s="37" t="s">
        <v>68</v>
      </c>
      <c r="T836" s="16"/>
      <c r="U836" s="16" t="s">
        <v>68</v>
      </c>
      <c r="V836" s="16"/>
      <c r="W836" s="16"/>
      <c r="X836" s="16"/>
      <c r="Y836" s="16"/>
      <c r="Z836" s="16"/>
      <c r="AA836" s="16"/>
      <c r="AB836" s="24"/>
      <c r="AC836" s="24"/>
      <c r="AD836" s="33">
        <v>44601</v>
      </c>
    </row>
    <row r="837" spans="1:30" ht="22.8" x14ac:dyDescent="0.25">
      <c r="A837" s="28"/>
      <c r="B837" s="20">
        <v>37333</v>
      </c>
      <c r="C837" s="27" t="s">
        <v>54</v>
      </c>
      <c r="D837" s="56" t="s">
        <v>2191</v>
      </c>
      <c r="E837" s="20" t="s">
        <v>1933</v>
      </c>
      <c r="F837" s="29" t="s">
        <v>2093</v>
      </c>
      <c r="G837" s="29" t="s">
        <v>15</v>
      </c>
      <c r="H837" s="19">
        <v>43879</v>
      </c>
      <c r="I837" s="3">
        <v>706</v>
      </c>
      <c r="J837" s="3" t="s">
        <v>58</v>
      </c>
      <c r="K837" s="37" t="s">
        <v>59</v>
      </c>
      <c r="L837" s="33">
        <v>44086</v>
      </c>
      <c r="M837" s="41" t="s">
        <v>871</v>
      </c>
      <c r="N837" s="40">
        <v>44601</v>
      </c>
      <c r="O837" s="33"/>
      <c r="P837" s="33"/>
      <c r="Q837" s="16" t="s">
        <v>75</v>
      </c>
      <c r="R837" s="16" t="s">
        <v>75</v>
      </c>
      <c r="S837" s="37" t="s">
        <v>62</v>
      </c>
      <c r="T837" s="16"/>
      <c r="U837" s="16" t="s">
        <v>62</v>
      </c>
      <c r="V837" s="16"/>
      <c r="W837" s="16"/>
      <c r="X837" s="16"/>
      <c r="Y837" s="16"/>
      <c r="Z837" s="16"/>
      <c r="AA837" s="16"/>
      <c r="AB837" s="24"/>
      <c r="AC837" s="24"/>
      <c r="AD837" s="33">
        <v>44601</v>
      </c>
    </row>
    <row r="838" spans="1:30" ht="22.8" x14ac:dyDescent="0.25">
      <c r="A838" s="28"/>
      <c r="B838" s="20">
        <v>37335</v>
      </c>
      <c r="C838" s="27" t="s">
        <v>64</v>
      </c>
      <c r="D838" s="56" t="s">
        <v>2192</v>
      </c>
      <c r="E838" s="20" t="s">
        <v>1933</v>
      </c>
      <c r="F838" s="29" t="s">
        <v>2093</v>
      </c>
      <c r="G838" s="29" t="s">
        <v>15</v>
      </c>
      <c r="H838" s="19">
        <v>43880</v>
      </c>
      <c r="I838" s="3">
        <v>697</v>
      </c>
      <c r="J838" s="3" t="s">
        <v>58</v>
      </c>
      <c r="K838" s="37" t="s">
        <v>59</v>
      </c>
      <c r="L838" s="33" t="s">
        <v>63</v>
      </c>
      <c r="M838" s="41" t="s">
        <v>871</v>
      </c>
      <c r="N838" s="40">
        <v>44524</v>
      </c>
      <c r="O838" s="33"/>
      <c r="P838" s="33"/>
      <c r="Q838" s="16" t="s">
        <v>75</v>
      </c>
      <c r="R838" s="16" t="s">
        <v>75</v>
      </c>
      <c r="S838" s="37" t="s">
        <v>68</v>
      </c>
      <c r="T838" s="16"/>
      <c r="U838" s="16" t="s">
        <v>68</v>
      </c>
      <c r="V838" s="16"/>
      <c r="W838" s="16"/>
      <c r="X838" s="16"/>
      <c r="Y838" s="16"/>
      <c r="Z838" s="16"/>
      <c r="AA838" s="16"/>
      <c r="AB838" s="24"/>
      <c r="AC838" s="24"/>
      <c r="AD838" s="33">
        <v>44668</v>
      </c>
    </row>
    <row r="839" spans="1:30" ht="22.8" x14ac:dyDescent="0.25">
      <c r="A839" s="28"/>
      <c r="B839" s="20">
        <v>37335</v>
      </c>
      <c r="C839" s="27" t="s">
        <v>54</v>
      </c>
      <c r="D839" s="56" t="s">
        <v>2193</v>
      </c>
      <c r="E839" s="20" t="s">
        <v>1933</v>
      </c>
      <c r="F839" s="29" t="s">
        <v>2093</v>
      </c>
      <c r="G839" s="29" t="s">
        <v>15</v>
      </c>
      <c r="H839" s="19">
        <v>43880</v>
      </c>
      <c r="I839" s="3">
        <v>572</v>
      </c>
      <c r="J839" s="3" t="s">
        <v>58</v>
      </c>
      <c r="K839" s="37" t="s">
        <v>59</v>
      </c>
      <c r="L839" s="33" t="s">
        <v>63</v>
      </c>
      <c r="M839" s="41" t="s">
        <v>871</v>
      </c>
      <c r="N839" s="40">
        <v>44524</v>
      </c>
      <c r="O839" s="33"/>
      <c r="P839" s="33"/>
      <c r="Q839" s="16" t="s">
        <v>75</v>
      </c>
      <c r="R839" s="16" t="s">
        <v>75</v>
      </c>
      <c r="S839" s="37" t="s">
        <v>62</v>
      </c>
      <c r="T839" s="16"/>
      <c r="U839" s="16" t="s">
        <v>62</v>
      </c>
      <c r="V839" s="16"/>
      <c r="W839" s="16"/>
      <c r="X839" s="16"/>
      <c r="Y839" s="16"/>
      <c r="Z839" s="16"/>
      <c r="AA839" s="16"/>
      <c r="AB839" s="24"/>
      <c r="AC839" s="24"/>
      <c r="AD839" s="33">
        <v>44668</v>
      </c>
    </row>
    <row r="840" spans="1:30" ht="22.8" x14ac:dyDescent="0.25">
      <c r="A840" s="28"/>
      <c r="B840" s="20">
        <v>37434</v>
      </c>
      <c r="C840" s="27" t="s">
        <v>64</v>
      </c>
      <c r="D840" s="56" t="s">
        <v>2194</v>
      </c>
      <c r="E840" s="20" t="s">
        <v>1933</v>
      </c>
      <c r="F840" s="29" t="s">
        <v>2093</v>
      </c>
      <c r="G840" s="29" t="s">
        <v>15</v>
      </c>
      <c r="H840" s="19">
        <v>44072</v>
      </c>
      <c r="I840" s="3">
        <v>839</v>
      </c>
      <c r="J840" s="3" t="s">
        <v>58</v>
      </c>
      <c r="K840" s="37" t="s">
        <v>59</v>
      </c>
      <c r="L840" s="33">
        <v>44187</v>
      </c>
      <c r="M840" s="41" t="s">
        <v>871</v>
      </c>
      <c r="N840" s="33">
        <v>44478</v>
      </c>
      <c r="O840" s="33"/>
      <c r="P840" s="33"/>
      <c r="Q840" s="16" t="s">
        <v>75</v>
      </c>
      <c r="R840" s="16" t="s">
        <v>75</v>
      </c>
      <c r="S840" s="37" t="s">
        <v>68</v>
      </c>
      <c r="T840" s="16"/>
      <c r="U840" s="37" t="s">
        <v>68</v>
      </c>
      <c r="V840" s="16"/>
      <c r="W840" s="16"/>
      <c r="X840" s="16" t="s">
        <v>75</v>
      </c>
      <c r="Y840" s="16"/>
      <c r="Z840" s="16"/>
      <c r="AA840" s="16"/>
      <c r="AB840" s="24"/>
      <c r="AC840" s="24"/>
      <c r="AD840" s="33">
        <v>44597</v>
      </c>
    </row>
    <row r="841" spans="1:30" ht="22.8" x14ac:dyDescent="0.25">
      <c r="A841" s="28"/>
      <c r="B841" s="20">
        <v>37434</v>
      </c>
      <c r="C841" s="27" t="s">
        <v>54</v>
      </c>
      <c r="D841" s="56" t="s">
        <v>2195</v>
      </c>
      <c r="E841" s="20" t="s">
        <v>1933</v>
      </c>
      <c r="F841" s="29" t="s">
        <v>2093</v>
      </c>
      <c r="G841" s="29" t="s">
        <v>15</v>
      </c>
      <c r="H841" s="19">
        <v>44072</v>
      </c>
      <c r="I841" s="3">
        <v>837</v>
      </c>
      <c r="J841" s="3" t="s">
        <v>58</v>
      </c>
      <c r="K841" s="37" t="s">
        <v>59</v>
      </c>
      <c r="L841" s="33">
        <v>44187</v>
      </c>
      <c r="M841" s="41" t="s">
        <v>871</v>
      </c>
      <c r="N841" s="33">
        <v>44478</v>
      </c>
      <c r="O841" s="33"/>
      <c r="P841" s="33"/>
      <c r="Q841" s="16" t="s">
        <v>75</v>
      </c>
      <c r="R841" s="16" t="s">
        <v>75</v>
      </c>
      <c r="S841" s="37" t="s">
        <v>62</v>
      </c>
      <c r="T841" s="16"/>
      <c r="U841" s="37" t="s">
        <v>62</v>
      </c>
      <c r="V841" s="16"/>
      <c r="W841" s="16"/>
      <c r="X841" s="16" t="s">
        <v>75</v>
      </c>
      <c r="Y841" s="16"/>
      <c r="Z841" s="16"/>
      <c r="AA841" s="16"/>
      <c r="AB841" s="24"/>
      <c r="AC841" s="24"/>
      <c r="AD841" s="33">
        <v>44597</v>
      </c>
    </row>
    <row r="842" spans="1:30" ht="22.8" x14ac:dyDescent="0.25">
      <c r="A842" s="28"/>
      <c r="B842" s="20">
        <v>37443</v>
      </c>
      <c r="C842" s="27" t="s">
        <v>64</v>
      </c>
      <c r="D842" s="56" t="s">
        <v>2196</v>
      </c>
      <c r="E842" s="20" t="s">
        <v>1933</v>
      </c>
      <c r="F842" s="29" t="s">
        <v>2093</v>
      </c>
      <c r="G842" s="29" t="s">
        <v>15</v>
      </c>
      <c r="H842" s="19">
        <v>44081</v>
      </c>
      <c r="I842" s="3">
        <v>841</v>
      </c>
      <c r="J842" s="3" t="s">
        <v>58</v>
      </c>
      <c r="K842" s="37" t="s">
        <v>59</v>
      </c>
      <c r="L842" s="33" t="s">
        <v>63</v>
      </c>
      <c r="M842" s="41" t="s">
        <v>871</v>
      </c>
      <c r="N842" s="33">
        <v>44596</v>
      </c>
      <c r="O842" s="33"/>
      <c r="P842" s="33"/>
      <c r="Q842" s="16" t="s">
        <v>75</v>
      </c>
      <c r="R842" s="16" t="s">
        <v>75</v>
      </c>
      <c r="S842" s="37" t="s">
        <v>68</v>
      </c>
      <c r="T842" s="16"/>
      <c r="U842" s="37" t="s">
        <v>68</v>
      </c>
      <c r="V842" s="16"/>
      <c r="W842" s="16"/>
      <c r="X842" s="16" t="s">
        <v>75</v>
      </c>
      <c r="Y842" s="16"/>
      <c r="Z842" s="16"/>
      <c r="AA842" s="16"/>
      <c r="AB842" s="24"/>
      <c r="AC842" s="24"/>
      <c r="AD842" s="33">
        <v>44596</v>
      </c>
    </row>
    <row r="843" spans="1:30" ht="22.8" x14ac:dyDescent="0.25">
      <c r="A843" s="28"/>
      <c r="B843" s="20">
        <v>37443</v>
      </c>
      <c r="C843" s="27" t="s">
        <v>54</v>
      </c>
      <c r="D843" s="56" t="s">
        <v>2197</v>
      </c>
      <c r="E843" s="20" t="s">
        <v>1933</v>
      </c>
      <c r="F843" s="29" t="s">
        <v>2093</v>
      </c>
      <c r="G843" s="29" t="s">
        <v>15</v>
      </c>
      <c r="H843" s="19">
        <v>44081</v>
      </c>
      <c r="I843" s="3">
        <v>846</v>
      </c>
      <c r="J843" s="3" t="s">
        <v>58</v>
      </c>
      <c r="K843" s="37" t="s">
        <v>59</v>
      </c>
      <c r="L843" s="33" t="s">
        <v>63</v>
      </c>
      <c r="M843" s="41" t="s">
        <v>871</v>
      </c>
      <c r="N843" s="33">
        <v>44596</v>
      </c>
      <c r="O843" s="33"/>
      <c r="P843" s="33"/>
      <c r="Q843" s="16" t="s">
        <v>75</v>
      </c>
      <c r="R843" s="16" t="s">
        <v>75</v>
      </c>
      <c r="S843" s="37" t="s">
        <v>62</v>
      </c>
      <c r="T843" s="16"/>
      <c r="U843" s="37" t="s">
        <v>62</v>
      </c>
      <c r="V843" s="16"/>
      <c r="W843" s="16"/>
      <c r="X843" s="16" t="s">
        <v>75</v>
      </c>
      <c r="Y843" s="16"/>
      <c r="Z843" s="16"/>
      <c r="AA843" s="16"/>
      <c r="AB843" s="24"/>
      <c r="AC843" s="24"/>
      <c r="AD843" s="33">
        <v>44596</v>
      </c>
    </row>
    <row r="844" spans="1:30" ht="22.8" x14ac:dyDescent="0.25">
      <c r="A844" s="28"/>
      <c r="B844" s="20">
        <v>37479</v>
      </c>
      <c r="C844" s="27" t="s">
        <v>64</v>
      </c>
      <c r="D844" s="56" t="s">
        <v>2198</v>
      </c>
      <c r="E844" s="20" t="s">
        <v>1933</v>
      </c>
      <c r="F844" s="29" t="s">
        <v>2093</v>
      </c>
      <c r="G844" s="29" t="s">
        <v>15</v>
      </c>
      <c r="H844" s="19">
        <v>44161</v>
      </c>
      <c r="I844" s="3">
        <v>899</v>
      </c>
      <c r="J844" s="3" t="s">
        <v>58</v>
      </c>
      <c r="K844" s="37" t="s">
        <v>59</v>
      </c>
      <c r="L844" s="16" t="s">
        <v>75</v>
      </c>
      <c r="M844" s="41" t="s">
        <v>871</v>
      </c>
      <c r="N844" s="33">
        <v>44198</v>
      </c>
      <c r="O844" s="33"/>
      <c r="P844" s="33"/>
      <c r="Q844" s="16" t="s">
        <v>75</v>
      </c>
      <c r="R844" s="16" t="s">
        <v>75</v>
      </c>
      <c r="S844" s="37" t="s">
        <v>68</v>
      </c>
      <c r="T844" s="16"/>
      <c r="U844" s="16" t="s">
        <v>68</v>
      </c>
      <c r="V844" s="16"/>
      <c r="W844" s="16"/>
      <c r="X844" s="16" t="s">
        <v>75</v>
      </c>
      <c r="Y844" s="16"/>
      <c r="Z844" s="16"/>
      <c r="AA844" s="16"/>
      <c r="AB844" s="24"/>
      <c r="AC844" s="24"/>
      <c r="AD844" s="33">
        <v>44613</v>
      </c>
    </row>
    <row r="845" spans="1:30" ht="22.8" x14ac:dyDescent="0.25">
      <c r="A845" s="28"/>
      <c r="B845" s="20">
        <v>37479</v>
      </c>
      <c r="C845" s="27" t="s">
        <v>54</v>
      </c>
      <c r="D845" s="56" t="s">
        <v>2199</v>
      </c>
      <c r="E845" s="20" t="s">
        <v>1933</v>
      </c>
      <c r="F845" s="29" t="s">
        <v>2093</v>
      </c>
      <c r="G845" s="29" t="s">
        <v>15</v>
      </c>
      <c r="H845" s="19">
        <v>44161</v>
      </c>
      <c r="I845" s="3">
        <v>903</v>
      </c>
      <c r="J845" s="3" t="s">
        <v>58</v>
      </c>
      <c r="K845" s="37" t="s">
        <v>59</v>
      </c>
      <c r="L845" s="16" t="s">
        <v>75</v>
      </c>
      <c r="M845" s="41" t="s">
        <v>871</v>
      </c>
      <c r="N845" s="33">
        <v>44198</v>
      </c>
      <c r="O845" s="33"/>
      <c r="P845" s="33"/>
      <c r="Q845" s="16" t="s">
        <v>75</v>
      </c>
      <c r="R845" s="16" t="s">
        <v>75</v>
      </c>
      <c r="S845" s="37" t="s">
        <v>62</v>
      </c>
      <c r="T845" s="16"/>
      <c r="U845" s="16" t="s">
        <v>62</v>
      </c>
      <c r="V845" s="16"/>
      <c r="W845" s="16"/>
      <c r="X845" s="16" t="s">
        <v>75</v>
      </c>
      <c r="Y845" s="16"/>
      <c r="Z845" s="16"/>
      <c r="AA845" s="16"/>
      <c r="AB845" s="24"/>
      <c r="AC845" s="24"/>
      <c r="AD845" s="33">
        <v>44613</v>
      </c>
    </row>
    <row r="846" spans="1:30" ht="22.8" x14ac:dyDescent="0.25">
      <c r="A846" s="28"/>
      <c r="B846" s="20">
        <v>37488</v>
      </c>
      <c r="C846" s="27" t="s">
        <v>64</v>
      </c>
      <c r="D846" s="56" t="s">
        <v>2200</v>
      </c>
      <c r="E846" s="20" t="s">
        <v>1933</v>
      </c>
      <c r="F846" s="29" t="s">
        <v>2093</v>
      </c>
      <c r="G846" s="29" t="s">
        <v>15</v>
      </c>
      <c r="H846" s="19">
        <v>44164</v>
      </c>
      <c r="I846" s="3">
        <v>948</v>
      </c>
      <c r="J846" s="3" t="s">
        <v>58</v>
      </c>
      <c r="K846" s="37" t="s">
        <v>59</v>
      </c>
      <c r="L846" s="16" t="s">
        <v>75</v>
      </c>
      <c r="M846" s="41" t="s">
        <v>871</v>
      </c>
      <c r="N846" s="33">
        <v>44459</v>
      </c>
      <c r="O846" s="33"/>
      <c r="P846" s="33"/>
      <c r="Q846" s="16" t="s">
        <v>75</v>
      </c>
      <c r="R846" s="16" t="s">
        <v>75</v>
      </c>
      <c r="S846" s="37" t="s">
        <v>68</v>
      </c>
      <c r="T846" s="16"/>
      <c r="U846" s="16" t="s">
        <v>68</v>
      </c>
      <c r="V846" s="16"/>
      <c r="W846" s="16"/>
      <c r="X846" s="16" t="s">
        <v>75</v>
      </c>
      <c r="Y846" s="16"/>
      <c r="Z846" s="16"/>
      <c r="AA846" s="16"/>
      <c r="AB846" s="24"/>
      <c r="AC846" s="24"/>
      <c r="AD846" s="33">
        <v>44601</v>
      </c>
    </row>
    <row r="847" spans="1:30" ht="22.8" x14ac:dyDescent="0.25">
      <c r="A847" s="28"/>
      <c r="B847" s="20">
        <v>37488</v>
      </c>
      <c r="C847" s="27" t="s">
        <v>54</v>
      </c>
      <c r="D847" s="56" t="s">
        <v>2201</v>
      </c>
      <c r="E847" s="20" t="s">
        <v>1933</v>
      </c>
      <c r="F847" s="29" t="s">
        <v>2093</v>
      </c>
      <c r="G847" s="29" t="s">
        <v>15</v>
      </c>
      <c r="H847" s="19">
        <v>44164</v>
      </c>
      <c r="I847" s="3">
        <v>949</v>
      </c>
      <c r="J847" s="3" t="s">
        <v>58</v>
      </c>
      <c r="K847" s="37" t="s">
        <v>59</v>
      </c>
      <c r="L847" s="16" t="s">
        <v>75</v>
      </c>
      <c r="M847" s="41" t="s">
        <v>871</v>
      </c>
      <c r="N847" s="33">
        <v>44459</v>
      </c>
      <c r="O847" s="33"/>
      <c r="P847" s="33"/>
      <c r="Q847" s="16" t="s">
        <v>75</v>
      </c>
      <c r="R847" s="16" t="s">
        <v>75</v>
      </c>
      <c r="S847" s="37" t="s">
        <v>62</v>
      </c>
      <c r="T847" s="16"/>
      <c r="U847" s="16" t="s">
        <v>62</v>
      </c>
      <c r="V847" s="16"/>
      <c r="W847" s="16"/>
      <c r="X847" s="16" t="s">
        <v>75</v>
      </c>
      <c r="Y847" s="16"/>
      <c r="Z847" s="16"/>
      <c r="AA847" s="16"/>
      <c r="AB847" s="24"/>
      <c r="AC847" s="24"/>
      <c r="AD847" s="33">
        <v>44601</v>
      </c>
    </row>
    <row r="848" spans="1:30" x14ac:dyDescent="0.25">
      <c r="A848" s="28"/>
      <c r="B848" s="20">
        <v>37496</v>
      </c>
      <c r="C848" s="27" t="s">
        <v>64</v>
      </c>
      <c r="D848" s="56" t="s">
        <v>2202</v>
      </c>
      <c r="E848" s="20" t="s">
        <v>1933</v>
      </c>
      <c r="F848" s="29" t="s">
        <v>2093</v>
      </c>
      <c r="G848" s="29" t="s">
        <v>15</v>
      </c>
      <c r="H848" s="19">
        <v>44177</v>
      </c>
      <c r="I848" s="3">
        <v>848</v>
      </c>
      <c r="J848" s="3" t="s">
        <v>58</v>
      </c>
      <c r="K848" s="16"/>
      <c r="L848" s="33"/>
      <c r="M848" s="16" t="s">
        <v>60</v>
      </c>
      <c r="N848" s="33">
        <v>44211</v>
      </c>
      <c r="O848" s="33"/>
      <c r="P848" s="33"/>
      <c r="Q848" s="16" t="s">
        <v>75</v>
      </c>
      <c r="R848" s="16" t="s">
        <v>75</v>
      </c>
      <c r="S848" s="37" t="s">
        <v>68</v>
      </c>
      <c r="T848" s="16"/>
      <c r="U848" s="16" t="s">
        <v>68</v>
      </c>
      <c r="V848" s="16"/>
      <c r="W848" s="16"/>
      <c r="X848" s="16" t="s">
        <v>75</v>
      </c>
      <c r="Y848" s="16"/>
      <c r="Z848" s="16"/>
      <c r="AA848" s="16"/>
      <c r="AB848" s="24"/>
      <c r="AC848" s="24"/>
      <c r="AD848" s="33">
        <v>44613</v>
      </c>
    </row>
    <row r="849" spans="1:31" x14ac:dyDescent="0.25">
      <c r="A849" s="28"/>
      <c r="B849" s="20">
        <v>37496</v>
      </c>
      <c r="C849" s="27" t="s">
        <v>54</v>
      </c>
      <c r="D849" s="56" t="s">
        <v>2203</v>
      </c>
      <c r="E849" s="20" t="s">
        <v>1933</v>
      </c>
      <c r="F849" s="29" t="s">
        <v>2093</v>
      </c>
      <c r="G849" s="29" t="s">
        <v>15</v>
      </c>
      <c r="H849" s="19">
        <v>44177</v>
      </c>
      <c r="I849" s="3">
        <v>849</v>
      </c>
      <c r="J849" s="3" t="s">
        <v>58</v>
      </c>
      <c r="K849" s="16"/>
      <c r="L849" s="33"/>
      <c r="M849" s="16" t="s">
        <v>60</v>
      </c>
      <c r="N849" s="33">
        <v>44211</v>
      </c>
      <c r="O849" s="33"/>
      <c r="P849" s="33"/>
      <c r="Q849" s="16" t="s">
        <v>75</v>
      </c>
      <c r="R849" s="16" t="s">
        <v>75</v>
      </c>
      <c r="S849" s="37" t="s">
        <v>62</v>
      </c>
      <c r="T849" s="16"/>
      <c r="U849" s="16" t="s">
        <v>62</v>
      </c>
      <c r="V849" s="16"/>
      <c r="W849" s="16"/>
      <c r="X849" s="16" t="s">
        <v>75</v>
      </c>
      <c r="Y849" s="16"/>
      <c r="Z849" s="16"/>
      <c r="AA849" s="16"/>
      <c r="AB849" s="24"/>
      <c r="AC849" s="24"/>
      <c r="AD849" s="33">
        <v>44613</v>
      </c>
    </row>
    <row r="850" spans="1:31" ht="22.8" x14ac:dyDescent="0.25">
      <c r="A850" s="28"/>
      <c r="B850" s="20">
        <v>37498</v>
      </c>
      <c r="C850" s="27" t="s">
        <v>64</v>
      </c>
      <c r="D850" s="56" t="s">
        <v>2204</v>
      </c>
      <c r="E850" s="20" t="s">
        <v>1933</v>
      </c>
      <c r="F850" s="29" t="s">
        <v>2093</v>
      </c>
      <c r="G850" s="29" t="s">
        <v>15</v>
      </c>
      <c r="H850" s="19">
        <v>44182</v>
      </c>
      <c r="I850" s="3">
        <v>900</v>
      </c>
      <c r="J850" s="3" t="s">
        <v>58</v>
      </c>
      <c r="K850" s="37" t="s">
        <v>59</v>
      </c>
      <c r="L850" s="16" t="s">
        <v>75</v>
      </c>
      <c r="M850" s="41" t="s">
        <v>871</v>
      </c>
      <c r="N850" s="33">
        <v>44610</v>
      </c>
      <c r="O850" s="33"/>
      <c r="P850" s="33"/>
      <c r="Q850" s="16" t="s">
        <v>75</v>
      </c>
      <c r="R850" s="16" t="s">
        <v>75</v>
      </c>
      <c r="S850" s="37" t="s">
        <v>68</v>
      </c>
      <c r="T850" s="16"/>
      <c r="U850" s="16" t="s">
        <v>68</v>
      </c>
      <c r="V850" s="16"/>
      <c r="W850" s="16"/>
      <c r="X850" s="16" t="s">
        <v>75</v>
      </c>
      <c r="Y850" s="16"/>
      <c r="Z850" s="16"/>
      <c r="AA850" s="16"/>
      <c r="AB850" s="24"/>
      <c r="AC850" s="24"/>
      <c r="AD850" s="33">
        <v>44680</v>
      </c>
    </row>
    <row r="851" spans="1:31" ht="22.8" x14ac:dyDescent="0.25">
      <c r="A851" s="28"/>
      <c r="B851" s="20">
        <v>37498</v>
      </c>
      <c r="C851" s="27" t="s">
        <v>54</v>
      </c>
      <c r="D851" s="56" t="s">
        <v>2205</v>
      </c>
      <c r="E851" s="20" t="s">
        <v>1933</v>
      </c>
      <c r="F851" s="29" t="s">
        <v>2093</v>
      </c>
      <c r="G851" s="29" t="s">
        <v>15</v>
      </c>
      <c r="H851" s="19">
        <v>44182</v>
      </c>
      <c r="I851" s="3">
        <v>901</v>
      </c>
      <c r="J851" s="3" t="s">
        <v>58</v>
      </c>
      <c r="K851" s="37" t="s">
        <v>59</v>
      </c>
      <c r="L851" s="16" t="s">
        <v>75</v>
      </c>
      <c r="M851" s="41" t="s">
        <v>871</v>
      </c>
      <c r="N851" s="33">
        <v>44610</v>
      </c>
      <c r="O851" s="33"/>
      <c r="P851" s="33"/>
      <c r="Q851" s="16" t="s">
        <v>75</v>
      </c>
      <c r="R851" s="16" t="s">
        <v>75</v>
      </c>
      <c r="S851" s="37" t="s">
        <v>62</v>
      </c>
      <c r="T851" s="16"/>
      <c r="U851" s="16" t="s">
        <v>62</v>
      </c>
      <c r="V851" s="16"/>
      <c r="W851" s="16"/>
      <c r="X851" s="16" t="s">
        <v>75</v>
      </c>
      <c r="Y851" s="16"/>
      <c r="Z851" s="16"/>
      <c r="AA851" s="16"/>
      <c r="AB851" s="24"/>
      <c r="AC851" s="24"/>
      <c r="AD851" s="33">
        <v>44680</v>
      </c>
    </row>
    <row r="852" spans="1:31" x14ac:dyDescent="0.25">
      <c r="A852" s="28"/>
      <c r="B852" s="20">
        <v>37500</v>
      </c>
      <c r="C852" s="27" t="s">
        <v>64</v>
      </c>
      <c r="D852" s="20" t="s">
        <v>2206</v>
      </c>
      <c r="E852" s="20" t="s">
        <v>1933</v>
      </c>
      <c r="F852" s="29" t="s">
        <v>2093</v>
      </c>
      <c r="G852" s="29" t="s">
        <v>15</v>
      </c>
      <c r="H852" s="19">
        <v>44186</v>
      </c>
      <c r="I852" s="3">
        <v>874</v>
      </c>
      <c r="J852" s="3" t="s">
        <v>58</v>
      </c>
      <c r="K852" s="16"/>
      <c r="L852" s="33"/>
      <c r="M852" s="41" t="s">
        <v>871</v>
      </c>
      <c r="N852" s="33">
        <v>44615</v>
      </c>
      <c r="O852" s="33"/>
      <c r="P852" s="33"/>
      <c r="Q852" s="16" t="s">
        <v>75</v>
      </c>
      <c r="R852" s="16" t="s">
        <v>75</v>
      </c>
      <c r="S852" s="37" t="s">
        <v>68</v>
      </c>
      <c r="T852" s="16"/>
      <c r="U852" s="16" t="s">
        <v>68</v>
      </c>
      <c r="V852" s="16"/>
      <c r="W852" s="16"/>
      <c r="X852" s="16" t="s">
        <v>75</v>
      </c>
      <c r="Y852" s="16"/>
      <c r="Z852" s="16"/>
      <c r="AA852" s="16"/>
      <c r="AB852" s="24"/>
      <c r="AC852" s="24"/>
      <c r="AD852" s="33">
        <v>44672</v>
      </c>
    </row>
    <row r="853" spans="1:31" x14ac:dyDescent="0.25">
      <c r="A853" s="28"/>
      <c r="B853" s="20">
        <v>37500</v>
      </c>
      <c r="C853" s="27" t="s">
        <v>54</v>
      </c>
      <c r="D853" s="20" t="s">
        <v>2207</v>
      </c>
      <c r="E853" s="20" t="s">
        <v>1933</v>
      </c>
      <c r="F853" s="29" t="s">
        <v>2093</v>
      </c>
      <c r="G853" s="29" t="s">
        <v>15</v>
      </c>
      <c r="H853" s="19">
        <v>44186</v>
      </c>
      <c r="I853" s="3">
        <v>875</v>
      </c>
      <c r="J853" s="3" t="s">
        <v>58</v>
      </c>
      <c r="K853" s="16"/>
      <c r="L853" s="33"/>
      <c r="M853" s="41" t="s">
        <v>871</v>
      </c>
      <c r="N853" s="33">
        <v>44615</v>
      </c>
      <c r="O853" s="33"/>
      <c r="P853" s="33"/>
      <c r="Q853" s="16" t="s">
        <v>75</v>
      </c>
      <c r="R853" s="16" t="s">
        <v>75</v>
      </c>
      <c r="S853" s="37" t="s">
        <v>62</v>
      </c>
      <c r="T853" s="16"/>
      <c r="U853" s="16" t="s">
        <v>62</v>
      </c>
      <c r="V853" s="16"/>
      <c r="W853" s="16"/>
      <c r="X853" s="16" t="s">
        <v>75</v>
      </c>
      <c r="Y853" s="16"/>
      <c r="Z853" s="16"/>
      <c r="AA853" s="16"/>
      <c r="AB853" s="24"/>
      <c r="AC853" s="24"/>
      <c r="AD853" s="33">
        <v>44672</v>
      </c>
    </row>
    <row r="854" spans="1:31" ht="22.8" x14ac:dyDescent="0.25">
      <c r="A854" s="28"/>
      <c r="B854" s="20">
        <v>37537</v>
      </c>
      <c r="C854" s="27" t="s">
        <v>64</v>
      </c>
      <c r="D854" s="56" t="s">
        <v>2208</v>
      </c>
      <c r="E854" s="20" t="s">
        <v>1933</v>
      </c>
      <c r="F854" s="24" t="s">
        <v>2093</v>
      </c>
      <c r="G854" s="29" t="s">
        <v>15</v>
      </c>
      <c r="H854" s="19">
        <v>44225</v>
      </c>
      <c r="I854" s="3">
        <v>862</v>
      </c>
      <c r="J854" s="3" t="s">
        <v>58</v>
      </c>
      <c r="K854" s="37" t="s">
        <v>59</v>
      </c>
      <c r="L854" s="33">
        <v>44317</v>
      </c>
      <c r="M854" s="41" t="s">
        <v>871</v>
      </c>
      <c r="N854" s="33">
        <v>44615</v>
      </c>
      <c r="O854" s="33"/>
      <c r="P854" s="33"/>
      <c r="Q854" s="16" t="s">
        <v>75</v>
      </c>
      <c r="R854" s="16" t="s">
        <v>75</v>
      </c>
      <c r="S854" s="37" t="s">
        <v>68</v>
      </c>
      <c r="T854" s="16" t="s">
        <v>68</v>
      </c>
      <c r="U854" s="16" t="s">
        <v>68</v>
      </c>
      <c r="V854" s="16"/>
      <c r="W854" s="16"/>
      <c r="X854" s="16" t="s">
        <v>75</v>
      </c>
      <c r="Y854" s="16"/>
      <c r="Z854" s="16"/>
      <c r="AA854" s="16"/>
      <c r="AB854" s="24"/>
      <c r="AC854" s="24"/>
      <c r="AD854" s="33">
        <v>44733</v>
      </c>
    </row>
    <row r="855" spans="1:31" ht="22.8" x14ac:dyDescent="0.25">
      <c r="A855" s="28"/>
      <c r="B855" s="20">
        <v>37537</v>
      </c>
      <c r="C855" s="27" t="s">
        <v>54</v>
      </c>
      <c r="D855" s="56" t="s">
        <v>2209</v>
      </c>
      <c r="E855" s="20" t="s">
        <v>1933</v>
      </c>
      <c r="F855" s="24" t="s">
        <v>2093</v>
      </c>
      <c r="G855" s="29" t="s">
        <v>15</v>
      </c>
      <c r="H855" s="19">
        <v>44225</v>
      </c>
      <c r="I855" s="3">
        <v>931</v>
      </c>
      <c r="J855" s="3" t="s">
        <v>58</v>
      </c>
      <c r="K855" s="37" t="s">
        <v>59</v>
      </c>
      <c r="L855" s="16" t="s">
        <v>75</v>
      </c>
      <c r="M855" s="41" t="s">
        <v>871</v>
      </c>
      <c r="N855" s="33">
        <v>44615</v>
      </c>
      <c r="O855" s="33"/>
      <c r="P855" s="33"/>
      <c r="Q855" s="16" t="s">
        <v>75</v>
      </c>
      <c r="R855" s="16" t="s">
        <v>75</v>
      </c>
      <c r="S855" s="37" t="s">
        <v>62</v>
      </c>
      <c r="T855" s="16" t="s">
        <v>62</v>
      </c>
      <c r="U855" s="16" t="s">
        <v>62</v>
      </c>
      <c r="V855" s="16"/>
      <c r="W855" s="16"/>
      <c r="X855" s="16" t="s">
        <v>75</v>
      </c>
      <c r="Y855" s="16"/>
      <c r="Z855" s="16"/>
      <c r="AA855" s="16"/>
      <c r="AB855" s="24"/>
      <c r="AC855" s="24"/>
      <c r="AD855" s="33">
        <v>44733</v>
      </c>
    </row>
    <row r="856" spans="1:31" ht="22.8" x14ac:dyDescent="0.25">
      <c r="A856" s="28"/>
      <c r="B856" s="20">
        <v>37565</v>
      </c>
      <c r="C856" s="27" t="s">
        <v>64</v>
      </c>
      <c r="D856" s="20" t="s">
        <v>2210</v>
      </c>
      <c r="E856" s="20" t="s">
        <v>1933</v>
      </c>
      <c r="F856" s="3" t="s">
        <v>2093</v>
      </c>
      <c r="G856" s="29" t="s">
        <v>15</v>
      </c>
      <c r="H856" s="19">
        <v>44279</v>
      </c>
      <c r="I856" s="3">
        <v>752</v>
      </c>
      <c r="J856" s="3" t="s">
        <v>58</v>
      </c>
      <c r="K856" s="37" t="s">
        <v>59</v>
      </c>
      <c r="L856" s="33">
        <v>44326</v>
      </c>
      <c r="M856" s="41" t="s">
        <v>871</v>
      </c>
      <c r="N856" s="33">
        <v>44460</v>
      </c>
      <c r="O856" s="33"/>
      <c r="P856" s="33"/>
      <c r="Q856" s="16" t="s">
        <v>75</v>
      </c>
      <c r="R856" s="16" t="s">
        <v>75</v>
      </c>
      <c r="S856" s="37" t="s">
        <v>68</v>
      </c>
      <c r="T856" s="16"/>
      <c r="U856" s="16" t="s">
        <v>68</v>
      </c>
      <c r="V856" s="16"/>
      <c r="W856" s="16"/>
      <c r="X856" s="16"/>
      <c r="Y856" s="16"/>
      <c r="Z856" s="16"/>
      <c r="AA856" s="16"/>
      <c r="AB856" s="24"/>
      <c r="AC856" s="24"/>
      <c r="AD856" s="33">
        <v>44597</v>
      </c>
    </row>
    <row r="857" spans="1:31" ht="22.8" x14ac:dyDescent="0.25">
      <c r="A857" s="28"/>
      <c r="B857" s="20">
        <v>37565</v>
      </c>
      <c r="C857" s="27" t="s">
        <v>54</v>
      </c>
      <c r="D857" s="20" t="s">
        <v>2211</v>
      </c>
      <c r="E857" s="20" t="s">
        <v>1933</v>
      </c>
      <c r="F857" s="3" t="s">
        <v>2093</v>
      </c>
      <c r="G857" s="29" t="s">
        <v>15</v>
      </c>
      <c r="H857" s="19">
        <v>44279</v>
      </c>
      <c r="I857" s="3">
        <v>789</v>
      </c>
      <c r="J857" s="3" t="s">
        <v>58</v>
      </c>
      <c r="K857" s="37" t="s">
        <v>59</v>
      </c>
      <c r="L857" s="33">
        <v>44326</v>
      </c>
      <c r="M857" s="41" t="s">
        <v>871</v>
      </c>
      <c r="N857" s="33">
        <v>44460</v>
      </c>
      <c r="O857" s="33"/>
      <c r="P857" s="33"/>
      <c r="Q857" s="16" t="s">
        <v>75</v>
      </c>
      <c r="R857" s="16" t="s">
        <v>75</v>
      </c>
      <c r="S857" s="37" t="s">
        <v>62</v>
      </c>
      <c r="T857" s="16" t="s">
        <v>62</v>
      </c>
      <c r="U857" s="16" t="s">
        <v>62</v>
      </c>
      <c r="V857" s="16"/>
      <c r="W857" s="16"/>
      <c r="X857" s="16" t="s">
        <v>75</v>
      </c>
      <c r="Y857" s="16"/>
      <c r="Z857" s="16"/>
      <c r="AA857" s="16"/>
      <c r="AB857" s="24"/>
      <c r="AC857" s="24"/>
      <c r="AD857" s="33">
        <v>44597</v>
      </c>
    </row>
    <row r="858" spans="1:31" ht="22.8" x14ac:dyDescent="0.25">
      <c r="A858" s="29"/>
      <c r="B858" s="20">
        <v>37572</v>
      </c>
      <c r="C858" s="27" t="s">
        <v>64</v>
      </c>
      <c r="D858" s="20" t="s">
        <v>2212</v>
      </c>
      <c r="E858" s="20" t="s">
        <v>1933</v>
      </c>
      <c r="F858" s="3" t="s">
        <v>2093</v>
      </c>
      <c r="G858" s="29" t="s">
        <v>15</v>
      </c>
      <c r="H858" s="19">
        <v>44292</v>
      </c>
      <c r="I858" s="3">
        <v>798</v>
      </c>
      <c r="J858" s="3" t="s">
        <v>58</v>
      </c>
      <c r="K858" s="37" t="s">
        <v>59</v>
      </c>
      <c r="L858" s="33">
        <v>44343</v>
      </c>
      <c r="M858" s="41" t="s">
        <v>871</v>
      </c>
      <c r="N858" s="33">
        <v>44459</v>
      </c>
      <c r="O858" s="24"/>
      <c r="P858" s="24"/>
      <c r="Q858" s="16" t="s">
        <v>75</v>
      </c>
      <c r="R858" s="16" t="s">
        <v>75</v>
      </c>
      <c r="S858" s="37" t="s">
        <v>68</v>
      </c>
      <c r="T858" s="24"/>
      <c r="U858" s="37" t="s">
        <v>68</v>
      </c>
      <c r="V858" s="24"/>
      <c r="W858" s="24"/>
      <c r="X858" s="16" t="s">
        <v>75</v>
      </c>
      <c r="Y858" s="24"/>
      <c r="Z858" s="24"/>
      <c r="AA858" s="24"/>
      <c r="AB858" s="24"/>
      <c r="AC858" s="24"/>
      <c r="AD858" s="33">
        <v>44595</v>
      </c>
      <c r="AE858"/>
    </row>
    <row r="859" spans="1:31" ht="22.8" x14ac:dyDescent="0.25">
      <c r="A859" s="29"/>
      <c r="B859" s="20">
        <v>37572</v>
      </c>
      <c r="C859" s="27" t="s">
        <v>54</v>
      </c>
      <c r="D859" s="20" t="s">
        <v>2213</v>
      </c>
      <c r="E859" s="20" t="s">
        <v>1933</v>
      </c>
      <c r="F859" s="3" t="s">
        <v>2093</v>
      </c>
      <c r="G859" s="29" t="s">
        <v>15</v>
      </c>
      <c r="H859" s="19">
        <v>44292</v>
      </c>
      <c r="I859" s="3">
        <v>800</v>
      </c>
      <c r="J859" s="3" t="s">
        <v>58</v>
      </c>
      <c r="K859" s="37" t="s">
        <v>59</v>
      </c>
      <c r="L859" s="33">
        <v>44343</v>
      </c>
      <c r="M859" s="41" t="s">
        <v>871</v>
      </c>
      <c r="N859" s="33">
        <v>44459</v>
      </c>
      <c r="O859" s="24"/>
      <c r="P859" s="24"/>
      <c r="Q859" s="16" t="s">
        <v>75</v>
      </c>
      <c r="R859" s="16" t="s">
        <v>75</v>
      </c>
      <c r="S859" s="37" t="s">
        <v>62</v>
      </c>
      <c r="T859" s="24"/>
      <c r="U859" s="37" t="s">
        <v>62</v>
      </c>
      <c r="V859" s="24"/>
      <c r="W859" s="24"/>
      <c r="X859" s="16" t="s">
        <v>75</v>
      </c>
      <c r="Y859" s="24"/>
      <c r="Z859" s="24"/>
      <c r="AA859" s="24"/>
      <c r="AB859" s="24"/>
      <c r="AC859" s="24"/>
      <c r="AD859" s="33">
        <v>44595</v>
      </c>
      <c r="AE859"/>
    </row>
    <row r="860" spans="1:31" x14ac:dyDescent="0.25">
      <c r="A860" s="29"/>
      <c r="B860" s="20">
        <v>37574</v>
      </c>
      <c r="C860" s="27" t="s">
        <v>64</v>
      </c>
      <c r="D860" s="20" t="s">
        <v>2214</v>
      </c>
      <c r="E860" s="20" t="s">
        <v>1933</v>
      </c>
      <c r="F860" s="3" t="s">
        <v>2093</v>
      </c>
      <c r="G860" s="29" t="s">
        <v>15</v>
      </c>
      <c r="H860" s="19">
        <v>44292</v>
      </c>
      <c r="I860" s="3">
        <v>799</v>
      </c>
      <c r="J860" s="3" t="s">
        <v>58</v>
      </c>
      <c r="K860" s="24"/>
      <c r="L860" s="24"/>
      <c r="M860" s="41" t="s">
        <v>871</v>
      </c>
      <c r="N860" s="33">
        <v>44466</v>
      </c>
      <c r="O860" s="24"/>
      <c r="P860" s="24"/>
      <c r="Q860" s="16" t="s">
        <v>75</v>
      </c>
      <c r="R860" s="16" t="s">
        <v>75</v>
      </c>
      <c r="S860" s="24"/>
      <c r="T860" s="24"/>
      <c r="U860" s="24"/>
      <c r="V860" s="24"/>
      <c r="W860" s="24"/>
      <c r="X860" s="16" t="s">
        <v>75</v>
      </c>
      <c r="Y860" s="24"/>
      <c r="Z860" s="24"/>
      <c r="AA860" s="24"/>
      <c r="AB860" s="24"/>
      <c r="AC860" s="24"/>
      <c r="AD860" s="33">
        <v>44659</v>
      </c>
      <c r="AE860"/>
    </row>
    <row r="861" spans="1:31" ht="22.8" x14ac:dyDescent="0.25">
      <c r="A861" s="29"/>
      <c r="B861" s="17">
        <v>37574</v>
      </c>
      <c r="C861" s="27" t="s">
        <v>64</v>
      </c>
      <c r="D861" s="20" t="s">
        <v>2215</v>
      </c>
      <c r="E861" s="20" t="s">
        <v>1933</v>
      </c>
      <c r="F861" s="3" t="s">
        <v>2093</v>
      </c>
      <c r="G861" s="29" t="s">
        <v>15</v>
      </c>
      <c r="H861" s="19">
        <v>44292</v>
      </c>
      <c r="I861" s="3">
        <v>1034</v>
      </c>
      <c r="J861" s="3" t="s">
        <v>58</v>
      </c>
      <c r="K861" s="37" t="s">
        <v>59</v>
      </c>
      <c r="L861" s="16" t="s">
        <v>75</v>
      </c>
      <c r="M861" s="41" t="s">
        <v>871</v>
      </c>
      <c r="N861" s="33">
        <v>44466</v>
      </c>
      <c r="O861" s="33"/>
      <c r="P861" s="33"/>
      <c r="Q861" s="16" t="s">
        <v>75</v>
      </c>
      <c r="R861" s="16" t="s">
        <v>75</v>
      </c>
      <c r="S861" s="24"/>
      <c r="T861" s="24"/>
      <c r="U861" s="24"/>
      <c r="V861" s="24"/>
      <c r="W861" s="24"/>
      <c r="X861" s="16" t="s">
        <v>75</v>
      </c>
      <c r="Y861" s="24"/>
      <c r="Z861" s="24"/>
      <c r="AA861" s="24"/>
      <c r="AB861" s="24"/>
      <c r="AC861" s="24"/>
      <c r="AD861" s="33">
        <v>44659</v>
      </c>
      <c r="AE861"/>
    </row>
    <row r="862" spans="1:31" ht="22.8" x14ac:dyDescent="0.25">
      <c r="A862" s="29"/>
      <c r="B862" s="20">
        <v>37575</v>
      </c>
      <c r="C862" s="27" t="s">
        <v>64</v>
      </c>
      <c r="D862" s="20" t="s">
        <v>2216</v>
      </c>
      <c r="E862" s="20" t="s">
        <v>1933</v>
      </c>
      <c r="F862" s="3" t="s">
        <v>2093</v>
      </c>
      <c r="G862" s="29" t="s">
        <v>15</v>
      </c>
      <c r="H862" s="19">
        <v>44292</v>
      </c>
      <c r="I862" s="3">
        <v>801</v>
      </c>
      <c r="J862" s="3" t="s">
        <v>58</v>
      </c>
      <c r="K862" s="37" t="s">
        <v>59</v>
      </c>
      <c r="L862" s="24" t="s">
        <v>63</v>
      </c>
      <c r="M862" s="41" t="s">
        <v>871</v>
      </c>
      <c r="N862" s="33">
        <v>44459</v>
      </c>
      <c r="O862" s="24"/>
      <c r="P862" s="24"/>
      <c r="Q862" s="16" t="s">
        <v>75</v>
      </c>
      <c r="R862" s="16" t="s">
        <v>75</v>
      </c>
      <c r="S862" s="37" t="s">
        <v>68</v>
      </c>
      <c r="T862" s="37" t="s">
        <v>68</v>
      </c>
      <c r="U862" s="24"/>
      <c r="V862" s="24"/>
      <c r="W862" s="24"/>
      <c r="X862" s="16" t="s">
        <v>75</v>
      </c>
      <c r="Y862" s="24"/>
      <c r="Z862" s="24"/>
      <c r="AA862" s="24"/>
      <c r="AB862" s="24"/>
      <c r="AC862" s="24"/>
      <c r="AD862" s="33">
        <v>44606</v>
      </c>
      <c r="AE862"/>
    </row>
    <row r="863" spans="1:31" ht="22.8" x14ac:dyDescent="0.25">
      <c r="A863" s="29"/>
      <c r="B863" s="20">
        <v>37575</v>
      </c>
      <c r="C863" s="27" t="s">
        <v>54</v>
      </c>
      <c r="D863" s="20" t="s">
        <v>2217</v>
      </c>
      <c r="E863" s="20" t="s">
        <v>1933</v>
      </c>
      <c r="F863" s="3" t="s">
        <v>2093</v>
      </c>
      <c r="G863" s="29" t="s">
        <v>15</v>
      </c>
      <c r="H863" s="19">
        <v>44292</v>
      </c>
      <c r="I863" s="3">
        <v>803</v>
      </c>
      <c r="J863" s="3" t="s">
        <v>58</v>
      </c>
      <c r="K863" s="37" t="s">
        <v>59</v>
      </c>
      <c r="L863" s="24" t="s">
        <v>63</v>
      </c>
      <c r="M863" s="41" t="s">
        <v>871</v>
      </c>
      <c r="N863" s="33">
        <v>44459</v>
      </c>
      <c r="O863" s="24"/>
      <c r="P863" s="24"/>
      <c r="Q863" s="16" t="s">
        <v>75</v>
      </c>
      <c r="R863" s="16" t="s">
        <v>75</v>
      </c>
      <c r="S863" s="37" t="s">
        <v>62</v>
      </c>
      <c r="T863" s="37" t="s">
        <v>62</v>
      </c>
      <c r="U863" s="24"/>
      <c r="V863" s="24"/>
      <c r="W863" s="24"/>
      <c r="X863" s="16" t="s">
        <v>75</v>
      </c>
      <c r="Y863" s="24"/>
      <c r="Z863" s="24"/>
      <c r="AA863" s="24"/>
      <c r="AB863" s="24"/>
      <c r="AC863" s="24"/>
      <c r="AD863" s="33">
        <v>44606</v>
      </c>
      <c r="AE863"/>
    </row>
    <row r="864" spans="1:31" ht="22.8" x14ac:dyDescent="0.25">
      <c r="A864" s="28"/>
      <c r="B864" s="20">
        <v>39033</v>
      </c>
      <c r="C864" s="27" t="s">
        <v>64</v>
      </c>
      <c r="D864" s="17" t="s">
        <v>2218</v>
      </c>
      <c r="E864" s="20" t="s">
        <v>1933</v>
      </c>
      <c r="F864" s="29" t="s">
        <v>2093</v>
      </c>
      <c r="G864" s="29" t="s">
        <v>15</v>
      </c>
      <c r="H864" s="19">
        <v>43568</v>
      </c>
      <c r="I864" s="3">
        <v>235</v>
      </c>
      <c r="J864" s="3" t="s">
        <v>58</v>
      </c>
      <c r="K864" s="37" t="s">
        <v>59</v>
      </c>
      <c r="L864" s="40">
        <v>44097</v>
      </c>
      <c r="M864" s="41" t="s">
        <v>871</v>
      </c>
      <c r="N864" s="40">
        <v>44608</v>
      </c>
      <c r="O864" s="47">
        <v>43893</v>
      </c>
      <c r="P864" s="47"/>
      <c r="Q864" s="42" t="s">
        <v>68</v>
      </c>
      <c r="R864" s="42" t="s">
        <v>68</v>
      </c>
      <c r="S864" s="37" t="s">
        <v>68</v>
      </c>
      <c r="T864" s="42" t="s">
        <v>68</v>
      </c>
      <c r="U864" s="42" t="s">
        <v>68</v>
      </c>
      <c r="V864" s="42"/>
      <c r="W864" s="42"/>
      <c r="X864" s="42"/>
      <c r="Y864" s="42"/>
      <c r="Z864" s="42"/>
      <c r="AA864" s="42"/>
      <c r="AB864" s="24"/>
      <c r="AC864" s="24"/>
      <c r="AD864" s="33">
        <v>44613</v>
      </c>
      <c r="AE864" s="90"/>
    </row>
    <row r="865" spans="1:31" ht="22.8" x14ac:dyDescent="0.25">
      <c r="A865" s="28"/>
      <c r="B865" s="20">
        <v>39033</v>
      </c>
      <c r="C865" s="27" t="s">
        <v>54</v>
      </c>
      <c r="D865" s="17" t="s">
        <v>2219</v>
      </c>
      <c r="E865" s="20" t="s">
        <v>1933</v>
      </c>
      <c r="F865" s="29" t="s">
        <v>2093</v>
      </c>
      <c r="G865" s="29" t="s">
        <v>15</v>
      </c>
      <c r="H865" s="19">
        <v>43568</v>
      </c>
      <c r="I865" s="3">
        <v>234</v>
      </c>
      <c r="J865" s="3" t="s">
        <v>58</v>
      </c>
      <c r="K865" s="37" t="s">
        <v>59</v>
      </c>
      <c r="L865" s="40">
        <v>44097</v>
      </c>
      <c r="M865" s="41" t="s">
        <v>871</v>
      </c>
      <c r="N865" s="40">
        <v>44608</v>
      </c>
      <c r="O865" s="47">
        <v>43893</v>
      </c>
      <c r="P865" s="47"/>
      <c r="Q865" s="42" t="s">
        <v>62</v>
      </c>
      <c r="R865" s="42" t="s">
        <v>62</v>
      </c>
      <c r="S865" s="37" t="s">
        <v>62</v>
      </c>
      <c r="T865" s="42" t="s">
        <v>62</v>
      </c>
      <c r="U865" s="42" t="s">
        <v>62</v>
      </c>
      <c r="V865" s="42"/>
      <c r="W865" s="42"/>
      <c r="X865" s="42"/>
      <c r="Y865" s="42"/>
      <c r="Z865" s="42"/>
      <c r="AA865" s="42"/>
      <c r="AB865" s="24"/>
      <c r="AC865" s="24"/>
      <c r="AD865" s="33">
        <v>44613</v>
      </c>
      <c r="AE865" s="90"/>
    </row>
    <row r="866" spans="1:31" ht="22.8" x14ac:dyDescent="0.25">
      <c r="A866" s="28"/>
      <c r="B866" s="20">
        <v>39045</v>
      </c>
      <c r="C866" s="27" t="s">
        <v>64</v>
      </c>
      <c r="D866" s="17" t="s">
        <v>2220</v>
      </c>
      <c r="E866" s="20" t="s">
        <v>1933</v>
      </c>
      <c r="F866" s="29" t="s">
        <v>2093</v>
      </c>
      <c r="G866" s="29" t="s">
        <v>15</v>
      </c>
      <c r="H866" s="19">
        <v>43578</v>
      </c>
      <c r="I866" s="3">
        <v>304</v>
      </c>
      <c r="J866" s="3" t="s">
        <v>58</v>
      </c>
      <c r="K866" s="37" t="s">
        <v>59</v>
      </c>
      <c r="L866" s="40">
        <v>44127</v>
      </c>
      <c r="M866" s="41" t="s">
        <v>871</v>
      </c>
      <c r="N866" s="40">
        <v>44608</v>
      </c>
      <c r="O866" s="47">
        <v>43910</v>
      </c>
      <c r="P866" s="47"/>
      <c r="Q866" s="42" t="s">
        <v>68</v>
      </c>
      <c r="R866" s="42" t="s">
        <v>68</v>
      </c>
      <c r="S866" s="37" t="s">
        <v>68</v>
      </c>
      <c r="T866" s="42"/>
      <c r="U866" s="42" t="s">
        <v>68</v>
      </c>
      <c r="V866" s="42"/>
      <c r="W866" s="42"/>
      <c r="X866" s="42"/>
      <c r="Y866" s="42"/>
      <c r="Z866" s="42"/>
      <c r="AA866" s="42"/>
      <c r="AB866" s="24"/>
      <c r="AC866" s="24"/>
      <c r="AD866" s="33">
        <v>44613</v>
      </c>
      <c r="AE866" s="90"/>
    </row>
    <row r="867" spans="1:31" ht="22.8" x14ac:dyDescent="0.25">
      <c r="A867" s="28"/>
      <c r="B867" s="20">
        <v>39045</v>
      </c>
      <c r="C867" s="27" t="s">
        <v>54</v>
      </c>
      <c r="D867" s="17" t="s">
        <v>2221</v>
      </c>
      <c r="E867" s="20" t="s">
        <v>1933</v>
      </c>
      <c r="F867" s="29" t="s">
        <v>2093</v>
      </c>
      <c r="G867" s="29" t="s">
        <v>15</v>
      </c>
      <c r="H867" s="19">
        <v>43578</v>
      </c>
      <c r="I867" s="3">
        <v>305</v>
      </c>
      <c r="J867" s="3" t="s">
        <v>58</v>
      </c>
      <c r="K867" s="37" t="s">
        <v>59</v>
      </c>
      <c r="L867" s="40">
        <v>44127</v>
      </c>
      <c r="M867" s="41" t="s">
        <v>871</v>
      </c>
      <c r="N867" s="40">
        <v>44608</v>
      </c>
      <c r="O867" s="47">
        <v>43910</v>
      </c>
      <c r="P867" s="47"/>
      <c r="Q867" s="42" t="s">
        <v>62</v>
      </c>
      <c r="R867" s="42" t="s">
        <v>62</v>
      </c>
      <c r="S867" s="37" t="s">
        <v>62</v>
      </c>
      <c r="T867" s="42"/>
      <c r="U867" s="42" t="s">
        <v>62</v>
      </c>
      <c r="V867" s="42"/>
      <c r="W867" s="42"/>
      <c r="X867" s="42"/>
      <c r="Y867" s="42"/>
      <c r="Z867" s="42"/>
      <c r="AA867" s="42"/>
      <c r="AB867" s="24"/>
      <c r="AC867" s="24"/>
      <c r="AD867" s="33">
        <v>44613</v>
      </c>
      <c r="AE867" s="90"/>
    </row>
    <row r="868" spans="1:31" ht="22.8" x14ac:dyDescent="0.25">
      <c r="A868" s="28"/>
      <c r="B868" s="20">
        <v>39056</v>
      </c>
      <c r="C868" s="27" t="s">
        <v>64</v>
      </c>
      <c r="D868" s="17" t="s">
        <v>2222</v>
      </c>
      <c r="E868" s="20" t="s">
        <v>1933</v>
      </c>
      <c r="F868" s="29" t="s">
        <v>2093</v>
      </c>
      <c r="G868" s="29" t="s">
        <v>15</v>
      </c>
      <c r="H868" s="19">
        <v>43634</v>
      </c>
      <c r="I868" s="3">
        <v>391</v>
      </c>
      <c r="J868" s="3" t="s">
        <v>58</v>
      </c>
      <c r="K868" s="37" t="s">
        <v>59</v>
      </c>
      <c r="L868" s="33">
        <v>44092</v>
      </c>
      <c r="M868" s="41" t="s">
        <v>871</v>
      </c>
      <c r="N868" s="40">
        <v>44525</v>
      </c>
      <c r="O868" s="33">
        <v>44168</v>
      </c>
      <c r="P868" s="33"/>
      <c r="Q868" s="42" t="s">
        <v>68</v>
      </c>
      <c r="R868" s="42" t="s">
        <v>68</v>
      </c>
      <c r="S868" s="37" t="s">
        <v>68</v>
      </c>
      <c r="T868" s="37"/>
      <c r="U868" s="37" t="s">
        <v>68</v>
      </c>
      <c r="V868" s="37"/>
      <c r="W868" s="37"/>
      <c r="X868" s="37"/>
      <c r="Y868" s="37"/>
      <c r="Z868" s="37"/>
      <c r="AA868" s="37"/>
      <c r="AB868" s="24"/>
      <c r="AC868" s="24"/>
      <c r="AD868" s="33">
        <v>44676</v>
      </c>
      <c r="AE868" s="92"/>
    </row>
    <row r="869" spans="1:31" ht="22.8" x14ac:dyDescent="0.25">
      <c r="A869" s="28"/>
      <c r="B869" s="20">
        <v>39056</v>
      </c>
      <c r="C869" s="27" t="s">
        <v>54</v>
      </c>
      <c r="D869" s="17" t="s">
        <v>2223</v>
      </c>
      <c r="E869" s="20" t="s">
        <v>1933</v>
      </c>
      <c r="F869" s="29" t="s">
        <v>2093</v>
      </c>
      <c r="G869" s="29" t="s">
        <v>15</v>
      </c>
      <c r="H869" s="19">
        <v>43634</v>
      </c>
      <c r="I869" s="3">
        <v>398</v>
      </c>
      <c r="J869" s="3" t="s">
        <v>58</v>
      </c>
      <c r="K869" s="37" t="s">
        <v>59</v>
      </c>
      <c r="L869" s="33">
        <v>44092</v>
      </c>
      <c r="M869" s="41" t="s">
        <v>871</v>
      </c>
      <c r="N869" s="40">
        <v>44525</v>
      </c>
      <c r="O869" s="33">
        <v>44168</v>
      </c>
      <c r="P869" s="33"/>
      <c r="Q869" s="42" t="s">
        <v>62</v>
      </c>
      <c r="R869" s="42" t="s">
        <v>62</v>
      </c>
      <c r="S869" s="37" t="s">
        <v>62</v>
      </c>
      <c r="T869" s="37"/>
      <c r="U869" s="37" t="s">
        <v>62</v>
      </c>
      <c r="V869" s="37"/>
      <c r="W869" s="37"/>
      <c r="X869" s="37"/>
      <c r="Y869" s="37"/>
      <c r="Z869" s="37"/>
      <c r="AA869" s="37"/>
      <c r="AB869" s="24"/>
      <c r="AC869" s="24"/>
      <c r="AD869" s="33">
        <v>44676</v>
      </c>
      <c r="AE869" s="92"/>
    </row>
    <row r="870" spans="1:31" ht="22.8" x14ac:dyDescent="0.25">
      <c r="A870" s="28"/>
      <c r="B870" s="20">
        <v>39061</v>
      </c>
      <c r="C870" s="27" t="s">
        <v>64</v>
      </c>
      <c r="D870" s="17" t="s">
        <v>2224</v>
      </c>
      <c r="E870" s="20" t="s">
        <v>1933</v>
      </c>
      <c r="F870" s="29" t="s">
        <v>2093</v>
      </c>
      <c r="G870" s="29" t="s">
        <v>15</v>
      </c>
      <c r="H870" s="19">
        <v>43636</v>
      </c>
      <c r="I870" s="3">
        <v>396</v>
      </c>
      <c r="J870" s="3" t="s">
        <v>58</v>
      </c>
      <c r="K870" s="37" t="s">
        <v>59</v>
      </c>
      <c r="L870" s="33">
        <v>44085</v>
      </c>
      <c r="M870" s="41" t="s">
        <v>871</v>
      </c>
      <c r="N870" s="40">
        <v>44595</v>
      </c>
      <c r="O870" s="33">
        <v>43889</v>
      </c>
      <c r="P870" s="33"/>
      <c r="Q870" s="42" t="s">
        <v>68</v>
      </c>
      <c r="R870" s="42" t="s">
        <v>68</v>
      </c>
      <c r="S870" s="37" t="s">
        <v>68</v>
      </c>
      <c r="T870" s="37"/>
      <c r="U870" s="37" t="s">
        <v>68</v>
      </c>
      <c r="V870" s="37"/>
      <c r="W870" s="37"/>
      <c r="X870" s="37"/>
      <c r="Y870" s="37"/>
      <c r="Z870" s="37"/>
      <c r="AA870" s="37"/>
      <c r="AB870" s="24"/>
      <c r="AC870" s="24"/>
      <c r="AD870" s="33">
        <v>44606</v>
      </c>
      <c r="AE870" s="92"/>
    </row>
    <row r="871" spans="1:31" ht="22.8" x14ac:dyDescent="0.25">
      <c r="A871" s="28"/>
      <c r="B871" s="20">
        <v>39061</v>
      </c>
      <c r="C871" s="27" t="s">
        <v>54</v>
      </c>
      <c r="D871" s="17" t="s">
        <v>2225</v>
      </c>
      <c r="E871" s="20" t="s">
        <v>1933</v>
      </c>
      <c r="F871" s="29" t="s">
        <v>2093</v>
      </c>
      <c r="G871" s="29" t="s">
        <v>15</v>
      </c>
      <c r="H871" s="19">
        <v>43636</v>
      </c>
      <c r="I871" s="3">
        <v>394</v>
      </c>
      <c r="J871" s="3" t="s">
        <v>58</v>
      </c>
      <c r="K871" s="37" t="s">
        <v>59</v>
      </c>
      <c r="L871" s="33">
        <v>44085</v>
      </c>
      <c r="M871" s="41" t="s">
        <v>871</v>
      </c>
      <c r="N871" s="40">
        <v>44595</v>
      </c>
      <c r="O871" s="33">
        <v>43889</v>
      </c>
      <c r="P871" s="33"/>
      <c r="Q871" s="42" t="s">
        <v>62</v>
      </c>
      <c r="R871" s="42" t="s">
        <v>62</v>
      </c>
      <c r="S871" s="37" t="s">
        <v>62</v>
      </c>
      <c r="T871" s="37"/>
      <c r="U871" s="37" t="s">
        <v>62</v>
      </c>
      <c r="V871" s="37"/>
      <c r="W871" s="37"/>
      <c r="X871" s="37"/>
      <c r="Y871" s="37"/>
      <c r="Z871" s="37"/>
      <c r="AA871" s="37"/>
      <c r="AB871" s="24"/>
      <c r="AC871" s="24"/>
      <c r="AD871" s="33">
        <v>44606</v>
      </c>
      <c r="AE871" s="92"/>
    </row>
    <row r="872" spans="1:31" ht="22.8" x14ac:dyDescent="0.25">
      <c r="A872" s="28"/>
      <c r="B872" s="20">
        <v>39062</v>
      </c>
      <c r="C872" s="27" t="s">
        <v>64</v>
      </c>
      <c r="D872" s="17" t="s">
        <v>2226</v>
      </c>
      <c r="E872" s="20" t="s">
        <v>1933</v>
      </c>
      <c r="F872" s="29" t="s">
        <v>2093</v>
      </c>
      <c r="G872" s="29" t="s">
        <v>15</v>
      </c>
      <c r="H872" s="19">
        <v>43640</v>
      </c>
      <c r="I872" s="3">
        <v>392</v>
      </c>
      <c r="J872" s="3" t="s">
        <v>58</v>
      </c>
      <c r="K872" s="37" t="s">
        <v>59</v>
      </c>
      <c r="L872" s="33">
        <v>44097</v>
      </c>
      <c r="M872" s="41" t="s">
        <v>871</v>
      </c>
      <c r="N872" s="40">
        <v>44457</v>
      </c>
      <c r="O872" s="33">
        <v>43920</v>
      </c>
      <c r="P872" s="33"/>
      <c r="Q872" s="42" t="s">
        <v>68</v>
      </c>
      <c r="R872" s="42" t="s">
        <v>68</v>
      </c>
      <c r="S872" s="37" t="s">
        <v>68</v>
      </c>
      <c r="T872" s="37"/>
      <c r="U872" s="37" t="s">
        <v>68</v>
      </c>
      <c r="V872" s="37"/>
      <c r="W872" s="37"/>
      <c r="X872" s="37"/>
      <c r="Y872" s="37"/>
      <c r="Z872" s="37"/>
      <c r="AA872" s="37"/>
      <c r="AB872" s="24"/>
      <c r="AC872" s="24"/>
      <c r="AD872" s="33">
        <v>44606</v>
      </c>
      <c r="AE872" s="92"/>
    </row>
    <row r="873" spans="1:31" ht="22.8" x14ac:dyDescent="0.25">
      <c r="A873" s="28"/>
      <c r="B873" s="20">
        <v>39062</v>
      </c>
      <c r="C873" s="27" t="s">
        <v>54</v>
      </c>
      <c r="D873" s="20" t="s">
        <v>2227</v>
      </c>
      <c r="E873" s="20" t="s">
        <v>1933</v>
      </c>
      <c r="F873" s="29" t="s">
        <v>2093</v>
      </c>
      <c r="G873" s="29" t="s">
        <v>15</v>
      </c>
      <c r="H873" s="19">
        <v>43640</v>
      </c>
      <c r="I873" s="3">
        <v>395</v>
      </c>
      <c r="J873" s="3" t="s">
        <v>58</v>
      </c>
      <c r="K873" s="37" t="s">
        <v>59</v>
      </c>
      <c r="L873" s="33">
        <v>44097</v>
      </c>
      <c r="M873" s="41" t="s">
        <v>871</v>
      </c>
      <c r="N873" s="40">
        <v>44457</v>
      </c>
      <c r="O873" s="33">
        <v>43920</v>
      </c>
      <c r="P873" s="33"/>
      <c r="Q873" s="42" t="s">
        <v>62</v>
      </c>
      <c r="R873" s="42" t="s">
        <v>62</v>
      </c>
      <c r="S873" s="37" t="s">
        <v>62</v>
      </c>
      <c r="T873" s="37"/>
      <c r="U873" s="37" t="s">
        <v>62</v>
      </c>
      <c r="V873" s="37"/>
      <c r="W873" s="37"/>
      <c r="X873" s="37"/>
      <c r="Y873" s="37"/>
      <c r="Z873" s="37"/>
      <c r="AA873" s="37"/>
      <c r="AB873" s="24"/>
      <c r="AC873" s="24"/>
      <c r="AD873" s="33">
        <v>44606</v>
      </c>
      <c r="AE873" s="92"/>
    </row>
    <row r="874" spans="1:31" ht="22.8" x14ac:dyDescent="0.25">
      <c r="A874" s="28"/>
      <c r="B874" s="20">
        <v>39130</v>
      </c>
      <c r="C874" s="27" t="s">
        <v>64</v>
      </c>
      <c r="D874" s="56" t="s">
        <v>2228</v>
      </c>
      <c r="E874" s="20" t="s">
        <v>1933</v>
      </c>
      <c r="F874" s="29" t="s">
        <v>2093</v>
      </c>
      <c r="G874" s="29" t="s">
        <v>15</v>
      </c>
      <c r="H874" s="19">
        <v>43875</v>
      </c>
      <c r="I874" s="3">
        <v>656</v>
      </c>
      <c r="J874" s="3" t="s">
        <v>58</v>
      </c>
      <c r="K874" s="37" t="s">
        <v>59</v>
      </c>
      <c r="L874" s="33">
        <v>44067</v>
      </c>
      <c r="M874" s="41" t="s">
        <v>871</v>
      </c>
      <c r="N874" s="40">
        <v>44436</v>
      </c>
      <c r="O874" s="33"/>
      <c r="P874" s="33"/>
      <c r="Q874" s="16" t="s">
        <v>75</v>
      </c>
      <c r="R874" s="16" t="s">
        <v>75</v>
      </c>
      <c r="S874" s="37" t="s">
        <v>68</v>
      </c>
      <c r="T874" s="16"/>
      <c r="U874" s="37" t="s">
        <v>68</v>
      </c>
      <c r="V874" s="16"/>
      <c r="W874" s="16"/>
      <c r="X874" s="16"/>
      <c r="Y874" s="16"/>
      <c r="Z874" s="16"/>
      <c r="AA874" s="16"/>
      <c r="AB874" s="24"/>
      <c r="AC874" s="24"/>
      <c r="AD874" s="33">
        <v>44595</v>
      </c>
    </row>
    <row r="875" spans="1:31" ht="22.8" x14ac:dyDescent="0.25">
      <c r="A875" s="28"/>
      <c r="B875" s="20">
        <v>39130</v>
      </c>
      <c r="C875" s="27" t="s">
        <v>54</v>
      </c>
      <c r="D875" s="56" t="s">
        <v>2229</v>
      </c>
      <c r="E875" s="20" t="s">
        <v>1933</v>
      </c>
      <c r="F875" s="29" t="s">
        <v>2093</v>
      </c>
      <c r="G875" s="29" t="s">
        <v>15</v>
      </c>
      <c r="H875" s="19">
        <v>43875</v>
      </c>
      <c r="I875" s="3">
        <v>655</v>
      </c>
      <c r="J875" s="3" t="s">
        <v>58</v>
      </c>
      <c r="K875" s="37" t="s">
        <v>59</v>
      </c>
      <c r="L875" s="33">
        <v>44067</v>
      </c>
      <c r="M875" s="41" t="s">
        <v>871</v>
      </c>
      <c r="N875" s="40">
        <v>44436</v>
      </c>
      <c r="O875" s="33"/>
      <c r="P875" s="33"/>
      <c r="Q875" s="16" t="s">
        <v>75</v>
      </c>
      <c r="R875" s="16" t="s">
        <v>75</v>
      </c>
      <c r="S875" s="37" t="s">
        <v>62</v>
      </c>
      <c r="T875" s="16"/>
      <c r="U875" s="37" t="s">
        <v>62</v>
      </c>
      <c r="V875" s="16"/>
      <c r="W875" s="16"/>
      <c r="X875" s="16"/>
      <c r="Y875" s="16"/>
      <c r="Z875" s="16"/>
      <c r="AA875" s="16"/>
      <c r="AB875" s="24"/>
      <c r="AC875" s="24"/>
      <c r="AD875" s="33">
        <v>44595</v>
      </c>
    </row>
    <row r="876" spans="1:31" ht="22.8" x14ac:dyDescent="0.25">
      <c r="A876" s="29"/>
      <c r="B876" s="20">
        <v>39167</v>
      </c>
      <c r="C876" s="27" t="s">
        <v>64</v>
      </c>
      <c r="D876" s="20" t="s">
        <v>2230</v>
      </c>
      <c r="E876" s="20" t="s">
        <v>1933</v>
      </c>
      <c r="F876" s="29" t="s">
        <v>2093</v>
      </c>
      <c r="G876" s="29" t="s">
        <v>15</v>
      </c>
      <c r="H876" s="19">
        <v>44151</v>
      </c>
      <c r="I876" s="3">
        <v>979</v>
      </c>
      <c r="J876" s="3" t="s">
        <v>58</v>
      </c>
      <c r="K876" s="37" t="s">
        <v>59</v>
      </c>
      <c r="L876" s="16" t="s">
        <v>75</v>
      </c>
      <c r="M876" s="41" t="s">
        <v>871</v>
      </c>
      <c r="N876" s="40">
        <v>44509</v>
      </c>
      <c r="O876" s="24"/>
      <c r="P876" s="24"/>
      <c r="Q876" s="16" t="s">
        <v>75</v>
      </c>
      <c r="R876" s="16" t="s">
        <v>75</v>
      </c>
      <c r="S876" s="24"/>
      <c r="T876" s="24"/>
      <c r="U876" s="24"/>
      <c r="V876" s="24"/>
      <c r="W876" s="24"/>
      <c r="X876" s="16" t="s">
        <v>75</v>
      </c>
      <c r="Y876" s="24"/>
      <c r="Z876" s="24"/>
      <c r="AA876" s="24"/>
      <c r="AB876" s="24"/>
      <c r="AC876" s="24"/>
      <c r="AD876" s="33">
        <v>44701</v>
      </c>
      <c r="AE876"/>
    </row>
    <row r="877" spans="1:31" ht="22.8" x14ac:dyDescent="0.25">
      <c r="A877" s="28"/>
      <c r="B877" s="20">
        <v>39167</v>
      </c>
      <c r="C877" s="27" t="s">
        <v>54</v>
      </c>
      <c r="D877" s="56" t="s">
        <v>2231</v>
      </c>
      <c r="E877" s="20" t="s">
        <v>1933</v>
      </c>
      <c r="F877" s="29" t="s">
        <v>2093</v>
      </c>
      <c r="G877" s="29" t="s">
        <v>15</v>
      </c>
      <c r="H877" s="19">
        <v>44151</v>
      </c>
      <c r="I877" s="3">
        <v>978</v>
      </c>
      <c r="J877" s="3" t="s">
        <v>58</v>
      </c>
      <c r="K877" s="37" t="s">
        <v>59</v>
      </c>
      <c r="L877" s="16" t="s">
        <v>75</v>
      </c>
      <c r="M877" s="41" t="s">
        <v>871</v>
      </c>
      <c r="N877" s="40">
        <v>44509</v>
      </c>
      <c r="O877" s="33"/>
      <c r="P877" s="33"/>
      <c r="Q877" s="16" t="s">
        <v>75</v>
      </c>
      <c r="R877" s="16" t="s">
        <v>75</v>
      </c>
      <c r="S877" s="37" t="s">
        <v>68</v>
      </c>
      <c r="T877" s="16"/>
      <c r="U877" s="16" t="s">
        <v>68</v>
      </c>
      <c r="V877" s="16"/>
      <c r="W877" s="16"/>
      <c r="X877" s="16" t="s">
        <v>75</v>
      </c>
      <c r="Y877" s="16"/>
      <c r="Z877" s="16"/>
      <c r="AA877" s="16"/>
      <c r="AB877" s="24"/>
      <c r="AC877" s="24"/>
      <c r="AD877" s="33">
        <v>44701</v>
      </c>
    </row>
    <row r="878" spans="1:31" ht="22.8" x14ac:dyDescent="0.25">
      <c r="A878" s="28"/>
      <c r="B878" s="20">
        <v>39168</v>
      </c>
      <c r="C878" s="27" t="s">
        <v>64</v>
      </c>
      <c r="D878" s="56" t="s">
        <v>2232</v>
      </c>
      <c r="E878" s="20" t="s">
        <v>1933</v>
      </c>
      <c r="F878" s="29" t="s">
        <v>2093</v>
      </c>
      <c r="G878" s="29" t="s">
        <v>15</v>
      </c>
      <c r="H878" s="19">
        <v>44153</v>
      </c>
      <c r="I878" s="3">
        <v>977</v>
      </c>
      <c r="J878" s="3" t="s">
        <v>58</v>
      </c>
      <c r="K878" s="37" t="s">
        <v>59</v>
      </c>
      <c r="L878" s="16" t="s">
        <v>75</v>
      </c>
      <c r="M878" s="41" t="s">
        <v>871</v>
      </c>
      <c r="N878" s="33">
        <v>44597</v>
      </c>
      <c r="O878" s="33"/>
      <c r="P878" s="33"/>
      <c r="Q878" s="16" t="s">
        <v>75</v>
      </c>
      <c r="R878" s="16" t="s">
        <v>75</v>
      </c>
      <c r="S878" s="37" t="s">
        <v>68</v>
      </c>
      <c r="T878" s="16"/>
      <c r="U878" s="16" t="s">
        <v>68</v>
      </c>
      <c r="V878" s="16"/>
      <c r="W878" s="16"/>
      <c r="X878" s="16" t="s">
        <v>75</v>
      </c>
      <c r="Y878" s="16"/>
      <c r="Z878" s="16"/>
      <c r="AA878" s="16"/>
      <c r="AB878" s="24"/>
      <c r="AC878" s="24"/>
      <c r="AD878" s="33">
        <v>44690</v>
      </c>
    </row>
    <row r="879" spans="1:31" ht="22.8" x14ac:dyDescent="0.25">
      <c r="A879" s="28"/>
      <c r="B879" s="20">
        <v>39168</v>
      </c>
      <c r="C879" s="27" t="s">
        <v>54</v>
      </c>
      <c r="D879" s="56" t="s">
        <v>2233</v>
      </c>
      <c r="E879" s="20" t="s">
        <v>1933</v>
      </c>
      <c r="F879" s="29" t="s">
        <v>2093</v>
      </c>
      <c r="G879" s="29" t="s">
        <v>15</v>
      </c>
      <c r="H879" s="19">
        <v>44153</v>
      </c>
      <c r="I879" s="3">
        <v>976</v>
      </c>
      <c r="J879" s="3" t="s">
        <v>58</v>
      </c>
      <c r="K879" s="37" t="s">
        <v>59</v>
      </c>
      <c r="L879" s="16" t="s">
        <v>75</v>
      </c>
      <c r="M879" s="41" t="s">
        <v>871</v>
      </c>
      <c r="N879" s="33">
        <v>44597</v>
      </c>
      <c r="O879" s="33"/>
      <c r="P879" s="33"/>
      <c r="Q879" s="16" t="s">
        <v>75</v>
      </c>
      <c r="R879" s="16" t="s">
        <v>75</v>
      </c>
      <c r="S879" s="37" t="s">
        <v>62</v>
      </c>
      <c r="T879" s="16"/>
      <c r="U879" s="16" t="s">
        <v>62</v>
      </c>
      <c r="V879" s="16"/>
      <c r="W879" s="16"/>
      <c r="X879" s="16" t="s">
        <v>75</v>
      </c>
      <c r="Y879" s="16"/>
      <c r="Z879" s="16"/>
      <c r="AA879" s="16"/>
      <c r="AB879" s="24"/>
      <c r="AC879" s="24"/>
      <c r="AD879" s="33">
        <v>44690</v>
      </c>
    </row>
    <row r="880" spans="1:31" ht="22.8" x14ac:dyDescent="0.25">
      <c r="A880" s="28"/>
      <c r="B880" s="56">
        <v>39180</v>
      </c>
      <c r="C880" s="60" t="s">
        <v>64</v>
      </c>
      <c r="D880" s="56" t="s">
        <v>2234</v>
      </c>
      <c r="E880" s="18" t="s">
        <v>1933</v>
      </c>
      <c r="F880" s="18"/>
      <c r="G880" s="29" t="s">
        <v>15</v>
      </c>
      <c r="H880" s="18"/>
      <c r="I880" s="3" t="s">
        <v>2235</v>
      </c>
      <c r="J880" s="3" t="s">
        <v>58</v>
      </c>
      <c r="K880" s="37" t="s">
        <v>59</v>
      </c>
      <c r="L880" s="16" t="s">
        <v>75</v>
      </c>
      <c r="M880" s="16" t="s">
        <v>60</v>
      </c>
      <c r="N880" s="16" t="s">
        <v>75</v>
      </c>
      <c r="O880" s="33"/>
      <c r="P880" s="33"/>
      <c r="Q880" s="16" t="s">
        <v>75</v>
      </c>
      <c r="R880" s="16" t="s">
        <v>75</v>
      </c>
      <c r="S880" s="37" t="s">
        <v>68</v>
      </c>
      <c r="T880" s="16" t="s">
        <v>68</v>
      </c>
      <c r="U880" s="16" t="s">
        <v>68</v>
      </c>
      <c r="V880" s="16"/>
      <c r="W880" s="16"/>
      <c r="X880" s="16" t="s">
        <v>75</v>
      </c>
      <c r="Y880" s="16"/>
      <c r="Z880" s="16"/>
      <c r="AA880" s="16"/>
      <c r="AB880" s="24"/>
      <c r="AC880" s="24"/>
      <c r="AD880" s="33">
        <v>44688</v>
      </c>
    </row>
    <row r="881" spans="1:30" ht="22.8" x14ac:dyDescent="0.25">
      <c r="A881" s="28"/>
      <c r="B881" s="56">
        <v>39181</v>
      </c>
      <c r="C881" s="60" t="s">
        <v>64</v>
      </c>
      <c r="D881" s="56" t="s">
        <v>2236</v>
      </c>
      <c r="E881" s="18" t="s">
        <v>1933</v>
      </c>
      <c r="F881" s="18"/>
      <c r="G881" s="29" t="s">
        <v>15</v>
      </c>
      <c r="H881" s="18"/>
      <c r="I881" s="3" t="s">
        <v>2237</v>
      </c>
      <c r="J881" s="3" t="s">
        <v>58</v>
      </c>
      <c r="K881" s="37" t="s">
        <v>59</v>
      </c>
      <c r="L881" s="16" t="s">
        <v>75</v>
      </c>
      <c r="M881" s="41" t="s">
        <v>871</v>
      </c>
      <c r="N881" s="33">
        <v>44457</v>
      </c>
      <c r="O881" s="33"/>
      <c r="P881" s="33"/>
      <c r="Q881" s="16" t="s">
        <v>75</v>
      </c>
      <c r="R881" s="16" t="s">
        <v>75</v>
      </c>
      <c r="S881" s="37" t="s">
        <v>68</v>
      </c>
      <c r="T881" s="16" t="s">
        <v>68</v>
      </c>
      <c r="U881" s="16" t="s">
        <v>68</v>
      </c>
      <c r="V881" s="16"/>
      <c r="W881" s="16"/>
      <c r="X881" s="16" t="s">
        <v>75</v>
      </c>
      <c r="Y881" s="16"/>
      <c r="Z881" s="16"/>
      <c r="AA881" s="16"/>
      <c r="AB881" s="24"/>
      <c r="AC881" s="24"/>
      <c r="AD881" s="33">
        <v>44688</v>
      </c>
    </row>
    <row r="882" spans="1:30" ht="22.8" x14ac:dyDescent="0.25">
      <c r="A882" s="28"/>
      <c r="B882" s="56">
        <v>39182</v>
      </c>
      <c r="C882" s="60" t="s">
        <v>64</v>
      </c>
      <c r="D882" s="56" t="s">
        <v>2238</v>
      </c>
      <c r="E882" s="18" t="s">
        <v>1933</v>
      </c>
      <c r="F882" s="18"/>
      <c r="G882" s="29" t="s">
        <v>15</v>
      </c>
      <c r="H882" s="18"/>
      <c r="I882" s="3" t="s">
        <v>2239</v>
      </c>
      <c r="J882" s="3" t="s">
        <v>58</v>
      </c>
      <c r="K882" s="37" t="s">
        <v>59</v>
      </c>
      <c r="L882" s="16" t="s">
        <v>75</v>
      </c>
      <c r="M882" s="16" t="s">
        <v>60</v>
      </c>
      <c r="N882" s="16" t="s">
        <v>75</v>
      </c>
      <c r="O882" s="33"/>
      <c r="P882" s="33"/>
      <c r="Q882" s="16" t="s">
        <v>75</v>
      </c>
      <c r="R882" s="16" t="s">
        <v>75</v>
      </c>
      <c r="S882" s="37" t="s">
        <v>68</v>
      </c>
      <c r="T882" s="16" t="s">
        <v>68</v>
      </c>
      <c r="U882" s="16" t="s">
        <v>68</v>
      </c>
      <c r="V882" s="16"/>
      <c r="W882" s="16"/>
      <c r="X882" s="16" t="s">
        <v>75</v>
      </c>
      <c r="Y882" s="16"/>
      <c r="Z882" s="16"/>
      <c r="AA882" s="16"/>
      <c r="AB882" s="24"/>
      <c r="AC882" s="24"/>
      <c r="AD882" s="33">
        <v>44702</v>
      </c>
    </row>
    <row r="883" spans="1:30" ht="22.8" x14ac:dyDescent="0.25">
      <c r="A883" s="28"/>
      <c r="B883" s="55">
        <v>39187</v>
      </c>
      <c r="C883" s="55" t="s">
        <v>64</v>
      </c>
      <c r="D883" s="20" t="s">
        <v>2240</v>
      </c>
      <c r="E883" s="18" t="s">
        <v>1933</v>
      </c>
      <c r="F883" s="18" t="s">
        <v>2241</v>
      </c>
      <c r="G883" s="18" t="s">
        <v>15</v>
      </c>
      <c r="H883" s="19">
        <v>44264</v>
      </c>
      <c r="I883" s="3" t="s">
        <v>2242</v>
      </c>
      <c r="J883" s="3" t="s">
        <v>58</v>
      </c>
      <c r="K883" s="37" t="s">
        <v>59</v>
      </c>
      <c r="L883" s="16" t="s">
        <v>75</v>
      </c>
      <c r="M883" s="41" t="s">
        <v>871</v>
      </c>
      <c r="N883" s="33">
        <v>44472</v>
      </c>
      <c r="O883" s="33"/>
      <c r="P883" s="33"/>
      <c r="Q883" s="16" t="s">
        <v>75</v>
      </c>
      <c r="R883" s="16" t="s">
        <v>75</v>
      </c>
      <c r="S883" s="37" t="s">
        <v>68</v>
      </c>
      <c r="T883" s="37" t="s">
        <v>68</v>
      </c>
      <c r="U883" s="37" t="s">
        <v>68</v>
      </c>
      <c r="V883" s="16"/>
      <c r="W883" s="16"/>
      <c r="X883" s="16" t="s">
        <v>75</v>
      </c>
      <c r="Y883" s="16"/>
      <c r="Z883" s="16"/>
      <c r="AA883" s="16"/>
      <c r="AB883" s="24"/>
      <c r="AC883" s="24"/>
      <c r="AD883" s="33">
        <v>44597</v>
      </c>
    </row>
    <row r="884" spans="1:30" ht="22.8" x14ac:dyDescent="0.25">
      <c r="A884" s="28"/>
      <c r="B884" s="55">
        <v>39187</v>
      </c>
      <c r="C884" s="55" t="s">
        <v>54</v>
      </c>
      <c r="D884" s="20" t="s">
        <v>2243</v>
      </c>
      <c r="E884" s="18" t="s">
        <v>1933</v>
      </c>
      <c r="F884" s="18" t="s">
        <v>2241</v>
      </c>
      <c r="G884" s="18" t="s">
        <v>15</v>
      </c>
      <c r="H884" s="19">
        <v>44264</v>
      </c>
      <c r="I884" s="3" t="s">
        <v>2244</v>
      </c>
      <c r="J884" s="3" t="s">
        <v>58</v>
      </c>
      <c r="K884" s="37" t="s">
        <v>59</v>
      </c>
      <c r="L884" s="16" t="s">
        <v>75</v>
      </c>
      <c r="M884" s="41" t="s">
        <v>871</v>
      </c>
      <c r="N884" s="33">
        <v>44472</v>
      </c>
      <c r="O884" s="33"/>
      <c r="P884" s="33"/>
      <c r="Q884" s="16" t="s">
        <v>75</v>
      </c>
      <c r="R884" s="16" t="s">
        <v>75</v>
      </c>
      <c r="S884" s="37" t="s">
        <v>62</v>
      </c>
      <c r="T884" s="37" t="s">
        <v>62</v>
      </c>
      <c r="U884" s="37" t="s">
        <v>62</v>
      </c>
      <c r="V884" s="16"/>
      <c r="W884" s="16"/>
      <c r="X884" s="16" t="s">
        <v>75</v>
      </c>
      <c r="Y884" s="16"/>
      <c r="Z884" s="16"/>
      <c r="AA884" s="16"/>
      <c r="AB884" s="24"/>
      <c r="AC884" s="24"/>
      <c r="AD884" s="33">
        <v>44597</v>
      </c>
    </row>
    <row r="885" spans="1:30" ht="22.8" x14ac:dyDescent="0.25">
      <c r="A885" s="28"/>
      <c r="B885" s="55">
        <v>39188</v>
      </c>
      <c r="C885" s="60"/>
      <c r="D885" s="20" t="s">
        <v>2245</v>
      </c>
      <c r="E885" s="18" t="s">
        <v>1933</v>
      </c>
      <c r="F885" s="18" t="s">
        <v>2241</v>
      </c>
      <c r="G885" s="18" t="s">
        <v>15</v>
      </c>
      <c r="H885" s="19">
        <v>44282</v>
      </c>
      <c r="I885" s="3" t="s">
        <v>2246</v>
      </c>
      <c r="J885" s="3" t="s">
        <v>58</v>
      </c>
      <c r="K885" s="37" t="s">
        <v>59</v>
      </c>
      <c r="L885" s="16" t="s">
        <v>75</v>
      </c>
      <c r="M885" s="41" t="s">
        <v>871</v>
      </c>
      <c r="N885" s="33">
        <v>44483</v>
      </c>
      <c r="O885" s="33"/>
      <c r="P885" s="33"/>
      <c r="Q885" s="16" t="s">
        <v>75</v>
      </c>
      <c r="R885" s="16" t="s">
        <v>75</v>
      </c>
      <c r="S885" s="37"/>
      <c r="T885" s="16"/>
      <c r="U885" s="16"/>
      <c r="V885" s="16"/>
      <c r="W885" s="16"/>
      <c r="X885" s="16" t="s">
        <v>75</v>
      </c>
      <c r="Y885" s="16"/>
      <c r="Z885" s="16"/>
      <c r="AA885" s="16"/>
      <c r="AB885" s="24"/>
      <c r="AC885" s="24"/>
      <c r="AD885" s="33">
        <v>44663</v>
      </c>
    </row>
    <row r="886" spans="1:30" ht="22.8" x14ac:dyDescent="0.25">
      <c r="A886" s="28"/>
      <c r="B886" s="55">
        <v>39188</v>
      </c>
      <c r="C886" s="60"/>
      <c r="D886" s="20" t="s">
        <v>2247</v>
      </c>
      <c r="E886" s="18" t="s">
        <v>1933</v>
      </c>
      <c r="F886" s="18" t="s">
        <v>2241</v>
      </c>
      <c r="G886" s="18" t="s">
        <v>15</v>
      </c>
      <c r="H886" s="19">
        <v>44282</v>
      </c>
      <c r="I886" s="3" t="s">
        <v>2248</v>
      </c>
      <c r="J886" s="3" t="s">
        <v>58</v>
      </c>
      <c r="K886" s="37" t="s">
        <v>59</v>
      </c>
      <c r="L886" s="16" t="s">
        <v>75</v>
      </c>
      <c r="M886" s="41" t="s">
        <v>871</v>
      </c>
      <c r="N886" s="33">
        <v>44483</v>
      </c>
      <c r="O886" s="33"/>
      <c r="P886" s="33"/>
      <c r="Q886" s="16" t="s">
        <v>75</v>
      </c>
      <c r="R886" s="16" t="s">
        <v>75</v>
      </c>
      <c r="S886" s="37"/>
      <c r="T886" s="16"/>
      <c r="U886" s="16"/>
      <c r="V886" s="16"/>
      <c r="W886" s="16"/>
      <c r="X886" s="16" t="s">
        <v>75</v>
      </c>
      <c r="Y886" s="16"/>
      <c r="Z886" s="16"/>
      <c r="AA886" s="16"/>
      <c r="AB886" s="24"/>
      <c r="AC886" s="24"/>
      <c r="AD886" s="33">
        <v>44663</v>
      </c>
    </row>
    <row r="887" spans="1:30" x14ac:dyDescent="0.25">
      <c r="A887" s="28"/>
      <c r="B887" s="20">
        <v>30470</v>
      </c>
      <c r="C887" s="27" t="s">
        <v>64</v>
      </c>
      <c r="D887" s="24" t="s">
        <v>2249</v>
      </c>
      <c r="E887" s="20" t="s">
        <v>2250</v>
      </c>
      <c r="F887" s="29" t="s">
        <v>2241</v>
      </c>
      <c r="G887" s="29" t="s">
        <v>15</v>
      </c>
      <c r="H887" s="19">
        <v>42490</v>
      </c>
      <c r="I887" s="3">
        <v>39</v>
      </c>
      <c r="J887" s="3" t="s">
        <v>66</v>
      </c>
      <c r="K887" s="16" t="s">
        <v>1318</v>
      </c>
      <c r="L887" s="33"/>
      <c r="M887" s="30" t="s">
        <v>67</v>
      </c>
      <c r="N887" s="33" t="s">
        <v>63</v>
      </c>
      <c r="O887" s="33">
        <v>44315</v>
      </c>
      <c r="P887" s="33"/>
      <c r="Q887" s="16" t="s">
        <v>68</v>
      </c>
      <c r="R887" s="16" t="s">
        <v>68</v>
      </c>
      <c r="S887" s="16"/>
      <c r="T887" s="16" t="s">
        <v>68</v>
      </c>
      <c r="U887" s="37" t="s">
        <v>68</v>
      </c>
      <c r="V887" s="16"/>
      <c r="W887" s="16"/>
      <c r="X887" s="16" t="s">
        <v>68</v>
      </c>
      <c r="Y887" s="16" t="s">
        <v>68</v>
      </c>
      <c r="Z887" s="16" t="s">
        <v>68</v>
      </c>
      <c r="AA887" s="16"/>
      <c r="AB887" s="24"/>
      <c r="AC887" s="24"/>
      <c r="AD887" s="40">
        <v>44647</v>
      </c>
    </row>
    <row r="888" spans="1:30" x14ac:dyDescent="0.25">
      <c r="A888" s="28"/>
      <c r="B888" s="20">
        <v>30470</v>
      </c>
      <c r="C888" s="27" t="s">
        <v>54</v>
      </c>
      <c r="D888" s="24" t="s">
        <v>2251</v>
      </c>
      <c r="E888" s="20" t="s">
        <v>2250</v>
      </c>
      <c r="F888" s="29" t="s">
        <v>2241</v>
      </c>
      <c r="G888" s="29" t="s">
        <v>15</v>
      </c>
      <c r="H888" s="19">
        <v>42490</v>
      </c>
      <c r="I888" s="3">
        <v>23</v>
      </c>
      <c r="J888" s="3" t="s">
        <v>66</v>
      </c>
      <c r="K888" s="16" t="s">
        <v>2252</v>
      </c>
      <c r="L888" s="33"/>
      <c r="M888" s="30" t="s">
        <v>67</v>
      </c>
      <c r="N888" s="33" t="s">
        <v>63</v>
      </c>
      <c r="O888" s="33">
        <v>44315</v>
      </c>
      <c r="P888" s="33"/>
      <c r="Q888" s="16" t="s">
        <v>62</v>
      </c>
      <c r="R888" s="16" t="s">
        <v>62</v>
      </c>
      <c r="S888" s="16"/>
      <c r="T888" s="16" t="s">
        <v>62</v>
      </c>
      <c r="U888" s="37" t="s">
        <v>62</v>
      </c>
      <c r="V888" s="16"/>
      <c r="W888" s="16"/>
      <c r="X888" s="16" t="s">
        <v>62</v>
      </c>
      <c r="Y888" s="16" t="s">
        <v>62</v>
      </c>
      <c r="Z888" s="16" t="s">
        <v>62</v>
      </c>
      <c r="AA888" s="16"/>
      <c r="AB888" s="24"/>
      <c r="AC888" s="24"/>
      <c r="AD888" s="40">
        <v>44647</v>
      </c>
    </row>
    <row r="889" spans="1:30" ht="22.8" x14ac:dyDescent="0.25">
      <c r="A889" s="28"/>
      <c r="B889" s="20">
        <v>30471</v>
      </c>
      <c r="C889" s="27" t="s">
        <v>64</v>
      </c>
      <c r="D889" s="24" t="s">
        <v>2253</v>
      </c>
      <c r="E889" s="20" t="s">
        <v>2250</v>
      </c>
      <c r="F889" s="29" t="s">
        <v>2241</v>
      </c>
      <c r="G889" s="29" t="s">
        <v>15</v>
      </c>
      <c r="H889" s="19">
        <v>42487</v>
      </c>
      <c r="I889" s="3">
        <v>21</v>
      </c>
      <c r="J889" s="3" t="s">
        <v>66</v>
      </c>
      <c r="K889" s="37" t="s">
        <v>59</v>
      </c>
      <c r="L889" s="33">
        <v>44189</v>
      </c>
      <c r="M889" s="34" t="s">
        <v>60</v>
      </c>
      <c r="N889" s="33" t="s">
        <v>63</v>
      </c>
      <c r="O889" s="33">
        <v>44306</v>
      </c>
      <c r="P889" s="33"/>
      <c r="Q889" s="16" t="s">
        <v>68</v>
      </c>
      <c r="R889" s="16" t="s">
        <v>68</v>
      </c>
      <c r="S889" s="16"/>
      <c r="T889" s="16" t="s">
        <v>68</v>
      </c>
      <c r="U889" s="16"/>
      <c r="V889" s="16"/>
      <c r="W889" s="16"/>
      <c r="X889" s="16" t="s">
        <v>68</v>
      </c>
      <c r="Y889" s="16"/>
      <c r="Z889" s="16"/>
      <c r="AA889" s="16"/>
      <c r="AB889" s="24"/>
      <c r="AC889" s="24"/>
      <c r="AD889" s="40">
        <v>44672</v>
      </c>
    </row>
    <row r="890" spans="1:30" ht="22.8" x14ac:dyDescent="0.25">
      <c r="A890" s="28"/>
      <c r="B890" s="20">
        <v>30471</v>
      </c>
      <c r="C890" s="27" t="s">
        <v>54</v>
      </c>
      <c r="D890" s="24" t="s">
        <v>2254</v>
      </c>
      <c r="E890" s="20" t="s">
        <v>2250</v>
      </c>
      <c r="F890" s="29" t="s">
        <v>2241</v>
      </c>
      <c r="G890" s="29" t="s">
        <v>15</v>
      </c>
      <c r="H890" s="19">
        <v>42487</v>
      </c>
      <c r="I890" s="3">
        <v>16</v>
      </c>
      <c r="J890" s="3" t="s">
        <v>66</v>
      </c>
      <c r="K890" s="37" t="s">
        <v>59</v>
      </c>
      <c r="L890" s="33">
        <v>44189</v>
      </c>
      <c r="M890" s="34" t="s">
        <v>60</v>
      </c>
      <c r="N890" s="33" t="s">
        <v>63</v>
      </c>
      <c r="O890" s="33">
        <v>44306</v>
      </c>
      <c r="P890" s="33"/>
      <c r="Q890" s="16" t="s">
        <v>62</v>
      </c>
      <c r="R890" s="16" t="s">
        <v>62</v>
      </c>
      <c r="S890" s="16"/>
      <c r="T890" s="16" t="s">
        <v>62</v>
      </c>
      <c r="U890" s="16"/>
      <c r="V890" s="16"/>
      <c r="W890" s="16"/>
      <c r="X890" s="16" t="s">
        <v>62</v>
      </c>
      <c r="Y890" s="16"/>
      <c r="Z890" s="16"/>
      <c r="AA890" s="16"/>
      <c r="AB890" s="24"/>
      <c r="AC890" s="24"/>
      <c r="AD890" s="40">
        <v>44672</v>
      </c>
    </row>
    <row r="891" spans="1:30" ht="22.8" x14ac:dyDescent="0.25">
      <c r="A891" s="28"/>
      <c r="B891" s="20">
        <v>30472</v>
      </c>
      <c r="C891" s="27" t="s">
        <v>64</v>
      </c>
      <c r="D891" s="24" t="s">
        <v>2255</v>
      </c>
      <c r="E891" s="20" t="s">
        <v>2250</v>
      </c>
      <c r="F891" s="29" t="s">
        <v>2241</v>
      </c>
      <c r="G891" s="29" t="s">
        <v>15</v>
      </c>
      <c r="H891" s="19">
        <v>42497</v>
      </c>
      <c r="I891" s="3">
        <v>17</v>
      </c>
      <c r="J891" s="3" t="s">
        <v>66</v>
      </c>
      <c r="K891" s="37" t="s">
        <v>59</v>
      </c>
      <c r="L891" s="33">
        <v>44095</v>
      </c>
      <c r="M891" s="30" t="s">
        <v>67</v>
      </c>
      <c r="N891" s="33" t="s">
        <v>63</v>
      </c>
      <c r="O891" s="33"/>
      <c r="P891" s="33"/>
      <c r="Q891" s="16" t="s">
        <v>68</v>
      </c>
      <c r="R891" s="16" t="s">
        <v>68</v>
      </c>
      <c r="S891" s="16"/>
      <c r="T891" s="16"/>
      <c r="U891" s="16"/>
      <c r="V891" s="16"/>
      <c r="W891" s="16"/>
      <c r="X891" s="16" t="s">
        <v>68</v>
      </c>
      <c r="Y891" s="16"/>
      <c r="Z891" s="16"/>
      <c r="AA891" s="16"/>
      <c r="AB891" s="24"/>
      <c r="AC891" s="24"/>
      <c r="AD891" s="16"/>
    </row>
    <row r="892" spans="1:30" ht="22.8" x14ac:dyDescent="0.25">
      <c r="A892" s="28"/>
      <c r="B892" s="20">
        <v>30472</v>
      </c>
      <c r="C892" s="27" t="s">
        <v>54</v>
      </c>
      <c r="D892" s="24" t="s">
        <v>815</v>
      </c>
      <c r="E892" s="20" t="s">
        <v>2250</v>
      </c>
      <c r="F892" s="29" t="s">
        <v>2241</v>
      </c>
      <c r="G892" s="29" t="s">
        <v>15</v>
      </c>
      <c r="H892" s="19">
        <v>42497</v>
      </c>
      <c r="I892" s="3">
        <v>36</v>
      </c>
      <c r="J892" s="3" t="s">
        <v>66</v>
      </c>
      <c r="K892" s="37" t="s">
        <v>59</v>
      </c>
      <c r="L892" s="33">
        <v>44095</v>
      </c>
      <c r="M892" s="30" t="s">
        <v>67</v>
      </c>
      <c r="N892" s="33" t="s">
        <v>63</v>
      </c>
      <c r="O892" s="33"/>
      <c r="P892" s="33"/>
      <c r="Q892" s="16" t="s">
        <v>62</v>
      </c>
      <c r="R892" s="16" t="s">
        <v>62</v>
      </c>
      <c r="S892" s="16"/>
      <c r="T892" s="16"/>
      <c r="U892" s="16"/>
      <c r="V892" s="16"/>
      <c r="W892" s="16"/>
      <c r="X892" s="16" t="s">
        <v>62</v>
      </c>
      <c r="Y892" s="16"/>
      <c r="Z892" s="16"/>
      <c r="AA892" s="16"/>
      <c r="AB892" s="24"/>
      <c r="AC892" s="24"/>
      <c r="AD892" s="16"/>
    </row>
    <row r="893" spans="1:30" ht="22.8" x14ac:dyDescent="0.25">
      <c r="A893" s="28"/>
      <c r="B893" s="20">
        <v>30473</v>
      </c>
      <c r="C893" s="27" t="s">
        <v>64</v>
      </c>
      <c r="D893" s="20" t="s">
        <v>2256</v>
      </c>
      <c r="E893" s="20" t="s">
        <v>2250</v>
      </c>
      <c r="F893" s="29" t="s">
        <v>2241</v>
      </c>
      <c r="G893" s="29" t="s">
        <v>15</v>
      </c>
      <c r="H893" s="19">
        <v>42490</v>
      </c>
      <c r="I893" s="3">
        <v>40</v>
      </c>
      <c r="J893" s="3" t="s">
        <v>66</v>
      </c>
      <c r="K893" s="37" t="s">
        <v>59</v>
      </c>
      <c r="L893" s="33">
        <v>44413</v>
      </c>
      <c r="M893" s="30" t="s">
        <v>67</v>
      </c>
      <c r="N893" s="33" t="s">
        <v>63</v>
      </c>
      <c r="O893" s="33">
        <v>44296</v>
      </c>
      <c r="P893" s="33"/>
      <c r="Q893" s="16" t="s">
        <v>68</v>
      </c>
      <c r="R893" s="16" t="s">
        <v>68</v>
      </c>
      <c r="S893" s="16"/>
      <c r="T893" s="16"/>
      <c r="U893" s="16"/>
      <c r="V893" s="16"/>
      <c r="W893" s="16"/>
      <c r="X893" s="16" t="s">
        <v>68</v>
      </c>
      <c r="Y893" s="16"/>
      <c r="Z893" s="16"/>
      <c r="AA893" s="16"/>
      <c r="AB893" s="24"/>
      <c r="AC893" s="24"/>
      <c r="AD893" s="16"/>
    </row>
    <row r="894" spans="1:30" ht="22.8" x14ac:dyDescent="0.25">
      <c r="A894" s="28"/>
      <c r="B894" s="20">
        <v>30473</v>
      </c>
      <c r="C894" s="27" t="s">
        <v>54</v>
      </c>
      <c r="D894" s="24" t="s">
        <v>2257</v>
      </c>
      <c r="E894" s="20" t="s">
        <v>2250</v>
      </c>
      <c r="F894" s="29" t="s">
        <v>2241</v>
      </c>
      <c r="G894" s="29" t="s">
        <v>15</v>
      </c>
      <c r="H894" s="19">
        <v>42490</v>
      </c>
      <c r="I894" s="3">
        <v>44</v>
      </c>
      <c r="J894" s="3" t="s">
        <v>66</v>
      </c>
      <c r="K894" s="37" t="s">
        <v>59</v>
      </c>
      <c r="L894" s="33">
        <v>44356</v>
      </c>
      <c r="M894" s="30" t="s">
        <v>67</v>
      </c>
      <c r="N894" s="33" t="s">
        <v>63</v>
      </c>
      <c r="O894" s="33">
        <v>44296</v>
      </c>
      <c r="P894" s="33"/>
      <c r="Q894" s="16" t="s">
        <v>62</v>
      </c>
      <c r="R894" s="16" t="s">
        <v>62</v>
      </c>
      <c r="S894" s="16"/>
      <c r="T894" s="16"/>
      <c r="U894" s="16"/>
      <c r="V894" s="16"/>
      <c r="W894" s="16"/>
      <c r="X894" s="16" t="s">
        <v>62</v>
      </c>
      <c r="Y894" s="16"/>
      <c r="Z894" s="16"/>
      <c r="AA894" s="16"/>
      <c r="AB894" s="24"/>
      <c r="AC894" s="24"/>
      <c r="AD894" s="16"/>
    </row>
    <row r="895" spans="1:30" ht="22.8" x14ac:dyDescent="0.25">
      <c r="A895" s="28"/>
      <c r="B895" s="20">
        <v>30474</v>
      </c>
      <c r="C895" s="27" t="s">
        <v>64</v>
      </c>
      <c r="D895" s="24" t="s">
        <v>2258</v>
      </c>
      <c r="E895" s="20" t="s">
        <v>2250</v>
      </c>
      <c r="F895" s="29" t="s">
        <v>2241</v>
      </c>
      <c r="G895" s="29" t="s">
        <v>15</v>
      </c>
      <c r="H895" s="19">
        <v>42501</v>
      </c>
      <c r="I895" s="3">
        <v>43</v>
      </c>
      <c r="J895" s="3" t="s">
        <v>66</v>
      </c>
      <c r="K895" s="37" t="s">
        <v>59</v>
      </c>
      <c r="L895" s="33">
        <v>44245</v>
      </c>
      <c r="M895" s="30" t="s">
        <v>67</v>
      </c>
      <c r="N895" s="33" t="s">
        <v>63</v>
      </c>
      <c r="O895" s="33" t="s">
        <v>2259</v>
      </c>
      <c r="P895" s="33"/>
      <c r="Q895" s="16" t="s">
        <v>68</v>
      </c>
      <c r="R895" s="16" t="s">
        <v>68</v>
      </c>
      <c r="S895" s="16"/>
      <c r="T895" s="16"/>
      <c r="U895" s="16"/>
      <c r="V895" s="16"/>
      <c r="W895" s="16"/>
      <c r="X895" s="16" t="s">
        <v>68</v>
      </c>
      <c r="Y895" s="16"/>
      <c r="Z895" s="16"/>
      <c r="AA895" s="16"/>
      <c r="AB895" s="24"/>
      <c r="AC895" s="24"/>
      <c r="AD895" s="40">
        <v>44672</v>
      </c>
    </row>
    <row r="896" spans="1:30" ht="22.8" x14ac:dyDescent="0.25">
      <c r="A896" s="28"/>
      <c r="B896" s="20">
        <v>30474</v>
      </c>
      <c r="C896" s="27" t="s">
        <v>54</v>
      </c>
      <c r="D896" s="24" t="s">
        <v>2260</v>
      </c>
      <c r="E896" s="20" t="s">
        <v>2250</v>
      </c>
      <c r="F896" s="29" t="s">
        <v>2241</v>
      </c>
      <c r="G896" s="29" t="s">
        <v>15</v>
      </c>
      <c r="H896" s="19">
        <v>42501</v>
      </c>
      <c r="I896" s="3">
        <v>15</v>
      </c>
      <c r="J896" s="3" t="s">
        <v>66</v>
      </c>
      <c r="K896" s="37" t="s">
        <v>59</v>
      </c>
      <c r="L896" s="33">
        <v>44245</v>
      </c>
      <c r="M896" s="30" t="s">
        <v>67</v>
      </c>
      <c r="N896" s="33" t="s">
        <v>63</v>
      </c>
      <c r="O896" s="33" t="s">
        <v>2259</v>
      </c>
      <c r="P896" s="33"/>
      <c r="Q896" s="16" t="s">
        <v>62</v>
      </c>
      <c r="R896" s="16" t="s">
        <v>62</v>
      </c>
      <c r="S896" s="16"/>
      <c r="T896" s="16"/>
      <c r="U896" s="16"/>
      <c r="V896" s="16"/>
      <c r="W896" s="16"/>
      <c r="X896" s="16" t="s">
        <v>62</v>
      </c>
      <c r="Y896" s="16"/>
      <c r="Z896" s="16"/>
      <c r="AA896" s="16"/>
      <c r="AB896" s="24"/>
      <c r="AC896" s="24"/>
      <c r="AD896" s="40">
        <v>44602</v>
      </c>
    </row>
    <row r="897" spans="1:31" ht="22.8" x14ac:dyDescent="0.25">
      <c r="A897" s="28"/>
      <c r="B897" s="20">
        <v>30476</v>
      </c>
      <c r="C897" s="27" t="s">
        <v>64</v>
      </c>
      <c r="D897" s="24" t="s">
        <v>2261</v>
      </c>
      <c r="E897" s="20" t="s">
        <v>2250</v>
      </c>
      <c r="F897" s="29" t="s">
        <v>2241</v>
      </c>
      <c r="G897" s="29" t="s">
        <v>15</v>
      </c>
      <c r="H897" s="19">
        <v>42513</v>
      </c>
      <c r="I897" s="3">
        <v>54</v>
      </c>
      <c r="J897" s="3" t="s">
        <v>66</v>
      </c>
      <c r="K897" s="37" t="s">
        <v>59</v>
      </c>
      <c r="L897" s="33"/>
      <c r="M897" s="30" t="s">
        <v>67</v>
      </c>
      <c r="N897" s="33" t="s">
        <v>63</v>
      </c>
      <c r="O897" s="33" t="s">
        <v>2259</v>
      </c>
      <c r="P897" s="33"/>
      <c r="Q897" s="16" t="s">
        <v>68</v>
      </c>
      <c r="R897" s="16" t="s">
        <v>68</v>
      </c>
      <c r="S897" s="16"/>
      <c r="T897" s="16"/>
      <c r="U897" s="16"/>
      <c r="V897" s="16"/>
      <c r="W897" s="16"/>
      <c r="X897" s="16" t="s">
        <v>68</v>
      </c>
      <c r="Y897" s="16"/>
      <c r="Z897" s="16"/>
      <c r="AA897" s="16"/>
      <c r="AB897" s="24"/>
      <c r="AC897" s="24"/>
      <c r="AD897" s="16"/>
    </row>
    <row r="898" spans="1:31" ht="22.8" x14ac:dyDescent="0.25">
      <c r="A898" s="28"/>
      <c r="B898" s="20">
        <v>30476</v>
      </c>
      <c r="C898" s="27" t="s">
        <v>54</v>
      </c>
      <c r="D898" s="24" t="s">
        <v>2262</v>
      </c>
      <c r="E898" s="20" t="s">
        <v>2250</v>
      </c>
      <c r="F898" s="29" t="s">
        <v>2241</v>
      </c>
      <c r="G898" s="29" t="s">
        <v>15</v>
      </c>
      <c r="H898" s="19">
        <v>42513</v>
      </c>
      <c r="I898" s="3">
        <v>41</v>
      </c>
      <c r="J898" s="3" t="s">
        <v>66</v>
      </c>
      <c r="K898" s="37" t="s">
        <v>59</v>
      </c>
      <c r="L898" s="33"/>
      <c r="M898" s="30" t="s">
        <v>67</v>
      </c>
      <c r="N898" s="33" t="s">
        <v>63</v>
      </c>
      <c r="O898" s="33" t="s">
        <v>2259</v>
      </c>
      <c r="P898" s="33"/>
      <c r="Q898" s="16" t="s">
        <v>62</v>
      </c>
      <c r="R898" s="16" t="s">
        <v>62</v>
      </c>
      <c r="S898" s="16"/>
      <c r="T898" s="16"/>
      <c r="U898" s="16"/>
      <c r="V898" s="16"/>
      <c r="W898" s="16"/>
      <c r="X898" s="16" t="s">
        <v>62</v>
      </c>
      <c r="Y898" s="16"/>
      <c r="Z898" s="16"/>
      <c r="AA898" s="16"/>
      <c r="AB898" s="24"/>
      <c r="AC898" s="24"/>
      <c r="AD898" s="16"/>
    </row>
    <row r="899" spans="1:31" ht="22.8" x14ac:dyDescent="0.25">
      <c r="A899" s="28"/>
      <c r="B899" s="20">
        <v>30480</v>
      </c>
      <c r="C899" s="27" t="s">
        <v>64</v>
      </c>
      <c r="D899" s="24" t="s">
        <v>2263</v>
      </c>
      <c r="E899" s="20" t="s">
        <v>2250</v>
      </c>
      <c r="F899" s="29" t="s">
        <v>2241</v>
      </c>
      <c r="G899" s="29" t="s">
        <v>15</v>
      </c>
      <c r="H899" s="19">
        <v>42508</v>
      </c>
      <c r="I899" s="3">
        <v>25</v>
      </c>
      <c r="J899" s="3" t="s">
        <v>66</v>
      </c>
      <c r="K899" s="37" t="s">
        <v>59</v>
      </c>
      <c r="L899" s="33"/>
      <c r="M899" s="30" t="s">
        <v>67</v>
      </c>
      <c r="N899" s="33" t="s">
        <v>63</v>
      </c>
      <c r="O899" s="33"/>
      <c r="P899" s="33"/>
      <c r="Q899" s="16" t="s">
        <v>68</v>
      </c>
      <c r="R899" s="16" t="s">
        <v>68</v>
      </c>
      <c r="S899" s="16"/>
      <c r="T899" s="16"/>
      <c r="U899" s="16"/>
      <c r="V899" s="16"/>
      <c r="W899" s="16"/>
      <c r="X899" s="16" t="s">
        <v>68</v>
      </c>
      <c r="Y899" s="16"/>
      <c r="Z899" s="16"/>
      <c r="AA899" s="16"/>
      <c r="AB899" s="24"/>
      <c r="AC899" s="24"/>
      <c r="AD899" s="16"/>
    </row>
    <row r="900" spans="1:31" ht="22.8" x14ac:dyDescent="0.25">
      <c r="A900" s="28"/>
      <c r="B900" s="20">
        <v>30480</v>
      </c>
      <c r="C900" s="27" t="s">
        <v>54</v>
      </c>
      <c r="D900" s="24" t="s">
        <v>2264</v>
      </c>
      <c r="E900" s="20" t="s">
        <v>2250</v>
      </c>
      <c r="F900" s="29" t="s">
        <v>2241</v>
      </c>
      <c r="G900" s="29" t="s">
        <v>15</v>
      </c>
      <c r="H900" s="19">
        <v>42508</v>
      </c>
      <c r="I900" s="3">
        <v>55</v>
      </c>
      <c r="J900" s="3" t="s">
        <v>66</v>
      </c>
      <c r="K900" s="37" t="s">
        <v>59</v>
      </c>
      <c r="L900" s="33"/>
      <c r="M900" s="30" t="s">
        <v>67</v>
      </c>
      <c r="N900" s="33" t="s">
        <v>63</v>
      </c>
      <c r="O900" s="33"/>
      <c r="P900" s="33"/>
      <c r="Q900" s="16" t="s">
        <v>62</v>
      </c>
      <c r="R900" s="16" t="s">
        <v>62</v>
      </c>
      <c r="S900" s="16"/>
      <c r="T900" s="16"/>
      <c r="U900" s="16"/>
      <c r="V900" s="16"/>
      <c r="W900" s="16"/>
      <c r="X900" s="16" t="s">
        <v>62</v>
      </c>
      <c r="Y900" s="16"/>
      <c r="Z900" s="16"/>
      <c r="AA900" s="16"/>
      <c r="AB900" s="24"/>
      <c r="AC900" s="24"/>
      <c r="AD900" s="16"/>
    </row>
    <row r="901" spans="1:31" ht="22.8" x14ac:dyDescent="0.25">
      <c r="A901" s="28"/>
      <c r="B901" s="20">
        <v>30484</v>
      </c>
      <c r="C901" s="27" t="s">
        <v>64</v>
      </c>
      <c r="D901" s="24" t="s">
        <v>2265</v>
      </c>
      <c r="E901" s="20" t="s">
        <v>2250</v>
      </c>
      <c r="F901" s="29" t="s">
        <v>2241</v>
      </c>
      <c r="G901" s="29" t="s">
        <v>15</v>
      </c>
      <c r="H901" s="19">
        <v>42592</v>
      </c>
      <c r="I901" s="3">
        <v>24</v>
      </c>
      <c r="J901" s="3" t="s">
        <v>66</v>
      </c>
      <c r="K901" s="37" t="s">
        <v>59</v>
      </c>
      <c r="L901" s="33">
        <v>44059</v>
      </c>
      <c r="M901" s="30" t="s">
        <v>67</v>
      </c>
      <c r="N901" s="33" t="s">
        <v>63</v>
      </c>
      <c r="O901" s="38">
        <v>44057</v>
      </c>
      <c r="P901" s="38"/>
      <c r="Q901" s="16" t="s">
        <v>68</v>
      </c>
      <c r="R901" s="16" t="s">
        <v>68</v>
      </c>
      <c r="S901" s="16"/>
      <c r="T901" s="16"/>
      <c r="U901" s="16"/>
      <c r="V901" s="16"/>
      <c r="W901" s="37" t="s">
        <v>68</v>
      </c>
      <c r="X901" s="16" t="s">
        <v>68</v>
      </c>
      <c r="Y901" s="16"/>
      <c r="Z901" s="16"/>
      <c r="AA901" s="16"/>
      <c r="AB901" s="24"/>
      <c r="AC901" s="24"/>
      <c r="AD901" s="40">
        <v>44611</v>
      </c>
    </row>
    <row r="902" spans="1:31" ht="22.8" x14ac:dyDescent="0.25">
      <c r="A902" s="28"/>
      <c r="B902" s="20">
        <v>30484</v>
      </c>
      <c r="C902" s="27" t="s">
        <v>54</v>
      </c>
      <c r="D902" s="24" t="s">
        <v>2266</v>
      </c>
      <c r="E902" s="20" t="s">
        <v>2250</v>
      </c>
      <c r="F902" s="29" t="s">
        <v>2241</v>
      </c>
      <c r="G902" s="29" t="s">
        <v>15</v>
      </c>
      <c r="H902" s="19">
        <v>42592</v>
      </c>
      <c r="I902" s="3">
        <v>49</v>
      </c>
      <c r="J902" s="3" t="s">
        <v>66</v>
      </c>
      <c r="K902" s="37" t="s">
        <v>59</v>
      </c>
      <c r="L902" s="33">
        <v>44059</v>
      </c>
      <c r="M902" s="30" t="s">
        <v>67</v>
      </c>
      <c r="N902" s="33" t="s">
        <v>63</v>
      </c>
      <c r="O902" s="38">
        <v>44057</v>
      </c>
      <c r="P902" s="38"/>
      <c r="Q902" s="16" t="s">
        <v>62</v>
      </c>
      <c r="R902" s="16" t="s">
        <v>62</v>
      </c>
      <c r="S902" s="16"/>
      <c r="T902" s="16"/>
      <c r="U902" s="16"/>
      <c r="V902" s="16"/>
      <c r="W902" s="37" t="s">
        <v>62</v>
      </c>
      <c r="X902" s="16" t="s">
        <v>62</v>
      </c>
      <c r="Y902" s="37" t="s">
        <v>62</v>
      </c>
      <c r="Z902" s="37" t="s">
        <v>62</v>
      </c>
      <c r="AA902" s="37"/>
      <c r="AB902" s="24"/>
      <c r="AC902" s="24"/>
      <c r="AD902" s="40">
        <v>44611</v>
      </c>
      <c r="AE902" s="92"/>
    </row>
    <row r="903" spans="1:31" ht="22.8" x14ac:dyDescent="0.25">
      <c r="A903" s="28"/>
      <c r="B903" s="20">
        <v>30531</v>
      </c>
      <c r="C903" s="27" t="s">
        <v>64</v>
      </c>
      <c r="D903" s="24" t="s">
        <v>2267</v>
      </c>
      <c r="E903" s="20" t="s">
        <v>2250</v>
      </c>
      <c r="F903" s="29" t="s">
        <v>2241</v>
      </c>
      <c r="G903" s="29" t="s">
        <v>15</v>
      </c>
      <c r="H903" s="19">
        <v>42787</v>
      </c>
      <c r="I903" s="3">
        <v>64</v>
      </c>
      <c r="J903" s="3" t="s">
        <v>66</v>
      </c>
      <c r="K903" s="37" t="s">
        <v>59</v>
      </c>
      <c r="L903" s="33">
        <v>43920</v>
      </c>
      <c r="M903" s="34" t="s">
        <v>60</v>
      </c>
      <c r="N903" s="35">
        <v>44194</v>
      </c>
      <c r="O903" s="33" t="s">
        <v>2268</v>
      </c>
      <c r="P903" s="33"/>
      <c r="Q903" s="16" t="s">
        <v>68</v>
      </c>
      <c r="R903" s="16" t="s">
        <v>68</v>
      </c>
      <c r="S903" s="16"/>
      <c r="T903" s="16" t="s">
        <v>68</v>
      </c>
      <c r="U903" s="16" t="s">
        <v>68</v>
      </c>
      <c r="V903" s="16"/>
      <c r="W903" s="16"/>
      <c r="X903" s="16" t="s">
        <v>68</v>
      </c>
      <c r="Y903" s="16"/>
      <c r="Z903" s="16"/>
      <c r="AA903" s="16"/>
      <c r="AB903" s="24"/>
      <c r="AC903" s="24"/>
      <c r="AD903" s="40">
        <v>44671</v>
      </c>
    </row>
    <row r="904" spans="1:31" ht="22.8" x14ac:dyDescent="0.25">
      <c r="A904" s="28"/>
      <c r="B904" s="20">
        <v>30531</v>
      </c>
      <c r="C904" s="27" t="s">
        <v>54</v>
      </c>
      <c r="D904" s="24" t="s">
        <v>2269</v>
      </c>
      <c r="E904" s="20" t="s">
        <v>2250</v>
      </c>
      <c r="F904" s="29" t="s">
        <v>2241</v>
      </c>
      <c r="G904" s="29" t="s">
        <v>15</v>
      </c>
      <c r="H904" s="19">
        <v>42787</v>
      </c>
      <c r="I904" s="3">
        <v>61</v>
      </c>
      <c r="J904" s="3" t="s">
        <v>66</v>
      </c>
      <c r="K904" s="37" t="s">
        <v>59</v>
      </c>
      <c r="L904" s="33">
        <v>43920</v>
      </c>
      <c r="M904" s="34" t="s">
        <v>60</v>
      </c>
      <c r="N904" s="35">
        <v>44194</v>
      </c>
      <c r="O904" s="33" t="s">
        <v>2268</v>
      </c>
      <c r="P904" s="33"/>
      <c r="Q904" s="16" t="s">
        <v>62</v>
      </c>
      <c r="R904" s="16" t="s">
        <v>62</v>
      </c>
      <c r="S904" s="16"/>
      <c r="T904" s="16" t="s">
        <v>62</v>
      </c>
      <c r="U904" s="16" t="s">
        <v>62</v>
      </c>
      <c r="V904" s="16"/>
      <c r="W904" s="16"/>
      <c r="X904" s="16" t="s">
        <v>62</v>
      </c>
      <c r="Y904" s="16"/>
      <c r="Z904" s="16"/>
      <c r="AA904" s="16"/>
      <c r="AB904" s="24"/>
      <c r="AC904" s="24"/>
      <c r="AD904" s="40">
        <v>44671</v>
      </c>
    </row>
    <row r="905" spans="1:31" ht="22.8" x14ac:dyDescent="0.25">
      <c r="A905" s="28"/>
      <c r="B905" s="20">
        <v>30532</v>
      </c>
      <c r="C905" s="27" t="s">
        <v>64</v>
      </c>
      <c r="D905" s="24" t="s">
        <v>2270</v>
      </c>
      <c r="E905" s="20" t="s">
        <v>2250</v>
      </c>
      <c r="F905" s="29" t="s">
        <v>2241</v>
      </c>
      <c r="G905" s="29" t="s">
        <v>15</v>
      </c>
      <c r="H905" s="19">
        <v>42789</v>
      </c>
      <c r="I905" s="3">
        <v>62</v>
      </c>
      <c r="J905" s="3" t="s">
        <v>66</v>
      </c>
      <c r="K905" s="37" t="s">
        <v>59</v>
      </c>
      <c r="L905" s="33"/>
      <c r="M905" s="16" t="s">
        <v>60</v>
      </c>
      <c r="N905" s="33">
        <v>44237</v>
      </c>
      <c r="O905" s="33"/>
      <c r="P905" s="33"/>
      <c r="Q905" s="16" t="s">
        <v>68</v>
      </c>
      <c r="R905" s="16" t="s">
        <v>68</v>
      </c>
      <c r="S905" s="16"/>
      <c r="T905" s="16" t="s">
        <v>68</v>
      </c>
      <c r="U905" s="16"/>
      <c r="V905" s="16"/>
      <c r="W905" s="16"/>
      <c r="X905" s="16" t="s">
        <v>68</v>
      </c>
      <c r="Y905" s="16"/>
      <c r="Z905" s="16"/>
      <c r="AA905" s="16"/>
      <c r="AB905" s="24"/>
      <c r="AC905" s="24"/>
      <c r="AD905" s="40">
        <v>44684</v>
      </c>
    </row>
    <row r="906" spans="1:31" ht="22.8" x14ac:dyDescent="0.25">
      <c r="A906" s="28"/>
      <c r="B906" s="20">
        <v>30532</v>
      </c>
      <c r="C906" s="27" t="s">
        <v>54</v>
      </c>
      <c r="D906" s="24" t="s">
        <v>2271</v>
      </c>
      <c r="E906" s="20" t="s">
        <v>2250</v>
      </c>
      <c r="F906" s="29" t="s">
        <v>2241</v>
      </c>
      <c r="G906" s="29" t="s">
        <v>15</v>
      </c>
      <c r="H906" s="19">
        <v>42789</v>
      </c>
      <c r="I906" s="3">
        <v>60</v>
      </c>
      <c r="J906" s="3" t="s">
        <v>66</v>
      </c>
      <c r="K906" s="37" t="s">
        <v>59</v>
      </c>
      <c r="L906" s="33"/>
      <c r="M906" s="16" t="s">
        <v>60</v>
      </c>
      <c r="N906" s="33">
        <v>44237</v>
      </c>
      <c r="O906" s="33"/>
      <c r="P906" s="33"/>
      <c r="Q906" s="16" t="s">
        <v>62</v>
      </c>
      <c r="R906" s="16" t="s">
        <v>62</v>
      </c>
      <c r="S906" s="16"/>
      <c r="T906" s="16" t="s">
        <v>62</v>
      </c>
      <c r="U906" s="16"/>
      <c r="V906" s="16"/>
      <c r="W906" s="16"/>
      <c r="X906" s="16" t="s">
        <v>62</v>
      </c>
      <c r="Y906" s="16"/>
      <c r="Z906" s="16"/>
      <c r="AA906" s="16"/>
      <c r="AB906" s="24"/>
      <c r="AC906" s="24"/>
      <c r="AD906" s="40">
        <v>44684</v>
      </c>
    </row>
    <row r="907" spans="1:31" ht="22.8" x14ac:dyDescent="0.25">
      <c r="A907" s="28"/>
      <c r="B907" s="20">
        <v>30533</v>
      </c>
      <c r="C907" s="27" t="s">
        <v>64</v>
      </c>
      <c r="D907" s="24" t="s">
        <v>2272</v>
      </c>
      <c r="E907" s="20" t="s">
        <v>2250</v>
      </c>
      <c r="F907" s="29" t="s">
        <v>2241</v>
      </c>
      <c r="G907" s="29" t="s">
        <v>15</v>
      </c>
      <c r="H907" s="19">
        <v>42791</v>
      </c>
      <c r="I907" s="3">
        <v>59</v>
      </c>
      <c r="J907" s="3" t="s">
        <v>66</v>
      </c>
      <c r="K907" s="37" t="s">
        <v>59</v>
      </c>
      <c r="L907" s="33">
        <v>44294</v>
      </c>
      <c r="M907" s="34" t="s">
        <v>60</v>
      </c>
      <c r="N907" s="35">
        <v>44191</v>
      </c>
      <c r="O907" s="33" t="s">
        <v>2259</v>
      </c>
      <c r="P907" s="33"/>
      <c r="Q907" s="16" t="s">
        <v>68</v>
      </c>
      <c r="R907" s="16" t="s">
        <v>68</v>
      </c>
      <c r="S907" s="16"/>
      <c r="T907" s="16"/>
      <c r="U907" s="16"/>
      <c r="V907" s="16"/>
      <c r="W907" s="16"/>
      <c r="X907" s="16" t="s">
        <v>68</v>
      </c>
      <c r="Y907" s="16"/>
      <c r="Z907" s="16"/>
      <c r="AA907" s="16"/>
      <c r="AB907" s="24"/>
      <c r="AC907" s="24"/>
      <c r="AD907" s="40">
        <v>44690</v>
      </c>
    </row>
    <row r="908" spans="1:31" ht="22.8" x14ac:dyDescent="0.25">
      <c r="A908" s="28"/>
      <c r="B908" s="20">
        <v>30533</v>
      </c>
      <c r="C908" s="27" t="s">
        <v>54</v>
      </c>
      <c r="D908" s="24" t="s">
        <v>2273</v>
      </c>
      <c r="E908" s="20" t="s">
        <v>2250</v>
      </c>
      <c r="F908" s="29" t="s">
        <v>2241</v>
      </c>
      <c r="G908" s="29" t="s">
        <v>15</v>
      </c>
      <c r="H908" s="19">
        <v>42791</v>
      </c>
      <c r="I908" s="3">
        <v>63</v>
      </c>
      <c r="J908" s="3" t="s">
        <v>66</v>
      </c>
      <c r="K908" s="37" t="s">
        <v>59</v>
      </c>
      <c r="L908" s="33">
        <v>44294</v>
      </c>
      <c r="M908" s="34" t="s">
        <v>60</v>
      </c>
      <c r="N908" s="35">
        <v>44191</v>
      </c>
      <c r="O908" s="33" t="s">
        <v>2259</v>
      </c>
      <c r="P908" s="33"/>
      <c r="Q908" s="16" t="s">
        <v>62</v>
      </c>
      <c r="R908" s="16" t="s">
        <v>62</v>
      </c>
      <c r="S908" s="16"/>
      <c r="T908" s="16"/>
      <c r="U908" s="16"/>
      <c r="V908" s="16"/>
      <c r="W908" s="16"/>
      <c r="X908" s="16" t="s">
        <v>62</v>
      </c>
      <c r="Y908" s="16"/>
      <c r="Z908" s="16"/>
      <c r="AA908" s="16"/>
      <c r="AB908" s="24"/>
      <c r="AC908" s="24"/>
      <c r="AD908" s="40">
        <v>44690</v>
      </c>
    </row>
    <row r="909" spans="1:31" ht="22.8" x14ac:dyDescent="0.25">
      <c r="A909" s="28"/>
      <c r="B909" s="20">
        <v>30536</v>
      </c>
      <c r="C909" s="27" t="s">
        <v>64</v>
      </c>
      <c r="D909" s="17" t="s">
        <v>1090</v>
      </c>
      <c r="E909" s="20" t="s">
        <v>2250</v>
      </c>
      <c r="F909" s="29" t="s">
        <v>2241</v>
      </c>
      <c r="G909" s="29" t="s">
        <v>15</v>
      </c>
      <c r="H909" s="19">
        <v>42831</v>
      </c>
      <c r="I909" s="3">
        <v>66</v>
      </c>
      <c r="J909" s="3" t="s">
        <v>66</v>
      </c>
      <c r="K909" s="37" t="s">
        <v>59</v>
      </c>
      <c r="L909" s="33">
        <v>44059</v>
      </c>
      <c r="M909" s="16" t="s">
        <v>60</v>
      </c>
      <c r="N909" s="33">
        <v>44226</v>
      </c>
      <c r="O909" s="33"/>
      <c r="P909" s="33"/>
      <c r="Q909" s="16" t="s">
        <v>62</v>
      </c>
      <c r="R909" s="16" t="s">
        <v>62</v>
      </c>
      <c r="S909" s="16"/>
      <c r="T909" s="16"/>
      <c r="U909" s="16"/>
      <c r="V909" s="16"/>
      <c r="W909" s="16"/>
      <c r="X909" s="16"/>
      <c r="Y909" s="16"/>
      <c r="Z909" s="16"/>
      <c r="AA909" s="16"/>
      <c r="AB909" s="24"/>
      <c r="AC909" s="24"/>
      <c r="AD909" s="40">
        <v>44692</v>
      </c>
    </row>
    <row r="910" spans="1:31" ht="22.8" x14ac:dyDescent="0.25">
      <c r="A910" s="28"/>
      <c r="B910" s="20">
        <v>30536</v>
      </c>
      <c r="C910" s="27" t="s">
        <v>54</v>
      </c>
      <c r="D910" s="17" t="s">
        <v>1091</v>
      </c>
      <c r="E910" s="20" t="s">
        <v>2250</v>
      </c>
      <c r="F910" s="29" t="s">
        <v>2241</v>
      </c>
      <c r="G910" s="29" t="s">
        <v>15</v>
      </c>
      <c r="H910" s="19">
        <v>42831</v>
      </c>
      <c r="I910" s="3">
        <v>67</v>
      </c>
      <c r="J910" s="3" t="s">
        <v>66</v>
      </c>
      <c r="K910" s="37" t="s">
        <v>59</v>
      </c>
      <c r="L910" s="33">
        <v>44059</v>
      </c>
      <c r="M910" s="16" t="s">
        <v>60</v>
      </c>
      <c r="N910" s="33">
        <v>44226</v>
      </c>
      <c r="O910" s="33"/>
      <c r="P910" s="33"/>
      <c r="Q910" s="16" t="s">
        <v>68</v>
      </c>
      <c r="R910" s="16" t="s">
        <v>68</v>
      </c>
      <c r="S910" s="16"/>
      <c r="T910" s="16"/>
      <c r="U910" s="16"/>
      <c r="V910" s="16"/>
      <c r="W910" s="16"/>
      <c r="X910" s="16"/>
      <c r="Y910" s="16"/>
      <c r="Z910" s="16"/>
      <c r="AA910" s="16"/>
      <c r="AB910" s="24"/>
      <c r="AC910" s="24"/>
      <c r="AD910" s="40">
        <v>44692</v>
      </c>
    </row>
    <row r="911" spans="1:31" ht="22.8" x14ac:dyDescent="0.25">
      <c r="A911" s="28"/>
      <c r="B911" s="20">
        <v>30548</v>
      </c>
      <c r="C911" s="27" t="s">
        <v>64</v>
      </c>
      <c r="D911" s="17" t="s">
        <v>1087</v>
      </c>
      <c r="E911" s="20" t="s">
        <v>2250</v>
      </c>
      <c r="F911" s="29" t="s">
        <v>2241</v>
      </c>
      <c r="G911" s="29" t="s">
        <v>15</v>
      </c>
      <c r="H911" s="19">
        <v>42884</v>
      </c>
      <c r="I911" s="3">
        <v>80</v>
      </c>
      <c r="J911" s="3" t="s">
        <v>66</v>
      </c>
      <c r="K911" s="37" t="s">
        <v>59</v>
      </c>
      <c r="L911" s="38">
        <v>44061</v>
      </c>
      <c r="M911" s="16" t="s">
        <v>60</v>
      </c>
      <c r="N911" s="33">
        <v>44175</v>
      </c>
      <c r="O911" s="33"/>
      <c r="P911" s="33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24"/>
      <c r="AC911" s="24"/>
      <c r="AD911" s="40">
        <v>44599</v>
      </c>
    </row>
    <row r="912" spans="1:31" ht="22.8" x14ac:dyDescent="0.25">
      <c r="A912" s="28"/>
      <c r="B912" s="20">
        <v>30548</v>
      </c>
      <c r="C912" s="27" t="s">
        <v>54</v>
      </c>
      <c r="D912" s="17" t="s">
        <v>1089</v>
      </c>
      <c r="E912" s="20" t="s">
        <v>2250</v>
      </c>
      <c r="F912" s="29" t="s">
        <v>2241</v>
      </c>
      <c r="G912" s="29" t="s">
        <v>15</v>
      </c>
      <c r="H912" s="19">
        <v>42884</v>
      </c>
      <c r="I912" s="3">
        <v>78</v>
      </c>
      <c r="J912" s="3" t="s">
        <v>66</v>
      </c>
      <c r="K912" s="37" t="s">
        <v>59</v>
      </c>
      <c r="L912" s="38">
        <v>44061</v>
      </c>
      <c r="M912" s="16" t="s">
        <v>60</v>
      </c>
      <c r="N912" s="33">
        <v>44175</v>
      </c>
      <c r="O912" s="33"/>
      <c r="P912" s="33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24"/>
      <c r="AC912" s="24"/>
      <c r="AD912" s="40">
        <v>44599</v>
      </c>
    </row>
    <row r="913" spans="1:30" ht="22.8" x14ac:dyDescent="0.25">
      <c r="A913" s="28"/>
      <c r="B913" s="20">
        <v>30588</v>
      </c>
      <c r="C913" s="27" t="s">
        <v>64</v>
      </c>
      <c r="D913" s="24" t="s">
        <v>2274</v>
      </c>
      <c r="E913" s="20" t="s">
        <v>2250</v>
      </c>
      <c r="F913" s="29" t="s">
        <v>2241</v>
      </c>
      <c r="G913" s="29" t="s">
        <v>15</v>
      </c>
      <c r="H913" s="19">
        <v>43109</v>
      </c>
      <c r="I913" s="3">
        <v>104</v>
      </c>
      <c r="J913" s="3" t="s">
        <v>58</v>
      </c>
      <c r="K913" s="37" t="s">
        <v>59</v>
      </c>
      <c r="L913" s="33" t="s">
        <v>63</v>
      </c>
      <c r="M913" s="34" t="s">
        <v>60</v>
      </c>
      <c r="N913" s="35">
        <v>44179</v>
      </c>
      <c r="O913" s="33"/>
      <c r="P913" s="33"/>
      <c r="Q913" s="16" t="s">
        <v>68</v>
      </c>
      <c r="R913" s="16" t="s">
        <v>68</v>
      </c>
      <c r="S913" s="16"/>
      <c r="T913" s="16"/>
      <c r="U913" s="16"/>
      <c r="V913" s="16"/>
      <c r="W913" s="16"/>
      <c r="X913" s="16" t="s">
        <v>68</v>
      </c>
      <c r="Y913" s="16"/>
      <c r="Z913" s="16"/>
      <c r="AA913" s="40">
        <v>44475</v>
      </c>
      <c r="AB913" s="24"/>
      <c r="AC913" s="24"/>
      <c r="AD913" s="40" t="s">
        <v>2275</v>
      </c>
    </row>
    <row r="914" spans="1:30" ht="22.8" x14ac:dyDescent="0.25">
      <c r="A914" s="28"/>
      <c r="B914" s="20">
        <v>30588</v>
      </c>
      <c r="C914" s="27" t="s">
        <v>54</v>
      </c>
      <c r="D914" s="24" t="s">
        <v>2276</v>
      </c>
      <c r="E914" s="20" t="s">
        <v>2250</v>
      </c>
      <c r="F914" s="29" t="s">
        <v>2241</v>
      </c>
      <c r="G914" s="29" t="s">
        <v>15</v>
      </c>
      <c r="H914" s="19">
        <v>43109</v>
      </c>
      <c r="I914" s="3">
        <v>105</v>
      </c>
      <c r="J914" s="3" t="s">
        <v>58</v>
      </c>
      <c r="K914" s="37" t="s">
        <v>59</v>
      </c>
      <c r="L914" s="33" t="s">
        <v>63</v>
      </c>
      <c r="M914" s="34" t="s">
        <v>60</v>
      </c>
      <c r="N914" s="35">
        <v>44179</v>
      </c>
      <c r="O914" s="33"/>
      <c r="P914" s="33"/>
      <c r="Q914" s="16" t="s">
        <v>62</v>
      </c>
      <c r="R914" s="16" t="s">
        <v>62</v>
      </c>
      <c r="S914" s="16"/>
      <c r="T914" s="16"/>
      <c r="U914" s="16"/>
      <c r="V914" s="16"/>
      <c r="W914" s="16"/>
      <c r="X914" s="16" t="s">
        <v>62</v>
      </c>
      <c r="Y914" s="16"/>
      <c r="Z914" s="16"/>
      <c r="AA914" s="40">
        <v>44475</v>
      </c>
      <c r="AB914" s="24"/>
      <c r="AC914" s="24"/>
      <c r="AD914" s="40" t="s">
        <v>2275</v>
      </c>
    </row>
    <row r="915" spans="1:30" x14ac:dyDescent="0.25">
      <c r="A915" s="28"/>
      <c r="B915" s="20">
        <v>30598</v>
      </c>
      <c r="C915" s="27" t="s">
        <v>64</v>
      </c>
      <c r="D915" s="24" t="s">
        <v>2277</v>
      </c>
      <c r="E915" s="20" t="s">
        <v>2250</v>
      </c>
      <c r="F915" s="29" t="s">
        <v>2241</v>
      </c>
      <c r="G915" s="29" t="s">
        <v>15</v>
      </c>
      <c r="H915" s="19">
        <v>43050</v>
      </c>
      <c r="I915" s="3">
        <v>144</v>
      </c>
      <c r="J915" s="3" t="s">
        <v>58</v>
      </c>
      <c r="K915" s="16"/>
      <c r="L915" s="33"/>
      <c r="M915" s="34" t="s">
        <v>60</v>
      </c>
      <c r="N915" s="35">
        <v>44180</v>
      </c>
      <c r="O915" s="33"/>
      <c r="P915" s="33"/>
      <c r="Q915" s="16" t="s">
        <v>68</v>
      </c>
      <c r="R915" s="16"/>
      <c r="S915" s="16"/>
      <c r="T915" s="16"/>
      <c r="U915" s="16"/>
      <c r="V915" s="16"/>
      <c r="W915" s="16"/>
      <c r="X915" s="16" t="s">
        <v>68</v>
      </c>
      <c r="Y915" s="16"/>
      <c r="Z915" s="16"/>
      <c r="AA915" s="16"/>
      <c r="AB915" s="24"/>
      <c r="AC915" s="24"/>
      <c r="AD915" s="40">
        <v>44690</v>
      </c>
    </row>
    <row r="916" spans="1:30" x14ac:dyDescent="0.25">
      <c r="A916" s="28"/>
      <c r="B916" s="20">
        <v>30598</v>
      </c>
      <c r="C916" s="27" t="s">
        <v>54</v>
      </c>
      <c r="D916" s="24" t="s">
        <v>1086</v>
      </c>
      <c r="E916" s="20" t="s">
        <v>2250</v>
      </c>
      <c r="F916" s="29" t="s">
        <v>2241</v>
      </c>
      <c r="G916" s="29" t="s">
        <v>15</v>
      </c>
      <c r="H916" s="19">
        <v>43050</v>
      </c>
      <c r="I916" s="3">
        <v>145</v>
      </c>
      <c r="J916" s="3" t="s">
        <v>58</v>
      </c>
      <c r="K916" s="16"/>
      <c r="L916" s="33"/>
      <c r="M916" s="34" t="s">
        <v>60</v>
      </c>
      <c r="N916" s="35">
        <v>44180</v>
      </c>
      <c r="O916" s="33"/>
      <c r="P916" s="33"/>
      <c r="Q916" s="16" t="s">
        <v>62</v>
      </c>
      <c r="R916" s="16" t="s">
        <v>62</v>
      </c>
      <c r="S916" s="16"/>
      <c r="T916" s="16"/>
      <c r="U916" s="16"/>
      <c r="V916" s="16"/>
      <c r="W916" s="16"/>
      <c r="X916" s="16" t="s">
        <v>62</v>
      </c>
      <c r="Y916" s="16"/>
      <c r="Z916" s="16"/>
      <c r="AA916" s="16"/>
      <c r="AB916" s="24"/>
      <c r="AC916" s="24"/>
      <c r="AD916" s="40">
        <v>44690</v>
      </c>
    </row>
    <row r="917" spans="1:30" ht="22.8" x14ac:dyDescent="0.25">
      <c r="A917" s="28"/>
      <c r="B917" s="20">
        <v>30606</v>
      </c>
      <c r="C917" s="27" t="s">
        <v>64</v>
      </c>
      <c r="D917" s="24" t="s">
        <v>2278</v>
      </c>
      <c r="E917" s="20" t="s">
        <v>2250</v>
      </c>
      <c r="F917" s="29" t="s">
        <v>2241</v>
      </c>
      <c r="G917" s="29" t="s">
        <v>15</v>
      </c>
      <c r="H917" s="19">
        <v>43074</v>
      </c>
      <c r="I917" s="3">
        <v>107</v>
      </c>
      <c r="J917" s="3" t="s">
        <v>58</v>
      </c>
      <c r="K917" s="37" t="s">
        <v>59</v>
      </c>
      <c r="L917" s="33">
        <v>44112</v>
      </c>
      <c r="M917" s="34" t="s">
        <v>60</v>
      </c>
      <c r="N917" s="40">
        <v>44235</v>
      </c>
      <c r="O917" s="33"/>
      <c r="P917" s="33"/>
      <c r="Q917" s="16" t="s">
        <v>68</v>
      </c>
      <c r="R917" s="16" t="s">
        <v>68</v>
      </c>
      <c r="S917" s="16" t="s">
        <v>68</v>
      </c>
      <c r="T917" s="16"/>
      <c r="U917" s="16"/>
      <c r="V917" s="16"/>
      <c r="W917" s="16"/>
      <c r="X917" s="16" t="s">
        <v>68</v>
      </c>
      <c r="Y917" s="16"/>
      <c r="Z917" s="16"/>
      <c r="AA917" s="16"/>
      <c r="AB917" s="24"/>
      <c r="AC917" s="24"/>
      <c r="AD917" s="40">
        <v>44615</v>
      </c>
    </row>
    <row r="918" spans="1:30" ht="22.8" x14ac:dyDescent="0.25">
      <c r="A918" s="28"/>
      <c r="B918" s="20">
        <v>30606</v>
      </c>
      <c r="C918" s="27" t="s">
        <v>54</v>
      </c>
      <c r="D918" s="24" t="s">
        <v>2279</v>
      </c>
      <c r="E918" s="20" t="s">
        <v>2250</v>
      </c>
      <c r="F918" s="29" t="s">
        <v>2241</v>
      </c>
      <c r="G918" s="29" t="s">
        <v>15</v>
      </c>
      <c r="H918" s="19">
        <v>43074</v>
      </c>
      <c r="I918" s="3">
        <v>106</v>
      </c>
      <c r="J918" s="3" t="s">
        <v>58</v>
      </c>
      <c r="K918" s="37" t="s">
        <v>59</v>
      </c>
      <c r="L918" s="33">
        <v>44112</v>
      </c>
      <c r="M918" s="34" t="s">
        <v>60</v>
      </c>
      <c r="N918" s="40">
        <v>44235</v>
      </c>
      <c r="O918" s="33"/>
      <c r="P918" s="33"/>
      <c r="Q918" s="16" t="s">
        <v>62</v>
      </c>
      <c r="R918" s="37" t="s">
        <v>62</v>
      </c>
      <c r="S918" s="37" t="s">
        <v>62</v>
      </c>
      <c r="T918" s="16"/>
      <c r="U918" s="16"/>
      <c r="V918" s="16"/>
      <c r="W918" s="16"/>
      <c r="X918" s="16" t="s">
        <v>62</v>
      </c>
      <c r="Y918" s="16"/>
      <c r="Z918" s="16"/>
      <c r="AA918" s="16"/>
      <c r="AB918" s="24"/>
      <c r="AC918" s="24"/>
      <c r="AD918" s="40">
        <v>44615</v>
      </c>
    </row>
    <row r="919" spans="1:30" ht="22.8" x14ac:dyDescent="0.25">
      <c r="A919" s="28"/>
      <c r="B919" s="20">
        <v>30607</v>
      </c>
      <c r="C919" s="27" t="s">
        <v>64</v>
      </c>
      <c r="D919" s="24" t="s">
        <v>2280</v>
      </c>
      <c r="E919" s="20" t="s">
        <v>2250</v>
      </c>
      <c r="F919" s="29" t="s">
        <v>2241</v>
      </c>
      <c r="G919" s="29" t="s">
        <v>15</v>
      </c>
      <c r="H919" s="19">
        <v>43084</v>
      </c>
      <c r="I919" s="3">
        <v>126</v>
      </c>
      <c r="J919" s="3" t="s">
        <v>58</v>
      </c>
      <c r="K919" s="37" t="s">
        <v>59</v>
      </c>
      <c r="L919" s="33">
        <v>44072</v>
      </c>
      <c r="M919" s="34" t="s">
        <v>60</v>
      </c>
      <c r="N919" s="35">
        <v>44173</v>
      </c>
      <c r="O919" s="33" t="s">
        <v>2259</v>
      </c>
      <c r="P919" s="33"/>
      <c r="Q919" s="16" t="s">
        <v>68</v>
      </c>
      <c r="R919" s="16" t="s">
        <v>68</v>
      </c>
      <c r="S919" s="16" t="s">
        <v>68</v>
      </c>
      <c r="T919" s="16"/>
      <c r="U919" s="16"/>
      <c r="V919" s="16"/>
      <c r="W919" s="16"/>
      <c r="X919" s="16" t="s">
        <v>68</v>
      </c>
      <c r="Y919" s="16"/>
      <c r="Z919" s="16"/>
      <c r="AA919" s="16"/>
      <c r="AB919" s="24"/>
      <c r="AC919" s="24"/>
      <c r="AD919" s="40">
        <v>44609</v>
      </c>
    </row>
    <row r="920" spans="1:30" ht="22.8" x14ac:dyDescent="0.25">
      <c r="A920" s="28"/>
      <c r="B920" s="20">
        <v>30607</v>
      </c>
      <c r="C920" s="27" t="s">
        <v>54</v>
      </c>
      <c r="D920" s="24" t="s">
        <v>2281</v>
      </c>
      <c r="E920" s="20" t="s">
        <v>2250</v>
      </c>
      <c r="F920" s="29" t="s">
        <v>2241</v>
      </c>
      <c r="G920" s="29" t="s">
        <v>15</v>
      </c>
      <c r="H920" s="19">
        <v>43084</v>
      </c>
      <c r="I920" s="3">
        <v>127</v>
      </c>
      <c r="J920" s="3" t="s">
        <v>58</v>
      </c>
      <c r="K920" s="37" t="s">
        <v>59</v>
      </c>
      <c r="L920" s="33">
        <v>44072</v>
      </c>
      <c r="M920" s="34" t="s">
        <v>60</v>
      </c>
      <c r="N920" s="35">
        <v>44173</v>
      </c>
      <c r="O920" s="33" t="s">
        <v>2259</v>
      </c>
      <c r="P920" s="33"/>
      <c r="Q920" s="16" t="s">
        <v>62</v>
      </c>
      <c r="R920" s="16" t="s">
        <v>62</v>
      </c>
      <c r="S920" s="37" t="s">
        <v>62</v>
      </c>
      <c r="T920" s="16"/>
      <c r="U920" s="16"/>
      <c r="V920" s="16"/>
      <c r="W920" s="16"/>
      <c r="X920" s="16" t="s">
        <v>62</v>
      </c>
      <c r="Y920" s="16"/>
      <c r="Z920" s="16"/>
      <c r="AA920" s="16"/>
      <c r="AB920" s="24"/>
      <c r="AC920" s="24"/>
      <c r="AD920" s="16"/>
    </row>
    <row r="921" spans="1:30" ht="22.8" x14ac:dyDescent="0.25">
      <c r="A921" s="28"/>
      <c r="B921" s="20">
        <v>30821</v>
      </c>
      <c r="C921" s="27" t="s">
        <v>64</v>
      </c>
      <c r="D921" s="20" t="s">
        <v>2282</v>
      </c>
      <c r="E921" s="20" t="s">
        <v>2250</v>
      </c>
      <c r="F921" s="29" t="s">
        <v>2241</v>
      </c>
      <c r="G921" s="29" t="s">
        <v>15</v>
      </c>
      <c r="H921" s="19">
        <v>44209</v>
      </c>
      <c r="I921" s="3">
        <v>374</v>
      </c>
      <c r="J921" s="3" t="s">
        <v>58</v>
      </c>
      <c r="K921" s="37" t="s">
        <v>59</v>
      </c>
      <c r="L921" s="38">
        <v>44418</v>
      </c>
      <c r="M921" s="41" t="s">
        <v>60</v>
      </c>
      <c r="N921" s="33" t="s">
        <v>63</v>
      </c>
      <c r="O921" s="33"/>
      <c r="P921" s="33"/>
      <c r="Q921" s="16"/>
      <c r="R921" s="16" t="s">
        <v>68</v>
      </c>
      <c r="S921" s="16"/>
      <c r="T921" s="16" t="s">
        <v>68</v>
      </c>
      <c r="U921" s="16"/>
      <c r="V921" s="16"/>
      <c r="W921" s="16"/>
      <c r="X921" s="16" t="s">
        <v>68</v>
      </c>
      <c r="Y921" s="16"/>
      <c r="Z921" s="16"/>
      <c r="AA921" s="40">
        <v>44531</v>
      </c>
      <c r="AB921" s="24"/>
      <c r="AC921" s="24"/>
      <c r="AD921" s="40">
        <v>44740</v>
      </c>
    </row>
    <row r="922" spans="1:30" ht="22.8" x14ac:dyDescent="0.25">
      <c r="A922" s="28"/>
      <c r="B922" s="20">
        <v>30821</v>
      </c>
      <c r="C922" s="27" t="s">
        <v>54</v>
      </c>
      <c r="D922" s="20" t="s">
        <v>2283</v>
      </c>
      <c r="E922" s="20" t="s">
        <v>2250</v>
      </c>
      <c r="F922" s="29" t="s">
        <v>2241</v>
      </c>
      <c r="G922" s="29" t="s">
        <v>15</v>
      </c>
      <c r="H922" s="19">
        <v>44209</v>
      </c>
      <c r="I922" s="3">
        <v>375</v>
      </c>
      <c r="J922" s="3" t="s">
        <v>58</v>
      </c>
      <c r="K922" s="37" t="s">
        <v>59</v>
      </c>
      <c r="L922" s="38">
        <v>44418</v>
      </c>
      <c r="M922" s="41" t="s">
        <v>60</v>
      </c>
      <c r="N922" s="33" t="s">
        <v>63</v>
      </c>
      <c r="O922" s="33"/>
      <c r="P922" s="33"/>
      <c r="Q922" s="16"/>
      <c r="R922" s="16" t="s">
        <v>62</v>
      </c>
      <c r="S922" s="16"/>
      <c r="T922" s="16" t="s">
        <v>62</v>
      </c>
      <c r="U922" s="16"/>
      <c r="V922" s="16"/>
      <c r="W922" s="16"/>
      <c r="X922" s="16" t="s">
        <v>62</v>
      </c>
      <c r="Y922" s="16"/>
      <c r="Z922" s="16"/>
      <c r="AA922" s="40">
        <v>44531</v>
      </c>
      <c r="AB922" s="24"/>
      <c r="AC922" s="24"/>
      <c r="AD922" s="40">
        <v>44740</v>
      </c>
    </row>
    <row r="923" spans="1:30" ht="22.8" x14ac:dyDescent="0.25">
      <c r="A923" s="28"/>
      <c r="B923" s="20">
        <v>30822</v>
      </c>
      <c r="C923" s="27" t="s">
        <v>64</v>
      </c>
      <c r="D923" s="20" t="s">
        <v>2284</v>
      </c>
      <c r="E923" s="20" t="s">
        <v>2250</v>
      </c>
      <c r="F923" s="29" t="s">
        <v>2241</v>
      </c>
      <c r="G923" s="29" t="s">
        <v>15</v>
      </c>
      <c r="H923" s="19">
        <v>44210</v>
      </c>
      <c r="I923" s="3">
        <v>964</v>
      </c>
      <c r="J923" s="3" t="s">
        <v>58</v>
      </c>
      <c r="K923" s="37" t="s">
        <v>59</v>
      </c>
      <c r="L923" s="16" t="s">
        <v>75</v>
      </c>
      <c r="M923" s="41" t="s">
        <v>60</v>
      </c>
      <c r="N923" s="40">
        <v>44221</v>
      </c>
      <c r="O923" s="33"/>
      <c r="P923" s="33"/>
      <c r="Q923" s="16" t="s">
        <v>75</v>
      </c>
      <c r="R923" s="16" t="s">
        <v>75</v>
      </c>
      <c r="S923" s="16"/>
      <c r="T923" s="16" t="s">
        <v>68</v>
      </c>
      <c r="U923" s="16"/>
      <c r="V923" s="16"/>
      <c r="W923" s="16"/>
      <c r="X923" s="16" t="s">
        <v>75</v>
      </c>
      <c r="Y923" s="16"/>
      <c r="Z923" s="16"/>
      <c r="AA923" s="16"/>
      <c r="AB923" s="24"/>
      <c r="AC923" s="24"/>
      <c r="AD923" s="40" t="s">
        <v>2285</v>
      </c>
    </row>
    <row r="924" spans="1:30" ht="22.8" x14ac:dyDescent="0.25">
      <c r="A924" s="28"/>
      <c r="B924" s="20">
        <v>30822</v>
      </c>
      <c r="C924" s="27" t="s">
        <v>54</v>
      </c>
      <c r="D924" s="20" t="s">
        <v>2286</v>
      </c>
      <c r="E924" s="20" t="s">
        <v>2250</v>
      </c>
      <c r="F924" s="29" t="s">
        <v>2241</v>
      </c>
      <c r="G924" s="29" t="s">
        <v>15</v>
      </c>
      <c r="H924" s="19">
        <v>44210</v>
      </c>
      <c r="I924" s="3">
        <v>965</v>
      </c>
      <c r="J924" s="3" t="s">
        <v>58</v>
      </c>
      <c r="K924" s="37" t="s">
        <v>59</v>
      </c>
      <c r="L924" s="16" t="s">
        <v>75</v>
      </c>
      <c r="M924" s="41" t="s">
        <v>60</v>
      </c>
      <c r="N924" s="40">
        <v>44221</v>
      </c>
      <c r="O924" s="33"/>
      <c r="P924" s="33"/>
      <c r="Q924" s="16" t="s">
        <v>75</v>
      </c>
      <c r="R924" s="16" t="s">
        <v>75</v>
      </c>
      <c r="S924" s="16"/>
      <c r="T924" s="16" t="s">
        <v>62</v>
      </c>
      <c r="U924" s="16"/>
      <c r="V924" s="16"/>
      <c r="W924" s="16"/>
      <c r="X924" s="16" t="s">
        <v>75</v>
      </c>
      <c r="Y924" s="16"/>
      <c r="Z924" s="16"/>
      <c r="AA924" s="16"/>
      <c r="AB924" s="24"/>
      <c r="AC924" s="24"/>
      <c r="AD924" s="40" t="s">
        <v>2285</v>
      </c>
    </row>
    <row r="925" spans="1:30" ht="22.8" x14ac:dyDescent="0.25">
      <c r="A925" s="28"/>
      <c r="B925" s="20">
        <v>30823</v>
      </c>
      <c r="C925" s="27" t="s">
        <v>64</v>
      </c>
      <c r="D925" s="20" t="s">
        <v>2287</v>
      </c>
      <c r="E925" s="20" t="s">
        <v>2250</v>
      </c>
      <c r="F925" s="29" t="s">
        <v>2241</v>
      </c>
      <c r="G925" s="29" t="s">
        <v>15</v>
      </c>
      <c r="H925" s="19">
        <v>44218</v>
      </c>
      <c r="I925" s="3">
        <v>1008</v>
      </c>
      <c r="J925" s="3" t="s">
        <v>58</v>
      </c>
      <c r="K925" s="37" t="s">
        <v>59</v>
      </c>
      <c r="L925" s="16" t="s">
        <v>75</v>
      </c>
      <c r="M925" s="41" t="s">
        <v>60</v>
      </c>
      <c r="N925" s="33" t="s">
        <v>63</v>
      </c>
      <c r="O925" s="33"/>
      <c r="P925" s="33"/>
      <c r="Q925" s="16" t="s">
        <v>75</v>
      </c>
      <c r="R925" s="16" t="s">
        <v>75</v>
      </c>
      <c r="S925" s="16"/>
      <c r="T925" s="16" t="s">
        <v>68</v>
      </c>
      <c r="U925" s="16"/>
      <c r="V925" s="16"/>
      <c r="W925" s="16"/>
      <c r="X925" s="16" t="s">
        <v>75</v>
      </c>
      <c r="Y925" s="16"/>
      <c r="Z925" s="16"/>
      <c r="AA925" s="16"/>
      <c r="AB925" s="24"/>
      <c r="AC925" s="24"/>
      <c r="AD925" s="16"/>
    </row>
    <row r="926" spans="1:30" ht="22.8" x14ac:dyDescent="0.25">
      <c r="A926" s="28"/>
      <c r="B926" s="20">
        <v>30823</v>
      </c>
      <c r="C926" s="27" t="s">
        <v>54</v>
      </c>
      <c r="D926" s="20" t="s">
        <v>2288</v>
      </c>
      <c r="E926" s="20" t="s">
        <v>2250</v>
      </c>
      <c r="F926" s="29" t="s">
        <v>2241</v>
      </c>
      <c r="G926" s="29" t="s">
        <v>15</v>
      </c>
      <c r="H926" s="19">
        <v>44218</v>
      </c>
      <c r="I926" s="3">
        <v>986</v>
      </c>
      <c r="J926" s="3" t="s">
        <v>58</v>
      </c>
      <c r="K926" s="37" t="s">
        <v>59</v>
      </c>
      <c r="L926" s="16" t="s">
        <v>75</v>
      </c>
      <c r="M926" s="41" t="s">
        <v>60</v>
      </c>
      <c r="N926" s="33" t="s">
        <v>63</v>
      </c>
      <c r="O926" s="33"/>
      <c r="P926" s="33"/>
      <c r="Q926" s="16" t="s">
        <v>75</v>
      </c>
      <c r="R926" s="16" t="s">
        <v>75</v>
      </c>
      <c r="S926" s="16"/>
      <c r="T926" s="16" t="s">
        <v>62</v>
      </c>
      <c r="U926" s="16"/>
      <c r="V926" s="16"/>
      <c r="W926" s="16"/>
      <c r="X926" s="16" t="s">
        <v>75</v>
      </c>
      <c r="Y926" s="16"/>
      <c r="Z926" s="16"/>
      <c r="AA926" s="16"/>
      <c r="AB926" s="24"/>
      <c r="AC926" s="24"/>
      <c r="AD926" s="16"/>
    </row>
    <row r="927" spans="1:30" ht="22.8" x14ac:dyDescent="0.25">
      <c r="A927" s="28"/>
      <c r="B927" s="20">
        <v>37086</v>
      </c>
      <c r="C927" s="27" t="s">
        <v>64</v>
      </c>
      <c r="D927" s="24" t="s">
        <v>2289</v>
      </c>
      <c r="E927" s="20" t="s">
        <v>2250</v>
      </c>
      <c r="F927" s="29" t="s">
        <v>2241</v>
      </c>
      <c r="G927" s="29" t="s">
        <v>15</v>
      </c>
      <c r="H927" s="19">
        <v>43510</v>
      </c>
      <c r="I927" s="3">
        <v>244</v>
      </c>
      <c r="J927" s="3" t="s">
        <v>58</v>
      </c>
      <c r="K927" s="37" t="s">
        <v>59</v>
      </c>
      <c r="L927" s="33">
        <v>43858</v>
      </c>
      <c r="M927" s="34" t="s">
        <v>60</v>
      </c>
      <c r="N927" s="35">
        <v>44187</v>
      </c>
      <c r="O927" s="33"/>
      <c r="P927" s="33"/>
      <c r="Q927" s="16" t="s">
        <v>68</v>
      </c>
      <c r="R927" s="16" t="s">
        <v>68</v>
      </c>
      <c r="S927" s="16"/>
      <c r="T927" s="16"/>
      <c r="U927" s="16"/>
      <c r="V927" s="16"/>
      <c r="W927" s="16"/>
      <c r="X927" s="16"/>
      <c r="Y927" s="16"/>
      <c r="Z927" s="16"/>
      <c r="AA927" s="40">
        <v>44494</v>
      </c>
      <c r="AB927" s="24"/>
      <c r="AC927" s="24"/>
      <c r="AD927" s="40">
        <v>44599</v>
      </c>
    </row>
    <row r="928" spans="1:30" ht="22.8" x14ac:dyDescent="0.25">
      <c r="A928" s="28"/>
      <c r="B928" s="20">
        <v>37086</v>
      </c>
      <c r="C928" s="27" t="s">
        <v>54</v>
      </c>
      <c r="D928" s="24" t="s">
        <v>2290</v>
      </c>
      <c r="E928" s="20" t="s">
        <v>2250</v>
      </c>
      <c r="F928" s="29" t="s">
        <v>2241</v>
      </c>
      <c r="G928" s="29" t="s">
        <v>15</v>
      </c>
      <c r="H928" s="19">
        <v>43510</v>
      </c>
      <c r="I928" s="3">
        <v>245</v>
      </c>
      <c r="J928" s="3" t="s">
        <v>58</v>
      </c>
      <c r="K928" s="37" t="s">
        <v>59</v>
      </c>
      <c r="L928" s="33">
        <v>43858</v>
      </c>
      <c r="M928" s="34" t="s">
        <v>60</v>
      </c>
      <c r="N928" s="35">
        <v>44187</v>
      </c>
      <c r="O928" s="33"/>
      <c r="P928" s="33"/>
      <c r="Q928" s="16" t="s">
        <v>62</v>
      </c>
      <c r="R928" s="16"/>
      <c r="S928" s="16"/>
      <c r="T928" s="16"/>
      <c r="U928" s="16"/>
      <c r="V928" s="16"/>
      <c r="W928" s="16"/>
      <c r="X928" s="16"/>
      <c r="Y928" s="16"/>
      <c r="Z928" s="16"/>
      <c r="AA928" s="40">
        <v>44494</v>
      </c>
      <c r="AB928" s="24"/>
      <c r="AC928" s="24"/>
      <c r="AD928" s="40">
        <v>44599</v>
      </c>
    </row>
    <row r="929" spans="1:30" ht="22.8" x14ac:dyDescent="0.25">
      <c r="A929" s="28"/>
      <c r="B929" s="20">
        <v>37088</v>
      </c>
      <c r="C929" s="27" t="s">
        <v>64</v>
      </c>
      <c r="D929" s="24" t="s">
        <v>2291</v>
      </c>
      <c r="E929" s="20" t="s">
        <v>2250</v>
      </c>
      <c r="F929" s="29" t="s">
        <v>2241</v>
      </c>
      <c r="G929" s="29" t="s">
        <v>15</v>
      </c>
      <c r="H929" s="19">
        <v>43514</v>
      </c>
      <c r="I929" s="3">
        <v>256</v>
      </c>
      <c r="J929" s="3" t="s">
        <v>58</v>
      </c>
      <c r="K929" s="37" t="s">
        <v>59</v>
      </c>
      <c r="L929" s="33">
        <v>44218</v>
      </c>
      <c r="M929" s="34" t="s">
        <v>60</v>
      </c>
      <c r="N929" s="40">
        <v>44161</v>
      </c>
      <c r="O929" s="33"/>
      <c r="P929" s="33"/>
      <c r="Q929" s="16" t="s">
        <v>68</v>
      </c>
      <c r="R929" s="16" t="s">
        <v>68</v>
      </c>
      <c r="S929" s="16"/>
      <c r="T929" s="16"/>
      <c r="U929" s="16"/>
      <c r="V929" s="16"/>
      <c r="W929" s="16"/>
      <c r="X929" s="16"/>
      <c r="Y929" s="16"/>
      <c r="Z929" s="16"/>
      <c r="AA929" s="40">
        <v>44518</v>
      </c>
      <c r="AB929" s="24"/>
      <c r="AC929" s="24"/>
      <c r="AD929" s="40">
        <v>44690</v>
      </c>
    </row>
    <row r="930" spans="1:30" ht="22.8" x14ac:dyDescent="0.25">
      <c r="A930" s="28"/>
      <c r="B930" s="20">
        <v>37088</v>
      </c>
      <c r="C930" s="27" t="s">
        <v>54</v>
      </c>
      <c r="D930" s="24" t="s">
        <v>2292</v>
      </c>
      <c r="E930" s="20" t="s">
        <v>2250</v>
      </c>
      <c r="F930" s="29" t="s">
        <v>2241</v>
      </c>
      <c r="G930" s="29" t="s">
        <v>15</v>
      </c>
      <c r="H930" s="19">
        <v>43514</v>
      </c>
      <c r="I930" s="3">
        <v>257</v>
      </c>
      <c r="J930" s="3" t="s">
        <v>58</v>
      </c>
      <c r="K930" s="37" t="s">
        <v>59</v>
      </c>
      <c r="L930" s="33">
        <v>44218</v>
      </c>
      <c r="M930" s="34" t="s">
        <v>60</v>
      </c>
      <c r="N930" s="40">
        <v>44161</v>
      </c>
      <c r="O930" s="33"/>
      <c r="P930" s="33"/>
      <c r="Q930" s="16" t="s">
        <v>62</v>
      </c>
      <c r="R930" s="16" t="s">
        <v>62</v>
      </c>
      <c r="S930" s="16"/>
      <c r="T930" s="16"/>
      <c r="U930" s="16"/>
      <c r="V930" s="16"/>
      <c r="W930" s="16"/>
      <c r="X930" s="16"/>
      <c r="Y930" s="16"/>
      <c r="Z930" s="16"/>
      <c r="AA930" s="40"/>
      <c r="AB930" s="24"/>
      <c r="AC930" s="24"/>
      <c r="AD930" s="40">
        <v>44690</v>
      </c>
    </row>
    <row r="931" spans="1:30" x14ac:dyDescent="0.25">
      <c r="A931" s="28"/>
      <c r="B931" s="20">
        <v>37112</v>
      </c>
      <c r="C931" s="27" t="s">
        <v>64</v>
      </c>
      <c r="D931" s="24" t="s">
        <v>2293</v>
      </c>
      <c r="E931" s="20" t="s">
        <v>2250</v>
      </c>
      <c r="F931" s="29" t="s">
        <v>2241</v>
      </c>
      <c r="G931" s="29" t="s">
        <v>15</v>
      </c>
      <c r="H931" s="19">
        <v>43538</v>
      </c>
      <c r="I931" s="3">
        <v>318</v>
      </c>
      <c r="J931" s="3" t="s">
        <v>58</v>
      </c>
      <c r="K931" s="16"/>
      <c r="L931" s="33"/>
      <c r="M931" s="34" t="s">
        <v>60</v>
      </c>
      <c r="N931" s="35">
        <v>44180</v>
      </c>
      <c r="O931" s="33"/>
      <c r="P931" s="33"/>
      <c r="Q931" s="16" t="s">
        <v>68</v>
      </c>
      <c r="R931" s="16" t="s">
        <v>68</v>
      </c>
      <c r="S931" s="16"/>
      <c r="T931" s="16"/>
      <c r="U931" s="16"/>
      <c r="V931" s="16"/>
      <c r="W931" s="16"/>
      <c r="X931" s="16"/>
      <c r="Y931" s="16"/>
      <c r="Z931" s="16"/>
      <c r="AA931" s="40">
        <v>44529</v>
      </c>
      <c r="AB931" s="24"/>
      <c r="AC931" s="24"/>
      <c r="AD931" s="16"/>
    </row>
    <row r="932" spans="1:30" x14ac:dyDescent="0.25">
      <c r="A932" s="28"/>
      <c r="B932" s="20">
        <v>37112</v>
      </c>
      <c r="C932" s="27" t="s">
        <v>54</v>
      </c>
      <c r="D932" s="24" t="s">
        <v>2294</v>
      </c>
      <c r="E932" s="20" t="s">
        <v>2250</v>
      </c>
      <c r="F932" s="29" t="s">
        <v>2241</v>
      </c>
      <c r="G932" s="29" t="s">
        <v>15</v>
      </c>
      <c r="H932" s="19">
        <v>43538</v>
      </c>
      <c r="I932" s="3">
        <v>319</v>
      </c>
      <c r="J932" s="3" t="s">
        <v>58</v>
      </c>
      <c r="K932" s="16"/>
      <c r="L932" s="33"/>
      <c r="M932" s="34" t="s">
        <v>60</v>
      </c>
      <c r="N932" s="35">
        <v>44180</v>
      </c>
      <c r="O932" s="33"/>
      <c r="P932" s="33"/>
      <c r="Q932" s="16" t="s">
        <v>62</v>
      </c>
      <c r="R932" s="16"/>
      <c r="S932" s="16"/>
      <c r="T932" s="16"/>
      <c r="U932" s="16"/>
      <c r="V932" s="16"/>
      <c r="W932" s="16"/>
      <c r="X932" s="16"/>
      <c r="Y932" s="16"/>
      <c r="Z932" s="16"/>
      <c r="AA932" s="40">
        <v>44529</v>
      </c>
      <c r="AB932" s="24"/>
      <c r="AC932" s="24"/>
      <c r="AD932" s="16"/>
    </row>
    <row r="933" spans="1:30" ht="22.8" x14ac:dyDescent="0.25">
      <c r="A933" s="28"/>
      <c r="B933" s="20">
        <v>37113</v>
      </c>
      <c r="C933" s="27" t="s">
        <v>64</v>
      </c>
      <c r="D933" s="24" t="s">
        <v>2295</v>
      </c>
      <c r="E933" s="20" t="s">
        <v>2250</v>
      </c>
      <c r="F933" s="29" t="s">
        <v>2241</v>
      </c>
      <c r="G933" s="29" t="s">
        <v>15</v>
      </c>
      <c r="H933" s="19">
        <v>43540</v>
      </c>
      <c r="I933" s="3">
        <v>355</v>
      </c>
      <c r="J933" s="3" t="s">
        <v>58</v>
      </c>
      <c r="K933" s="37" t="s">
        <v>59</v>
      </c>
      <c r="L933" s="33">
        <v>43892</v>
      </c>
      <c r="M933" s="34" t="s">
        <v>60</v>
      </c>
      <c r="N933" s="35">
        <v>44232</v>
      </c>
      <c r="O933" s="33"/>
      <c r="P933" s="33"/>
      <c r="Q933" s="16" t="s">
        <v>68</v>
      </c>
      <c r="R933" s="16"/>
      <c r="S933" s="16"/>
      <c r="T933" s="16"/>
      <c r="U933" s="16"/>
      <c r="V933" s="16"/>
      <c r="W933" s="16"/>
      <c r="X933" s="16"/>
      <c r="Y933" s="16"/>
      <c r="Z933" s="16"/>
      <c r="AA933" s="40">
        <v>44497</v>
      </c>
      <c r="AB933" s="24"/>
      <c r="AC933" s="24"/>
      <c r="AD933" s="40">
        <v>44692</v>
      </c>
    </row>
    <row r="934" spans="1:30" ht="22.8" x14ac:dyDescent="0.25">
      <c r="A934" s="28"/>
      <c r="B934" s="20">
        <v>37113</v>
      </c>
      <c r="C934" s="27" t="s">
        <v>54</v>
      </c>
      <c r="D934" s="24" t="s">
        <v>2296</v>
      </c>
      <c r="E934" s="20" t="s">
        <v>2250</v>
      </c>
      <c r="F934" s="29" t="s">
        <v>2241</v>
      </c>
      <c r="G934" s="29" t="s">
        <v>15</v>
      </c>
      <c r="H934" s="19">
        <v>43540</v>
      </c>
      <c r="I934" s="3">
        <v>336</v>
      </c>
      <c r="J934" s="3" t="s">
        <v>58</v>
      </c>
      <c r="K934" s="37" t="s">
        <v>59</v>
      </c>
      <c r="L934" s="33">
        <v>43892</v>
      </c>
      <c r="M934" s="34" t="s">
        <v>60</v>
      </c>
      <c r="N934" s="40">
        <v>44232</v>
      </c>
      <c r="O934" s="33"/>
      <c r="P934" s="33"/>
      <c r="Q934" s="16" t="s">
        <v>62</v>
      </c>
      <c r="R934" s="16" t="s">
        <v>62</v>
      </c>
      <c r="S934" s="16"/>
      <c r="T934" s="16"/>
      <c r="U934" s="16"/>
      <c r="V934" s="16"/>
      <c r="W934" s="16"/>
      <c r="X934" s="16"/>
      <c r="Y934" s="16"/>
      <c r="Z934" s="16"/>
      <c r="AA934" s="40">
        <v>44497</v>
      </c>
      <c r="AB934" s="24"/>
      <c r="AC934" s="24"/>
      <c r="AD934" s="40">
        <v>44692</v>
      </c>
    </row>
    <row r="935" spans="1:30" ht="22.8" x14ac:dyDescent="0.25">
      <c r="A935" s="28"/>
      <c r="B935" s="20">
        <v>37128</v>
      </c>
      <c r="C935" s="27" t="s">
        <v>64</v>
      </c>
      <c r="D935" s="24" t="s">
        <v>998</v>
      </c>
      <c r="E935" s="20" t="s">
        <v>805</v>
      </c>
      <c r="F935" s="29" t="s">
        <v>806</v>
      </c>
      <c r="G935" s="29" t="s">
        <v>13</v>
      </c>
      <c r="H935" s="49">
        <v>43551</v>
      </c>
      <c r="I935" s="3">
        <v>290</v>
      </c>
      <c r="J935" s="3" t="s">
        <v>58</v>
      </c>
      <c r="K935" s="37" t="s">
        <v>59</v>
      </c>
      <c r="L935" s="33">
        <v>44135</v>
      </c>
      <c r="M935" s="34" t="s">
        <v>999</v>
      </c>
      <c r="N935" s="40">
        <v>44235</v>
      </c>
      <c r="O935" s="33">
        <v>44708</v>
      </c>
      <c r="P935" s="33"/>
      <c r="Q935" s="16" t="s">
        <v>68</v>
      </c>
      <c r="R935" s="16" t="s">
        <v>68</v>
      </c>
      <c r="S935" s="16" t="s">
        <v>68</v>
      </c>
      <c r="T935" s="16" t="s">
        <v>68</v>
      </c>
      <c r="U935" s="16" t="s">
        <v>68</v>
      </c>
      <c r="V935" s="16"/>
      <c r="W935" s="16" t="s">
        <v>68</v>
      </c>
      <c r="X935" s="16" t="s">
        <v>68</v>
      </c>
      <c r="Y935" s="16"/>
      <c r="Z935" s="16"/>
      <c r="AA935" s="40">
        <v>44495</v>
      </c>
      <c r="AB935" s="24"/>
      <c r="AC935" s="24"/>
      <c r="AD935" s="16"/>
    </row>
    <row r="936" spans="1:30" ht="22.8" x14ac:dyDescent="0.25">
      <c r="A936" s="28"/>
      <c r="B936" s="20">
        <v>37128</v>
      </c>
      <c r="C936" s="27" t="s">
        <v>54</v>
      </c>
      <c r="D936" s="24" t="s">
        <v>1001</v>
      </c>
      <c r="E936" s="20" t="s">
        <v>805</v>
      </c>
      <c r="F936" s="29" t="s">
        <v>806</v>
      </c>
      <c r="G936" s="29" t="s">
        <v>13</v>
      </c>
      <c r="H936" s="49">
        <v>43551</v>
      </c>
      <c r="I936" s="3">
        <v>351</v>
      </c>
      <c r="J936" s="3" t="s">
        <v>58</v>
      </c>
      <c r="K936" s="37" t="s">
        <v>59</v>
      </c>
      <c r="L936" s="33">
        <v>44135</v>
      </c>
      <c r="M936" s="34" t="s">
        <v>999</v>
      </c>
      <c r="N936" s="40">
        <v>44235</v>
      </c>
      <c r="O936" s="33">
        <v>44708</v>
      </c>
      <c r="P936" s="33"/>
      <c r="Q936" s="16" t="s">
        <v>62</v>
      </c>
      <c r="R936" s="16" t="s">
        <v>62</v>
      </c>
      <c r="S936" s="16" t="s">
        <v>62</v>
      </c>
      <c r="T936" s="16" t="s">
        <v>62</v>
      </c>
      <c r="U936" s="16" t="s">
        <v>62</v>
      </c>
      <c r="V936" s="16"/>
      <c r="W936" s="16" t="s">
        <v>62</v>
      </c>
      <c r="X936" s="16" t="s">
        <v>62</v>
      </c>
      <c r="Y936" s="16"/>
      <c r="Z936" s="16"/>
      <c r="AA936" s="40">
        <v>44495</v>
      </c>
      <c r="AB936" s="24"/>
      <c r="AC936" s="24"/>
      <c r="AD936" s="16"/>
    </row>
    <row r="937" spans="1:30" ht="22.8" x14ac:dyDescent="0.25">
      <c r="A937" s="28"/>
      <c r="B937" s="20">
        <v>37131</v>
      </c>
      <c r="C937" s="27" t="s">
        <v>64</v>
      </c>
      <c r="D937" s="24" t="s">
        <v>2297</v>
      </c>
      <c r="E937" s="20" t="s">
        <v>2250</v>
      </c>
      <c r="F937" s="29" t="s">
        <v>2241</v>
      </c>
      <c r="G937" s="29" t="s">
        <v>15</v>
      </c>
      <c r="H937" s="49">
        <v>43552</v>
      </c>
      <c r="I937" s="3">
        <v>400</v>
      </c>
      <c r="J937" s="3" t="s">
        <v>58</v>
      </c>
      <c r="K937" s="37" t="s">
        <v>59</v>
      </c>
      <c r="L937" s="33">
        <v>44079</v>
      </c>
      <c r="M937" s="34" t="s">
        <v>60</v>
      </c>
      <c r="N937" s="35">
        <v>44193</v>
      </c>
      <c r="O937" s="33"/>
      <c r="P937" s="33"/>
      <c r="Q937" s="16" t="s">
        <v>68</v>
      </c>
      <c r="R937" s="16" t="s">
        <v>68</v>
      </c>
      <c r="S937" s="16"/>
      <c r="T937" s="16"/>
      <c r="U937" s="16"/>
      <c r="V937" s="16"/>
      <c r="W937" s="16"/>
      <c r="X937" s="16"/>
      <c r="Y937" s="16"/>
      <c r="Z937" s="16"/>
      <c r="AA937" s="40">
        <v>44509</v>
      </c>
      <c r="AB937" s="24"/>
      <c r="AC937" s="24"/>
      <c r="AD937" s="40">
        <v>44685</v>
      </c>
    </row>
    <row r="938" spans="1:30" ht="22.8" x14ac:dyDescent="0.25">
      <c r="A938" s="28"/>
      <c r="B938" s="20">
        <v>37131</v>
      </c>
      <c r="C938" s="27" t="s">
        <v>54</v>
      </c>
      <c r="D938" s="24" t="s">
        <v>2298</v>
      </c>
      <c r="E938" s="20" t="s">
        <v>2250</v>
      </c>
      <c r="F938" s="29" t="s">
        <v>2241</v>
      </c>
      <c r="G938" s="29" t="s">
        <v>15</v>
      </c>
      <c r="H938" s="49">
        <v>43552</v>
      </c>
      <c r="I938" s="3">
        <v>323</v>
      </c>
      <c r="J938" s="3" t="s">
        <v>58</v>
      </c>
      <c r="K938" s="37" t="s">
        <v>59</v>
      </c>
      <c r="L938" s="33">
        <v>44079</v>
      </c>
      <c r="M938" s="34" t="s">
        <v>60</v>
      </c>
      <c r="N938" s="35">
        <v>44193</v>
      </c>
      <c r="O938" s="33"/>
      <c r="P938" s="33"/>
      <c r="Q938" s="16" t="s">
        <v>62</v>
      </c>
      <c r="R938" s="16" t="s">
        <v>62</v>
      </c>
      <c r="S938" s="16"/>
      <c r="T938" s="16"/>
      <c r="U938" s="16"/>
      <c r="V938" s="16"/>
      <c r="W938" s="16"/>
      <c r="X938" s="16"/>
      <c r="Y938" s="16"/>
      <c r="Z938" s="16"/>
      <c r="AA938" s="16"/>
      <c r="AB938" s="24"/>
      <c r="AC938" s="24"/>
      <c r="AD938" s="40">
        <v>44685</v>
      </c>
    </row>
    <row r="939" spans="1:30" ht="22.8" x14ac:dyDescent="0.25">
      <c r="A939" s="28"/>
      <c r="B939" s="20">
        <v>37175</v>
      </c>
      <c r="C939" s="27" t="s">
        <v>64</v>
      </c>
      <c r="D939" s="24" t="s">
        <v>1002</v>
      </c>
      <c r="E939" s="20" t="s">
        <v>805</v>
      </c>
      <c r="F939" s="29" t="s">
        <v>806</v>
      </c>
      <c r="G939" s="29" t="s">
        <v>13</v>
      </c>
      <c r="H939" s="19">
        <v>43603</v>
      </c>
      <c r="I939" s="3">
        <v>450</v>
      </c>
      <c r="J939" s="3" t="s">
        <v>58</v>
      </c>
      <c r="K939" s="37" t="s">
        <v>59</v>
      </c>
      <c r="L939" s="33">
        <v>44119</v>
      </c>
      <c r="M939" s="34" t="s">
        <v>60</v>
      </c>
      <c r="N939" s="35">
        <v>44189</v>
      </c>
      <c r="O939" s="33">
        <v>44678</v>
      </c>
      <c r="P939" s="33"/>
      <c r="Q939" s="16" t="s">
        <v>68</v>
      </c>
      <c r="R939" s="16" t="s">
        <v>68</v>
      </c>
      <c r="S939" s="16" t="s">
        <v>68</v>
      </c>
      <c r="T939" s="16" t="s">
        <v>68</v>
      </c>
      <c r="U939" s="16" t="s">
        <v>68</v>
      </c>
      <c r="V939" s="16"/>
      <c r="W939" s="16"/>
      <c r="X939" s="16" t="s">
        <v>68</v>
      </c>
      <c r="Y939" s="16"/>
      <c r="Z939" s="16"/>
      <c r="AA939" s="16"/>
      <c r="AB939" s="24"/>
      <c r="AC939" s="24"/>
      <c r="AD939" s="16" t="s">
        <v>68</v>
      </c>
    </row>
    <row r="940" spans="1:30" ht="22.8" x14ac:dyDescent="0.25">
      <c r="A940" s="28"/>
      <c r="B940" s="20">
        <v>37175</v>
      </c>
      <c r="C940" s="27" t="s">
        <v>54</v>
      </c>
      <c r="D940" s="24" t="s">
        <v>1003</v>
      </c>
      <c r="E940" s="20" t="s">
        <v>805</v>
      </c>
      <c r="F940" s="29" t="s">
        <v>806</v>
      </c>
      <c r="G940" s="29" t="s">
        <v>13</v>
      </c>
      <c r="H940" s="19">
        <v>43603</v>
      </c>
      <c r="I940" s="3">
        <v>451</v>
      </c>
      <c r="J940" s="3" t="s">
        <v>58</v>
      </c>
      <c r="K940" s="37" t="s">
        <v>59</v>
      </c>
      <c r="L940" s="33">
        <v>44119</v>
      </c>
      <c r="M940" s="34" t="s">
        <v>60</v>
      </c>
      <c r="N940" s="35">
        <v>44189</v>
      </c>
      <c r="O940" s="33">
        <v>44678</v>
      </c>
      <c r="P940" s="33"/>
      <c r="Q940" s="37" t="s">
        <v>62</v>
      </c>
      <c r="R940" s="16" t="s">
        <v>62</v>
      </c>
      <c r="S940" s="37" t="s">
        <v>62</v>
      </c>
      <c r="T940" s="37" t="s">
        <v>62</v>
      </c>
      <c r="U940" s="37" t="s">
        <v>62</v>
      </c>
      <c r="V940" s="16"/>
      <c r="W940" s="16"/>
      <c r="X940" s="37" t="s">
        <v>62</v>
      </c>
      <c r="Y940" s="16"/>
      <c r="Z940" s="16"/>
      <c r="AA940" s="16"/>
      <c r="AB940" s="24"/>
      <c r="AC940" s="24"/>
      <c r="AD940" s="37" t="s">
        <v>62</v>
      </c>
    </row>
    <row r="941" spans="1:30" x14ac:dyDescent="0.25">
      <c r="A941" s="28"/>
      <c r="B941" s="20">
        <v>37176</v>
      </c>
      <c r="C941" s="27" t="s">
        <v>64</v>
      </c>
      <c r="D941" s="24" t="s">
        <v>614</v>
      </c>
      <c r="E941" s="19" t="s">
        <v>56</v>
      </c>
      <c r="F941" s="29" t="s">
        <v>57</v>
      </c>
      <c r="G941" s="29"/>
      <c r="H941" s="19">
        <v>43605</v>
      </c>
      <c r="I941" s="3">
        <v>440</v>
      </c>
      <c r="J941" s="3" t="s">
        <v>58</v>
      </c>
      <c r="K941" s="16"/>
      <c r="L941" s="33"/>
      <c r="M941" s="16" t="s">
        <v>60</v>
      </c>
      <c r="N941" s="33">
        <v>44653</v>
      </c>
      <c r="O941" s="33"/>
      <c r="P941" s="33"/>
      <c r="Q941" s="16" t="s">
        <v>68</v>
      </c>
      <c r="R941" s="16" t="s">
        <v>68</v>
      </c>
      <c r="S941" s="16"/>
      <c r="T941" s="16"/>
      <c r="U941" s="16"/>
      <c r="V941" s="16"/>
      <c r="W941" s="16"/>
      <c r="X941" s="16"/>
      <c r="Y941" s="16"/>
      <c r="Z941" s="16"/>
      <c r="AA941" s="16"/>
      <c r="AB941" s="24"/>
      <c r="AC941" s="24"/>
      <c r="AD941" s="16" t="s">
        <v>68</v>
      </c>
    </row>
    <row r="942" spans="1:30" x14ac:dyDescent="0.25">
      <c r="A942" s="28"/>
      <c r="B942" s="20">
        <v>37176</v>
      </c>
      <c r="C942" s="27" t="s">
        <v>54</v>
      </c>
      <c r="D942" s="24" t="s">
        <v>615</v>
      </c>
      <c r="E942" s="19" t="s">
        <v>56</v>
      </c>
      <c r="F942" s="29" t="s">
        <v>57</v>
      </c>
      <c r="G942" s="29"/>
      <c r="H942" s="19">
        <v>43605</v>
      </c>
      <c r="I942" s="3">
        <v>441</v>
      </c>
      <c r="J942" s="3" t="s">
        <v>58</v>
      </c>
      <c r="K942" s="16"/>
      <c r="L942" s="33"/>
      <c r="M942" s="16" t="s">
        <v>60</v>
      </c>
      <c r="N942" s="33">
        <v>44653</v>
      </c>
      <c r="O942" s="33"/>
      <c r="P942" s="33"/>
      <c r="Q942" s="37" t="s">
        <v>62</v>
      </c>
      <c r="R942" s="37" t="s">
        <v>62</v>
      </c>
      <c r="S942" s="16"/>
      <c r="T942" s="16"/>
      <c r="U942" s="16"/>
      <c r="V942" s="16"/>
      <c r="W942" s="16"/>
      <c r="X942" s="16"/>
      <c r="Y942" s="16"/>
      <c r="Z942" s="16"/>
      <c r="AA942" s="16"/>
      <c r="AB942" s="24"/>
      <c r="AC942" s="24"/>
      <c r="AD942" s="16" t="s">
        <v>62</v>
      </c>
    </row>
    <row r="943" spans="1:30" ht="22.8" x14ac:dyDescent="0.25">
      <c r="A943" s="28"/>
      <c r="B943" s="20">
        <v>37286</v>
      </c>
      <c r="C943" s="27" t="s">
        <v>64</v>
      </c>
      <c r="D943" s="24" t="s">
        <v>2299</v>
      </c>
      <c r="E943" s="20" t="s">
        <v>2250</v>
      </c>
      <c r="F943" s="29" t="s">
        <v>2241</v>
      </c>
      <c r="G943" s="29" t="s">
        <v>15</v>
      </c>
      <c r="H943" s="19">
        <v>43799</v>
      </c>
      <c r="I943" s="3">
        <v>554</v>
      </c>
      <c r="J943" s="3" t="s">
        <v>58</v>
      </c>
      <c r="K943" s="37" t="s">
        <v>59</v>
      </c>
      <c r="L943" s="33">
        <v>43902</v>
      </c>
      <c r="M943" s="34" t="s">
        <v>60</v>
      </c>
      <c r="N943" s="35">
        <v>44185</v>
      </c>
      <c r="O943" s="33"/>
      <c r="P943" s="33"/>
      <c r="Q943" s="16" t="s">
        <v>75</v>
      </c>
      <c r="R943" s="16" t="s">
        <v>75</v>
      </c>
      <c r="S943" s="16"/>
      <c r="T943" s="16"/>
      <c r="U943" s="16"/>
      <c r="V943" s="16"/>
      <c r="W943" s="16"/>
      <c r="X943" s="16"/>
      <c r="Y943" s="16"/>
      <c r="Z943" s="16"/>
      <c r="AA943" s="40">
        <v>44524</v>
      </c>
      <c r="AB943" s="24"/>
      <c r="AC943" s="24"/>
      <c r="AD943" s="16"/>
    </row>
    <row r="944" spans="1:30" ht="22.8" x14ac:dyDescent="0.25">
      <c r="A944" s="28"/>
      <c r="B944" s="20">
        <v>37286</v>
      </c>
      <c r="C944" s="27" t="s">
        <v>54</v>
      </c>
      <c r="D944" s="24" t="s">
        <v>2300</v>
      </c>
      <c r="E944" s="20" t="s">
        <v>2250</v>
      </c>
      <c r="F944" s="29" t="s">
        <v>2241</v>
      </c>
      <c r="G944" s="29" t="s">
        <v>15</v>
      </c>
      <c r="H944" s="19">
        <v>43799</v>
      </c>
      <c r="I944" s="3">
        <v>569</v>
      </c>
      <c r="J944" s="3" t="s">
        <v>58</v>
      </c>
      <c r="K944" s="37" t="s">
        <v>59</v>
      </c>
      <c r="L944" s="33">
        <v>43902</v>
      </c>
      <c r="M944" s="34" t="s">
        <v>60</v>
      </c>
      <c r="N944" s="35">
        <v>44185</v>
      </c>
      <c r="O944" s="33"/>
      <c r="P944" s="33"/>
      <c r="Q944" s="16" t="s">
        <v>75</v>
      </c>
      <c r="R944" s="16" t="s">
        <v>75</v>
      </c>
      <c r="S944" s="16"/>
      <c r="T944" s="16"/>
      <c r="U944" s="16"/>
      <c r="V944" s="16"/>
      <c r="W944" s="16"/>
      <c r="X944" s="16"/>
      <c r="Y944" s="16"/>
      <c r="Z944" s="16"/>
      <c r="AA944" s="40">
        <v>44524</v>
      </c>
      <c r="AB944" s="24"/>
      <c r="AC944" s="24"/>
      <c r="AD944" s="16"/>
    </row>
    <row r="945" spans="1:30" x14ac:dyDescent="0.25">
      <c r="A945" s="28"/>
      <c r="B945" s="20">
        <v>37287</v>
      </c>
      <c r="C945" s="27" t="s">
        <v>64</v>
      </c>
      <c r="D945" s="24" t="s">
        <v>2301</v>
      </c>
      <c r="E945" s="20" t="s">
        <v>2250</v>
      </c>
      <c r="F945" s="29" t="s">
        <v>2241</v>
      </c>
      <c r="G945" s="29" t="s">
        <v>15</v>
      </c>
      <c r="H945" s="19">
        <v>43796</v>
      </c>
      <c r="I945" s="3">
        <v>568</v>
      </c>
      <c r="J945" s="3" t="s">
        <v>58</v>
      </c>
      <c r="K945" s="16"/>
      <c r="L945" s="33"/>
      <c r="M945" s="16" t="s">
        <v>60</v>
      </c>
      <c r="N945" s="33">
        <v>44231</v>
      </c>
      <c r="O945" s="33"/>
      <c r="P945" s="33"/>
      <c r="Q945" s="16" t="s">
        <v>75</v>
      </c>
      <c r="R945" s="16" t="s">
        <v>75</v>
      </c>
      <c r="S945" s="16"/>
      <c r="T945" s="16"/>
      <c r="U945" s="16"/>
      <c r="V945" s="16"/>
      <c r="W945" s="16"/>
      <c r="X945" s="16"/>
      <c r="Y945" s="16"/>
      <c r="Z945" s="16"/>
      <c r="AA945" s="40">
        <v>44510</v>
      </c>
      <c r="AB945" s="24"/>
      <c r="AC945" s="24"/>
      <c r="AD945" s="40">
        <v>44617</v>
      </c>
    </row>
    <row r="946" spans="1:30" x14ac:dyDescent="0.25">
      <c r="A946" s="28"/>
      <c r="B946" s="20">
        <v>37287</v>
      </c>
      <c r="C946" s="27" t="s">
        <v>54</v>
      </c>
      <c r="D946" s="24" t="s">
        <v>2302</v>
      </c>
      <c r="E946" s="20" t="s">
        <v>2250</v>
      </c>
      <c r="F946" s="29" t="s">
        <v>2241</v>
      </c>
      <c r="G946" s="29" t="s">
        <v>15</v>
      </c>
      <c r="H946" s="19">
        <v>43796</v>
      </c>
      <c r="I946" s="3">
        <v>555</v>
      </c>
      <c r="J946" s="3" t="s">
        <v>58</v>
      </c>
      <c r="K946" s="16"/>
      <c r="L946" s="33"/>
      <c r="M946" s="16" t="s">
        <v>60</v>
      </c>
      <c r="N946" s="33">
        <v>44231</v>
      </c>
      <c r="O946" s="33"/>
      <c r="P946" s="33"/>
      <c r="Q946" s="16" t="s">
        <v>75</v>
      </c>
      <c r="R946" s="16" t="s">
        <v>75</v>
      </c>
      <c r="S946" s="16"/>
      <c r="T946" s="16"/>
      <c r="U946" s="16"/>
      <c r="V946" s="16"/>
      <c r="W946" s="16"/>
      <c r="X946" s="16"/>
      <c r="Y946" s="16"/>
      <c r="Z946" s="16"/>
      <c r="AA946" s="40">
        <v>44510</v>
      </c>
      <c r="AB946" s="24"/>
      <c r="AC946" s="24"/>
      <c r="AD946" s="40">
        <v>44617</v>
      </c>
    </row>
    <row r="947" spans="1:30" ht="22.8" x14ac:dyDescent="0.25">
      <c r="A947" s="28"/>
      <c r="B947" s="20">
        <v>37321</v>
      </c>
      <c r="C947" s="27" t="s">
        <v>64</v>
      </c>
      <c r="D947" s="24" t="s">
        <v>2303</v>
      </c>
      <c r="E947" s="20" t="s">
        <v>2250</v>
      </c>
      <c r="F947" s="29" t="s">
        <v>2241</v>
      </c>
      <c r="G947" s="29" t="s">
        <v>15</v>
      </c>
      <c r="H947" s="19">
        <v>43858</v>
      </c>
      <c r="I947" s="3">
        <v>722</v>
      </c>
      <c r="J947" s="3" t="s">
        <v>58</v>
      </c>
      <c r="K947" s="37" t="s">
        <v>59</v>
      </c>
      <c r="L947" s="33">
        <v>44057</v>
      </c>
      <c r="M947" s="34" t="s">
        <v>60</v>
      </c>
      <c r="N947" s="35">
        <v>44187</v>
      </c>
      <c r="O947" s="38">
        <v>44057</v>
      </c>
      <c r="P947" s="38"/>
      <c r="Q947" s="16" t="s">
        <v>75</v>
      </c>
      <c r="R947" s="16" t="s">
        <v>75</v>
      </c>
      <c r="S947" s="16"/>
      <c r="T947" s="16"/>
      <c r="U947" s="16"/>
      <c r="V947" s="16"/>
      <c r="W947" s="16"/>
      <c r="X947" s="16"/>
      <c r="Y947" s="16"/>
      <c r="Z947" s="16"/>
      <c r="AA947" s="40">
        <v>44520</v>
      </c>
      <c r="AB947" s="24"/>
      <c r="AC947" s="24"/>
      <c r="AD947" s="40">
        <v>44692</v>
      </c>
    </row>
    <row r="948" spans="1:30" ht="22.8" x14ac:dyDescent="0.25">
      <c r="A948" s="28"/>
      <c r="B948" s="20">
        <v>37321</v>
      </c>
      <c r="C948" s="27" t="s">
        <v>54</v>
      </c>
      <c r="D948" s="24" t="s">
        <v>2304</v>
      </c>
      <c r="E948" s="20" t="s">
        <v>2250</v>
      </c>
      <c r="F948" s="29" t="s">
        <v>2241</v>
      </c>
      <c r="G948" s="29" t="s">
        <v>15</v>
      </c>
      <c r="H948" s="19">
        <v>43858</v>
      </c>
      <c r="I948" s="3">
        <v>729</v>
      </c>
      <c r="J948" s="3" t="s">
        <v>58</v>
      </c>
      <c r="K948" s="37" t="s">
        <v>59</v>
      </c>
      <c r="L948" s="33">
        <v>44057</v>
      </c>
      <c r="M948" s="34" t="s">
        <v>60</v>
      </c>
      <c r="N948" s="35">
        <v>44187</v>
      </c>
      <c r="O948" s="38">
        <v>44057</v>
      </c>
      <c r="P948" s="38"/>
      <c r="Q948" s="16" t="s">
        <v>75</v>
      </c>
      <c r="R948" s="16" t="s">
        <v>75</v>
      </c>
      <c r="S948" s="16"/>
      <c r="T948" s="16"/>
      <c r="U948" s="16"/>
      <c r="V948" s="16"/>
      <c r="W948" s="16"/>
      <c r="X948" s="16"/>
      <c r="Y948" s="16"/>
      <c r="Z948" s="16"/>
      <c r="AA948" s="40">
        <v>44520</v>
      </c>
      <c r="AB948" s="24"/>
      <c r="AC948" s="24"/>
      <c r="AD948" s="40">
        <v>44692</v>
      </c>
    </row>
    <row r="949" spans="1:30" x14ac:dyDescent="0.25">
      <c r="A949" s="28"/>
      <c r="B949" s="20">
        <v>37337</v>
      </c>
      <c r="C949" s="27" t="s">
        <v>64</v>
      </c>
      <c r="D949" s="24" t="s">
        <v>2305</v>
      </c>
      <c r="E949" s="20" t="s">
        <v>2250</v>
      </c>
      <c r="F949" s="29" t="s">
        <v>2241</v>
      </c>
      <c r="G949" s="29" t="s">
        <v>15</v>
      </c>
      <c r="H949" s="19">
        <v>43881</v>
      </c>
      <c r="I949" s="3">
        <v>702</v>
      </c>
      <c r="J949" s="3" t="s">
        <v>58</v>
      </c>
      <c r="K949" s="16"/>
      <c r="L949" s="33"/>
      <c r="M949" s="16" t="s">
        <v>60</v>
      </c>
      <c r="N949" s="33">
        <v>44224</v>
      </c>
      <c r="O949" s="33"/>
      <c r="P949" s="33"/>
      <c r="Q949" s="16" t="s">
        <v>75</v>
      </c>
      <c r="R949" s="16" t="s">
        <v>75</v>
      </c>
      <c r="S949" s="16"/>
      <c r="T949" s="16"/>
      <c r="U949" s="16"/>
      <c r="V949" s="16"/>
      <c r="W949" s="16"/>
      <c r="X949" s="16"/>
      <c r="Y949" s="16"/>
      <c r="Z949" s="16"/>
      <c r="AA949" s="16"/>
      <c r="AB949" s="24"/>
      <c r="AC949" s="24"/>
      <c r="AD949" s="16"/>
    </row>
    <row r="950" spans="1:30" x14ac:dyDescent="0.25">
      <c r="A950" s="28"/>
      <c r="B950" s="20">
        <v>37337</v>
      </c>
      <c r="C950" s="27" t="s">
        <v>54</v>
      </c>
      <c r="D950" s="24" t="s">
        <v>2306</v>
      </c>
      <c r="E950" s="20" t="s">
        <v>2250</v>
      </c>
      <c r="F950" s="29" t="s">
        <v>2241</v>
      </c>
      <c r="G950" s="29" t="s">
        <v>15</v>
      </c>
      <c r="H950" s="19">
        <v>43881</v>
      </c>
      <c r="I950" s="3">
        <v>700</v>
      </c>
      <c r="J950" s="3" t="s">
        <v>58</v>
      </c>
      <c r="K950" s="16"/>
      <c r="L950" s="33"/>
      <c r="M950" s="16" t="s">
        <v>60</v>
      </c>
      <c r="N950" s="33">
        <v>44224</v>
      </c>
      <c r="O950" s="33"/>
      <c r="P950" s="33"/>
      <c r="Q950" s="16" t="s">
        <v>75</v>
      </c>
      <c r="R950" s="16" t="s">
        <v>75</v>
      </c>
      <c r="S950" s="16"/>
      <c r="T950" s="16"/>
      <c r="U950" s="16"/>
      <c r="V950" s="16"/>
      <c r="W950" s="16"/>
      <c r="X950" s="16"/>
      <c r="Y950" s="16"/>
      <c r="Z950" s="16"/>
      <c r="AA950" s="40">
        <v>44508</v>
      </c>
      <c r="AB950" s="24"/>
      <c r="AC950" s="24"/>
      <c r="AD950" s="16"/>
    </row>
    <row r="951" spans="1:30" ht="22.8" x14ac:dyDescent="0.25">
      <c r="A951" s="28"/>
      <c r="B951" s="20">
        <v>37339</v>
      </c>
      <c r="C951" s="27" t="s">
        <v>64</v>
      </c>
      <c r="D951" s="24" t="s">
        <v>2307</v>
      </c>
      <c r="E951" s="20" t="s">
        <v>2250</v>
      </c>
      <c r="F951" s="29" t="s">
        <v>2241</v>
      </c>
      <c r="G951" s="29" t="s">
        <v>15</v>
      </c>
      <c r="H951" s="19">
        <v>43882</v>
      </c>
      <c r="I951" s="3">
        <v>696</v>
      </c>
      <c r="J951" s="3" t="s">
        <v>58</v>
      </c>
      <c r="K951" s="37" t="s">
        <v>59</v>
      </c>
      <c r="L951" s="38">
        <v>44155</v>
      </c>
      <c r="M951" s="16" t="s">
        <v>60</v>
      </c>
      <c r="N951" s="33">
        <v>44201</v>
      </c>
      <c r="O951" s="33"/>
      <c r="P951" s="33"/>
      <c r="Q951" s="16" t="s">
        <v>75</v>
      </c>
      <c r="R951" s="16" t="s">
        <v>75</v>
      </c>
      <c r="S951" s="16"/>
      <c r="T951" s="16"/>
      <c r="U951" s="16"/>
      <c r="V951" s="16"/>
      <c r="W951" s="16"/>
      <c r="X951" s="16"/>
      <c r="Y951" s="16"/>
      <c r="Z951" s="16"/>
      <c r="AA951" s="40">
        <v>44568</v>
      </c>
      <c r="AB951" s="24"/>
      <c r="AC951" s="24"/>
      <c r="AD951" s="40">
        <v>44692</v>
      </c>
    </row>
    <row r="952" spans="1:30" ht="22.8" x14ac:dyDescent="0.25">
      <c r="A952" s="28"/>
      <c r="B952" s="20">
        <v>37339</v>
      </c>
      <c r="C952" s="27" t="s">
        <v>54</v>
      </c>
      <c r="D952" s="24" t="s">
        <v>2308</v>
      </c>
      <c r="E952" s="20" t="s">
        <v>2250</v>
      </c>
      <c r="F952" s="29" t="s">
        <v>2241</v>
      </c>
      <c r="G952" s="29" t="s">
        <v>15</v>
      </c>
      <c r="H952" s="19">
        <v>43882</v>
      </c>
      <c r="I952" s="3">
        <v>703</v>
      </c>
      <c r="J952" s="3" t="s">
        <v>58</v>
      </c>
      <c r="K952" s="37" t="s">
        <v>59</v>
      </c>
      <c r="L952" s="38">
        <v>44155</v>
      </c>
      <c r="M952" s="16" t="s">
        <v>60</v>
      </c>
      <c r="N952" s="33">
        <v>44201</v>
      </c>
      <c r="O952" s="33"/>
      <c r="P952" s="33"/>
      <c r="Q952" s="16" t="s">
        <v>75</v>
      </c>
      <c r="R952" s="16" t="s">
        <v>75</v>
      </c>
      <c r="S952" s="16"/>
      <c r="T952" s="16"/>
      <c r="U952" s="16"/>
      <c r="V952" s="16"/>
      <c r="W952" s="16"/>
      <c r="X952" s="16"/>
      <c r="Y952" s="16"/>
      <c r="Z952" s="16"/>
      <c r="AA952" s="40">
        <v>44568</v>
      </c>
      <c r="AB952" s="24"/>
      <c r="AC952" s="24"/>
      <c r="AD952" s="40">
        <v>44692</v>
      </c>
    </row>
    <row r="953" spans="1:30" ht="22.8" x14ac:dyDescent="0.25">
      <c r="A953" s="28"/>
      <c r="B953" s="20">
        <v>37341</v>
      </c>
      <c r="C953" s="27" t="s">
        <v>64</v>
      </c>
      <c r="D953" s="17" t="s">
        <v>2309</v>
      </c>
      <c r="E953" s="20" t="s">
        <v>2250</v>
      </c>
      <c r="F953" s="29" t="s">
        <v>2241</v>
      </c>
      <c r="G953" s="29" t="s">
        <v>15</v>
      </c>
      <c r="H953" s="19">
        <v>43888</v>
      </c>
      <c r="I953" s="3">
        <v>562</v>
      </c>
      <c r="J953" s="3" t="s">
        <v>58</v>
      </c>
      <c r="K953" s="37" t="s">
        <v>59</v>
      </c>
      <c r="L953" s="38">
        <v>44247</v>
      </c>
      <c r="M953" s="16" t="s">
        <v>60</v>
      </c>
      <c r="N953" s="33">
        <v>44225</v>
      </c>
      <c r="O953" s="33"/>
      <c r="P953" s="33"/>
      <c r="Q953" s="16" t="s">
        <v>75</v>
      </c>
      <c r="R953" s="16" t="s">
        <v>75</v>
      </c>
      <c r="S953" s="16"/>
      <c r="T953" s="16"/>
      <c r="U953" s="16"/>
      <c r="V953" s="16"/>
      <c r="W953" s="16"/>
      <c r="X953" s="16"/>
      <c r="Y953" s="16"/>
      <c r="Z953" s="16"/>
      <c r="AA953" s="40">
        <v>44496</v>
      </c>
      <c r="AB953" s="24"/>
      <c r="AC953" s="24"/>
      <c r="AD953" s="40">
        <v>44700</v>
      </c>
    </row>
    <row r="954" spans="1:30" ht="22.8" x14ac:dyDescent="0.25">
      <c r="A954" s="28"/>
      <c r="B954" s="20">
        <v>37341</v>
      </c>
      <c r="C954" s="27" t="s">
        <v>54</v>
      </c>
      <c r="D954" s="17" t="s">
        <v>2310</v>
      </c>
      <c r="E954" s="20" t="s">
        <v>2250</v>
      </c>
      <c r="F954" s="29" t="s">
        <v>2241</v>
      </c>
      <c r="G954" s="29" t="s">
        <v>15</v>
      </c>
      <c r="H954" s="19">
        <v>43888</v>
      </c>
      <c r="I954" s="3">
        <v>606</v>
      </c>
      <c r="J954" s="3" t="s">
        <v>58</v>
      </c>
      <c r="K954" s="37" t="s">
        <v>59</v>
      </c>
      <c r="L954" s="38">
        <v>44191</v>
      </c>
      <c r="M954" s="16" t="s">
        <v>60</v>
      </c>
      <c r="N954" s="33">
        <v>44196</v>
      </c>
      <c r="O954" s="33"/>
      <c r="P954" s="33"/>
      <c r="Q954" s="16" t="s">
        <v>75</v>
      </c>
      <c r="R954" s="16" t="s">
        <v>75</v>
      </c>
      <c r="S954" s="16"/>
      <c r="T954" s="16"/>
      <c r="U954" s="16"/>
      <c r="V954" s="16"/>
      <c r="W954" s="16"/>
      <c r="X954" s="16"/>
      <c r="Y954" s="16"/>
      <c r="Z954" s="16"/>
      <c r="AA954" s="40">
        <v>44496</v>
      </c>
      <c r="AB954" s="24"/>
      <c r="AC954" s="24"/>
      <c r="AD954" s="40">
        <v>44700</v>
      </c>
    </row>
    <row r="955" spans="1:30" ht="22.8" x14ac:dyDescent="0.25">
      <c r="A955" s="28"/>
      <c r="B955" s="20">
        <v>37353</v>
      </c>
      <c r="C955" s="27" t="s">
        <v>64</v>
      </c>
      <c r="D955" s="3" t="s">
        <v>2311</v>
      </c>
      <c r="E955" s="20" t="s">
        <v>2250</v>
      </c>
      <c r="F955" s="29" t="s">
        <v>2241</v>
      </c>
      <c r="G955" s="29" t="s">
        <v>15</v>
      </c>
      <c r="H955" s="19">
        <v>43908</v>
      </c>
      <c r="I955" s="3">
        <v>615</v>
      </c>
      <c r="J955" s="3" t="s">
        <v>58</v>
      </c>
      <c r="K955" s="37" t="s">
        <v>59</v>
      </c>
      <c r="L955" s="33" t="s">
        <v>63</v>
      </c>
      <c r="M955" s="34" t="s">
        <v>60</v>
      </c>
      <c r="N955" s="35">
        <v>44194</v>
      </c>
      <c r="O955" s="38"/>
      <c r="P955" s="38"/>
      <c r="Q955" s="16" t="s">
        <v>75</v>
      </c>
      <c r="R955" s="16" t="s">
        <v>75</v>
      </c>
      <c r="S955" s="16"/>
      <c r="T955" s="16"/>
      <c r="U955" s="16"/>
      <c r="V955" s="16"/>
      <c r="W955" s="37"/>
      <c r="X955" s="16"/>
      <c r="Y955" s="16"/>
      <c r="Z955" s="16"/>
      <c r="AA955" s="40">
        <v>44489</v>
      </c>
      <c r="AB955" s="24"/>
      <c r="AC955" s="24"/>
      <c r="AD955" s="16"/>
    </row>
    <row r="956" spans="1:30" ht="22.8" x14ac:dyDescent="0.25">
      <c r="A956" s="28"/>
      <c r="B956" s="20">
        <v>37353</v>
      </c>
      <c r="C956" s="27" t="s">
        <v>54</v>
      </c>
      <c r="D956" s="3" t="s">
        <v>2312</v>
      </c>
      <c r="E956" s="20" t="s">
        <v>2250</v>
      </c>
      <c r="F956" s="29" t="s">
        <v>2241</v>
      </c>
      <c r="G956" s="29" t="s">
        <v>15</v>
      </c>
      <c r="H956" s="19">
        <v>43908</v>
      </c>
      <c r="I956" s="3">
        <v>614</v>
      </c>
      <c r="J956" s="3" t="s">
        <v>58</v>
      </c>
      <c r="K956" s="37" t="s">
        <v>59</v>
      </c>
      <c r="L956" s="33" t="s">
        <v>63</v>
      </c>
      <c r="M956" s="34" t="s">
        <v>60</v>
      </c>
      <c r="N956" s="35">
        <v>44194</v>
      </c>
      <c r="O956" s="33"/>
      <c r="P956" s="33"/>
      <c r="Q956" s="16" t="s">
        <v>75</v>
      </c>
      <c r="R956" s="16" t="s">
        <v>75</v>
      </c>
      <c r="S956" s="16"/>
      <c r="T956" s="16"/>
      <c r="U956" s="16"/>
      <c r="V956" s="16"/>
      <c r="W956" s="16"/>
      <c r="X956" s="16"/>
      <c r="Y956" s="16"/>
      <c r="Z956" s="16"/>
      <c r="AA956" s="40">
        <v>44489</v>
      </c>
      <c r="AB956" s="24"/>
      <c r="AC956" s="24"/>
      <c r="AD956" s="16"/>
    </row>
    <row r="957" spans="1:30" ht="22.8" x14ac:dyDescent="0.25">
      <c r="A957" s="28"/>
      <c r="B957" s="20">
        <v>37354</v>
      </c>
      <c r="C957" s="27" t="s">
        <v>64</v>
      </c>
      <c r="D957" s="17" t="s">
        <v>2313</v>
      </c>
      <c r="E957" s="20" t="s">
        <v>2250</v>
      </c>
      <c r="F957" s="29" t="s">
        <v>2241</v>
      </c>
      <c r="G957" s="29" t="s">
        <v>15</v>
      </c>
      <c r="H957" s="19">
        <v>43909</v>
      </c>
      <c r="I957" s="3">
        <v>688</v>
      </c>
      <c r="J957" s="3" t="s">
        <v>58</v>
      </c>
      <c r="K957" s="37" t="s">
        <v>59</v>
      </c>
      <c r="L957" s="38">
        <v>44244</v>
      </c>
      <c r="M957" s="16" t="s">
        <v>60</v>
      </c>
      <c r="N957" s="33">
        <v>44200</v>
      </c>
      <c r="O957" s="33"/>
      <c r="P957" s="33"/>
      <c r="Q957" s="16" t="s">
        <v>75</v>
      </c>
      <c r="R957" s="16" t="s">
        <v>75</v>
      </c>
      <c r="S957" s="16"/>
      <c r="T957" s="16"/>
      <c r="U957" s="16"/>
      <c r="V957" s="16"/>
      <c r="W957" s="16"/>
      <c r="X957" s="16"/>
      <c r="Y957" s="16"/>
      <c r="Z957" s="16"/>
      <c r="AA957" s="40">
        <v>44518</v>
      </c>
      <c r="AB957" s="24"/>
      <c r="AC957" s="24"/>
      <c r="AD957" s="16"/>
    </row>
    <row r="958" spans="1:30" ht="22.8" x14ac:dyDescent="0.25">
      <c r="A958" s="28"/>
      <c r="B958" s="20">
        <v>37354</v>
      </c>
      <c r="C958" s="27" t="s">
        <v>54</v>
      </c>
      <c r="D958" s="17" t="s">
        <v>2314</v>
      </c>
      <c r="E958" s="20" t="s">
        <v>2250</v>
      </c>
      <c r="F958" s="29" t="s">
        <v>2241</v>
      </c>
      <c r="G958" s="29" t="s">
        <v>15</v>
      </c>
      <c r="H958" s="19">
        <v>43909</v>
      </c>
      <c r="I958" s="3">
        <v>689</v>
      </c>
      <c r="J958" s="3" t="s">
        <v>58</v>
      </c>
      <c r="K958" s="37" t="s">
        <v>59</v>
      </c>
      <c r="L958" s="38">
        <v>44244</v>
      </c>
      <c r="M958" s="16" t="s">
        <v>60</v>
      </c>
      <c r="N958" s="33">
        <v>44200</v>
      </c>
      <c r="O958" s="33"/>
      <c r="P958" s="33"/>
      <c r="Q958" s="16" t="s">
        <v>75</v>
      </c>
      <c r="R958" s="16" t="s">
        <v>75</v>
      </c>
      <c r="S958" s="16"/>
      <c r="T958" s="16"/>
      <c r="U958" s="16"/>
      <c r="V958" s="16"/>
      <c r="W958" s="16"/>
      <c r="X958" s="16"/>
      <c r="Y958" s="16"/>
      <c r="Z958" s="16"/>
      <c r="AA958" s="40">
        <v>44518</v>
      </c>
      <c r="AB958" s="24"/>
      <c r="AC958" s="24"/>
      <c r="AD958" s="16"/>
    </row>
    <row r="959" spans="1:30" ht="22.8" x14ac:dyDescent="0.25">
      <c r="A959" s="28"/>
      <c r="B959" s="20">
        <v>37382</v>
      </c>
      <c r="C959" s="27" t="s">
        <v>64</v>
      </c>
      <c r="D959" s="3" t="s">
        <v>2315</v>
      </c>
      <c r="E959" s="20" t="s">
        <v>2250</v>
      </c>
      <c r="F959" s="29" t="s">
        <v>2241</v>
      </c>
      <c r="G959" s="29" t="s">
        <v>15</v>
      </c>
      <c r="H959" s="19">
        <v>44022</v>
      </c>
      <c r="I959" s="3">
        <v>607</v>
      </c>
      <c r="J959" s="3" t="s">
        <v>58</v>
      </c>
      <c r="K959" s="37" t="s">
        <v>59</v>
      </c>
      <c r="L959" s="33" t="s">
        <v>63</v>
      </c>
      <c r="M959" s="16" t="s">
        <v>60</v>
      </c>
      <c r="N959" s="33">
        <v>44189</v>
      </c>
      <c r="O959" s="33"/>
      <c r="P959" s="33"/>
      <c r="Q959" s="16" t="s">
        <v>75</v>
      </c>
      <c r="R959" s="16" t="s">
        <v>75</v>
      </c>
      <c r="S959" s="16" t="s">
        <v>62</v>
      </c>
      <c r="T959" s="16" t="s">
        <v>62</v>
      </c>
      <c r="U959" s="16" t="s">
        <v>62</v>
      </c>
      <c r="V959" s="16"/>
      <c r="W959" s="16"/>
      <c r="X959" s="16"/>
      <c r="Y959" s="16"/>
      <c r="Z959" s="16"/>
      <c r="AA959" s="40">
        <v>44538</v>
      </c>
      <c r="AB959" s="24"/>
      <c r="AC959" s="24"/>
      <c r="AD959" s="40">
        <v>44739</v>
      </c>
    </row>
    <row r="960" spans="1:30" ht="22.8" x14ac:dyDescent="0.25">
      <c r="A960" s="28"/>
      <c r="B960" s="20">
        <v>37382</v>
      </c>
      <c r="C960" s="27" t="s">
        <v>54</v>
      </c>
      <c r="D960" s="17" t="s">
        <v>2316</v>
      </c>
      <c r="E960" s="20" t="s">
        <v>2250</v>
      </c>
      <c r="F960" s="29" t="s">
        <v>2241</v>
      </c>
      <c r="G960" s="29" t="s">
        <v>15</v>
      </c>
      <c r="H960" s="19">
        <v>44022</v>
      </c>
      <c r="I960" s="3">
        <v>750</v>
      </c>
      <c r="J960" s="3" t="s">
        <v>58</v>
      </c>
      <c r="K960" s="37" t="s">
        <v>59</v>
      </c>
      <c r="L960" s="38">
        <v>44191</v>
      </c>
      <c r="M960" s="16" t="s">
        <v>60</v>
      </c>
      <c r="N960" s="33">
        <v>44196</v>
      </c>
      <c r="O960" s="33"/>
      <c r="P960" s="33"/>
      <c r="Q960" s="16" t="s">
        <v>75</v>
      </c>
      <c r="R960" s="16" t="s">
        <v>75</v>
      </c>
      <c r="S960" s="16"/>
      <c r="T960" s="16"/>
      <c r="U960" s="16"/>
      <c r="V960" s="16"/>
      <c r="W960" s="16"/>
      <c r="X960" s="16"/>
      <c r="Y960" s="16"/>
      <c r="Z960" s="16"/>
      <c r="AA960" s="16"/>
      <c r="AB960" s="24"/>
      <c r="AC960" s="24"/>
      <c r="AD960" s="40">
        <v>44739</v>
      </c>
    </row>
    <row r="961" spans="1:31" ht="22.8" x14ac:dyDescent="0.25">
      <c r="A961" s="28"/>
      <c r="B961" s="20">
        <v>37383</v>
      </c>
      <c r="C961" s="27" t="s">
        <v>64</v>
      </c>
      <c r="D961" s="17" t="s">
        <v>2317</v>
      </c>
      <c r="E961" s="20" t="s">
        <v>2250</v>
      </c>
      <c r="F961" s="29" t="s">
        <v>2241</v>
      </c>
      <c r="G961" s="29" t="s">
        <v>15</v>
      </c>
      <c r="H961" s="19">
        <v>44022</v>
      </c>
      <c r="I961" s="3">
        <v>718</v>
      </c>
      <c r="J961" s="3" t="s">
        <v>58</v>
      </c>
      <c r="K961" s="37" t="s">
        <v>59</v>
      </c>
      <c r="L961" s="38">
        <v>44183</v>
      </c>
      <c r="M961" s="16" t="s">
        <v>60</v>
      </c>
      <c r="N961" s="40">
        <v>44183</v>
      </c>
      <c r="O961" s="33"/>
      <c r="P961" s="33"/>
      <c r="Q961" s="16" t="s">
        <v>75</v>
      </c>
      <c r="R961" s="16" t="s">
        <v>75</v>
      </c>
      <c r="S961" s="16"/>
      <c r="T961" s="16"/>
      <c r="U961" s="16"/>
      <c r="V961" s="16"/>
      <c r="W961" s="16"/>
      <c r="X961" s="16"/>
      <c r="Y961" s="16"/>
      <c r="Z961" s="16"/>
      <c r="AA961" s="40">
        <v>44545</v>
      </c>
      <c r="AB961" s="24"/>
      <c r="AC961" s="24"/>
      <c r="AD961" s="40">
        <v>44604</v>
      </c>
    </row>
    <row r="962" spans="1:31" ht="22.8" x14ac:dyDescent="0.25">
      <c r="A962" s="28"/>
      <c r="B962" s="20">
        <v>37383</v>
      </c>
      <c r="C962" s="27" t="s">
        <v>54</v>
      </c>
      <c r="D962" s="17" t="s">
        <v>2318</v>
      </c>
      <c r="E962" s="20" t="s">
        <v>2250</v>
      </c>
      <c r="F962" s="29" t="s">
        <v>2241</v>
      </c>
      <c r="G962" s="29" t="s">
        <v>15</v>
      </c>
      <c r="H962" s="19">
        <v>44022</v>
      </c>
      <c r="I962" s="3">
        <v>714</v>
      </c>
      <c r="J962" s="3" t="s">
        <v>58</v>
      </c>
      <c r="K962" s="37" t="s">
        <v>59</v>
      </c>
      <c r="L962" s="38">
        <v>44183</v>
      </c>
      <c r="M962" s="16" t="s">
        <v>60</v>
      </c>
      <c r="N962" s="40">
        <v>44183</v>
      </c>
      <c r="O962" s="33"/>
      <c r="P962" s="33"/>
      <c r="Q962" s="16" t="s">
        <v>75</v>
      </c>
      <c r="R962" s="16" t="s">
        <v>75</v>
      </c>
      <c r="S962" s="16"/>
      <c r="T962" s="16"/>
      <c r="U962" s="16"/>
      <c r="V962" s="16"/>
      <c r="W962" s="16"/>
      <c r="X962" s="16"/>
      <c r="Y962" s="16"/>
      <c r="Z962" s="16"/>
      <c r="AA962" s="40">
        <v>44545</v>
      </c>
      <c r="AB962" s="24"/>
      <c r="AC962" s="24"/>
      <c r="AD962" s="40">
        <v>44604</v>
      </c>
    </row>
    <row r="963" spans="1:31" x14ac:dyDescent="0.25">
      <c r="A963" s="28"/>
      <c r="B963" s="20">
        <v>37424</v>
      </c>
      <c r="C963" s="27" t="s">
        <v>64</v>
      </c>
      <c r="D963" s="3" t="s">
        <v>2319</v>
      </c>
      <c r="E963" s="20" t="s">
        <v>2250</v>
      </c>
      <c r="F963" s="29" t="s">
        <v>2241</v>
      </c>
      <c r="G963" s="29" t="s">
        <v>15</v>
      </c>
      <c r="H963" s="19">
        <v>44060</v>
      </c>
      <c r="I963" s="3">
        <v>807</v>
      </c>
      <c r="J963" s="3" t="s">
        <v>58</v>
      </c>
      <c r="K963" s="16"/>
      <c r="L963" s="33"/>
      <c r="M963" s="16" t="s">
        <v>60</v>
      </c>
      <c r="N963" s="33">
        <v>44182</v>
      </c>
      <c r="O963" s="33"/>
      <c r="P963" s="33"/>
      <c r="Q963" s="16" t="s">
        <v>75</v>
      </c>
      <c r="R963" s="16" t="s">
        <v>75</v>
      </c>
      <c r="S963" s="16"/>
      <c r="T963" s="16"/>
      <c r="U963" s="16"/>
      <c r="V963" s="16"/>
      <c r="W963" s="16"/>
      <c r="X963" s="16" t="s">
        <v>75</v>
      </c>
      <c r="Y963" s="16"/>
      <c r="Z963" s="16"/>
      <c r="AA963" s="40">
        <v>44616</v>
      </c>
      <c r="AB963" s="24"/>
      <c r="AC963" s="24"/>
      <c r="AD963" s="40">
        <v>44602</v>
      </c>
    </row>
    <row r="964" spans="1:31" x14ac:dyDescent="0.25">
      <c r="A964" s="28"/>
      <c r="B964" s="20">
        <v>37424</v>
      </c>
      <c r="C964" s="27" t="s">
        <v>54</v>
      </c>
      <c r="D964" s="3" t="s">
        <v>2320</v>
      </c>
      <c r="E964" s="20" t="s">
        <v>2250</v>
      </c>
      <c r="F964" s="29" t="s">
        <v>2241</v>
      </c>
      <c r="G964" s="29" t="s">
        <v>15</v>
      </c>
      <c r="H964" s="19">
        <v>44060</v>
      </c>
      <c r="I964" s="3">
        <v>813</v>
      </c>
      <c r="J964" s="3" t="s">
        <v>58</v>
      </c>
      <c r="K964" s="16"/>
      <c r="L964" s="33"/>
      <c r="M964" s="16" t="s">
        <v>60</v>
      </c>
      <c r="N964" s="33">
        <v>44182</v>
      </c>
      <c r="O964" s="33"/>
      <c r="P964" s="33"/>
      <c r="Q964" s="16" t="s">
        <v>75</v>
      </c>
      <c r="R964" s="16" t="s">
        <v>75</v>
      </c>
      <c r="S964" s="16"/>
      <c r="T964" s="16"/>
      <c r="U964" s="16"/>
      <c r="V964" s="16"/>
      <c r="W964" s="16"/>
      <c r="X964" s="16" t="s">
        <v>75</v>
      </c>
      <c r="Y964" s="16"/>
      <c r="Z964" s="16"/>
      <c r="AA964" s="40">
        <v>44616</v>
      </c>
      <c r="AB964" s="24"/>
      <c r="AC964" s="24"/>
      <c r="AD964" s="40">
        <v>44602</v>
      </c>
    </row>
    <row r="965" spans="1:31" ht="22.8" x14ac:dyDescent="0.25">
      <c r="A965" s="28"/>
      <c r="B965" s="20">
        <v>37471</v>
      </c>
      <c r="C965" s="27" t="s">
        <v>64</v>
      </c>
      <c r="D965" s="17" t="s">
        <v>2321</v>
      </c>
      <c r="E965" s="20" t="s">
        <v>2250</v>
      </c>
      <c r="F965" s="29" t="s">
        <v>2241</v>
      </c>
      <c r="G965" s="29" t="s">
        <v>15</v>
      </c>
      <c r="H965" s="19">
        <v>44155</v>
      </c>
      <c r="I965" s="3">
        <v>960</v>
      </c>
      <c r="J965" s="3" t="s">
        <v>58</v>
      </c>
      <c r="K965" s="37" t="s">
        <v>59</v>
      </c>
      <c r="L965" s="16" t="s">
        <v>75</v>
      </c>
      <c r="M965" s="16" t="s">
        <v>60</v>
      </c>
      <c r="N965" s="40">
        <v>44184</v>
      </c>
      <c r="O965" s="33"/>
      <c r="P965" s="33"/>
      <c r="Q965" s="16" t="s">
        <v>75</v>
      </c>
      <c r="R965" s="16" t="s">
        <v>75</v>
      </c>
      <c r="S965" s="16"/>
      <c r="T965" s="16"/>
      <c r="U965" s="16"/>
      <c r="V965" s="16"/>
      <c r="W965" s="16"/>
      <c r="X965" s="16" t="s">
        <v>75</v>
      </c>
      <c r="Y965" s="16"/>
      <c r="Z965" s="16"/>
      <c r="AA965" s="16"/>
      <c r="AB965" s="24"/>
      <c r="AC965" s="24"/>
      <c r="AD965" s="16"/>
    </row>
    <row r="966" spans="1:31" ht="22.8" x14ac:dyDescent="0.25">
      <c r="A966" s="28"/>
      <c r="B966" s="20">
        <v>37471</v>
      </c>
      <c r="C966" s="27" t="s">
        <v>54</v>
      </c>
      <c r="D966" s="17" t="s">
        <v>2322</v>
      </c>
      <c r="E966" s="20" t="s">
        <v>2250</v>
      </c>
      <c r="F966" s="29" t="s">
        <v>2241</v>
      </c>
      <c r="G966" s="29" t="s">
        <v>15</v>
      </c>
      <c r="H966" s="19">
        <v>44155</v>
      </c>
      <c r="I966" s="3">
        <v>961</v>
      </c>
      <c r="J966" s="3" t="s">
        <v>58</v>
      </c>
      <c r="K966" s="37" t="s">
        <v>59</v>
      </c>
      <c r="L966" s="16" t="s">
        <v>75</v>
      </c>
      <c r="M966" s="16" t="s">
        <v>60</v>
      </c>
      <c r="N966" s="40">
        <v>44184</v>
      </c>
      <c r="O966" s="33"/>
      <c r="P966" s="33"/>
      <c r="Q966" s="16" t="s">
        <v>75</v>
      </c>
      <c r="R966" s="16" t="s">
        <v>75</v>
      </c>
      <c r="S966" s="16"/>
      <c r="T966" s="16"/>
      <c r="U966" s="16"/>
      <c r="V966" s="16"/>
      <c r="W966" s="16"/>
      <c r="X966" s="16" t="s">
        <v>75</v>
      </c>
      <c r="Y966" s="16"/>
      <c r="Z966" s="16"/>
      <c r="AA966" s="16"/>
      <c r="AB966" s="24"/>
      <c r="AC966" s="24"/>
      <c r="AD966" s="16"/>
    </row>
    <row r="967" spans="1:31" ht="22.8" x14ac:dyDescent="0.25">
      <c r="A967" s="28"/>
      <c r="B967" s="20">
        <v>37504</v>
      </c>
      <c r="C967" s="27" t="s">
        <v>64</v>
      </c>
      <c r="D967" s="20" t="s">
        <v>2323</v>
      </c>
      <c r="E967" s="20" t="s">
        <v>2250</v>
      </c>
      <c r="F967" s="29" t="s">
        <v>2241</v>
      </c>
      <c r="G967" s="29" t="s">
        <v>15</v>
      </c>
      <c r="H967" s="19">
        <v>44187</v>
      </c>
      <c r="I967" s="3">
        <v>1003</v>
      </c>
      <c r="J967" s="3" t="s">
        <v>58</v>
      </c>
      <c r="K967" s="37" t="s">
        <v>59</v>
      </c>
      <c r="L967" s="16" t="s">
        <v>75</v>
      </c>
      <c r="M967" s="41" t="s">
        <v>60</v>
      </c>
      <c r="N967" s="40">
        <v>44196</v>
      </c>
      <c r="O967" s="33"/>
      <c r="P967" s="33"/>
      <c r="Q967" s="16" t="s">
        <v>75</v>
      </c>
      <c r="R967" s="16" t="s">
        <v>75</v>
      </c>
      <c r="S967" s="16"/>
      <c r="T967" s="16"/>
      <c r="U967" s="16"/>
      <c r="V967" s="16"/>
      <c r="W967" s="16"/>
      <c r="X967" s="16" t="s">
        <v>75</v>
      </c>
      <c r="Y967" s="16"/>
      <c r="Z967" s="16"/>
      <c r="AA967" s="16"/>
      <c r="AB967" s="24"/>
      <c r="AC967" s="24"/>
      <c r="AD967" s="40">
        <v>44686</v>
      </c>
    </row>
    <row r="968" spans="1:31" ht="22.8" x14ac:dyDescent="0.25">
      <c r="A968" s="28"/>
      <c r="B968" s="20">
        <v>37504</v>
      </c>
      <c r="C968" s="27" t="s">
        <v>54</v>
      </c>
      <c r="D968" s="20" t="s">
        <v>2324</v>
      </c>
      <c r="E968" s="20" t="s">
        <v>2250</v>
      </c>
      <c r="F968" s="29" t="s">
        <v>2241</v>
      </c>
      <c r="G968" s="29" t="s">
        <v>15</v>
      </c>
      <c r="H968" s="19">
        <v>44187</v>
      </c>
      <c r="I968" s="3">
        <v>998</v>
      </c>
      <c r="J968" s="3" t="s">
        <v>58</v>
      </c>
      <c r="K968" s="37" t="s">
        <v>59</v>
      </c>
      <c r="L968" s="16" t="s">
        <v>75</v>
      </c>
      <c r="M968" s="41" t="s">
        <v>60</v>
      </c>
      <c r="N968" s="40">
        <v>44196</v>
      </c>
      <c r="O968" s="33"/>
      <c r="P968" s="33"/>
      <c r="Q968" s="16" t="s">
        <v>75</v>
      </c>
      <c r="R968" s="16" t="s">
        <v>75</v>
      </c>
      <c r="S968" s="16"/>
      <c r="T968" s="16"/>
      <c r="U968" s="16"/>
      <c r="V968" s="16"/>
      <c r="W968" s="16"/>
      <c r="X968" s="16" t="s">
        <v>75</v>
      </c>
      <c r="Y968" s="16"/>
      <c r="Z968" s="16"/>
      <c r="AA968" s="16"/>
      <c r="AB968" s="24"/>
      <c r="AC968" s="24"/>
      <c r="AD968" s="40">
        <v>44686</v>
      </c>
    </row>
    <row r="969" spans="1:31" ht="22.8" x14ac:dyDescent="0.25">
      <c r="A969" s="28"/>
      <c r="B969" s="20">
        <v>37506</v>
      </c>
      <c r="C969" s="27" t="s">
        <v>64</v>
      </c>
      <c r="D969" s="20" t="s">
        <v>2325</v>
      </c>
      <c r="E969" s="20" t="s">
        <v>2250</v>
      </c>
      <c r="F969" s="29" t="s">
        <v>2241</v>
      </c>
      <c r="G969" s="29" t="s">
        <v>15</v>
      </c>
      <c r="H969" s="19">
        <v>44191</v>
      </c>
      <c r="I969" s="3">
        <v>999</v>
      </c>
      <c r="J969" s="3" t="s">
        <v>58</v>
      </c>
      <c r="K969" s="37" t="s">
        <v>59</v>
      </c>
      <c r="L969" s="16" t="s">
        <v>75</v>
      </c>
      <c r="M969" s="41" t="s">
        <v>60</v>
      </c>
      <c r="N969" s="40">
        <v>44203</v>
      </c>
      <c r="O969" s="33"/>
      <c r="P969" s="33"/>
      <c r="Q969" s="16" t="s">
        <v>75</v>
      </c>
      <c r="R969" s="16" t="s">
        <v>75</v>
      </c>
      <c r="S969" s="16"/>
      <c r="T969" s="16"/>
      <c r="U969" s="16"/>
      <c r="V969" s="16"/>
      <c r="W969" s="16"/>
      <c r="X969" s="16" t="s">
        <v>75</v>
      </c>
      <c r="Y969" s="16"/>
      <c r="Z969" s="16"/>
      <c r="AA969" s="16"/>
      <c r="AB969" s="24"/>
      <c r="AC969" s="24"/>
      <c r="AD969" s="40">
        <v>44733</v>
      </c>
    </row>
    <row r="970" spans="1:31" ht="22.8" x14ac:dyDescent="0.25">
      <c r="A970" s="28"/>
      <c r="B970" s="20">
        <v>37506</v>
      </c>
      <c r="C970" s="27" t="s">
        <v>54</v>
      </c>
      <c r="D970" s="20" t="s">
        <v>2326</v>
      </c>
      <c r="E970" s="20" t="s">
        <v>2250</v>
      </c>
      <c r="F970" s="29" t="s">
        <v>2241</v>
      </c>
      <c r="G970" s="29" t="s">
        <v>15</v>
      </c>
      <c r="H970" s="19">
        <v>44191</v>
      </c>
      <c r="I970" s="3">
        <v>957</v>
      </c>
      <c r="J970" s="3" t="s">
        <v>58</v>
      </c>
      <c r="K970" s="37" t="s">
        <v>59</v>
      </c>
      <c r="L970" s="16" t="s">
        <v>75</v>
      </c>
      <c r="M970" s="41" t="s">
        <v>60</v>
      </c>
      <c r="N970" s="33" t="s">
        <v>63</v>
      </c>
      <c r="O970" s="33"/>
      <c r="P970" s="33"/>
      <c r="Q970" s="16" t="s">
        <v>75</v>
      </c>
      <c r="R970" s="16" t="s">
        <v>75</v>
      </c>
      <c r="S970" s="16"/>
      <c r="T970" s="16"/>
      <c r="U970" s="16"/>
      <c r="V970" s="16"/>
      <c r="W970" s="16"/>
      <c r="X970" s="16" t="s">
        <v>75</v>
      </c>
      <c r="Y970" s="16"/>
      <c r="Z970" s="16"/>
      <c r="AA970" s="16"/>
      <c r="AB970" s="24"/>
      <c r="AC970" s="24"/>
      <c r="AD970" s="40">
        <v>44733</v>
      </c>
    </row>
    <row r="971" spans="1:31" ht="22.8" x14ac:dyDescent="0.25">
      <c r="A971" s="28"/>
      <c r="B971" s="20">
        <v>37548</v>
      </c>
      <c r="C971" s="27" t="s">
        <v>64</v>
      </c>
      <c r="D971" s="20" t="s">
        <v>2327</v>
      </c>
      <c r="E971" s="20" t="s">
        <v>2250</v>
      </c>
      <c r="F971" s="29" t="s">
        <v>2241</v>
      </c>
      <c r="G971" s="29" t="s">
        <v>15</v>
      </c>
      <c r="H971" s="19">
        <v>44267</v>
      </c>
      <c r="I971" s="3">
        <v>788</v>
      </c>
      <c r="J971" s="3" t="s">
        <v>58</v>
      </c>
      <c r="K971" s="37" t="s">
        <v>59</v>
      </c>
      <c r="L971" s="33">
        <v>44147</v>
      </c>
      <c r="M971" s="16" t="s">
        <v>60</v>
      </c>
      <c r="N971" s="33">
        <v>44147</v>
      </c>
      <c r="O971" s="33"/>
      <c r="P971" s="33"/>
      <c r="Q971" s="16" t="s">
        <v>75</v>
      </c>
      <c r="R971" s="16" t="s">
        <v>75</v>
      </c>
      <c r="S971" s="16"/>
      <c r="T971" s="16"/>
      <c r="U971" s="16" t="s">
        <v>68</v>
      </c>
      <c r="V971" s="16"/>
      <c r="W971" s="16"/>
      <c r="X971" s="16" t="s">
        <v>75</v>
      </c>
      <c r="Y971" s="16"/>
      <c r="Z971" s="16"/>
      <c r="AA971" s="40"/>
      <c r="AB971" s="24"/>
      <c r="AC971" s="24"/>
      <c r="AD971" s="40">
        <v>44617</v>
      </c>
    </row>
    <row r="972" spans="1:31" ht="22.8" x14ac:dyDescent="0.25">
      <c r="A972" s="28"/>
      <c r="B972" s="20">
        <v>37548</v>
      </c>
      <c r="C972" s="27" t="s">
        <v>54</v>
      </c>
      <c r="D972" s="20" t="s">
        <v>2328</v>
      </c>
      <c r="E972" s="20" t="s">
        <v>2250</v>
      </c>
      <c r="F972" s="29" t="s">
        <v>2241</v>
      </c>
      <c r="G972" s="29" t="s">
        <v>15</v>
      </c>
      <c r="H972" s="19">
        <v>44267</v>
      </c>
      <c r="I972" s="3">
        <v>825</v>
      </c>
      <c r="J972" s="3" t="s">
        <v>58</v>
      </c>
      <c r="K972" s="37" t="s">
        <v>59</v>
      </c>
      <c r="L972" s="33">
        <v>44147</v>
      </c>
      <c r="M972" s="16" t="s">
        <v>60</v>
      </c>
      <c r="N972" s="33">
        <v>44147</v>
      </c>
      <c r="O972" s="33"/>
      <c r="P972" s="33"/>
      <c r="Q972" s="16" t="s">
        <v>75</v>
      </c>
      <c r="R972" s="16" t="s">
        <v>75</v>
      </c>
      <c r="S972" s="16"/>
      <c r="T972" s="16"/>
      <c r="U972" s="51" t="s">
        <v>62</v>
      </c>
      <c r="V972" s="16"/>
      <c r="W972" s="16"/>
      <c r="X972" s="16" t="s">
        <v>75</v>
      </c>
      <c r="Y972" s="16"/>
      <c r="Z972" s="16"/>
      <c r="AA972" s="40">
        <v>44580</v>
      </c>
      <c r="AB972" s="24"/>
      <c r="AC972" s="24"/>
      <c r="AD972" s="40">
        <v>44617</v>
      </c>
    </row>
    <row r="973" spans="1:31" ht="22.8" x14ac:dyDescent="0.25">
      <c r="A973" s="29"/>
      <c r="B973" s="20">
        <v>37559</v>
      </c>
      <c r="C973" s="27" t="s">
        <v>64</v>
      </c>
      <c r="D973" s="20" t="s">
        <v>2329</v>
      </c>
      <c r="E973" s="20" t="s">
        <v>2250</v>
      </c>
      <c r="F973" s="29" t="s">
        <v>2241</v>
      </c>
      <c r="G973" s="29" t="s">
        <v>15</v>
      </c>
      <c r="H973" s="19">
        <v>44271</v>
      </c>
      <c r="I973" s="3">
        <v>1010</v>
      </c>
      <c r="J973" s="3" t="s">
        <v>58</v>
      </c>
      <c r="K973" s="37" t="s">
        <v>59</v>
      </c>
      <c r="L973" s="16" t="s">
        <v>75</v>
      </c>
      <c r="M973" s="16" t="s">
        <v>60</v>
      </c>
      <c r="N973" s="33">
        <v>44280</v>
      </c>
      <c r="O973" s="24"/>
      <c r="P973" s="24"/>
      <c r="Q973" s="16" t="s">
        <v>75</v>
      </c>
      <c r="R973" s="16" t="s">
        <v>75</v>
      </c>
      <c r="S973" s="24"/>
      <c r="T973" s="24"/>
      <c r="U973" s="24"/>
      <c r="V973" s="24"/>
      <c r="W973" s="24"/>
      <c r="X973" s="16" t="s">
        <v>75</v>
      </c>
      <c r="Y973" s="24"/>
      <c r="Z973" s="24"/>
      <c r="AA973" s="24"/>
      <c r="AB973" s="24"/>
      <c r="AC973" s="24"/>
      <c r="AD973" s="24"/>
      <c r="AE973"/>
    </row>
    <row r="974" spans="1:31" ht="22.8" x14ac:dyDescent="0.25">
      <c r="A974" s="29"/>
      <c r="B974" s="20">
        <v>37559</v>
      </c>
      <c r="C974" s="27" t="s">
        <v>54</v>
      </c>
      <c r="D974" s="20" t="s">
        <v>2330</v>
      </c>
      <c r="E974" s="20" t="s">
        <v>2250</v>
      </c>
      <c r="F974" s="29" t="s">
        <v>2241</v>
      </c>
      <c r="G974" s="29" t="s">
        <v>15</v>
      </c>
      <c r="H974" s="19">
        <v>44271</v>
      </c>
      <c r="I974" s="3">
        <v>1011</v>
      </c>
      <c r="J974" s="3" t="s">
        <v>58</v>
      </c>
      <c r="K974" s="37" t="s">
        <v>59</v>
      </c>
      <c r="L974" s="16" t="s">
        <v>75</v>
      </c>
      <c r="M974" s="16" t="s">
        <v>60</v>
      </c>
      <c r="N974" s="33">
        <v>44280</v>
      </c>
      <c r="O974" s="24"/>
      <c r="P974" s="24"/>
      <c r="Q974" s="16" t="s">
        <v>75</v>
      </c>
      <c r="R974" s="16" t="s">
        <v>75</v>
      </c>
      <c r="S974" s="24"/>
      <c r="T974" s="24"/>
      <c r="U974" s="24"/>
      <c r="V974" s="24"/>
      <c r="W974" s="24"/>
      <c r="X974" s="16" t="s">
        <v>75</v>
      </c>
      <c r="Y974" s="24"/>
      <c r="Z974" s="24"/>
      <c r="AA974" s="24"/>
      <c r="AB974" s="24"/>
      <c r="AC974" s="24"/>
      <c r="AD974" s="24"/>
      <c r="AE974"/>
    </row>
    <row r="975" spans="1:31" ht="22.8" x14ac:dyDescent="0.25">
      <c r="A975" s="3"/>
      <c r="B975" s="55">
        <v>37569</v>
      </c>
      <c r="C975" s="55" t="s">
        <v>64</v>
      </c>
      <c r="D975" s="20" t="s">
        <v>2331</v>
      </c>
      <c r="E975" s="20" t="s">
        <v>2250</v>
      </c>
      <c r="F975" s="3" t="s">
        <v>2241</v>
      </c>
      <c r="G975" s="3" t="s">
        <v>15</v>
      </c>
      <c r="H975" s="19">
        <v>44293</v>
      </c>
      <c r="I975" s="3" t="s">
        <v>2332</v>
      </c>
      <c r="J975" s="3" t="s">
        <v>58</v>
      </c>
      <c r="K975" s="37" t="s">
        <v>59</v>
      </c>
      <c r="L975" s="16" t="s">
        <v>75</v>
      </c>
      <c r="M975" s="16" t="s">
        <v>60</v>
      </c>
      <c r="N975" s="16" t="s">
        <v>75</v>
      </c>
      <c r="O975" s="33"/>
      <c r="P975" s="33"/>
      <c r="Q975" s="16" t="s">
        <v>75</v>
      </c>
      <c r="R975" s="16" t="s">
        <v>75</v>
      </c>
      <c r="S975" s="16"/>
      <c r="T975" s="16"/>
      <c r="U975" s="16"/>
      <c r="V975" s="16"/>
      <c r="W975" s="16"/>
      <c r="X975" s="16" t="s">
        <v>75</v>
      </c>
      <c r="Y975" s="16"/>
      <c r="Z975" s="16"/>
      <c r="AA975" s="16"/>
      <c r="AB975" s="24"/>
      <c r="AC975" s="24"/>
      <c r="AD975" s="40">
        <v>44690</v>
      </c>
    </row>
    <row r="976" spans="1:31" ht="22.8" x14ac:dyDescent="0.25">
      <c r="A976" s="3"/>
      <c r="B976" s="55">
        <v>37569</v>
      </c>
      <c r="C976" s="55" t="s">
        <v>54</v>
      </c>
      <c r="D976" s="20" t="s">
        <v>2333</v>
      </c>
      <c r="E976" s="20" t="s">
        <v>2250</v>
      </c>
      <c r="F976" s="3" t="s">
        <v>2241</v>
      </c>
      <c r="G976" s="3" t="s">
        <v>15</v>
      </c>
      <c r="H976" s="19">
        <v>44293</v>
      </c>
      <c r="I976" s="3" t="s">
        <v>2334</v>
      </c>
      <c r="J976" s="3" t="s">
        <v>58</v>
      </c>
      <c r="K976" s="37" t="s">
        <v>59</v>
      </c>
      <c r="L976" s="16" t="s">
        <v>75</v>
      </c>
      <c r="M976" s="16" t="s">
        <v>60</v>
      </c>
      <c r="N976" s="16" t="s">
        <v>75</v>
      </c>
      <c r="O976" s="33"/>
      <c r="P976" s="33"/>
      <c r="Q976" s="16" t="s">
        <v>75</v>
      </c>
      <c r="R976" s="16" t="s">
        <v>75</v>
      </c>
      <c r="S976" s="16"/>
      <c r="T976" s="16"/>
      <c r="U976" s="16"/>
      <c r="V976" s="16"/>
      <c r="W976" s="16"/>
      <c r="X976" s="16" t="s">
        <v>75</v>
      </c>
      <c r="Y976" s="16"/>
      <c r="Z976" s="16"/>
      <c r="AA976" s="16"/>
      <c r="AB976" s="24"/>
      <c r="AC976" s="24"/>
      <c r="AD976" s="40">
        <v>44690</v>
      </c>
    </row>
    <row r="977" spans="1:30" ht="22.8" x14ac:dyDescent="0.25">
      <c r="A977" s="3"/>
      <c r="B977" s="17">
        <v>37571</v>
      </c>
      <c r="C977" s="55" t="s">
        <v>64</v>
      </c>
      <c r="D977" s="20" t="s">
        <v>2335</v>
      </c>
      <c r="E977" s="66" t="s">
        <v>2250</v>
      </c>
      <c r="F977" s="3" t="s">
        <v>2241</v>
      </c>
      <c r="G977" s="3" t="s">
        <v>15</v>
      </c>
      <c r="H977" s="19">
        <v>44293</v>
      </c>
      <c r="I977" s="3">
        <v>1032</v>
      </c>
      <c r="J977" s="3" t="s">
        <v>58</v>
      </c>
      <c r="K977" s="37" t="s">
        <v>59</v>
      </c>
      <c r="L977" s="16" t="s">
        <v>75</v>
      </c>
      <c r="M977" s="16" t="s">
        <v>60</v>
      </c>
      <c r="N977" s="16" t="s">
        <v>75</v>
      </c>
      <c r="O977" s="33"/>
      <c r="P977" s="33"/>
      <c r="Q977" s="16" t="s">
        <v>75</v>
      </c>
      <c r="R977" s="16" t="s">
        <v>75</v>
      </c>
      <c r="S977" s="16" t="s">
        <v>68</v>
      </c>
      <c r="T977" s="16" t="s">
        <v>68</v>
      </c>
      <c r="U977" s="16" t="s">
        <v>68</v>
      </c>
      <c r="V977" s="16"/>
      <c r="W977" s="16"/>
      <c r="X977" s="16" t="s">
        <v>75</v>
      </c>
      <c r="Y977" s="16"/>
      <c r="Z977" s="16"/>
      <c r="AA977" s="40">
        <v>44615</v>
      </c>
      <c r="AB977" s="24"/>
      <c r="AC977" s="24"/>
      <c r="AD977" s="40">
        <v>44671</v>
      </c>
    </row>
    <row r="978" spans="1:30" ht="22.8" x14ac:dyDescent="0.25">
      <c r="A978" s="3"/>
      <c r="B978" s="17">
        <v>37571</v>
      </c>
      <c r="C978" s="55" t="s">
        <v>54</v>
      </c>
      <c r="D978" s="20" t="s">
        <v>2336</v>
      </c>
      <c r="E978" s="20" t="s">
        <v>2250</v>
      </c>
      <c r="F978" s="3" t="s">
        <v>2241</v>
      </c>
      <c r="G978" s="3" t="s">
        <v>15</v>
      </c>
      <c r="H978" s="19">
        <v>44293</v>
      </c>
      <c r="I978" s="3">
        <v>1038</v>
      </c>
      <c r="J978" s="3" t="s">
        <v>58</v>
      </c>
      <c r="K978" s="37" t="s">
        <v>59</v>
      </c>
      <c r="L978" s="16" t="s">
        <v>75</v>
      </c>
      <c r="M978" s="16" t="s">
        <v>60</v>
      </c>
      <c r="N978" s="16" t="s">
        <v>75</v>
      </c>
      <c r="O978" s="33"/>
      <c r="P978" s="33"/>
      <c r="Q978" s="16" t="s">
        <v>75</v>
      </c>
      <c r="R978" s="16" t="s">
        <v>75</v>
      </c>
      <c r="S978" s="16" t="s">
        <v>62</v>
      </c>
      <c r="T978" s="16" t="s">
        <v>62</v>
      </c>
      <c r="U978" s="16" t="s">
        <v>62</v>
      </c>
      <c r="V978" s="16"/>
      <c r="W978" s="16"/>
      <c r="X978" s="16" t="s">
        <v>75</v>
      </c>
      <c r="Y978" s="16"/>
      <c r="Z978" s="16"/>
      <c r="AA978" s="16"/>
      <c r="AB978" s="24"/>
      <c r="AC978" s="24"/>
      <c r="AD978" s="40">
        <v>44671</v>
      </c>
    </row>
    <row r="979" spans="1:30" ht="22.8" x14ac:dyDescent="0.25">
      <c r="A979" s="3"/>
      <c r="B979" s="17">
        <v>37579</v>
      </c>
      <c r="C979" s="55" t="s">
        <v>64</v>
      </c>
      <c r="D979" s="20" t="s">
        <v>2337</v>
      </c>
      <c r="E979" s="20" t="s">
        <v>2250</v>
      </c>
      <c r="F979" s="3" t="s">
        <v>2241</v>
      </c>
      <c r="G979" s="3" t="s">
        <v>15</v>
      </c>
      <c r="H979" s="19">
        <v>44315</v>
      </c>
      <c r="I979" s="3" t="s">
        <v>2338</v>
      </c>
      <c r="J979" s="3" t="s">
        <v>58</v>
      </c>
      <c r="K979" s="37" t="s">
        <v>59</v>
      </c>
      <c r="L979" s="16" t="s">
        <v>75</v>
      </c>
      <c r="M979" s="16" t="s">
        <v>60</v>
      </c>
      <c r="N979" s="16" t="s">
        <v>75</v>
      </c>
      <c r="O979" s="33"/>
      <c r="P979" s="33"/>
      <c r="Q979" s="16" t="s">
        <v>75</v>
      </c>
      <c r="R979" s="16" t="s">
        <v>75</v>
      </c>
      <c r="S979" s="16"/>
      <c r="T979" s="16"/>
      <c r="U979" s="16"/>
      <c r="V979" s="16"/>
      <c r="W979" s="16"/>
      <c r="X979" s="16" t="s">
        <v>75</v>
      </c>
      <c r="Y979" s="16"/>
      <c r="Z979" s="16"/>
      <c r="AA979" s="16"/>
      <c r="AB979" s="24"/>
      <c r="AC979" s="24"/>
      <c r="AD979" s="40">
        <v>44597</v>
      </c>
    </row>
    <row r="980" spans="1:30" ht="22.8" x14ac:dyDescent="0.25">
      <c r="A980" s="3"/>
      <c r="B980" s="17">
        <v>37579</v>
      </c>
      <c r="C980" s="55" t="s">
        <v>54</v>
      </c>
      <c r="D980" s="20" t="s">
        <v>2339</v>
      </c>
      <c r="E980" s="66" t="s">
        <v>2250</v>
      </c>
      <c r="F980" s="3" t="s">
        <v>2241</v>
      </c>
      <c r="G980" s="3" t="s">
        <v>15</v>
      </c>
      <c r="H980" s="19">
        <v>44315</v>
      </c>
      <c r="I980" s="3" t="s">
        <v>2340</v>
      </c>
      <c r="J980" s="3" t="s">
        <v>58</v>
      </c>
      <c r="K980" s="37" t="s">
        <v>59</v>
      </c>
      <c r="L980" s="16" t="s">
        <v>75</v>
      </c>
      <c r="M980" s="16" t="s">
        <v>60</v>
      </c>
      <c r="N980" s="16" t="s">
        <v>75</v>
      </c>
      <c r="O980" s="33"/>
      <c r="P980" s="33"/>
      <c r="Q980" s="16" t="s">
        <v>75</v>
      </c>
      <c r="R980" s="16" t="s">
        <v>75</v>
      </c>
      <c r="S980" s="16"/>
      <c r="T980" s="16"/>
      <c r="U980" s="16"/>
      <c r="V980" s="16"/>
      <c r="W980" s="16"/>
      <c r="X980" s="16" t="s">
        <v>75</v>
      </c>
      <c r="Y980" s="16"/>
      <c r="Z980" s="16"/>
      <c r="AA980" s="16"/>
      <c r="AB980" s="24"/>
      <c r="AC980" s="24"/>
      <c r="AD980" s="40">
        <v>44597</v>
      </c>
    </row>
    <row r="981" spans="1:30" ht="22.8" x14ac:dyDescent="0.25">
      <c r="A981" s="28"/>
      <c r="B981" s="20">
        <v>39027</v>
      </c>
      <c r="C981" s="27" t="s">
        <v>64</v>
      </c>
      <c r="D981" s="3" t="s">
        <v>2341</v>
      </c>
      <c r="E981" s="20" t="s">
        <v>2250</v>
      </c>
      <c r="F981" s="65" t="s">
        <v>2241</v>
      </c>
      <c r="G981" s="29" t="s">
        <v>15</v>
      </c>
      <c r="H981" s="19">
        <v>43495</v>
      </c>
      <c r="I981" s="3">
        <v>250</v>
      </c>
      <c r="J981" s="3" t="s">
        <v>58</v>
      </c>
      <c r="K981" s="37" t="s">
        <v>59</v>
      </c>
      <c r="L981" s="33">
        <v>44243</v>
      </c>
      <c r="M981" s="16" t="s">
        <v>60</v>
      </c>
      <c r="N981" s="40">
        <v>44237</v>
      </c>
      <c r="O981" s="33"/>
      <c r="P981" s="33"/>
      <c r="Q981" s="16" t="s">
        <v>68</v>
      </c>
      <c r="R981" s="16" t="s">
        <v>68</v>
      </c>
      <c r="S981" s="16"/>
      <c r="T981" s="16"/>
      <c r="U981" s="16"/>
      <c r="V981" s="16"/>
      <c r="W981" s="16"/>
      <c r="X981" s="16"/>
      <c r="Y981" s="16"/>
      <c r="Z981" s="16"/>
      <c r="AA981" s="40"/>
      <c r="AB981" s="24"/>
      <c r="AC981" s="24"/>
      <c r="AD981" s="40">
        <v>44692</v>
      </c>
    </row>
    <row r="982" spans="1:30" ht="22.8" x14ac:dyDescent="0.25">
      <c r="A982" s="28"/>
      <c r="B982" s="20">
        <v>39027</v>
      </c>
      <c r="C982" s="27" t="s">
        <v>54</v>
      </c>
      <c r="D982" s="3" t="s">
        <v>2342</v>
      </c>
      <c r="E982" s="20" t="s">
        <v>2250</v>
      </c>
      <c r="F982" s="65" t="s">
        <v>2241</v>
      </c>
      <c r="G982" s="29" t="s">
        <v>15</v>
      </c>
      <c r="H982" s="19">
        <v>43495</v>
      </c>
      <c r="I982" s="3">
        <v>252</v>
      </c>
      <c r="J982" s="3" t="s">
        <v>58</v>
      </c>
      <c r="K982" s="37" t="s">
        <v>59</v>
      </c>
      <c r="L982" s="33">
        <v>44243</v>
      </c>
      <c r="M982" s="16" t="s">
        <v>60</v>
      </c>
      <c r="N982" s="40">
        <v>44237</v>
      </c>
      <c r="O982" s="33"/>
      <c r="P982" s="33"/>
      <c r="Q982" s="16" t="s">
        <v>62</v>
      </c>
      <c r="R982" s="16" t="s">
        <v>62</v>
      </c>
      <c r="S982" s="16"/>
      <c r="T982" s="16"/>
      <c r="U982" s="16"/>
      <c r="V982" s="16"/>
      <c r="W982" s="16"/>
      <c r="X982" s="16"/>
      <c r="Y982" s="16"/>
      <c r="Z982" s="16"/>
      <c r="AA982" s="40">
        <v>44463</v>
      </c>
      <c r="AB982" s="24"/>
      <c r="AC982" s="24"/>
      <c r="AD982" s="40">
        <v>44692</v>
      </c>
    </row>
    <row r="983" spans="1:30" ht="22.8" x14ac:dyDescent="0.25">
      <c r="A983" s="28"/>
      <c r="B983" s="20">
        <v>39066</v>
      </c>
      <c r="C983" s="27" t="s">
        <v>64</v>
      </c>
      <c r="D983" s="24" t="s">
        <v>2343</v>
      </c>
      <c r="E983" s="20" t="s">
        <v>2250</v>
      </c>
      <c r="F983" s="65" t="s">
        <v>2241</v>
      </c>
      <c r="G983" s="29" t="s">
        <v>15</v>
      </c>
      <c r="H983" s="19">
        <v>43658</v>
      </c>
      <c r="I983" s="3">
        <v>393</v>
      </c>
      <c r="J983" s="3" t="s">
        <v>58</v>
      </c>
      <c r="K983" s="37" t="s">
        <v>59</v>
      </c>
      <c r="L983" s="33">
        <v>43853</v>
      </c>
      <c r="M983" s="34" t="s">
        <v>60</v>
      </c>
      <c r="N983" s="33">
        <v>44238</v>
      </c>
      <c r="O983" s="33"/>
      <c r="P983" s="33"/>
      <c r="Q983" s="16" t="s">
        <v>68</v>
      </c>
      <c r="R983" s="16" t="s">
        <v>68</v>
      </c>
      <c r="S983" s="16"/>
      <c r="T983" s="16" t="s">
        <v>68</v>
      </c>
      <c r="U983" s="37" t="s">
        <v>68</v>
      </c>
      <c r="V983" s="16"/>
      <c r="W983" s="16"/>
      <c r="X983" s="16"/>
      <c r="Y983" s="16" t="s">
        <v>2168</v>
      </c>
      <c r="Z983" s="16" t="s">
        <v>2168</v>
      </c>
      <c r="AA983" s="40">
        <v>44492</v>
      </c>
      <c r="AB983" s="24"/>
      <c r="AC983" s="24"/>
      <c r="AD983" s="40">
        <v>44747</v>
      </c>
    </row>
    <row r="984" spans="1:30" ht="22.8" x14ac:dyDescent="0.25">
      <c r="A984" s="28"/>
      <c r="B984" s="20">
        <v>39066</v>
      </c>
      <c r="C984" s="27" t="s">
        <v>54</v>
      </c>
      <c r="D984" s="24" t="s">
        <v>2344</v>
      </c>
      <c r="E984" s="20" t="s">
        <v>2250</v>
      </c>
      <c r="F984" s="65" t="s">
        <v>2241</v>
      </c>
      <c r="G984" s="29" t="s">
        <v>15</v>
      </c>
      <c r="H984" s="19">
        <v>43658</v>
      </c>
      <c r="I984" s="3">
        <v>399</v>
      </c>
      <c r="J984" s="3" t="s">
        <v>58</v>
      </c>
      <c r="K984" s="37" t="s">
        <v>59</v>
      </c>
      <c r="L984" s="33">
        <v>43853</v>
      </c>
      <c r="M984" s="34" t="s">
        <v>60</v>
      </c>
      <c r="N984" s="33">
        <v>44238</v>
      </c>
      <c r="O984" s="33"/>
      <c r="P984" s="33"/>
      <c r="Q984" s="37" t="s">
        <v>62</v>
      </c>
      <c r="R984" s="16" t="s">
        <v>62</v>
      </c>
      <c r="S984" s="16"/>
      <c r="T984" s="16" t="s">
        <v>62</v>
      </c>
      <c r="U984" s="37" t="s">
        <v>62</v>
      </c>
      <c r="V984" s="16"/>
      <c r="W984" s="16"/>
      <c r="X984" s="16"/>
      <c r="Y984" s="16" t="s">
        <v>2168</v>
      </c>
      <c r="Z984" s="16" t="s">
        <v>2168</v>
      </c>
      <c r="AA984" s="40">
        <v>44492</v>
      </c>
      <c r="AB984" s="24"/>
      <c r="AC984" s="24"/>
      <c r="AD984" s="40">
        <v>44747</v>
      </c>
    </row>
    <row r="985" spans="1:30" ht="22.8" x14ac:dyDescent="0.25">
      <c r="A985" s="28"/>
      <c r="B985" s="20">
        <v>39103</v>
      </c>
      <c r="C985" s="27" t="s">
        <v>64</v>
      </c>
      <c r="D985" s="24" t="s">
        <v>2345</v>
      </c>
      <c r="E985" s="20" t="s">
        <v>2250</v>
      </c>
      <c r="F985" s="65" t="s">
        <v>2241</v>
      </c>
      <c r="G985" s="29" t="s">
        <v>15</v>
      </c>
      <c r="H985" s="19">
        <v>43767</v>
      </c>
      <c r="I985" s="3">
        <v>526</v>
      </c>
      <c r="J985" s="3" t="s">
        <v>58</v>
      </c>
      <c r="K985" s="37" t="s">
        <v>59</v>
      </c>
      <c r="L985" s="33">
        <v>43904</v>
      </c>
      <c r="M985" s="16" t="s">
        <v>60</v>
      </c>
      <c r="N985" s="33">
        <v>44228</v>
      </c>
      <c r="O985" s="33"/>
      <c r="P985" s="33"/>
      <c r="Q985" s="16" t="s">
        <v>75</v>
      </c>
      <c r="R985" s="16" t="s">
        <v>68</v>
      </c>
      <c r="S985" s="16"/>
      <c r="T985" s="16"/>
      <c r="U985" s="16"/>
      <c r="V985" s="16"/>
      <c r="W985" s="16"/>
      <c r="X985" s="16"/>
      <c r="Y985" s="16" t="s">
        <v>2168</v>
      </c>
      <c r="Z985" s="16" t="s">
        <v>2168</v>
      </c>
      <c r="AA985" s="40">
        <v>44476</v>
      </c>
      <c r="AB985" s="24"/>
      <c r="AC985" s="24"/>
      <c r="AD985" s="40">
        <v>44602</v>
      </c>
    </row>
    <row r="986" spans="1:30" ht="22.8" x14ac:dyDescent="0.25">
      <c r="A986" s="28"/>
      <c r="B986" s="20">
        <v>39103</v>
      </c>
      <c r="C986" s="27" t="s">
        <v>54</v>
      </c>
      <c r="D986" s="24" t="s">
        <v>2346</v>
      </c>
      <c r="E986" s="20" t="s">
        <v>2250</v>
      </c>
      <c r="F986" s="29" t="s">
        <v>2241</v>
      </c>
      <c r="G986" s="29" t="s">
        <v>15</v>
      </c>
      <c r="H986" s="19">
        <v>43767</v>
      </c>
      <c r="I986" s="3">
        <v>527</v>
      </c>
      <c r="J986" s="3" t="s">
        <v>58</v>
      </c>
      <c r="K986" s="37" t="s">
        <v>59</v>
      </c>
      <c r="L986" s="33">
        <v>43904</v>
      </c>
      <c r="M986" s="16" t="s">
        <v>60</v>
      </c>
      <c r="N986" s="33">
        <v>44228</v>
      </c>
      <c r="O986" s="33"/>
      <c r="P986" s="33"/>
      <c r="Q986" s="16" t="s">
        <v>75</v>
      </c>
      <c r="R986" s="16" t="s">
        <v>62</v>
      </c>
      <c r="S986" s="16"/>
      <c r="T986" s="16"/>
      <c r="U986" s="16"/>
      <c r="V986" s="16"/>
      <c r="W986" s="16"/>
      <c r="X986" s="16"/>
      <c r="Y986" s="16" t="s">
        <v>2168</v>
      </c>
      <c r="Z986" s="16" t="s">
        <v>2168</v>
      </c>
      <c r="AA986" s="16"/>
      <c r="AB986" s="24"/>
      <c r="AC986" s="24"/>
      <c r="AD986" s="40">
        <v>44602</v>
      </c>
    </row>
    <row r="987" spans="1:30" ht="22.8" x14ac:dyDescent="0.25">
      <c r="A987" s="28"/>
      <c r="B987" s="20">
        <v>39159</v>
      </c>
      <c r="C987" s="27" t="s">
        <v>64</v>
      </c>
      <c r="D987" s="3" t="s">
        <v>2347</v>
      </c>
      <c r="E987" s="20" t="s">
        <v>2250</v>
      </c>
      <c r="F987" s="65" t="s">
        <v>2241</v>
      </c>
      <c r="G987" s="29" t="s">
        <v>15</v>
      </c>
      <c r="H987" s="19">
        <v>44092</v>
      </c>
      <c r="I987" s="3">
        <v>884</v>
      </c>
      <c r="J987" s="3" t="s">
        <v>58</v>
      </c>
      <c r="K987" s="37" t="s">
        <v>59</v>
      </c>
      <c r="L987" s="33"/>
      <c r="M987" s="34" t="s">
        <v>60</v>
      </c>
      <c r="N987" s="35">
        <v>44182</v>
      </c>
      <c r="O987" s="33"/>
      <c r="P987" s="33"/>
      <c r="Q987" s="16" t="s">
        <v>75</v>
      </c>
      <c r="R987" s="16" t="s">
        <v>75</v>
      </c>
      <c r="S987" s="16"/>
      <c r="T987" s="16"/>
      <c r="U987" s="16"/>
      <c r="V987" s="16"/>
      <c r="W987" s="16"/>
      <c r="X987" s="16" t="s">
        <v>75</v>
      </c>
      <c r="Y987" s="16"/>
      <c r="Z987" s="16"/>
      <c r="AA987" s="16"/>
      <c r="AB987" s="24"/>
      <c r="AC987" s="24"/>
      <c r="AD987" s="40">
        <v>44599</v>
      </c>
    </row>
    <row r="988" spans="1:30" ht="22.8" x14ac:dyDescent="0.25">
      <c r="A988" s="28"/>
      <c r="B988" s="20">
        <v>39159</v>
      </c>
      <c r="C988" s="27" t="s">
        <v>54</v>
      </c>
      <c r="D988" s="3" t="s">
        <v>2348</v>
      </c>
      <c r="E988" s="20" t="s">
        <v>2250</v>
      </c>
      <c r="F988" s="29" t="s">
        <v>2241</v>
      </c>
      <c r="G988" s="29" t="s">
        <v>15</v>
      </c>
      <c r="H988" s="19">
        <v>44092</v>
      </c>
      <c r="I988" s="3">
        <v>878</v>
      </c>
      <c r="J988" s="3" t="s">
        <v>58</v>
      </c>
      <c r="K988" s="37" t="s">
        <v>59</v>
      </c>
      <c r="L988" s="33"/>
      <c r="M988" s="34" t="s">
        <v>60</v>
      </c>
      <c r="N988" s="35">
        <v>44182</v>
      </c>
      <c r="O988" s="33"/>
      <c r="P988" s="33"/>
      <c r="Q988" s="16" t="s">
        <v>75</v>
      </c>
      <c r="R988" s="16" t="s">
        <v>75</v>
      </c>
      <c r="S988" s="16"/>
      <c r="T988" s="16"/>
      <c r="U988" s="16"/>
      <c r="V988" s="16"/>
      <c r="W988" s="16"/>
      <c r="X988" s="16" t="s">
        <v>75</v>
      </c>
      <c r="Y988" s="16"/>
      <c r="Z988" s="16"/>
      <c r="AA988" s="16"/>
      <c r="AB988" s="24"/>
      <c r="AC988" s="24"/>
      <c r="AD988" s="40">
        <v>44599</v>
      </c>
    </row>
    <row r="989" spans="1:30" ht="22.8" x14ac:dyDescent="0.25">
      <c r="A989" s="28"/>
      <c r="B989" s="20">
        <v>39160</v>
      </c>
      <c r="C989" s="27" t="s">
        <v>64</v>
      </c>
      <c r="D989" s="3" t="s">
        <v>2349</v>
      </c>
      <c r="E989" s="20" t="s">
        <v>2250</v>
      </c>
      <c r="F989" s="29" t="s">
        <v>2241</v>
      </c>
      <c r="G989" s="29" t="s">
        <v>15</v>
      </c>
      <c r="H989" s="19">
        <v>44095</v>
      </c>
      <c r="I989" s="3">
        <v>882</v>
      </c>
      <c r="J989" s="3" t="s">
        <v>58</v>
      </c>
      <c r="K989" s="37" t="s">
        <v>59</v>
      </c>
      <c r="L989" s="33" t="s">
        <v>63</v>
      </c>
      <c r="M989" s="41" t="s">
        <v>60</v>
      </c>
      <c r="N989" s="40">
        <v>44209</v>
      </c>
      <c r="O989" s="38">
        <v>44059</v>
      </c>
      <c r="P989" s="38"/>
      <c r="Q989" s="16" t="s">
        <v>75</v>
      </c>
      <c r="R989" s="16" t="s">
        <v>75</v>
      </c>
      <c r="S989" s="16"/>
      <c r="T989" s="16"/>
      <c r="U989" s="16"/>
      <c r="V989" s="16"/>
      <c r="W989" s="37" t="s">
        <v>68</v>
      </c>
      <c r="X989" s="16" t="s">
        <v>75</v>
      </c>
      <c r="Y989" s="16"/>
      <c r="Z989" s="16"/>
      <c r="AA989" s="16"/>
      <c r="AB989" s="24"/>
      <c r="AC989" s="24"/>
      <c r="AD989" s="40">
        <v>44699</v>
      </c>
    </row>
    <row r="990" spans="1:30" ht="22.8" x14ac:dyDescent="0.25">
      <c r="A990" s="28"/>
      <c r="B990" s="20">
        <v>39160</v>
      </c>
      <c r="C990" s="27" t="s">
        <v>54</v>
      </c>
      <c r="D990" s="3" t="s">
        <v>2350</v>
      </c>
      <c r="E990" s="20" t="s">
        <v>2250</v>
      </c>
      <c r="F990" s="29" t="s">
        <v>2241</v>
      </c>
      <c r="G990" s="29" t="s">
        <v>15</v>
      </c>
      <c r="H990" s="19">
        <v>44095</v>
      </c>
      <c r="I990" s="3">
        <v>883</v>
      </c>
      <c r="J990" s="3" t="s">
        <v>58</v>
      </c>
      <c r="K990" s="37" t="s">
        <v>59</v>
      </c>
      <c r="L990" s="33" t="s">
        <v>63</v>
      </c>
      <c r="M990" s="41" t="s">
        <v>60</v>
      </c>
      <c r="N990" s="40">
        <v>44209</v>
      </c>
      <c r="O990" s="38">
        <v>44059</v>
      </c>
      <c r="P990" s="38"/>
      <c r="Q990" s="16" t="s">
        <v>75</v>
      </c>
      <c r="R990" s="16" t="s">
        <v>75</v>
      </c>
      <c r="S990" s="16"/>
      <c r="T990" s="16"/>
      <c r="U990" s="16"/>
      <c r="V990" s="16"/>
      <c r="W990" s="37" t="s">
        <v>62</v>
      </c>
      <c r="X990" s="16" t="s">
        <v>75</v>
      </c>
      <c r="Y990" s="16"/>
      <c r="Z990" s="16"/>
      <c r="AA990" s="16"/>
      <c r="AB990" s="24"/>
      <c r="AC990" s="24"/>
      <c r="AD990" s="40">
        <v>44699</v>
      </c>
    </row>
    <row r="991" spans="1:30" ht="22.8" x14ac:dyDescent="0.25">
      <c r="A991" s="28"/>
      <c r="B991" s="55">
        <v>39192</v>
      </c>
      <c r="C991" s="55" t="s">
        <v>64</v>
      </c>
      <c r="D991" s="20" t="s">
        <v>2351</v>
      </c>
      <c r="E991" s="20" t="s">
        <v>2250</v>
      </c>
      <c r="F991" s="3" t="s">
        <v>2241</v>
      </c>
      <c r="G991" s="3" t="s">
        <v>15</v>
      </c>
      <c r="H991" s="19">
        <v>44315</v>
      </c>
      <c r="I991" s="3" t="s">
        <v>2352</v>
      </c>
      <c r="J991" s="3" t="s">
        <v>58</v>
      </c>
      <c r="K991" s="37" t="s">
        <v>59</v>
      </c>
      <c r="L991" s="16" t="s">
        <v>75</v>
      </c>
      <c r="M991" s="16" t="s">
        <v>60</v>
      </c>
      <c r="N991" s="16" t="s">
        <v>75</v>
      </c>
      <c r="O991" s="33"/>
      <c r="P991" s="33"/>
      <c r="Q991" s="16" t="s">
        <v>75</v>
      </c>
      <c r="R991" s="16" t="s">
        <v>75</v>
      </c>
      <c r="S991" s="37"/>
      <c r="T991" s="16"/>
      <c r="U991" s="16"/>
      <c r="V991" s="16"/>
      <c r="W991" s="16"/>
      <c r="X991" s="16" t="s">
        <v>75</v>
      </c>
      <c r="Y991" s="16"/>
      <c r="Z991" s="16"/>
      <c r="AA991" s="16"/>
      <c r="AB991" s="24"/>
      <c r="AC991" s="24"/>
      <c r="AD991" s="40">
        <v>44604</v>
      </c>
    </row>
    <row r="992" spans="1:30" ht="22.8" x14ac:dyDescent="0.25">
      <c r="A992" s="28"/>
      <c r="B992" s="55">
        <v>39192</v>
      </c>
      <c r="C992" s="55" t="s">
        <v>54</v>
      </c>
      <c r="D992" s="20" t="s">
        <v>2353</v>
      </c>
      <c r="E992" s="20" t="s">
        <v>2250</v>
      </c>
      <c r="F992" s="3" t="s">
        <v>2241</v>
      </c>
      <c r="G992" s="3" t="s">
        <v>15</v>
      </c>
      <c r="H992" s="19">
        <v>44315</v>
      </c>
      <c r="I992" s="3" t="s">
        <v>2354</v>
      </c>
      <c r="J992" s="3" t="s">
        <v>58</v>
      </c>
      <c r="K992" s="37" t="s">
        <v>59</v>
      </c>
      <c r="L992" s="16" t="s">
        <v>75</v>
      </c>
      <c r="M992" s="16" t="s">
        <v>60</v>
      </c>
      <c r="N992" s="16" t="s">
        <v>75</v>
      </c>
      <c r="O992" s="33"/>
      <c r="P992" s="33"/>
      <c r="Q992" s="16" t="s">
        <v>75</v>
      </c>
      <c r="R992" s="16" t="s">
        <v>75</v>
      </c>
      <c r="S992" s="37"/>
      <c r="T992" s="16"/>
      <c r="U992" s="16"/>
      <c r="V992" s="16"/>
      <c r="W992" s="16"/>
      <c r="X992" s="16" t="s">
        <v>75</v>
      </c>
      <c r="Y992" s="16"/>
      <c r="Z992" s="16"/>
      <c r="AA992" s="16"/>
      <c r="AB992" s="24"/>
      <c r="AC992" s="24"/>
      <c r="AD992" s="40">
        <v>44604</v>
      </c>
    </row>
    <row r="993" spans="1:30" x14ac:dyDescent="0.25">
      <c r="A993" s="28"/>
      <c r="B993" s="20">
        <v>37223</v>
      </c>
      <c r="C993" s="20" t="s">
        <v>54</v>
      </c>
      <c r="D993" s="20" t="s">
        <v>2355</v>
      </c>
      <c r="E993" s="20"/>
      <c r="F993" s="29"/>
      <c r="G993" s="29"/>
      <c r="H993" s="19"/>
      <c r="I993" s="3">
        <v>494</v>
      </c>
      <c r="J993" s="3" t="s">
        <v>58</v>
      </c>
      <c r="K993" s="16"/>
      <c r="L993" s="33"/>
      <c r="M993" s="16"/>
      <c r="N993" s="33"/>
      <c r="O993" s="33"/>
      <c r="P993" s="33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24"/>
      <c r="AC993" s="24"/>
      <c r="AD993" s="16"/>
    </row>
    <row r="994" spans="1:30" x14ac:dyDescent="0.25">
      <c r="A994" s="28"/>
      <c r="B994" s="20">
        <v>37249</v>
      </c>
      <c r="C994" s="27" t="s">
        <v>64</v>
      </c>
      <c r="D994" s="18" t="s">
        <v>2356</v>
      </c>
      <c r="E994" s="20"/>
      <c r="F994" s="3"/>
      <c r="G994" s="3"/>
      <c r="H994" s="19">
        <v>43734</v>
      </c>
      <c r="I994" s="3">
        <v>635</v>
      </c>
      <c r="J994" s="3" t="s">
        <v>58</v>
      </c>
      <c r="K994" s="16"/>
      <c r="L994" s="33"/>
      <c r="M994" s="16"/>
      <c r="N994" s="39">
        <v>44300</v>
      </c>
      <c r="O994" s="33"/>
      <c r="P994" s="33"/>
      <c r="Q994" s="16" t="s">
        <v>75</v>
      </c>
      <c r="R994" s="16" t="s">
        <v>75</v>
      </c>
      <c r="S994" s="16"/>
      <c r="T994" s="16"/>
      <c r="U994" s="16" t="s">
        <v>68</v>
      </c>
      <c r="V994" s="36"/>
      <c r="W994" s="16"/>
      <c r="X994" s="16"/>
      <c r="Y994" s="16"/>
      <c r="Z994" s="16"/>
      <c r="AA994" s="16"/>
      <c r="AB994" s="24"/>
      <c r="AC994" s="24"/>
      <c r="AD994" s="16"/>
    </row>
    <row r="995" spans="1:30" x14ac:dyDescent="0.25">
      <c r="A995" s="28"/>
      <c r="B995" s="20">
        <v>37249</v>
      </c>
      <c r="C995" s="27" t="s">
        <v>54</v>
      </c>
      <c r="D995" s="18" t="s">
        <v>2357</v>
      </c>
      <c r="E995" s="20"/>
      <c r="F995" s="3"/>
      <c r="G995" s="3"/>
      <c r="H995" s="19">
        <v>43734</v>
      </c>
      <c r="I995" s="3">
        <v>634</v>
      </c>
      <c r="J995" s="3" t="s">
        <v>58</v>
      </c>
      <c r="K995" s="16"/>
      <c r="L995" s="33"/>
      <c r="M995" s="16"/>
      <c r="N995" s="39">
        <v>44300</v>
      </c>
      <c r="O995" s="33"/>
      <c r="P995" s="33"/>
      <c r="Q995" s="16" t="s">
        <v>75</v>
      </c>
      <c r="R995" s="16" t="s">
        <v>75</v>
      </c>
      <c r="S995" s="16"/>
      <c r="T995" s="16"/>
      <c r="U995" s="16" t="s">
        <v>62</v>
      </c>
      <c r="V995" s="36"/>
      <c r="W995" s="16"/>
      <c r="X995" s="16"/>
      <c r="Y995" s="16"/>
      <c r="Z995" s="16"/>
      <c r="AA995" s="16"/>
      <c r="AB995" s="24"/>
      <c r="AC995" s="24"/>
      <c r="AD995" s="16"/>
    </row>
    <row r="996" spans="1:30" ht="22.8" x14ac:dyDescent="0.25">
      <c r="A996" s="28"/>
      <c r="B996" s="20">
        <v>37445</v>
      </c>
      <c r="C996" s="27" t="s">
        <v>64</v>
      </c>
      <c r="D996" s="18" t="s">
        <v>1797</v>
      </c>
      <c r="E996" s="55"/>
      <c r="F996" s="3"/>
      <c r="G996" s="3"/>
      <c r="H996" s="19">
        <v>44092</v>
      </c>
      <c r="I996" s="3">
        <v>866</v>
      </c>
      <c r="J996" s="3" t="s">
        <v>58</v>
      </c>
      <c r="K996" s="37" t="s">
        <v>59</v>
      </c>
      <c r="L996" s="39">
        <v>44189</v>
      </c>
      <c r="M996" s="16" t="s">
        <v>60</v>
      </c>
      <c r="N996" s="39">
        <v>44215</v>
      </c>
      <c r="O996" s="33"/>
      <c r="P996" s="33"/>
      <c r="Q996" s="16" t="s">
        <v>75</v>
      </c>
      <c r="R996" s="16" t="s">
        <v>75</v>
      </c>
      <c r="S996" s="16"/>
      <c r="T996" s="16" t="s">
        <v>68</v>
      </c>
      <c r="U996" s="16" t="s">
        <v>68</v>
      </c>
      <c r="V996" s="36"/>
      <c r="W996" s="16"/>
      <c r="X996" s="16" t="s">
        <v>75</v>
      </c>
      <c r="Y996" s="16" t="s">
        <v>68</v>
      </c>
      <c r="Z996" s="16"/>
      <c r="AA996" s="16"/>
      <c r="AB996" s="24"/>
      <c r="AC996" s="24"/>
      <c r="AD996" s="16"/>
    </row>
    <row r="997" spans="1:30" ht="22.8" x14ac:dyDescent="0.25">
      <c r="A997" s="28"/>
      <c r="B997" s="20">
        <v>37445</v>
      </c>
      <c r="C997" s="27" t="s">
        <v>54</v>
      </c>
      <c r="D997" s="18" t="s">
        <v>1798</v>
      </c>
      <c r="E997" s="55"/>
      <c r="F997" s="3"/>
      <c r="G997" s="3"/>
      <c r="H997" s="19">
        <v>44092</v>
      </c>
      <c r="I997" s="3">
        <v>867</v>
      </c>
      <c r="J997" s="3" t="s">
        <v>58</v>
      </c>
      <c r="K997" s="37" t="s">
        <v>59</v>
      </c>
      <c r="L997" s="39">
        <v>44189</v>
      </c>
      <c r="M997" s="16" t="s">
        <v>60</v>
      </c>
      <c r="N997" s="39">
        <v>44215</v>
      </c>
      <c r="O997" s="33"/>
      <c r="P997" s="33"/>
      <c r="Q997" s="16" t="s">
        <v>75</v>
      </c>
      <c r="R997" s="16" t="s">
        <v>75</v>
      </c>
      <c r="S997" s="16"/>
      <c r="T997" s="16" t="s">
        <v>62</v>
      </c>
      <c r="U997" s="16" t="s">
        <v>62</v>
      </c>
      <c r="V997" s="36"/>
      <c r="W997" s="16"/>
      <c r="X997" s="16" t="s">
        <v>75</v>
      </c>
      <c r="Y997" s="16" t="s">
        <v>62</v>
      </c>
      <c r="Z997" s="16"/>
      <c r="AA997" s="16"/>
      <c r="AB997" s="24"/>
      <c r="AC997" s="24"/>
      <c r="AD997" s="16"/>
    </row>
    <row r="998" spans="1:30" ht="22.8" x14ac:dyDescent="0.25">
      <c r="A998" s="28"/>
      <c r="B998" s="56">
        <v>39180</v>
      </c>
      <c r="C998" s="60"/>
      <c r="D998" s="56" t="s">
        <v>2358</v>
      </c>
      <c r="E998" s="18" t="s">
        <v>1933</v>
      </c>
      <c r="F998" s="18"/>
      <c r="G998" s="18"/>
      <c r="H998" s="18"/>
      <c r="I998" s="3" t="s">
        <v>2359</v>
      </c>
      <c r="J998" s="3" t="s">
        <v>58</v>
      </c>
      <c r="K998" s="37" t="s">
        <v>59</v>
      </c>
      <c r="L998" s="16" t="s">
        <v>75</v>
      </c>
      <c r="M998" s="16" t="s">
        <v>60</v>
      </c>
      <c r="N998" s="16" t="s">
        <v>75</v>
      </c>
      <c r="O998" s="33"/>
      <c r="P998" s="33"/>
      <c r="Q998" s="16" t="s">
        <v>75</v>
      </c>
      <c r="R998" s="16" t="s">
        <v>75</v>
      </c>
      <c r="S998" s="37" t="s">
        <v>62</v>
      </c>
      <c r="T998" s="16" t="s">
        <v>62</v>
      </c>
      <c r="U998" s="16" t="s">
        <v>62</v>
      </c>
      <c r="V998" s="16"/>
      <c r="W998" s="16"/>
      <c r="X998" s="16" t="s">
        <v>75</v>
      </c>
      <c r="Y998" s="16"/>
      <c r="Z998" s="16"/>
      <c r="AA998" s="16"/>
      <c r="AB998" s="24"/>
      <c r="AC998" s="24"/>
      <c r="AD998" s="33">
        <v>44710</v>
      </c>
    </row>
    <row r="999" spans="1:30" x14ac:dyDescent="0.25">
      <c r="A999" s="28"/>
      <c r="B999" s="20"/>
      <c r="C999" s="27"/>
      <c r="D999" s="86" t="s">
        <v>1381</v>
      </c>
      <c r="E999" s="19"/>
      <c r="F999" s="29"/>
      <c r="G999" s="29"/>
      <c r="H999" s="19"/>
      <c r="I999" s="3">
        <v>229</v>
      </c>
      <c r="J999" s="3" t="s">
        <v>58</v>
      </c>
      <c r="K999" s="16" t="s">
        <v>1318</v>
      </c>
      <c r="L999" s="33"/>
      <c r="M999" s="16" t="s">
        <v>60</v>
      </c>
      <c r="N999" s="33">
        <v>44249</v>
      </c>
      <c r="O999" s="33"/>
      <c r="P999" s="33"/>
      <c r="Q999" s="16" t="s">
        <v>2060</v>
      </c>
      <c r="R999" s="16" t="s">
        <v>62</v>
      </c>
      <c r="S999" s="16"/>
      <c r="T999" s="16" t="s">
        <v>62</v>
      </c>
      <c r="U999" s="16" t="s">
        <v>62</v>
      </c>
      <c r="V999" s="15"/>
      <c r="W999" s="16"/>
      <c r="X999" s="16"/>
      <c r="Y999" s="16"/>
      <c r="Z999" s="16"/>
      <c r="AA999" s="16"/>
      <c r="AB999" s="24"/>
      <c r="AC999" s="24"/>
      <c r="AD999" s="16"/>
    </row>
    <row r="1000" spans="1:30" x14ac:dyDescent="0.25">
      <c r="A1000" s="28"/>
      <c r="B1000" s="20"/>
      <c r="C1000" s="27"/>
      <c r="D1000" s="87" t="s">
        <v>2360</v>
      </c>
      <c r="E1000" s="20"/>
      <c r="F1000" s="29"/>
      <c r="G1000" s="29"/>
      <c r="H1000" s="19"/>
      <c r="I1000" s="3">
        <v>564</v>
      </c>
      <c r="J1000" s="3" t="s">
        <v>58</v>
      </c>
      <c r="K1000" s="16"/>
      <c r="L1000" s="33"/>
      <c r="M1000" s="16"/>
      <c r="N1000" s="33"/>
      <c r="O1000" s="33"/>
      <c r="P1000" s="33"/>
      <c r="Q1000" s="16" t="s">
        <v>75</v>
      </c>
      <c r="R1000" s="16" t="s">
        <v>75</v>
      </c>
      <c r="S1000" s="16"/>
      <c r="T1000" s="16"/>
      <c r="U1000" s="16"/>
      <c r="V1000" s="16"/>
      <c r="W1000" s="16"/>
      <c r="X1000" s="16"/>
      <c r="Y1000" s="16"/>
      <c r="Z1000" s="16"/>
      <c r="AA1000" s="16"/>
      <c r="AB1000" s="24"/>
      <c r="AC1000" s="24"/>
      <c r="AD1000" s="16"/>
    </row>
    <row r="1001" spans="1:30" x14ac:dyDescent="0.25">
      <c r="A1001" s="28"/>
      <c r="B1001" s="88"/>
      <c r="C1001" s="27"/>
      <c r="D1001" s="20"/>
      <c r="E1001" s="20"/>
      <c r="F1001" s="3"/>
      <c r="G1001" s="3"/>
      <c r="H1001" s="19"/>
      <c r="I1001" s="3"/>
      <c r="J1001" s="3"/>
      <c r="K1001" s="16"/>
      <c r="L1001" s="33"/>
      <c r="M1001" s="16"/>
      <c r="N1001" s="33"/>
      <c r="O1001" s="33"/>
      <c r="P1001" s="33"/>
      <c r="Q1001" s="16"/>
      <c r="R1001" s="16" t="s">
        <v>75</v>
      </c>
      <c r="S1001" s="16"/>
      <c r="T1001" s="16"/>
      <c r="U1001" s="51"/>
      <c r="V1001" s="16"/>
      <c r="W1001" s="16"/>
      <c r="X1001" s="16"/>
      <c r="Y1001" s="16"/>
      <c r="Z1001" s="16"/>
      <c r="AA1001" s="16"/>
      <c r="AB1001" s="24"/>
      <c r="AC1001" s="24"/>
      <c r="AD1001" s="16"/>
    </row>
    <row r="1002" spans="1:30" x14ac:dyDescent="0.25">
      <c r="A1002" s="28"/>
      <c r="B1002" s="88">
        <v>37581</v>
      </c>
      <c r="C1002" s="27" t="s">
        <v>54</v>
      </c>
      <c r="D1002" s="20" t="s">
        <v>2361</v>
      </c>
      <c r="E1002" s="20" t="s">
        <v>56</v>
      </c>
      <c r="F1002" s="3" t="s">
        <v>57</v>
      </c>
      <c r="G1002" s="3" t="s">
        <v>11</v>
      </c>
      <c r="H1002" s="19">
        <v>44334</v>
      </c>
      <c r="I1002" s="3">
        <v>755</v>
      </c>
      <c r="J1002" s="3" t="s">
        <v>58</v>
      </c>
      <c r="K1002" s="16"/>
      <c r="L1002" s="33"/>
      <c r="M1002" s="16"/>
      <c r="N1002" s="33"/>
      <c r="O1002" s="33"/>
      <c r="P1002" s="33"/>
      <c r="Q1002" s="16" t="s">
        <v>75</v>
      </c>
      <c r="R1002" s="16" t="s">
        <v>75</v>
      </c>
      <c r="S1002" s="16"/>
      <c r="T1002" s="16"/>
      <c r="U1002" s="51"/>
      <c r="V1002" s="16"/>
      <c r="W1002" s="16"/>
      <c r="X1002" s="16"/>
      <c r="Y1002" s="16"/>
      <c r="Z1002" s="16"/>
      <c r="AA1002" s="16"/>
      <c r="AB1002" s="24"/>
      <c r="AC1002" s="24"/>
      <c r="AD1002" s="37" t="s">
        <v>68</v>
      </c>
    </row>
    <row r="1003" spans="1:30" x14ac:dyDescent="0.25">
      <c r="A1003" s="28"/>
      <c r="B1003" s="20">
        <v>37583</v>
      </c>
      <c r="C1003" s="27" t="s">
        <v>54</v>
      </c>
      <c r="D1003" s="20" t="s">
        <v>2362</v>
      </c>
      <c r="E1003" s="20"/>
      <c r="F1003" s="3"/>
      <c r="G1003" s="3"/>
      <c r="H1003" s="19"/>
      <c r="I1003" s="3">
        <v>756</v>
      </c>
      <c r="J1003" s="3" t="s">
        <v>58</v>
      </c>
      <c r="K1003" s="16"/>
      <c r="L1003" s="33">
        <v>44350</v>
      </c>
      <c r="M1003" s="16" t="s">
        <v>60</v>
      </c>
      <c r="N1003" s="33">
        <v>44350</v>
      </c>
      <c r="O1003" s="33"/>
      <c r="P1003" s="33"/>
      <c r="Q1003" s="16" t="s">
        <v>75</v>
      </c>
      <c r="R1003" s="16" t="s">
        <v>75</v>
      </c>
      <c r="S1003" s="16"/>
      <c r="T1003" s="16"/>
      <c r="U1003" s="51"/>
      <c r="V1003" s="16"/>
      <c r="W1003" s="16"/>
      <c r="X1003" s="16"/>
      <c r="Y1003" s="16"/>
      <c r="Z1003" s="16"/>
      <c r="AA1003" s="16"/>
      <c r="AB1003" s="24"/>
      <c r="AC1003" s="24"/>
      <c r="AD1003" s="37" t="s">
        <v>62</v>
      </c>
    </row>
    <row r="1004" spans="1:30" x14ac:dyDescent="0.25">
      <c r="A1004" s="28"/>
      <c r="B1004" s="88">
        <v>37581</v>
      </c>
      <c r="C1004" s="27" t="s">
        <v>64</v>
      </c>
      <c r="D1004" s="20" t="s">
        <v>2363</v>
      </c>
      <c r="E1004" s="20" t="s">
        <v>56</v>
      </c>
      <c r="F1004" s="3" t="s">
        <v>57</v>
      </c>
      <c r="G1004" s="3" t="s">
        <v>11</v>
      </c>
      <c r="H1004" s="19">
        <v>44334</v>
      </c>
      <c r="I1004" s="3">
        <v>757</v>
      </c>
      <c r="J1004" s="3" t="s">
        <v>58</v>
      </c>
      <c r="K1004" s="16"/>
      <c r="L1004" s="33"/>
      <c r="M1004" s="16"/>
      <c r="N1004" s="33"/>
      <c r="O1004" s="33"/>
      <c r="P1004" s="33"/>
      <c r="Q1004" s="16" t="s">
        <v>75</v>
      </c>
      <c r="R1004" s="16" t="s">
        <v>75</v>
      </c>
      <c r="S1004" s="16"/>
      <c r="T1004" s="16"/>
      <c r="U1004" s="51"/>
      <c r="V1004" s="16"/>
      <c r="W1004" s="16"/>
      <c r="X1004" s="16"/>
      <c r="Y1004" s="16"/>
      <c r="Z1004" s="16"/>
      <c r="AA1004" s="16"/>
      <c r="AB1004" s="24"/>
      <c r="AC1004" s="24"/>
      <c r="AD1004" s="37" t="s">
        <v>68</v>
      </c>
    </row>
    <row r="1005" spans="1:30" x14ac:dyDescent="0.25">
      <c r="A1005" s="28"/>
      <c r="B1005" s="88"/>
      <c r="C1005" s="27"/>
      <c r="D1005" s="20"/>
      <c r="E1005" s="20"/>
      <c r="F1005" s="3"/>
      <c r="G1005" s="3"/>
      <c r="H1005" s="19"/>
      <c r="I1005" s="3"/>
      <c r="J1005" s="3"/>
      <c r="K1005" s="16"/>
      <c r="L1005" s="33"/>
      <c r="M1005" s="16"/>
      <c r="N1005" s="33"/>
      <c r="O1005" s="33"/>
      <c r="P1005" s="33"/>
      <c r="Q1005" s="16"/>
      <c r="R1005" s="16" t="s">
        <v>75</v>
      </c>
      <c r="S1005" s="16"/>
      <c r="T1005" s="16"/>
      <c r="U1005" s="51"/>
      <c r="V1005" s="16"/>
      <c r="W1005" s="16"/>
      <c r="X1005" s="16"/>
      <c r="Y1005" s="16"/>
      <c r="Z1005" s="16"/>
      <c r="AA1005" s="16"/>
      <c r="AB1005" s="24"/>
      <c r="AC1005" s="24"/>
      <c r="AD1005" s="37" t="s">
        <v>62</v>
      </c>
    </row>
    <row r="1006" spans="1:30" x14ac:dyDescent="0.25">
      <c r="A1006" s="28"/>
      <c r="B1006" s="88"/>
      <c r="C1006" s="27"/>
      <c r="D1006" s="20"/>
      <c r="E1006" s="19"/>
      <c r="F1006" s="29"/>
      <c r="G1006" s="29"/>
      <c r="H1006" s="19"/>
      <c r="I1006" s="3"/>
      <c r="J1006" s="3"/>
      <c r="K1006" s="16"/>
      <c r="L1006" s="33"/>
      <c r="M1006" s="16"/>
      <c r="N1006" s="33"/>
      <c r="O1006" s="33"/>
      <c r="P1006" s="33"/>
      <c r="Q1006" s="16"/>
      <c r="R1006" s="16" t="s">
        <v>75</v>
      </c>
      <c r="S1006" s="16"/>
      <c r="T1006" s="16"/>
      <c r="U1006" s="51"/>
      <c r="V1006" s="16"/>
      <c r="W1006" s="16"/>
      <c r="X1006" s="16"/>
      <c r="Y1006" s="16"/>
      <c r="Z1006" s="16"/>
      <c r="AA1006" s="16"/>
      <c r="AB1006" s="24"/>
      <c r="AC1006" s="24"/>
      <c r="AD1006" s="16"/>
    </row>
    <row r="1007" spans="1:30" x14ac:dyDescent="0.25">
      <c r="A1007" s="28"/>
      <c r="B1007" s="20">
        <v>37583</v>
      </c>
      <c r="C1007" s="27" t="s">
        <v>64</v>
      </c>
      <c r="D1007" s="20" t="s">
        <v>2364</v>
      </c>
      <c r="E1007" s="20"/>
      <c r="F1007" s="29"/>
      <c r="G1007" s="29"/>
      <c r="H1007" s="19"/>
      <c r="I1007" s="3">
        <v>779</v>
      </c>
      <c r="J1007" s="3" t="s">
        <v>58</v>
      </c>
      <c r="K1007" s="16"/>
      <c r="L1007" s="33">
        <v>44350</v>
      </c>
      <c r="M1007" s="16" t="s">
        <v>60</v>
      </c>
      <c r="N1007" s="33">
        <v>44350</v>
      </c>
      <c r="O1007" s="33"/>
      <c r="P1007" s="33"/>
      <c r="Q1007" s="16" t="s">
        <v>75</v>
      </c>
      <c r="R1007" s="16" t="s">
        <v>75</v>
      </c>
      <c r="S1007" s="16"/>
      <c r="T1007" s="16"/>
      <c r="U1007" s="16"/>
      <c r="V1007" s="16"/>
      <c r="W1007" s="16"/>
      <c r="X1007" s="16" t="s">
        <v>75</v>
      </c>
      <c r="Y1007" s="16"/>
      <c r="Z1007" s="16"/>
      <c r="AA1007" s="16"/>
      <c r="AB1007" s="24"/>
      <c r="AC1007" s="24"/>
      <c r="AD1007" s="16"/>
    </row>
    <row r="1008" spans="1:30" x14ac:dyDescent="0.25">
      <c r="A1008" s="28"/>
      <c r="B1008" s="88">
        <v>37580</v>
      </c>
      <c r="C1008" s="27" t="s">
        <v>64</v>
      </c>
      <c r="D1008" s="20" t="s">
        <v>2365</v>
      </c>
      <c r="E1008" s="20" t="s">
        <v>56</v>
      </c>
      <c r="F1008" s="3"/>
      <c r="G1008" s="3" t="s">
        <v>11</v>
      </c>
      <c r="H1008" s="19">
        <v>44336</v>
      </c>
      <c r="I1008" s="3">
        <v>780</v>
      </c>
      <c r="J1008" s="3" t="s">
        <v>58</v>
      </c>
      <c r="K1008" s="16"/>
      <c r="L1008" s="33"/>
      <c r="M1008" s="16"/>
      <c r="N1008" s="33"/>
      <c r="O1008" s="33"/>
      <c r="P1008" s="33"/>
      <c r="Q1008" s="16" t="s">
        <v>75</v>
      </c>
      <c r="R1008" s="16" t="s">
        <v>75</v>
      </c>
      <c r="S1008" s="16"/>
      <c r="T1008" s="16"/>
      <c r="U1008" s="16"/>
      <c r="V1008" s="16"/>
      <c r="W1008" s="16"/>
      <c r="X1008" s="16" t="s">
        <v>75</v>
      </c>
      <c r="Y1008" s="16"/>
      <c r="Z1008" s="16"/>
      <c r="AA1008" s="16"/>
      <c r="AB1008" s="24"/>
      <c r="AC1008" s="24"/>
      <c r="AD1008" s="16"/>
    </row>
    <row r="1009" spans="1:31" ht="22.8" x14ac:dyDescent="0.25">
      <c r="A1009" s="29"/>
      <c r="B1009" s="20">
        <v>37582</v>
      </c>
      <c r="C1009" s="27" t="s">
        <v>54</v>
      </c>
      <c r="D1009" s="20" t="s">
        <v>2366</v>
      </c>
      <c r="E1009" s="20" t="s">
        <v>2250</v>
      </c>
      <c r="F1009" s="29"/>
      <c r="G1009" s="29" t="s">
        <v>2367</v>
      </c>
      <c r="H1009" s="19"/>
      <c r="I1009" s="3">
        <v>802</v>
      </c>
      <c r="J1009" s="3" t="s">
        <v>58</v>
      </c>
      <c r="K1009" s="37" t="s">
        <v>59</v>
      </c>
      <c r="L1009" s="24" t="s">
        <v>63</v>
      </c>
      <c r="M1009" s="24"/>
      <c r="N1009" s="24"/>
      <c r="O1009" s="24"/>
      <c r="P1009" s="24"/>
      <c r="Q1009" s="16" t="s">
        <v>75</v>
      </c>
      <c r="R1009" s="16" t="s">
        <v>75</v>
      </c>
      <c r="S1009" s="24"/>
      <c r="T1009" s="24"/>
      <c r="U1009" s="24"/>
      <c r="V1009" s="24"/>
      <c r="W1009" s="24"/>
      <c r="X1009" s="16" t="s">
        <v>75</v>
      </c>
      <c r="Y1009" s="24"/>
      <c r="Z1009" s="24"/>
      <c r="AA1009" s="24"/>
      <c r="AB1009" s="24"/>
      <c r="AC1009" s="24"/>
      <c r="AD1009" s="24"/>
      <c r="AE1009"/>
    </row>
    <row r="1010" spans="1:31" x14ac:dyDescent="0.25">
      <c r="A1010" s="28"/>
      <c r="B1010" s="20"/>
      <c r="C1010" s="27"/>
      <c r="D1010" s="87" t="s">
        <v>2368</v>
      </c>
      <c r="E1010" s="20"/>
      <c r="F1010" s="3"/>
      <c r="G1010" s="3"/>
      <c r="H1010" s="19"/>
      <c r="I1010" s="3">
        <v>820</v>
      </c>
      <c r="J1010" s="3" t="s">
        <v>58</v>
      </c>
      <c r="K1010" s="16"/>
      <c r="L1010" s="33"/>
      <c r="M1010" s="41"/>
      <c r="N1010" s="40"/>
      <c r="O1010" s="33"/>
      <c r="P1010" s="33"/>
      <c r="Q1010" s="16" t="s">
        <v>75</v>
      </c>
      <c r="R1010" s="16" t="s">
        <v>75</v>
      </c>
      <c r="S1010" s="37"/>
      <c r="T1010" s="16"/>
      <c r="U1010" s="37"/>
      <c r="V1010" s="16"/>
      <c r="W1010" s="16"/>
      <c r="X1010" s="16" t="s">
        <v>75</v>
      </c>
      <c r="Y1010" s="16"/>
      <c r="Z1010" s="16"/>
      <c r="AA1010" s="16"/>
      <c r="AB1010" s="24"/>
      <c r="AC1010" s="24"/>
      <c r="AD1010" s="16"/>
    </row>
    <row r="1011" spans="1:31" ht="22.8" x14ac:dyDescent="0.25">
      <c r="A1011" s="28"/>
      <c r="B1011" s="20">
        <v>37577</v>
      </c>
      <c r="C1011" s="27" t="s">
        <v>54</v>
      </c>
      <c r="D1011" s="20" t="s">
        <v>2369</v>
      </c>
      <c r="E1011" s="20" t="s">
        <v>2250</v>
      </c>
      <c r="F1011" s="29"/>
      <c r="G1011" s="29" t="s">
        <v>2367</v>
      </c>
      <c r="H1011" s="19"/>
      <c r="I1011" s="3">
        <v>826</v>
      </c>
      <c r="J1011" s="3" t="s">
        <v>58</v>
      </c>
      <c r="K1011" s="37" t="s">
        <v>59</v>
      </c>
      <c r="L1011" s="33"/>
      <c r="M1011" s="85" t="s">
        <v>60</v>
      </c>
      <c r="N1011" s="52">
        <v>44364</v>
      </c>
      <c r="O1011" s="33"/>
      <c r="P1011" s="33"/>
      <c r="Q1011" s="16" t="s">
        <v>75</v>
      </c>
      <c r="R1011" s="16" t="s">
        <v>75</v>
      </c>
      <c r="S1011" s="16"/>
      <c r="T1011" s="16"/>
      <c r="U1011" s="51"/>
      <c r="V1011" s="16"/>
      <c r="W1011" s="16"/>
      <c r="X1011" s="16" t="s">
        <v>75</v>
      </c>
      <c r="Y1011" s="16"/>
      <c r="Z1011" s="16"/>
      <c r="AA1011" s="40">
        <v>44554</v>
      </c>
      <c r="AB1011" s="24"/>
      <c r="AC1011" s="24"/>
      <c r="AD1011" s="40">
        <v>44701</v>
      </c>
    </row>
    <row r="1012" spans="1:31" ht="22.8" x14ac:dyDescent="0.25">
      <c r="A1012" s="28"/>
      <c r="B1012" s="20">
        <v>37577</v>
      </c>
      <c r="C1012" s="27" t="s">
        <v>64</v>
      </c>
      <c r="D1012" s="20" t="s">
        <v>2370</v>
      </c>
      <c r="E1012" s="20" t="s">
        <v>2250</v>
      </c>
      <c r="F1012" s="29"/>
      <c r="G1012" s="29" t="s">
        <v>2367</v>
      </c>
      <c r="H1012" s="19"/>
      <c r="I1012" s="3">
        <v>827</v>
      </c>
      <c r="J1012" s="3" t="s">
        <v>58</v>
      </c>
      <c r="K1012" s="37" t="s">
        <v>59</v>
      </c>
      <c r="L1012" s="33"/>
      <c r="M1012" s="85" t="s">
        <v>60</v>
      </c>
      <c r="N1012" s="52">
        <v>44364</v>
      </c>
      <c r="O1012" s="33"/>
      <c r="P1012" s="33"/>
      <c r="Q1012" s="16" t="s">
        <v>75</v>
      </c>
      <c r="R1012" s="16" t="s">
        <v>75</v>
      </c>
      <c r="S1012" s="16"/>
      <c r="T1012" s="16"/>
      <c r="U1012" s="51"/>
      <c r="V1012" s="16"/>
      <c r="W1012" s="16"/>
      <c r="X1012" s="16" t="s">
        <v>75</v>
      </c>
      <c r="Y1012" s="16"/>
      <c r="Z1012" s="16"/>
      <c r="AA1012" s="16"/>
      <c r="AB1012" s="24"/>
      <c r="AC1012" s="24"/>
      <c r="AD1012" s="40">
        <v>44701</v>
      </c>
    </row>
    <row r="1013" spans="1:31" x14ac:dyDescent="0.25">
      <c r="A1013" s="28"/>
      <c r="B1013" s="88">
        <v>37587</v>
      </c>
      <c r="C1013" s="27" t="s">
        <v>54</v>
      </c>
      <c r="D1013" s="20" t="s">
        <v>2371</v>
      </c>
      <c r="E1013" s="20" t="s">
        <v>2372</v>
      </c>
      <c r="F1013" s="29"/>
      <c r="G1013" s="29" t="s">
        <v>12</v>
      </c>
      <c r="H1013" s="19">
        <v>44344</v>
      </c>
      <c r="I1013" s="3">
        <v>856</v>
      </c>
      <c r="J1013" s="3" t="s">
        <v>58</v>
      </c>
      <c r="K1013" s="16"/>
      <c r="L1013" s="33"/>
      <c r="M1013" s="16"/>
      <c r="N1013" s="33"/>
      <c r="O1013" s="33"/>
      <c r="P1013" s="33"/>
      <c r="Q1013" s="16" t="s">
        <v>75</v>
      </c>
      <c r="R1013" s="16" t="s">
        <v>75</v>
      </c>
      <c r="S1013" s="16"/>
      <c r="T1013" s="16"/>
      <c r="U1013" s="16"/>
      <c r="V1013" s="37"/>
      <c r="W1013" s="16"/>
      <c r="X1013" s="16" t="s">
        <v>75</v>
      </c>
      <c r="Y1013" s="16"/>
      <c r="Z1013" s="16"/>
      <c r="AA1013" s="16"/>
      <c r="AB1013" s="24"/>
      <c r="AC1013" s="24"/>
      <c r="AD1013" s="16"/>
    </row>
    <row r="1014" spans="1:31" x14ac:dyDescent="0.25">
      <c r="A1014" s="28"/>
      <c r="B1014" s="88">
        <v>37587</v>
      </c>
      <c r="C1014" s="27" t="s">
        <v>64</v>
      </c>
      <c r="D1014" s="20" t="s">
        <v>2373</v>
      </c>
      <c r="E1014" s="20" t="s">
        <v>2372</v>
      </c>
      <c r="F1014" s="29"/>
      <c r="G1014" s="29" t="s">
        <v>12</v>
      </c>
      <c r="H1014" s="19">
        <v>44344</v>
      </c>
      <c r="I1014" s="3">
        <v>857</v>
      </c>
      <c r="J1014" s="3" t="s">
        <v>58</v>
      </c>
      <c r="K1014" s="16"/>
      <c r="L1014" s="33"/>
      <c r="M1014" s="16"/>
      <c r="N1014" s="33"/>
      <c r="O1014" s="33"/>
      <c r="P1014" s="33"/>
      <c r="Q1014" s="16" t="s">
        <v>75</v>
      </c>
      <c r="R1014" s="16" t="s">
        <v>75</v>
      </c>
      <c r="S1014" s="16"/>
      <c r="T1014" s="16"/>
      <c r="U1014" s="16"/>
      <c r="V1014" s="37"/>
      <c r="W1014" s="16"/>
      <c r="X1014" s="16" t="s">
        <v>75</v>
      </c>
      <c r="Y1014" s="16"/>
      <c r="Z1014" s="16"/>
      <c r="AA1014" s="16"/>
      <c r="AB1014" s="24"/>
      <c r="AC1014" s="24"/>
      <c r="AD1014" s="16"/>
    </row>
    <row r="1015" spans="1:31" x14ac:dyDescent="0.25">
      <c r="A1015" s="28"/>
      <c r="B1015" s="88"/>
      <c r="C1015" s="27"/>
      <c r="D1015" s="20"/>
      <c r="E1015" s="19"/>
      <c r="F1015" s="29"/>
      <c r="G1015" s="29"/>
      <c r="H1015" s="19"/>
      <c r="I1015" s="3"/>
      <c r="J1015" s="3"/>
      <c r="K1015" s="16"/>
      <c r="L1015" s="39"/>
      <c r="M1015" s="16"/>
      <c r="N1015" s="39"/>
      <c r="O1015" s="33"/>
      <c r="P1015" s="33"/>
      <c r="Q1015" s="16"/>
      <c r="R1015" s="16" t="s">
        <v>75</v>
      </c>
      <c r="S1015" s="16"/>
      <c r="T1015" s="16"/>
      <c r="U1015" s="16"/>
      <c r="V1015" s="36"/>
      <c r="W1015" s="16"/>
      <c r="X1015" s="16"/>
      <c r="Y1015" s="16"/>
      <c r="Z1015" s="16"/>
      <c r="AA1015" s="16"/>
      <c r="AB1015" s="24"/>
      <c r="AC1015" s="24"/>
      <c r="AD1015" s="16"/>
    </row>
    <row r="1016" spans="1:31" x14ac:dyDescent="0.25">
      <c r="A1016" s="28"/>
      <c r="B1016" s="88"/>
      <c r="C1016" s="27"/>
      <c r="D1016" s="20"/>
      <c r="E1016" s="19"/>
      <c r="F1016" s="3"/>
      <c r="G1016" s="3"/>
      <c r="H1016" s="19"/>
      <c r="I1016" s="3"/>
      <c r="J1016" s="3"/>
      <c r="K1016" s="16"/>
      <c r="L1016" s="39"/>
      <c r="M1016" s="16"/>
      <c r="N1016" s="39"/>
      <c r="O1016" s="33"/>
      <c r="P1016" s="33"/>
      <c r="Q1016" s="16"/>
      <c r="R1016" s="16" t="s">
        <v>75</v>
      </c>
      <c r="S1016" s="16"/>
      <c r="T1016" s="16"/>
      <c r="U1016" s="16"/>
      <c r="V1016" s="36"/>
      <c r="W1016" s="16"/>
      <c r="X1016" s="16"/>
      <c r="Y1016" s="16"/>
      <c r="Z1016" s="16"/>
      <c r="AA1016" s="16"/>
      <c r="AB1016" s="24"/>
      <c r="AC1016" s="24"/>
      <c r="AD1016" s="16"/>
    </row>
    <row r="1017" spans="1:31" x14ac:dyDescent="0.25">
      <c r="A1017" s="28"/>
      <c r="B1017" s="88"/>
      <c r="C1017" s="27"/>
      <c r="D1017" s="20"/>
      <c r="E1017" s="55"/>
      <c r="F1017" s="3"/>
      <c r="G1017" s="3"/>
      <c r="H1017" s="19"/>
      <c r="I1017" s="3"/>
      <c r="J1017" s="3"/>
      <c r="K1017" s="16"/>
      <c r="L1017" s="39"/>
      <c r="M1017" s="16"/>
      <c r="N1017" s="39"/>
      <c r="O1017" s="33"/>
      <c r="P1017" s="33"/>
      <c r="Q1017" s="16"/>
      <c r="R1017" s="16" t="s">
        <v>75</v>
      </c>
      <c r="S1017" s="16"/>
      <c r="T1017" s="16"/>
      <c r="U1017" s="16"/>
      <c r="V1017" s="36"/>
      <c r="W1017" s="16"/>
      <c r="X1017" s="16"/>
      <c r="Y1017" s="16"/>
      <c r="Z1017" s="16"/>
      <c r="AA1017" s="16"/>
      <c r="AB1017" s="24"/>
      <c r="AC1017" s="24"/>
      <c r="AD1017" s="16"/>
    </row>
    <row r="1018" spans="1:31" x14ac:dyDescent="0.25">
      <c r="A1018" s="71"/>
      <c r="B1018" s="88"/>
      <c r="C1018" s="27"/>
      <c r="D1018" s="20"/>
      <c r="E1018" s="55"/>
      <c r="F1018" s="3"/>
      <c r="G1018" s="3"/>
      <c r="H1018" s="19"/>
      <c r="I1018" s="3"/>
      <c r="J1018" s="3"/>
      <c r="K1018" s="16"/>
      <c r="L1018" s="39"/>
      <c r="N1018" s="73"/>
      <c r="Q1018" s="16"/>
      <c r="R1018" s="16" t="s">
        <v>75</v>
      </c>
      <c r="V1018" s="62"/>
      <c r="X1018" s="16"/>
      <c r="AB1018" s="24"/>
      <c r="AC1018" s="24"/>
    </row>
    <row r="1019" spans="1:31" x14ac:dyDescent="0.25">
      <c r="A1019" s="65"/>
      <c r="B1019" s="88"/>
      <c r="C1019" s="27"/>
      <c r="D1019" s="20"/>
      <c r="E1019" s="66"/>
      <c r="F1019" s="65"/>
      <c r="G1019" s="3"/>
      <c r="H1019" s="19"/>
      <c r="I1019" s="3"/>
      <c r="J1019" s="3"/>
      <c r="K1019" s="24"/>
      <c r="L1019" s="24"/>
      <c r="M1019" s="23"/>
      <c r="N1019" s="23"/>
      <c r="O1019" s="23"/>
      <c r="P1019" s="23"/>
      <c r="Q1019" s="16"/>
      <c r="R1019" s="16" t="s">
        <v>75</v>
      </c>
      <c r="S1019" s="23"/>
      <c r="T1019" s="23"/>
      <c r="U1019" s="23"/>
      <c r="V1019" s="23"/>
      <c r="W1019" s="23"/>
      <c r="X1019" s="16"/>
      <c r="Y1019" s="23"/>
      <c r="Z1019" s="23"/>
      <c r="AA1019" s="23"/>
      <c r="AB1019" s="24"/>
      <c r="AC1019" s="24"/>
      <c r="AD1019" s="23"/>
      <c r="AE1019"/>
    </row>
    <row r="1020" spans="1:31" x14ac:dyDescent="0.25">
      <c r="A1020" s="65"/>
      <c r="B1020" s="88"/>
      <c r="C1020" s="27"/>
      <c r="D1020" s="20"/>
      <c r="E1020" s="66"/>
      <c r="F1020" s="65"/>
      <c r="G1020" s="3"/>
      <c r="H1020" s="19"/>
      <c r="I1020" s="3"/>
      <c r="J1020" s="3"/>
      <c r="K1020" s="24"/>
      <c r="L1020" s="24"/>
      <c r="M1020" s="23"/>
      <c r="N1020" s="23"/>
      <c r="O1020" s="23"/>
      <c r="P1020" s="23"/>
      <c r="Q1020" s="16"/>
      <c r="R1020" s="16" t="s">
        <v>75</v>
      </c>
      <c r="S1020" s="23"/>
      <c r="T1020" s="23"/>
      <c r="U1020" s="23"/>
      <c r="V1020" s="23"/>
      <c r="W1020" s="23"/>
      <c r="X1020" s="16"/>
      <c r="Y1020" s="23"/>
      <c r="Z1020" s="23"/>
      <c r="AA1020" s="23"/>
      <c r="AB1020" s="24"/>
      <c r="AC1020" s="24"/>
      <c r="AD1020" s="23"/>
      <c r="AE1020"/>
    </row>
    <row r="1021" spans="1:31" x14ac:dyDescent="0.25">
      <c r="A1021" s="65"/>
      <c r="B1021" s="66"/>
      <c r="C1021" s="67"/>
      <c r="D1021" s="87" t="s">
        <v>2374</v>
      </c>
      <c r="E1021" s="66"/>
      <c r="F1021" s="65"/>
      <c r="G1021" s="65"/>
      <c r="H1021" s="63"/>
      <c r="I1021" s="3">
        <v>888</v>
      </c>
      <c r="J1021" s="3" t="s">
        <v>58</v>
      </c>
      <c r="K1021" s="24"/>
      <c r="L1021" s="24"/>
      <c r="M1021" s="23"/>
      <c r="N1021" s="23"/>
      <c r="O1021" s="23"/>
      <c r="P1021" s="23"/>
      <c r="Q1021" s="16" t="s">
        <v>75</v>
      </c>
      <c r="R1021" s="16" t="s">
        <v>75</v>
      </c>
      <c r="S1021" s="23"/>
      <c r="T1021" s="23"/>
      <c r="U1021" s="23"/>
      <c r="V1021" s="23"/>
      <c r="W1021" s="23"/>
      <c r="X1021" s="16" t="s">
        <v>75</v>
      </c>
      <c r="Y1021" s="23"/>
      <c r="Z1021" s="23"/>
      <c r="AA1021" s="23"/>
      <c r="AB1021" s="24"/>
      <c r="AC1021" s="24"/>
      <c r="AD1021" s="23"/>
      <c r="AE1021"/>
    </row>
    <row r="1022" spans="1:31" x14ac:dyDescent="0.25">
      <c r="A1022" s="65"/>
      <c r="B1022" s="66"/>
      <c r="C1022" s="67"/>
      <c r="D1022" s="87" t="s">
        <v>2375</v>
      </c>
      <c r="E1022" s="66"/>
      <c r="F1022" s="65"/>
      <c r="G1022" s="65"/>
      <c r="H1022" s="63"/>
      <c r="I1022" s="3">
        <v>889</v>
      </c>
      <c r="J1022" s="3" t="s">
        <v>58</v>
      </c>
      <c r="K1022" s="24"/>
      <c r="L1022" s="24"/>
      <c r="M1022" s="23"/>
      <c r="N1022" s="23"/>
      <c r="O1022" s="23"/>
      <c r="P1022" s="23"/>
      <c r="Q1022" s="16" t="s">
        <v>75</v>
      </c>
      <c r="R1022" s="16" t="s">
        <v>75</v>
      </c>
      <c r="S1022" s="23"/>
      <c r="T1022" s="23"/>
      <c r="U1022" s="23"/>
      <c r="V1022" s="23"/>
      <c r="W1022" s="23"/>
      <c r="X1022" s="16" t="s">
        <v>75</v>
      </c>
      <c r="Y1022" s="23"/>
      <c r="Z1022" s="23"/>
      <c r="AA1022" s="23"/>
      <c r="AB1022" s="24"/>
      <c r="AC1022" s="24"/>
      <c r="AD1022" s="23"/>
      <c r="AE1022"/>
    </row>
    <row r="1023" spans="1:31" ht="22.8" x14ac:dyDescent="0.25">
      <c r="A1023" s="65"/>
      <c r="B1023" s="66"/>
      <c r="C1023" s="67"/>
      <c r="D1023" s="87" t="s">
        <v>2376</v>
      </c>
      <c r="E1023" s="66"/>
      <c r="F1023" s="65"/>
      <c r="G1023" s="65"/>
      <c r="H1023" s="63"/>
      <c r="I1023" s="3">
        <v>894</v>
      </c>
      <c r="J1023" s="3" t="s">
        <v>58</v>
      </c>
      <c r="K1023" s="37" t="s">
        <v>59</v>
      </c>
      <c r="L1023" s="16" t="s">
        <v>75</v>
      </c>
      <c r="M1023" s="23"/>
      <c r="N1023" s="23"/>
      <c r="O1023" s="23"/>
      <c r="P1023" s="23"/>
      <c r="Q1023" s="16" t="s">
        <v>75</v>
      </c>
      <c r="R1023" s="16" t="s">
        <v>75</v>
      </c>
      <c r="S1023" s="23"/>
      <c r="T1023" s="23"/>
      <c r="U1023" s="23"/>
      <c r="V1023" s="23"/>
      <c r="W1023" s="23"/>
      <c r="X1023" s="16" t="s">
        <v>75</v>
      </c>
      <c r="Y1023" s="23"/>
      <c r="Z1023" s="23"/>
      <c r="AA1023" s="23"/>
      <c r="AB1023" s="24"/>
      <c r="AC1023" s="24"/>
      <c r="AD1023" s="23"/>
      <c r="AE1023"/>
    </row>
    <row r="1024" spans="1:31" ht="22.8" x14ac:dyDescent="0.25">
      <c r="A1024" s="65"/>
      <c r="B1024" s="66"/>
      <c r="C1024" s="67"/>
      <c r="D1024" s="87" t="s">
        <v>2377</v>
      </c>
      <c r="E1024" s="66"/>
      <c r="F1024" s="65"/>
      <c r="G1024" s="65"/>
      <c r="H1024" s="63"/>
      <c r="I1024" s="3">
        <v>895</v>
      </c>
      <c r="J1024" s="3" t="s">
        <v>58</v>
      </c>
      <c r="K1024" s="37" t="s">
        <v>59</v>
      </c>
      <c r="L1024" s="16" t="s">
        <v>75</v>
      </c>
      <c r="M1024" s="23"/>
      <c r="N1024" s="23"/>
      <c r="O1024" s="23"/>
      <c r="P1024" s="23"/>
      <c r="Q1024" s="16" t="s">
        <v>75</v>
      </c>
      <c r="R1024" s="16" t="s">
        <v>75</v>
      </c>
      <c r="S1024" s="23"/>
      <c r="T1024" s="23"/>
      <c r="U1024" s="23"/>
      <c r="V1024" s="23"/>
      <c r="W1024" s="23"/>
      <c r="X1024" s="16" t="s">
        <v>75</v>
      </c>
      <c r="Y1024" s="23"/>
      <c r="Z1024" s="23"/>
      <c r="AA1024" s="23"/>
      <c r="AB1024" s="24"/>
      <c r="AC1024" s="24"/>
      <c r="AD1024" s="23"/>
      <c r="AE1024"/>
    </row>
    <row r="1025" spans="1:31" ht="22.8" x14ac:dyDescent="0.25">
      <c r="A1025" s="65"/>
      <c r="B1025" s="66"/>
      <c r="C1025" s="67"/>
      <c r="D1025" s="87" t="s">
        <v>2378</v>
      </c>
      <c r="E1025" s="66"/>
      <c r="H1025" s="63"/>
      <c r="I1025" s="3">
        <v>898</v>
      </c>
      <c r="J1025" s="3" t="s">
        <v>58</v>
      </c>
      <c r="K1025" s="37" t="s">
        <v>59</v>
      </c>
      <c r="L1025" s="16" t="s">
        <v>75</v>
      </c>
      <c r="M1025" s="23"/>
      <c r="N1025" s="23"/>
      <c r="O1025" s="23"/>
      <c r="P1025" s="23"/>
      <c r="Q1025" s="16" t="s">
        <v>75</v>
      </c>
      <c r="R1025" s="16" t="s">
        <v>75</v>
      </c>
      <c r="S1025" s="23"/>
      <c r="T1025" s="23"/>
      <c r="U1025" s="23"/>
      <c r="V1025" s="23"/>
      <c r="W1025" s="23"/>
      <c r="X1025" s="16" t="s">
        <v>75</v>
      </c>
      <c r="Y1025" s="23"/>
      <c r="Z1025" s="23"/>
      <c r="AA1025" s="23"/>
      <c r="AB1025" s="24"/>
      <c r="AC1025" s="24"/>
      <c r="AD1025" s="23"/>
      <c r="AE1025"/>
    </row>
    <row r="1026" spans="1:31" ht="22.8" x14ac:dyDescent="0.25">
      <c r="A1026" s="65"/>
      <c r="B1026" s="20"/>
      <c r="C1026" s="67"/>
      <c r="D1026" s="87" t="s">
        <v>2379</v>
      </c>
      <c r="E1026" s="20"/>
      <c r="H1026" s="19"/>
      <c r="I1026" s="3">
        <v>914</v>
      </c>
      <c r="J1026" s="3" t="s">
        <v>58</v>
      </c>
      <c r="K1026" s="37" t="s">
        <v>59</v>
      </c>
      <c r="L1026" s="16" t="s">
        <v>75</v>
      </c>
      <c r="M1026" s="23"/>
      <c r="N1026" s="23"/>
      <c r="O1026" s="23"/>
      <c r="P1026" s="23"/>
      <c r="Q1026" s="16" t="s">
        <v>75</v>
      </c>
      <c r="R1026" s="16" t="s">
        <v>75</v>
      </c>
      <c r="S1026" s="23"/>
      <c r="T1026" s="23"/>
      <c r="U1026" s="23"/>
      <c r="V1026" s="23"/>
      <c r="W1026" s="23"/>
      <c r="X1026" s="16" t="s">
        <v>75</v>
      </c>
      <c r="Y1026" s="23"/>
      <c r="Z1026" s="23"/>
      <c r="AA1026" s="23"/>
      <c r="AB1026" s="24"/>
      <c r="AC1026" s="24"/>
      <c r="AD1026" s="23"/>
      <c r="AE1026"/>
    </row>
    <row r="1027" spans="1:31" ht="22.8" x14ac:dyDescent="0.25">
      <c r="A1027" s="65"/>
      <c r="B1027" s="88">
        <v>37595</v>
      </c>
      <c r="C1027" s="67" t="s">
        <v>64</v>
      </c>
      <c r="D1027" s="20" t="s">
        <v>2380</v>
      </c>
      <c r="E1027" s="19" t="s">
        <v>2250</v>
      </c>
      <c r="F1027" s="65"/>
      <c r="G1027" s="65" t="s">
        <v>15</v>
      </c>
      <c r="H1027" s="19">
        <v>44366</v>
      </c>
      <c r="I1027" s="3">
        <v>916</v>
      </c>
      <c r="J1027" s="3" t="s">
        <v>58</v>
      </c>
      <c r="K1027" s="37" t="s">
        <v>59</v>
      </c>
      <c r="L1027" s="16" t="s">
        <v>75</v>
      </c>
      <c r="M1027" s="23"/>
      <c r="N1027" s="23"/>
      <c r="O1027" s="23"/>
      <c r="P1027" s="23"/>
      <c r="Q1027" s="16" t="s">
        <v>75</v>
      </c>
      <c r="R1027" s="16" t="s">
        <v>75</v>
      </c>
      <c r="S1027" s="23"/>
      <c r="T1027" s="23"/>
      <c r="U1027" s="23"/>
      <c r="V1027" s="23"/>
      <c r="W1027" s="23"/>
      <c r="X1027" s="16" t="s">
        <v>75</v>
      </c>
      <c r="Y1027" s="23"/>
      <c r="Z1027" s="23"/>
      <c r="AA1027" s="23"/>
      <c r="AB1027" s="24"/>
      <c r="AC1027" s="24"/>
      <c r="AD1027" s="40">
        <v>44686</v>
      </c>
      <c r="AE1027"/>
    </row>
    <row r="1028" spans="1:31" ht="22.8" x14ac:dyDescent="0.25">
      <c r="A1028" s="65"/>
      <c r="B1028" s="88">
        <v>37595</v>
      </c>
      <c r="C1028" s="67" t="s">
        <v>64</v>
      </c>
      <c r="D1028" s="20" t="s">
        <v>2381</v>
      </c>
      <c r="E1028" s="19" t="s">
        <v>2250</v>
      </c>
      <c r="F1028" s="65"/>
      <c r="G1028" s="65" t="s">
        <v>15</v>
      </c>
      <c r="H1028" s="19">
        <v>44366</v>
      </c>
      <c r="I1028" s="3">
        <v>917</v>
      </c>
      <c r="J1028" s="3" t="s">
        <v>58</v>
      </c>
      <c r="K1028" s="37" t="s">
        <v>59</v>
      </c>
      <c r="L1028" s="16" t="s">
        <v>75</v>
      </c>
      <c r="M1028" s="23"/>
      <c r="N1028" s="23"/>
      <c r="O1028" s="23"/>
      <c r="P1028" s="23"/>
      <c r="Q1028" s="16" t="s">
        <v>75</v>
      </c>
      <c r="R1028" s="16" t="s">
        <v>75</v>
      </c>
      <c r="S1028" s="23"/>
      <c r="T1028" s="23"/>
      <c r="U1028" s="23"/>
      <c r="V1028" s="23"/>
      <c r="W1028" s="23"/>
      <c r="X1028" s="16" t="s">
        <v>75</v>
      </c>
      <c r="Y1028" s="23"/>
      <c r="Z1028" s="23"/>
      <c r="AA1028" s="23"/>
      <c r="AB1028" s="24"/>
      <c r="AC1028" s="24"/>
      <c r="AD1028" s="40">
        <v>44686</v>
      </c>
      <c r="AE1028"/>
    </row>
    <row r="1029" spans="1:31" ht="22.8" x14ac:dyDescent="0.25">
      <c r="A1029" s="65"/>
      <c r="B1029" s="88">
        <v>37594</v>
      </c>
      <c r="C1029" s="67" t="s">
        <v>64</v>
      </c>
      <c r="D1029" s="20" t="s">
        <v>119</v>
      </c>
      <c r="E1029" s="66" t="s">
        <v>56</v>
      </c>
      <c r="G1029" s="2" t="s">
        <v>11</v>
      </c>
      <c r="H1029" s="63">
        <v>44367</v>
      </c>
      <c r="I1029" s="3">
        <v>936</v>
      </c>
      <c r="J1029" s="3" t="s">
        <v>58</v>
      </c>
      <c r="K1029" s="37" t="s">
        <v>59</v>
      </c>
      <c r="L1029" s="16" t="s">
        <v>75</v>
      </c>
      <c r="M1029" s="24"/>
      <c r="N1029" s="24"/>
      <c r="O1029" s="23"/>
      <c r="P1029" s="23"/>
      <c r="Q1029" s="16" t="s">
        <v>75</v>
      </c>
      <c r="R1029" s="16" t="s">
        <v>75</v>
      </c>
      <c r="S1029" s="23"/>
      <c r="T1029" s="23"/>
      <c r="U1029" s="23"/>
      <c r="V1029" s="23"/>
      <c r="W1029" s="23"/>
      <c r="X1029" s="16" t="s">
        <v>75</v>
      </c>
      <c r="Y1029" s="23"/>
      <c r="Z1029" s="23"/>
      <c r="AA1029" s="23"/>
      <c r="AB1029" s="24"/>
      <c r="AC1029" s="24"/>
      <c r="AD1029" s="23"/>
      <c r="AE1029"/>
    </row>
    <row r="1030" spans="1:31" ht="22.8" x14ac:dyDescent="0.25">
      <c r="A1030" s="65"/>
      <c r="B1030" s="88">
        <v>37594</v>
      </c>
      <c r="C1030" s="67" t="s">
        <v>54</v>
      </c>
      <c r="D1030" s="20" t="s">
        <v>118</v>
      </c>
      <c r="E1030" s="66" t="s">
        <v>56</v>
      </c>
      <c r="G1030" s="2" t="s">
        <v>11</v>
      </c>
      <c r="H1030" s="63">
        <v>44367</v>
      </c>
      <c r="I1030" s="3">
        <v>937</v>
      </c>
      <c r="J1030" s="3" t="s">
        <v>58</v>
      </c>
      <c r="K1030" s="37" t="s">
        <v>59</v>
      </c>
      <c r="L1030" s="16" t="s">
        <v>75</v>
      </c>
      <c r="M1030" s="24"/>
      <c r="N1030" s="24"/>
      <c r="O1030" s="23"/>
      <c r="P1030" s="23"/>
      <c r="Q1030" s="16" t="s">
        <v>75</v>
      </c>
      <c r="R1030" s="16" t="s">
        <v>75</v>
      </c>
      <c r="S1030" s="23"/>
      <c r="T1030" s="23"/>
      <c r="U1030" s="23"/>
      <c r="V1030" s="23"/>
      <c r="W1030" s="23"/>
      <c r="X1030" s="16" t="s">
        <v>75</v>
      </c>
      <c r="Y1030" s="23"/>
      <c r="Z1030" s="23"/>
      <c r="AA1030" s="23"/>
      <c r="AB1030" s="24"/>
      <c r="AC1030" s="24"/>
      <c r="AD1030" s="23"/>
      <c r="AE1030"/>
    </row>
    <row r="1031" spans="1:31" ht="22.8" x14ac:dyDescent="0.25">
      <c r="A1031" s="65"/>
      <c r="B1031" s="66"/>
      <c r="C1031" s="67"/>
      <c r="D1031" s="87" t="s">
        <v>356</v>
      </c>
      <c r="E1031" s="66"/>
      <c r="H1031" s="63"/>
      <c r="I1031" s="3">
        <v>938</v>
      </c>
      <c r="J1031" s="3" t="s">
        <v>58</v>
      </c>
      <c r="K1031" s="37" t="s">
        <v>59</v>
      </c>
      <c r="L1031" s="16" t="s">
        <v>75</v>
      </c>
      <c r="M1031" s="24"/>
      <c r="N1031" s="24"/>
      <c r="O1031" s="23"/>
      <c r="P1031" s="23"/>
      <c r="Q1031" s="16" t="s">
        <v>75</v>
      </c>
      <c r="R1031" s="16" t="s">
        <v>75</v>
      </c>
      <c r="S1031" s="23"/>
      <c r="T1031" s="23"/>
      <c r="U1031" s="23"/>
      <c r="V1031" s="23"/>
      <c r="W1031" s="23"/>
      <c r="X1031" s="16" t="s">
        <v>75</v>
      </c>
      <c r="Y1031" s="23"/>
      <c r="Z1031" s="23"/>
      <c r="AA1031" s="23"/>
      <c r="AB1031" s="24"/>
      <c r="AC1031" s="24"/>
      <c r="AD1031" s="23"/>
      <c r="AE1031"/>
    </row>
    <row r="1032" spans="1:31" ht="22.8" x14ac:dyDescent="0.25">
      <c r="A1032" s="65"/>
      <c r="B1032" s="66"/>
      <c r="C1032" s="67"/>
      <c r="D1032" s="87" t="s">
        <v>354</v>
      </c>
      <c r="E1032" s="66"/>
      <c r="H1032" s="63"/>
      <c r="I1032" s="3">
        <v>939</v>
      </c>
      <c r="J1032" s="3" t="s">
        <v>58</v>
      </c>
      <c r="K1032" s="37" t="s">
        <v>59</v>
      </c>
      <c r="L1032" s="16" t="s">
        <v>75</v>
      </c>
      <c r="M1032" s="24"/>
      <c r="N1032" s="24"/>
      <c r="O1032" s="23"/>
      <c r="P1032" s="23"/>
      <c r="Q1032" s="16" t="s">
        <v>75</v>
      </c>
      <c r="R1032" s="16" t="s">
        <v>75</v>
      </c>
      <c r="S1032" s="23"/>
      <c r="T1032" s="23"/>
      <c r="U1032" s="23"/>
      <c r="V1032" s="23"/>
      <c r="W1032" s="23"/>
      <c r="X1032" s="16" t="s">
        <v>75</v>
      </c>
      <c r="Y1032" s="23"/>
      <c r="Z1032" s="23"/>
      <c r="AA1032" s="23"/>
      <c r="AB1032" s="24"/>
      <c r="AC1032" s="24"/>
      <c r="AD1032" s="23"/>
      <c r="AE1032"/>
    </row>
    <row r="1033" spans="1:31" ht="22.8" x14ac:dyDescent="0.25">
      <c r="A1033" s="65"/>
      <c r="B1033" s="88">
        <v>37588</v>
      </c>
      <c r="C1033" s="67" t="s">
        <v>64</v>
      </c>
      <c r="D1033" s="20" t="s">
        <v>307</v>
      </c>
      <c r="E1033" s="66" t="s">
        <v>2382</v>
      </c>
      <c r="G1033" s="2" t="s">
        <v>12</v>
      </c>
      <c r="H1033" s="63">
        <v>44367</v>
      </c>
      <c r="I1033" s="3">
        <v>940</v>
      </c>
      <c r="J1033" s="3" t="s">
        <v>58</v>
      </c>
      <c r="K1033" s="37" t="s">
        <v>59</v>
      </c>
      <c r="L1033" s="16" t="s">
        <v>75</v>
      </c>
      <c r="M1033" s="24"/>
      <c r="N1033" s="24"/>
      <c r="O1033" s="23"/>
      <c r="P1033" s="23"/>
      <c r="Q1033" s="16" t="s">
        <v>75</v>
      </c>
      <c r="R1033" s="16" t="s">
        <v>75</v>
      </c>
      <c r="S1033" s="23"/>
      <c r="T1033" s="23"/>
      <c r="U1033" s="23"/>
      <c r="V1033" s="23"/>
      <c r="W1033" s="23"/>
      <c r="X1033" s="16" t="s">
        <v>75</v>
      </c>
      <c r="Y1033" s="23"/>
      <c r="Z1033" s="23"/>
      <c r="AA1033" s="23"/>
      <c r="AB1033" s="24"/>
      <c r="AC1033" s="24"/>
      <c r="AD1033" s="23"/>
      <c r="AE1033"/>
    </row>
    <row r="1034" spans="1:31" ht="22.8" x14ac:dyDescent="0.25">
      <c r="A1034" s="65"/>
      <c r="B1034" s="88">
        <v>37588</v>
      </c>
      <c r="C1034" s="67" t="s">
        <v>54</v>
      </c>
      <c r="D1034" s="20" t="s">
        <v>308</v>
      </c>
      <c r="E1034" s="66" t="s">
        <v>2382</v>
      </c>
      <c r="G1034" s="2" t="s">
        <v>12</v>
      </c>
      <c r="H1034" s="63">
        <v>44367</v>
      </c>
      <c r="I1034" s="3">
        <v>941</v>
      </c>
      <c r="J1034" s="3" t="s">
        <v>58</v>
      </c>
      <c r="K1034" s="37" t="s">
        <v>59</v>
      </c>
      <c r="L1034" s="16" t="s">
        <v>75</v>
      </c>
      <c r="M1034" s="24"/>
      <c r="N1034" s="24"/>
      <c r="O1034" s="23"/>
      <c r="P1034" s="23"/>
      <c r="Q1034" s="16" t="s">
        <v>75</v>
      </c>
      <c r="R1034" s="16" t="s">
        <v>75</v>
      </c>
      <c r="S1034" s="23"/>
      <c r="T1034" s="23"/>
      <c r="U1034" s="23"/>
      <c r="V1034" s="23"/>
      <c r="W1034" s="23"/>
      <c r="X1034" s="16" t="s">
        <v>75</v>
      </c>
      <c r="Y1034" s="23"/>
      <c r="Z1034" s="23"/>
      <c r="AA1034" s="23"/>
      <c r="AB1034" s="24"/>
      <c r="AC1034" s="24"/>
      <c r="AD1034" s="23"/>
      <c r="AE1034"/>
    </row>
    <row r="1035" spans="1:31" ht="22.8" x14ac:dyDescent="0.25">
      <c r="A1035" s="65"/>
      <c r="B1035" s="234">
        <v>37589</v>
      </c>
      <c r="C1035" s="67" t="s">
        <v>64</v>
      </c>
      <c r="D1035" s="111" t="s">
        <v>1005</v>
      </c>
      <c r="E1035" s="66" t="s">
        <v>932</v>
      </c>
      <c r="F1035" s="2" t="s">
        <v>806</v>
      </c>
      <c r="G1035" s="2" t="s">
        <v>13</v>
      </c>
      <c r="H1035" s="63">
        <v>44366</v>
      </c>
      <c r="I1035" s="115">
        <v>944</v>
      </c>
      <c r="J1035" s="115" t="s">
        <v>58</v>
      </c>
      <c r="K1035" s="116" t="s">
        <v>59</v>
      </c>
      <c r="L1035" s="117" t="s">
        <v>75</v>
      </c>
      <c r="M1035" s="186" t="s">
        <v>60</v>
      </c>
      <c r="N1035" s="235">
        <v>44609</v>
      </c>
      <c r="O1035" s="23"/>
      <c r="P1035" s="23"/>
      <c r="Q1035" s="117" t="s">
        <v>75</v>
      </c>
      <c r="R1035" s="16" t="s">
        <v>75</v>
      </c>
      <c r="S1035" s="23"/>
      <c r="T1035" s="186" t="s">
        <v>710</v>
      </c>
      <c r="U1035" s="23"/>
      <c r="V1035" s="23"/>
      <c r="W1035" s="23"/>
      <c r="X1035" s="117" t="s">
        <v>75</v>
      </c>
      <c r="Y1035" s="23"/>
      <c r="Z1035" s="23"/>
      <c r="AA1035" s="23"/>
      <c r="AB1035" s="186"/>
      <c r="AC1035" s="186"/>
      <c r="AD1035" s="23" t="s">
        <v>1006</v>
      </c>
      <c r="AE1035"/>
    </row>
    <row r="1036" spans="1:31" ht="22.8" x14ac:dyDescent="0.25">
      <c r="A1036" s="232"/>
      <c r="B1036" s="226">
        <v>37589</v>
      </c>
      <c r="C1036" s="227" t="s">
        <v>54</v>
      </c>
      <c r="D1036" s="228" t="s">
        <v>1007</v>
      </c>
      <c r="E1036" s="229" t="s">
        <v>932</v>
      </c>
      <c r="F1036" s="103" t="s">
        <v>806</v>
      </c>
      <c r="G1036" s="103" t="s">
        <v>13</v>
      </c>
      <c r="H1036" s="230">
        <v>44366</v>
      </c>
      <c r="I1036" s="103">
        <v>951</v>
      </c>
      <c r="J1036" s="103" t="s">
        <v>58</v>
      </c>
      <c r="K1036" s="108" t="s">
        <v>59</v>
      </c>
      <c r="L1036" s="105" t="s">
        <v>75</v>
      </c>
      <c r="M1036" s="187" t="s">
        <v>60</v>
      </c>
      <c r="N1036" s="231">
        <v>44609</v>
      </c>
      <c r="O1036" s="187"/>
      <c r="P1036" s="187"/>
      <c r="Q1036" s="105" t="s">
        <v>75</v>
      </c>
      <c r="R1036" s="233" t="s">
        <v>75</v>
      </c>
      <c r="S1036" s="187"/>
      <c r="T1036" s="187" t="s">
        <v>689</v>
      </c>
      <c r="U1036" s="187"/>
      <c r="V1036" s="187"/>
      <c r="W1036" s="187"/>
      <c r="X1036" s="105" t="s">
        <v>75</v>
      </c>
      <c r="Y1036" s="187"/>
      <c r="Z1036" s="187"/>
      <c r="AA1036" s="187"/>
      <c r="AB1036" s="187"/>
      <c r="AC1036" s="187"/>
      <c r="AD1036" s="23" t="s">
        <v>689</v>
      </c>
      <c r="AE1036"/>
    </row>
    <row r="1037" spans="1:31" ht="22.8" x14ac:dyDescent="0.25">
      <c r="A1037" s="65"/>
      <c r="B1037" s="237">
        <v>30655</v>
      </c>
      <c r="C1037" s="67" t="s">
        <v>64</v>
      </c>
      <c r="D1037" s="238" t="s">
        <v>309</v>
      </c>
      <c r="E1037" s="66" t="s">
        <v>2382</v>
      </c>
      <c r="G1037" s="2" t="s">
        <v>12</v>
      </c>
      <c r="H1037" s="63"/>
      <c r="I1037" s="239">
        <v>988</v>
      </c>
      <c r="J1037" s="239" t="s">
        <v>58</v>
      </c>
      <c r="K1037" s="240" t="s">
        <v>59</v>
      </c>
      <c r="L1037" s="241" t="s">
        <v>75</v>
      </c>
      <c r="M1037" s="242"/>
      <c r="N1037" s="242"/>
      <c r="O1037" s="23"/>
      <c r="P1037" s="23"/>
      <c r="Q1037" s="241" t="s">
        <v>75</v>
      </c>
      <c r="R1037" s="16" t="s">
        <v>75</v>
      </c>
      <c r="S1037" s="23"/>
      <c r="T1037" s="23"/>
      <c r="U1037" s="23"/>
      <c r="V1037" s="23"/>
      <c r="W1037" s="23"/>
      <c r="X1037" s="241" t="s">
        <v>75</v>
      </c>
      <c r="Y1037" s="23"/>
      <c r="Z1037" s="23"/>
      <c r="AA1037" s="23"/>
      <c r="AB1037" s="242"/>
      <c r="AC1037" s="242"/>
      <c r="AD1037" s="23"/>
      <c r="AE1037"/>
    </row>
    <row r="1038" spans="1:31" ht="22.8" x14ac:dyDescent="0.25">
      <c r="A1038" s="65"/>
      <c r="B1038" s="89">
        <v>30656</v>
      </c>
      <c r="C1038" s="67" t="s">
        <v>54</v>
      </c>
      <c r="D1038" s="20" t="s">
        <v>315</v>
      </c>
      <c r="E1038" s="66" t="s">
        <v>2382</v>
      </c>
      <c r="G1038" s="2" t="s">
        <v>12</v>
      </c>
      <c r="H1038" s="63"/>
      <c r="I1038" s="3">
        <v>989</v>
      </c>
      <c r="J1038" s="3" t="s">
        <v>58</v>
      </c>
      <c r="K1038" s="37" t="s">
        <v>59</v>
      </c>
      <c r="L1038" s="16" t="s">
        <v>75</v>
      </c>
      <c r="M1038" s="24"/>
      <c r="N1038" s="24"/>
      <c r="O1038" s="23"/>
      <c r="P1038" s="23"/>
      <c r="Q1038" s="16" t="s">
        <v>75</v>
      </c>
      <c r="R1038" s="16" t="s">
        <v>75</v>
      </c>
      <c r="S1038" s="23"/>
      <c r="T1038" s="23"/>
      <c r="U1038" s="23"/>
      <c r="V1038" s="23"/>
      <c r="W1038" s="23"/>
      <c r="X1038" s="16" t="s">
        <v>75</v>
      </c>
      <c r="Y1038" s="23"/>
      <c r="Z1038" s="23"/>
      <c r="AA1038" s="23"/>
      <c r="AB1038" s="24"/>
      <c r="AC1038" s="24"/>
      <c r="AD1038" s="23"/>
      <c r="AE1038"/>
    </row>
    <row r="1039" spans="1:31" ht="22.8" x14ac:dyDescent="0.25">
      <c r="A1039" s="65"/>
      <c r="B1039" s="89">
        <v>30660</v>
      </c>
      <c r="C1039" s="67" t="s">
        <v>54</v>
      </c>
      <c r="D1039" s="20" t="s">
        <v>318</v>
      </c>
      <c r="E1039" s="66" t="s">
        <v>2382</v>
      </c>
      <c r="G1039" s="2" t="s">
        <v>12</v>
      </c>
      <c r="H1039" s="63"/>
      <c r="I1039" s="3">
        <v>990</v>
      </c>
      <c r="J1039" s="3" t="s">
        <v>58</v>
      </c>
      <c r="K1039" s="37" t="s">
        <v>59</v>
      </c>
      <c r="L1039" s="16" t="s">
        <v>75</v>
      </c>
      <c r="M1039" s="24"/>
      <c r="N1039" s="24"/>
      <c r="O1039" s="23"/>
      <c r="P1039" s="23"/>
      <c r="Q1039" s="16" t="s">
        <v>75</v>
      </c>
      <c r="R1039" s="16" t="s">
        <v>75</v>
      </c>
      <c r="S1039" s="23"/>
      <c r="T1039" s="23"/>
      <c r="U1039" s="23"/>
      <c r="V1039" s="23"/>
      <c r="W1039" s="23"/>
      <c r="X1039" s="16" t="s">
        <v>75</v>
      </c>
      <c r="Y1039" s="23"/>
      <c r="Z1039" s="23"/>
      <c r="AA1039" s="23"/>
      <c r="AB1039" s="24"/>
      <c r="AC1039" s="24"/>
      <c r="AD1039" s="23"/>
      <c r="AE1039"/>
    </row>
    <row r="1040" spans="1:31" ht="22.8" x14ac:dyDescent="0.25">
      <c r="A1040" s="29"/>
      <c r="B1040" s="89">
        <v>30681</v>
      </c>
      <c r="C1040" s="67" t="s">
        <v>54</v>
      </c>
      <c r="D1040" s="20" t="s">
        <v>322</v>
      </c>
      <c r="E1040" s="66" t="s">
        <v>2382</v>
      </c>
      <c r="G1040" s="2" t="s">
        <v>12</v>
      </c>
      <c r="H1040" s="19"/>
      <c r="I1040" s="3">
        <v>991</v>
      </c>
      <c r="J1040" s="3" t="s">
        <v>58</v>
      </c>
      <c r="K1040" s="37" t="s">
        <v>59</v>
      </c>
      <c r="L1040" s="16" t="s">
        <v>75</v>
      </c>
      <c r="M1040" s="24"/>
      <c r="N1040" s="24"/>
      <c r="O1040" s="23"/>
      <c r="P1040" s="23"/>
      <c r="Q1040" s="16" t="s">
        <v>75</v>
      </c>
      <c r="R1040" s="16" t="s">
        <v>75</v>
      </c>
      <c r="S1040" s="24"/>
      <c r="T1040" s="24"/>
      <c r="U1040" s="24"/>
      <c r="V1040" s="24"/>
      <c r="W1040" s="24"/>
      <c r="X1040" s="16" t="s">
        <v>75</v>
      </c>
      <c r="Y1040" s="24"/>
      <c r="Z1040" s="24"/>
      <c r="AA1040" s="24"/>
      <c r="AB1040" s="24"/>
      <c r="AC1040" s="24"/>
      <c r="AD1040" s="24"/>
      <c r="AE1040"/>
    </row>
    <row r="1041" spans="1:31" ht="22.8" x14ac:dyDescent="0.25">
      <c r="A1041" s="29"/>
      <c r="B1041" s="89">
        <v>30660</v>
      </c>
      <c r="C1041" s="67" t="s">
        <v>64</v>
      </c>
      <c r="D1041" s="20" t="s">
        <v>316</v>
      </c>
      <c r="E1041" s="66" t="s">
        <v>2382</v>
      </c>
      <c r="G1041" s="2" t="s">
        <v>12</v>
      </c>
      <c r="H1041" s="19"/>
      <c r="I1041" s="3">
        <v>994</v>
      </c>
      <c r="J1041" s="3" t="s">
        <v>58</v>
      </c>
      <c r="K1041" s="37" t="s">
        <v>59</v>
      </c>
      <c r="L1041" s="16" t="s">
        <v>75</v>
      </c>
      <c r="M1041" s="24"/>
      <c r="N1041" s="24"/>
      <c r="O1041" s="23"/>
      <c r="P1041" s="23"/>
      <c r="Q1041" s="16" t="s">
        <v>75</v>
      </c>
      <c r="R1041" s="16" t="s">
        <v>75</v>
      </c>
      <c r="S1041" s="24"/>
      <c r="T1041" s="24"/>
      <c r="U1041" s="24"/>
      <c r="V1041" s="24"/>
      <c r="W1041" s="24"/>
      <c r="X1041" s="16" t="s">
        <v>75</v>
      </c>
      <c r="Y1041" s="24"/>
      <c r="Z1041" s="24"/>
      <c r="AA1041" s="24"/>
      <c r="AB1041" s="24"/>
      <c r="AC1041" s="24"/>
      <c r="AD1041" s="24"/>
      <c r="AE1041"/>
    </row>
    <row r="1042" spans="1:31" ht="22.8" x14ac:dyDescent="0.25">
      <c r="A1042" s="29"/>
      <c r="B1042" s="20"/>
      <c r="C1042" s="27"/>
      <c r="D1042" s="87" t="s">
        <v>2383</v>
      </c>
      <c r="E1042" s="20"/>
      <c r="F1042" s="3"/>
      <c r="G1042" s="3"/>
      <c r="H1042" s="19"/>
      <c r="I1042" s="3">
        <v>995</v>
      </c>
      <c r="J1042" s="3" t="s">
        <v>58</v>
      </c>
      <c r="K1042" s="37" t="s">
        <v>59</v>
      </c>
      <c r="L1042" s="16" t="s">
        <v>75</v>
      </c>
      <c r="M1042" s="24"/>
      <c r="N1042" s="24"/>
      <c r="O1042" s="23"/>
      <c r="P1042" s="23"/>
      <c r="Q1042" s="16" t="s">
        <v>75</v>
      </c>
      <c r="R1042" s="16" t="s">
        <v>75</v>
      </c>
      <c r="S1042" s="24"/>
      <c r="T1042" s="24"/>
      <c r="U1042" s="24"/>
      <c r="V1042" s="24"/>
      <c r="W1042" s="24"/>
      <c r="X1042" s="16" t="s">
        <v>75</v>
      </c>
      <c r="Y1042" s="24"/>
      <c r="Z1042" s="24"/>
      <c r="AA1042" s="24"/>
      <c r="AB1042" s="24"/>
      <c r="AC1042" s="24"/>
      <c r="AD1042" s="24"/>
      <c r="AE1042"/>
    </row>
    <row r="1043" spans="1:31" ht="22.8" x14ac:dyDescent="0.25">
      <c r="A1043" s="29"/>
      <c r="B1043" s="89">
        <v>30688</v>
      </c>
      <c r="C1043" s="67" t="s">
        <v>64</v>
      </c>
      <c r="D1043" s="20" t="s">
        <v>323</v>
      </c>
      <c r="E1043" s="66" t="s">
        <v>2382</v>
      </c>
      <c r="G1043" s="2" t="s">
        <v>12</v>
      </c>
      <c r="H1043" s="19"/>
      <c r="I1043" s="3">
        <v>996</v>
      </c>
      <c r="J1043" s="3" t="s">
        <v>58</v>
      </c>
      <c r="K1043" s="37" t="s">
        <v>59</v>
      </c>
      <c r="L1043" s="16" t="s">
        <v>75</v>
      </c>
      <c r="M1043" s="24"/>
      <c r="N1043" s="24"/>
      <c r="O1043" s="23"/>
      <c r="P1043" s="23"/>
      <c r="Q1043" s="16" t="s">
        <v>75</v>
      </c>
      <c r="R1043" s="16" t="s">
        <v>75</v>
      </c>
      <c r="S1043" s="24"/>
      <c r="T1043" s="24"/>
      <c r="U1043" s="24"/>
      <c r="V1043" s="24"/>
      <c r="W1043" s="24"/>
      <c r="X1043" s="16" t="s">
        <v>75</v>
      </c>
      <c r="Y1043" s="24"/>
      <c r="Z1043" s="24"/>
      <c r="AA1043" s="24"/>
      <c r="AB1043" s="24"/>
      <c r="AC1043" s="24"/>
      <c r="AD1043" s="24"/>
      <c r="AE1043"/>
    </row>
    <row r="1044" spans="1:31" ht="22.8" x14ac:dyDescent="0.25">
      <c r="A1044" s="65"/>
      <c r="B1044" s="89">
        <v>30656</v>
      </c>
      <c r="C1044" s="67" t="s">
        <v>64</v>
      </c>
      <c r="D1044" s="20" t="s">
        <v>313</v>
      </c>
      <c r="E1044" s="66" t="s">
        <v>2382</v>
      </c>
      <c r="G1044" s="2" t="s">
        <v>12</v>
      </c>
      <c r="H1044" s="63"/>
      <c r="I1044" s="3">
        <v>997</v>
      </c>
      <c r="J1044" s="3" t="s">
        <v>58</v>
      </c>
      <c r="K1044" s="37" t="s">
        <v>59</v>
      </c>
      <c r="L1044" s="16" t="s">
        <v>75</v>
      </c>
      <c r="M1044" s="24"/>
      <c r="N1044" s="24"/>
      <c r="O1044" s="23"/>
      <c r="P1044" s="23"/>
      <c r="Q1044" s="16" t="s">
        <v>75</v>
      </c>
      <c r="R1044" s="16" t="s">
        <v>75</v>
      </c>
      <c r="S1044" s="23"/>
      <c r="T1044" s="23"/>
      <c r="U1044" s="23"/>
      <c r="V1044" s="23"/>
      <c r="W1044" s="23"/>
      <c r="X1044" s="16" t="s">
        <v>75</v>
      </c>
      <c r="Y1044" s="23"/>
      <c r="Z1044" s="23"/>
      <c r="AA1044" s="23"/>
      <c r="AB1044" s="24"/>
      <c r="AC1044" s="24"/>
      <c r="AD1044" s="23"/>
      <c r="AE1044"/>
    </row>
    <row r="1045" spans="1:31" ht="22.8" x14ac:dyDescent="0.25">
      <c r="D1045" s="87" t="s">
        <v>332</v>
      </c>
      <c r="I1045" s="3">
        <v>1018</v>
      </c>
      <c r="J1045" s="3" t="s">
        <v>58</v>
      </c>
      <c r="K1045" s="37" t="s">
        <v>59</v>
      </c>
      <c r="L1045" s="16" t="s">
        <v>75</v>
      </c>
      <c r="M1045" s="16"/>
      <c r="N1045" s="16"/>
      <c r="Q1045" s="16" t="s">
        <v>75</v>
      </c>
      <c r="R1045" s="16" t="s">
        <v>75</v>
      </c>
      <c r="X1045" s="16" t="s">
        <v>75</v>
      </c>
      <c r="AB1045" s="24"/>
      <c r="AC1045" s="24"/>
    </row>
    <row r="1046" spans="1:31" ht="22.8" x14ac:dyDescent="0.25">
      <c r="A1046" s="3"/>
      <c r="B1046" s="55"/>
      <c r="C1046" s="55"/>
      <c r="D1046" s="87" t="s">
        <v>2384</v>
      </c>
      <c r="E1046" s="55"/>
      <c r="F1046" s="3"/>
      <c r="G1046" s="3"/>
      <c r="H1046" s="3"/>
      <c r="I1046" s="3">
        <v>1019</v>
      </c>
      <c r="J1046" s="3" t="s">
        <v>58</v>
      </c>
      <c r="K1046" s="37" t="s">
        <v>59</v>
      </c>
      <c r="L1046" s="16" t="s">
        <v>75</v>
      </c>
      <c r="M1046" s="16"/>
      <c r="N1046" s="16"/>
      <c r="Q1046" s="16" t="s">
        <v>75</v>
      </c>
      <c r="R1046" s="16" t="s">
        <v>75</v>
      </c>
      <c r="S1046" s="16"/>
      <c r="T1046" s="16"/>
      <c r="U1046" s="16"/>
      <c r="V1046" s="16"/>
      <c r="W1046" s="16"/>
      <c r="X1046" s="16" t="s">
        <v>75</v>
      </c>
      <c r="Y1046" s="16"/>
      <c r="Z1046" s="16"/>
      <c r="AA1046" s="16"/>
      <c r="AB1046" s="24"/>
      <c r="AC1046" s="24"/>
      <c r="AD1046" s="16"/>
    </row>
    <row r="1047" spans="1:31" ht="22.8" x14ac:dyDescent="0.25">
      <c r="A1047" s="3"/>
      <c r="B1047" s="55"/>
      <c r="C1047" s="55"/>
      <c r="D1047" s="87" t="s">
        <v>2385</v>
      </c>
      <c r="E1047" s="55"/>
      <c r="F1047" s="3"/>
      <c r="G1047" s="3"/>
      <c r="H1047" s="3"/>
      <c r="I1047" s="3">
        <v>1020</v>
      </c>
      <c r="J1047" s="3" t="s">
        <v>58</v>
      </c>
      <c r="K1047" s="37" t="s">
        <v>59</v>
      </c>
      <c r="L1047" s="16" t="s">
        <v>75</v>
      </c>
      <c r="M1047" s="16"/>
      <c r="N1047" s="16"/>
      <c r="Q1047" s="16" t="s">
        <v>75</v>
      </c>
      <c r="R1047" s="16" t="s">
        <v>75</v>
      </c>
      <c r="S1047" s="16"/>
      <c r="T1047" s="16"/>
      <c r="U1047" s="16"/>
      <c r="V1047" s="16"/>
      <c r="W1047" s="16"/>
      <c r="X1047" s="16" t="s">
        <v>75</v>
      </c>
      <c r="Y1047" s="16"/>
      <c r="Z1047" s="16"/>
      <c r="AA1047" s="16"/>
      <c r="AB1047" s="24"/>
      <c r="AC1047" s="24"/>
      <c r="AD1047" s="16"/>
    </row>
    <row r="1048" spans="1:31" ht="22.8" x14ac:dyDescent="0.25">
      <c r="A1048" s="3"/>
      <c r="B1048" s="55"/>
      <c r="C1048" s="55"/>
      <c r="D1048" s="87" t="s">
        <v>2386</v>
      </c>
      <c r="E1048" s="55"/>
      <c r="F1048" s="3"/>
      <c r="G1048" s="3"/>
      <c r="H1048" s="3"/>
      <c r="I1048" s="3">
        <v>1021</v>
      </c>
      <c r="J1048" s="3" t="s">
        <v>58</v>
      </c>
      <c r="K1048" s="37" t="s">
        <v>59</v>
      </c>
      <c r="L1048" s="16" t="s">
        <v>75</v>
      </c>
      <c r="M1048" s="16"/>
      <c r="N1048" s="16"/>
      <c r="Q1048" s="16" t="s">
        <v>75</v>
      </c>
      <c r="R1048" s="16" t="s">
        <v>75</v>
      </c>
      <c r="S1048" s="16"/>
      <c r="T1048" s="16"/>
      <c r="U1048" s="16"/>
      <c r="V1048" s="16"/>
      <c r="W1048" s="16"/>
      <c r="X1048" s="16" t="s">
        <v>75</v>
      </c>
      <c r="Y1048" s="16"/>
      <c r="Z1048" s="16"/>
      <c r="AA1048" s="16"/>
      <c r="AB1048" s="24"/>
      <c r="AC1048" s="24"/>
      <c r="AD1048" s="16"/>
    </row>
    <row r="1049" spans="1:31" ht="22.8" x14ac:dyDescent="0.25">
      <c r="A1049" s="3"/>
      <c r="B1049" s="55"/>
      <c r="C1049" s="55"/>
      <c r="D1049" s="87" t="s">
        <v>2387</v>
      </c>
      <c r="E1049" s="55"/>
      <c r="F1049" s="3"/>
      <c r="G1049" s="3"/>
      <c r="H1049" s="3"/>
      <c r="I1049" s="3">
        <v>1022</v>
      </c>
      <c r="J1049" s="3" t="s">
        <v>58</v>
      </c>
      <c r="K1049" s="37" t="s">
        <v>59</v>
      </c>
      <c r="L1049" s="16" t="s">
        <v>75</v>
      </c>
      <c r="M1049" s="16"/>
      <c r="N1049" s="16"/>
      <c r="Q1049" s="16" t="s">
        <v>75</v>
      </c>
      <c r="R1049" s="16" t="s">
        <v>75</v>
      </c>
      <c r="S1049" s="16"/>
      <c r="T1049" s="16"/>
      <c r="U1049" s="16"/>
      <c r="V1049" s="16"/>
      <c r="W1049" s="16"/>
      <c r="X1049" s="16" t="s">
        <v>75</v>
      </c>
      <c r="Y1049" s="16"/>
      <c r="Z1049" s="16"/>
      <c r="AA1049" s="16"/>
      <c r="AB1049" s="24"/>
      <c r="AC1049" s="24"/>
      <c r="AD1049" s="16"/>
    </row>
    <row r="1050" spans="1:31" ht="22.8" x14ac:dyDescent="0.25">
      <c r="A1050" s="3"/>
      <c r="B1050" s="55"/>
      <c r="C1050" s="55"/>
      <c r="D1050" s="87" t="s">
        <v>2388</v>
      </c>
      <c r="E1050" s="55"/>
      <c r="F1050" s="3"/>
      <c r="G1050" s="3"/>
      <c r="H1050" s="3"/>
      <c r="I1050" s="3">
        <v>1023</v>
      </c>
      <c r="J1050" s="3" t="s">
        <v>58</v>
      </c>
      <c r="K1050" s="37" t="s">
        <v>59</v>
      </c>
      <c r="L1050" s="16" t="s">
        <v>75</v>
      </c>
      <c r="M1050" s="16"/>
      <c r="N1050" s="16"/>
      <c r="Q1050" s="16" t="s">
        <v>75</v>
      </c>
      <c r="R1050" s="16" t="s">
        <v>75</v>
      </c>
      <c r="X1050" s="16" t="s">
        <v>75</v>
      </c>
      <c r="AB1050" s="24"/>
      <c r="AC1050" s="24"/>
    </row>
    <row r="1051" spans="1:31" ht="22.8" x14ac:dyDescent="0.25">
      <c r="A1051" s="3"/>
      <c r="B1051" s="55"/>
      <c r="C1051" s="55"/>
      <c r="D1051" s="87" t="s">
        <v>2389</v>
      </c>
      <c r="E1051" s="55"/>
      <c r="F1051" s="3"/>
      <c r="G1051" s="3"/>
      <c r="H1051" s="3"/>
      <c r="I1051" s="3">
        <v>1024</v>
      </c>
      <c r="J1051" s="3" t="s">
        <v>58</v>
      </c>
      <c r="K1051" s="37" t="s">
        <v>59</v>
      </c>
      <c r="L1051" s="16" t="s">
        <v>75</v>
      </c>
      <c r="M1051" s="16"/>
      <c r="N1051" s="16"/>
      <c r="Q1051" s="16" t="s">
        <v>75</v>
      </c>
      <c r="R1051" s="16" t="s">
        <v>75</v>
      </c>
      <c r="X1051" s="16" t="s">
        <v>75</v>
      </c>
      <c r="AB1051" s="24"/>
      <c r="AC1051" s="24"/>
    </row>
    <row r="1052" spans="1:31" ht="22.8" x14ac:dyDescent="0.25">
      <c r="A1052" s="3"/>
      <c r="B1052" s="55"/>
      <c r="C1052" s="55"/>
      <c r="D1052" s="87" t="s">
        <v>2390</v>
      </c>
      <c r="E1052" s="55"/>
      <c r="F1052" s="3"/>
      <c r="G1052" s="3"/>
      <c r="H1052" s="3"/>
      <c r="I1052" s="3">
        <v>1025</v>
      </c>
      <c r="J1052" s="3" t="s">
        <v>58</v>
      </c>
      <c r="K1052" s="37" t="s">
        <v>59</v>
      </c>
      <c r="L1052" s="16" t="s">
        <v>75</v>
      </c>
      <c r="M1052" s="16"/>
      <c r="N1052" s="16"/>
      <c r="Q1052" s="16" t="s">
        <v>75</v>
      </c>
      <c r="R1052" s="16" t="s">
        <v>75</v>
      </c>
      <c r="X1052" s="16" t="s">
        <v>75</v>
      </c>
      <c r="AB1052" s="24"/>
      <c r="AC1052" s="24"/>
    </row>
    <row r="1053" spans="1:31" ht="22.8" x14ac:dyDescent="0.25">
      <c r="A1053" s="3"/>
      <c r="B1053" s="89">
        <v>30667</v>
      </c>
      <c r="C1053" s="55" t="s">
        <v>54</v>
      </c>
      <c r="D1053" s="20" t="s">
        <v>201</v>
      </c>
      <c r="E1053" s="55" t="s">
        <v>2382</v>
      </c>
      <c r="F1053" s="3"/>
      <c r="G1053" s="3" t="s">
        <v>12</v>
      </c>
      <c r="H1053" s="3"/>
      <c r="I1053" s="3">
        <v>1026</v>
      </c>
      <c r="J1053" s="3" t="s">
        <v>58</v>
      </c>
      <c r="K1053" s="37" t="s">
        <v>59</v>
      </c>
      <c r="L1053" s="16" t="s">
        <v>75</v>
      </c>
      <c r="M1053" s="16"/>
      <c r="N1053" s="16"/>
      <c r="Q1053" s="16" t="s">
        <v>75</v>
      </c>
      <c r="R1053" s="16" t="s">
        <v>75</v>
      </c>
      <c r="X1053" s="16" t="s">
        <v>75</v>
      </c>
      <c r="AB1053" s="24"/>
      <c r="AC1053" s="24"/>
    </row>
    <row r="1054" spans="1:31" ht="22.8" x14ac:dyDescent="0.25">
      <c r="A1054" s="3"/>
      <c r="B1054" s="89">
        <v>30688</v>
      </c>
      <c r="C1054" s="55" t="s">
        <v>54</v>
      </c>
      <c r="D1054" s="20" t="s">
        <v>2391</v>
      </c>
      <c r="E1054" s="55" t="s">
        <v>2382</v>
      </c>
      <c r="F1054" s="3"/>
      <c r="G1054" s="3" t="s">
        <v>12</v>
      </c>
      <c r="H1054" s="3"/>
      <c r="I1054" s="3">
        <v>1027</v>
      </c>
      <c r="J1054" s="3" t="s">
        <v>58</v>
      </c>
      <c r="K1054" s="37" t="s">
        <v>59</v>
      </c>
      <c r="L1054" s="16" t="s">
        <v>75</v>
      </c>
      <c r="M1054" s="16" t="s">
        <v>60</v>
      </c>
      <c r="N1054" s="16" t="s">
        <v>75</v>
      </c>
      <c r="Q1054" s="16" t="s">
        <v>75</v>
      </c>
      <c r="R1054" s="16" t="s">
        <v>75</v>
      </c>
      <c r="X1054" s="16" t="s">
        <v>75</v>
      </c>
      <c r="AB1054" s="24"/>
      <c r="AC1054" s="24"/>
    </row>
    <row r="1055" spans="1:31" ht="22.8" x14ac:dyDescent="0.25">
      <c r="A1055" s="3"/>
      <c r="B1055" s="55"/>
      <c r="C1055" s="55"/>
      <c r="D1055" s="87" t="s">
        <v>2392</v>
      </c>
      <c r="E1055" s="55"/>
      <c r="F1055" s="3"/>
      <c r="G1055" s="3"/>
      <c r="H1055" s="3"/>
      <c r="I1055" s="3">
        <v>1028</v>
      </c>
      <c r="J1055" s="3" t="s">
        <v>58</v>
      </c>
      <c r="K1055" s="37" t="s">
        <v>59</v>
      </c>
      <c r="L1055" s="16" t="s">
        <v>75</v>
      </c>
      <c r="M1055" s="16" t="s">
        <v>60</v>
      </c>
      <c r="N1055" s="16" t="s">
        <v>75</v>
      </c>
      <c r="Q1055" s="16" t="s">
        <v>75</v>
      </c>
      <c r="R1055" s="16" t="s">
        <v>75</v>
      </c>
      <c r="X1055" s="16" t="s">
        <v>75</v>
      </c>
      <c r="AB1055" s="24"/>
      <c r="AC1055" s="24"/>
    </row>
    <row r="1056" spans="1:31" ht="22.8" x14ac:dyDescent="0.25">
      <c r="A1056" s="3"/>
      <c r="B1056" s="55"/>
      <c r="C1056" s="55"/>
      <c r="D1056" s="87" t="s">
        <v>2393</v>
      </c>
      <c r="E1056" s="55"/>
      <c r="F1056" s="3"/>
      <c r="G1056" s="3"/>
      <c r="H1056" s="3"/>
      <c r="I1056" s="3">
        <v>1029</v>
      </c>
      <c r="J1056" s="3" t="s">
        <v>58</v>
      </c>
      <c r="K1056" s="37" t="s">
        <v>59</v>
      </c>
      <c r="L1056" s="16" t="s">
        <v>75</v>
      </c>
      <c r="M1056" s="16" t="s">
        <v>60</v>
      </c>
      <c r="N1056" s="16" t="s">
        <v>75</v>
      </c>
      <c r="Q1056" s="16" t="s">
        <v>75</v>
      </c>
      <c r="R1056" s="16" t="s">
        <v>75</v>
      </c>
      <c r="X1056" s="16" t="s">
        <v>75</v>
      </c>
      <c r="AB1056" s="24"/>
      <c r="AC1056" s="24"/>
    </row>
    <row r="1057" spans="1:31" x14ac:dyDescent="0.25">
      <c r="A1057" s="3"/>
      <c r="B1057" s="234"/>
      <c r="C1057" s="236"/>
      <c r="D1057" s="111"/>
      <c r="E1057" s="236"/>
      <c r="F1057" s="115"/>
      <c r="G1057" s="115"/>
      <c r="H1057" s="115"/>
      <c r="I1057" s="115"/>
      <c r="J1057" s="115"/>
      <c r="K1057" s="116"/>
      <c r="L1057" s="117"/>
      <c r="M1057" s="117"/>
      <c r="N1057" s="117"/>
      <c r="Q1057" s="117"/>
      <c r="R1057" s="16" t="s">
        <v>75</v>
      </c>
      <c r="X1057" s="117"/>
      <c r="AB1057" s="186"/>
      <c r="AC1057" s="186"/>
    </row>
    <row r="1058" spans="1:31" ht="22.8" x14ac:dyDescent="0.25">
      <c r="A1058" s="78"/>
      <c r="B1058" s="245">
        <v>37590</v>
      </c>
      <c r="C1058" s="244" t="s">
        <v>64</v>
      </c>
      <c r="D1058" s="229" t="s">
        <v>1008</v>
      </c>
      <c r="E1058" s="244" t="s">
        <v>932</v>
      </c>
      <c r="F1058" s="103"/>
      <c r="G1058" s="103" t="s">
        <v>13</v>
      </c>
      <c r="H1058" s="118">
        <v>44341</v>
      </c>
      <c r="I1058" s="103">
        <v>1031</v>
      </c>
      <c r="J1058" s="103" t="s">
        <v>58</v>
      </c>
      <c r="K1058" s="108" t="s">
        <v>59</v>
      </c>
      <c r="L1058" s="105" t="s">
        <v>75</v>
      </c>
      <c r="M1058" s="105" t="s">
        <v>60</v>
      </c>
      <c r="N1058" s="105" t="s">
        <v>75</v>
      </c>
      <c r="O1058" s="106"/>
      <c r="P1058" s="106"/>
      <c r="Q1058" s="105" t="s">
        <v>75</v>
      </c>
      <c r="R1058" s="233" t="s">
        <v>75</v>
      </c>
      <c r="S1058" s="105"/>
      <c r="T1058" s="105"/>
      <c r="U1058" s="105"/>
      <c r="V1058" s="105"/>
      <c r="W1058" s="105"/>
      <c r="X1058" s="105" t="s">
        <v>75</v>
      </c>
      <c r="Y1058" s="105"/>
      <c r="Z1058" s="105"/>
      <c r="AA1058" s="105"/>
      <c r="AB1058" s="187"/>
      <c r="AC1058" s="187"/>
      <c r="AD1058" s="61" t="s">
        <v>68</v>
      </c>
    </row>
    <row r="1059" spans="1:31" ht="22.8" x14ac:dyDescent="0.25">
      <c r="A1059" s="78"/>
      <c r="B1059" s="245">
        <v>37590</v>
      </c>
      <c r="C1059" s="244" t="s">
        <v>54</v>
      </c>
      <c r="D1059" s="229" t="s">
        <v>1010</v>
      </c>
      <c r="E1059" s="244" t="s">
        <v>932</v>
      </c>
      <c r="F1059" s="103"/>
      <c r="G1059" s="103" t="s">
        <v>13</v>
      </c>
      <c r="H1059" s="118">
        <v>44341</v>
      </c>
      <c r="I1059" s="103">
        <v>1033</v>
      </c>
      <c r="J1059" s="103" t="s">
        <v>58</v>
      </c>
      <c r="K1059" s="108" t="s">
        <v>59</v>
      </c>
      <c r="L1059" s="105" t="s">
        <v>75</v>
      </c>
      <c r="M1059" s="105" t="s">
        <v>60</v>
      </c>
      <c r="N1059" s="105" t="s">
        <v>75</v>
      </c>
      <c r="O1059" s="106"/>
      <c r="P1059" s="106"/>
      <c r="Q1059" s="105" t="s">
        <v>75</v>
      </c>
      <c r="R1059" s="233" t="s">
        <v>75</v>
      </c>
      <c r="S1059" s="105"/>
      <c r="T1059" s="105"/>
      <c r="U1059" s="105"/>
      <c r="V1059" s="105"/>
      <c r="W1059" s="105"/>
      <c r="X1059" s="105" t="s">
        <v>75</v>
      </c>
      <c r="Y1059" s="105"/>
      <c r="Z1059" s="105"/>
      <c r="AA1059" s="105"/>
      <c r="AB1059" s="187"/>
      <c r="AC1059" s="187"/>
      <c r="AD1059" s="61" t="s">
        <v>62</v>
      </c>
    </row>
    <row r="1060" spans="1:31" ht="22.8" x14ac:dyDescent="0.25">
      <c r="A1060" s="3"/>
      <c r="B1060" s="243">
        <v>37582</v>
      </c>
      <c r="C1060" s="243" t="s">
        <v>64</v>
      </c>
      <c r="D1060" s="238" t="s">
        <v>2394</v>
      </c>
      <c r="E1060" s="243" t="s">
        <v>2250</v>
      </c>
      <c r="F1060" s="239"/>
      <c r="G1060" s="239"/>
      <c r="H1060" s="239"/>
      <c r="I1060" s="239">
        <v>1035</v>
      </c>
      <c r="J1060" s="239" t="s">
        <v>58</v>
      </c>
      <c r="K1060" s="240" t="s">
        <v>59</v>
      </c>
      <c r="L1060" s="241" t="s">
        <v>75</v>
      </c>
      <c r="M1060" s="241" t="s">
        <v>60</v>
      </c>
      <c r="N1060" s="241" t="s">
        <v>75</v>
      </c>
      <c r="Q1060" s="241" t="s">
        <v>75</v>
      </c>
      <c r="R1060" s="16" t="s">
        <v>75</v>
      </c>
      <c r="X1060" s="241" t="s">
        <v>75</v>
      </c>
      <c r="AB1060" s="242"/>
      <c r="AC1060" s="242"/>
    </row>
    <row r="1061" spans="1:31" ht="22.8" x14ac:dyDescent="0.25">
      <c r="A1061" s="3"/>
      <c r="B1061" s="88">
        <v>37584</v>
      </c>
      <c r="C1061" s="55" t="s">
        <v>54</v>
      </c>
      <c r="D1061" s="20" t="s">
        <v>2395</v>
      </c>
      <c r="E1061" s="55" t="s">
        <v>2093</v>
      </c>
      <c r="F1061" s="3" t="s">
        <v>2396</v>
      </c>
      <c r="G1061" s="3" t="s">
        <v>13</v>
      </c>
      <c r="H1061" s="52">
        <v>44327</v>
      </c>
      <c r="I1061" s="3">
        <v>1036</v>
      </c>
      <c r="J1061" s="3" t="s">
        <v>58</v>
      </c>
      <c r="K1061" s="37" t="s">
        <v>59</v>
      </c>
      <c r="L1061" s="16" t="s">
        <v>75</v>
      </c>
      <c r="M1061" s="16" t="s">
        <v>60</v>
      </c>
      <c r="N1061" s="16" t="s">
        <v>75</v>
      </c>
      <c r="Q1061" s="16" t="s">
        <v>75</v>
      </c>
      <c r="R1061" s="16" t="s">
        <v>75</v>
      </c>
      <c r="X1061" s="16" t="s">
        <v>75</v>
      </c>
      <c r="AB1061" s="24"/>
      <c r="AC1061" s="24"/>
    </row>
    <row r="1062" spans="1:31" ht="22.8" x14ac:dyDescent="0.25">
      <c r="A1062" s="3"/>
      <c r="B1062" s="88">
        <v>37584</v>
      </c>
      <c r="C1062" s="55" t="s">
        <v>64</v>
      </c>
      <c r="D1062" s="20" t="s">
        <v>2397</v>
      </c>
      <c r="E1062" s="55" t="s">
        <v>2093</v>
      </c>
      <c r="F1062" s="3" t="s">
        <v>2396</v>
      </c>
      <c r="G1062" s="3" t="s">
        <v>13</v>
      </c>
      <c r="H1062" s="52">
        <v>44327</v>
      </c>
      <c r="I1062" s="3">
        <v>1037</v>
      </c>
      <c r="J1062" s="3" t="s">
        <v>58</v>
      </c>
      <c r="K1062" s="37" t="s">
        <v>59</v>
      </c>
      <c r="L1062" s="16" t="s">
        <v>75</v>
      </c>
      <c r="M1062" s="16" t="s">
        <v>60</v>
      </c>
      <c r="N1062" s="16" t="s">
        <v>75</v>
      </c>
      <c r="Q1062" s="16" t="s">
        <v>75</v>
      </c>
      <c r="R1062" s="16" t="s">
        <v>75</v>
      </c>
      <c r="X1062" s="16" t="s">
        <v>75</v>
      </c>
      <c r="AB1062" s="24"/>
      <c r="AC1062" s="24"/>
    </row>
    <row r="1063" spans="1:31" ht="22.8" x14ac:dyDescent="0.25">
      <c r="A1063" s="3"/>
      <c r="B1063" s="88">
        <v>37580</v>
      </c>
      <c r="C1063" s="55" t="s">
        <v>54</v>
      </c>
      <c r="D1063" s="20" t="s">
        <v>117</v>
      </c>
      <c r="E1063" s="20" t="s">
        <v>56</v>
      </c>
      <c r="F1063" s="3"/>
      <c r="G1063" s="3" t="s">
        <v>11</v>
      </c>
      <c r="H1063" s="19">
        <v>44336</v>
      </c>
      <c r="I1063" s="3">
        <v>1039</v>
      </c>
      <c r="J1063" s="3" t="s">
        <v>58</v>
      </c>
      <c r="K1063" s="37" t="s">
        <v>59</v>
      </c>
      <c r="L1063" s="16" t="s">
        <v>75</v>
      </c>
      <c r="M1063" s="16" t="s">
        <v>60</v>
      </c>
      <c r="N1063" s="16" t="s">
        <v>75</v>
      </c>
      <c r="Q1063" s="16" t="s">
        <v>75</v>
      </c>
      <c r="R1063" s="16" t="s">
        <v>75</v>
      </c>
      <c r="X1063" s="16" t="s">
        <v>75</v>
      </c>
      <c r="AB1063" s="24"/>
      <c r="AC1063" s="24"/>
    </row>
    <row r="1064" spans="1:31" ht="22.8" x14ac:dyDescent="0.25">
      <c r="A1064" s="3"/>
      <c r="C1064" s="55"/>
      <c r="D1064" s="87" t="s">
        <v>2398</v>
      </c>
      <c r="E1064" s="55"/>
      <c r="F1064" s="3"/>
      <c r="G1064" s="3"/>
      <c r="H1064" s="3"/>
      <c r="I1064" s="3">
        <v>1042</v>
      </c>
      <c r="J1064" s="3" t="s">
        <v>58</v>
      </c>
      <c r="K1064" s="37" t="s">
        <v>59</v>
      </c>
      <c r="L1064" s="16" t="s">
        <v>75</v>
      </c>
      <c r="M1064" s="16" t="s">
        <v>60</v>
      </c>
      <c r="N1064" s="16" t="s">
        <v>75</v>
      </c>
      <c r="Q1064" s="16" t="s">
        <v>75</v>
      </c>
      <c r="R1064" s="16" t="s">
        <v>75</v>
      </c>
      <c r="X1064" s="16" t="s">
        <v>75</v>
      </c>
      <c r="AB1064" s="24"/>
      <c r="AC1064" s="24"/>
    </row>
    <row r="1065" spans="1:31" ht="22.8" x14ac:dyDescent="0.25">
      <c r="A1065" s="3"/>
      <c r="C1065" s="55"/>
      <c r="D1065" s="87" t="s">
        <v>2399</v>
      </c>
      <c r="E1065" s="55"/>
      <c r="F1065" s="3"/>
      <c r="G1065" s="3"/>
      <c r="H1065" s="3"/>
      <c r="I1065" s="3">
        <v>1043</v>
      </c>
      <c r="J1065" s="3" t="s">
        <v>58</v>
      </c>
      <c r="K1065" s="37" t="s">
        <v>59</v>
      </c>
      <c r="L1065" s="16" t="s">
        <v>75</v>
      </c>
      <c r="M1065" s="16" t="s">
        <v>60</v>
      </c>
      <c r="N1065" s="16" t="s">
        <v>75</v>
      </c>
      <c r="Q1065" s="16" t="s">
        <v>75</v>
      </c>
      <c r="R1065" s="16" t="s">
        <v>75</v>
      </c>
      <c r="X1065" s="16" t="s">
        <v>75</v>
      </c>
      <c r="AB1065" s="24"/>
      <c r="AC1065" s="24"/>
    </row>
    <row r="1066" spans="1:31" ht="22.8" x14ac:dyDescent="0.25">
      <c r="A1066" s="3"/>
      <c r="B1066" s="89">
        <v>30667</v>
      </c>
      <c r="C1066" s="55" t="s">
        <v>64</v>
      </c>
      <c r="D1066" s="20" t="s">
        <v>328</v>
      </c>
      <c r="E1066" s="20" t="s">
        <v>203</v>
      </c>
      <c r="F1066" s="3"/>
      <c r="G1066" s="3" t="s">
        <v>12</v>
      </c>
      <c r="H1066" s="19"/>
      <c r="I1066" s="3">
        <v>1048</v>
      </c>
      <c r="J1066" s="3" t="s">
        <v>58</v>
      </c>
      <c r="K1066" s="37" t="s">
        <v>59</v>
      </c>
      <c r="L1066" s="16" t="s">
        <v>75</v>
      </c>
      <c r="M1066" s="16" t="s">
        <v>60</v>
      </c>
      <c r="N1066" s="16" t="s">
        <v>75</v>
      </c>
      <c r="Q1066" s="16" t="s">
        <v>75</v>
      </c>
      <c r="R1066" s="16" t="s">
        <v>75</v>
      </c>
      <c r="X1066" s="16" t="s">
        <v>75</v>
      </c>
      <c r="AB1066" s="24"/>
      <c r="AC1066" s="24"/>
    </row>
    <row r="1067" spans="1:31" ht="22.8" x14ac:dyDescent="0.25">
      <c r="A1067" s="3"/>
      <c r="B1067" s="89">
        <v>30655</v>
      </c>
      <c r="C1067" s="55" t="s">
        <v>54</v>
      </c>
      <c r="D1067" s="20" t="s">
        <v>312</v>
      </c>
      <c r="E1067" s="20" t="s">
        <v>203</v>
      </c>
      <c r="F1067" s="3"/>
      <c r="G1067" s="3" t="s">
        <v>12</v>
      </c>
      <c r="H1067" s="19"/>
      <c r="I1067" s="3">
        <v>1049</v>
      </c>
      <c r="J1067" s="3" t="s">
        <v>58</v>
      </c>
      <c r="K1067" s="37" t="s">
        <v>59</v>
      </c>
      <c r="L1067" s="16" t="s">
        <v>75</v>
      </c>
      <c r="M1067" s="16" t="s">
        <v>60</v>
      </c>
      <c r="N1067" s="16" t="s">
        <v>75</v>
      </c>
      <c r="Q1067" s="16" t="s">
        <v>75</v>
      </c>
      <c r="R1067" s="16" t="s">
        <v>75</v>
      </c>
      <c r="X1067" s="16" t="s">
        <v>75</v>
      </c>
      <c r="AB1067" s="24"/>
      <c r="AC1067" s="24"/>
    </row>
    <row r="1068" spans="1:31" ht="22.8" x14ac:dyDescent="0.25">
      <c r="A1068" s="3"/>
      <c r="C1068" s="55"/>
      <c r="D1068" s="87" t="s">
        <v>2400</v>
      </c>
      <c r="E1068" s="20"/>
      <c r="F1068" s="3"/>
      <c r="G1068" s="3"/>
      <c r="H1068" s="19"/>
      <c r="I1068" s="3">
        <v>1050</v>
      </c>
      <c r="J1068" s="3" t="s">
        <v>58</v>
      </c>
      <c r="K1068" s="37" t="s">
        <v>59</v>
      </c>
      <c r="L1068" s="16" t="s">
        <v>75</v>
      </c>
      <c r="M1068" s="16" t="s">
        <v>60</v>
      </c>
      <c r="N1068" s="16" t="s">
        <v>75</v>
      </c>
      <c r="Q1068" s="16" t="s">
        <v>75</v>
      </c>
      <c r="R1068" s="16" t="s">
        <v>75</v>
      </c>
      <c r="X1068" s="16" t="s">
        <v>75</v>
      </c>
      <c r="AB1068" s="24"/>
      <c r="AC1068" s="24"/>
    </row>
    <row r="1069" spans="1:31" ht="22.8" x14ac:dyDescent="0.25">
      <c r="A1069" s="3"/>
      <c r="C1069" s="55"/>
      <c r="D1069" s="87" t="s">
        <v>2401</v>
      </c>
      <c r="E1069" s="20"/>
      <c r="F1069" s="3"/>
      <c r="G1069" s="3"/>
      <c r="H1069" s="19"/>
      <c r="I1069" s="3">
        <v>1051</v>
      </c>
      <c r="J1069" s="3" t="s">
        <v>58</v>
      </c>
      <c r="K1069" s="37" t="s">
        <v>59</v>
      </c>
      <c r="L1069" s="16" t="s">
        <v>75</v>
      </c>
      <c r="M1069" s="16" t="s">
        <v>60</v>
      </c>
      <c r="N1069" s="16" t="s">
        <v>75</v>
      </c>
      <c r="Q1069" s="16" t="s">
        <v>75</v>
      </c>
      <c r="R1069" s="16" t="s">
        <v>75</v>
      </c>
      <c r="X1069" s="16" t="s">
        <v>75</v>
      </c>
      <c r="AB1069" s="24"/>
      <c r="AC1069" s="24"/>
    </row>
    <row r="1070" spans="1:31" ht="22.8" x14ac:dyDescent="0.25">
      <c r="A1070" s="28"/>
      <c r="B1070" s="20">
        <v>39181</v>
      </c>
      <c r="C1070" s="55" t="s">
        <v>54</v>
      </c>
      <c r="D1070" s="20" t="s">
        <v>2402</v>
      </c>
      <c r="E1070" s="18" t="s">
        <v>1933</v>
      </c>
      <c r="F1070" s="18"/>
      <c r="G1070" s="18" t="s">
        <v>15</v>
      </c>
      <c r="H1070" s="19">
        <v>44237</v>
      </c>
      <c r="I1070" s="3">
        <v>1052</v>
      </c>
      <c r="J1070" s="3" t="s">
        <v>58</v>
      </c>
      <c r="K1070" s="37" t="s">
        <v>59</v>
      </c>
      <c r="L1070" s="16" t="s">
        <v>75</v>
      </c>
      <c r="M1070" s="16" t="s">
        <v>60</v>
      </c>
      <c r="N1070" s="16" t="s">
        <v>75</v>
      </c>
      <c r="Q1070" s="16" t="s">
        <v>75</v>
      </c>
      <c r="R1070" s="16" t="s">
        <v>75</v>
      </c>
      <c r="S1070" s="37" t="s">
        <v>62</v>
      </c>
      <c r="T1070" s="16" t="s">
        <v>62</v>
      </c>
      <c r="U1070" s="16" t="s">
        <v>62</v>
      </c>
      <c r="V1070" s="16"/>
      <c r="W1070" s="16"/>
      <c r="X1070" s="16" t="s">
        <v>75</v>
      </c>
      <c r="Y1070" s="16"/>
      <c r="Z1070" s="16"/>
      <c r="AA1070" s="16"/>
      <c r="AB1070" s="24"/>
      <c r="AC1070" s="24"/>
      <c r="AD1070" s="33">
        <v>44688</v>
      </c>
    </row>
    <row r="1071" spans="1:31" ht="22.8" x14ac:dyDescent="0.25">
      <c r="A1071" s="28"/>
      <c r="B1071" s="20">
        <v>39182</v>
      </c>
      <c r="C1071" s="55" t="s">
        <v>54</v>
      </c>
      <c r="D1071" s="20" t="s">
        <v>2403</v>
      </c>
      <c r="E1071" s="18" t="s">
        <v>1933</v>
      </c>
      <c r="F1071" s="18"/>
      <c r="G1071" s="18" t="s">
        <v>15</v>
      </c>
      <c r="H1071" s="19">
        <v>44247</v>
      </c>
      <c r="I1071" s="3">
        <v>1058</v>
      </c>
      <c r="J1071" s="3" t="s">
        <v>58</v>
      </c>
      <c r="K1071" s="37" t="s">
        <v>59</v>
      </c>
      <c r="L1071" s="16" t="s">
        <v>75</v>
      </c>
      <c r="M1071" s="16" t="s">
        <v>60</v>
      </c>
      <c r="N1071" s="16" t="s">
        <v>75</v>
      </c>
      <c r="Q1071" s="16" t="s">
        <v>75</v>
      </c>
      <c r="R1071" s="16" t="s">
        <v>75</v>
      </c>
      <c r="S1071" s="37" t="s">
        <v>62</v>
      </c>
      <c r="T1071" s="16" t="s">
        <v>62</v>
      </c>
      <c r="U1071" s="16" t="s">
        <v>62</v>
      </c>
      <c r="V1071" s="16"/>
      <c r="W1071" s="16"/>
      <c r="X1071" s="16" t="s">
        <v>75</v>
      </c>
      <c r="Y1071" s="16"/>
      <c r="Z1071" s="16"/>
      <c r="AA1071" s="16"/>
      <c r="AB1071" s="24"/>
      <c r="AC1071" s="24"/>
      <c r="AD1071" s="33">
        <v>44702</v>
      </c>
    </row>
    <row r="1072" spans="1:31" ht="22.8" x14ac:dyDescent="0.25">
      <c r="A1072" s="29"/>
      <c r="B1072" s="89">
        <v>30681</v>
      </c>
      <c r="C1072" s="55" t="s">
        <v>64</v>
      </c>
      <c r="D1072" s="20" t="s">
        <v>319</v>
      </c>
      <c r="E1072" s="20" t="s">
        <v>203</v>
      </c>
      <c r="F1072" s="29"/>
      <c r="G1072" s="19" t="s">
        <v>12</v>
      </c>
      <c r="H1072" s="19"/>
      <c r="I1072" s="3">
        <v>1061</v>
      </c>
      <c r="J1072" s="3" t="s">
        <v>58</v>
      </c>
      <c r="K1072" s="37" t="s">
        <v>59</v>
      </c>
      <c r="L1072" s="16" t="s">
        <v>75</v>
      </c>
      <c r="M1072" s="16" t="s">
        <v>60</v>
      </c>
      <c r="N1072" s="16" t="s">
        <v>75</v>
      </c>
      <c r="Q1072" s="16" t="s">
        <v>75</v>
      </c>
      <c r="R1072" s="16" t="s">
        <v>75</v>
      </c>
      <c r="S1072" s="24"/>
      <c r="T1072" s="24"/>
      <c r="U1072" s="24"/>
      <c r="V1072" s="24"/>
      <c r="W1072" s="24"/>
      <c r="X1072" s="16" t="s">
        <v>75</v>
      </c>
      <c r="Y1072" s="24"/>
      <c r="Z1072" s="24"/>
      <c r="AA1072" s="24"/>
      <c r="AB1072" s="24"/>
      <c r="AC1072" s="24"/>
      <c r="AD1072" s="24"/>
      <c r="AE1072"/>
    </row>
    <row r="1073" spans="1:31" ht="22.8" x14ac:dyDescent="0.25">
      <c r="A1073" s="29"/>
      <c r="B1073" s="66"/>
      <c r="C1073" s="27"/>
      <c r="D1073" s="87" t="s">
        <v>2404</v>
      </c>
      <c r="E1073" s="20"/>
      <c r="F1073" s="29"/>
      <c r="G1073" s="19"/>
      <c r="H1073" s="19"/>
      <c r="I1073" s="3">
        <v>1062</v>
      </c>
      <c r="J1073" s="3" t="s">
        <v>58</v>
      </c>
      <c r="K1073" s="37" t="s">
        <v>59</v>
      </c>
      <c r="L1073" s="16" t="s">
        <v>75</v>
      </c>
      <c r="M1073" s="16" t="s">
        <v>60</v>
      </c>
      <c r="N1073" s="16" t="s">
        <v>75</v>
      </c>
      <c r="Q1073" s="16" t="s">
        <v>75</v>
      </c>
      <c r="R1073" s="16" t="s">
        <v>75</v>
      </c>
      <c r="S1073" s="24"/>
      <c r="T1073" s="24"/>
      <c r="U1073" s="24"/>
      <c r="V1073" s="24"/>
      <c r="W1073" s="24"/>
      <c r="X1073" s="16" t="s">
        <v>75</v>
      </c>
      <c r="Y1073" s="24"/>
      <c r="Z1073" s="24"/>
      <c r="AA1073" s="24"/>
      <c r="AB1073" s="24"/>
      <c r="AC1073" s="24"/>
      <c r="AD1073" s="24"/>
      <c r="AE1073"/>
    </row>
    <row r="1074" spans="1:31" ht="22.8" x14ac:dyDescent="0.25">
      <c r="A1074" s="29"/>
      <c r="B1074" s="66"/>
      <c r="C1074" s="27"/>
      <c r="D1074" s="87" t="s">
        <v>2405</v>
      </c>
      <c r="E1074" s="20"/>
      <c r="F1074" s="29"/>
      <c r="G1074" s="19"/>
      <c r="H1074" s="19"/>
      <c r="I1074" s="3">
        <v>1063</v>
      </c>
      <c r="J1074" s="3" t="s">
        <v>58</v>
      </c>
      <c r="K1074" s="37" t="s">
        <v>59</v>
      </c>
      <c r="L1074" s="16" t="s">
        <v>75</v>
      </c>
      <c r="M1074" s="16" t="s">
        <v>60</v>
      </c>
      <c r="N1074" s="16" t="s">
        <v>75</v>
      </c>
      <c r="Q1074" s="16" t="s">
        <v>75</v>
      </c>
      <c r="R1074" s="16" t="s">
        <v>75</v>
      </c>
      <c r="S1074" s="23"/>
      <c r="T1074" s="23"/>
      <c r="U1074" s="23"/>
      <c r="V1074" s="23"/>
      <c r="W1074" s="23"/>
      <c r="X1074" s="16" t="s">
        <v>75</v>
      </c>
      <c r="Y1074" s="23"/>
      <c r="Z1074" s="23"/>
      <c r="AA1074" s="23"/>
      <c r="AB1074" s="24"/>
      <c r="AC1074" s="24"/>
      <c r="AD1074" s="23"/>
      <c r="AE1074"/>
    </row>
    <row r="1075" spans="1:31" ht="22.8" x14ac:dyDescent="0.25">
      <c r="A1075" s="29"/>
      <c r="B1075" s="66">
        <v>30717</v>
      </c>
      <c r="C1075" s="27" t="s">
        <v>64</v>
      </c>
      <c r="D1075" s="20" t="s">
        <v>617</v>
      </c>
      <c r="E1075" s="20" t="s">
        <v>522</v>
      </c>
      <c r="F1075" s="29" t="s">
        <v>57</v>
      </c>
      <c r="G1075" s="19" t="s">
        <v>11</v>
      </c>
      <c r="H1075" s="19"/>
      <c r="I1075" s="3">
        <v>1064</v>
      </c>
      <c r="J1075" s="3" t="s">
        <v>58</v>
      </c>
      <c r="K1075" s="37" t="s">
        <v>59</v>
      </c>
      <c r="L1075" s="16" t="s">
        <v>75</v>
      </c>
      <c r="M1075" s="16" t="s">
        <v>60</v>
      </c>
      <c r="N1075" s="16" t="s">
        <v>75</v>
      </c>
      <c r="Q1075" s="16" t="s">
        <v>75</v>
      </c>
      <c r="R1075" s="16" t="s">
        <v>75</v>
      </c>
      <c r="S1075" s="23"/>
      <c r="T1075" s="23"/>
      <c r="U1075" s="23"/>
      <c r="V1075" s="23"/>
      <c r="W1075" s="23"/>
      <c r="X1075" s="16" t="s">
        <v>75</v>
      </c>
      <c r="Y1075" s="23"/>
      <c r="Z1075" s="23"/>
      <c r="AA1075" s="23"/>
      <c r="AB1075" s="24"/>
      <c r="AC1075" s="24"/>
      <c r="AD1075" s="23"/>
      <c r="AE1075"/>
    </row>
    <row r="1076" spans="1:31" ht="22.8" x14ac:dyDescent="0.25">
      <c r="A1076" s="29"/>
      <c r="B1076" s="66">
        <v>30717</v>
      </c>
      <c r="C1076" s="27" t="s">
        <v>54</v>
      </c>
      <c r="D1076" s="20" t="s">
        <v>618</v>
      </c>
      <c r="E1076" s="20" t="s">
        <v>522</v>
      </c>
      <c r="F1076" s="29" t="s">
        <v>57</v>
      </c>
      <c r="G1076" s="19" t="s">
        <v>11</v>
      </c>
      <c r="H1076" s="19"/>
      <c r="I1076" s="3">
        <v>1065</v>
      </c>
      <c r="J1076" s="3" t="s">
        <v>58</v>
      </c>
      <c r="K1076" s="37" t="s">
        <v>59</v>
      </c>
      <c r="L1076" s="16" t="s">
        <v>75</v>
      </c>
      <c r="M1076" s="16" t="s">
        <v>60</v>
      </c>
      <c r="N1076" s="16" t="s">
        <v>75</v>
      </c>
      <c r="Q1076" s="16" t="s">
        <v>75</v>
      </c>
      <c r="R1076" s="16" t="s">
        <v>75</v>
      </c>
      <c r="S1076" s="23"/>
      <c r="T1076" s="23"/>
      <c r="U1076" s="23"/>
      <c r="V1076" s="23"/>
      <c r="W1076" s="23"/>
      <c r="X1076" s="16" t="s">
        <v>75</v>
      </c>
      <c r="Y1076" s="23"/>
      <c r="Z1076" s="23"/>
      <c r="AA1076" s="23"/>
      <c r="AB1076" s="24"/>
      <c r="AC1076" s="24"/>
      <c r="AD1076" s="23"/>
      <c r="AE1076"/>
    </row>
    <row r="1077" spans="1:31" ht="22.8" x14ac:dyDescent="0.25">
      <c r="A1077" s="29"/>
      <c r="B1077" s="66"/>
      <c r="C1077" s="27"/>
      <c r="D1077" s="87" t="s">
        <v>2406</v>
      </c>
      <c r="E1077" s="20"/>
      <c r="F1077" s="29"/>
      <c r="G1077" s="19"/>
      <c r="H1077" s="19"/>
      <c r="I1077" s="3">
        <v>1066</v>
      </c>
      <c r="J1077" s="3" t="s">
        <v>58</v>
      </c>
      <c r="K1077" s="37" t="s">
        <v>59</v>
      </c>
      <c r="L1077" s="16" t="s">
        <v>75</v>
      </c>
      <c r="M1077" s="16" t="s">
        <v>60</v>
      </c>
      <c r="N1077" s="16" t="s">
        <v>75</v>
      </c>
      <c r="Q1077" s="16" t="s">
        <v>75</v>
      </c>
      <c r="R1077" s="16" t="s">
        <v>75</v>
      </c>
      <c r="S1077" s="23"/>
      <c r="T1077" s="23"/>
      <c r="U1077" s="23"/>
      <c r="V1077" s="23"/>
      <c r="W1077" s="23"/>
      <c r="X1077" s="16" t="s">
        <v>75</v>
      </c>
      <c r="Y1077" s="23"/>
      <c r="Z1077" s="23"/>
      <c r="AA1077" s="23"/>
      <c r="AB1077" s="24"/>
      <c r="AC1077" s="24"/>
      <c r="AD1077" s="23"/>
      <c r="AE1077"/>
    </row>
    <row r="1078" spans="1:31" ht="22.8" x14ac:dyDescent="0.25">
      <c r="A1078" s="29"/>
      <c r="B1078" s="66"/>
      <c r="C1078" s="27"/>
      <c r="D1078" s="87" t="s">
        <v>2407</v>
      </c>
      <c r="E1078" s="20"/>
      <c r="F1078" s="29"/>
      <c r="G1078" s="19"/>
      <c r="H1078" s="19"/>
      <c r="I1078" s="3">
        <v>1067</v>
      </c>
      <c r="J1078" s="3" t="s">
        <v>58</v>
      </c>
      <c r="K1078" s="37" t="s">
        <v>59</v>
      </c>
      <c r="L1078" s="16" t="s">
        <v>75</v>
      </c>
      <c r="M1078" s="16" t="s">
        <v>60</v>
      </c>
      <c r="N1078" s="16" t="s">
        <v>75</v>
      </c>
      <c r="Q1078" s="16" t="s">
        <v>75</v>
      </c>
      <c r="R1078" s="16" t="s">
        <v>75</v>
      </c>
      <c r="S1078" s="23"/>
      <c r="T1078" s="23"/>
      <c r="U1078" s="23"/>
      <c r="V1078" s="23"/>
      <c r="W1078" s="23"/>
      <c r="X1078" s="16" t="s">
        <v>75</v>
      </c>
      <c r="Y1078" s="23"/>
      <c r="Z1078" s="23"/>
      <c r="AA1078" s="23"/>
      <c r="AB1078" s="24"/>
      <c r="AC1078" s="24"/>
      <c r="AD1078" s="23"/>
      <c r="AE1078"/>
    </row>
    <row r="1079" spans="1:31" ht="22.8" x14ac:dyDescent="0.25">
      <c r="A1079" s="28"/>
      <c r="B1079" s="20">
        <v>39183</v>
      </c>
      <c r="C1079" s="27" t="s">
        <v>64</v>
      </c>
      <c r="D1079" s="20" t="s">
        <v>978</v>
      </c>
      <c r="E1079" s="20" t="s">
        <v>862</v>
      </c>
      <c r="F1079" s="29" t="s">
        <v>863</v>
      </c>
      <c r="G1079" s="51" t="s">
        <v>13</v>
      </c>
      <c r="H1079" s="46">
        <v>44249</v>
      </c>
      <c r="I1079" s="3">
        <v>1071</v>
      </c>
      <c r="J1079" s="3" t="s">
        <v>58</v>
      </c>
      <c r="K1079" s="37" t="s">
        <v>59</v>
      </c>
      <c r="L1079" s="16" t="s">
        <v>75</v>
      </c>
      <c r="M1079" s="16" t="s">
        <v>60</v>
      </c>
      <c r="N1079" s="16" t="s">
        <v>75</v>
      </c>
      <c r="Q1079" s="16" t="s">
        <v>75</v>
      </c>
      <c r="R1079" s="16" t="s">
        <v>75</v>
      </c>
      <c r="X1079" s="16" t="s">
        <v>75</v>
      </c>
      <c r="AB1079" s="24"/>
      <c r="AC1079" s="24"/>
    </row>
    <row r="1080" spans="1:31" ht="22.8" x14ac:dyDescent="0.25">
      <c r="A1080" s="29"/>
      <c r="B1080" s="66"/>
      <c r="C1080" s="27"/>
      <c r="D1080" s="87" t="s">
        <v>2408</v>
      </c>
      <c r="E1080" s="20"/>
      <c r="F1080" s="29"/>
      <c r="G1080" s="19"/>
      <c r="H1080" s="19"/>
      <c r="I1080" s="3">
        <v>1072</v>
      </c>
      <c r="J1080" s="3" t="s">
        <v>58</v>
      </c>
      <c r="K1080" s="37" t="s">
        <v>59</v>
      </c>
      <c r="L1080" s="16" t="s">
        <v>75</v>
      </c>
      <c r="M1080" s="16" t="s">
        <v>60</v>
      </c>
      <c r="N1080" s="16" t="s">
        <v>75</v>
      </c>
      <c r="Q1080" s="16" t="s">
        <v>75</v>
      </c>
      <c r="R1080" s="16" t="s">
        <v>75</v>
      </c>
      <c r="S1080" s="23"/>
      <c r="T1080" s="23"/>
      <c r="U1080" s="23"/>
      <c r="V1080" s="23"/>
      <c r="W1080" s="23"/>
      <c r="X1080" s="16" t="s">
        <v>75</v>
      </c>
      <c r="Y1080" s="23"/>
      <c r="Z1080" s="23"/>
      <c r="AA1080" s="23"/>
      <c r="AB1080" s="24"/>
      <c r="AC1080" s="24"/>
      <c r="AD1080" s="23"/>
      <c r="AE1080"/>
    </row>
    <row r="1081" spans="1:31" ht="22.8" x14ac:dyDescent="0.25">
      <c r="A1081" s="29"/>
      <c r="B1081" s="66"/>
      <c r="C1081" s="27"/>
      <c r="D1081" s="87" t="s">
        <v>2409</v>
      </c>
      <c r="E1081" s="20"/>
      <c r="F1081" s="29"/>
      <c r="G1081" s="19"/>
      <c r="H1081" s="19"/>
      <c r="I1081" s="3">
        <v>1073</v>
      </c>
      <c r="J1081" s="3" t="s">
        <v>58</v>
      </c>
      <c r="K1081" s="37" t="s">
        <v>59</v>
      </c>
      <c r="L1081" s="16" t="s">
        <v>75</v>
      </c>
      <c r="M1081" s="16" t="s">
        <v>60</v>
      </c>
      <c r="N1081" s="16" t="s">
        <v>75</v>
      </c>
      <c r="Q1081" s="16" t="s">
        <v>75</v>
      </c>
      <c r="R1081" s="16" t="s">
        <v>75</v>
      </c>
      <c r="S1081" s="23"/>
      <c r="T1081" s="23"/>
      <c r="U1081" s="23"/>
      <c r="V1081" s="23"/>
      <c r="W1081" s="23"/>
      <c r="X1081" s="16" t="s">
        <v>75</v>
      </c>
      <c r="Y1081" s="23"/>
      <c r="Z1081" s="23"/>
      <c r="AA1081" s="23"/>
      <c r="AB1081" s="24"/>
      <c r="AC1081" s="24"/>
      <c r="AD1081" s="23"/>
      <c r="AE1081"/>
    </row>
    <row r="1082" spans="1:31" ht="22.8" x14ac:dyDescent="0.25">
      <c r="A1082" s="29"/>
      <c r="B1082" s="66"/>
      <c r="C1082" s="27"/>
      <c r="D1082" s="87" t="s">
        <v>2410</v>
      </c>
      <c r="E1082" s="20"/>
      <c r="F1082" s="29"/>
      <c r="G1082" s="19"/>
      <c r="H1082" s="19"/>
      <c r="I1082" s="3">
        <v>1074</v>
      </c>
      <c r="J1082" s="3" t="s">
        <v>58</v>
      </c>
      <c r="K1082" s="37" t="s">
        <v>59</v>
      </c>
      <c r="L1082" s="16" t="s">
        <v>75</v>
      </c>
      <c r="M1082" s="16" t="s">
        <v>60</v>
      </c>
      <c r="N1082" s="16" t="s">
        <v>75</v>
      </c>
      <c r="Q1082" s="16" t="s">
        <v>75</v>
      </c>
      <c r="R1082" s="16" t="s">
        <v>75</v>
      </c>
      <c r="S1082" s="23"/>
      <c r="T1082" s="23"/>
      <c r="U1082" s="23"/>
      <c r="V1082" s="23"/>
      <c r="W1082" s="23"/>
      <c r="X1082" s="16" t="s">
        <v>75</v>
      </c>
      <c r="Y1082" s="23"/>
      <c r="Z1082" s="23"/>
      <c r="AA1082" s="23"/>
      <c r="AB1082" s="24"/>
      <c r="AC1082" s="24"/>
      <c r="AD1082" s="23"/>
      <c r="AE1082"/>
    </row>
    <row r="1083" spans="1:31" ht="22.8" x14ac:dyDescent="0.25">
      <c r="A1083" s="29"/>
      <c r="B1083" s="66"/>
      <c r="C1083" s="27"/>
      <c r="D1083" s="87" t="s">
        <v>2411</v>
      </c>
      <c r="E1083" s="20"/>
      <c r="F1083" s="29"/>
      <c r="G1083" s="19"/>
      <c r="H1083" s="19"/>
      <c r="I1083" s="3">
        <v>1075</v>
      </c>
      <c r="J1083" s="3" t="s">
        <v>58</v>
      </c>
      <c r="K1083" s="37" t="s">
        <v>59</v>
      </c>
      <c r="L1083" s="16" t="s">
        <v>75</v>
      </c>
      <c r="M1083" s="16" t="s">
        <v>60</v>
      </c>
      <c r="N1083" s="16" t="s">
        <v>75</v>
      </c>
      <c r="Q1083" s="16" t="s">
        <v>75</v>
      </c>
      <c r="R1083" s="16" t="s">
        <v>75</v>
      </c>
      <c r="S1083" s="23"/>
      <c r="T1083" s="23"/>
      <c r="U1083" s="23"/>
      <c r="V1083" s="23"/>
      <c r="W1083" s="23"/>
      <c r="X1083" s="16" t="s">
        <v>75</v>
      </c>
      <c r="Y1083" s="23"/>
      <c r="Z1083" s="23"/>
      <c r="AA1083" s="23"/>
      <c r="AB1083" s="24"/>
      <c r="AC1083" s="24"/>
      <c r="AD1083" s="23"/>
      <c r="AE1083"/>
    </row>
    <row r="1084" spans="1:31" ht="22.8" x14ac:dyDescent="0.25">
      <c r="A1084" s="29"/>
      <c r="B1084" s="66"/>
      <c r="C1084" s="27"/>
      <c r="D1084" s="87" t="s">
        <v>2412</v>
      </c>
      <c r="E1084" s="20"/>
      <c r="F1084" s="29"/>
      <c r="G1084" s="19"/>
      <c r="H1084" s="19"/>
      <c r="I1084" s="3">
        <v>1076</v>
      </c>
      <c r="J1084" s="3" t="s">
        <v>58</v>
      </c>
      <c r="K1084" s="37" t="s">
        <v>59</v>
      </c>
      <c r="L1084" s="16" t="s">
        <v>75</v>
      </c>
      <c r="M1084" s="16" t="s">
        <v>60</v>
      </c>
      <c r="N1084" s="16" t="s">
        <v>75</v>
      </c>
      <c r="Q1084" s="16" t="s">
        <v>75</v>
      </c>
      <c r="R1084" s="16" t="s">
        <v>75</v>
      </c>
      <c r="S1084" s="24"/>
      <c r="T1084" s="24"/>
      <c r="U1084" s="24"/>
      <c r="V1084" s="24"/>
      <c r="W1084" s="24"/>
      <c r="X1084" s="16" t="s">
        <v>75</v>
      </c>
      <c r="Y1084" s="24"/>
      <c r="Z1084" s="24"/>
      <c r="AA1084" s="24"/>
      <c r="AB1084" s="24"/>
      <c r="AC1084" s="24"/>
      <c r="AD1084" s="24"/>
      <c r="AE1084"/>
    </row>
    <row r="1085" spans="1:31" ht="22.8" x14ac:dyDescent="0.25">
      <c r="A1085" s="29"/>
      <c r="B1085" s="66"/>
      <c r="C1085" s="27"/>
      <c r="D1085" s="87" t="s">
        <v>2413</v>
      </c>
      <c r="E1085" s="20"/>
      <c r="F1085" s="29"/>
      <c r="G1085" s="19"/>
      <c r="H1085" s="19"/>
      <c r="I1085" s="3">
        <v>1077</v>
      </c>
      <c r="J1085" s="3" t="s">
        <v>58</v>
      </c>
      <c r="K1085" s="37" t="s">
        <v>59</v>
      </c>
      <c r="L1085" s="16" t="s">
        <v>75</v>
      </c>
      <c r="M1085" s="16" t="s">
        <v>60</v>
      </c>
      <c r="N1085" s="16" t="s">
        <v>75</v>
      </c>
      <c r="Q1085" s="16" t="s">
        <v>75</v>
      </c>
      <c r="R1085" s="16" t="s">
        <v>75</v>
      </c>
      <c r="S1085" s="24"/>
      <c r="T1085" s="24"/>
      <c r="U1085" s="24"/>
      <c r="V1085" s="24"/>
      <c r="W1085" s="24"/>
      <c r="X1085" s="16" t="s">
        <v>75</v>
      </c>
      <c r="Y1085" s="24"/>
      <c r="Z1085" s="24"/>
      <c r="AA1085" s="24"/>
      <c r="AB1085" s="24"/>
      <c r="AC1085" s="24"/>
      <c r="AD1085" s="24"/>
      <c r="AE1085"/>
    </row>
    <row r="1086" spans="1:31" ht="22.8" x14ac:dyDescent="0.25">
      <c r="A1086" s="29"/>
      <c r="B1086" s="66"/>
      <c r="C1086" s="27"/>
      <c r="D1086" s="87" t="s">
        <v>2414</v>
      </c>
      <c r="E1086" s="20"/>
      <c r="F1086" s="29"/>
      <c r="G1086" s="19"/>
      <c r="H1086" s="19"/>
      <c r="I1086" s="3">
        <v>1078</v>
      </c>
      <c r="J1086" s="3" t="s">
        <v>58</v>
      </c>
      <c r="K1086" s="37" t="s">
        <v>59</v>
      </c>
      <c r="L1086" s="16" t="s">
        <v>75</v>
      </c>
      <c r="M1086" s="16" t="s">
        <v>60</v>
      </c>
      <c r="N1086" s="16" t="s">
        <v>75</v>
      </c>
      <c r="Q1086" s="16" t="s">
        <v>75</v>
      </c>
      <c r="R1086" s="16" t="s">
        <v>75</v>
      </c>
      <c r="S1086" s="24"/>
      <c r="T1086" s="24"/>
      <c r="U1086" s="24"/>
      <c r="V1086" s="24"/>
      <c r="W1086" s="24"/>
      <c r="X1086" s="16" t="s">
        <v>75</v>
      </c>
      <c r="Y1086" s="24"/>
      <c r="Z1086" s="24"/>
      <c r="AA1086" s="24"/>
      <c r="AB1086" s="24"/>
      <c r="AC1086" s="24"/>
      <c r="AD1086" s="24"/>
      <c r="AE1086"/>
    </row>
    <row r="1087" spans="1:31" ht="22.8" x14ac:dyDescent="0.25">
      <c r="A1087" s="29"/>
      <c r="B1087" s="66"/>
      <c r="C1087" s="27"/>
      <c r="D1087" s="87" t="s">
        <v>2415</v>
      </c>
      <c r="E1087" s="20"/>
      <c r="F1087" s="29"/>
      <c r="G1087" s="19"/>
      <c r="H1087" s="19"/>
      <c r="I1087" s="3">
        <v>1079</v>
      </c>
      <c r="J1087" s="3" t="s">
        <v>58</v>
      </c>
      <c r="K1087" s="37" t="s">
        <v>59</v>
      </c>
      <c r="L1087" s="16" t="s">
        <v>75</v>
      </c>
      <c r="M1087" s="16" t="s">
        <v>60</v>
      </c>
      <c r="N1087" s="16" t="s">
        <v>75</v>
      </c>
      <c r="Q1087" s="16" t="s">
        <v>75</v>
      </c>
      <c r="R1087" s="16" t="s">
        <v>75</v>
      </c>
      <c r="S1087" s="24"/>
      <c r="T1087" s="24"/>
      <c r="U1087" s="24"/>
      <c r="V1087" s="24"/>
      <c r="W1087" s="24"/>
      <c r="X1087" s="16" t="s">
        <v>75</v>
      </c>
      <c r="Y1087" s="24"/>
      <c r="Z1087" s="24"/>
      <c r="AA1087" s="24"/>
      <c r="AB1087" s="24"/>
      <c r="AC1087" s="24"/>
      <c r="AD1087" s="24"/>
      <c r="AE1087"/>
    </row>
    <row r="1088" spans="1:31" ht="22.8" x14ac:dyDescent="0.25">
      <c r="A1088" s="29"/>
      <c r="B1088" s="66"/>
      <c r="C1088" s="27"/>
      <c r="D1088" s="87" t="s">
        <v>2416</v>
      </c>
      <c r="E1088" s="20"/>
      <c r="F1088" s="29"/>
      <c r="G1088" s="19"/>
      <c r="H1088" s="19"/>
      <c r="I1088" s="3">
        <v>1080</v>
      </c>
      <c r="J1088" s="3" t="s">
        <v>58</v>
      </c>
      <c r="K1088" s="37" t="s">
        <v>59</v>
      </c>
      <c r="L1088" s="16" t="s">
        <v>75</v>
      </c>
      <c r="M1088" s="16" t="s">
        <v>60</v>
      </c>
      <c r="N1088" s="16" t="s">
        <v>75</v>
      </c>
      <c r="Q1088" s="16" t="s">
        <v>75</v>
      </c>
      <c r="R1088" s="16" t="s">
        <v>75</v>
      </c>
      <c r="S1088" s="24"/>
      <c r="T1088" s="24"/>
      <c r="U1088" s="24"/>
      <c r="V1088" s="24"/>
      <c r="W1088" s="24"/>
      <c r="X1088" s="16" t="s">
        <v>75</v>
      </c>
      <c r="Y1088" s="24"/>
      <c r="Z1088" s="24"/>
      <c r="AA1088" s="24"/>
      <c r="AB1088" s="24"/>
      <c r="AC1088" s="24"/>
      <c r="AD1088" s="24"/>
      <c r="AE1088"/>
    </row>
    <row r="1089" spans="1:31" ht="22.8" x14ac:dyDescent="0.25">
      <c r="A1089" s="110"/>
      <c r="B1089" s="111"/>
      <c r="C1089" s="112"/>
      <c r="D1089" s="113" t="s">
        <v>2417</v>
      </c>
      <c r="E1089" s="111"/>
      <c r="F1089" s="110"/>
      <c r="G1089" s="114"/>
      <c r="H1089" s="114"/>
      <c r="I1089" s="115">
        <v>1081</v>
      </c>
      <c r="J1089" s="115" t="s">
        <v>58</v>
      </c>
      <c r="K1089" s="116" t="s">
        <v>59</v>
      </c>
      <c r="L1089" s="117" t="s">
        <v>75</v>
      </c>
      <c r="M1089" s="117" t="s">
        <v>60</v>
      </c>
      <c r="N1089" s="117" t="s">
        <v>75</v>
      </c>
      <c r="Q1089" s="117" t="s">
        <v>75</v>
      </c>
      <c r="R1089" s="117" t="s">
        <v>75</v>
      </c>
      <c r="S1089" s="186"/>
      <c r="T1089" s="186"/>
      <c r="U1089" s="186"/>
      <c r="V1089" s="186"/>
      <c r="W1089" s="186"/>
      <c r="X1089" s="117" t="s">
        <v>75</v>
      </c>
      <c r="Y1089" s="186"/>
      <c r="Z1089" s="186"/>
      <c r="AA1089" s="186"/>
      <c r="AB1089" s="186"/>
      <c r="AC1089" s="186"/>
      <c r="AD1089" s="186"/>
      <c r="AE1089"/>
    </row>
    <row r="1090" spans="1:31" x14ac:dyDescent="0.25">
      <c r="A1090" s="103"/>
      <c r="B1090" s="104">
        <v>30643</v>
      </c>
      <c r="C1090" s="104" t="s">
        <v>64</v>
      </c>
      <c r="D1090" s="103" t="s">
        <v>1012</v>
      </c>
      <c r="E1090" s="20" t="s">
        <v>805</v>
      </c>
      <c r="F1090" s="3" t="s">
        <v>806</v>
      </c>
      <c r="G1090" s="29" t="s">
        <v>13</v>
      </c>
      <c r="H1090" s="104"/>
      <c r="I1090" s="103"/>
      <c r="J1090" s="103" t="s">
        <v>58</v>
      </c>
      <c r="K1090" s="105" t="s">
        <v>1013</v>
      </c>
      <c r="L1090" s="106">
        <v>44652</v>
      </c>
      <c r="M1090" s="105" t="s">
        <v>60</v>
      </c>
      <c r="N1090" s="107">
        <v>44652</v>
      </c>
      <c r="O1090" s="106">
        <v>44656</v>
      </c>
      <c r="P1090" s="106"/>
      <c r="Q1090" s="105"/>
      <c r="R1090" s="105"/>
      <c r="S1090" s="105" t="s">
        <v>68</v>
      </c>
      <c r="T1090" s="105" t="s">
        <v>68</v>
      </c>
      <c r="U1090" s="105" t="s">
        <v>68</v>
      </c>
      <c r="V1090" s="105"/>
      <c r="W1090" s="105"/>
      <c r="X1090" s="105" t="s">
        <v>68</v>
      </c>
      <c r="Y1090" s="105"/>
      <c r="Z1090" s="105"/>
      <c r="AA1090" s="105"/>
      <c r="AB1090" s="187"/>
      <c r="AC1090" s="187"/>
      <c r="AD1090" s="105" t="s">
        <v>68</v>
      </c>
    </row>
    <row r="1091" spans="1:31" x14ac:dyDescent="0.25">
      <c r="A1091" s="103"/>
      <c r="B1091" s="104">
        <v>30643</v>
      </c>
      <c r="C1091" s="104" t="s">
        <v>54</v>
      </c>
      <c r="D1091" s="103" t="s">
        <v>1014</v>
      </c>
      <c r="E1091" s="20" t="s">
        <v>805</v>
      </c>
      <c r="F1091" s="3" t="s">
        <v>806</v>
      </c>
      <c r="G1091" s="29" t="s">
        <v>13</v>
      </c>
      <c r="H1091" s="104"/>
      <c r="I1091" s="103"/>
      <c r="J1091" s="103" t="s">
        <v>58</v>
      </c>
      <c r="K1091" s="105" t="s">
        <v>1013</v>
      </c>
      <c r="L1091" s="106">
        <v>44652</v>
      </c>
      <c r="M1091" s="105" t="s">
        <v>60</v>
      </c>
      <c r="N1091" s="107">
        <v>44652</v>
      </c>
      <c r="O1091" s="106">
        <v>44656</v>
      </c>
      <c r="P1091" s="106"/>
      <c r="Q1091" s="105"/>
      <c r="R1091" s="105"/>
      <c r="S1091" s="105" t="s">
        <v>62</v>
      </c>
      <c r="T1091" s="105" t="s">
        <v>62</v>
      </c>
      <c r="U1091" s="105" t="s">
        <v>62</v>
      </c>
      <c r="V1091" s="105"/>
      <c r="W1091" s="105"/>
      <c r="X1091" s="105" t="s">
        <v>62</v>
      </c>
      <c r="Y1091" s="105"/>
      <c r="Z1091" s="105"/>
      <c r="AA1091" s="105"/>
      <c r="AB1091" s="187"/>
      <c r="AC1091" s="187"/>
      <c r="AD1091" s="105" t="s">
        <v>62</v>
      </c>
    </row>
    <row r="1092" spans="1:31" x14ac:dyDescent="0.25">
      <c r="A1092" s="103"/>
      <c r="B1092" s="104">
        <v>30654</v>
      </c>
      <c r="C1092" s="104" t="s">
        <v>64</v>
      </c>
      <c r="D1092" s="103" t="s">
        <v>1015</v>
      </c>
      <c r="E1092" s="20" t="s">
        <v>805</v>
      </c>
      <c r="F1092" s="3" t="s">
        <v>806</v>
      </c>
      <c r="G1092" s="29" t="s">
        <v>13</v>
      </c>
      <c r="H1092" s="118">
        <v>44467</v>
      </c>
      <c r="I1092" s="103"/>
      <c r="J1092" s="103" t="s">
        <v>58</v>
      </c>
      <c r="K1092" s="105" t="s">
        <v>1013</v>
      </c>
      <c r="L1092" s="106">
        <v>44468</v>
      </c>
      <c r="M1092" s="105" t="s">
        <v>60</v>
      </c>
      <c r="N1092" s="107">
        <v>44468</v>
      </c>
      <c r="O1092" s="106">
        <v>44688</v>
      </c>
      <c r="P1092" s="106"/>
      <c r="Q1092" s="105"/>
      <c r="R1092" s="105"/>
      <c r="S1092" s="105" t="s">
        <v>68</v>
      </c>
      <c r="T1092" s="105" t="s">
        <v>68</v>
      </c>
      <c r="U1092" s="105" t="s">
        <v>68</v>
      </c>
      <c r="V1092" s="105"/>
      <c r="W1092" s="105"/>
      <c r="X1092" s="105" t="s">
        <v>68</v>
      </c>
      <c r="Y1092" s="105"/>
      <c r="Z1092" s="105"/>
      <c r="AA1092" s="105"/>
      <c r="AB1092" s="187"/>
      <c r="AC1092" s="187"/>
      <c r="AD1092" s="105"/>
    </row>
    <row r="1093" spans="1:31" x14ac:dyDescent="0.25">
      <c r="A1093" s="103"/>
      <c r="B1093" s="104">
        <v>30654</v>
      </c>
      <c r="C1093" s="104" t="s">
        <v>54</v>
      </c>
      <c r="D1093" s="103" t="s">
        <v>1016</v>
      </c>
      <c r="E1093" s="20" t="s">
        <v>805</v>
      </c>
      <c r="F1093" s="3" t="s">
        <v>806</v>
      </c>
      <c r="G1093" s="29" t="s">
        <v>13</v>
      </c>
      <c r="H1093" s="118">
        <v>44467</v>
      </c>
      <c r="I1093" s="103"/>
      <c r="J1093" s="103" t="s">
        <v>58</v>
      </c>
      <c r="K1093" s="105" t="s">
        <v>1013</v>
      </c>
      <c r="L1093" s="106">
        <v>44468</v>
      </c>
      <c r="M1093" s="105" t="s">
        <v>60</v>
      </c>
      <c r="N1093" s="107">
        <v>44468</v>
      </c>
      <c r="O1093" s="106">
        <v>44688</v>
      </c>
      <c r="P1093" s="106"/>
      <c r="Q1093" s="105"/>
      <c r="R1093" s="105"/>
      <c r="S1093" s="105" t="s">
        <v>62</v>
      </c>
      <c r="T1093" s="105" t="s">
        <v>62</v>
      </c>
      <c r="U1093" s="105" t="s">
        <v>62</v>
      </c>
      <c r="V1093" s="105"/>
      <c r="W1093" s="105"/>
      <c r="X1093" s="105" t="s">
        <v>62</v>
      </c>
      <c r="Y1093" s="105"/>
      <c r="Z1093" s="105"/>
      <c r="AA1093" s="105"/>
      <c r="AB1093" s="187"/>
      <c r="AC1093" s="187"/>
      <c r="AD1093" s="105"/>
    </row>
    <row r="1094" spans="1:31" ht="22.8" x14ac:dyDescent="0.25">
      <c r="A1094" s="103"/>
      <c r="B1094" s="104">
        <v>30663</v>
      </c>
      <c r="C1094" s="104" t="s">
        <v>64</v>
      </c>
      <c r="D1094" s="103" t="s">
        <v>1833</v>
      </c>
      <c r="E1094" s="20" t="s">
        <v>2006</v>
      </c>
      <c r="F1094" s="3"/>
      <c r="G1094" s="29"/>
      <c r="H1094" s="118">
        <v>44581</v>
      </c>
      <c r="I1094" s="103"/>
      <c r="J1094" s="103" t="s">
        <v>58</v>
      </c>
      <c r="K1094" s="108" t="s">
        <v>59</v>
      </c>
      <c r="L1094" s="106">
        <v>44511</v>
      </c>
      <c r="M1094" s="105" t="s">
        <v>60</v>
      </c>
      <c r="N1094" s="107"/>
      <c r="O1094" s="106">
        <v>44585</v>
      </c>
      <c r="P1094" s="106"/>
      <c r="Q1094" s="105"/>
      <c r="R1094" s="105"/>
      <c r="S1094" s="105" t="s">
        <v>68</v>
      </c>
      <c r="T1094" s="105" t="s">
        <v>68</v>
      </c>
      <c r="U1094" s="105" t="s">
        <v>68</v>
      </c>
      <c r="V1094" s="105"/>
      <c r="W1094" s="105"/>
      <c r="X1094" s="105" t="s">
        <v>68</v>
      </c>
      <c r="Y1094" s="105"/>
      <c r="Z1094" s="105"/>
      <c r="AA1094" s="105"/>
      <c r="AB1094" s="187"/>
      <c r="AC1094" s="187"/>
      <c r="AD1094" s="105" t="s">
        <v>68</v>
      </c>
    </row>
    <row r="1095" spans="1:31" ht="22.8" x14ac:dyDescent="0.25">
      <c r="A1095" s="103"/>
      <c r="B1095" s="104">
        <v>30663</v>
      </c>
      <c r="C1095" s="104" t="s">
        <v>54</v>
      </c>
      <c r="D1095" s="103" t="s">
        <v>1017</v>
      </c>
      <c r="E1095" s="20" t="s">
        <v>805</v>
      </c>
      <c r="F1095" s="3" t="s">
        <v>806</v>
      </c>
      <c r="G1095" s="29" t="s">
        <v>13</v>
      </c>
      <c r="H1095" s="118">
        <v>44581</v>
      </c>
      <c r="I1095" s="103"/>
      <c r="J1095" s="103" t="s">
        <v>58</v>
      </c>
      <c r="K1095" s="108" t="s">
        <v>59</v>
      </c>
      <c r="L1095" s="106">
        <v>44511</v>
      </c>
      <c r="M1095" s="105" t="s">
        <v>60</v>
      </c>
      <c r="N1095" s="107"/>
      <c r="O1095" s="106">
        <v>44585</v>
      </c>
      <c r="P1095" s="106"/>
      <c r="Q1095" s="105"/>
      <c r="R1095" s="105"/>
      <c r="S1095" s="105" t="s">
        <v>62</v>
      </c>
      <c r="T1095" s="105" t="s">
        <v>62</v>
      </c>
      <c r="U1095" s="105" t="s">
        <v>62</v>
      </c>
      <c r="V1095" s="105"/>
      <c r="W1095" s="105"/>
      <c r="X1095" s="105" t="s">
        <v>62</v>
      </c>
      <c r="Y1095" s="105"/>
      <c r="Z1095" s="105"/>
      <c r="AA1095" s="105"/>
      <c r="AB1095" s="187"/>
      <c r="AC1095" s="187"/>
      <c r="AD1095" s="105" t="s">
        <v>62</v>
      </c>
    </row>
    <row r="1096" spans="1:31" x14ac:dyDescent="0.25">
      <c r="A1096" s="103"/>
      <c r="B1096" s="104">
        <v>30675</v>
      </c>
      <c r="C1096" s="104" t="s">
        <v>64</v>
      </c>
      <c r="D1096" s="188" t="s">
        <v>1019</v>
      </c>
      <c r="E1096" s="20" t="s">
        <v>805</v>
      </c>
      <c r="F1096" s="3" t="s">
        <v>806</v>
      </c>
      <c r="G1096" s="29" t="s">
        <v>13</v>
      </c>
      <c r="H1096" s="118">
        <v>44459</v>
      </c>
      <c r="I1096" s="103"/>
      <c r="J1096" s="103" t="s">
        <v>58</v>
      </c>
      <c r="K1096" s="105" t="s">
        <v>1013</v>
      </c>
      <c r="L1096" s="106">
        <v>44459</v>
      </c>
      <c r="M1096" s="105" t="s">
        <v>60</v>
      </c>
      <c r="N1096" s="107">
        <v>44459</v>
      </c>
      <c r="O1096" s="106">
        <v>44662</v>
      </c>
      <c r="P1096" s="106"/>
      <c r="Q1096" s="105"/>
      <c r="R1096" s="105"/>
      <c r="S1096" s="105" t="s">
        <v>68</v>
      </c>
      <c r="T1096" s="105" t="s">
        <v>68</v>
      </c>
      <c r="U1096" s="105" t="s">
        <v>68</v>
      </c>
      <c r="V1096" s="105"/>
      <c r="W1096" s="105"/>
      <c r="X1096" s="105" t="s">
        <v>68</v>
      </c>
      <c r="Y1096" s="105"/>
      <c r="Z1096" s="105"/>
      <c r="AA1096" s="105"/>
      <c r="AB1096" s="187"/>
      <c r="AC1096" s="187"/>
      <c r="AD1096" s="105" t="s">
        <v>68</v>
      </c>
    </row>
    <row r="1097" spans="1:31" x14ac:dyDescent="0.25">
      <c r="A1097" s="103"/>
      <c r="B1097" s="104">
        <v>30675</v>
      </c>
      <c r="C1097" s="104" t="s">
        <v>54</v>
      </c>
      <c r="D1097" s="188" t="s">
        <v>1020</v>
      </c>
      <c r="E1097" s="20" t="s">
        <v>805</v>
      </c>
      <c r="F1097" s="3" t="s">
        <v>806</v>
      </c>
      <c r="G1097" s="29" t="s">
        <v>13</v>
      </c>
      <c r="H1097" s="118">
        <v>44459</v>
      </c>
      <c r="I1097" s="103"/>
      <c r="J1097" s="103" t="s">
        <v>58</v>
      </c>
      <c r="K1097" s="105" t="s">
        <v>1013</v>
      </c>
      <c r="L1097" s="106">
        <v>44459</v>
      </c>
      <c r="M1097" s="105" t="s">
        <v>60</v>
      </c>
      <c r="N1097" s="107">
        <v>44459</v>
      </c>
      <c r="O1097" s="106">
        <v>44662</v>
      </c>
      <c r="P1097" s="106"/>
      <c r="Q1097" s="105"/>
      <c r="R1097" s="105"/>
      <c r="S1097" s="105" t="s">
        <v>62</v>
      </c>
      <c r="T1097" s="105" t="s">
        <v>62</v>
      </c>
      <c r="U1097" s="105" t="s">
        <v>62</v>
      </c>
      <c r="V1097" s="105"/>
      <c r="W1097" s="105"/>
      <c r="X1097" s="105" t="s">
        <v>62</v>
      </c>
      <c r="Y1097" s="105"/>
      <c r="Z1097" s="105"/>
      <c r="AA1097" s="105"/>
      <c r="AB1097" s="187"/>
      <c r="AC1097" s="187"/>
      <c r="AD1097" s="105" t="s">
        <v>62</v>
      </c>
    </row>
    <row r="1098" spans="1:31" x14ac:dyDescent="0.25">
      <c r="A1098" s="103"/>
      <c r="B1098" s="104">
        <v>30684</v>
      </c>
      <c r="C1098" s="104" t="s">
        <v>64</v>
      </c>
      <c r="D1098" s="188" t="s">
        <v>1021</v>
      </c>
      <c r="E1098" s="20" t="s">
        <v>805</v>
      </c>
      <c r="F1098" s="3" t="s">
        <v>806</v>
      </c>
      <c r="G1098" s="29" t="s">
        <v>13</v>
      </c>
      <c r="H1098" s="118">
        <v>44448</v>
      </c>
      <c r="I1098" s="103"/>
      <c r="J1098" s="103" t="s">
        <v>58</v>
      </c>
      <c r="K1098" s="105" t="s">
        <v>1013</v>
      </c>
      <c r="L1098" s="106">
        <v>44448</v>
      </c>
      <c r="M1098" s="105" t="s">
        <v>60</v>
      </c>
      <c r="N1098" s="107">
        <v>44448</v>
      </c>
      <c r="O1098" s="106">
        <v>44756</v>
      </c>
      <c r="P1098" s="106"/>
      <c r="Q1098" s="105"/>
      <c r="R1098" s="105"/>
      <c r="S1098" s="105" t="s">
        <v>68</v>
      </c>
      <c r="T1098" s="105" t="s">
        <v>68</v>
      </c>
      <c r="U1098" s="105" t="s">
        <v>68</v>
      </c>
      <c r="V1098" s="105"/>
      <c r="W1098" s="105"/>
      <c r="X1098" s="105" t="s">
        <v>68</v>
      </c>
      <c r="Y1098" s="105"/>
      <c r="Z1098" s="105"/>
      <c r="AA1098" s="105"/>
      <c r="AB1098" s="187"/>
      <c r="AC1098" s="187"/>
      <c r="AD1098" s="107" t="s">
        <v>68</v>
      </c>
    </row>
    <row r="1099" spans="1:31" x14ac:dyDescent="0.25">
      <c r="A1099" s="103"/>
      <c r="B1099" s="104">
        <v>30684</v>
      </c>
      <c r="C1099" s="104" t="s">
        <v>54</v>
      </c>
      <c r="D1099" s="188" t="s">
        <v>1023</v>
      </c>
      <c r="E1099" s="20" t="s">
        <v>805</v>
      </c>
      <c r="F1099" s="3" t="s">
        <v>806</v>
      </c>
      <c r="G1099" s="29" t="s">
        <v>13</v>
      </c>
      <c r="H1099" s="118">
        <v>44448</v>
      </c>
      <c r="I1099" s="103"/>
      <c r="J1099" s="103" t="s">
        <v>58</v>
      </c>
      <c r="K1099" s="105" t="s">
        <v>1013</v>
      </c>
      <c r="L1099" s="106">
        <v>44448</v>
      </c>
      <c r="M1099" s="105" t="s">
        <v>60</v>
      </c>
      <c r="N1099" s="107">
        <v>44448</v>
      </c>
      <c r="O1099" s="106">
        <v>44756</v>
      </c>
      <c r="P1099" s="106"/>
      <c r="Q1099" s="105"/>
      <c r="R1099" s="105"/>
      <c r="S1099" s="105" t="s">
        <v>62</v>
      </c>
      <c r="T1099" s="105" t="s">
        <v>62</v>
      </c>
      <c r="U1099" s="105" t="s">
        <v>62</v>
      </c>
      <c r="V1099" s="105"/>
      <c r="W1099" s="105"/>
      <c r="X1099" s="105" t="s">
        <v>62</v>
      </c>
      <c r="Y1099" s="105"/>
      <c r="Z1099" s="105"/>
      <c r="AA1099" s="105"/>
      <c r="AB1099" s="187"/>
      <c r="AC1099" s="187"/>
      <c r="AD1099" s="107" t="s">
        <v>62</v>
      </c>
    </row>
    <row r="1100" spans="1:31" x14ac:dyDescent="0.25">
      <c r="A1100" s="103"/>
      <c r="B1100" s="104">
        <v>30704</v>
      </c>
      <c r="C1100" s="104" t="s">
        <v>64</v>
      </c>
      <c r="D1100" s="188" t="s">
        <v>1024</v>
      </c>
      <c r="E1100" s="20" t="s">
        <v>805</v>
      </c>
      <c r="F1100" s="3" t="s">
        <v>806</v>
      </c>
      <c r="G1100" s="29" t="s">
        <v>13</v>
      </c>
      <c r="H1100" s="118">
        <v>44590</v>
      </c>
      <c r="I1100" s="103"/>
      <c r="J1100" s="103" t="s">
        <v>58</v>
      </c>
      <c r="K1100" s="105" t="s">
        <v>1013</v>
      </c>
      <c r="L1100" s="106">
        <v>44509</v>
      </c>
      <c r="M1100" s="105" t="s">
        <v>60</v>
      </c>
      <c r="N1100" s="107"/>
      <c r="O1100" s="106">
        <v>44590</v>
      </c>
      <c r="P1100" s="106"/>
      <c r="Q1100" s="105"/>
      <c r="R1100" s="105"/>
      <c r="S1100" s="105" t="s">
        <v>68</v>
      </c>
      <c r="T1100" s="105" t="s">
        <v>68</v>
      </c>
      <c r="U1100" s="105" t="s">
        <v>68</v>
      </c>
      <c r="V1100" s="105"/>
      <c r="W1100" s="105"/>
      <c r="X1100" s="105" t="s">
        <v>68</v>
      </c>
      <c r="Y1100" s="105"/>
      <c r="Z1100" s="105"/>
      <c r="AA1100" s="105"/>
      <c r="AB1100" s="187"/>
      <c r="AC1100" s="187"/>
      <c r="AD1100" s="105" t="s">
        <v>68</v>
      </c>
    </row>
    <row r="1101" spans="1:31" x14ac:dyDescent="0.25">
      <c r="A1101" s="103"/>
      <c r="B1101" s="104">
        <v>30704</v>
      </c>
      <c r="C1101" s="104" t="s">
        <v>54</v>
      </c>
      <c r="D1101" s="188" t="s">
        <v>1025</v>
      </c>
      <c r="E1101" s="20" t="s">
        <v>805</v>
      </c>
      <c r="F1101" s="3" t="s">
        <v>806</v>
      </c>
      <c r="G1101" s="29" t="s">
        <v>13</v>
      </c>
      <c r="H1101" s="118">
        <v>44590</v>
      </c>
      <c r="I1101" s="103"/>
      <c r="J1101" s="103" t="s">
        <v>58</v>
      </c>
      <c r="K1101" s="105" t="s">
        <v>1013</v>
      </c>
      <c r="L1101" s="106">
        <v>44509</v>
      </c>
      <c r="M1101" s="105" t="s">
        <v>60</v>
      </c>
      <c r="N1101" s="107"/>
      <c r="O1101" s="106">
        <v>44590</v>
      </c>
      <c r="P1101" s="106"/>
      <c r="Q1101" s="105"/>
      <c r="R1101" s="105"/>
      <c r="S1101" s="105" t="s">
        <v>62</v>
      </c>
      <c r="T1101" s="105" t="s">
        <v>62</v>
      </c>
      <c r="U1101" s="105" t="s">
        <v>62</v>
      </c>
      <c r="V1101" s="105"/>
      <c r="W1101" s="105"/>
      <c r="X1101" s="105" t="s">
        <v>62</v>
      </c>
      <c r="Y1101" s="105"/>
      <c r="Z1101" s="105"/>
      <c r="AA1101" s="105"/>
      <c r="AB1101" s="187"/>
      <c r="AC1101" s="187"/>
      <c r="AD1101" s="105" t="s">
        <v>62</v>
      </c>
    </row>
    <row r="1102" spans="1:31" x14ac:dyDescent="0.25">
      <c r="A1102" s="103"/>
      <c r="B1102" s="104">
        <v>30705</v>
      </c>
      <c r="C1102" s="104" t="s">
        <v>64</v>
      </c>
      <c r="D1102" s="188" t="s">
        <v>1026</v>
      </c>
      <c r="E1102" s="20" t="s">
        <v>805</v>
      </c>
      <c r="F1102" s="3" t="s">
        <v>806</v>
      </c>
      <c r="G1102" s="29" t="s">
        <v>13</v>
      </c>
      <c r="H1102" s="118">
        <v>44469</v>
      </c>
      <c r="I1102" s="103"/>
      <c r="J1102" s="103" t="s">
        <v>58</v>
      </c>
      <c r="K1102" s="105" t="s">
        <v>1013</v>
      </c>
      <c r="L1102" s="106">
        <v>44478</v>
      </c>
      <c r="M1102" s="105" t="s">
        <v>60</v>
      </c>
      <c r="N1102" s="107">
        <v>44478</v>
      </c>
      <c r="O1102" s="106">
        <v>44478</v>
      </c>
      <c r="P1102" s="106"/>
      <c r="Q1102" s="105"/>
      <c r="R1102" s="105"/>
      <c r="S1102" s="105" t="s">
        <v>68</v>
      </c>
      <c r="T1102" s="105" t="s">
        <v>68</v>
      </c>
      <c r="U1102" s="105" t="s">
        <v>68</v>
      </c>
      <c r="V1102" s="105"/>
      <c r="W1102" s="105"/>
      <c r="X1102" s="105" t="s">
        <v>68</v>
      </c>
      <c r="Y1102" s="105"/>
      <c r="Z1102" s="105"/>
      <c r="AA1102" s="105"/>
      <c r="AB1102" s="187"/>
      <c r="AC1102" s="187"/>
      <c r="AD1102" s="105" t="s">
        <v>68</v>
      </c>
    </row>
    <row r="1103" spans="1:31" x14ac:dyDescent="0.25">
      <c r="A1103" s="134"/>
      <c r="B1103" s="135">
        <v>30705</v>
      </c>
      <c r="C1103" s="135" t="s">
        <v>54</v>
      </c>
      <c r="D1103" s="189" t="s">
        <v>1027</v>
      </c>
      <c r="E1103" s="111" t="s">
        <v>805</v>
      </c>
      <c r="F1103" s="115" t="s">
        <v>806</v>
      </c>
      <c r="G1103" s="110" t="s">
        <v>13</v>
      </c>
      <c r="H1103" s="136">
        <v>44469</v>
      </c>
      <c r="I1103" s="134"/>
      <c r="J1103" s="134" t="s">
        <v>58</v>
      </c>
      <c r="K1103" s="137" t="s">
        <v>1013</v>
      </c>
      <c r="L1103" s="138">
        <v>44478</v>
      </c>
      <c r="M1103" s="137" t="s">
        <v>60</v>
      </c>
      <c r="N1103" s="139">
        <v>44478</v>
      </c>
      <c r="O1103" s="138">
        <v>44478</v>
      </c>
      <c r="P1103" s="138"/>
      <c r="Q1103" s="137"/>
      <c r="R1103" s="137"/>
      <c r="S1103" s="137" t="s">
        <v>62</v>
      </c>
      <c r="T1103" s="137" t="s">
        <v>62</v>
      </c>
      <c r="U1103" s="137" t="s">
        <v>62</v>
      </c>
      <c r="V1103" s="137"/>
      <c r="W1103" s="137"/>
      <c r="X1103" s="137" t="s">
        <v>62</v>
      </c>
      <c r="Y1103" s="137"/>
      <c r="Z1103" s="137"/>
      <c r="AA1103" s="137"/>
      <c r="AB1103" s="190"/>
      <c r="AC1103" s="190"/>
      <c r="AD1103" s="137" t="s">
        <v>62</v>
      </c>
    </row>
    <row r="1104" spans="1:31" x14ac:dyDescent="0.25">
      <c r="A1104" s="103"/>
      <c r="B1104" s="104">
        <v>30210</v>
      </c>
      <c r="C1104" s="104" t="s">
        <v>64</v>
      </c>
      <c r="D1104" s="188" t="s">
        <v>1053</v>
      </c>
      <c r="E1104" s="111" t="s">
        <v>805</v>
      </c>
      <c r="F1104" s="115" t="s">
        <v>806</v>
      </c>
      <c r="G1104" s="110" t="s">
        <v>13</v>
      </c>
      <c r="H1104" s="118"/>
      <c r="I1104" s="103"/>
      <c r="J1104" s="103" t="s">
        <v>58</v>
      </c>
      <c r="K1104" s="137" t="s">
        <v>1013</v>
      </c>
      <c r="L1104" s="106">
        <v>44690</v>
      </c>
      <c r="M1104" s="105"/>
      <c r="N1104" s="107"/>
      <c r="O1104" s="106">
        <v>44690</v>
      </c>
      <c r="P1104" s="106"/>
      <c r="Q1104" s="105"/>
      <c r="R1104" s="105"/>
      <c r="S1104" s="105"/>
      <c r="T1104" s="105"/>
      <c r="U1104" s="105"/>
      <c r="V1104" s="105"/>
      <c r="W1104" s="105"/>
      <c r="X1104" s="105" t="s">
        <v>68</v>
      </c>
      <c r="Y1104" s="105"/>
      <c r="Z1104" s="105"/>
      <c r="AA1104" s="105"/>
      <c r="AB1104" s="187"/>
      <c r="AC1104" s="187"/>
      <c r="AD1104" s="105"/>
    </row>
    <row r="1105" spans="1:31" x14ac:dyDescent="0.25">
      <c r="A1105" s="103"/>
      <c r="B1105" s="104">
        <v>30210</v>
      </c>
      <c r="C1105" s="104" t="s">
        <v>54</v>
      </c>
      <c r="D1105" s="188" t="s">
        <v>1055</v>
      </c>
      <c r="E1105" s="111" t="s">
        <v>805</v>
      </c>
      <c r="F1105" s="115" t="s">
        <v>806</v>
      </c>
      <c r="G1105" s="110" t="s">
        <v>13</v>
      </c>
      <c r="H1105" s="118"/>
      <c r="I1105" s="103"/>
      <c r="J1105" s="103" t="s">
        <v>58</v>
      </c>
      <c r="K1105" s="137" t="s">
        <v>1013</v>
      </c>
      <c r="L1105" s="106">
        <v>44690</v>
      </c>
      <c r="M1105" s="105"/>
      <c r="N1105" s="107"/>
      <c r="O1105" s="106">
        <v>44690</v>
      </c>
      <c r="P1105" s="106"/>
      <c r="Q1105" s="105"/>
      <c r="R1105" s="105"/>
      <c r="S1105" s="105"/>
      <c r="T1105" s="105"/>
      <c r="U1105" s="105"/>
      <c r="V1105" s="105"/>
      <c r="W1105" s="105"/>
      <c r="X1105" s="137" t="s">
        <v>62</v>
      </c>
      <c r="Y1105" s="105"/>
      <c r="Z1105" s="105"/>
      <c r="AA1105" s="105"/>
      <c r="AB1105" s="187"/>
      <c r="AC1105" s="187"/>
      <c r="AD1105" s="105"/>
    </row>
    <row r="1106" spans="1:31" ht="14.4" x14ac:dyDescent="0.3">
      <c r="A1106" s="109" t="s">
        <v>82</v>
      </c>
      <c r="B1106" s="191">
        <v>30728</v>
      </c>
      <c r="C1106" s="192" t="s">
        <v>64</v>
      </c>
      <c r="D1106" s="193" t="s">
        <v>1661</v>
      </c>
      <c r="E1106" s="194" t="s">
        <v>1665</v>
      </c>
      <c r="F1106" s="194" t="s">
        <v>1243</v>
      </c>
      <c r="G1106" s="194" t="s">
        <v>14</v>
      </c>
      <c r="H1106" s="194" t="s">
        <v>82</v>
      </c>
      <c r="I1106" s="195" t="s">
        <v>82</v>
      </c>
      <c r="J1106" s="196" t="s">
        <v>58</v>
      </c>
      <c r="K1106" s="196" t="s">
        <v>680</v>
      </c>
      <c r="L1106" s="196" t="s">
        <v>1127</v>
      </c>
      <c r="M1106" s="196" t="s">
        <v>60</v>
      </c>
      <c r="N1106" s="196" t="s">
        <v>1127</v>
      </c>
      <c r="O1106" s="196" t="s">
        <v>82</v>
      </c>
      <c r="P1106" s="196" t="s">
        <v>82</v>
      </c>
      <c r="Q1106" s="196" t="s">
        <v>68</v>
      </c>
      <c r="R1106" s="196" t="s">
        <v>68</v>
      </c>
      <c r="S1106" s="196" t="s">
        <v>68</v>
      </c>
      <c r="T1106" s="196" t="s">
        <v>68</v>
      </c>
      <c r="U1106" s="196" t="s">
        <v>68</v>
      </c>
      <c r="V1106" s="197" t="s">
        <v>2418</v>
      </c>
      <c r="W1106" s="196" t="s">
        <v>82</v>
      </c>
      <c r="X1106" s="196" t="s">
        <v>82</v>
      </c>
      <c r="Y1106" s="198" t="s">
        <v>82</v>
      </c>
      <c r="Z1106" s="198" t="s">
        <v>82</v>
      </c>
      <c r="AA1106" s="195" t="s">
        <v>82</v>
      </c>
      <c r="AB1106" s="195" t="s">
        <v>82</v>
      </c>
      <c r="AC1106" s="198" t="s">
        <v>82</v>
      </c>
      <c r="AD1106" s="198"/>
      <c r="AE1106" s="120"/>
    </row>
    <row r="1107" spans="1:31" ht="14.4" x14ac:dyDescent="0.3">
      <c r="A1107" s="121" t="s">
        <v>82</v>
      </c>
      <c r="B1107" s="199">
        <v>30728</v>
      </c>
      <c r="C1107" s="154" t="s">
        <v>54</v>
      </c>
      <c r="D1107" s="200" t="s">
        <v>1663</v>
      </c>
      <c r="E1107" s="156" t="s">
        <v>1665</v>
      </c>
      <c r="F1107" s="156" t="s">
        <v>1243</v>
      </c>
      <c r="G1107" s="156" t="s">
        <v>14</v>
      </c>
      <c r="H1107" s="156" t="s">
        <v>82</v>
      </c>
      <c r="I1107" s="158" t="s">
        <v>82</v>
      </c>
      <c r="J1107" s="201" t="s">
        <v>58</v>
      </c>
      <c r="K1107" s="201" t="s">
        <v>680</v>
      </c>
      <c r="L1107" s="201" t="s">
        <v>1127</v>
      </c>
      <c r="M1107" s="201" t="s">
        <v>60</v>
      </c>
      <c r="N1107" s="201" t="s">
        <v>1127</v>
      </c>
      <c r="O1107" s="201" t="s">
        <v>82</v>
      </c>
      <c r="P1107" s="201" t="s">
        <v>82</v>
      </c>
      <c r="Q1107" s="201" t="s">
        <v>62</v>
      </c>
      <c r="R1107" s="201" t="s">
        <v>62</v>
      </c>
      <c r="S1107" s="201" t="s">
        <v>62</v>
      </c>
      <c r="T1107" s="201" t="s">
        <v>62</v>
      </c>
      <c r="U1107" s="201" t="s">
        <v>62</v>
      </c>
      <c r="V1107" s="202" t="s">
        <v>2418</v>
      </c>
      <c r="W1107" s="201" t="s">
        <v>82</v>
      </c>
      <c r="X1107" s="201" t="s">
        <v>82</v>
      </c>
      <c r="Y1107" s="159" t="s">
        <v>82</v>
      </c>
      <c r="Z1107" s="159" t="s">
        <v>82</v>
      </c>
      <c r="AA1107" s="158" t="s">
        <v>82</v>
      </c>
      <c r="AB1107" s="158" t="s">
        <v>82</v>
      </c>
      <c r="AC1107" s="159" t="s">
        <v>82</v>
      </c>
      <c r="AD1107" s="153"/>
      <c r="AE1107" s="120"/>
    </row>
    <row r="1108" spans="1:31" ht="15.6" x14ac:dyDescent="0.3">
      <c r="A1108" s="121" t="s">
        <v>82</v>
      </c>
      <c r="B1108" s="144">
        <v>37253</v>
      </c>
      <c r="C1108" s="154" t="s">
        <v>64</v>
      </c>
      <c r="D1108" s="203" t="s">
        <v>1285</v>
      </c>
      <c r="E1108" s="156" t="s">
        <v>2010</v>
      </c>
      <c r="F1108" s="158" t="s">
        <v>1102</v>
      </c>
      <c r="G1108" s="156" t="s">
        <v>14</v>
      </c>
      <c r="H1108" s="156" t="s">
        <v>82</v>
      </c>
      <c r="I1108" s="158" t="s">
        <v>82</v>
      </c>
      <c r="J1108" s="201" t="s">
        <v>58</v>
      </c>
      <c r="K1108" s="201" t="s">
        <v>680</v>
      </c>
      <c r="L1108" s="204">
        <v>44361</v>
      </c>
      <c r="M1108" s="201" t="s">
        <v>60</v>
      </c>
      <c r="N1108" s="204">
        <v>44316</v>
      </c>
      <c r="O1108" s="204">
        <v>44316</v>
      </c>
      <c r="P1108" s="201" t="s">
        <v>1103</v>
      </c>
      <c r="Q1108" s="201" t="s">
        <v>1103</v>
      </c>
      <c r="R1108" s="201" t="s">
        <v>1103</v>
      </c>
      <c r="S1108" s="201" t="s">
        <v>1103</v>
      </c>
      <c r="T1108" s="205" t="s">
        <v>82</v>
      </c>
      <c r="U1108" s="204">
        <v>44365</v>
      </c>
      <c r="V1108" s="201" t="s">
        <v>1309</v>
      </c>
      <c r="W1108" s="201" t="s">
        <v>82</v>
      </c>
      <c r="X1108" s="201" t="s">
        <v>82</v>
      </c>
      <c r="Y1108" s="159" t="s">
        <v>82</v>
      </c>
      <c r="Z1108" s="159" t="s">
        <v>82</v>
      </c>
      <c r="AA1108" s="158" t="s">
        <v>82</v>
      </c>
      <c r="AB1108" s="158" t="s">
        <v>82</v>
      </c>
      <c r="AC1108" s="159" t="s">
        <v>82</v>
      </c>
      <c r="AD1108" s="153"/>
      <c r="AE1108" s="120"/>
    </row>
    <row r="1109" spans="1:31" ht="15.6" x14ac:dyDescent="0.3">
      <c r="A1109" s="121" t="s">
        <v>82</v>
      </c>
      <c r="B1109" s="144">
        <v>37253</v>
      </c>
      <c r="C1109" s="154" t="s">
        <v>54</v>
      </c>
      <c r="D1109" s="203" t="s">
        <v>1283</v>
      </c>
      <c r="E1109" s="156" t="s">
        <v>2010</v>
      </c>
      <c r="F1109" s="158" t="s">
        <v>1102</v>
      </c>
      <c r="G1109" s="156" t="s">
        <v>14</v>
      </c>
      <c r="H1109" s="156" t="s">
        <v>82</v>
      </c>
      <c r="I1109" s="158" t="s">
        <v>82</v>
      </c>
      <c r="J1109" s="201" t="s">
        <v>58</v>
      </c>
      <c r="K1109" s="201" t="s">
        <v>680</v>
      </c>
      <c r="L1109" s="204">
        <v>44361</v>
      </c>
      <c r="M1109" s="201" t="s">
        <v>60</v>
      </c>
      <c r="N1109" s="204">
        <v>44316</v>
      </c>
      <c r="O1109" s="204">
        <v>44316</v>
      </c>
      <c r="P1109" s="201" t="s">
        <v>1103</v>
      </c>
      <c r="Q1109" s="201" t="s">
        <v>1103</v>
      </c>
      <c r="R1109" s="201" t="s">
        <v>1103</v>
      </c>
      <c r="S1109" s="201" t="s">
        <v>1103</v>
      </c>
      <c r="T1109" s="205" t="s">
        <v>82</v>
      </c>
      <c r="U1109" s="204">
        <v>44365</v>
      </c>
      <c r="V1109" s="201" t="s">
        <v>1309</v>
      </c>
      <c r="W1109" s="201" t="s">
        <v>82</v>
      </c>
      <c r="X1109" s="201" t="s">
        <v>82</v>
      </c>
      <c r="Y1109" s="159" t="s">
        <v>82</v>
      </c>
      <c r="Z1109" s="159" t="s">
        <v>82</v>
      </c>
      <c r="AA1109" s="158" t="s">
        <v>82</v>
      </c>
      <c r="AB1109" s="158" t="s">
        <v>82</v>
      </c>
      <c r="AC1109" s="159" t="s">
        <v>82</v>
      </c>
      <c r="AD1109" s="153"/>
      <c r="AE1109" s="120"/>
    </row>
    <row r="1110" spans="1:31" x14ac:dyDescent="0.25">
      <c r="A1110" s="121" t="s">
        <v>82</v>
      </c>
      <c r="B1110" s="144">
        <v>37124</v>
      </c>
      <c r="C1110" s="154" t="s">
        <v>64</v>
      </c>
      <c r="D1110" s="203" t="s">
        <v>1028</v>
      </c>
      <c r="E1110" s="156" t="s">
        <v>805</v>
      </c>
      <c r="F1110" s="158" t="s">
        <v>806</v>
      </c>
      <c r="G1110" s="156" t="s">
        <v>13</v>
      </c>
      <c r="H1110" s="156" t="s">
        <v>82</v>
      </c>
      <c r="I1110" s="158" t="s">
        <v>82</v>
      </c>
      <c r="J1110" s="201" t="s">
        <v>58</v>
      </c>
      <c r="K1110" s="201" t="s">
        <v>680</v>
      </c>
      <c r="L1110" s="204">
        <v>44476</v>
      </c>
      <c r="M1110" s="201" t="s">
        <v>60</v>
      </c>
      <c r="N1110" s="204">
        <v>44186</v>
      </c>
      <c r="O1110" s="204">
        <v>44477</v>
      </c>
      <c r="P1110" s="201" t="s">
        <v>82</v>
      </c>
      <c r="Q1110" s="201" t="s">
        <v>68</v>
      </c>
      <c r="R1110" s="201" t="s">
        <v>68</v>
      </c>
      <c r="S1110" s="201" t="s">
        <v>68</v>
      </c>
      <c r="T1110" s="201" t="s">
        <v>68</v>
      </c>
      <c r="U1110" s="201" t="s">
        <v>68</v>
      </c>
      <c r="V1110" s="201" t="s">
        <v>82</v>
      </c>
      <c r="W1110" s="201" t="s">
        <v>82</v>
      </c>
      <c r="X1110" s="201" t="s">
        <v>68</v>
      </c>
      <c r="Y1110" s="159" t="s">
        <v>82</v>
      </c>
      <c r="Z1110" s="159" t="s">
        <v>82</v>
      </c>
      <c r="AA1110" s="158" t="s">
        <v>82</v>
      </c>
      <c r="AB1110" s="158" t="s">
        <v>82</v>
      </c>
      <c r="AC1110" s="159" t="s">
        <v>82</v>
      </c>
      <c r="AD1110" s="153"/>
      <c r="AE1110" s="120"/>
    </row>
    <row r="1111" spans="1:31" x14ac:dyDescent="0.25">
      <c r="A1111" s="121" t="s">
        <v>82</v>
      </c>
      <c r="B1111" s="144">
        <v>37124</v>
      </c>
      <c r="C1111" s="154" t="s">
        <v>54</v>
      </c>
      <c r="D1111" s="203" t="s">
        <v>1029</v>
      </c>
      <c r="E1111" s="156" t="s">
        <v>805</v>
      </c>
      <c r="F1111" s="158" t="s">
        <v>806</v>
      </c>
      <c r="G1111" s="156" t="s">
        <v>13</v>
      </c>
      <c r="H1111" s="156" t="s">
        <v>82</v>
      </c>
      <c r="I1111" s="158" t="s">
        <v>82</v>
      </c>
      <c r="J1111" s="201" t="s">
        <v>58</v>
      </c>
      <c r="K1111" s="201" t="s">
        <v>680</v>
      </c>
      <c r="L1111" s="204">
        <v>44476</v>
      </c>
      <c r="M1111" s="201" t="s">
        <v>60</v>
      </c>
      <c r="N1111" s="204">
        <v>44186</v>
      </c>
      <c r="O1111" s="204">
        <v>44477</v>
      </c>
      <c r="P1111" s="201" t="s">
        <v>82</v>
      </c>
      <c r="Q1111" s="201" t="s">
        <v>62</v>
      </c>
      <c r="R1111" s="201" t="s">
        <v>62</v>
      </c>
      <c r="S1111" s="201" t="s">
        <v>62</v>
      </c>
      <c r="T1111" s="201" t="s">
        <v>62</v>
      </c>
      <c r="U1111" s="201" t="s">
        <v>62</v>
      </c>
      <c r="V1111" s="201" t="s">
        <v>1030</v>
      </c>
      <c r="W1111" s="201" t="s">
        <v>82</v>
      </c>
      <c r="X1111" s="201" t="s">
        <v>62</v>
      </c>
      <c r="Y1111" s="159" t="s">
        <v>82</v>
      </c>
      <c r="Z1111" s="159" t="s">
        <v>82</v>
      </c>
      <c r="AA1111" s="158" t="s">
        <v>82</v>
      </c>
      <c r="AB1111" s="158" t="s">
        <v>82</v>
      </c>
      <c r="AC1111" s="159" t="s">
        <v>82</v>
      </c>
      <c r="AD1111" s="153"/>
      <c r="AE1111" s="120"/>
    </row>
    <row r="1112" spans="1:31" ht="13.8" x14ac:dyDescent="0.3">
      <c r="A1112" s="121" t="s">
        <v>82</v>
      </c>
      <c r="B1112" s="144">
        <v>30701</v>
      </c>
      <c r="C1112" s="154" t="s">
        <v>64</v>
      </c>
      <c r="D1112" s="203" t="s">
        <v>1744</v>
      </c>
      <c r="E1112" s="156" t="s">
        <v>2419</v>
      </c>
      <c r="F1112" s="158" t="s">
        <v>1740</v>
      </c>
      <c r="G1112" s="156" t="s">
        <v>14</v>
      </c>
      <c r="H1112" s="156" t="s">
        <v>82</v>
      </c>
      <c r="I1112" s="158" t="s">
        <v>82</v>
      </c>
      <c r="J1112" s="201" t="s">
        <v>58</v>
      </c>
      <c r="K1112" s="201" t="s">
        <v>680</v>
      </c>
      <c r="L1112" s="206">
        <v>44424</v>
      </c>
      <c r="M1112" s="201" t="s">
        <v>60</v>
      </c>
      <c r="N1112" s="206">
        <v>44424</v>
      </c>
      <c r="O1112" s="206">
        <v>44424</v>
      </c>
      <c r="P1112" s="201" t="s">
        <v>2420</v>
      </c>
      <c r="Q1112" s="201" t="s">
        <v>68</v>
      </c>
      <c r="R1112" s="201" t="s">
        <v>68</v>
      </c>
      <c r="S1112" s="201" t="s">
        <v>68</v>
      </c>
      <c r="T1112" s="207">
        <v>44424</v>
      </c>
      <c r="U1112" s="206">
        <v>44424</v>
      </c>
      <c r="V1112" s="201" t="s">
        <v>2421</v>
      </c>
      <c r="W1112" s="201" t="s">
        <v>63</v>
      </c>
      <c r="X1112" s="159" t="s">
        <v>82</v>
      </c>
      <c r="Y1112" s="159" t="s">
        <v>82</v>
      </c>
      <c r="Z1112" s="159" t="s">
        <v>82</v>
      </c>
      <c r="AA1112" s="158" t="s">
        <v>82</v>
      </c>
      <c r="AB1112" s="158" t="s">
        <v>82</v>
      </c>
      <c r="AC1112" s="159" t="s">
        <v>82</v>
      </c>
      <c r="AD1112" s="153"/>
      <c r="AE1112" s="120"/>
    </row>
    <row r="1113" spans="1:31" ht="13.8" x14ac:dyDescent="0.3">
      <c r="A1113" s="121" t="s">
        <v>82</v>
      </c>
      <c r="B1113" s="144">
        <v>30701</v>
      </c>
      <c r="C1113" s="154" t="s">
        <v>54</v>
      </c>
      <c r="D1113" s="203" t="s">
        <v>1747</v>
      </c>
      <c r="E1113" s="156" t="s">
        <v>2419</v>
      </c>
      <c r="F1113" s="158" t="s">
        <v>1740</v>
      </c>
      <c r="G1113" s="156" t="s">
        <v>14</v>
      </c>
      <c r="H1113" s="156" t="s">
        <v>82</v>
      </c>
      <c r="I1113" s="158" t="s">
        <v>82</v>
      </c>
      <c r="J1113" s="201" t="s">
        <v>58</v>
      </c>
      <c r="K1113" s="201" t="s">
        <v>680</v>
      </c>
      <c r="L1113" s="206">
        <v>44424</v>
      </c>
      <c r="M1113" s="201" t="s">
        <v>60</v>
      </c>
      <c r="N1113" s="206">
        <v>44424</v>
      </c>
      <c r="O1113" s="206">
        <v>44424</v>
      </c>
      <c r="P1113" s="201" t="s">
        <v>2420</v>
      </c>
      <c r="Q1113" s="201" t="s">
        <v>62</v>
      </c>
      <c r="R1113" s="201" t="s">
        <v>62</v>
      </c>
      <c r="S1113" s="201" t="s">
        <v>62</v>
      </c>
      <c r="T1113" s="207">
        <v>44424</v>
      </c>
      <c r="U1113" s="206">
        <v>44424</v>
      </c>
      <c r="V1113" s="201" t="s">
        <v>2421</v>
      </c>
      <c r="W1113" s="201" t="s">
        <v>63</v>
      </c>
      <c r="X1113" s="160" t="s">
        <v>82</v>
      </c>
      <c r="Y1113" s="160" t="s">
        <v>82</v>
      </c>
      <c r="Z1113" s="160" t="s">
        <v>82</v>
      </c>
      <c r="AA1113" s="158" t="s">
        <v>82</v>
      </c>
      <c r="AB1113" s="158" t="s">
        <v>82</v>
      </c>
      <c r="AC1113" s="160" t="s">
        <v>82</v>
      </c>
      <c r="AD1113" s="168"/>
      <c r="AE1113" s="120"/>
    </row>
    <row r="1114" spans="1:31" ht="13.8" x14ac:dyDescent="0.3">
      <c r="A1114" s="121" t="s">
        <v>82</v>
      </c>
      <c r="B1114" s="144">
        <v>37445</v>
      </c>
      <c r="C1114" s="154" t="s">
        <v>64</v>
      </c>
      <c r="D1114" s="208" t="s">
        <v>1797</v>
      </c>
      <c r="E1114" s="156" t="s">
        <v>2419</v>
      </c>
      <c r="F1114" s="158" t="s">
        <v>1740</v>
      </c>
      <c r="G1114" s="156" t="s">
        <v>14</v>
      </c>
      <c r="H1114" s="156" t="s">
        <v>82</v>
      </c>
      <c r="I1114" s="158" t="s">
        <v>82</v>
      </c>
      <c r="J1114" s="201" t="s">
        <v>58</v>
      </c>
      <c r="K1114" s="201" t="s">
        <v>680</v>
      </c>
      <c r="L1114" s="204">
        <v>44189</v>
      </c>
      <c r="M1114" s="201" t="s">
        <v>60</v>
      </c>
      <c r="N1114" s="204">
        <v>44215</v>
      </c>
      <c r="O1114" s="204">
        <v>44396</v>
      </c>
      <c r="P1114" s="201" t="s">
        <v>2420</v>
      </c>
      <c r="Q1114" s="201" t="s">
        <v>68</v>
      </c>
      <c r="R1114" s="201" t="s">
        <v>68</v>
      </c>
      <c r="S1114" s="201" t="s">
        <v>68</v>
      </c>
      <c r="T1114" s="209">
        <v>44486</v>
      </c>
      <c r="U1114" s="209">
        <v>44486</v>
      </c>
      <c r="V1114" s="201" t="s">
        <v>2422</v>
      </c>
      <c r="W1114" s="201" t="s">
        <v>63</v>
      </c>
      <c r="X1114" s="201" t="s">
        <v>82</v>
      </c>
      <c r="Y1114" s="160" t="s">
        <v>82</v>
      </c>
      <c r="Z1114" s="160" t="s">
        <v>82</v>
      </c>
      <c r="AA1114" s="158" t="s">
        <v>82</v>
      </c>
      <c r="AB1114" s="158" t="s">
        <v>82</v>
      </c>
      <c r="AC1114" s="160" t="s">
        <v>82</v>
      </c>
      <c r="AD1114" s="168"/>
      <c r="AE1114" s="120"/>
    </row>
    <row r="1115" spans="1:31" ht="13.8" x14ac:dyDescent="0.3">
      <c r="A1115" s="121" t="s">
        <v>82</v>
      </c>
      <c r="B1115" s="144">
        <v>37445</v>
      </c>
      <c r="C1115" s="154" t="s">
        <v>54</v>
      </c>
      <c r="D1115" s="208" t="s">
        <v>1798</v>
      </c>
      <c r="E1115" s="156" t="s">
        <v>2419</v>
      </c>
      <c r="F1115" s="158" t="s">
        <v>1740</v>
      </c>
      <c r="G1115" s="156" t="s">
        <v>14</v>
      </c>
      <c r="H1115" s="156" t="s">
        <v>82</v>
      </c>
      <c r="I1115" s="158" t="s">
        <v>82</v>
      </c>
      <c r="J1115" s="201" t="s">
        <v>58</v>
      </c>
      <c r="K1115" s="201" t="s">
        <v>680</v>
      </c>
      <c r="L1115" s="204">
        <v>44189</v>
      </c>
      <c r="M1115" s="201" t="s">
        <v>60</v>
      </c>
      <c r="N1115" s="204">
        <v>44215</v>
      </c>
      <c r="O1115" s="204">
        <v>44396</v>
      </c>
      <c r="P1115" s="201" t="s">
        <v>2420</v>
      </c>
      <c r="Q1115" s="201" t="s">
        <v>62</v>
      </c>
      <c r="R1115" s="201" t="s">
        <v>62</v>
      </c>
      <c r="S1115" s="201" t="s">
        <v>62</v>
      </c>
      <c r="T1115" s="209">
        <v>44486</v>
      </c>
      <c r="U1115" s="209">
        <v>44486</v>
      </c>
      <c r="V1115" s="201" t="s">
        <v>2422</v>
      </c>
      <c r="W1115" s="201" t="s">
        <v>63</v>
      </c>
      <c r="X1115" s="201" t="s">
        <v>82</v>
      </c>
      <c r="Y1115" s="159" t="s">
        <v>82</v>
      </c>
      <c r="Z1115" s="159" t="s">
        <v>82</v>
      </c>
      <c r="AA1115" s="158" t="s">
        <v>82</v>
      </c>
      <c r="AB1115" s="158" t="s">
        <v>82</v>
      </c>
      <c r="AC1115" s="159" t="s">
        <v>82</v>
      </c>
      <c r="AD1115" s="153"/>
      <c r="AE1115" s="120"/>
    </row>
    <row r="1116" spans="1:31" ht="13.8" x14ac:dyDescent="0.3">
      <c r="A1116" s="121" t="s">
        <v>82</v>
      </c>
      <c r="B1116" s="144">
        <v>39196</v>
      </c>
      <c r="C1116" s="154" t="s">
        <v>64</v>
      </c>
      <c r="D1116" s="203" t="s">
        <v>1817</v>
      </c>
      <c r="E1116" s="156" t="s">
        <v>2419</v>
      </c>
      <c r="F1116" s="158" t="s">
        <v>1740</v>
      </c>
      <c r="G1116" s="156" t="s">
        <v>14</v>
      </c>
      <c r="H1116" s="156" t="s">
        <v>82</v>
      </c>
      <c r="I1116" s="158" t="s">
        <v>82</v>
      </c>
      <c r="J1116" s="201" t="s">
        <v>58</v>
      </c>
      <c r="K1116" s="201" t="s">
        <v>680</v>
      </c>
      <c r="L1116" s="206">
        <v>44393</v>
      </c>
      <c r="M1116" s="201" t="s">
        <v>60</v>
      </c>
      <c r="N1116" s="206">
        <v>44393</v>
      </c>
      <c r="O1116" s="206">
        <v>44393</v>
      </c>
      <c r="P1116" s="201" t="s">
        <v>2420</v>
      </c>
      <c r="Q1116" s="201" t="s">
        <v>68</v>
      </c>
      <c r="R1116" s="201" t="s">
        <v>68</v>
      </c>
      <c r="S1116" s="201" t="s">
        <v>68</v>
      </c>
      <c r="T1116" s="207">
        <v>44393</v>
      </c>
      <c r="U1116" s="206">
        <v>44393</v>
      </c>
      <c r="V1116" s="201" t="s">
        <v>2421</v>
      </c>
      <c r="W1116" s="201" t="s">
        <v>63</v>
      </c>
      <c r="X1116" s="201" t="s">
        <v>82</v>
      </c>
      <c r="Y1116" s="159" t="s">
        <v>82</v>
      </c>
      <c r="Z1116" s="159" t="s">
        <v>82</v>
      </c>
      <c r="AA1116" s="158" t="s">
        <v>82</v>
      </c>
      <c r="AB1116" s="158" t="s">
        <v>82</v>
      </c>
      <c r="AC1116" s="159" t="s">
        <v>82</v>
      </c>
      <c r="AD1116" s="153"/>
      <c r="AE1116" s="120"/>
    </row>
    <row r="1117" spans="1:31" ht="13.8" x14ac:dyDescent="0.3">
      <c r="A1117" s="121" t="s">
        <v>82</v>
      </c>
      <c r="B1117" s="144">
        <v>39196</v>
      </c>
      <c r="C1117" s="154" t="s">
        <v>54</v>
      </c>
      <c r="D1117" s="203" t="s">
        <v>1818</v>
      </c>
      <c r="E1117" s="156" t="s">
        <v>2419</v>
      </c>
      <c r="F1117" s="158" t="s">
        <v>1740</v>
      </c>
      <c r="G1117" s="156" t="s">
        <v>14</v>
      </c>
      <c r="H1117" s="156" t="s">
        <v>82</v>
      </c>
      <c r="I1117" s="158" t="s">
        <v>82</v>
      </c>
      <c r="J1117" s="201" t="s">
        <v>58</v>
      </c>
      <c r="K1117" s="201" t="s">
        <v>680</v>
      </c>
      <c r="L1117" s="206">
        <v>44393</v>
      </c>
      <c r="M1117" s="201" t="s">
        <v>60</v>
      </c>
      <c r="N1117" s="206">
        <v>44393</v>
      </c>
      <c r="O1117" s="206">
        <v>44393</v>
      </c>
      <c r="P1117" s="201" t="s">
        <v>2420</v>
      </c>
      <c r="Q1117" s="201" t="s">
        <v>62</v>
      </c>
      <c r="R1117" s="201" t="s">
        <v>62</v>
      </c>
      <c r="S1117" s="201" t="s">
        <v>62</v>
      </c>
      <c r="T1117" s="207">
        <v>44393</v>
      </c>
      <c r="U1117" s="206">
        <v>44393</v>
      </c>
      <c r="V1117" s="201" t="s">
        <v>2421</v>
      </c>
      <c r="W1117" s="201" t="s">
        <v>63</v>
      </c>
      <c r="X1117" s="201" t="s">
        <v>82</v>
      </c>
      <c r="Y1117" s="159" t="s">
        <v>82</v>
      </c>
      <c r="Z1117" s="159" t="s">
        <v>82</v>
      </c>
      <c r="AA1117" s="158" t="s">
        <v>82</v>
      </c>
      <c r="AB1117" s="158" t="s">
        <v>82</v>
      </c>
      <c r="AC1117" s="159" t="s">
        <v>82</v>
      </c>
      <c r="AD1117" s="153"/>
      <c r="AE1117" s="120"/>
    </row>
    <row r="1118" spans="1:31" ht="13.8" x14ac:dyDescent="0.3">
      <c r="A1118" s="121" t="s">
        <v>82</v>
      </c>
      <c r="B1118" s="144">
        <v>39198</v>
      </c>
      <c r="C1118" s="154" t="s">
        <v>64</v>
      </c>
      <c r="D1118" s="203" t="s">
        <v>1819</v>
      </c>
      <c r="E1118" s="156" t="s">
        <v>2419</v>
      </c>
      <c r="F1118" s="158" t="s">
        <v>1740</v>
      </c>
      <c r="G1118" s="156" t="s">
        <v>14</v>
      </c>
      <c r="H1118" s="156" t="s">
        <v>82</v>
      </c>
      <c r="I1118" s="158" t="s">
        <v>82</v>
      </c>
      <c r="J1118" s="201" t="s">
        <v>58</v>
      </c>
      <c r="K1118" s="201" t="s">
        <v>680</v>
      </c>
      <c r="L1118" s="201" t="s">
        <v>1308</v>
      </c>
      <c r="M1118" s="201" t="s">
        <v>60</v>
      </c>
      <c r="N1118" s="201" t="s">
        <v>1308</v>
      </c>
      <c r="O1118" s="201" t="s">
        <v>82</v>
      </c>
      <c r="P1118" s="201" t="s">
        <v>2420</v>
      </c>
      <c r="Q1118" s="201" t="s">
        <v>1308</v>
      </c>
      <c r="R1118" s="201" t="s">
        <v>68</v>
      </c>
      <c r="S1118" s="201" t="s">
        <v>68</v>
      </c>
      <c r="T1118" s="210" t="s">
        <v>82</v>
      </c>
      <c r="U1118" s="201" t="s">
        <v>82</v>
      </c>
      <c r="V1118" s="201" t="s">
        <v>82</v>
      </c>
      <c r="W1118" s="201" t="s">
        <v>82</v>
      </c>
      <c r="X1118" s="201" t="s">
        <v>82</v>
      </c>
      <c r="Y1118" s="159" t="s">
        <v>82</v>
      </c>
      <c r="Z1118" s="159" t="s">
        <v>82</v>
      </c>
      <c r="AA1118" s="158" t="s">
        <v>82</v>
      </c>
      <c r="AB1118" s="158" t="s">
        <v>82</v>
      </c>
      <c r="AC1118" s="159" t="s">
        <v>82</v>
      </c>
      <c r="AD1118" s="153"/>
      <c r="AE1118" s="120"/>
    </row>
    <row r="1119" spans="1:31" ht="13.8" x14ac:dyDescent="0.3">
      <c r="A1119" s="121" t="s">
        <v>82</v>
      </c>
      <c r="B1119" s="144">
        <v>39198</v>
      </c>
      <c r="C1119" s="154" t="s">
        <v>54</v>
      </c>
      <c r="D1119" s="203" t="s">
        <v>1821</v>
      </c>
      <c r="E1119" s="156" t="s">
        <v>2419</v>
      </c>
      <c r="F1119" s="158" t="s">
        <v>1740</v>
      </c>
      <c r="G1119" s="156" t="s">
        <v>14</v>
      </c>
      <c r="H1119" s="156" t="s">
        <v>82</v>
      </c>
      <c r="I1119" s="158" t="s">
        <v>82</v>
      </c>
      <c r="J1119" s="201" t="s">
        <v>58</v>
      </c>
      <c r="K1119" s="201" t="s">
        <v>680</v>
      </c>
      <c r="L1119" s="201" t="s">
        <v>1308</v>
      </c>
      <c r="M1119" s="201" t="s">
        <v>60</v>
      </c>
      <c r="N1119" s="201" t="s">
        <v>1308</v>
      </c>
      <c r="O1119" s="201" t="s">
        <v>82</v>
      </c>
      <c r="P1119" s="201" t="s">
        <v>2420</v>
      </c>
      <c r="Q1119" s="201" t="s">
        <v>1308</v>
      </c>
      <c r="R1119" s="201" t="s">
        <v>62</v>
      </c>
      <c r="S1119" s="201" t="s">
        <v>62</v>
      </c>
      <c r="T1119" s="210" t="s">
        <v>82</v>
      </c>
      <c r="U1119" s="201" t="s">
        <v>82</v>
      </c>
      <c r="V1119" s="201" t="s">
        <v>82</v>
      </c>
      <c r="W1119" s="201" t="s">
        <v>82</v>
      </c>
      <c r="X1119" s="201" t="s">
        <v>82</v>
      </c>
      <c r="Y1119" s="159" t="s">
        <v>82</v>
      </c>
      <c r="Z1119" s="159" t="s">
        <v>82</v>
      </c>
      <c r="AA1119" s="158" t="s">
        <v>82</v>
      </c>
      <c r="AB1119" s="158" t="s">
        <v>82</v>
      </c>
      <c r="AC1119" s="159" t="s">
        <v>82</v>
      </c>
      <c r="AD1119" s="153"/>
      <c r="AE1119" s="120"/>
    </row>
    <row r="1120" spans="1:31" ht="13.8" x14ac:dyDescent="0.3">
      <c r="A1120" s="121" t="s">
        <v>82</v>
      </c>
      <c r="B1120" s="144">
        <v>39199</v>
      </c>
      <c r="C1120" s="154" t="s">
        <v>64</v>
      </c>
      <c r="D1120" s="203" t="s">
        <v>1822</v>
      </c>
      <c r="E1120" s="156" t="s">
        <v>2419</v>
      </c>
      <c r="F1120" s="158" t="s">
        <v>1740</v>
      </c>
      <c r="G1120" s="156" t="s">
        <v>14</v>
      </c>
      <c r="H1120" s="156" t="s">
        <v>82</v>
      </c>
      <c r="I1120" s="158" t="s">
        <v>82</v>
      </c>
      <c r="J1120" s="201" t="s">
        <v>58</v>
      </c>
      <c r="K1120" s="201" t="s">
        <v>680</v>
      </c>
      <c r="L1120" s="201" t="s">
        <v>1308</v>
      </c>
      <c r="M1120" s="201" t="s">
        <v>60</v>
      </c>
      <c r="N1120" s="201" t="s">
        <v>1308</v>
      </c>
      <c r="O1120" s="201" t="s">
        <v>82</v>
      </c>
      <c r="P1120" s="201" t="s">
        <v>2420</v>
      </c>
      <c r="Q1120" s="201" t="s">
        <v>1308</v>
      </c>
      <c r="R1120" s="201" t="s">
        <v>68</v>
      </c>
      <c r="S1120" s="201" t="s">
        <v>68</v>
      </c>
      <c r="T1120" s="210" t="s">
        <v>82</v>
      </c>
      <c r="U1120" s="201" t="s">
        <v>82</v>
      </c>
      <c r="V1120" s="201" t="s">
        <v>82</v>
      </c>
      <c r="W1120" s="201" t="s">
        <v>82</v>
      </c>
      <c r="X1120" s="201" t="s">
        <v>82</v>
      </c>
      <c r="Y1120" s="159" t="s">
        <v>82</v>
      </c>
      <c r="Z1120" s="159" t="s">
        <v>82</v>
      </c>
      <c r="AA1120" s="158" t="s">
        <v>82</v>
      </c>
      <c r="AB1120" s="158" t="s">
        <v>82</v>
      </c>
      <c r="AC1120" s="159" t="s">
        <v>82</v>
      </c>
      <c r="AD1120" s="153"/>
      <c r="AE1120" s="120"/>
    </row>
    <row r="1121" spans="1:31" ht="13.8" x14ac:dyDescent="0.3">
      <c r="A1121" s="121" t="s">
        <v>82</v>
      </c>
      <c r="B1121" s="144">
        <v>39199</v>
      </c>
      <c r="C1121" s="154" t="s">
        <v>54</v>
      </c>
      <c r="D1121" s="203" t="s">
        <v>1823</v>
      </c>
      <c r="E1121" s="156" t="s">
        <v>2419</v>
      </c>
      <c r="F1121" s="158" t="s">
        <v>1740</v>
      </c>
      <c r="G1121" s="156" t="s">
        <v>14</v>
      </c>
      <c r="H1121" s="156" t="s">
        <v>82</v>
      </c>
      <c r="I1121" s="158" t="s">
        <v>82</v>
      </c>
      <c r="J1121" s="201" t="s">
        <v>58</v>
      </c>
      <c r="K1121" s="201" t="s">
        <v>680</v>
      </c>
      <c r="L1121" s="201" t="s">
        <v>1308</v>
      </c>
      <c r="M1121" s="201" t="s">
        <v>60</v>
      </c>
      <c r="N1121" s="201" t="s">
        <v>1308</v>
      </c>
      <c r="O1121" s="201" t="s">
        <v>82</v>
      </c>
      <c r="P1121" s="201" t="s">
        <v>2420</v>
      </c>
      <c r="Q1121" s="201" t="s">
        <v>1308</v>
      </c>
      <c r="R1121" s="201" t="s">
        <v>62</v>
      </c>
      <c r="S1121" s="201" t="s">
        <v>62</v>
      </c>
      <c r="T1121" s="210" t="s">
        <v>82</v>
      </c>
      <c r="U1121" s="201" t="s">
        <v>82</v>
      </c>
      <c r="V1121" s="201" t="s">
        <v>82</v>
      </c>
      <c r="W1121" s="201" t="s">
        <v>82</v>
      </c>
      <c r="X1121" s="201" t="s">
        <v>82</v>
      </c>
      <c r="Y1121" s="159" t="s">
        <v>82</v>
      </c>
      <c r="Z1121" s="159" t="s">
        <v>82</v>
      </c>
      <c r="AA1121" s="158" t="s">
        <v>82</v>
      </c>
      <c r="AB1121" s="158" t="s">
        <v>82</v>
      </c>
      <c r="AC1121" s="159" t="s">
        <v>82</v>
      </c>
      <c r="AD1121" s="153"/>
      <c r="AE1121" s="120"/>
    </row>
    <row r="1122" spans="1:31" ht="13.8" x14ac:dyDescent="0.3">
      <c r="A1122" s="121" t="s">
        <v>82</v>
      </c>
      <c r="B1122" s="144">
        <v>30694</v>
      </c>
      <c r="C1122" s="154" t="s">
        <v>64</v>
      </c>
      <c r="D1122" s="203" t="s">
        <v>1738</v>
      </c>
      <c r="E1122" s="156" t="s">
        <v>2419</v>
      </c>
      <c r="F1122" s="158" t="s">
        <v>1740</v>
      </c>
      <c r="G1122" s="156" t="s">
        <v>14</v>
      </c>
      <c r="H1122" s="156" t="s">
        <v>82</v>
      </c>
      <c r="I1122" s="158" t="s">
        <v>82</v>
      </c>
      <c r="J1122" s="201" t="s">
        <v>58</v>
      </c>
      <c r="K1122" s="201" t="s">
        <v>680</v>
      </c>
      <c r="L1122" s="201" t="s">
        <v>82</v>
      </c>
      <c r="M1122" s="201" t="s">
        <v>60</v>
      </c>
      <c r="N1122" s="201" t="s">
        <v>1308</v>
      </c>
      <c r="O1122" s="201" t="s">
        <v>82</v>
      </c>
      <c r="P1122" s="201" t="s">
        <v>2420</v>
      </c>
      <c r="Q1122" s="201" t="s">
        <v>1308</v>
      </c>
      <c r="R1122" s="201" t="s">
        <v>68</v>
      </c>
      <c r="S1122" s="201" t="s">
        <v>68</v>
      </c>
      <c r="T1122" s="210" t="s">
        <v>82</v>
      </c>
      <c r="U1122" s="201" t="s">
        <v>82</v>
      </c>
      <c r="V1122" s="201" t="s">
        <v>82</v>
      </c>
      <c r="W1122" s="201" t="s">
        <v>82</v>
      </c>
      <c r="X1122" s="201" t="s">
        <v>82</v>
      </c>
      <c r="Y1122" s="159" t="s">
        <v>82</v>
      </c>
      <c r="Z1122" s="159" t="s">
        <v>82</v>
      </c>
      <c r="AA1122" s="158" t="s">
        <v>82</v>
      </c>
      <c r="AB1122" s="158" t="s">
        <v>82</v>
      </c>
      <c r="AC1122" s="159" t="s">
        <v>82</v>
      </c>
      <c r="AD1122" s="153"/>
      <c r="AE1122" s="120"/>
    </row>
    <row r="1123" spans="1:31" ht="13.8" x14ac:dyDescent="0.3">
      <c r="A1123" s="121" t="s">
        <v>82</v>
      </c>
      <c r="B1123" s="144">
        <v>30694</v>
      </c>
      <c r="C1123" s="154" t="s">
        <v>54</v>
      </c>
      <c r="D1123" s="203" t="s">
        <v>1741</v>
      </c>
      <c r="E1123" s="156" t="s">
        <v>2419</v>
      </c>
      <c r="F1123" s="158" t="s">
        <v>1740</v>
      </c>
      <c r="G1123" s="156" t="s">
        <v>14</v>
      </c>
      <c r="H1123" s="156" t="s">
        <v>82</v>
      </c>
      <c r="I1123" s="158" t="s">
        <v>82</v>
      </c>
      <c r="J1123" s="201" t="s">
        <v>58</v>
      </c>
      <c r="K1123" s="201" t="s">
        <v>680</v>
      </c>
      <c r="L1123" s="201" t="s">
        <v>82</v>
      </c>
      <c r="M1123" s="201" t="s">
        <v>60</v>
      </c>
      <c r="N1123" s="201" t="s">
        <v>1308</v>
      </c>
      <c r="O1123" s="201" t="s">
        <v>82</v>
      </c>
      <c r="P1123" s="201" t="s">
        <v>2420</v>
      </c>
      <c r="Q1123" s="201" t="s">
        <v>1308</v>
      </c>
      <c r="R1123" s="201" t="s">
        <v>62</v>
      </c>
      <c r="S1123" s="201" t="s">
        <v>62</v>
      </c>
      <c r="T1123" s="210" t="s">
        <v>82</v>
      </c>
      <c r="U1123" s="201" t="s">
        <v>82</v>
      </c>
      <c r="V1123" s="201" t="s">
        <v>82</v>
      </c>
      <c r="W1123" s="201" t="s">
        <v>82</v>
      </c>
      <c r="X1123" s="201" t="s">
        <v>82</v>
      </c>
      <c r="Y1123" s="159" t="s">
        <v>82</v>
      </c>
      <c r="Z1123" s="159" t="s">
        <v>82</v>
      </c>
      <c r="AA1123" s="158" t="s">
        <v>82</v>
      </c>
      <c r="AB1123" s="158" t="s">
        <v>82</v>
      </c>
      <c r="AC1123" s="159" t="s">
        <v>82</v>
      </c>
      <c r="AD1123" s="153"/>
      <c r="AE1123" s="120"/>
    </row>
    <row r="1124" spans="1:31" ht="13.8" x14ac:dyDescent="0.3">
      <c r="A1124" s="121" t="s">
        <v>82</v>
      </c>
      <c r="B1124" s="144">
        <v>30706</v>
      </c>
      <c r="C1124" s="154" t="s">
        <v>64</v>
      </c>
      <c r="D1124" s="203" t="s">
        <v>1748</v>
      </c>
      <c r="E1124" s="156" t="s">
        <v>2419</v>
      </c>
      <c r="F1124" s="158" t="s">
        <v>1740</v>
      </c>
      <c r="G1124" s="156" t="s">
        <v>14</v>
      </c>
      <c r="H1124" s="156" t="s">
        <v>82</v>
      </c>
      <c r="I1124" s="158" t="s">
        <v>82</v>
      </c>
      <c r="J1124" s="201" t="s">
        <v>58</v>
      </c>
      <c r="K1124" s="201" t="s">
        <v>680</v>
      </c>
      <c r="L1124" s="201" t="s">
        <v>82</v>
      </c>
      <c r="M1124" s="201" t="s">
        <v>60</v>
      </c>
      <c r="N1124" s="201" t="s">
        <v>1308</v>
      </c>
      <c r="O1124" s="201" t="s">
        <v>82</v>
      </c>
      <c r="P1124" s="201" t="s">
        <v>2420</v>
      </c>
      <c r="Q1124" s="201" t="s">
        <v>1308</v>
      </c>
      <c r="R1124" s="201" t="s">
        <v>68</v>
      </c>
      <c r="S1124" s="201" t="s">
        <v>68</v>
      </c>
      <c r="T1124" s="210" t="s">
        <v>82</v>
      </c>
      <c r="U1124" s="201" t="s">
        <v>82</v>
      </c>
      <c r="V1124" s="201" t="s">
        <v>82</v>
      </c>
      <c r="W1124" s="201" t="s">
        <v>82</v>
      </c>
      <c r="X1124" s="201" t="s">
        <v>82</v>
      </c>
      <c r="Y1124" s="159" t="s">
        <v>82</v>
      </c>
      <c r="Z1124" s="159" t="s">
        <v>82</v>
      </c>
      <c r="AA1124" s="158" t="s">
        <v>82</v>
      </c>
      <c r="AB1124" s="158" t="s">
        <v>82</v>
      </c>
      <c r="AC1124" s="159" t="s">
        <v>82</v>
      </c>
      <c r="AD1124" s="153"/>
      <c r="AE1124" s="120"/>
    </row>
    <row r="1125" spans="1:31" ht="13.8" x14ac:dyDescent="0.3">
      <c r="A1125" s="121" t="s">
        <v>82</v>
      </c>
      <c r="B1125" s="144">
        <v>30706</v>
      </c>
      <c r="C1125" s="154" t="s">
        <v>54</v>
      </c>
      <c r="D1125" s="203" t="s">
        <v>1749</v>
      </c>
      <c r="E1125" s="156" t="s">
        <v>2419</v>
      </c>
      <c r="F1125" s="158" t="s">
        <v>1740</v>
      </c>
      <c r="G1125" s="156" t="s">
        <v>14</v>
      </c>
      <c r="H1125" s="156" t="s">
        <v>82</v>
      </c>
      <c r="I1125" s="158" t="s">
        <v>82</v>
      </c>
      <c r="J1125" s="201" t="s">
        <v>58</v>
      </c>
      <c r="K1125" s="201" t="s">
        <v>680</v>
      </c>
      <c r="L1125" s="201" t="s">
        <v>82</v>
      </c>
      <c r="M1125" s="201" t="s">
        <v>60</v>
      </c>
      <c r="N1125" s="201" t="s">
        <v>1308</v>
      </c>
      <c r="O1125" s="201" t="s">
        <v>82</v>
      </c>
      <c r="P1125" s="201" t="s">
        <v>2420</v>
      </c>
      <c r="Q1125" s="201" t="s">
        <v>1308</v>
      </c>
      <c r="R1125" s="201" t="s">
        <v>62</v>
      </c>
      <c r="S1125" s="201" t="s">
        <v>62</v>
      </c>
      <c r="T1125" s="210" t="s">
        <v>82</v>
      </c>
      <c r="U1125" s="201" t="s">
        <v>82</v>
      </c>
      <c r="V1125" s="201" t="s">
        <v>82</v>
      </c>
      <c r="W1125" s="201" t="s">
        <v>82</v>
      </c>
      <c r="X1125" s="201" t="s">
        <v>82</v>
      </c>
      <c r="Y1125" s="159" t="s">
        <v>82</v>
      </c>
      <c r="Z1125" s="159" t="s">
        <v>82</v>
      </c>
      <c r="AA1125" s="158" t="s">
        <v>82</v>
      </c>
      <c r="AB1125" s="158" t="s">
        <v>82</v>
      </c>
      <c r="AC1125" s="159" t="s">
        <v>82</v>
      </c>
      <c r="AD1125" s="153"/>
      <c r="AE1125" s="120"/>
    </row>
    <row r="1126" spans="1:31" ht="13.8" x14ac:dyDescent="0.3">
      <c r="A1126" s="121" t="s">
        <v>82</v>
      </c>
      <c r="B1126" s="144">
        <v>30695</v>
      </c>
      <c r="C1126" s="154" t="s">
        <v>64</v>
      </c>
      <c r="D1126" s="203" t="s">
        <v>1742</v>
      </c>
      <c r="E1126" s="156" t="s">
        <v>2419</v>
      </c>
      <c r="F1126" s="158" t="s">
        <v>1740</v>
      </c>
      <c r="G1126" s="156" t="s">
        <v>14</v>
      </c>
      <c r="H1126" s="156" t="s">
        <v>82</v>
      </c>
      <c r="I1126" s="158" t="s">
        <v>82</v>
      </c>
      <c r="J1126" s="201" t="s">
        <v>58</v>
      </c>
      <c r="K1126" s="201" t="s">
        <v>680</v>
      </c>
      <c r="L1126" s="201" t="s">
        <v>1103</v>
      </c>
      <c r="M1126" s="201" t="s">
        <v>60</v>
      </c>
      <c r="N1126" s="201" t="s">
        <v>1103</v>
      </c>
      <c r="O1126" s="201" t="s">
        <v>82</v>
      </c>
      <c r="P1126" s="201" t="s">
        <v>2420</v>
      </c>
      <c r="Q1126" s="201" t="s">
        <v>1103</v>
      </c>
      <c r="R1126" s="201" t="s">
        <v>82</v>
      </c>
      <c r="S1126" s="201" t="s">
        <v>82</v>
      </c>
      <c r="T1126" s="210" t="s">
        <v>82</v>
      </c>
      <c r="U1126" s="201" t="s">
        <v>82</v>
      </c>
      <c r="V1126" s="201" t="s">
        <v>2421</v>
      </c>
      <c r="W1126" s="201" t="s">
        <v>63</v>
      </c>
      <c r="X1126" s="201" t="s">
        <v>82</v>
      </c>
      <c r="Y1126" s="180" t="s">
        <v>82</v>
      </c>
      <c r="Z1126" s="159" t="s">
        <v>82</v>
      </c>
      <c r="AA1126" s="158" t="s">
        <v>82</v>
      </c>
      <c r="AB1126" s="158" t="s">
        <v>82</v>
      </c>
      <c r="AC1126" s="159" t="s">
        <v>82</v>
      </c>
      <c r="AD1126" s="153"/>
      <c r="AE1126" s="120"/>
    </row>
    <row r="1127" spans="1:31" ht="13.8" x14ac:dyDescent="0.3">
      <c r="A1127" s="121" t="s">
        <v>82</v>
      </c>
      <c r="B1127" s="144">
        <v>30695</v>
      </c>
      <c r="C1127" s="154" t="s">
        <v>54</v>
      </c>
      <c r="D1127" s="203" t="s">
        <v>1743</v>
      </c>
      <c r="E1127" s="156" t="s">
        <v>2419</v>
      </c>
      <c r="F1127" s="158" t="s">
        <v>1740</v>
      </c>
      <c r="G1127" s="156" t="s">
        <v>14</v>
      </c>
      <c r="H1127" s="156" t="s">
        <v>82</v>
      </c>
      <c r="I1127" s="158" t="s">
        <v>82</v>
      </c>
      <c r="J1127" s="201" t="s">
        <v>58</v>
      </c>
      <c r="K1127" s="201" t="s">
        <v>680</v>
      </c>
      <c r="L1127" s="201" t="s">
        <v>1103</v>
      </c>
      <c r="M1127" s="201" t="s">
        <v>60</v>
      </c>
      <c r="N1127" s="201" t="s">
        <v>1103</v>
      </c>
      <c r="O1127" s="201" t="s">
        <v>82</v>
      </c>
      <c r="P1127" s="201" t="s">
        <v>2420</v>
      </c>
      <c r="Q1127" s="201" t="s">
        <v>1103</v>
      </c>
      <c r="R1127" s="201" t="s">
        <v>82</v>
      </c>
      <c r="S1127" s="201" t="s">
        <v>82</v>
      </c>
      <c r="T1127" s="210" t="s">
        <v>82</v>
      </c>
      <c r="U1127" s="201" t="s">
        <v>82</v>
      </c>
      <c r="V1127" s="201" t="s">
        <v>2421</v>
      </c>
      <c r="W1127" s="201" t="s">
        <v>63</v>
      </c>
      <c r="X1127" s="201" t="s">
        <v>82</v>
      </c>
      <c r="Y1127" s="180" t="s">
        <v>82</v>
      </c>
      <c r="Z1127" s="159" t="s">
        <v>82</v>
      </c>
      <c r="AA1127" s="158" t="s">
        <v>82</v>
      </c>
      <c r="AB1127" s="158" t="s">
        <v>82</v>
      </c>
      <c r="AC1127" s="159" t="s">
        <v>82</v>
      </c>
      <c r="AD1127" s="153"/>
      <c r="AE1127" s="120"/>
    </row>
    <row r="1128" spans="1:31" ht="13.8" x14ac:dyDescent="0.3">
      <c r="A1128" s="121" t="s">
        <v>82</v>
      </c>
      <c r="B1128" s="144">
        <v>30730</v>
      </c>
      <c r="C1128" s="154" t="s">
        <v>64</v>
      </c>
      <c r="D1128" s="203" t="s">
        <v>1756</v>
      </c>
      <c r="E1128" s="156" t="s">
        <v>2419</v>
      </c>
      <c r="F1128" s="158" t="s">
        <v>1740</v>
      </c>
      <c r="G1128" s="156" t="s">
        <v>14</v>
      </c>
      <c r="H1128" s="156" t="s">
        <v>82</v>
      </c>
      <c r="I1128" s="158" t="s">
        <v>82</v>
      </c>
      <c r="J1128" s="201" t="s">
        <v>58</v>
      </c>
      <c r="K1128" s="201" t="s">
        <v>680</v>
      </c>
      <c r="L1128" s="201" t="s">
        <v>1103</v>
      </c>
      <c r="M1128" s="201" t="s">
        <v>60</v>
      </c>
      <c r="N1128" s="201" t="s">
        <v>1103</v>
      </c>
      <c r="O1128" s="201" t="s">
        <v>82</v>
      </c>
      <c r="P1128" s="201" t="s">
        <v>2420</v>
      </c>
      <c r="Q1128" s="201" t="s">
        <v>1103</v>
      </c>
      <c r="R1128" s="201" t="s">
        <v>82</v>
      </c>
      <c r="S1128" s="201" t="s">
        <v>82</v>
      </c>
      <c r="T1128" s="210" t="s">
        <v>82</v>
      </c>
      <c r="U1128" s="201" t="s">
        <v>82</v>
      </c>
      <c r="V1128" s="201" t="s">
        <v>2421</v>
      </c>
      <c r="W1128" s="201" t="s">
        <v>63</v>
      </c>
      <c r="X1128" s="201" t="s">
        <v>82</v>
      </c>
      <c r="Y1128" s="180" t="s">
        <v>82</v>
      </c>
      <c r="Z1128" s="159" t="s">
        <v>82</v>
      </c>
      <c r="AA1128" s="158" t="s">
        <v>82</v>
      </c>
      <c r="AB1128" s="158" t="s">
        <v>82</v>
      </c>
      <c r="AC1128" s="159" t="s">
        <v>82</v>
      </c>
      <c r="AD1128" s="153"/>
      <c r="AE1128" s="120"/>
    </row>
    <row r="1129" spans="1:31" ht="13.8" x14ac:dyDescent="0.3">
      <c r="A1129" s="121" t="s">
        <v>82</v>
      </c>
      <c r="B1129" s="144">
        <v>30730</v>
      </c>
      <c r="C1129" s="154" t="s">
        <v>54</v>
      </c>
      <c r="D1129" s="203" t="s">
        <v>1757</v>
      </c>
      <c r="E1129" s="156" t="s">
        <v>2419</v>
      </c>
      <c r="F1129" s="158" t="s">
        <v>1740</v>
      </c>
      <c r="G1129" s="156" t="s">
        <v>14</v>
      </c>
      <c r="H1129" s="156" t="s">
        <v>82</v>
      </c>
      <c r="I1129" s="158" t="s">
        <v>82</v>
      </c>
      <c r="J1129" s="201" t="s">
        <v>58</v>
      </c>
      <c r="K1129" s="201" t="s">
        <v>680</v>
      </c>
      <c r="L1129" s="201" t="s">
        <v>1103</v>
      </c>
      <c r="M1129" s="201" t="s">
        <v>60</v>
      </c>
      <c r="N1129" s="201" t="s">
        <v>1103</v>
      </c>
      <c r="O1129" s="201" t="s">
        <v>82</v>
      </c>
      <c r="P1129" s="201" t="s">
        <v>2420</v>
      </c>
      <c r="Q1129" s="201" t="s">
        <v>1103</v>
      </c>
      <c r="R1129" s="201" t="s">
        <v>82</v>
      </c>
      <c r="S1129" s="201" t="s">
        <v>82</v>
      </c>
      <c r="T1129" s="207">
        <v>44614</v>
      </c>
      <c r="U1129" s="207">
        <v>44614</v>
      </c>
      <c r="V1129" s="201" t="s">
        <v>2421</v>
      </c>
      <c r="W1129" s="201" t="s">
        <v>63</v>
      </c>
      <c r="X1129" s="201" t="s">
        <v>82</v>
      </c>
      <c r="Y1129" s="180" t="s">
        <v>82</v>
      </c>
      <c r="Z1129" s="159" t="s">
        <v>82</v>
      </c>
      <c r="AA1129" s="158" t="s">
        <v>82</v>
      </c>
      <c r="AB1129" s="158" t="s">
        <v>82</v>
      </c>
      <c r="AC1129" s="159" t="s">
        <v>82</v>
      </c>
      <c r="AD1129" s="153"/>
      <c r="AE1129" s="120"/>
    </row>
    <row r="1130" spans="1:31" ht="13.8" x14ac:dyDescent="0.3">
      <c r="A1130" s="121" t="s">
        <v>82</v>
      </c>
      <c r="B1130" s="211">
        <v>30733</v>
      </c>
      <c r="C1130" s="212" t="s">
        <v>64</v>
      </c>
      <c r="D1130" s="203" t="s">
        <v>1758</v>
      </c>
      <c r="E1130" s="156" t="s">
        <v>2419</v>
      </c>
      <c r="F1130" s="158" t="s">
        <v>1740</v>
      </c>
      <c r="G1130" s="156" t="s">
        <v>14</v>
      </c>
      <c r="H1130" s="156" t="s">
        <v>82</v>
      </c>
      <c r="I1130" s="158" t="s">
        <v>82</v>
      </c>
      <c r="J1130" s="201" t="s">
        <v>58</v>
      </c>
      <c r="K1130" s="201" t="s">
        <v>680</v>
      </c>
      <c r="L1130" s="201" t="s">
        <v>1103</v>
      </c>
      <c r="M1130" s="201" t="s">
        <v>60</v>
      </c>
      <c r="N1130" s="201" t="s">
        <v>1103</v>
      </c>
      <c r="O1130" s="201" t="s">
        <v>82</v>
      </c>
      <c r="P1130" s="201" t="s">
        <v>2420</v>
      </c>
      <c r="Q1130" s="201" t="s">
        <v>1103</v>
      </c>
      <c r="R1130" s="201" t="s">
        <v>82</v>
      </c>
      <c r="S1130" s="201" t="s">
        <v>82</v>
      </c>
      <c r="T1130" s="210" t="s">
        <v>82</v>
      </c>
      <c r="U1130" s="201" t="s">
        <v>82</v>
      </c>
      <c r="V1130" s="201" t="s">
        <v>2421</v>
      </c>
      <c r="W1130" s="201" t="s">
        <v>63</v>
      </c>
      <c r="X1130" s="201" t="s">
        <v>82</v>
      </c>
      <c r="Y1130" s="180" t="s">
        <v>82</v>
      </c>
      <c r="Z1130" s="159" t="s">
        <v>82</v>
      </c>
      <c r="AA1130" s="158" t="s">
        <v>82</v>
      </c>
      <c r="AB1130" s="158" t="s">
        <v>82</v>
      </c>
      <c r="AC1130" s="159" t="s">
        <v>82</v>
      </c>
      <c r="AD1130" s="153"/>
      <c r="AE1130" s="120"/>
    </row>
    <row r="1131" spans="1:31" ht="14.4" x14ac:dyDescent="0.3">
      <c r="A1131" s="121" t="s">
        <v>82</v>
      </c>
      <c r="B1131" s="185">
        <v>30733</v>
      </c>
      <c r="C1131" s="154" t="s">
        <v>54</v>
      </c>
      <c r="D1131" s="203" t="s">
        <v>1759</v>
      </c>
      <c r="E1131" s="156" t="s">
        <v>2419</v>
      </c>
      <c r="F1131" s="158" t="s">
        <v>1740</v>
      </c>
      <c r="G1131" s="156" t="s">
        <v>14</v>
      </c>
      <c r="H1131" s="213" t="s">
        <v>82</v>
      </c>
      <c r="I1131" s="214" t="s">
        <v>82</v>
      </c>
      <c r="J1131" s="145" t="s">
        <v>58</v>
      </c>
      <c r="K1131" s="215" t="s">
        <v>680</v>
      </c>
      <c r="L1131" s="147" t="s">
        <v>1103</v>
      </c>
      <c r="M1131" s="147" t="s">
        <v>60</v>
      </c>
      <c r="N1131" s="147" t="s">
        <v>1103</v>
      </c>
      <c r="O1131" s="147" t="s">
        <v>82</v>
      </c>
      <c r="P1131" s="149" t="s">
        <v>2420</v>
      </c>
      <c r="Q1131" s="216" t="s">
        <v>1103</v>
      </c>
      <c r="R1131" s="216" t="s">
        <v>82</v>
      </c>
      <c r="S1131" s="216" t="s">
        <v>82</v>
      </c>
      <c r="T1131" s="216" t="s">
        <v>82</v>
      </c>
      <c r="U1131" s="216" t="s">
        <v>82</v>
      </c>
      <c r="V1131" s="216" t="s">
        <v>2421</v>
      </c>
      <c r="W1131" s="216" t="s">
        <v>63</v>
      </c>
      <c r="X1131" s="216" t="s">
        <v>82</v>
      </c>
      <c r="Y1131" s="216" t="s">
        <v>82</v>
      </c>
      <c r="Z1131" s="216" t="s">
        <v>82</v>
      </c>
      <c r="AA1131" s="216" t="s">
        <v>82</v>
      </c>
      <c r="AB1131" s="216" t="s">
        <v>82</v>
      </c>
      <c r="AC1131" s="217" t="s">
        <v>82</v>
      </c>
      <c r="AD1131" s="216"/>
      <c r="AE1131" s="132"/>
    </row>
    <row r="1132" spans="1:31" ht="14.4" x14ac:dyDescent="0.3">
      <c r="A1132" s="121" t="s">
        <v>82</v>
      </c>
      <c r="B1132" s="144">
        <v>30776</v>
      </c>
      <c r="C1132" s="154" t="s">
        <v>64</v>
      </c>
      <c r="D1132" s="203" t="s">
        <v>1260</v>
      </c>
      <c r="E1132" s="156" t="s">
        <v>2006</v>
      </c>
      <c r="F1132" s="158" t="s">
        <v>1243</v>
      </c>
      <c r="G1132" s="156" t="s">
        <v>14</v>
      </c>
      <c r="H1132" s="218" t="s">
        <v>82</v>
      </c>
      <c r="I1132" s="214" t="s">
        <v>82</v>
      </c>
      <c r="J1132" s="154" t="s">
        <v>82</v>
      </c>
      <c r="K1132" s="200" t="s">
        <v>82</v>
      </c>
      <c r="L1132" s="156" t="s">
        <v>82</v>
      </c>
      <c r="M1132" s="156" t="s">
        <v>82</v>
      </c>
      <c r="N1132" s="156" t="s">
        <v>82</v>
      </c>
      <c r="O1132" s="156" t="s">
        <v>82</v>
      </c>
      <c r="P1132" s="158" t="s">
        <v>82</v>
      </c>
      <c r="Q1132" s="201" t="s">
        <v>82</v>
      </c>
      <c r="R1132" s="201" t="s">
        <v>82</v>
      </c>
      <c r="S1132" s="201" t="s">
        <v>82</v>
      </c>
      <c r="T1132" s="201" t="s">
        <v>82</v>
      </c>
      <c r="U1132" s="201" t="s">
        <v>82</v>
      </c>
      <c r="V1132" s="201" t="s">
        <v>82</v>
      </c>
      <c r="W1132" s="201" t="s">
        <v>82</v>
      </c>
      <c r="X1132" s="201" t="s">
        <v>82</v>
      </c>
      <c r="Y1132" s="201" t="s">
        <v>82</v>
      </c>
      <c r="Z1132" s="201" t="s">
        <v>82</v>
      </c>
      <c r="AA1132" s="201" t="s">
        <v>82</v>
      </c>
      <c r="AB1132" s="201" t="s">
        <v>82</v>
      </c>
      <c r="AC1132" s="202" t="s">
        <v>82</v>
      </c>
      <c r="AD1132" s="201"/>
      <c r="AE1132" s="133"/>
    </row>
    <row r="1133" spans="1:31" ht="15.6" x14ac:dyDescent="0.3">
      <c r="A1133" s="121" t="s">
        <v>82</v>
      </c>
      <c r="B1133" s="219">
        <v>30776</v>
      </c>
      <c r="C1133" s="220" t="s">
        <v>54</v>
      </c>
      <c r="D1133" s="221" t="s">
        <v>1262</v>
      </c>
      <c r="E1133" s="222" t="s">
        <v>2006</v>
      </c>
      <c r="F1133" s="223" t="s">
        <v>1243</v>
      </c>
      <c r="G1133" s="222" t="s">
        <v>14</v>
      </c>
      <c r="H1133" s="218" t="s">
        <v>82</v>
      </c>
      <c r="I1133" s="214" t="s">
        <v>82</v>
      </c>
      <c r="J1133" s="154" t="s">
        <v>82</v>
      </c>
      <c r="K1133" s="203" t="s">
        <v>82</v>
      </c>
      <c r="L1133" s="156" t="s">
        <v>82</v>
      </c>
      <c r="M1133" s="158" t="s">
        <v>82</v>
      </c>
      <c r="N1133" s="156" t="s">
        <v>82</v>
      </c>
      <c r="O1133" s="156" t="s">
        <v>82</v>
      </c>
      <c r="P1133" s="158" t="s">
        <v>82</v>
      </c>
      <c r="Q1133" s="201" t="s">
        <v>82</v>
      </c>
      <c r="R1133" s="201" t="s">
        <v>82</v>
      </c>
      <c r="S1133" s="204" t="s">
        <v>82</v>
      </c>
      <c r="T1133" s="201" t="s">
        <v>82</v>
      </c>
      <c r="U1133" s="204" t="s">
        <v>82</v>
      </c>
      <c r="V1133" s="204" t="s">
        <v>82</v>
      </c>
      <c r="W1133" s="201" t="s">
        <v>82</v>
      </c>
      <c r="X1133" s="201" t="s">
        <v>82</v>
      </c>
      <c r="Y1133" s="201" t="s">
        <v>82</v>
      </c>
      <c r="Z1133" s="201" t="s">
        <v>82</v>
      </c>
      <c r="AA1133" s="205" t="s">
        <v>82</v>
      </c>
      <c r="AB1133" s="204" t="s">
        <v>82</v>
      </c>
      <c r="AC1133" s="201" t="s">
        <v>82</v>
      </c>
      <c r="AD1133" s="201"/>
      <c r="AE1133" s="133"/>
    </row>
    <row r="1134" spans="1:31" ht="15.6" x14ac:dyDescent="0.3">
      <c r="B1134" s="104">
        <v>30651</v>
      </c>
      <c r="C1134" s="104" t="s">
        <v>64</v>
      </c>
      <c r="D1134" s="103" t="s">
        <v>1031</v>
      </c>
      <c r="E1134" s="244" t="s">
        <v>805</v>
      </c>
      <c r="F1134" s="103" t="s">
        <v>806</v>
      </c>
      <c r="G1134" s="103" t="s">
        <v>13</v>
      </c>
      <c r="H1134" s="164"/>
      <c r="I1134" s="214"/>
      <c r="J1134" s="154" t="s">
        <v>58</v>
      </c>
      <c r="K1134" s="201" t="s">
        <v>680</v>
      </c>
      <c r="L1134" s="157">
        <v>44511</v>
      </c>
      <c r="M1134" s="201" t="s">
        <v>60</v>
      </c>
      <c r="N1134" s="156"/>
      <c r="O1134" s="157">
        <v>44669</v>
      </c>
      <c r="P1134" s="158"/>
      <c r="Q1134" s="201"/>
      <c r="R1134" s="201"/>
      <c r="S1134" s="204" t="s">
        <v>68</v>
      </c>
      <c r="T1134" s="204" t="s">
        <v>68</v>
      </c>
      <c r="U1134" s="204" t="s">
        <v>68</v>
      </c>
      <c r="V1134" s="204"/>
      <c r="W1134" s="201"/>
      <c r="X1134" s="204" t="s">
        <v>68</v>
      </c>
      <c r="Y1134" s="201"/>
      <c r="Z1134" s="201"/>
      <c r="AA1134" s="205"/>
      <c r="AB1134" s="204"/>
      <c r="AC1134" s="201"/>
      <c r="AD1134" s="201"/>
      <c r="AE1134" s="133"/>
    </row>
    <row r="1135" spans="1:31" x14ac:dyDescent="0.25">
      <c r="B1135" s="104">
        <v>30651</v>
      </c>
      <c r="C1135" s="104" t="s">
        <v>54</v>
      </c>
      <c r="D1135" s="103" t="s">
        <v>1033</v>
      </c>
      <c r="E1135" s="244" t="s">
        <v>805</v>
      </c>
      <c r="F1135" s="103" t="s">
        <v>806</v>
      </c>
      <c r="G1135" s="103" t="s">
        <v>13</v>
      </c>
      <c r="H1135" s="164"/>
      <c r="I1135" s="214"/>
      <c r="J1135" s="154" t="s">
        <v>58</v>
      </c>
      <c r="K1135" s="215" t="s">
        <v>680</v>
      </c>
      <c r="L1135" s="157">
        <v>44511</v>
      </c>
      <c r="M1135" s="201" t="s">
        <v>60</v>
      </c>
      <c r="N1135" s="156"/>
      <c r="O1135" s="157">
        <v>44669</v>
      </c>
      <c r="P1135" s="158"/>
      <c r="Q1135" s="201"/>
      <c r="R1135" s="201"/>
      <c r="S1135" s="201" t="s">
        <v>62</v>
      </c>
      <c r="T1135" s="201" t="s">
        <v>62</v>
      </c>
      <c r="U1135" s="201" t="s">
        <v>62</v>
      </c>
      <c r="V1135" s="201"/>
      <c r="W1135" s="201"/>
      <c r="X1135" s="201" t="s">
        <v>62</v>
      </c>
      <c r="Y1135" s="201"/>
      <c r="Z1135" s="201"/>
      <c r="AA1135" s="203"/>
      <c r="AB1135" s="201"/>
      <c r="AC1135" s="201"/>
      <c r="AD1135" s="201"/>
      <c r="AE1135" s="133"/>
    </row>
    <row r="1136" spans="1:31" x14ac:dyDescent="0.25">
      <c r="B1136" s="104">
        <v>30652</v>
      </c>
      <c r="C1136" s="104" t="s">
        <v>64</v>
      </c>
      <c r="D1136" s="103" t="s">
        <v>1034</v>
      </c>
      <c r="E1136" s="244" t="s">
        <v>805</v>
      </c>
      <c r="F1136" s="103" t="s">
        <v>806</v>
      </c>
      <c r="G1136" s="103" t="s">
        <v>13</v>
      </c>
      <c r="H1136" s="164"/>
      <c r="I1136" s="214"/>
      <c r="J1136" s="154" t="s">
        <v>58</v>
      </c>
      <c r="K1136" s="201" t="s">
        <v>680</v>
      </c>
      <c r="L1136" s="157">
        <v>44511</v>
      </c>
      <c r="M1136" s="201" t="s">
        <v>60</v>
      </c>
      <c r="N1136" s="156"/>
      <c r="O1136" s="157">
        <v>44670</v>
      </c>
      <c r="P1136" s="158"/>
      <c r="Q1136" s="201"/>
      <c r="R1136" s="201"/>
      <c r="S1136" s="204" t="s">
        <v>68</v>
      </c>
      <c r="T1136" s="204" t="s">
        <v>68</v>
      </c>
      <c r="U1136" s="204" t="s">
        <v>68</v>
      </c>
      <c r="V1136" s="204"/>
      <c r="W1136" s="201"/>
      <c r="X1136" s="204" t="s">
        <v>68</v>
      </c>
      <c r="Y1136" s="201"/>
      <c r="Z1136" s="201"/>
      <c r="AA1136" s="203"/>
      <c r="AB1136" s="201"/>
      <c r="AC1136" s="201"/>
      <c r="AD1136" s="201"/>
      <c r="AE1136" s="133"/>
    </row>
    <row r="1137" spans="2:31" ht="13.8" x14ac:dyDescent="0.3">
      <c r="B1137" s="104">
        <v>30652</v>
      </c>
      <c r="C1137" s="104" t="s">
        <v>54</v>
      </c>
      <c r="D1137" s="103" t="s">
        <v>1039</v>
      </c>
      <c r="E1137" s="244" t="s">
        <v>805</v>
      </c>
      <c r="F1137" s="103" t="s">
        <v>806</v>
      </c>
      <c r="G1137" s="103" t="s">
        <v>13</v>
      </c>
      <c r="H1137" s="164"/>
      <c r="I1137" s="214"/>
      <c r="J1137" s="154" t="s">
        <v>58</v>
      </c>
      <c r="K1137" s="215" t="s">
        <v>680</v>
      </c>
      <c r="L1137" s="157">
        <v>44511</v>
      </c>
      <c r="M1137" s="201" t="s">
        <v>60</v>
      </c>
      <c r="N1137" s="156"/>
      <c r="O1137" s="157">
        <v>44670</v>
      </c>
      <c r="P1137" s="158"/>
      <c r="Q1137" s="201"/>
      <c r="R1137" s="201"/>
      <c r="S1137" s="201" t="s">
        <v>62</v>
      </c>
      <c r="T1137" s="201" t="s">
        <v>62</v>
      </c>
      <c r="U1137" s="201" t="s">
        <v>62</v>
      </c>
      <c r="V1137" s="201"/>
      <c r="W1137" s="201"/>
      <c r="X1137" s="201" t="s">
        <v>62</v>
      </c>
      <c r="Y1137" s="201"/>
      <c r="Z1137" s="201"/>
      <c r="AA1137" s="207"/>
      <c r="AB1137" s="206"/>
      <c r="AC1137" s="201"/>
      <c r="AD1137" s="201"/>
      <c r="AE1137" s="130"/>
    </row>
    <row r="1138" spans="2:31" x14ac:dyDescent="0.25">
      <c r="B1138" s="104">
        <v>30661</v>
      </c>
      <c r="C1138" s="104" t="s">
        <v>64</v>
      </c>
      <c r="D1138" s="103" t="s">
        <v>1041</v>
      </c>
      <c r="E1138" s="244" t="s">
        <v>805</v>
      </c>
      <c r="F1138" s="103" t="s">
        <v>806</v>
      </c>
      <c r="G1138" s="103" t="s">
        <v>13</v>
      </c>
      <c r="H1138" s="164"/>
      <c r="I1138" s="214"/>
      <c r="J1138" s="154" t="s">
        <v>58</v>
      </c>
      <c r="K1138" s="201" t="s">
        <v>680</v>
      </c>
      <c r="L1138" s="157">
        <v>44511</v>
      </c>
      <c r="M1138" s="201" t="s">
        <v>60</v>
      </c>
      <c r="N1138" s="156"/>
      <c r="O1138" s="157">
        <v>44585</v>
      </c>
      <c r="P1138" s="158"/>
      <c r="Q1138" s="201"/>
      <c r="R1138" s="201"/>
      <c r="S1138" s="204" t="s">
        <v>68</v>
      </c>
      <c r="T1138" s="204" t="s">
        <v>68</v>
      </c>
      <c r="U1138" s="204" t="s">
        <v>68</v>
      </c>
      <c r="V1138" s="204"/>
      <c r="W1138" s="201"/>
      <c r="X1138" s="204" t="s">
        <v>68</v>
      </c>
      <c r="Y1138" s="201"/>
      <c r="Z1138" s="201"/>
      <c r="AA1138" s="203"/>
      <c r="AB1138" s="201"/>
      <c r="AC1138" s="201"/>
      <c r="AD1138" s="201"/>
      <c r="AE1138" s="131"/>
    </row>
    <row r="1139" spans="2:31" ht="13.8" x14ac:dyDescent="0.3">
      <c r="B1139" s="104">
        <v>30661</v>
      </c>
      <c r="C1139" s="104" t="s">
        <v>54</v>
      </c>
      <c r="D1139" s="103" t="s">
        <v>1042</v>
      </c>
      <c r="E1139" s="244" t="s">
        <v>805</v>
      </c>
      <c r="F1139" s="103" t="s">
        <v>806</v>
      </c>
      <c r="G1139" s="103" t="s">
        <v>13</v>
      </c>
      <c r="H1139" s="164"/>
      <c r="I1139" s="214"/>
      <c r="J1139" s="154" t="s">
        <v>58</v>
      </c>
      <c r="K1139" s="215" t="s">
        <v>680</v>
      </c>
      <c r="L1139" s="157">
        <v>44511</v>
      </c>
      <c r="M1139" s="201" t="s">
        <v>60</v>
      </c>
      <c r="N1139" s="156"/>
      <c r="O1139" s="157">
        <v>44585</v>
      </c>
      <c r="P1139" s="158"/>
      <c r="Q1139" s="201"/>
      <c r="R1139" s="201"/>
      <c r="S1139" s="201" t="s">
        <v>62</v>
      </c>
      <c r="T1139" s="201" t="s">
        <v>62</v>
      </c>
      <c r="U1139" s="201" t="s">
        <v>62</v>
      </c>
      <c r="V1139" s="201"/>
      <c r="W1139" s="201"/>
      <c r="X1139" s="201" t="s">
        <v>62</v>
      </c>
      <c r="Y1139" s="201"/>
      <c r="Z1139" s="201"/>
      <c r="AA1139" s="207"/>
      <c r="AB1139" s="206"/>
      <c r="AC1139" s="201"/>
      <c r="AD1139" s="201"/>
      <c r="AE1139" s="133"/>
    </row>
    <row r="1140" spans="2:31" x14ac:dyDescent="0.25">
      <c r="B1140" s="104">
        <v>30666</v>
      </c>
      <c r="C1140" s="104" t="s">
        <v>64</v>
      </c>
      <c r="D1140" s="103" t="s">
        <v>1043</v>
      </c>
      <c r="E1140" s="244" t="s">
        <v>805</v>
      </c>
      <c r="F1140" s="103" t="s">
        <v>806</v>
      </c>
      <c r="G1140" s="103" t="s">
        <v>13</v>
      </c>
      <c r="H1140" s="164"/>
      <c r="I1140" s="214"/>
      <c r="J1140" s="154" t="s">
        <v>58</v>
      </c>
      <c r="K1140" s="201" t="s">
        <v>680</v>
      </c>
      <c r="L1140" s="157">
        <v>44511</v>
      </c>
      <c r="M1140" s="201" t="s">
        <v>60</v>
      </c>
      <c r="N1140" s="156"/>
      <c r="O1140" s="157">
        <v>44585</v>
      </c>
      <c r="P1140" s="158"/>
      <c r="Q1140" s="201"/>
      <c r="R1140" s="201"/>
      <c r="S1140" s="204" t="s">
        <v>68</v>
      </c>
      <c r="T1140" s="204" t="s">
        <v>68</v>
      </c>
      <c r="U1140" s="204" t="s">
        <v>68</v>
      </c>
      <c r="V1140" s="204"/>
      <c r="W1140" s="201"/>
      <c r="X1140" s="204" t="s">
        <v>68</v>
      </c>
      <c r="Y1140" s="201"/>
      <c r="Z1140" s="201"/>
      <c r="AA1140" s="203"/>
      <c r="AB1140" s="201"/>
      <c r="AC1140" s="201"/>
      <c r="AD1140" s="201"/>
      <c r="AE1140" s="131"/>
    </row>
    <row r="1141" spans="2:31" ht="13.8" x14ac:dyDescent="0.3">
      <c r="B1141" s="104">
        <v>30666</v>
      </c>
      <c r="C1141" s="104" t="s">
        <v>54</v>
      </c>
      <c r="D1141" s="103" t="s">
        <v>1044</v>
      </c>
      <c r="E1141" s="244" t="s">
        <v>805</v>
      </c>
      <c r="F1141" s="103" t="s">
        <v>806</v>
      </c>
      <c r="G1141" s="103" t="s">
        <v>13</v>
      </c>
      <c r="H1141" s="164"/>
      <c r="I1141" s="214"/>
      <c r="J1141" s="154" t="s">
        <v>58</v>
      </c>
      <c r="K1141" s="215" t="s">
        <v>680</v>
      </c>
      <c r="L1141" s="157">
        <v>44511</v>
      </c>
      <c r="M1141" s="201" t="s">
        <v>60</v>
      </c>
      <c r="N1141" s="156"/>
      <c r="O1141" s="157">
        <v>44585</v>
      </c>
      <c r="P1141" s="158"/>
      <c r="Q1141" s="201"/>
      <c r="R1141" s="201"/>
      <c r="S1141" s="201" t="s">
        <v>62</v>
      </c>
      <c r="T1141" s="201" t="s">
        <v>62</v>
      </c>
      <c r="U1141" s="201" t="s">
        <v>62</v>
      </c>
      <c r="V1141" s="201"/>
      <c r="W1141" s="201"/>
      <c r="X1141" s="201" t="s">
        <v>62</v>
      </c>
      <c r="Y1141" s="201"/>
      <c r="Z1141" s="201"/>
      <c r="AA1141" s="207"/>
      <c r="AB1141" s="206"/>
      <c r="AC1141" s="201"/>
      <c r="AD1141" s="201"/>
      <c r="AE1141" s="133"/>
    </row>
    <row r="1142" spans="2:31" ht="13.8" x14ac:dyDescent="0.3">
      <c r="B1142" s="104">
        <v>30732</v>
      </c>
      <c r="C1142" s="104" t="s">
        <v>64</v>
      </c>
      <c r="D1142" s="103" t="s">
        <v>1045</v>
      </c>
      <c r="E1142" s="244" t="s">
        <v>805</v>
      </c>
      <c r="F1142" s="103" t="s">
        <v>806</v>
      </c>
      <c r="G1142" s="103" t="s">
        <v>13</v>
      </c>
      <c r="H1142" s="164"/>
      <c r="I1142" s="214"/>
      <c r="J1142" s="154" t="s">
        <v>58</v>
      </c>
      <c r="K1142" s="201" t="s">
        <v>680</v>
      </c>
      <c r="L1142" s="157">
        <v>44478</v>
      </c>
      <c r="M1142" s="201" t="s">
        <v>60</v>
      </c>
      <c r="N1142" s="156"/>
      <c r="O1142" s="157">
        <v>44660</v>
      </c>
      <c r="P1142" s="158"/>
      <c r="Q1142" s="201"/>
      <c r="R1142" s="201"/>
      <c r="S1142" s="204" t="s">
        <v>68</v>
      </c>
      <c r="T1142" s="204" t="s">
        <v>68</v>
      </c>
      <c r="U1142" s="204" t="s">
        <v>68</v>
      </c>
      <c r="V1142" s="204"/>
      <c r="W1142" s="201"/>
      <c r="X1142" s="204" t="s">
        <v>68</v>
      </c>
      <c r="Y1142" s="201"/>
      <c r="Z1142" s="201"/>
      <c r="AA1142" s="207"/>
      <c r="AB1142" s="206"/>
      <c r="AC1142" s="201"/>
      <c r="AD1142" s="201" t="s">
        <v>616</v>
      </c>
      <c r="AE1142" s="133"/>
    </row>
    <row r="1143" spans="2:31" ht="13.8" x14ac:dyDescent="0.3">
      <c r="B1143" s="104">
        <v>30732</v>
      </c>
      <c r="C1143" s="104" t="s">
        <v>54</v>
      </c>
      <c r="D1143" s="103" t="s">
        <v>1047</v>
      </c>
      <c r="E1143" s="244" t="s">
        <v>805</v>
      </c>
      <c r="F1143" s="103" t="s">
        <v>806</v>
      </c>
      <c r="G1143" s="103" t="s">
        <v>13</v>
      </c>
      <c r="H1143" s="164"/>
      <c r="I1143" s="214"/>
      <c r="J1143" s="154" t="s">
        <v>58</v>
      </c>
      <c r="K1143" s="215" t="s">
        <v>680</v>
      </c>
      <c r="L1143" s="157">
        <v>44478</v>
      </c>
      <c r="M1143" s="201" t="s">
        <v>60</v>
      </c>
      <c r="N1143" s="156"/>
      <c r="O1143" s="157">
        <v>44660</v>
      </c>
      <c r="P1143" s="158"/>
      <c r="Q1143" s="201"/>
      <c r="R1143" s="201"/>
      <c r="S1143" s="201" t="s">
        <v>62</v>
      </c>
      <c r="T1143" s="201" t="s">
        <v>62</v>
      </c>
      <c r="U1143" s="201" t="s">
        <v>62</v>
      </c>
      <c r="V1143" s="201"/>
      <c r="W1143" s="201"/>
      <c r="X1143" s="201" t="s">
        <v>62</v>
      </c>
      <c r="Y1143" s="201"/>
      <c r="Z1143" s="201"/>
      <c r="AA1143" s="210"/>
      <c r="AB1143" s="201"/>
      <c r="AC1143" s="201"/>
      <c r="AD1143" s="201" t="s">
        <v>604</v>
      </c>
      <c r="AE1143" s="133"/>
    </row>
    <row r="1144" spans="2:31" ht="13.8" x14ac:dyDescent="0.3">
      <c r="B1144" s="104">
        <v>30543</v>
      </c>
      <c r="C1144" s="104" t="s">
        <v>64</v>
      </c>
      <c r="D1144" s="103" t="s">
        <v>1049</v>
      </c>
      <c r="E1144" s="244" t="s">
        <v>932</v>
      </c>
      <c r="F1144" s="103" t="s">
        <v>806</v>
      </c>
      <c r="G1144" s="103" t="s">
        <v>13</v>
      </c>
      <c r="H1144" s="164"/>
      <c r="I1144" s="214"/>
      <c r="J1144" s="154" t="s">
        <v>58</v>
      </c>
      <c r="K1144" s="201" t="s">
        <v>680</v>
      </c>
      <c r="L1144" s="157"/>
      <c r="M1144" s="201" t="s">
        <v>60</v>
      </c>
      <c r="N1144" s="157">
        <v>44613</v>
      </c>
      <c r="O1144" s="157"/>
      <c r="P1144" s="158"/>
      <c r="Q1144" s="201"/>
      <c r="R1144" s="201"/>
      <c r="S1144" s="204"/>
      <c r="T1144" s="204"/>
      <c r="U1144" s="204"/>
      <c r="V1144" s="204"/>
      <c r="W1144" s="201"/>
      <c r="X1144" s="204" t="s">
        <v>68</v>
      </c>
      <c r="Y1144" s="201"/>
      <c r="Z1144" s="201"/>
      <c r="AA1144" s="207"/>
      <c r="AB1144" s="206"/>
      <c r="AC1144" s="201"/>
      <c r="AD1144" s="201"/>
      <c r="AE1144" s="133"/>
    </row>
    <row r="1145" spans="2:31" ht="13.8" x14ac:dyDescent="0.3">
      <c r="B1145" s="104">
        <v>30543</v>
      </c>
      <c r="C1145" s="104" t="s">
        <v>54</v>
      </c>
      <c r="D1145" s="103" t="s">
        <v>1051</v>
      </c>
      <c r="E1145" s="244" t="s">
        <v>932</v>
      </c>
      <c r="F1145" s="103" t="s">
        <v>806</v>
      </c>
      <c r="G1145" s="103" t="s">
        <v>13</v>
      </c>
      <c r="H1145" s="164"/>
      <c r="I1145" s="214"/>
      <c r="J1145" s="154" t="s">
        <v>58</v>
      </c>
      <c r="K1145" s="215" t="s">
        <v>680</v>
      </c>
      <c r="L1145" s="157"/>
      <c r="M1145" s="201" t="s">
        <v>60</v>
      </c>
      <c r="N1145" s="157">
        <v>44613</v>
      </c>
      <c r="O1145" s="157"/>
      <c r="P1145" s="158"/>
      <c r="Q1145" s="201"/>
      <c r="R1145" s="201"/>
      <c r="S1145" s="201"/>
      <c r="T1145" s="201"/>
      <c r="U1145" s="201"/>
      <c r="V1145" s="201"/>
      <c r="W1145" s="201"/>
      <c r="X1145" s="201" t="s">
        <v>62</v>
      </c>
      <c r="Y1145" s="201"/>
      <c r="Z1145" s="201"/>
      <c r="AA1145" s="210"/>
      <c r="AB1145" s="201"/>
      <c r="AC1145" s="201"/>
      <c r="AD1145" s="201"/>
      <c r="AE1145" s="133"/>
    </row>
    <row r="1146" spans="2:31" ht="13.8" x14ac:dyDescent="0.3">
      <c r="B1146" s="104">
        <v>37551</v>
      </c>
      <c r="C1146" s="104" t="s">
        <v>64</v>
      </c>
      <c r="D1146" s="103" t="s">
        <v>2423</v>
      </c>
      <c r="E1146" s="244" t="s">
        <v>2396</v>
      </c>
      <c r="F1146" s="103" t="s">
        <v>2093</v>
      </c>
      <c r="G1146" s="103"/>
      <c r="H1146" s="164"/>
      <c r="I1146" s="214"/>
      <c r="J1146" s="154" t="s">
        <v>58</v>
      </c>
      <c r="K1146" s="201" t="s">
        <v>680</v>
      </c>
      <c r="L1146" s="157"/>
      <c r="M1146" s="201" t="s">
        <v>60</v>
      </c>
      <c r="N1146" s="157"/>
      <c r="O1146" s="157"/>
      <c r="P1146" s="158"/>
      <c r="Q1146" s="201"/>
      <c r="R1146" s="201"/>
      <c r="S1146" s="204"/>
      <c r="T1146" s="204"/>
      <c r="U1146" s="204"/>
      <c r="V1146" s="204"/>
      <c r="W1146" s="201"/>
      <c r="X1146" s="204" t="s">
        <v>68</v>
      </c>
      <c r="Y1146" s="201"/>
      <c r="Z1146" s="201"/>
      <c r="AA1146" s="207"/>
      <c r="AB1146" s="206"/>
      <c r="AC1146" s="201"/>
      <c r="AD1146" s="201" t="s">
        <v>616</v>
      </c>
      <c r="AE1146" s="133"/>
    </row>
    <row r="1147" spans="2:31" ht="13.8" x14ac:dyDescent="0.3">
      <c r="B1147" s="104">
        <v>37551</v>
      </c>
      <c r="C1147" s="104" t="s">
        <v>54</v>
      </c>
      <c r="D1147" s="103" t="s">
        <v>2424</v>
      </c>
      <c r="E1147" s="244" t="s">
        <v>2396</v>
      </c>
      <c r="F1147" s="103" t="s">
        <v>2093</v>
      </c>
      <c r="G1147" s="103"/>
      <c r="H1147" s="164"/>
      <c r="I1147" s="214"/>
      <c r="J1147" s="154" t="s">
        <v>58</v>
      </c>
      <c r="K1147" s="215" t="s">
        <v>680</v>
      </c>
      <c r="L1147" s="157"/>
      <c r="M1147" s="201" t="s">
        <v>60</v>
      </c>
      <c r="N1147" s="157"/>
      <c r="O1147" s="157"/>
      <c r="P1147" s="158"/>
      <c r="Q1147" s="201"/>
      <c r="R1147" s="201"/>
      <c r="S1147" s="201"/>
      <c r="T1147" s="201"/>
      <c r="U1147" s="201"/>
      <c r="V1147" s="201"/>
      <c r="W1147" s="201"/>
      <c r="X1147" s="201" t="s">
        <v>62</v>
      </c>
      <c r="Y1147" s="201"/>
      <c r="Z1147" s="201"/>
      <c r="AA1147" s="210"/>
      <c r="AB1147" s="201"/>
      <c r="AC1147" s="201"/>
      <c r="AD1147" s="201" t="s">
        <v>604</v>
      </c>
      <c r="AE1147" s="133"/>
    </row>
    <row r="1148" spans="2:31" ht="13.8" x14ac:dyDescent="0.3">
      <c r="B1148" s="104">
        <v>37555</v>
      </c>
      <c r="C1148" s="104" t="s">
        <v>64</v>
      </c>
      <c r="D1148" s="103" t="s">
        <v>2425</v>
      </c>
      <c r="E1148" s="244" t="s">
        <v>2396</v>
      </c>
      <c r="F1148" s="103" t="s">
        <v>2093</v>
      </c>
      <c r="G1148" s="103"/>
      <c r="H1148" s="164"/>
      <c r="I1148" s="214"/>
      <c r="J1148" s="154" t="s">
        <v>58</v>
      </c>
      <c r="K1148" s="201" t="s">
        <v>680</v>
      </c>
      <c r="L1148" s="157"/>
      <c r="M1148" s="201" t="s">
        <v>60</v>
      </c>
      <c r="N1148" s="157"/>
      <c r="O1148" s="157"/>
      <c r="P1148" s="158"/>
      <c r="Q1148" s="201"/>
      <c r="R1148" s="201"/>
      <c r="S1148" s="204"/>
      <c r="T1148" s="204"/>
      <c r="U1148" s="204"/>
      <c r="V1148" s="204"/>
      <c r="W1148" s="201"/>
      <c r="X1148" s="204"/>
      <c r="Y1148" s="201"/>
      <c r="Z1148" s="201"/>
      <c r="AA1148" s="207"/>
      <c r="AB1148" s="206"/>
      <c r="AC1148" s="201"/>
      <c r="AD1148" s="201" t="s">
        <v>616</v>
      </c>
      <c r="AE1148" s="133"/>
    </row>
    <row r="1149" spans="2:31" ht="13.8" x14ac:dyDescent="0.3">
      <c r="B1149" s="104">
        <v>37555</v>
      </c>
      <c r="C1149" s="104" t="s">
        <v>54</v>
      </c>
      <c r="D1149" s="103" t="s">
        <v>2426</v>
      </c>
      <c r="E1149" s="244" t="s">
        <v>2396</v>
      </c>
      <c r="F1149" s="103" t="s">
        <v>2093</v>
      </c>
      <c r="G1149" s="103"/>
      <c r="H1149" s="164"/>
      <c r="I1149" s="214"/>
      <c r="J1149" s="154" t="s">
        <v>58</v>
      </c>
      <c r="K1149" s="215" t="s">
        <v>680</v>
      </c>
      <c r="L1149" s="157"/>
      <c r="M1149" s="201" t="s">
        <v>60</v>
      </c>
      <c r="N1149" s="157"/>
      <c r="O1149" s="157"/>
      <c r="P1149" s="158"/>
      <c r="Q1149" s="201"/>
      <c r="R1149" s="201"/>
      <c r="S1149" s="201"/>
      <c r="T1149" s="201"/>
      <c r="U1149" s="201"/>
      <c r="V1149" s="201"/>
      <c r="W1149" s="201"/>
      <c r="X1149" s="201"/>
      <c r="Y1149" s="201"/>
      <c r="Z1149" s="201"/>
      <c r="AA1149" s="210"/>
      <c r="AB1149" s="201"/>
      <c r="AC1149" s="201"/>
      <c r="AD1149" s="201" t="s">
        <v>604</v>
      </c>
      <c r="AE1149" s="133"/>
    </row>
    <row r="1150" spans="2:31" ht="13.8" x14ac:dyDescent="0.3">
      <c r="B1150" s="104">
        <v>37556</v>
      </c>
      <c r="C1150" s="104" t="s">
        <v>64</v>
      </c>
      <c r="D1150" s="103" t="s">
        <v>2427</v>
      </c>
      <c r="E1150" s="244" t="s">
        <v>2396</v>
      </c>
      <c r="F1150" s="103" t="s">
        <v>2093</v>
      </c>
      <c r="G1150" s="103"/>
      <c r="H1150" s="164"/>
      <c r="I1150" s="214"/>
      <c r="J1150" s="154" t="s">
        <v>58</v>
      </c>
      <c r="K1150" s="201" t="s">
        <v>680</v>
      </c>
      <c r="L1150" s="157"/>
      <c r="M1150" s="201" t="s">
        <v>60</v>
      </c>
      <c r="N1150" s="157"/>
      <c r="O1150" s="157"/>
      <c r="P1150" s="158"/>
      <c r="Q1150" s="201"/>
      <c r="R1150" s="201"/>
      <c r="S1150" s="204"/>
      <c r="T1150" s="204" t="s">
        <v>68</v>
      </c>
      <c r="U1150" s="204"/>
      <c r="V1150" s="204"/>
      <c r="W1150" s="201"/>
      <c r="X1150" s="204" t="s">
        <v>68</v>
      </c>
      <c r="Y1150" s="201"/>
      <c r="Z1150" s="201"/>
      <c r="AA1150" s="207"/>
      <c r="AB1150" s="206"/>
      <c r="AC1150" s="201"/>
      <c r="AD1150" s="201" t="s">
        <v>616</v>
      </c>
      <c r="AE1150" s="133"/>
    </row>
    <row r="1151" spans="2:31" ht="13.8" x14ac:dyDescent="0.3">
      <c r="B1151" s="104">
        <v>37556</v>
      </c>
      <c r="C1151" s="104" t="s">
        <v>54</v>
      </c>
      <c r="D1151" s="103" t="s">
        <v>2428</v>
      </c>
      <c r="E1151" s="244" t="s">
        <v>2396</v>
      </c>
      <c r="F1151" s="103" t="s">
        <v>2093</v>
      </c>
      <c r="G1151" s="103"/>
      <c r="H1151" s="164"/>
      <c r="I1151" s="214"/>
      <c r="J1151" s="154" t="s">
        <v>58</v>
      </c>
      <c r="K1151" s="215" t="s">
        <v>680</v>
      </c>
      <c r="L1151" s="157"/>
      <c r="M1151" s="201" t="s">
        <v>60</v>
      </c>
      <c r="N1151" s="157"/>
      <c r="O1151" s="157"/>
      <c r="P1151" s="158"/>
      <c r="Q1151" s="201"/>
      <c r="R1151" s="201"/>
      <c r="S1151" s="201"/>
      <c r="T1151" s="201" t="s">
        <v>62</v>
      </c>
      <c r="U1151" s="201"/>
      <c r="V1151" s="201"/>
      <c r="W1151" s="201"/>
      <c r="X1151" s="201" t="s">
        <v>62</v>
      </c>
      <c r="Y1151" s="201"/>
      <c r="Z1151" s="201"/>
      <c r="AA1151" s="210"/>
      <c r="AB1151" s="201"/>
      <c r="AC1151" s="201"/>
      <c r="AD1151" s="201" t="s">
        <v>604</v>
      </c>
      <c r="AE1151" s="133"/>
    </row>
    <row r="1152" spans="2:31" ht="13.8" x14ac:dyDescent="0.3">
      <c r="B1152" s="104">
        <v>30562</v>
      </c>
      <c r="C1152" s="104" t="s">
        <v>64</v>
      </c>
      <c r="D1152" s="384" t="s">
        <v>116</v>
      </c>
      <c r="E1152" s="104" t="s">
        <v>56</v>
      </c>
      <c r="F1152" s="103" t="s">
        <v>57</v>
      </c>
      <c r="G1152" s="103" t="s">
        <v>11</v>
      </c>
      <c r="H1152" s="250">
        <v>44715</v>
      </c>
      <c r="I1152" s="214"/>
      <c r="J1152" s="154" t="s">
        <v>58</v>
      </c>
      <c r="K1152" s="203"/>
      <c r="L1152" s="156"/>
      <c r="M1152" s="158"/>
      <c r="N1152" s="156"/>
      <c r="O1152" s="156"/>
      <c r="P1152" s="158"/>
      <c r="Q1152" s="201"/>
      <c r="R1152" s="201"/>
      <c r="S1152" s="201"/>
      <c r="T1152" s="201"/>
      <c r="U1152" s="201"/>
      <c r="V1152" s="201"/>
      <c r="W1152" s="201"/>
      <c r="X1152" s="201"/>
      <c r="Y1152" s="201"/>
      <c r="Z1152" s="201"/>
      <c r="AA1152" s="210"/>
      <c r="AB1152" s="201"/>
      <c r="AC1152" s="201"/>
      <c r="AD1152" s="37" t="s">
        <v>68</v>
      </c>
      <c r="AE1152" s="133"/>
    </row>
    <row r="1153" spans="1:31" ht="13.8" x14ac:dyDescent="0.3">
      <c r="B1153" s="104">
        <v>30562</v>
      </c>
      <c r="C1153" s="104" t="s">
        <v>54</v>
      </c>
      <c r="D1153" s="103" t="s">
        <v>115</v>
      </c>
      <c r="E1153" s="104" t="s">
        <v>56</v>
      </c>
      <c r="F1153" s="103" t="s">
        <v>57</v>
      </c>
      <c r="G1153" s="103" t="s">
        <v>11</v>
      </c>
      <c r="H1153" s="250">
        <v>44715</v>
      </c>
      <c r="I1153" s="214"/>
      <c r="J1153" s="154" t="s">
        <v>58</v>
      </c>
      <c r="K1153" s="203"/>
      <c r="L1153" s="156"/>
      <c r="M1153" s="158"/>
      <c r="N1153" s="156"/>
      <c r="O1153" s="156"/>
      <c r="P1153" s="158"/>
      <c r="Q1153" s="201"/>
      <c r="R1153" s="201"/>
      <c r="S1153" s="201"/>
      <c r="T1153" s="201"/>
      <c r="U1153" s="201"/>
      <c r="V1153" s="201"/>
      <c r="W1153" s="201"/>
      <c r="X1153" s="201"/>
      <c r="Y1153" s="201"/>
      <c r="Z1153" s="201"/>
      <c r="AA1153" s="210"/>
      <c r="AB1153" s="201"/>
      <c r="AC1153" s="201"/>
      <c r="AD1153" s="37" t="s">
        <v>62</v>
      </c>
      <c r="AE1153" s="133"/>
    </row>
    <row r="1154" spans="1:31" ht="13.8" x14ac:dyDescent="0.3">
      <c r="B1154" s="104"/>
      <c r="C1154" s="104"/>
      <c r="D1154" s="103"/>
      <c r="E1154" s="104"/>
      <c r="F1154" s="103"/>
      <c r="G1154" s="103"/>
      <c r="H1154" s="164"/>
      <c r="I1154" s="214"/>
      <c r="J1154" s="154"/>
      <c r="K1154" s="203"/>
      <c r="L1154" s="156"/>
      <c r="M1154" s="158"/>
      <c r="N1154" s="156"/>
      <c r="O1154" s="156"/>
      <c r="P1154" s="158"/>
      <c r="Q1154" s="201"/>
      <c r="R1154" s="201"/>
      <c r="S1154" s="201"/>
      <c r="T1154" s="201"/>
      <c r="U1154" s="201"/>
      <c r="V1154" s="201"/>
      <c r="W1154" s="201"/>
      <c r="X1154" s="201"/>
      <c r="Y1154" s="201"/>
      <c r="Z1154" s="201"/>
      <c r="AA1154" s="207"/>
      <c r="AB1154" s="207"/>
      <c r="AC1154" s="201"/>
      <c r="AD1154" s="33">
        <v>44700</v>
      </c>
      <c r="AE1154" s="133"/>
    </row>
    <row r="1155" spans="1:31" ht="22.8" x14ac:dyDescent="0.3">
      <c r="A1155" s="257"/>
      <c r="B1155" s="253">
        <v>30824</v>
      </c>
      <c r="C1155" s="27" t="s">
        <v>64</v>
      </c>
      <c r="D1155" s="20" t="s">
        <v>2429</v>
      </c>
      <c r="E1155" s="20" t="s">
        <v>1946</v>
      </c>
      <c r="F1155" s="29" t="s">
        <v>1947</v>
      </c>
      <c r="G1155" s="29" t="s">
        <v>10</v>
      </c>
      <c r="H1155" s="19">
        <v>44418</v>
      </c>
      <c r="I1155" s="224"/>
      <c r="J1155" s="3" t="s">
        <v>58</v>
      </c>
      <c r="K1155" s="37" t="s">
        <v>59</v>
      </c>
      <c r="L1155" s="16" t="s">
        <v>75</v>
      </c>
      <c r="M1155" s="16" t="s">
        <v>60</v>
      </c>
      <c r="N1155" s="16" t="s">
        <v>75</v>
      </c>
      <c r="O1155" s="156"/>
      <c r="P1155" s="158"/>
      <c r="Q1155" s="16" t="s">
        <v>75</v>
      </c>
      <c r="R1155" s="201"/>
      <c r="S1155" s="16" t="s">
        <v>68</v>
      </c>
      <c r="T1155" s="16" t="s">
        <v>68</v>
      </c>
      <c r="U1155" s="16" t="s">
        <v>68</v>
      </c>
      <c r="V1155" s="201"/>
      <c r="W1155" s="201"/>
      <c r="X1155" s="16" t="s">
        <v>75</v>
      </c>
      <c r="Y1155" s="201"/>
      <c r="Z1155" s="16" t="s">
        <v>68</v>
      </c>
      <c r="AA1155" s="210"/>
      <c r="AB1155" s="201"/>
      <c r="AC1155" s="201"/>
      <c r="AD1155" s="24" t="s">
        <v>68</v>
      </c>
      <c r="AE1155" s="133"/>
    </row>
    <row r="1156" spans="1:31" ht="22.8" x14ac:dyDescent="0.3">
      <c r="A1156" s="257"/>
      <c r="B1156" s="253">
        <v>30824</v>
      </c>
      <c r="C1156" s="27" t="s">
        <v>54</v>
      </c>
      <c r="D1156" s="20" t="s">
        <v>2430</v>
      </c>
      <c r="E1156" s="20" t="s">
        <v>1946</v>
      </c>
      <c r="F1156" s="252" t="s">
        <v>1947</v>
      </c>
      <c r="G1156" s="29" t="s">
        <v>10</v>
      </c>
      <c r="H1156" s="19">
        <v>44418</v>
      </c>
      <c r="I1156" s="225"/>
      <c r="J1156" s="3" t="s">
        <v>58</v>
      </c>
      <c r="K1156" s="37" t="s">
        <v>59</v>
      </c>
      <c r="L1156" s="16" t="s">
        <v>75</v>
      </c>
      <c r="M1156" s="16" t="s">
        <v>60</v>
      </c>
      <c r="N1156" s="16" t="s">
        <v>75</v>
      </c>
      <c r="O1156" s="156"/>
      <c r="P1156" s="158"/>
      <c r="Q1156" s="16" t="s">
        <v>75</v>
      </c>
      <c r="R1156" s="201"/>
      <c r="S1156" s="16" t="s">
        <v>62</v>
      </c>
      <c r="T1156" s="16" t="s">
        <v>62</v>
      </c>
      <c r="U1156" s="16" t="s">
        <v>62</v>
      </c>
      <c r="V1156" s="201"/>
      <c r="W1156" s="201"/>
      <c r="X1156" s="16" t="s">
        <v>75</v>
      </c>
      <c r="Y1156" s="201"/>
      <c r="Z1156" s="16" t="s">
        <v>62</v>
      </c>
      <c r="AA1156" s="210"/>
      <c r="AB1156" s="210"/>
      <c r="AC1156" s="201"/>
      <c r="AD1156" s="24" t="s">
        <v>62</v>
      </c>
      <c r="AE1156" s="133"/>
    </row>
  </sheetData>
  <autoFilter ref="A1:AD1156" xr:uid="{00000000-0001-0000-0100-000000000000}"/>
  <phoneticPr fontId="19" type="noConversion"/>
  <conditionalFormatting sqref="B2:B49 B51:B63">
    <cfRule type="duplicateValues" dxfId="985" priority="249"/>
  </conditionalFormatting>
  <conditionalFormatting sqref="B2:B225 B227:B291 B294:B424">
    <cfRule type="duplicateValues" dxfId="984" priority="252"/>
  </conditionalFormatting>
  <conditionalFormatting sqref="B50">
    <cfRule type="duplicateValues" dxfId="983" priority="244"/>
  </conditionalFormatting>
  <conditionalFormatting sqref="B64">
    <cfRule type="duplicateValues" dxfId="982" priority="242"/>
  </conditionalFormatting>
  <conditionalFormatting sqref="B65:B70 B72:B75">
    <cfRule type="duplicateValues" dxfId="981" priority="248"/>
  </conditionalFormatting>
  <conditionalFormatting sqref="B71">
    <cfRule type="duplicateValues" dxfId="980" priority="247"/>
  </conditionalFormatting>
  <conditionalFormatting sqref="B76:B80 B86:B104 B106:B176">
    <cfRule type="duplicateValues" dxfId="979" priority="246"/>
  </conditionalFormatting>
  <conditionalFormatting sqref="B81:B85">
    <cfRule type="duplicateValues" dxfId="978" priority="245"/>
  </conditionalFormatting>
  <conditionalFormatting sqref="B105">
    <cfRule type="duplicateValues" dxfId="977" priority="241"/>
  </conditionalFormatting>
  <conditionalFormatting sqref="B177:B199">
    <cfRule type="duplicateValues" dxfId="976" priority="243"/>
  </conditionalFormatting>
  <conditionalFormatting sqref="B200:B225 B227:B271 B273:B291 B294:B343">
    <cfRule type="duplicateValues" dxfId="975" priority="251"/>
  </conditionalFormatting>
  <conditionalFormatting sqref="B272">
    <cfRule type="duplicateValues" dxfId="974" priority="240"/>
  </conditionalFormatting>
  <conditionalFormatting sqref="B292">
    <cfRule type="duplicateValues" dxfId="973" priority="211"/>
  </conditionalFormatting>
  <conditionalFormatting sqref="B344:B403">
    <cfRule type="duplicateValues" dxfId="972" priority="250"/>
  </conditionalFormatting>
  <conditionalFormatting sqref="B742:B768 B770:B779 B782:B799 B807:B849">
    <cfRule type="duplicateValues" dxfId="971" priority="229"/>
  </conditionalFormatting>
  <conditionalFormatting sqref="B742:B779 B782:B799 B807:B870 B873:B888 B891:B938 B943:B976 B978:B979 B986 B988:B991 B994:B997 B1003 B1007 B1009:B1012">
    <cfRule type="duplicateValues" dxfId="970" priority="239"/>
  </conditionalFormatting>
  <conditionalFormatting sqref="B769">
    <cfRule type="duplicateValues" dxfId="969" priority="227"/>
  </conditionalFormatting>
  <conditionalFormatting sqref="B780:B781">
    <cfRule type="duplicateValues" dxfId="968" priority="226"/>
    <cfRule type="duplicateValues" dxfId="967" priority="225"/>
  </conditionalFormatting>
  <conditionalFormatting sqref="B800:B806">
    <cfRule type="duplicateValues" dxfId="966" priority="152"/>
    <cfRule type="duplicateValues" dxfId="965" priority="153"/>
  </conditionalFormatting>
  <conditionalFormatting sqref="B850:B870 B873:B888 B891:B927">
    <cfRule type="duplicateValues" dxfId="964" priority="238"/>
  </conditionalFormatting>
  <conditionalFormatting sqref="B871:B872">
    <cfRule type="duplicateValues" dxfId="963" priority="219"/>
    <cfRule type="duplicateValues" dxfId="962" priority="220"/>
  </conditionalFormatting>
  <conditionalFormatting sqref="B889:B890">
    <cfRule type="duplicateValues" dxfId="961" priority="218"/>
    <cfRule type="duplicateValues" dxfId="960" priority="217"/>
  </conditionalFormatting>
  <conditionalFormatting sqref="B939:B940">
    <cfRule type="duplicateValues" dxfId="959" priority="215"/>
  </conditionalFormatting>
  <conditionalFormatting sqref="B941:B942">
    <cfRule type="duplicateValues" dxfId="958" priority="216"/>
  </conditionalFormatting>
  <conditionalFormatting sqref="B977">
    <cfRule type="duplicateValues" dxfId="957" priority="166"/>
  </conditionalFormatting>
  <conditionalFormatting sqref="B980">
    <cfRule type="duplicateValues" dxfId="956" priority="167"/>
  </conditionalFormatting>
  <conditionalFormatting sqref="B981">
    <cfRule type="duplicateValues" dxfId="955" priority="181"/>
    <cfRule type="duplicateValues" dxfId="954" priority="182"/>
    <cfRule type="duplicateValues" dxfId="953" priority="183"/>
    <cfRule type="duplicateValues" dxfId="952" priority="184"/>
    <cfRule type="duplicateValues" dxfId="951" priority="180"/>
  </conditionalFormatting>
  <conditionalFormatting sqref="B982">
    <cfRule type="duplicateValues" dxfId="950" priority="174"/>
  </conditionalFormatting>
  <conditionalFormatting sqref="B983">
    <cfRule type="duplicateValues" dxfId="949" priority="179"/>
    <cfRule type="duplicateValues" dxfId="948" priority="178"/>
    <cfRule type="duplicateValues" dxfId="947" priority="175"/>
    <cfRule type="duplicateValues" dxfId="946" priority="177"/>
    <cfRule type="duplicateValues" dxfId="945" priority="176"/>
  </conditionalFormatting>
  <conditionalFormatting sqref="B984">
    <cfRule type="duplicateValues" dxfId="944" priority="172"/>
  </conditionalFormatting>
  <conditionalFormatting sqref="B985">
    <cfRule type="duplicateValues" dxfId="943" priority="171"/>
  </conditionalFormatting>
  <conditionalFormatting sqref="B987">
    <cfRule type="duplicateValues" dxfId="942" priority="170"/>
  </conditionalFormatting>
  <conditionalFormatting sqref="B992">
    <cfRule type="duplicateValues" dxfId="941" priority="214"/>
  </conditionalFormatting>
  <conditionalFormatting sqref="B993">
    <cfRule type="duplicateValues" dxfId="940" priority="196"/>
  </conditionalFormatting>
  <conditionalFormatting sqref="B998">
    <cfRule type="duplicateValues" dxfId="939" priority="212"/>
  </conditionalFormatting>
  <conditionalFormatting sqref="B999:B1000">
    <cfRule type="duplicateValues" dxfId="938" priority="213"/>
  </conditionalFormatting>
  <conditionalFormatting sqref="B1001">
    <cfRule type="duplicateValues" dxfId="937" priority="116"/>
  </conditionalFormatting>
  <conditionalFormatting sqref="B1002">
    <cfRule type="duplicateValues" dxfId="936" priority="110"/>
    <cfRule type="duplicateValues" dxfId="935" priority="107"/>
    <cfRule type="duplicateValues" dxfId="934" priority="108"/>
    <cfRule type="duplicateValues" dxfId="933" priority="109"/>
    <cfRule type="duplicateValues" dxfId="932" priority="111"/>
    <cfRule type="duplicateValues" dxfId="931" priority="112"/>
    <cfRule type="duplicateValues" dxfId="930" priority="113"/>
    <cfRule type="duplicateValues" dxfId="929" priority="114"/>
    <cfRule type="duplicateValues" dxfId="928" priority="115"/>
  </conditionalFormatting>
  <conditionalFormatting sqref="B1004">
    <cfRule type="duplicateValues" dxfId="927" priority="106"/>
    <cfRule type="duplicateValues" dxfId="926" priority="105"/>
    <cfRule type="duplicateValues" dxfId="925" priority="101"/>
    <cfRule type="duplicateValues" dxfId="924" priority="104"/>
    <cfRule type="duplicateValues" dxfId="923" priority="102"/>
    <cfRule type="duplicateValues" dxfId="922" priority="103"/>
    <cfRule type="duplicateValues" dxfId="921" priority="100"/>
    <cfRule type="duplicateValues" dxfId="920" priority="98"/>
    <cfRule type="duplicateValues" dxfId="919" priority="99"/>
  </conditionalFormatting>
  <conditionalFormatting sqref="B1005">
    <cfRule type="duplicateValues" dxfId="918" priority="97"/>
  </conditionalFormatting>
  <conditionalFormatting sqref="B1006">
    <cfRule type="duplicateValues" dxfId="917" priority="96"/>
  </conditionalFormatting>
  <conditionalFormatting sqref="B1008">
    <cfRule type="duplicateValues" dxfId="916" priority="93"/>
    <cfRule type="duplicateValues" dxfId="915" priority="94"/>
    <cfRule type="duplicateValues" dxfId="914" priority="92"/>
    <cfRule type="duplicateValues" dxfId="913" priority="91"/>
    <cfRule type="duplicateValues" dxfId="912" priority="90"/>
    <cfRule type="duplicateValues" dxfId="911" priority="89"/>
    <cfRule type="duplicateValues" dxfId="910" priority="88"/>
  </conditionalFormatting>
  <conditionalFormatting sqref="B1013">
    <cfRule type="duplicateValues" dxfId="909" priority="87"/>
  </conditionalFormatting>
  <conditionalFormatting sqref="B1014">
    <cfRule type="duplicateValues" dxfId="908" priority="86"/>
  </conditionalFormatting>
  <conditionalFormatting sqref="B1015">
    <cfRule type="duplicateValues" dxfId="907" priority="95"/>
  </conditionalFormatting>
  <conditionalFormatting sqref="B1016">
    <cfRule type="duplicateValues" dxfId="906" priority="85"/>
  </conditionalFormatting>
  <conditionalFormatting sqref="B1017">
    <cfRule type="duplicateValues" dxfId="905" priority="83"/>
    <cfRule type="duplicateValues" dxfId="904" priority="84"/>
    <cfRule type="duplicateValues" dxfId="903" priority="80"/>
    <cfRule type="duplicateValues" dxfId="902" priority="81"/>
    <cfRule type="duplicateValues" dxfId="901" priority="82"/>
  </conditionalFormatting>
  <conditionalFormatting sqref="B1018">
    <cfRule type="duplicateValues" dxfId="900" priority="75"/>
    <cfRule type="duplicateValues" dxfId="899" priority="79"/>
    <cfRule type="duplicateValues" dxfId="898" priority="78"/>
    <cfRule type="duplicateValues" dxfId="897" priority="77"/>
    <cfRule type="duplicateValues" dxfId="896" priority="76"/>
  </conditionalFormatting>
  <conditionalFormatting sqref="B1019">
    <cfRule type="duplicateValues" dxfId="895" priority="74"/>
  </conditionalFormatting>
  <conditionalFormatting sqref="B1020">
    <cfRule type="duplicateValues" dxfId="894" priority="73"/>
  </conditionalFormatting>
  <conditionalFormatting sqref="B1026">
    <cfRule type="duplicateValues" dxfId="893" priority="169"/>
  </conditionalFormatting>
  <conditionalFormatting sqref="B1027">
    <cfRule type="duplicateValues" dxfId="892" priority="72"/>
  </conditionalFormatting>
  <conditionalFormatting sqref="B1028">
    <cfRule type="duplicateValues" dxfId="891" priority="70"/>
  </conditionalFormatting>
  <conditionalFormatting sqref="B1029">
    <cfRule type="duplicateValues" dxfId="890" priority="67"/>
  </conditionalFormatting>
  <conditionalFormatting sqref="B1030">
    <cfRule type="duplicateValues" dxfId="889" priority="65"/>
  </conditionalFormatting>
  <conditionalFormatting sqref="B1033">
    <cfRule type="duplicateValues" dxfId="888" priority="63"/>
  </conditionalFormatting>
  <conditionalFormatting sqref="B1034">
    <cfRule type="duplicateValues" dxfId="887" priority="61"/>
  </conditionalFormatting>
  <conditionalFormatting sqref="B1035:B1036">
    <cfRule type="duplicateValues" dxfId="886" priority="60"/>
  </conditionalFormatting>
  <conditionalFormatting sqref="B1037">
    <cfRule type="duplicateValues" dxfId="885" priority="58"/>
  </conditionalFormatting>
  <conditionalFormatting sqref="B1038">
    <cfRule type="duplicateValues" dxfId="884" priority="56"/>
  </conditionalFormatting>
  <conditionalFormatting sqref="B1039">
    <cfRule type="duplicateValues" dxfId="883" priority="54"/>
  </conditionalFormatting>
  <conditionalFormatting sqref="B1040">
    <cfRule type="duplicateValues" dxfId="882" priority="52"/>
  </conditionalFormatting>
  <conditionalFormatting sqref="B1041">
    <cfRule type="duplicateValues" dxfId="881" priority="50"/>
  </conditionalFormatting>
  <conditionalFormatting sqref="B1042">
    <cfRule type="duplicateValues" dxfId="880" priority="154"/>
  </conditionalFormatting>
  <conditionalFormatting sqref="B1043">
    <cfRule type="duplicateValues" dxfId="879" priority="48"/>
  </conditionalFormatting>
  <conditionalFormatting sqref="B1044">
    <cfRule type="duplicateValues" dxfId="878" priority="46"/>
  </conditionalFormatting>
  <conditionalFormatting sqref="B1046 B1048 B1152:B1153 B1090:C1105 B1134:C1135 B1154:C1154 B1157:C1048576 C1042 C1046:C1049 C1053:C1059 C1073 C1084:C1089">
    <cfRule type="duplicateValues" dxfId="877" priority="1384"/>
  </conditionalFormatting>
  <conditionalFormatting sqref="B1053">
    <cfRule type="duplicateValues" dxfId="876" priority="44"/>
  </conditionalFormatting>
  <conditionalFormatting sqref="B1054">
    <cfRule type="duplicateValues" dxfId="875" priority="43"/>
  </conditionalFormatting>
  <conditionalFormatting sqref="B1055">
    <cfRule type="duplicateValues" dxfId="874" priority="186"/>
    <cfRule type="duplicateValues" dxfId="873" priority="185"/>
    <cfRule type="duplicateValues" dxfId="872" priority="191"/>
    <cfRule type="duplicateValues" dxfId="871" priority="193"/>
    <cfRule type="duplicateValues" dxfId="870" priority="190"/>
    <cfRule type="duplicateValues" dxfId="869" priority="189"/>
    <cfRule type="duplicateValues" dxfId="868" priority="188"/>
    <cfRule type="duplicateValues" dxfId="867" priority="192"/>
    <cfRule type="duplicateValues" dxfId="866" priority="187"/>
  </conditionalFormatting>
  <conditionalFormatting sqref="B1056">
    <cfRule type="duplicateValues" dxfId="865" priority="165"/>
  </conditionalFormatting>
  <conditionalFormatting sqref="B1057">
    <cfRule type="duplicateValues" dxfId="864" priority="42"/>
  </conditionalFormatting>
  <conditionalFormatting sqref="B1058">
    <cfRule type="duplicateValues" dxfId="863" priority="41"/>
  </conditionalFormatting>
  <conditionalFormatting sqref="B1059">
    <cfRule type="duplicateValues" dxfId="862" priority="40"/>
  </conditionalFormatting>
  <conditionalFormatting sqref="B1060">
    <cfRule type="duplicateValues" dxfId="861" priority="200"/>
  </conditionalFormatting>
  <conditionalFormatting sqref="B1061">
    <cfRule type="duplicateValues" dxfId="860" priority="38"/>
    <cfRule type="duplicateValues" dxfId="859" priority="39"/>
  </conditionalFormatting>
  <conditionalFormatting sqref="B1062">
    <cfRule type="duplicateValues" dxfId="858" priority="34"/>
    <cfRule type="duplicateValues" dxfId="857" priority="35"/>
  </conditionalFormatting>
  <conditionalFormatting sqref="B1063">
    <cfRule type="duplicateValues" dxfId="856" priority="32"/>
    <cfRule type="duplicateValues" dxfId="855" priority="31"/>
    <cfRule type="duplicateValues" dxfId="854" priority="33"/>
    <cfRule type="duplicateValues" dxfId="853" priority="30"/>
    <cfRule type="duplicateValues" dxfId="852" priority="29"/>
    <cfRule type="duplicateValues" dxfId="851" priority="28"/>
    <cfRule type="duplicateValues" dxfId="850" priority="27"/>
  </conditionalFormatting>
  <conditionalFormatting sqref="B1064">
    <cfRule type="duplicateValues" dxfId="849" priority="130"/>
  </conditionalFormatting>
  <conditionalFormatting sqref="B1065">
    <cfRule type="duplicateValues" dxfId="848" priority="131"/>
  </conditionalFormatting>
  <conditionalFormatting sqref="B1066">
    <cfRule type="duplicateValues" dxfId="847" priority="25"/>
  </conditionalFormatting>
  <conditionalFormatting sqref="B1067">
    <cfRule type="duplicateValues" dxfId="846" priority="23"/>
  </conditionalFormatting>
  <conditionalFormatting sqref="B1068">
    <cfRule type="duplicateValues" dxfId="845" priority="134"/>
  </conditionalFormatting>
  <conditionalFormatting sqref="B1069">
    <cfRule type="duplicateValues" dxfId="844" priority="135"/>
  </conditionalFormatting>
  <conditionalFormatting sqref="B1070">
    <cfRule type="duplicateValues" dxfId="843" priority="21"/>
  </conditionalFormatting>
  <conditionalFormatting sqref="B1071">
    <cfRule type="duplicateValues" dxfId="842" priority="19"/>
  </conditionalFormatting>
  <conditionalFormatting sqref="B1072">
    <cfRule type="duplicateValues" dxfId="841" priority="17"/>
  </conditionalFormatting>
  <conditionalFormatting sqref="B1073 B1084">
    <cfRule type="duplicateValues" dxfId="840" priority="157"/>
  </conditionalFormatting>
  <conditionalFormatting sqref="B1074">
    <cfRule type="duplicateValues" dxfId="839" priority="121"/>
  </conditionalFormatting>
  <conditionalFormatting sqref="B1075">
    <cfRule type="duplicateValues" dxfId="838" priority="122"/>
  </conditionalFormatting>
  <conditionalFormatting sqref="B1076">
    <cfRule type="duplicateValues" dxfId="837" priority="117"/>
  </conditionalFormatting>
  <conditionalFormatting sqref="B1077">
    <cfRule type="duplicateValues" dxfId="836" priority="124"/>
  </conditionalFormatting>
  <conditionalFormatting sqref="B1078">
    <cfRule type="duplicateValues" dxfId="835" priority="125"/>
  </conditionalFormatting>
  <conditionalFormatting sqref="B1079">
    <cfRule type="duplicateValues" dxfId="834" priority="15"/>
  </conditionalFormatting>
  <conditionalFormatting sqref="B1080">
    <cfRule type="duplicateValues" dxfId="833" priority="127"/>
  </conditionalFormatting>
  <conditionalFormatting sqref="B1081:B1082">
    <cfRule type="duplicateValues" dxfId="832" priority="120"/>
  </conditionalFormatting>
  <conditionalFormatting sqref="B1083">
    <cfRule type="duplicateValues" dxfId="831" priority="128"/>
  </conditionalFormatting>
  <conditionalFormatting sqref="B1085:B1086">
    <cfRule type="duplicateValues" dxfId="830" priority="156"/>
  </conditionalFormatting>
  <conditionalFormatting sqref="B1087">
    <cfRule type="duplicateValues" dxfId="829" priority="159"/>
  </conditionalFormatting>
  <conditionalFormatting sqref="B1088">
    <cfRule type="duplicateValues" dxfId="828" priority="158"/>
  </conditionalFormatting>
  <conditionalFormatting sqref="B1155:B1156 F1156">
    <cfRule type="duplicateValues" dxfId="827" priority="2"/>
    <cfRule type="duplicateValues" dxfId="826" priority="3"/>
  </conditionalFormatting>
  <conditionalFormatting sqref="B1021:C1025 C1026:C1027 C1033">
    <cfRule type="duplicateValues" dxfId="825" priority="9319"/>
  </conditionalFormatting>
  <conditionalFormatting sqref="B1031:C1031">
    <cfRule type="duplicateValues" dxfId="824" priority="149"/>
  </conditionalFormatting>
  <conditionalFormatting sqref="B1032:C1032">
    <cfRule type="duplicateValues" dxfId="823" priority="151"/>
  </conditionalFormatting>
  <conditionalFormatting sqref="B1045:C1045">
    <cfRule type="duplicateValues" dxfId="822" priority="119"/>
  </conditionalFormatting>
  <conditionalFormatting sqref="B1136:C1137">
    <cfRule type="duplicateValues" dxfId="821" priority="14"/>
  </conditionalFormatting>
  <conditionalFormatting sqref="B1138:C1139">
    <cfRule type="duplicateValues" dxfId="820" priority="13"/>
  </conditionalFormatting>
  <conditionalFormatting sqref="B1140:C1141">
    <cfRule type="duplicateValues" dxfId="819" priority="12"/>
  </conditionalFormatting>
  <conditionalFormatting sqref="B1142:C1143">
    <cfRule type="duplicateValues" dxfId="818" priority="11"/>
  </conditionalFormatting>
  <conditionalFormatting sqref="B1144:C1145">
    <cfRule type="duplicateValues" dxfId="817" priority="10"/>
  </conditionalFormatting>
  <conditionalFormatting sqref="B1146:C1147">
    <cfRule type="duplicateValues" dxfId="816" priority="9"/>
  </conditionalFormatting>
  <conditionalFormatting sqref="B1148:C1149">
    <cfRule type="duplicateValues" dxfId="815" priority="8"/>
  </conditionalFormatting>
  <conditionalFormatting sqref="B1150:C1151">
    <cfRule type="duplicateValues" dxfId="814" priority="7"/>
  </conditionalFormatting>
  <conditionalFormatting sqref="C292">
    <cfRule type="duplicateValues" dxfId="813" priority="210"/>
  </conditionalFormatting>
  <conditionalFormatting sqref="C293">
    <cfRule type="duplicateValues" dxfId="812" priority="209"/>
  </conditionalFormatting>
  <conditionalFormatting sqref="C1028">
    <cfRule type="duplicateValues" dxfId="811" priority="71"/>
  </conditionalFormatting>
  <conditionalFormatting sqref="C1029">
    <cfRule type="duplicateValues" dxfId="810" priority="66"/>
  </conditionalFormatting>
  <conditionalFormatting sqref="C1030">
    <cfRule type="duplicateValues" dxfId="809" priority="64"/>
  </conditionalFormatting>
  <conditionalFormatting sqref="C1034">
    <cfRule type="duplicateValues" dxfId="808" priority="62"/>
  </conditionalFormatting>
  <conditionalFormatting sqref="C1035:C1036">
    <cfRule type="duplicateValues" dxfId="807" priority="59"/>
  </conditionalFormatting>
  <conditionalFormatting sqref="C1037">
    <cfRule type="duplicateValues" dxfId="806" priority="57"/>
  </conditionalFormatting>
  <conditionalFormatting sqref="C1038">
    <cfRule type="duplicateValues" dxfId="805" priority="55"/>
  </conditionalFormatting>
  <conditionalFormatting sqref="C1039">
    <cfRule type="duplicateValues" dxfId="804" priority="53"/>
  </conditionalFormatting>
  <conditionalFormatting sqref="C1040">
    <cfRule type="duplicateValues" dxfId="803" priority="51"/>
  </conditionalFormatting>
  <conditionalFormatting sqref="C1041">
    <cfRule type="duplicateValues" dxfId="802" priority="49"/>
  </conditionalFormatting>
  <conditionalFormatting sqref="C1043">
    <cfRule type="duplicateValues" dxfId="801" priority="47"/>
  </conditionalFormatting>
  <conditionalFormatting sqref="C1044">
    <cfRule type="duplicateValues" dxfId="800" priority="45"/>
  </conditionalFormatting>
  <conditionalFormatting sqref="C1050">
    <cfRule type="duplicateValues" dxfId="799" priority="136"/>
  </conditionalFormatting>
  <conditionalFormatting sqref="C1051">
    <cfRule type="duplicateValues" dxfId="798" priority="137"/>
  </conditionalFormatting>
  <conditionalFormatting sqref="C1052">
    <cfRule type="duplicateValues" dxfId="797" priority="138"/>
  </conditionalFormatting>
  <conditionalFormatting sqref="C1061">
    <cfRule type="duplicateValues" dxfId="796" priority="37"/>
  </conditionalFormatting>
  <conditionalFormatting sqref="C1062">
    <cfRule type="duplicateValues" dxfId="795" priority="36"/>
  </conditionalFormatting>
  <conditionalFormatting sqref="C1063">
    <cfRule type="duplicateValues" dxfId="794" priority="26"/>
  </conditionalFormatting>
  <conditionalFormatting sqref="C1066">
    <cfRule type="duplicateValues" dxfId="793" priority="24"/>
  </conditionalFormatting>
  <conditionalFormatting sqref="C1067">
    <cfRule type="duplicateValues" dxfId="792" priority="22"/>
  </conditionalFormatting>
  <conditionalFormatting sqref="C1070">
    <cfRule type="duplicateValues" dxfId="791" priority="20"/>
  </conditionalFormatting>
  <conditionalFormatting sqref="C1071">
    <cfRule type="duplicateValues" dxfId="790" priority="18"/>
  </conditionalFormatting>
  <conditionalFormatting sqref="C1072">
    <cfRule type="duplicateValues" dxfId="789" priority="16"/>
  </conditionalFormatting>
  <conditionalFormatting sqref="C1152:C1153">
    <cfRule type="duplicateValues" dxfId="788" priority="6"/>
  </conditionalFormatting>
  <conditionalFormatting sqref="D2:D3">
    <cfRule type="duplicateValues" dxfId="787" priority="485"/>
  </conditionalFormatting>
  <conditionalFormatting sqref="D4:D5">
    <cfRule type="duplicateValues" dxfId="786" priority="484"/>
  </conditionalFormatting>
  <conditionalFormatting sqref="D6:D7">
    <cfRule type="duplicateValues" dxfId="785" priority="483"/>
  </conditionalFormatting>
  <conditionalFormatting sqref="D8">
    <cfRule type="duplicateValues" dxfId="784" priority="482"/>
  </conditionalFormatting>
  <conditionalFormatting sqref="D9:D10">
    <cfRule type="duplicateValues" dxfId="783" priority="481"/>
  </conditionalFormatting>
  <conditionalFormatting sqref="D11">
    <cfRule type="duplicateValues" dxfId="782" priority="480"/>
  </conditionalFormatting>
  <conditionalFormatting sqref="D12:D13">
    <cfRule type="duplicateValues" dxfId="781" priority="1"/>
  </conditionalFormatting>
  <conditionalFormatting sqref="D14">
    <cfRule type="duplicateValues" dxfId="780" priority="479"/>
  </conditionalFormatting>
  <conditionalFormatting sqref="D15:D16">
    <cfRule type="duplicateValues" dxfId="779" priority="478"/>
  </conditionalFormatting>
  <conditionalFormatting sqref="D17:D18">
    <cfRule type="duplicateValues" dxfId="778" priority="477"/>
  </conditionalFormatting>
  <conditionalFormatting sqref="D19:D20">
    <cfRule type="duplicateValues" dxfId="777" priority="476"/>
  </conditionalFormatting>
  <conditionalFormatting sqref="D21:D22">
    <cfRule type="duplicateValues" dxfId="776" priority="475"/>
  </conditionalFormatting>
  <conditionalFormatting sqref="D23">
    <cfRule type="duplicateValues" dxfId="775" priority="474"/>
  </conditionalFormatting>
  <conditionalFormatting sqref="D24">
    <cfRule type="duplicateValues" dxfId="774" priority="473"/>
  </conditionalFormatting>
  <conditionalFormatting sqref="D25:D26">
    <cfRule type="duplicateValues" dxfId="773" priority="472"/>
  </conditionalFormatting>
  <conditionalFormatting sqref="D27:D28">
    <cfRule type="duplicateValues" dxfId="772" priority="471"/>
  </conditionalFormatting>
  <conditionalFormatting sqref="D30">
    <cfRule type="duplicateValues" dxfId="771" priority="1145"/>
  </conditionalFormatting>
  <conditionalFormatting sqref="D30:D31">
    <cfRule type="duplicateValues" dxfId="770" priority="1147"/>
  </conditionalFormatting>
  <conditionalFormatting sqref="D31">
    <cfRule type="duplicateValues" dxfId="769" priority="1144"/>
  </conditionalFormatting>
  <conditionalFormatting sqref="D32">
    <cfRule type="duplicateValues" dxfId="768" priority="1140"/>
  </conditionalFormatting>
  <conditionalFormatting sqref="D32:D33">
    <cfRule type="duplicateValues" dxfId="767" priority="1142"/>
  </conditionalFormatting>
  <conditionalFormatting sqref="D33">
    <cfRule type="duplicateValues" dxfId="766" priority="1139"/>
  </conditionalFormatting>
  <conditionalFormatting sqref="D34">
    <cfRule type="duplicateValues" dxfId="765" priority="1135"/>
  </conditionalFormatting>
  <conditionalFormatting sqref="D34:D35">
    <cfRule type="duplicateValues" dxfId="764" priority="1137"/>
  </conditionalFormatting>
  <conditionalFormatting sqref="D35">
    <cfRule type="duplicateValues" dxfId="763" priority="1134"/>
  </conditionalFormatting>
  <conditionalFormatting sqref="D43">
    <cfRule type="duplicateValues" dxfId="762" priority="470"/>
  </conditionalFormatting>
  <conditionalFormatting sqref="D46">
    <cfRule type="duplicateValues" dxfId="761" priority="1120"/>
  </conditionalFormatting>
  <conditionalFormatting sqref="D46:D47">
    <cfRule type="duplicateValues" dxfId="760" priority="1122"/>
  </conditionalFormatting>
  <conditionalFormatting sqref="D47">
    <cfRule type="duplicateValues" dxfId="759" priority="1119"/>
  </conditionalFormatting>
  <conditionalFormatting sqref="D48">
    <cfRule type="duplicateValues" dxfId="758" priority="1115"/>
  </conditionalFormatting>
  <conditionalFormatting sqref="D48:D49">
    <cfRule type="duplicateValues" dxfId="757" priority="1117"/>
  </conditionalFormatting>
  <conditionalFormatting sqref="D49">
    <cfRule type="duplicateValues" dxfId="756" priority="1114"/>
  </conditionalFormatting>
  <conditionalFormatting sqref="D50">
    <cfRule type="duplicateValues" dxfId="755" priority="1110"/>
  </conditionalFormatting>
  <conditionalFormatting sqref="D50:D51">
    <cfRule type="duplicateValues" dxfId="754" priority="1112"/>
  </conditionalFormatting>
  <conditionalFormatting sqref="D51">
    <cfRule type="duplicateValues" dxfId="753" priority="1109"/>
  </conditionalFormatting>
  <conditionalFormatting sqref="D62">
    <cfRule type="duplicateValues" dxfId="752" priority="1095"/>
  </conditionalFormatting>
  <conditionalFormatting sqref="D62:D63">
    <cfRule type="duplicateValues" dxfId="751" priority="1097"/>
  </conditionalFormatting>
  <conditionalFormatting sqref="D63">
    <cfRule type="duplicateValues" dxfId="750" priority="1094"/>
  </conditionalFormatting>
  <conditionalFormatting sqref="D72">
    <cfRule type="duplicateValues" dxfId="749" priority="1062"/>
  </conditionalFormatting>
  <conditionalFormatting sqref="D73">
    <cfRule type="duplicateValues" dxfId="748" priority="1061"/>
  </conditionalFormatting>
  <conditionalFormatting sqref="D80">
    <cfRule type="duplicateValues" dxfId="747" priority="1052"/>
  </conditionalFormatting>
  <conditionalFormatting sqref="D81">
    <cfRule type="duplicateValues" dxfId="746" priority="1053"/>
  </conditionalFormatting>
  <conditionalFormatting sqref="D84:D85">
    <cfRule type="duplicateValues" dxfId="745" priority="469"/>
  </conditionalFormatting>
  <conditionalFormatting sqref="D87">
    <cfRule type="duplicateValues" dxfId="744" priority="466"/>
  </conditionalFormatting>
  <conditionalFormatting sqref="D88">
    <cfRule type="duplicateValues" dxfId="743" priority="465"/>
  </conditionalFormatting>
  <conditionalFormatting sqref="D102">
    <cfRule type="duplicateValues" dxfId="742" priority="462"/>
  </conditionalFormatting>
  <conditionalFormatting sqref="D103">
    <cfRule type="duplicateValues" dxfId="741" priority="461"/>
  </conditionalFormatting>
  <conditionalFormatting sqref="D108">
    <cfRule type="duplicateValues" dxfId="740" priority="453"/>
  </conditionalFormatting>
  <conditionalFormatting sqref="D113:D114">
    <cfRule type="duplicateValues" dxfId="739" priority="555"/>
  </conditionalFormatting>
  <conditionalFormatting sqref="D115 D117">
    <cfRule type="duplicateValues" dxfId="738" priority="554"/>
  </conditionalFormatting>
  <conditionalFormatting sqref="D116">
    <cfRule type="duplicateValues" dxfId="737" priority="450"/>
  </conditionalFormatting>
  <conditionalFormatting sqref="D132:D133">
    <cfRule type="duplicateValues" dxfId="736" priority="447"/>
  </conditionalFormatting>
  <conditionalFormatting sqref="D140">
    <cfRule type="duplicateValues" dxfId="735" priority="2323"/>
  </conditionalFormatting>
  <conditionalFormatting sqref="D140:D141">
    <cfRule type="duplicateValues" dxfId="734" priority="2322"/>
  </conditionalFormatting>
  <conditionalFormatting sqref="D141">
    <cfRule type="duplicateValues" dxfId="733" priority="2326"/>
  </conditionalFormatting>
  <conditionalFormatting sqref="D144">
    <cfRule type="duplicateValues" dxfId="732" priority="444"/>
  </conditionalFormatting>
  <conditionalFormatting sqref="D156">
    <cfRule type="duplicateValues" dxfId="731" priority="441"/>
  </conditionalFormatting>
  <conditionalFormatting sqref="D158">
    <cfRule type="duplicateValues" dxfId="730" priority="438"/>
  </conditionalFormatting>
  <conditionalFormatting sqref="D167:D169">
    <cfRule type="duplicateValues" dxfId="729" priority="435"/>
  </conditionalFormatting>
  <conditionalFormatting sqref="D203:D205">
    <cfRule type="duplicateValues" dxfId="728" priority="5589"/>
  </conditionalFormatting>
  <conditionalFormatting sqref="D206:D209">
    <cfRule type="duplicateValues" dxfId="727" priority="4355"/>
  </conditionalFormatting>
  <conditionalFormatting sqref="D230">
    <cfRule type="duplicateValues" dxfId="726" priority="432"/>
  </conditionalFormatting>
  <conditionalFormatting sqref="D247:D248">
    <cfRule type="duplicateValues" dxfId="725" priority="563"/>
  </conditionalFormatting>
  <conditionalFormatting sqref="D249:D250">
    <cfRule type="duplicateValues" dxfId="724" priority="559"/>
  </conditionalFormatting>
  <conditionalFormatting sqref="D271:D272">
    <cfRule type="duplicateValues" dxfId="723" priority="1027"/>
  </conditionalFormatting>
  <conditionalFormatting sqref="D273:D274">
    <cfRule type="duplicateValues" dxfId="722" priority="1025"/>
  </conditionalFormatting>
  <conditionalFormatting sqref="D275:D276">
    <cfRule type="duplicateValues" dxfId="721" priority="1023"/>
  </conditionalFormatting>
  <conditionalFormatting sqref="D277:D278">
    <cfRule type="duplicateValues" dxfId="720" priority="1021"/>
  </conditionalFormatting>
  <conditionalFormatting sqref="D279:D280">
    <cfRule type="duplicateValues" dxfId="719" priority="1038"/>
  </conditionalFormatting>
  <conditionalFormatting sqref="D281:D282">
    <cfRule type="duplicateValues" dxfId="718" priority="1036"/>
  </conditionalFormatting>
  <conditionalFormatting sqref="D283:D284">
    <cfRule type="duplicateValues" dxfId="717" priority="1034"/>
  </conditionalFormatting>
  <conditionalFormatting sqref="D285:D286">
    <cfRule type="duplicateValues" dxfId="716" priority="1032"/>
  </conditionalFormatting>
  <conditionalFormatting sqref="D287">
    <cfRule type="duplicateValues" dxfId="715" priority="426"/>
  </conditionalFormatting>
  <conditionalFormatting sqref="D288">
    <cfRule type="duplicateValues" dxfId="714" priority="1030"/>
  </conditionalFormatting>
  <conditionalFormatting sqref="D289:D290 D292:D320">
    <cfRule type="duplicateValues" dxfId="713" priority="6348"/>
  </conditionalFormatting>
  <conditionalFormatting sqref="D291">
    <cfRule type="duplicateValues" dxfId="712" priority="425"/>
  </conditionalFormatting>
  <conditionalFormatting sqref="D321:D322">
    <cfRule type="duplicateValues" dxfId="711" priority="662"/>
  </conditionalFormatting>
  <conditionalFormatting sqref="D323:D324">
    <cfRule type="duplicateValues" dxfId="710" priority="661"/>
  </conditionalFormatting>
  <conditionalFormatting sqref="D325:D326">
    <cfRule type="duplicateValues" dxfId="709" priority="1012"/>
  </conditionalFormatting>
  <conditionalFormatting sqref="D327:D328">
    <cfRule type="duplicateValues" dxfId="708" priority="660"/>
  </conditionalFormatting>
  <conditionalFormatting sqref="D329:D330 D333:D334">
    <cfRule type="duplicateValues" dxfId="707" priority="1010"/>
  </conditionalFormatting>
  <conditionalFormatting sqref="D331:D332">
    <cfRule type="duplicateValues" dxfId="706" priority="659"/>
  </conditionalFormatting>
  <conditionalFormatting sqref="D335:D336">
    <cfRule type="duplicateValues" dxfId="705" priority="658"/>
  </conditionalFormatting>
  <conditionalFormatting sqref="D337:D340">
    <cfRule type="duplicateValues" dxfId="704" priority="2918"/>
  </conditionalFormatting>
  <conditionalFormatting sqref="D341 D343 D345:D346">
    <cfRule type="duplicateValues" dxfId="703" priority="656"/>
  </conditionalFormatting>
  <conditionalFormatting sqref="D342">
    <cfRule type="duplicateValues" dxfId="702" priority="424"/>
  </conditionalFormatting>
  <conditionalFormatting sqref="D344">
    <cfRule type="duplicateValues" dxfId="701" priority="427"/>
  </conditionalFormatting>
  <conditionalFormatting sqref="D347:D357 D360:D365 D368:D375 D377:D380 D394:D395">
    <cfRule type="duplicateValues" dxfId="700" priority="1039"/>
  </conditionalFormatting>
  <conditionalFormatting sqref="D358:D359">
    <cfRule type="duplicateValues" dxfId="699" priority="502"/>
  </conditionalFormatting>
  <conditionalFormatting sqref="D366:D367">
    <cfRule type="duplicateValues" dxfId="698" priority="498"/>
  </conditionalFormatting>
  <conditionalFormatting sqref="D376">
    <cfRule type="duplicateValues" dxfId="697" priority="421"/>
  </conditionalFormatting>
  <conditionalFormatting sqref="D382">
    <cfRule type="duplicateValues" dxfId="696" priority="420"/>
  </conditionalFormatting>
  <conditionalFormatting sqref="D386:D389">
    <cfRule type="duplicateValues" dxfId="695" priority="647"/>
  </conditionalFormatting>
  <conditionalFormatting sqref="D388:D389">
    <cfRule type="duplicateValues" dxfId="694" priority="641"/>
  </conditionalFormatting>
  <conditionalFormatting sqref="D390:D391">
    <cfRule type="duplicateValues" dxfId="693" priority="644"/>
  </conditionalFormatting>
  <conditionalFormatting sqref="D392">
    <cfRule type="duplicateValues" dxfId="692" priority="639"/>
  </conditionalFormatting>
  <conditionalFormatting sqref="D393">
    <cfRule type="duplicateValues" dxfId="691" priority="417"/>
  </conditionalFormatting>
  <conditionalFormatting sqref="D396:D397">
    <cfRule type="duplicateValues" dxfId="690" priority="635"/>
  </conditionalFormatting>
  <conditionalFormatting sqref="D398:D399">
    <cfRule type="duplicateValues" dxfId="689" priority="616"/>
  </conditionalFormatting>
  <conditionalFormatting sqref="D400:D401">
    <cfRule type="duplicateValues" dxfId="688" priority="618"/>
  </conditionalFormatting>
  <conditionalFormatting sqref="D402:D403">
    <cfRule type="duplicateValues" dxfId="687" priority="630"/>
  </conditionalFormatting>
  <conditionalFormatting sqref="D404:D405">
    <cfRule type="duplicateValues" dxfId="686" priority="627"/>
  </conditionalFormatting>
  <conditionalFormatting sqref="D406">
    <cfRule type="duplicateValues" dxfId="685" priority="624"/>
  </conditionalFormatting>
  <conditionalFormatting sqref="D407">
    <cfRule type="duplicateValues" dxfId="684" priority="611"/>
  </conditionalFormatting>
  <conditionalFormatting sqref="D408">
    <cfRule type="duplicateValues" dxfId="683" priority="6688"/>
  </conditionalFormatting>
  <conditionalFormatting sqref="D409:D410">
    <cfRule type="duplicateValues" dxfId="682" priority="613"/>
  </conditionalFormatting>
  <conditionalFormatting sqref="D411:D424">
    <cfRule type="duplicateValues" dxfId="681" priority="609"/>
  </conditionalFormatting>
  <conditionalFormatting sqref="D744">
    <cfRule type="duplicateValues" dxfId="680" priority="454"/>
  </conditionalFormatting>
  <conditionalFormatting sqref="D746">
    <cfRule type="duplicateValues" dxfId="679" priority="381"/>
  </conditionalFormatting>
  <conditionalFormatting sqref="D753:D754">
    <cfRule type="duplicateValues" dxfId="678" priority="378"/>
  </conditionalFormatting>
  <conditionalFormatting sqref="D756:D759">
    <cfRule type="duplicateValues" dxfId="677" priority="375"/>
  </conditionalFormatting>
  <conditionalFormatting sqref="D761:D763">
    <cfRule type="duplicateValues" dxfId="676" priority="372"/>
  </conditionalFormatting>
  <conditionalFormatting sqref="D767">
    <cfRule type="duplicateValues" dxfId="675" priority="369"/>
  </conditionalFormatting>
  <conditionalFormatting sqref="D773">
    <cfRule type="duplicateValues" dxfId="674" priority="455"/>
  </conditionalFormatting>
  <conditionalFormatting sqref="D775">
    <cfRule type="duplicateValues" dxfId="673" priority="366"/>
  </conditionalFormatting>
  <conditionalFormatting sqref="D780:D783">
    <cfRule type="duplicateValues" dxfId="672" priority="364"/>
  </conditionalFormatting>
  <conditionalFormatting sqref="D788:D789">
    <cfRule type="duplicateValues" dxfId="671" priority="361"/>
  </conditionalFormatting>
  <conditionalFormatting sqref="D791">
    <cfRule type="duplicateValues" dxfId="670" priority="358"/>
  </conditionalFormatting>
  <conditionalFormatting sqref="D800">
    <cfRule type="duplicateValues" dxfId="669" priority="351"/>
  </conditionalFormatting>
  <conditionalFormatting sqref="D801">
    <cfRule type="duplicateValues" dxfId="668" priority="350"/>
  </conditionalFormatting>
  <conditionalFormatting sqref="D802">
    <cfRule type="duplicateValues" dxfId="667" priority="349"/>
  </conditionalFormatting>
  <conditionalFormatting sqref="D803">
    <cfRule type="duplicateValues" dxfId="666" priority="348"/>
  </conditionalFormatting>
  <conditionalFormatting sqref="D804:D805">
    <cfRule type="duplicateValues" dxfId="665" priority="347"/>
  </conditionalFormatting>
  <conditionalFormatting sqref="D819 D828 D840:D848">
    <cfRule type="duplicateValues" dxfId="664" priority="9311"/>
  </conditionalFormatting>
  <conditionalFormatting sqref="D820:D826">
    <cfRule type="duplicateValues" dxfId="663" priority="335"/>
  </conditionalFormatting>
  <conditionalFormatting sqref="D827">
    <cfRule type="duplicateValues" dxfId="662" priority="332"/>
  </conditionalFormatting>
  <conditionalFormatting sqref="D829:D830">
    <cfRule type="duplicateValues" dxfId="661" priority="331"/>
  </conditionalFormatting>
  <conditionalFormatting sqref="D831:D832">
    <cfRule type="duplicateValues" dxfId="660" priority="804"/>
  </conditionalFormatting>
  <conditionalFormatting sqref="D849:D850">
    <cfRule type="duplicateValues" dxfId="659" priority="676"/>
  </conditionalFormatting>
  <conditionalFormatting sqref="D851:D852 D855:D858 D861:D862">
    <cfRule type="duplicateValues" dxfId="658" priority="675"/>
  </conditionalFormatting>
  <conditionalFormatting sqref="D853:D854">
    <cfRule type="duplicateValues" dxfId="657" priority="328"/>
  </conditionalFormatting>
  <conditionalFormatting sqref="D859:D860">
    <cfRule type="duplicateValues" dxfId="656" priority="327"/>
  </conditionalFormatting>
  <conditionalFormatting sqref="D863:D864">
    <cfRule type="duplicateValues" dxfId="655" priority="324"/>
  </conditionalFormatting>
  <conditionalFormatting sqref="D867:D868">
    <cfRule type="duplicateValues" dxfId="654" priority="323"/>
  </conditionalFormatting>
  <conditionalFormatting sqref="D871:D874">
    <cfRule type="duplicateValues" dxfId="653" priority="322"/>
  </conditionalFormatting>
  <conditionalFormatting sqref="D879:D880">
    <cfRule type="duplicateValues" dxfId="652" priority="319"/>
  </conditionalFormatting>
  <conditionalFormatting sqref="D882:D884">
    <cfRule type="duplicateValues" dxfId="651" priority="316"/>
  </conditionalFormatting>
  <conditionalFormatting sqref="D888">
    <cfRule type="duplicateValues" dxfId="650" priority="313"/>
  </conditionalFormatting>
  <conditionalFormatting sqref="D889:D892">
    <cfRule type="duplicateValues" dxfId="649" priority="310"/>
  </conditionalFormatting>
  <conditionalFormatting sqref="D897:D898">
    <cfRule type="duplicateValues" dxfId="648" priority="307"/>
  </conditionalFormatting>
  <conditionalFormatting sqref="D901">
    <cfRule type="duplicateValues" dxfId="647" priority="304"/>
  </conditionalFormatting>
  <conditionalFormatting sqref="D911">
    <cfRule type="duplicateValues" dxfId="646" priority="301"/>
  </conditionalFormatting>
  <conditionalFormatting sqref="D917:D922">
    <cfRule type="duplicateValues" dxfId="645" priority="298"/>
  </conditionalFormatting>
  <conditionalFormatting sqref="D927:D929">
    <cfRule type="duplicateValues" dxfId="644" priority="295"/>
  </conditionalFormatting>
  <conditionalFormatting sqref="D931:D932">
    <cfRule type="duplicateValues" dxfId="643" priority="293"/>
  </conditionalFormatting>
  <conditionalFormatting sqref="D935:D937">
    <cfRule type="duplicateValues" dxfId="642" priority="291"/>
  </conditionalFormatting>
  <conditionalFormatting sqref="D939:D944">
    <cfRule type="duplicateValues" dxfId="641" priority="287"/>
  </conditionalFormatting>
  <conditionalFormatting sqref="D947">
    <cfRule type="duplicateValues" dxfId="640" priority="285"/>
  </conditionalFormatting>
  <conditionalFormatting sqref="D954">
    <cfRule type="duplicateValues" dxfId="639" priority="283"/>
  </conditionalFormatting>
  <conditionalFormatting sqref="D957:D958">
    <cfRule type="duplicateValues" dxfId="638" priority="281"/>
  </conditionalFormatting>
  <conditionalFormatting sqref="D969">
    <cfRule type="duplicateValues" dxfId="637" priority="279"/>
  </conditionalFormatting>
  <conditionalFormatting sqref="D971:D972">
    <cfRule type="duplicateValues" dxfId="636" priority="276"/>
  </conditionalFormatting>
  <conditionalFormatting sqref="D977:D978">
    <cfRule type="duplicateValues" dxfId="635" priority="273"/>
  </conditionalFormatting>
  <conditionalFormatting sqref="D982:D983 D985">
    <cfRule type="duplicateValues" dxfId="634" priority="270"/>
  </conditionalFormatting>
  <conditionalFormatting sqref="D988:D989">
    <cfRule type="duplicateValues" dxfId="633" priority="268"/>
  </conditionalFormatting>
  <conditionalFormatting sqref="D992:D995">
    <cfRule type="duplicateValues" dxfId="632" priority="264"/>
  </conditionalFormatting>
  <conditionalFormatting sqref="D996">
    <cfRule type="duplicateValues" dxfId="631" priority="266"/>
  </conditionalFormatting>
  <conditionalFormatting sqref="D998:D1000">
    <cfRule type="duplicateValues" dxfId="630" priority="260"/>
  </conditionalFormatting>
  <conditionalFormatting sqref="D1001">
    <cfRule type="duplicateValues" dxfId="629" priority="259"/>
  </conditionalFormatting>
  <conditionalFormatting sqref="D1006">
    <cfRule type="duplicateValues" dxfId="628" priority="257"/>
  </conditionalFormatting>
  <conditionalFormatting sqref="D1010">
    <cfRule type="duplicateValues" dxfId="627" priority="255"/>
  </conditionalFormatting>
  <conditionalFormatting sqref="D1013:D1016">
    <cfRule type="duplicateValues" dxfId="626" priority="253"/>
  </conditionalFormatting>
  <conditionalFormatting sqref="D1018:D1028 D1034">
    <cfRule type="duplicateValues" dxfId="625" priority="197"/>
  </conditionalFormatting>
  <conditionalFormatting sqref="D1029:D1033">
    <cfRule type="duplicateValues" dxfId="624" priority="143"/>
  </conditionalFormatting>
  <conditionalFormatting sqref="D1035">
    <cfRule type="duplicateValues" dxfId="623" priority="141"/>
  </conditionalFormatting>
  <conditionalFormatting sqref="D1036">
    <cfRule type="duplicateValues" dxfId="622" priority="155"/>
  </conditionalFormatting>
  <conditionalFormatting sqref="D1037:D1039">
    <cfRule type="duplicateValues" dxfId="621" priority="139"/>
  </conditionalFormatting>
  <conditionalFormatting sqref="D1044:D1045">
    <cfRule type="duplicateValues" dxfId="620" priority="118"/>
  </conditionalFormatting>
  <conditionalFormatting sqref="D1155:D1156">
    <cfRule type="duplicateValues" dxfId="619" priority="5"/>
    <cfRule type="duplicateValues" dxfId="618" priority="4"/>
  </conditionalFormatting>
  <conditionalFormatting sqref="H969:H971">
    <cfRule type="expression" dxfId="617" priority="202">
      <formula>IF(F969&gt;1,FALSE,TRUE)</formula>
    </cfRule>
  </conditionalFormatting>
  <conditionalFormatting sqref="H978:H979">
    <cfRule type="expression" dxfId="616" priority="201">
      <formula>IF(F978&gt;1,FALSE,TRUE)</formula>
    </cfRule>
  </conditionalFormatting>
  <dataValidations count="2">
    <dataValidation type="list" allowBlank="1" showInputMessage="1" showErrorMessage="1" sqref="S244:AA268 AE3:AE71 Q1155:Q1156 V379:V385 V394:V397 W747:W748 T217:U239 R86:R89 Y748:AA748 W837:W839 U793:U794 X202:X209 S770 AD62:AD71 Y217:AA242 Y203:AA209 S772 Q217:Q238 T913:T914 R217:R239 S217:S238 V217:X238 Q203:W209 R241:R268 T86:U89 R303 R144:R145 R384 R388 U910:U914 Q244:Q268 W913:W914 R290:R291 AD1155:AD1156 V287:V291 AD203:AE209 AD748:AE748 V415:V424 W82:W85 V294:V320 V400:V412 AD2:AD39 AD42:AD55 AD217:AE242 AD244:AD255 AD258:AD268 S1155:U1156 Q2:AA71 X1155:X1156 Z1155:Z1156 AE244:AE268" xr:uid="{7B02E62B-F9FD-4F84-B884-1FBD1C95F6C9}">
      <formula1>"Conv-A DONE,Conv-B DONE"</formula1>
    </dataValidation>
    <dataValidation type="list" allowBlank="1" showInputMessage="1" showErrorMessage="1" sqref="J1:J424 J742:J1105 J1134:J1048576" xr:uid="{D493913F-E6E2-4C77-BBE2-11061BEF72B0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6A63-2909-4076-B09E-DE0224393872}">
  <dimension ref="A3:L12"/>
  <sheetViews>
    <sheetView workbookViewId="0">
      <selection activeCell="I22" sqref="I22"/>
    </sheetView>
  </sheetViews>
  <sheetFormatPr defaultRowHeight="13.2" x14ac:dyDescent="0.25"/>
  <cols>
    <col min="1" max="1" width="17.5546875" style="23" bestFit="1" customWidth="1"/>
    <col min="2" max="2" width="21.5546875" style="23" hidden="1" customWidth="1"/>
    <col min="3" max="3" width="20.5546875" style="23" hidden="1" customWidth="1"/>
    <col min="4" max="4" width="11.6640625" style="23" bestFit="1" customWidth="1"/>
    <col min="5" max="5" width="14.6640625" style="23" bestFit="1" customWidth="1"/>
    <col min="6" max="6" width="11.44140625" bestFit="1" customWidth="1"/>
    <col min="7" max="7" width="10.5546875" bestFit="1" customWidth="1"/>
    <col min="8" max="8" width="2" customWidth="1"/>
    <col min="9" max="10" width="11" bestFit="1" customWidth="1"/>
    <col min="11" max="11" width="11" customWidth="1"/>
    <col min="12" max="12" width="10" customWidth="1"/>
    <col min="13" max="124" width="8.44140625" bestFit="1" customWidth="1"/>
    <col min="125" max="125" width="6.5546875" bestFit="1" customWidth="1"/>
    <col min="126" max="126" width="11" bestFit="1" customWidth="1"/>
  </cols>
  <sheetData>
    <row r="3" spans="1:12" s="22" customFormat="1" x14ac:dyDescent="0.25">
      <c r="A3" s="2"/>
      <c r="B3" s="2"/>
      <c r="C3" s="2"/>
      <c r="D3" s="64" t="s">
        <v>2431</v>
      </c>
      <c r="G3"/>
    </row>
    <row r="4" spans="1:12" s="22" customFormat="1" ht="66" x14ac:dyDescent="0.25">
      <c r="A4" s="69" t="s">
        <v>0</v>
      </c>
      <c r="B4" s="69" t="s">
        <v>22</v>
      </c>
      <c r="C4" s="70" t="s">
        <v>26</v>
      </c>
      <c r="D4" s="3" t="s">
        <v>2432</v>
      </c>
      <c r="E4" s="3" t="s">
        <v>2433</v>
      </c>
      <c r="F4" s="3" t="s">
        <v>2434</v>
      </c>
      <c r="G4"/>
      <c r="H4" s="78"/>
      <c r="I4" s="77" t="s">
        <v>2435</v>
      </c>
      <c r="J4" s="77" t="s">
        <v>2436</v>
      </c>
      <c r="K4" s="77" t="s">
        <v>2437</v>
      </c>
      <c r="L4" s="77" t="s">
        <v>2438</v>
      </c>
    </row>
    <row r="5" spans="1:12" x14ac:dyDescent="0.25">
      <c r="A5" s="74" t="s">
        <v>10</v>
      </c>
      <c r="B5"/>
      <c r="C5"/>
      <c r="D5" s="24">
        <v>30</v>
      </c>
      <c r="E5" s="24">
        <v>26</v>
      </c>
      <c r="F5" s="24">
        <v>26</v>
      </c>
      <c r="H5" s="23"/>
      <c r="I5" s="24"/>
      <c r="J5" s="24"/>
      <c r="K5" s="24">
        <f>I5+J5</f>
        <v>0</v>
      </c>
      <c r="L5" s="24">
        <v>5</v>
      </c>
    </row>
    <row r="6" spans="1:12" x14ac:dyDescent="0.25">
      <c r="A6" s="75" t="s">
        <v>11</v>
      </c>
      <c r="B6"/>
      <c r="C6"/>
      <c r="D6" s="24">
        <v>136</v>
      </c>
      <c r="E6" s="24">
        <v>131</v>
      </c>
      <c r="F6" s="24">
        <v>136</v>
      </c>
      <c r="H6" s="23"/>
      <c r="I6" s="24">
        <v>3</v>
      </c>
      <c r="J6" s="24"/>
      <c r="K6" s="24">
        <f t="shared" ref="K6:K11" si="0">I6+J6</f>
        <v>3</v>
      </c>
      <c r="L6" s="24">
        <v>85</v>
      </c>
    </row>
    <row r="7" spans="1:12" x14ac:dyDescent="0.25">
      <c r="A7" s="74" t="s">
        <v>13</v>
      </c>
      <c r="B7"/>
      <c r="C7"/>
      <c r="D7" s="24">
        <v>210</v>
      </c>
      <c r="E7" s="24">
        <v>202</v>
      </c>
      <c r="F7" s="24">
        <v>204</v>
      </c>
      <c r="H7" s="23"/>
      <c r="I7" s="24">
        <v>24</v>
      </c>
      <c r="J7" s="24">
        <v>17</v>
      </c>
      <c r="K7" s="24">
        <f t="shared" si="0"/>
        <v>41</v>
      </c>
      <c r="L7" s="24">
        <v>115</v>
      </c>
    </row>
    <row r="8" spans="1:12" x14ac:dyDescent="0.25">
      <c r="A8" s="75" t="s">
        <v>12</v>
      </c>
      <c r="B8"/>
      <c r="C8"/>
      <c r="D8" s="24">
        <v>70</v>
      </c>
      <c r="E8" s="24">
        <v>60</v>
      </c>
      <c r="F8" s="24">
        <v>70</v>
      </c>
      <c r="H8" s="23"/>
      <c r="I8" s="24">
        <v>4</v>
      </c>
      <c r="J8" s="24">
        <v>6</v>
      </c>
      <c r="K8" s="24">
        <f t="shared" si="0"/>
        <v>10</v>
      </c>
      <c r="L8" s="24">
        <v>18</v>
      </c>
    </row>
    <row r="9" spans="1:12" x14ac:dyDescent="0.25">
      <c r="A9" s="74" t="s">
        <v>14</v>
      </c>
      <c r="B9"/>
      <c r="C9"/>
      <c r="D9" s="24">
        <v>314</v>
      </c>
      <c r="E9" s="24">
        <v>314</v>
      </c>
      <c r="F9" s="24">
        <v>310</v>
      </c>
      <c r="H9" s="23"/>
      <c r="I9" s="24">
        <v>12</v>
      </c>
      <c r="J9" s="24">
        <v>8</v>
      </c>
      <c r="K9" s="24">
        <f t="shared" si="0"/>
        <v>20</v>
      </c>
      <c r="L9" s="24">
        <v>179</v>
      </c>
    </row>
    <row r="10" spans="1:12" x14ac:dyDescent="0.25">
      <c r="A10" s="75" t="s">
        <v>15</v>
      </c>
      <c r="B10"/>
      <c r="C10"/>
      <c r="D10" s="24">
        <v>252</v>
      </c>
      <c r="E10" s="24">
        <v>218</v>
      </c>
      <c r="F10" s="24">
        <v>243</v>
      </c>
      <c r="H10" s="23"/>
      <c r="I10" s="24">
        <v>13</v>
      </c>
      <c r="J10" s="24"/>
      <c r="K10" s="24">
        <f t="shared" si="0"/>
        <v>13</v>
      </c>
      <c r="L10" s="24">
        <v>121</v>
      </c>
    </row>
    <row r="11" spans="1:12" x14ac:dyDescent="0.25">
      <c r="A11" s="24" t="s">
        <v>493</v>
      </c>
      <c r="B11"/>
      <c r="C11"/>
      <c r="D11" s="24">
        <v>65</v>
      </c>
      <c r="E11" s="24">
        <v>55</v>
      </c>
      <c r="F11" s="24">
        <v>74</v>
      </c>
      <c r="H11" s="23"/>
      <c r="I11" s="24"/>
      <c r="J11" s="24"/>
      <c r="K11" s="24">
        <f t="shared" si="0"/>
        <v>0</v>
      </c>
      <c r="L11" s="24">
        <v>12</v>
      </c>
    </row>
    <row r="12" spans="1:12" x14ac:dyDescent="0.25">
      <c r="A12" s="24" t="s">
        <v>494</v>
      </c>
      <c r="B12" s="24"/>
      <c r="C12" s="24"/>
      <c r="D12" s="24">
        <v>1077</v>
      </c>
      <c r="E12" s="24">
        <v>1006</v>
      </c>
      <c r="F12" s="24">
        <v>1063</v>
      </c>
      <c r="H12" s="79"/>
      <c r="I12" s="76">
        <f>SUM(I5:I11)</f>
        <v>56</v>
      </c>
      <c r="J12" s="76">
        <f>SUM(J5:J11)</f>
        <v>31</v>
      </c>
      <c r="K12" s="76">
        <f>I12+J12</f>
        <v>87</v>
      </c>
      <c r="L12" s="76">
        <f>SUM(L5:L11)</f>
        <v>535</v>
      </c>
    </row>
  </sheetData>
  <pageMargins left="0.7" right="0.7" top="0.75" bottom="0.75" header="0.3" footer="0.3"/>
  <pageSetup paperSize="9" orientation="portrait" horizontalDpi="300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6:G12"/>
  <sheetViews>
    <sheetView workbookViewId="0">
      <selection activeCell="B11" sqref="B11"/>
    </sheetView>
  </sheetViews>
  <sheetFormatPr defaultRowHeight="13.2" x14ac:dyDescent="0.25"/>
  <cols>
    <col min="5" max="5" width="11" style="2" customWidth="1"/>
    <col min="6" max="6" width="12.44140625" style="2" customWidth="1"/>
    <col min="7" max="7" width="38.44140625" style="1" customWidth="1"/>
  </cols>
  <sheetData>
    <row r="6" spans="5:7" s="2" customFormat="1" ht="26.4" x14ac:dyDescent="0.25">
      <c r="E6" s="6" t="s">
        <v>2439</v>
      </c>
      <c r="F6" s="10" t="s">
        <v>2440</v>
      </c>
      <c r="G6" s="11" t="s">
        <v>2441</v>
      </c>
    </row>
    <row r="7" spans="5:7" ht="66" x14ac:dyDescent="0.25">
      <c r="E7" s="3" t="s">
        <v>2442</v>
      </c>
      <c r="F7" s="3">
        <v>16</v>
      </c>
      <c r="G7" s="5" t="s">
        <v>2443</v>
      </c>
    </row>
    <row r="8" spans="5:7" ht="92.4" x14ac:dyDescent="0.25">
      <c r="E8" s="3" t="s">
        <v>2444</v>
      </c>
      <c r="F8" s="3">
        <v>54</v>
      </c>
      <c r="G8" s="5" t="s">
        <v>2445</v>
      </c>
    </row>
    <row r="9" spans="5:7" ht="92.4" x14ac:dyDescent="0.25">
      <c r="E9" s="3" t="s">
        <v>2446</v>
      </c>
      <c r="F9" s="3">
        <v>24</v>
      </c>
      <c r="G9" s="5" t="s">
        <v>2447</v>
      </c>
    </row>
    <row r="10" spans="5:7" ht="79.2" x14ac:dyDescent="0.25">
      <c r="E10" s="3" t="s">
        <v>2448</v>
      </c>
      <c r="F10" s="3">
        <v>20</v>
      </c>
      <c r="G10" s="5" t="s">
        <v>2449</v>
      </c>
    </row>
    <row r="11" spans="5:7" ht="24.75" customHeight="1" x14ac:dyDescent="0.25">
      <c r="E11" s="3" t="s">
        <v>2450</v>
      </c>
      <c r="F11" s="3">
        <v>26</v>
      </c>
      <c r="G11" s="4" t="s">
        <v>2451</v>
      </c>
    </row>
    <row r="12" spans="5:7" s="7" customFormat="1" ht="13.8" x14ac:dyDescent="0.25">
      <c r="E12" s="8" t="s">
        <v>2452</v>
      </c>
      <c r="F12" s="8">
        <f>SUM(F7:F11)</f>
        <v>140</v>
      </c>
      <c r="G12" s="9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52F2-3A86-42D3-B7B0-B56935C27939}">
  <dimension ref="A1:AR427"/>
  <sheetViews>
    <sheetView zoomScale="80" zoomScaleNormal="80" workbookViewId="0">
      <pane xSplit="2" ySplit="1" topLeftCell="Z152" activePane="bottomRight" state="frozen"/>
      <selection pane="topRight" activeCell="C1" sqref="C1"/>
      <selection pane="bottomLeft" activeCell="A2" sqref="A2"/>
      <selection pane="bottomRight" activeCell="AG1" sqref="AG1"/>
    </sheetView>
  </sheetViews>
  <sheetFormatPr defaultColWidth="8.5546875" defaultRowHeight="13.2" x14ac:dyDescent="0.25"/>
  <cols>
    <col min="1" max="1" width="5.5546875" style="2" customWidth="1"/>
    <col min="2" max="2" width="9.44140625" style="72" customWidth="1"/>
    <col min="3" max="3" width="8.44140625" style="72" customWidth="1"/>
    <col min="4" max="4" width="16.5546875" style="2" bestFit="1" customWidth="1"/>
    <col min="5" max="5" width="17.5546875" style="72" customWidth="1"/>
    <col min="6" max="9" width="11" style="2" customWidth="1"/>
    <col min="10" max="10" width="15.44140625" style="2" customWidth="1"/>
    <col min="11" max="11" width="20.44140625" style="61" customWidth="1"/>
    <col min="12" max="12" width="27.5546875" style="68" customWidth="1"/>
    <col min="13" max="13" width="13.44140625" style="61" customWidth="1"/>
    <col min="14" max="14" width="16.44140625" style="61" customWidth="1"/>
    <col min="15" max="16" width="14.44140625" style="68" customWidth="1"/>
    <col min="17" max="17" width="16" style="61" customWidth="1"/>
    <col min="18" max="18" width="19.5546875" style="61" customWidth="1"/>
    <col min="19" max="19" width="17.5546875" style="61" customWidth="1"/>
    <col min="20" max="20" width="16.44140625" style="61" customWidth="1"/>
    <col min="21" max="21" width="15.5546875" style="61" customWidth="1"/>
    <col min="22" max="22" width="13.5546875" style="61" customWidth="1"/>
    <col min="23" max="23" width="16.44140625" style="61" customWidth="1"/>
    <col min="24" max="24" width="16" style="61" customWidth="1"/>
    <col min="25" max="25" width="15.5546875" style="61" customWidth="1"/>
    <col min="26" max="27" width="15.5546875" style="441" customWidth="1"/>
    <col min="28" max="30" width="15.5546875" style="61" customWidth="1"/>
    <col min="31" max="31" width="15.5546875" style="16" customWidth="1"/>
    <col min="32" max="32" width="15.5546875" style="276" customWidth="1"/>
    <col min="33" max="34" width="18.44140625" style="58" customWidth="1"/>
    <col min="35" max="35" width="18.44140625" style="953" customWidth="1"/>
    <col min="36" max="37" width="18.44140625" style="58" customWidth="1"/>
    <col min="38" max="40" width="20" style="58" customWidth="1"/>
    <col min="42" max="42" width="20.44140625" customWidth="1"/>
    <col min="43" max="43" width="13.5546875" bestFit="1" customWidth="1"/>
  </cols>
  <sheetData>
    <row r="1" spans="1:43" s="80" customFormat="1" ht="114.6" x14ac:dyDescent="0.3">
      <c r="A1" s="25" t="s">
        <v>18</v>
      </c>
      <c r="B1" s="26" t="s">
        <v>19</v>
      </c>
      <c r="C1" s="26" t="s">
        <v>20</v>
      </c>
      <c r="D1" s="25" t="s">
        <v>21</v>
      </c>
      <c r="E1" s="25" t="s">
        <v>22</v>
      </c>
      <c r="F1" s="25" t="s">
        <v>23</v>
      </c>
      <c r="G1" s="25" t="s">
        <v>0</v>
      </c>
      <c r="H1" s="25" t="s">
        <v>24</v>
      </c>
      <c r="I1" s="27" t="s">
        <v>25</v>
      </c>
      <c r="J1" s="13" t="s">
        <v>26</v>
      </c>
      <c r="K1" s="13" t="s">
        <v>27</v>
      </c>
      <c r="L1" s="14" t="s">
        <v>1941</v>
      </c>
      <c r="M1" s="13" t="s">
        <v>29</v>
      </c>
      <c r="N1" s="13" t="s">
        <v>1942</v>
      </c>
      <c r="O1" s="14" t="s">
        <v>518</v>
      </c>
      <c r="P1" s="14" t="s">
        <v>519</v>
      </c>
      <c r="Q1" s="13" t="s">
        <v>33</v>
      </c>
      <c r="R1" s="13" t="s">
        <v>34</v>
      </c>
      <c r="S1" s="13" t="s">
        <v>35</v>
      </c>
      <c r="T1" s="13" t="s">
        <v>36</v>
      </c>
      <c r="U1" s="15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428" t="s">
        <v>42</v>
      </c>
      <c r="AA1" s="428" t="s">
        <v>43</v>
      </c>
      <c r="AB1" s="13" t="s">
        <v>44</v>
      </c>
      <c r="AC1" s="13" t="s">
        <v>45</v>
      </c>
      <c r="AD1" s="280" t="s">
        <v>46</v>
      </c>
      <c r="AE1" s="13" t="s">
        <v>47</v>
      </c>
      <c r="AF1" s="280" t="s">
        <v>48</v>
      </c>
      <c r="AG1" s="331" t="s">
        <v>193</v>
      </c>
      <c r="AH1" s="13" t="s">
        <v>2453</v>
      </c>
      <c r="AI1" s="1151" t="s">
        <v>2454</v>
      </c>
      <c r="AJ1" s="505" t="s">
        <v>2455</v>
      </c>
      <c r="AK1" s="621" t="s">
        <v>53</v>
      </c>
      <c r="AL1" s="830" t="s">
        <v>197</v>
      </c>
      <c r="AM1" s="621" t="s">
        <v>658</v>
      </c>
      <c r="AN1" s="621" t="s">
        <v>199</v>
      </c>
      <c r="AP1" s="81" t="s">
        <v>200</v>
      </c>
      <c r="AQ1" s="82" t="s">
        <v>201</v>
      </c>
    </row>
    <row r="2" spans="1:43" ht="22.8" x14ac:dyDescent="0.25">
      <c r="A2" s="28">
        <v>1</v>
      </c>
      <c r="B2" s="20">
        <v>30593</v>
      </c>
      <c r="C2" s="27" t="s">
        <v>64</v>
      </c>
      <c r="D2" s="3" t="s">
        <v>2091</v>
      </c>
      <c r="E2" s="20" t="s">
        <v>1933</v>
      </c>
      <c r="F2" s="29" t="s">
        <v>2093</v>
      </c>
      <c r="G2" s="29" t="s">
        <v>15</v>
      </c>
      <c r="H2" s="19">
        <v>43038</v>
      </c>
      <c r="I2" s="3">
        <v>94</v>
      </c>
      <c r="J2" s="3" t="s">
        <v>58</v>
      </c>
      <c r="K2" s="37" t="s">
        <v>59</v>
      </c>
      <c r="L2" s="33" t="s">
        <v>63</v>
      </c>
      <c r="M2" s="41" t="s">
        <v>60</v>
      </c>
      <c r="N2" s="33" t="s">
        <v>63</v>
      </c>
      <c r="O2" s="33">
        <v>44070</v>
      </c>
      <c r="P2" s="343">
        <v>45488</v>
      </c>
      <c r="Q2" s="37" t="s">
        <v>68</v>
      </c>
      <c r="R2" s="37" t="s">
        <v>68</v>
      </c>
      <c r="S2" s="16"/>
      <c r="T2" s="37" t="s">
        <v>68</v>
      </c>
      <c r="U2" s="16"/>
      <c r="V2" s="37" t="s">
        <v>68</v>
      </c>
      <c r="W2" s="37" t="s">
        <v>68</v>
      </c>
      <c r="X2" s="16"/>
      <c r="Y2" s="16"/>
      <c r="Z2" s="432"/>
      <c r="AA2" s="432"/>
      <c r="AB2" s="24"/>
      <c r="AC2" s="24"/>
      <c r="AD2" s="281" t="s">
        <v>68</v>
      </c>
      <c r="AE2" s="343">
        <v>45504</v>
      </c>
      <c r="AF2" s="386">
        <v>45464</v>
      </c>
      <c r="AG2" s="343">
        <v>45502</v>
      </c>
      <c r="AH2" s="343">
        <v>45502</v>
      </c>
      <c r="AI2" s="343">
        <v>45511</v>
      </c>
      <c r="AJ2" s="381" t="s">
        <v>63</v>
      </c>
      <c r="AK2" s="343">
        <v>45504</v>
      </c>
      <c r="AL2" s="343">
        <v>45504</v>
      </c>
      <c r="AM2" s="24"/>
      <c r="AN2" s="24"/>
      <c r="AP2" s="83"/>
      <c r="AQ2" s="83"/>
    </row>
    <row r="3" spans="1:43" ht="22.8" x14ac:dyDescent="0.25">
      <c r="A3" s="28">
        <v>2</v>
      </c>
      <c r="B3" s="20">
        <v>30593</v>
      </c>
      <c r="C3" s="27" t="s">
        <v>54</v>
      </c>
      <c r="D3" s="3" t="s">
        <v>2094</v>
      </c>
      <c r="E3" s="20" t="s">
        <v>1933</v>
      </c>
      <c r="F3" s="29" t="s">
        <v>2093</v>
      </c>
      <c r="G3" s="29" t="s">
        <v>15</v>
      </c>
      <c r="H3" s="19">
        <v>43038</v>
      </c>
      <c r="I3" s="3">
        <v>95</v>
      </c>
      <c r="J3" s="3" t="s">
        <v>58</v>
      </c>
      <c r="K3" s="37" t="s">
        <v>59</v>
      </c>
      <c r="L3" s="33" t="s">
        <v>63</v>
      </c>
      <c r="M3" s="16" t="s">
        <v>60</v>
      </c>
      <c r="N3" s="33" t="s">
        <v>63</v>
      </c>
      <c r="O3" s="33">
        <v>44070</v>
      </c>
      <c r="P3" s="343">
        <v>45488</v>
      </c>
      <c r="Q3" s="37" t="s">
        <v>62</v>
      </c>
      <c r="R3" s="37" t="s">
        <v>62</v>
      </c>
      <c r="S3" s="16"/>
      <c r="T3" s="37" t="s">
        <v>62</v>
      </c>
      <c r="U3" s="16"/>
      <c r="V3" s="37" t="s">
        <v>62</v>
      </c>
      <c r="W3" s="37" t="s">
        <v>62</v>
      </c>
      <c r="X3" s="16"/>
      <c r="Y3" s="16"/>
      <c r="Z3" s="432"/>
      <c r="AA3" s="432"/>
      <c r="AB3" s="24"/>
      <c r="AC3" s="24"/>
      <c r="AD3" s="276" t="s">
        <v>62</v>
      </c>
      <c r="AE3" s="343">
        <v>45504</v>
      </c>
      <c r="AF3" s="386">
        <v>45464</v>
      </c>
      <c r="AG3" s="343">
        <v>45502</v>
      </c>
      <c r="AH3" s="343">
        <v>45502</v>
      </c>
      <c r="AI3" s="343">
        <v>45511</v>
      </c>
      <c r="AJ3" s="58" t="s">
        <v>63</v>
      </c>
      <c r="AK3" s="343">
        <v>45504</v>
      </c>
      <c r="AL3" s="343">
        <v>45504</v>
      </c>
      <c r="AM3" s="24"/>
      <c r="AN3" s="24"/>
      <c r="AP3" s="83"/>
      <c r="AQ3" s="83"/>
    </row>
    <row r="4" spans="1:43" ht="22.8" x14ac:dyDescent="0.25">
      <c r="A4" s="28">
        <v>3</v>
      </c>
      <c r="B4" s="20">
        <v>30616</v>
      </c>
      <c r="C4" s="27" t="s">
        <v>64</v>
      </c>
      <c r="D4" s="3" t="s">
        <v>2095</v>
      </c>
      <c r="E4" s="20" t="s">
        <v>2092</v>
      </c>
      <c r="F4" s="29" t="s">
        <v>2093</v>
      </c>
      <c r="G4" s="29" t="s">
        <v>15</v>
      </c>
      <c r="H4" s="19">
        <v>43080</v>
      </c>
      <c r="I4" s="3">
        <v>103</v>
      </c>
      <c r="J4" s="3" t="s">
        <v>58</v>
      </c>
      <c r="K4" s="37" t="s">
        <v>59</v>
      </c>
      <c r="L4" s="33">
        <v>44359</v>
      </c>
      <c r="M4" s="16" t="s">
        <v>60</v>
      </c>
      <c r="N4" s="33" t="s">
        <v>63</v>
      </c>
      <c r="O4" s="33">
        <v>44050</v>
      </c>
      <c r="P4" s="33"/>
      <c r="Q4" s="37" t="s">
        <v>68</v>
      </c>
      <c r="R4" s="37" t="s">
        <v>68</v>
      </c>
      <c r="S4" s="37" t="s">
        <v>68</v>
      </c>
      <c r="T4" s="16" t="s">
        <v>206</v>
      </c>
      <c r="U4" s="16"/>
      <c r="V4" s="37" t="s">
        <v>68</v>
      </c>
      <c r="W4" s="37" t="s">
        <v>68</v>
      </c>
      <c r="X4" s="37" t="s">
        <v>68</v>
      </c>
      <c r="Y4" s="16"/>
      <c r="Z4" s="432"/>
      <c r="AA4" s="432"/>
      <c r="AB4" s="1116" t="s">
        <v>2456</v>
      </c>
      <c r="AC4" s="24"/>
      <c r="AD4" s="281">
        <v>44687</v>
      </c>
      <c r="AE4" s="386">
        <v>45572</v>
      </c>
      <c r="AF4" s="343">
        <v>45283</v>
      </c>
      <c r="AG4" s="343">
        <v>45493</v>
      </c>
      <c r="AH4" s="386">
        <v>45572</v>
      </c>
      <c r="AI4" s="386">
        <v>45177</v>
      </c>
      <c r="AJ4" s="58" t="s">
        <v>63</v>
      </c>
      <c r="AK4" s="386">
        <v>45470</v>
      </c>
      <c r="AL4" s="386">
        <v>45489</v>
      </c>
      <c r="AM4" s="386">
        <v>45489</v>
      </c>
      <c r="AN4" s="24"/>
    </row>
    <row r="5" spans="1:43" ht="22.8" x14ac:dyDescent="0.25">
      <c r="A5" s="28">
        <v>4</v>
      </c>
      <c r="B5" s="20">
        <v>30616</v>
      </c>
      <c r="C5" s="27" t="s">
        <v>54</v>
      </c>
      <c r="D5" s="3" t="s">
        <v>2096</v>
      </c>
      <c r="E5" s="20" t="s">
        <v>2092</v>
      </c>
      <c r="F5" s="29" t="s">
        <v>2093</v>
      </c>
      <c r="G5" s="29" t="s">
        <v>15</v>
      </c>
      <c r="H5" s="19">
        <v>43080</v>
      </c>
      <c r="I5" s="3">
        <v>111</v>
      </c>
      <c r="J5" s="3" t="s">
        <v>58</v>
      </c>
      <c r="K5" s="37" t="s">
        <v>59</v>
      </c>
      <c r="L5" s="33">
        <v>44359</v>
      </c>
      <c r="M5" s="16" t="s">
        <v>60</v>
      </c>
      <c r="N5" s="33" t="s">
        <v>63</v>
      </c>
      <c r="O5" s="33">
        <v>44050</v>
      </c>
      <c r="P5" s="33"/>
      <c r="Q5" s="37" t="s">
        <v>62</v>
      </c>
      <c r="R5" s="37" t="s">
        <v>62</v>
      </c>
      <c r="S5" s="37" t="s">
        <v>62</v>
      </c>
      <c r="T5" s="16" t="s">
        <v>206</v>
      </c>
      <c r="U5" s="16"/>
      <c r="V5" s="37" t="s">
        <v>62</v>
      </c>
      <c r="W5" s="37" t="s">
        <v>62</v>
      </c>
      <c r="X5" s="37" t="s">
        <v>62</v>
      </c>
      <c r="Y5" s="16"/>
      <c r="Z5" s="432"/>
      <c r="AA5" s="432"/>
      <c r="AB5" s="386"/>
      <c r="AC5" s="24"/>
      <c r="AD5" s="281">
        <v>44687</v>
      </c>
      <c r="AE5" s="386">
        <v>45572</v>
      </c>
      <c r="AF5" s="343">
        <v>45283</v>
      </c>
      <c r="AG5" s="343">
        <v>45493</v>
      </c>
      <c r="AH5" s="386">
        <v>45572</v>
      </c>
      <c r="AI5" s="386">
        <v>45177</v>
      </c>
      <c r="AJ5" s="58" t="s">
        <v>63</v>
      </c>
      <c r="AK5" s="386">
        <v>45470</v>
      </c>
      <c r="AL5" s="386">
        <v>45489</v>
      </c>
      <c r="AM5" s="386">
        <v>45489</v>
      </c>
      <c r="AN5" s="24"/>
    </row>
    <row r="6" spans="1:43" ht="22.8" x14ac:dyDescent="0.25">
      <c r="A6" s="28">
        <v>5</v>
      </c>
      <c r="B6" s="20">
        <v>30619</v>
      </c>
      <c r="C6" s="27" t="s">
        <v>64</v>
      </c>
      <c r="D6" s="3" t="s">
        <v>2097</v>
      </c>
      <c r="E6" s="20" t="s">
        <v>1933</v>
      </c>
      <c r="F6" s="29" t="s">
        <v>2093</v>
      </c>
      <c r="G6" s="29" t="s">
        <v>15</v>
      </c>
      <c r="H6" s="19">
        <v>43078</v>
      </c>
      <c r="I6" s="3">
        <v>117</v>
      </c>
      <c r="J6" s="3" t="s">
        <v>58</v>
      </c>
      <c r="K6" s="37" t="s">
        <v>59</v>
      </c>
      <c r="L6" s="33" t="s">
        <v>63</v>
      </c>
      <c r="M6" s="16" t="s">
        <v>60</v>
      </c>
      <c r="N6" s="33">
        <v>44400</v>
      </c>
      <c r="O6" s="33">
        <v>43994</v>
      </c>
      <c r="P6" s="33"/>
      <c r="Q6" s="16" t="s">
        <v>68</v>
      </c>
      <c r="R6" s="37" t="s">
        <v>68</v>
      </c>
      <c r="S6" s="37" t="s">
        <v>68</v>
      </c>
      <c r="T6" s="16" t="s">
        <v>206</v>
      </c>
      <c r="U6" s="16" t="s">
        <v>68</v>
      </c>
      <c r="V6" s="37" t="s">
        <v>68</v>
      </c>
      <c r="W6" s="16" t="s">
        <v>68</v>
      </c>
      <c r="X6" s="16"/>
      <c r="Y6" s="16"/>
      <c r="Z6" s="432"/>
      <c r="AA6" s="432"/>
      <c r="AB6" s="24"/>
      <c r="AC6" s="24"/>
      <c r="AD6" s="281">
        <v>44692</v>
      </c>
      <c r="AE6" s="343">
        <v>45514</v>
      </c>
      <c r="AF6" s="365"/>
      <c r="AG6" s="343">
        <v>45526</v>
      </c>
      <c r="AH6" s="343">
        <v>45526</v>
      </c>
      <c r="AI6" s="343">
        <v>45535</v>
      </c>
      <c r="AJ6" s="58" t="s">
        <v>63</v>
      </c>
      <c r="AK6" s="343">
        <v>45535</v>
      </c>
      <c r="AL6" s="386">
        <v>45470</v>
      </c>
      <c r="AM6" s="343"/>
    </row>
    <row r="7" spans="1:43" ht="22.8" x14ac:dyDescent="0.25">
      <c r="A7" s="28">
        <v>6</v>
      </c>
      <c r="B7" s="20">
        <v>30619</v>
      </c>
      <c r="C7" s="27" t="s">
        <v>54</v>
      </c>
      <c r="D7" s="3" t="s">
        <v>2098</v>
      </c>
      <c r="E7" s="20" t="s">
        <v>1933</v>
      </c>
      <c r="F7" s="29" t="s">
        <v>2093</v>
      </c>
      <c r="G7" s="29" t="s">
        <v>15</v>
      </c>
      <c r="H7" s="19">
        <v>43078</v>
      </c>
      <c r="I7" s="3">
        <v>154</v>
      </c>
      <c r="J7" s="3" t="s">
        <v>58</v>
      </c>
      <c r="K7" s="37" t="s">
        <v>59</v>
      </c>
      <c r="L7" s="33" t="s">
        <v>63</v>
      </c>
      <c r="M7" s="16" t="s">
        <v>60</v>
      </c>
      <c r="N7" s="33">
        <v>44400</v>
      </c>
      <c r="O7" s="33">
        <v>43994</v>
      </c>
      <c r="P7" s="343">
        <v>45149</v>
      </c>
      <c r="Q7" s="16" t="s">
        <v>62</v>
      </c>
      <c r="R7" s="37" t="s">
        <v>62</v>
      </c>
      <c r="S7" s="37" t="s">
        <v>62</v>
      </c>
      <c r="T7" s="16" t="s">
        <v>206</v>
      </c>
      <c r="U7" s="37" t="s">
        <v>62</v>
      </c>
      <c r="V7" s="37" t="s">
        <v>62</v>
      </c>
      <c r="W7" s="16" t="s">
        <v>62</v>
      </c>
      <c r="X7" s="16"/>
      <c r="Y7" s="16"/>
      <c r="Z7" s="432"/>
      <c r="AA7" s="432"/>
      <c r="AB7" s="1116" t="s">
        <v>2457</v>
      </c>
      <c r="AC7" s="24"/>
      <c r="AD7" s="281">
        <v>44692</v>
      </c>
      <c r="AE7" s="343">
        <v>45514</v>
      </c>
      <c r="AF7" s="365"/>
      <c r="AG7" s="343">
        <v>45526</v>
      </c>
      <c r="AH7" s="343">
        <v>45526</v>
      </c>
      <c r="AI7" s="343">
        <v>45535</v>
      </c>
      <c r="AJ7" s="58" t="s">
        <v>63</v>
      </c>
      <c r="AK7" s="343">
        <v>45535</v>
      </c>
      <c r="AL7" s="386">
        <v>45470</v>
      </c>
      <c r="AM7" s="343"/>
    </row>
    <row r="8" spans="1:43" ht="22.8" x14ac:dyDescent="0.25">
      <c r="A8" s="28">
        <v>7</v>
      </c>
      <c r="B8" s="20">
        <v>37002</v>
      </c>
      <c r="C8" s="27" t="s">
        <v>64</v>
      </c>
      <c r="D8" s="3" t="s">
        <v>2099</v>
      </c>
      <c r="E8" s="20" t="s">
        <v>2458</v>
      </c>
      <c r="F8" s="29" t="s">
        <v>2093</v>
      </c>
      <c r="G8" s="29" t="s">
        <v>15</v>
      </c>
      <c r="H8" s="49">
        <v>43251</v>
      </c>
      <c r="I8" s="3">
        <v>174</v>
      </c>
      <c r="J8" s="3" t="s">
        <v>58</v>
      </c>
      <c r="K8" s="37" t="s">
        <v>59</v>
      </c>
      <c r="L8" s="33">
        <v>44322</v>
      </c>
      <c r="M8" s="16" t="s">
        <v>60</v>
      </c>
      <c r="N8" s="33">
        <v>44183</v>
      </c>
      <c r="O8" s="33">
        <v>44053</v>
      </c>
      <c r="P8" s="33">
        <v>45527</v>
      </c>
      <c r="Q8" s="16"/>
      <c r="R8" s="37" t="s">
        <v>68</v>
      </c>
      <c r="S8" s="16"/>
      <c r="T8" s="16" t="s">
        <v>68</v>
      </c>
      <c r="U8" s="16" t="s">
        <v>68</v>
      </c>
      <c r="V8" s="16" t="s">
        <v>68</v>
      </c>
      <c r="W8" s="37" t="s">
        <v>68</v>
      </c>
      <c r="X8" s="16"/>
      <c r="Y8" s="16"/>
      <c r="Z8" s="432"/>
      <c r="AA8" s="432"/>
      <c r="AB8" s="24"/>
      <c r="AC8" s="24"/>
      <c r="AD8" s="276" t="s">
        <v>68</v>
      </c>
      <c r="AE8" s="386">
        <v>45483</v>
      </c>
      <c r="AF8" s="386">
        <v>45397</v>
      </c>
      <c r="AG8" s="143">
        <v>45469</v>
      </c>
      <c r="AH8" s="343">
        <v>45526</v>
      </c>
      <c r="AI8" s="386">
        <v>45173</v>
      </c>
      <c r="AJ8" s="58" t="s">
        <v>63</v>
      </c>
      <c r="AK8" s="343">
        <v>45594</v>
      </c>
      <c r="AL8" s="386">
        <v>45432</v>
      </c>
    </row>
    <row r="9" spans="1:43" ht="22.8" x14ac:dyDescent="0.25">
      <c r="A9" s="28">
        <v>8</v>
      </c>
      <c r="B9" s="20">
        <v>37002</v>
      </c>
      <c r="C9" s="27" t="s">
        <v>54</v>
      </c>
      <c r="D9" s="3" t="s">
        <v>2100</v>
      </c>
      <c r="E9" s="20" t="s">
        <v>2458</v>
      </c>
      <c r="F9" s="29" t="s">
        <v>2093</v>
      </c>
      <c r="G9" s="29" t="s">
        <v>15</v>
      </c>
      <c r="H9" s="49">
        <v>43251</v>
      </c>
      <c r="I9" s="3">
        <v>175</v>
      </c>
      <c r="J9" s="3" t="s">
        <v>58</v>
      </c>
      <c r="K9" s="37" t="s">
        <v>59</v>
      </c>
      <c r="L9" s="33">
        <v>44322</v>
      </c>
      <c r="M9" s="16" t="s">
        <v>60</v>
      </c>
      <c r="N9" s="33">
        <v>44183</v>
      </c>
      <c r="O9" s="33">
        <v>44053</v>
      </c>
      <c r="P9" s="33">
        <v>45527</v>
      </c>
      <c r="Q9" s="16" t="s">
        <v>62</v>
      </c>
      <c r="R9" s="37" t="s">
        <v>62</v>
      </c>
      <c r="S9" s="16"/>
      <c r="T9" s="16" t="s">
        <v>62</v>
      </c>
      <c r="U9" s="16" t="s">
        <v>62</v>
      </c>
      <c r="V9" s="16" t="s">
        <v>62</v>
      </c>
      <c r="W9" s="37" t="s">
        <v>62</v>
      </c>
      <c r="X9" s="16"/>
      <c r="Y9" s="16"/>
      <c r="Z9" s="432"/>
      <c r="AA9" s="432"/>
      <c r="AB9" s="24"/>
      <c r="AC9" s="24"/>
      <c r="AD9" s="276" t="s">
        <v>62</v>
      </c>
      <c r="AE9" s="386">
        <v>45483</v>
      </c>
      <c r="AF9" s="386">
        <v>45397</v>
      </c>
      <c r="AG9" s="143">
        <v>45469</v>
      </c>
      <c r="AH9" s="343">
        <v>45526</v>
      </c>
      <c r="AI9" s="386">
        <v>45173</v>
      </c>
      <c r="AJ9" s="58" t="s">
        <v>63</v>
      </c>
      <c r="AK9" s="343">
        <v>45594</v>
      </c>
      <c r="AL9" s="386">
        <v>45432</v>
      </c>
    </row>
    <row r="10" spans="1:43" ht="22.8" x14ac:dyDescent="0.25">
      <c r="A10" s="28">
        <v>9</v>
      </c>
      <c r="B10" s="20">
        <v>37006</v>
      </c>
      <c r="C10" s="27" t="s">
        <v>64</v>
      </c>
      <c r="D10" s="3" t="s">
        <v>2101</v>
      </c>
      <c r="E10" s="20" t="s">
        <v>2092</v>
      </c>
      <c r="F10" s="29" t="s">
        <v>2093</v>
      </c>
      <c r="G10" s="29" t="s">
        <v>15</v>
      </c>
      <c r="H10" s="49">
        <v>43280</v>
      </c>
      <c r="I10" s="37" t="s">
        <v>68</v>
      </c>
      <c r="J10" s="3" t="s">
        <v>58</v>
      </c>
      <c r="K10" s="37" t="s">
        <v>59</v>
      </c>
      <c r="L10" s="33">
        <v>44417</v>
      </c>
      <c r="M10" s="16" t="s">
        <v>60</v>
      </c>
      <c r="N10" s="33">
        <v>44200</v>
      </c>
      <c r="O10" s="33">
        <v>44200</v>
      </c>
      <c r="P10" s="33">
        <v>45613</v>
      </c>
      <c r="Q10" s="16" t="s">
        <v>68</v>
      </c>
      <c r="R10" s="37" t="s">
        <v>68</v>
      </c>
      <c r="S10" s="16" t="s">
        <v>68</v>
      </c>
      <c r="T10" s="16" t="s">
        <v>68</v>
      </c>
      <c r="U10" s="37" t="s">
        <v>68</v>
      </c>
      <c r="V10" s="37" t="s">
        <v>68</v>
      </c>
      <c r="W10" s="37" t="s">
        <v>68</v>
      </c>
      <c r="X10" s="37" t="s">
        <v>68</v>
      </c>
      <c r="Y10" s="16"/>
      <c r="Z10" s="432"/>
      <c r="AA10" s="432"/>
      <c r="AB10" s="24" t="s">
        <v>2459</v>
      </c>
      <c r="AC10" s="24"/>
      <c r="AD10" s="16" t="s">
        <v>68</v>
      </c>
      <c r="AE10" s="386">
        <v>45479</v>
      </c>
      <c r="AF10" s="343">
        <v>45295</v>
      </c>
      <c r="AG10" s="386">
        <v>45477</v>
      </c>
      <c r="AH10" s="343">
        <v>45514</v>
      </c>
      <c r="AI10" s="386">
        <v>45174</v>
      </c>
      <c r="AJ10" s="58" t="s">
        <v>63</v>
      </c>
      <c r="AK10" s="386">
        <v>45481</v>
      </c>
      <c r="AM10" s="386">
        <v>45479</v>
      </c>
      <c r="AN10" s="381"/>
    </row>
    <row r="11" spans="1:43" ht="22.8" x14ac:dyDescent="0.25">
      <c r="A11" s="28">
        <v>10</v>
      </c>
      <c r="B11" s="20">
        <v>37006</v>
      </c>
      <c r="C11" s="27" t="s">
        <v>54</v>
      </c>
      <c r="D11" s="3" t="s">
        <v>2102</v>
      </c>
      <c r="E11" s="20" t="s">
        <v>2092</v>
      </c>
      <c r="F11" s="29" t="s">
        <v>2093</v>
      </c>
      <c r="G11" s="29" t="s">
        <v>15</v>
      </c>
      <c r="H11" s="49">
        <v>43280</v>
      </c>
      <c r="I11" s="37" t="s">
        <v>62</v>
      </c>
      <c r="J11" s="3" t="s">
        <v>58</v>
      </c>
      <c r="K11" s="37" t="s">
        <v>59</v>
      </c>
      <c r="L11" s="33">
        <v>44417</v>
      </c>
      <c r="M11" s="16" t="s">
        <v>60</v>
      </c>
      <c r="N11" s="33">
        <v>44200</v>
      </c>
      <c r="O11" s="33">
        <v>44200</v>
      </c>
      <c r="P11" s="33">
        <v>45613</v>
      </c>
      <c r="Q11" s="16" t="s">
        <v>62</v>
      </c>
      <c r="R11" s="37" t="s">
        <v>62</v>
      </c>
      <c r="S11" s="16" t="s">
        <v>62</v>
      </c>
      <c r="T11" s="16" t="s">
        <v>62</v>
      </c>
      <c r="U11" s="37" t="s">
        <v>62</v>
      </c>
      <c r="V11" s="37" t="s">
        <v>62</v>
      </c>
      <c r="W11" s="37" t="s">
        <v>62</v>
      </c>
      <c r="X11" s="37" t="s">
        <v>62</v>
      </c>
      <c r="Y11" s="16"/>
      <c r="Z11" s="432"/>
      <c r="AA11" s="432"/>
      <c r="AB11" s="24" t="s">
        <v>2460</v>
      </c>
      <c r="AC11" s="24"/>
      <c r="AD11" s="16" t="s">
        <v>62</v>
      </c>
      <c r="AE11" s="386">
        <v>45479</v>
      </c>
      <c r="AF11" s="343">
        <v>45307</v>
      </c>
      <c r="AG11" s="386">
        <v>45477</v>
      </c>
      <c r="AH11" s="343">
        <v>45514</v>
      </c>
      <c r="AI11" s="386">
        <v>45174</v>
      </c>
      <c r="AJ11" s="58" t="s">
        <v>63</v>
      </c>
      <c r="AK11" s="386">
        <v>45481</v>
      </c>
      <c r="AM11" s="386">
        <v>45479</v>
      </c>
    </row>
    <row r="12" spans="1:43" ht="22.8" x14ac:dyDescent="0.25">
      <c r="A12" s="28">
        <v>11</v>
      </c>
      <c r="B12" s="20">
        <v>37021</v>
      </c>
      <c r="C12" s="27" t="s">
        <v>64</v>
      </c>
      <c r="D12" s="3" t="s">
        <v>2103</v>
      </c>
      <c r="E12" s="20" t="s">
        <v>2092</v>
      </c>
      <c r="F12" s="29" t="s">
        <v>2093</v>
      </c>
      <c r="G12" s="29" t="s">
        <v>15</v>
      </c>
      <c r="H12" s="49">
        <v>43357</v>
      </c>
      <c r="I12" s="3">
        <v>176</v>
      </c>
      <c r="J12" s="3" t="s">
        <v>58</v>
      </c>
      <c r="K12" s="37" t="s">
        <v>59</v>
      </c>
      <c r="L12" s="33" t="s">
        <v>63</v>
      </c>
      <c r="M12" s="16" t="s">
        <v>60</v>
      </c>
      <c r="N12" s="33">
        <v>44175</v>
      </c>
      <c r="O12" s="33">
        <v>44117</v>
      </c>
      <c r="P12" s="33">
        <v>45429</v>
      </c>
      <c r="Q12" s="16" t="s">
        <v>68</v>
      </c>
      <c r="R12" s="37" t="s">
        <v>68</v>
      </c>
      <c r="S12" s="37" t="s">
        <v>68</v>
      </c>
      <c r="T12" s="16" t="s">
        <v>68</v>
      </c>
      <c r="U12" s="16" t="s">
        <v>68</v>
      </c>
      <c r="V12" s="37" t="s">
        <v>68</v>
      </c>
      <c r="W12" s="37" t="s">
        <v>68</v>
      </c>
      <c r="X12" s="37" t="s">
        <v>68</v>
      </c>
      <c r="Y12" s="16"/>
      <c r="Z12" s="432"/>
      <c r="AA12" s="432"/>
      <c r="AB12" s="24"/>
      <c r="AC12" s="24"/>
      <c r="AD12" s="16" t="s">
        <v>68</v>
      </c>
      <c r="AE12" s="58"/>
      <c r="AF12" s="343">
        <v>45287</v>
      </c>
      <c r="AG12" s="386">
        <v>45476</v>
      </c>
      <c r="AH12" s="386">
        <v>45476</v>
      </c>
      <c r="AI12" s="386">
        <v>45273</v>
      </c>
      <c r="AJ12" s="281" t="s">
        <v>68</v>
      </c>
      <c r="AK12" s="386">
        <v>45476</v>
      </c>
      <c r="AL12" s="386">
        <v>45346</v>
      </c>
      <c r="AM12" s="386">
        <v>45537</v>
      </c>
      <c r="AN12" s="381"/>
    </row>
    <row r="13" spans="1:43" ht="22.8" x14ac:dyDescent="0.25">
      <c r="A13" s="28">
        <v>12</v>
      </c>
      <c r="B13" s="20">
        <v>37021</v>
      </c>
      <c r="C13" s="27" t="s">
        <v>54</v>
      </c>
      <c r="D13" s="3" t="s">
        <v>2104</v>
      </c>
      <c r="E13" s="20" t="s">
        <v>2092</v>
      </c>
      <c r="F13" s="29" t="s">
        <v>2093</v>
      </c>
      <c r="G13" s="29" t="s">
        <v>15</v>
      </c>
      <c r="H13" s="49">
        <v>43357</v>
      </c>
      <c r="I13" s="3">
        <v>177</v>
      </c>
      <c r="J13" s="3" t="s">
        <v>58</v>
      </c>
      <c r="K13" s="37" t="s">
        <v>59</v>
      </c>
      <c r="L13" s="33">
        <v>44331</v>
      </c>
      <c r="M13" s="16" t="s">
        <v>60</v>
      </c>
      <c r="N13" s="33">
        <v>44175</v>
      </c>
      <c r="O13" s="33">
        <v>44117</v>
      </c>
      <c r="P13" s="33">
        <v>45429</v>
      </c>
      <c r="Q13" s="16"/>
      <c r="R13" s="37" t="s">
        <v>62</v>
      </c>
      <c r="S13" s="37" t="s">
        <v>62</v>
      </c>
      <c r="T13" s="16" t="s">
        <v>62</v>
      </c>
      <c r="U13" s="16" t="s">
        <v>62</v>
      </c>
      <c r="V13" s="37" t="s">
        <v>62</v>
      </c>
      <c r="W13" s="37" t="s">
        <v>62</v>
      </c>
      <c r="X13" s="37" t="s">
        <v>62</v>
      </c>
      <c r="Y13" s="16"/>
      <c r="Z13" s="432"/>
      <c r="AA13" s="432"/>
      <c r="AB13" s="24"/>
      <c r="AC13" s="24"/>
      <c r="AD13" s="16" t="s">
        <v>62</v>
      </c>
      <c r="AE13" s="58"/>
      <c r="AF13" s="343">
        <v>45287</v>
      </c>
      <c r="AG13" s="386">
        <v>45476</v>
      </c>
      <c r="AH13" s="386">
        <v>45476</v>
      </c>
      <c r="AI13" s="386">
        <v>45273</v>
      </c>
      <c r="AJ13" s="16" t="s">
        <v>62</v>
      </c>
      <c r="AK13" s="386">
        <v>45476</v>
      </c>
      <c r="AL13" s="386">
        <v>45346</v>
      </c>
      <c r="AM13" s="386">
        <v>45537</v>
      </c>
    </row>
    <row r="14" spans="1:43" ht="14.4" x14ac:dyDescent="0.25">
      <c r="A14" s="28">
        <v>13</v>
      </c>
      <c r="B14" s="20">
        <v>37022</v>
      </c>
      <c r="C14" s="27" t="s">
        <v>64</v>
      </c>
      <c r="D14" s="3" t="s">
        <v>2105</v>
      </c>
      <c r="E14" s="20" t="s">
        <v>2458</v>
      </c>
      <c r="F14" s="29" t="s">
        <v>2093</v>
      </c>
      <c r="G14" s="29" t="s">
        <v>15</v>
      </c>
      <c r="H14" s="49">
        <v>43363</v>
      </c>
      <c r="I14" s="3">
        <v>170</v>
      </c>
      <c r="J14" s="3" t="s">
        <v>58</v>
      </c>
      <c r="K14" s="16" t="s">
        <v>680</v>
      </c>
      <c r="L14" s="33">
        <v>44375</v>
      </c>
      <c r="M14" s="16" t="s">
        <v>60</v>
      </c>
      <c r="N14" s="33">
        <v>44236</v>
      </c>
      <c r="O14" s="33">
        <v>44063</v>
      </c>
      <c r="P14" s="33">
        <v>45575</v>
      </c>
      <c r="Q14" s="16"/>
      <c r="R14" s="37" t="s">
        <v>68</v>
      </c>
      <c r="S14" s="16"/>
      <c r="T14" s="16" t="s">
        <v>68</v>
      </c>
      <c r="U14" s="37" t="s">
        <v>68</v>
      </c>
      <c r="V14" s="16"/>
      <c r="W14" s="37" t="s">
        <v>68</v>
      </c>
      <c r="X14" s="16"/>
      <c r="Y14" s="16"/>
      <c r="Z14" s="432"/>
      <c r="AA14" s="432"/>
      <c r="AB14" s="1116" t="s">
        <v>2461</v>
      </c>
      <c r="AC14" s="24"/>
      <c r="AD14" s="276" t="s">
        <v>68</v>
      </c>
      <c r="AE14" s="58"/>
      <c r="AF14" s="343">
        <v>45373</v>
      </c>
      <c r="AG14" s="143">
        <v>45503</v>
      </c>
      <c r="AH14" s="143">
        <v>45503</v>
      </c>
      <c r="AI14" s="386">
        <v>45143</v>
      </c>
      <c r="AJ14" s="281" t="s">
        <v>68</v>
      </c>
      <c r="AK14" s="281"/>
      <c r="AL14" s="386">
        <v>45370</v>
      </c>
      <c r="AM14" s="343">
        <v>45566</v>
      </c>
    </row>
    <row r="15" spans="1:43" ht="14.4" x14ac:dyDescent="0.25">
      <c r="A15" s="28">
        <v>14</v>
      </c>
      <c r="B15" s="20">
        <v>37022</v>
      </c>
      <c r="C15" s="27" t="s">
        <v>54</v>
      </c>
      <c r="D15" s="3" t="s">
        <v>2106</v>
      </c>
      <c r="E15" s="20" t="s">
        <v>2458</v>
      </c>
      <c r="F15" s="29" t="s">
        <v>2093</v>
      </c>
      <c r="G15" s="29" t="s">
        <v>15</v>
      </c>
      <c r="H15" s="49">
        <v>43363</v>
      </c>
      <c r="I15" s="3">
        <v>171</v>
      </c>
      <c r="J15" s="3" t="s">
        <v>58</v>
      </c>
      <c r="K15" s="16" t="s">
        <v>680</v>
      </c>
      <c r="L15" s="33">
        <v>44375</v>
      </c>
      <c r="M15" s="16" t="s">
        <v>60</v>
      </c>
      <c r="N15" s="33">
        <v>44236</v>
      </c>
      <c r="O15" s="33">
        <v>44063</v>
      </c>
      <c r="P15" s="33">
        <v>45575</v>
      </c>
      <c r="Q15" s="16"/>
      <c r="R15" s="37" t="s">
        <v>62</v>
      </c>
      <c r="S15" s="16"/>
      <c r="T15" s="16" t="s">
        <v>62</v>
      </c>
      <c r="U15" s="37" t="s">
        <v>62</v>
      </c>
      <c r="V15" s="16"/>
      <c r="W15" s="37" t="s">
        <v>62</v>
      </c>
      <c r="X15" s="16"/>
      <c r="Y15" s="16"/>
      <c r="Z15" s="432"/>
      <c r="AA15" s="432"/>
      <c r="AB15" s="24"/>
      <c r="AC15" s="24"/>
      <c r="AD15" s="276" t="s">
        <v>62</v>
      </c>
      <c r="AE15" s="58"/>
      <c r="AF15" s="343">
        <v>45373</v>
      </c>
      <c r="AG15" s="143">
        <v>45503</v>
      </c>
      <c r="AH15" s="143">
        <v>45503</v>
      </c>
      <c r="AI15" s="386">
        <v>45143</v>
      </c>
      <c r="AJ15" s="16" t="s">
        <v>62</v>
      </c>
      <c r="AK15" s="16"/>
      <c r="AL15" s="386">
        <v>45370</v>
      </c>
      <c r="AM15" s="343">
        <v>45566</v>
      </c>
    </row>
    <row r="16" spans="1:43" ht="22.8" x14ac:dyDescent="0.25">
      <c r="A16" s="28">
        <v>15</v>
      </c>
      <c r="B16" s="20">
        <v>37027</v>
      </c>
      <c r="C16" s="27" t="s">
        <v>64</v>
      </c>
      <c r="D16" s="3" t="s">
        <v>2107</v>
      </c>
      <c r="E16" s="20" t="s">
        <v>2458</v>
      </c>
      <c r="F16" s="29" t="s">
        <v>2093</v>
      </c>
      <c r="G16" s="29" t="s">
        <v>15</v>
      </c>
      <c r="H16" s="49">
        <v>43369</v>
      </c>
      <c r="I16" s="3">
        <v>182</v>
      </c>
      <c r="J16" s="3" t="s">
        <v>58</v>
      </c>
      <c r="K16" s="37" t="s">
        <v>59</v>
      </c>
      <c r="L16" s="33" t="s">
        <v>63</v>
      </c>
      <c r="M16" s="16" t="s">
        <v>60</v>
      </c>
      <c r="N16" s="33">
        <v>44186</v>
      </c>
      <c r="O16" s="33">
        <v>44056</v>
      </c>
      <c r="P16" s="33"/>
      <c r="Q16" s="37" t="s">
        <v>68</v>
      </c>
      <c r="R16" s="37" t="s">
        <v>68</v>
      </c>
      <c r="S16" s="37" t="s">
        <v>68</v>
      </c>
      <c r="T16" s="37" t="s">
        <v>68</v>
      </c>
      <c r="U16" s="37" t="s">
        <v>68</v>
      </c>
      <c r="V16" s="16" t="s">
        <v>68</v>
      </c>
      <c r="W16" s="37" t="s">
        <v>68</v>
      </c>
      <c r="X16" s="37" t="s">
        <v>68</v>
      </c>
      <c r="Y16" s="16"/>
      <c r="Z16" s="432"/>
      <c r="AA16" s="432"/>
      <c r="AB16" s="1117" t="s">
        <v>2462</v>
      </c>
      <c r="AC16" s="24"/>
      <c r="AD16" s="276" t="s">
        <v>68</v>
      </c>
      <c r="AE16" s="58"/>
      <c r="AF16" s="343">
        <v>45328</v>
      </c>
      <c r="AG16" s="143">
        <v>45473</v>
      </c>
      <c r="AH16" s="143">
        <v>45473</v>
      </c>
      <c r="AI16" s="386">
        <v>45141</v>
      </c>
      <c r="AJ16" s="281" t="s">
        <v>68</v>
      </c>
      <c r="AK16" s="343">
        <v>45611</v>
      </c>
      <c r="AM16" s="343">
        <v>45568</v>
      </c>
    </row>
    <row r="17" spans="1:40" ht="22.8" x14ac:dyDescent="0.25">
      <c r="A17" s="28">
        <v>16</v>
      </c>
      <c r="B17" s="20">
        <v>37027</v>
      </c>
      <c r="C17" s="27" t="s">
        <v>54</v>
      </c>
      <c r="D17" s="3" t="s">
        <v>2108</v>
      </c>
      <c r="E17" s="20" t="s">
        <v>2458</v>
      </c>
      <c r="F17" s="29" t="s">
        <v>2093</v>
      </c>
      <c r="G17" s="29" t="s">
        <v>15</v>
      </c>
      <c r="H17" s="49">
        <v>43369</v>
      </c>
      <c r="I17" s="3">
        <v>192</v>
      </c>
      <c r="J17" s="3" t="s">
        <v>58</v>
      </c>
      <c r="K17" s="37" t="s">
        <v>59</v>
      </c>
      <c r="L17" s="33">
        <v>44334</v>
      </c>
      <c r="M17" s="16" t="s">
        <v>60</v>
      </c>
      <c r="N17" s="33">
        <v>44186</v>
      </c>
      <c r="O17" s="33">
        <v>44056</v>
      </c>
      <c r="P17" s="33"/>
      <c r="Q17" s="37" t="s">
        <v>62</v>
      </c>
      <c r="R17" s="37" t="s">
        <v>62</v>
      </c>
      <c r="S17" s="37" t="s">
        <v>62</v>
      </c>
      <c r="T17" s="37" t="s">
        <v>62</v>
      </c>
      <c r="U17" s="37" t="s">
        <v>62</v>
      </c>
      <c r="V17" s="16" t="s">
        <v>62</v>
      </c>
      <c r="W17" s="37" t="s">
        <v>62</v>
      </c>
      <c r="X17" s="37" t="s">
        <v>62</v>
      </c>
      <c r="Y17" s="16"/>
      <c r="Z17" s="432"/>
      <c r="AA17" s="432"/>
      <c r="AB17" s="386">
        <v>44440</v>
      </c>
      <c r="AC17" s="24"/>
      <c r="AD17" s="276" t="s">
        <v>62</v>
      </c>
      <c r="AE17" s="58"/>
      <c r="AF17" s="343">
        <v>45328</v>
      </c>
      <c r="AG17" s="143">
        <v>45473</v>
      </c>
      <c r="AH17" s="143">
        <v>45473</v>
      </c>
      <c r="AI17" s="386">
        <v>45141</v>
      </c>
      <c r="AJ17" s="16" t="s">
        <v>62</v>
      </c>
      <c r="AK17" s="343">
        <v>45611</v>
      </c>
      <c r="AM17" s="343">
        <v>45568</v>
      </c>
    </row>
    <row r="18" spans="1:40" ht="22.8" x14ac:dyDescent="0.25">
      <c r="A18" s="28">
        <v>17</v>
      </c>
      <c r="B18" s="20">
        <v>37028</v>
      </c>
      <c r="C18" s="27" t="s">
        <v>64</v>
      </c>
      <c r="D18" s="3" t="s">
        <v>2109</v>
      </c>
      <c r="E18" s="20" t="s">
        <v>2092</v>
      </c>
      <c r="F18" s="29" t="s">
        <v>2093</v>
      </c>
      <c r="G18" s="29" t="s">
        <v>15</v>
      </c>
      <c r="H18" s="49">
        <v>43369</v>
      </c>
      <c r="I18" s="3">
        <v>187</v>
      </c>
      <c r="J18" s="3" t="s">
        <v>58</v>
      </c>
      <c r="K18" s="37" t="s">
        <v>59</v>
      </c>
      <c r="L18" s="33" t="s">
        <v>63</v>
      </c>
      <c r="M18" s="16" t="s">
        <v>60</v>
      </c>
      <c r="N18" s="33">
        <v>44206</v>
      </c>
      <c r="O18" s="33">
        <v>44206</v>
      </c>
      <c r="P18" s="33">
        <v>45453</v>
      </c>
      <c r="Q18" s="16" t="s">
        <v>68</v>
      </c>
      <c r="R18" s="37" t="s">
        <v>68</v>
      </c>
      <c r="S18" s="37" t="s">
        <v>68</v>
      </c>
      <c r="T18" s="16" t="s">
        <v>68</v>
      </c>
      <c r="U18" s="16" t="s">
        <v>68</v>
      </c>
      <c r="V18" s="37" t="s">
        <v>68</v>
      </c>
      <c r="W18" s="16" t="s">
        <v>68</v>
      </c>
      <c r="X18" s="16"/>
      <c r="Y18" s="16"/>
      <c r="Z18" s="432"/>
      <c r="AA18" s="432"/>
      <c r="AB18" s="24"/>
      <c r="AC18" s="24"/>
      <c r="AD18" s="276" t="s">
        <v>68</v>
      </c>
      <c r="AE18" s="58"/>
      <c r="AF18" s="343">
        <v>45306</v>
      </c>
      <c r="AG18" s="343">
        <v>45499</v>
      </c>
      <c r="AH18" s="143">
        <v>45483</v>
      </c>
      <c r="AI18" s="343">
        <v>45499</v>
      </c>
      <c r="AJ18" s="58" t="s">
        <v>63</v>
      </c>
      <c r="AK18" s="343">
        <v>45499</v>
      </c>
      <c r="AL18" s="386">
        <v>45376</v>
      </c>
      <c r="AM18" s="343">
        <v>45497</v>
      </c>
      <c r="AN18" s="381"/>
    </row>
    <row r="19" spans="1:40" ht="22.8" x14ac:dyDescent="0.25">
      <c r="A19" s="28">
        <v>18</v>
      </c>
      <c r="B19" s="20">
        <v>37028</v>
      </c>
      <c r="C19" s="27" t="s">
        <v>54</v>
      </c>
      <c r="D19" s="3" t="s">
        <v>2110</v>
      </c>
      <c r="E19" s="20" t="s">
        <v>2092</v>
      </c>
      <c r="F19" s="29" t="s">
        <v>2093</v>
      </c>
      <c r="G19" s="29" t="s">
        <v>15</v>
      </c>
      <c r="H19" s="49">
        <v>43369</v>
      </c>
      <c r="I19" s="3">
        <v>188</v>
      </c>
      <c r="J19" s="3" t="s">
        <v>58</v>
      </c>
      <c r="K19" s="37" t="s">
        <v>59</v>
      </c>
      <c r="L19" s="33" t="s">
        <v>63</v>
      </c>
      <c r="M19" s="16" t="s">
        <v>60</v>
      </c>
      <c r="N19" s="33">
        <v>44206</v>
      </c>
      <c r="O19" s="33">
        <v>44206</v>
      </c>
      <c r="P19" s="33"/>
      <c r="Q19" s="37" t="s">
        <v>62</v>
      </c>
      <c r="R19" s="37" t="s">
        <v>62</v>
      </c>
      <c r="S19" s="37" t="s">
        <v>62</v>
      </c>
      <c r="T19" s="37" t="s">
        <v>62</v>
      </c>
      <c r="U19" s="16" t="s">
        <v>62</v>
      </c>
      <c r="V19" s="37" t="s">
        <v>62</v>
      </c>
      <c r="W19" s="16" t="s">
        <v>62</v>
      </c>
      <c r="X19" s="16"/>
      <c r="Y19" s="16"/>
      <c r="Z19" s="432"/>
      <c r="AA19" s="432"/>
      <c r="AB19" s="24"/>
      <c r="AC19" s="24"/>
      <c r="AD19" s="276" t="s">
        <v>62</v>
      </c>
      <c r="AE19" s="58"/>
      <c r="AF19" s="343">
        <v>45306</v>
      </c>
      <c r="AG19" s="343">
        <v>45499</v>
      </c>
      <c r="AH19" s="143">
        <v>45483</v>
      </c>
      <c r="AI19" s="343">
        <v>45499</v>
      </c>
      <c r="AJ19" s="58" t="s">
        <v>63</v>
      </c>
      <c r="AK19" s="343">
        <v>45499</v>
      </c>
      <c r="AL19" s="386">
        <v>45376</v>
      </c>
      <c r="AM19" s="343">
        <v>45497</v>
      </c>
    </row>
    <row r="20" spans="1:40" ht="22.8" x14ac:dyDescent="0.25">
      <c r="A20" s="28">
        <v>19</v>
      </c>
      <c r="B20" s="20">
        <v>37166</v>
      </c>
      <c r="C20" s="27" t="s">
        <v>64</v>
      </c>
      <c r="D20" s="3" t="s">
        <v>2111</v>
      </c>
      <c r="E20" s="20" t="s">
        <v>2458</v>
      </c>
      <c r="F20" s="29" t="s">
        <v>2093</v>
      </c>
      <c r="G20" s="29" t="s">
        <v>15</v>
      </c>
      <c r="H20" s="49">
        <v>43594</v>
      </c>
      <c r="I20" s="3">
        <v>445</v>
      </c>
      <c r="J20" s="3" t="s">
        <v>58</v>
      </c>
      <c r="K20" s="37" t="s">
        <v>59</v>
      </c>
      <c r="L20" s="33">
        <v>44418</v>
      </c>
      <c r="M20" s="16" t="s">
        <v>60</v>
      </c>
      <c r="N20" s="33">
        <v>44214</v>
      </c>
      <c r="O20" s="33">
        <v>44205</v>
      </c>
      <c r="P20" s="33"/>
      <c r="Q20" s="37" t="s">
        <v>68</v>
      </c>
      <c r="R20" s="37" t="s">
        <v>68</v>
      </c>
      <c r="S20" s="37" t="s">
        <v>68</v>
      </c>
      <c r="T20" s="37" t="s">
        <v>68</v>
      </c>
      <c r="U20" s="37" t="s">
        <v>68</v>
      </c>
      <c r="V20" s="16"/>
      <c r="W20" s="37" t="s">
        <v>68</v>
      </c>
      <c r="X20" s="37" t="s">
        <v>68</v>
      </c>
      <c r="Y20" s="16"/>
      <c r="Z20" s="432"/>
      <c r="AA20" s="432"/>
      <c r="AB20" s="24"/>
      <c r="AC20" s="24"/>
      <c r="AD20" s="276" t="s">
        <v>68</v>
      </c>
      <c r="AE20" s="58"/>
      <c r="AF20" s="343">
        <v>45323</v>
      </c>
      <c r="AG20" s="143">
        <v>45483</v>
      </c>
      <c r="AH20" s="143">
        <v>45483</v>
      </c>
      <c r="AI20" s="386">
        <v>45493</v>
      </c>
      <c r="AJ20" s="281" t="s">
        <v>68</v>
      </c>
      <c r="AM20" s="386">
        <v>45514</v>
      </c>
      <c r="AN20" s="381"/>
    </row>
    <row r="21" spans="1:40" ht="22.8" x14ac:dyDescent="0.25">
      <c r="A21" s="28">
        <v>20</v>
      </c>
      <c r="B21" s="20">
        <v>37166</v>
      </c>
      <c r="C21" s="27" t="s">
        <v>54</v>
      </c>
      <c r="D21" s="3" t="s">
        <v>2112</v>
      </c>
      <c r="E21" s="20" t="s">
        <v>2458</v>
      </c>
      <c r="F21" s="29" t="s">
        <v>2093</v>
      </c>
      <c r="G21" s="29" t="s">
        <v>15</v>
      </c>
      <c r="H21" s="49">
        <v>43594</v>
      </c>
      <c r="I21" s="3">
        <v>444</v>
      </c>
      <c r="J21" s="3" t="s">
        <v>58</v>
      </c>
      <c r="K21" s="37" t="s">
        <v>59</v>
      </c>
      <c r="L21" s="33">
        <v>44418</v>
      </c>
      <c r="M21" s="16" t="s">
        <v>60</v>
      </c>
      <c r="N21" s="33">
        <v>44214</v>
      </c>
      <c r="O21" s="33">
        <v>44205</v>
      </c>
      <c r="P21" s="33"/>
      <c r="Q21" s="37" t="s">
        <v>62</v>
      </c>
      <c r="R21" s="37" t="s">
        <v>62</v>
      </c>
      <c r="S21" s="37" t="s">
        <v>62</v>
      </c>
      <c r="T21" s="37" t="s">
        <v>62</v>
      </c>
      <c r="U21" s="16"/>
      <c r="V21" s="16"/>
      <c r="W21" s="37" t="s">
        <v>62</v>
      </c>
      <c r="X21" s="37" t="s">
        <v>62</v>
      </c>
      <c r="Y21" s="16"/>
      <c r="Z21" s="432"/>
      <c r="AA21" s="432"/>
      <c r="AB21" s="24"/>
      <c r="AC21" s="24"/>
      <c r="AD21" s="276" t="s">
        <v>62</v>
      </c>
      <c r="AE21" s="58"/>
      <c r="AF21" s="343">
        <v>45323</v>
      </c>
      <c r="AG21" s="143">
        <v>45483</v>
      </c>
      <c r="AH21" s="143">
        <v>45483</v>
      </c>
      <c r="AI21" s="386">
        <v>45493</v>
      </c>
      <c r="AJ21" s="16" t="s">
        <v>62</v>
      </c>
      <c r="AK21" s="386">
        <v>45834</v>
      </c>
      <c r="AM21" s="386">
        <v>45514</v>
      </c>
    </row>
    <row r="22" spans="1:40" ht="22.8" x14ac:dyDescent="0.25">
      <c r="A22" s="28">
        <v>21</v>
      </c>
      <c r="B22" s="20">
        <v>37167</v>
      </c>
      <c r="C22" s="27" t="s">
        <v>64</v>
      </c>
      <c r="D22" s="3" t="s">
        <v>2113</v>
      </c>
      <c r="E22" s="20" t="s">
        <v>2458</v>
      </c>
      <c r="F22" s="29" t="s">
        <v>2093</v>
      </c>
      <c r="G22" s="29" t="s">
        <v>15</v>
      </c>
      <c r="H22" s="49">
        <v>43596</v>
      </c>
      <c r="I22" s="3">
        <v>437</v>
      </c>
      <c r="J22" s="3" t="s">
        <v>58</v>
      </c>
      <c r="K22" s="37" t="s">
        <v>59</v>
      </c>
      <c r="L22" s="33">
        <v>44334</v>
      </c>
      <c r="M22" s="16" t="s">
        <v>60</v>
      </c>
      <c r="N22" s="33">
        <v>44175</v>
      </c>
      <c r="O22" s="33">
        <v>44214</v>
      </c>
      <c r="P22" s="33">
        <v>45584</v>
      </c>
      <c r="Q22" s="16" t="s">
        <v>68</v>
      </c>
      <c r="R22" s="37" t="s">
        <v>68</v>
      </c>
      <c r="S22" s="37" t="s">
        <v>68</v>
      </c>
      <c r="T22" s="37" t="s">
        <v>68</v>
      </c>
      <c r="U22" s="16" t="s">
        <v>68</v>
      </c>
      <c r="V22" s="16"/>
      <c r="W22" s="37" t="s">
        <v>68</v>
      </c>
      <c r="X22" s="16"/>
      <c r="Y22" s="16"/>
      <c r="Z22" s="432"/>
      <c r="AA22" s="432"/>
      <c r="AB22" s="35" t="s">
        <v>2463</v>
      </c>
      <c r="AC22" s="24"/>
      <c r="AD22" s="281" t="s">
        <v>68</v>
      </c>
      <c r="AE22" s="58"/>
      <c r="AF22" s="343">
        <v>45385</v>
      </c>
      <c r="AG22" s="343">
        <v>45556</v>
      </c>
      <c r="AH22" s="343">
        <v>45556</v>
      </c>
      <c r="AI22" s="386">
        <v>45573</v>
      </c>
      <c r="AJ22" s="281" t="s">
        <v>68</v>
      </c>
      <c r="AN22" s="381"/>
    </row>
    <row r="23" spans="1:40" ht="22.8" x14ac:dyDescent="0.25">
      <c r="A23" s="28">
        <v>22</v>
      </c>
      <c r="B23" s="20">
        <v>37167</v>
      </c>
      <c r="C23" s="27" t="s">
        <v>54</v>
      </c>
      <c r="D23" s="3" t="s">
        <v>2114</v>
      </c>
      <c r="E23" s="20" t="s">
        <v>2458</v>
      </c>
      <c r="F23" s="29" t="s">
        <v>2093</v>
      </c>
      <c r="G23" s="29" t="s">
        <v>15</v>
      </c>
      <c r="H23" s="49">
        <v>43596</v>
      </c>
      <c r="I23" s="3">
        <v>449</v>
      </c>
      <c r="J23" s="3" t="s">
        <v>58</v>
      </c>
      <c r="K23" s="37" t="s">
        <v>59</v>
      </c>
      <c r="L23" s="33">
        <v>44334</v>
      </c>
      <c r="M23" s="16" t="s">
        <v>60</v>
      </c>
      <c r="N23" s="33">
        <v>44175</v>
      </c>
      <c r="O23" s="33">
        <v>44214</v>
      </c>
      <c r="P23" s="33">
        <v>45584</v>
      </c>
      <c r="Q23" s="16" t="s">
        <v>62</v>
      </c>
      <c r="R23" s="37" t="s">
        <v>62</v>
      </c>
      <c r="S23" s="37" t="s">
        <v>62</v>
      </c>
      <c r="T23" s="37" t="s">
        <v>62</v>
      </c>
      <c r="U23" s="16" t="s">
        <v>62</v>
      </c>
      <c r="V23" s="16"/>
      <c r="W23" s="37" t="s">
        <v>62</v>
      </c>
      <c r="X23" s="16"/>
      <c r="Y23" s="16"/>
      <c r="Z23" s="432"/>
      <c r="AA23" s="432"/>
      <c r="AB23" s="24"/>
      <c r="AC23" s="24"/>
      <c r="AD23" s="276" t="s">
        <v>62</v>
      </c>
      <c r="AE23" s="58"/>
      <c r="AF23" s="343">
        <v>45385</v>
      </c>
      <c r="AG23" s="343">
        <v>45556</v>
      </c>
      <c r="AH23" s="343">
        <v>45556</v>
      </c>
      <c r="AI23" s="386">
        <v>45573</v>
      </c>
      <c r="AJ23" s="16" t="s">
        <v>62</v>
      </c>
      <c r="AN23" s="381"/>
    </row>
    <row r="24" spans="1:40" ht="22.8" x14ac:dyDescent="0.25">
      <c r="A24" s="28">
        <v>23</v>
      </c>
      <c r="B24" s="20">
        <v>37194</v>
      </c>
      <c r="C24" s="27" t="s">
        <v>64</v>
      </c>
      <c r="D24" s="3" t="s">
        <v>2115</v>
      </c>
      <c r="E24" s="20" t="s">
        <v>1933</v>
      </c>
      <c r="F24" s="29" t="s">
        <v>2093</v>
      </c>
      <c r="G24" s="29" t="s">
        <v>15</v>
      </c>
      <c r="H24" s="19">
        <v>43634</v>
      </c>
      <c r="I24" s="3">
        <v>463</v>
      </c>
      <c r="J24" s="3" t="s">
        <v>58</v>
      </c>
      <c r="K24" s="37" t="s">
        <v>59</v>
      </c>
      <c r="L24" s="33">
        <v>44194</v>
      </c>
      <c r="M24" s="16" t="s">
        <v>60</v>
      </c>
      <c r="N24" s="33">
        <v>44194</v>
      </c>
      <c r="O24" s="33">
        <v>44218</v>
      </c>
      <c r="P24" s="343">
        <v>45149</v>
      </c>
      <c r="Q24" s="16"/>
      <c r="R24" s="37" t="s">
        <v>68</v>
      </c>
      <c r="S24" s="16"/>
      <c r="T24" s="37" t="s">
        <v>68</v>
      </c>
      <c r="U24" s="16" t="s">
        <v>68</v>
      </c>
      <c r="V24" s="37" t="s">
        <v>68</v>
      </c>
      <c r="W24" s="16" t="s">
        <v>68</v>
      </c>
      <c r="X24" s="16"/>
      <c r="Y24" s="16"/>
      <c r="Z24" s="432"/>
      <c r="AA24" s="432"/>
      <c r="AB24" s="24"/>
      <c r="AC24" s="24"/>
      <c r="AD24" s="281" t="s">
        <v>68</v>
      </c>
      <c r="AE24" s="343">
        <v>45514</v>
      </c>
      <c r="AF24" s="386">
        <v>45321</v>
      </c>
      <c r="AG24" s="343">
        <v>45526</v>
      </c>
      <c r="AH24" s="386">
        <v>45468</v>
      </c>
      <c r="AI24" s="386">
        <v>45321</v>
      </c>
      <c r="AJ24" s="58" t="s">
        <v>63</v>
      </c>
      <c r="AK24" s="343">
        <v>45526</v>
      </c>
      <c r="AL24" s="343">
        <v>45528</v>
      </c>
      <c r="AM24" s="343">
        <v>45528</v>
      </c>
    </row>
    <row r="25" spans="1:40" ht="22.8" x14ac:dyDescent="0.25">
      <c r="A25" s="28">
        <v>24</v>
      </c>
      <c r="B25" s="20">
        <v>37194</v>
      </c>
      <c r="C25" s="27" t="s">
        <v>54</v>
      </c>
      <c r="D25" s="3" t="s">
        <v>2116</v>
      </c>
      <c r="E25" s="20" t="s">
        <v>1933</v>
      </c>
      <c r="F25" s="29" t="s">
        <v>2093</v>
      </c>
      <c r="G25" s="29" t="s">
        <v>15</v>
      </c>
      <c r="H25" s="19">
        <v>43634</v>
      </c>
      <c r="I25" s="3">
        <v>462</v>
      </c>
      <c r="J25" s="3" t="s">
        <v>58</v>
      </c>
      <c r="K25" s="37" t="s">
        <v>59</v>
      </c>
      <c r="L25" s="33">
        <v>44194</v>
      </c>
      <c r="M25" s="16" t="s">
        <v>60</v>
      </c>
      <c r="N25" s="33">
        <v>44194</v>
      </c>
      <c r="O25" s="33">
        <v>44218</v>
      </c>
      <c r="P25" s="33"/>
      <c r="Q25" s="16"/>
      <c r="R25" s="37" t="s">
        <v>62</v>
      </c>
      <c r="S25" s="16"/>
      <c r="T25" s="37" t="s">
        <v>62</v>
      </c>
      <c r="U25" s="16" t="s">
        <v>62</v>
      </c>
      <c r="V25" s="37" t="s">
        <v>62</v>
      </c>
      <c r="W25" s="16" t="s">
        <v>62</v>
      </c>
      <c r="X25" s="16"/>
      <c r="Y25" s="16"/>
      <c r="Z25" s="432"/>
      <c r="AA25" s="432"/>
      <c r="AB25" s="24"/>
      <c r="AC25" s="24"/>
      <c r="AD25" s="276" t="s">
        <v>62</v>
      </c>
      <c r="AE25" s="343">
        <v>45323</v>
      </c>
      <c r="AF25" s="386">
        <v>45321</v>
      </c>
      <c r="AG25" s="343">
        <v>45526</v>
      </c>
      <c r="AH25" s="386">
        <v>45468</v>
      </c>
      <c r="AI25" s="386">
        <v>45321</v>
      </c>
      <c r="AJ25" s="58" t="s">
        <v>63</v>
      </c>
      <c r="AK25" s="343">
        <v>45526</v>
      </c>
      <c r="AL25" s="343">
        <v>45528</v>
      </c>
      <c r="AM25" s="343">
        <v>45528</v>
      </c>
    </row>
    <row r="26" spans="1:40" ht="22.8" x14ac:dyDescent="0.25">
      <c r="A26" s="28">
        <v>25</v>
      </c>
      <c r="B26" s="20">
        <v>37288</v>
      </c>
      <c r="C26" s="27" t="s">
        <v>64</v>
      </c>
      <c r="D26" s="3" t="s">
        <v>2117</v>
      </c>
      <c r="E26" s="20" t="s">
        <v>2458</v>
      </c>
      <c r="F26" s="29" t="s">
        <v>2093</v>
      </c>
      <c r="G26" s="29" t="s">
        <v>15</v>
      </c>
      <c r="H26" s="19">
        <v>43797</v>
      </c>
      <c r="I26" s="3">
        <v>548</v>
      </c>
      <c r="J26" s="3" t="s">
        <v>58</v>
      </c>
      <c r="K26" s="37" t="s">
        <v>59</v>
      </c>
      <c r="L26" s="33" t="s">
        <v>63</v>
      </c>
      <c r="M26" s="16" t="s">
        <v>60</v>
      </c>
      <c r="N26" s="33">
        <v>44183</v>
      </c>
      <c r="O26" s="33">
        <v>44183</v>
      </c>
      <c r="P26" s="33"/>
      <c r="Q26" s="16" t="s">
        <v>75</v>
      </c>
      <c r="R26" s="16" t="s">
        <v>68</v>
      </c>
      <c r="S26" s="16" t="s">
        <v>68</v>
      </c>
      <c r="T26" s="16" t="s">
        <v>68</v>
      </c>
      <c r="U26" s="16"/>
      <c r="V26" s="16"/>
      <c r="W26" s="37" t="s">
        <v>68</v>
      </c>
      <c r="X26" s="16"/>
      <c r="Y26" s="16"/>
      <c r="Z26" s="432"/>
      <c r="AA26" s="432"/>
      <c r="AB26" s="24"/>
      <c r="AC26" s="24"/>
      <c r="AD26" s="281">
        <v>44688</v>
      </c>
      <c r="AE26" s="58"/>
      <c r="AF26" s="343">
        <v>45352</v>
      </c>
      <c r="AG26" s="386">
        <v>45468</v>
      </c>
      <c r="AH26" s="143">
        <v>45474</v>
      </c>
      <c r="AI26" s="343">
        <v>45352</v>
      </c>
      <c r="AJ26" s="281" t="s">
        <v>68</v>
      </c>
      <c r="AL26" s="386">
        <v>45352</v>
      </c>
      <c r="AM26" s="386">
        <v>45540</v>
      </c>
    </row>
    <row r="27" spans="1:40" ht="22.8" x14ac:dyDescent="0.25">
      <c r="A27" s="28">
        <v>26</v>
      </c>
      <c r="B27" s="20">
        <v>37288</v>
      </c>
      <c r="C27" s="27" t="s">
        <v>54</v>
      </c>
      <c r="D27" s="3" t="s">
        <v>2118</v>
      </c>
      <c r="E27" s="20" t="s">
        <v>2458</v>
      </c>
      <c r="F27" s="29" t="s">
        <v>2093</v>
      </c>
      <c r="G27" s="29" t="s">
        <v>15</v>
      </c>
      <c r="H27" s="19">
        <v>43797</v>
      </c>
      <c r="I27" s="3">
        <v>649</v>
      </c>
      <c r="J27" s="3" t="s">
        <v>58</v>
      </c>
      <c r="K27" s="37" t="s">
        <v>59</v>
      </c>
      <c r="L27" s="33" t="s">
        <v>63</v>
      </c>
      <c r="M27" s="16" t="s">
        <v>60</v>
      </c>
      <c r="N27" s="33">
        <v>44183</v>
      </c>
      <c r="O27" s="33">
        <v>44183</v>
      </c>
      <c r="P27" s="33"/>
      <c r="Q27" s="16" t="s">
        <v>75</v>
      </c>
      <c r="R27" s="16" t="s">
        <v>75</v>
      </c>
      <c r="S27" s="16" t="s">
        <v>62</v>
      </c>
      <c r="T27" s="37" t="s">
        <v>62</v>
      </c>
      <c r="U27" s="16"/>
      <c r="V27" s="16"/>
      <c r="W27" s="37" t="s">
        <v>62</v>
      </c>
      <c r="X27" s="16"/>
      <c r="Y27" s="16"/>
      <c r="Z27" s="432"/>
      <c r="AA27" s="432"/>
      <c r="AB27" s="24"/>
      <c r="AC27" s="24"/>
      <c r="AD27" s="281">
        <v>44688</v>
      </c>
      <c r="AE27" s="58"/>
      <c r="AF27" s="343">
        <v>45352</v>
      </c>
      <c r="AG27" s="386">
        <v>45468</v>
      </c>
      <c r="AH27" s="143">
        <v>45474</v>
      </c>
      <c r="AI27" s="343">
        <v>45352</v>
      </c>
      <c r="AJ27" s="16" t="s">
        <v>62</v>
      </c>
      <c r="AL27" s="386">
        <v>45352</v>
      </c>
      <c r="AM27" s="386">
        <v>45540</v>
      </c>
    </row>
    <row r="28" spans="1:40" ht="22.8" x14ac:dyDescent="0.25">
      <c r="A28" s="28">
        <v>27</v>
      </c>
      <c r="B28" s="20">
        <v>37289</v>
      </c>
      <c r="C28" s="27" t="s">
        <v>64</v>
      </c>
      <c r="D28" s="3" t="s">
        <v>2119</v>
      </c>
      <c r="E28" s="20" t="s">
        <v>2458</v>
      </c>
      <c r="F28" s="29" t="s">
        <v>2093</v>
      </c>
      <c r="G28" s="29" t="s">
        <v>15</v>
      </c>
      <c r="H28" s="19">
        <v>43798</v>
      </c>
      <c r="I28" s="3">
        <v>549</v>
      </c>
      <c r="J28" s="3" t="s">
        <v>58</v>
      </c>
      <c r="K28" s="37" t="s">
        <v>59</v>
      </c>
      <c r="L28" s="33" t="s">
        <v>63</v>
      </c>
      <c r="M28" s="16" t="s">
        <v>60</v>
      </c>
      <c r="N28" s="33" t="s">
        <v>63</v>
      </c>
      <c r="O28" s="33">
        <v>44055</v>
      </c>
      <c r="P28" s="33"/>
      <c r="Q28" s="16" t="s">
        <v>75</v>
      </c>
      <c r="R28" s="16" t="s">
        <v>68</v>
      </c>
      <c r="S28" s="16"/>
      <c r="T28" s="16" t="s">
        <v>68</v>
      </c>
      <c r="U28" s="37" t="s">
        <v>68</v>
      </c>
      <c r="V28" s="16"/>
      <c r="W28" s="37" t="s">
        <v>68</v>
      </c>
      <c r="X28" s="16"/>
      <c r="Y28" s="16"/>
      <c r="Z28" s="432"/>
      <c r="AA28" s="432"/>
      <c r="AB28" s="24"/>
      <c r="AC28" s="24"/>
      <c r="AD28" s="276" t="s">
        <v>68</v>
      </c>
      <c r="AE28" s="58"/>
      <c r="AF28" s="386">
        <v>45402</v>
      </c>
      <c r="AG28" s="143">
        <v>45474</v>
      </c>
      <c r="AH28" s="143">
        <v>45474</v>
      </c>
      <c r="AI28" s="386">
        <v>45494</v>
      </c>
      <c r="AJ28" s="16" t="s">
        <v>62</v>
      </c>
      <c r="AL28" s="386">
        <v>45475</v>
      </c>
    </row>
    <row r="29" spans="1:40" ht="22.8" x14ac:dyDescent="0.25">
      <c r="A29" s="28">
        <v>28</v>
      </c>
      <c r="B29" s="20">
        <v>37289</v>
      </c>
      <c r="C29" s="27" t="s">
        <v>54</v>
      </c>
      <c r="D29" s="3" t="s">
        <v>2120</v>
      </c>
      <c r="E29" s="20" t="s">
        <v>2458</v>
      </c>
      <c r="F29" s="29" t="s">
        <v>2093</v>
      </c>
      <c r="G29" s="29" t="s">
        <v>15</v>
      </c>
      <c r="H29" s="19">
        <v>43798</v>
      </c>
      <c r="I29" s="3">
        <v>648</v>
      </c>
      <c r="J29" s="3" t="s">
        <v>58</v>
      </c>
      <c r="K29" s="37" t="s">
        <v>59</v>
      </c>
      <c r="L29" s="33" t="s">
        <v>63</v>
      </c>
      <c r="M29" s="16" t="s">
        <v>60</v>
      </c>
      <c r="N29" s="33" t="s">
        <v>63</v>
      </c>
      <c r="O29" s="33">
        <v>44055</v>
      </c>
      <c r="P29" s="33"/>
      <c r="Q29" s="16" t="s">
        <v>75</v>
      </c>
      <c r="R29" s="16" t="s">
        <v>75</v>
      </c>
      <c r="S29" s="16"/>
      <c r="T29" s="37" t="s">
        <v>62</v>
      </c>
      <c r="U29" s="37" t="s">
        <v>62</v>
      </c>
      <c r="V29" s="16"/>
      <c r="W29" s="37" t="s">
        <v>62</v>
      </c>
      <c r="X29" s="16"/>
      <c r="Y29" s="16"/>
      <c r="Z29" s="432"/>
      <c r="AA29" s="432"/>
      <c r="AB29" s="24"/>
      <c r="AC29" s="24"/>
      <c r="AD29" s="276" t="s">
        <v>62</v>
      </c>
      <c r="AE29" s="58"/>
      <c r="AF29" s="386">
        <v>45402</v>
      </c>
      <c r="AG29" s="143">
        <v>45474</v>
      </c>
      <c r="AH29" s="143">
        <v>45474</v>
      </c>
      <c r="AI29" s="386">
        <v>45494</v>
      </c>
      <c r="AJ29" s="58" t="s">
        <v>63</v>
      </c>
      <c r="AL29" s="386">
        <v>45475</v>
      </c>
    </row>
    <row r="30" spans="1:40" ht="22.8" x14ac:dyDescent="0.25">
      <c r="A30" s="28">
        <v>29</v>
      </c>
      <c r="B30" s="20">
        <v>37343</v>
      </c>
      <c r="C30" s="27" t="s">
        <v>64</v>
      </c>
      <c r="D30" s="3" t="s">
        <v>2121</v>
      </c>
      <c r="E30" s="20" t="s">
        <v>2458</v>
      </c>
      <c r="F30" s="29" t="s">
        <v>2093</v>
      </c>
      <c r="G30" s="29" t="s">
        <v>15</v>
      </c>
      <c r="H30" s="19">
        <v>43890</v>
      </c>
      <c r="I30" s="3">
        <v>708</v>
      </c>
      <c r="J30" s="3" t="s">
        <v>58</v>
      </c>
      <c r="K30" s="37" t="s">
        <v>59</v>
      </c>
      <c r="L30" s="33" t="s">
        <v>63</v>
      </c>
      <c r="M30" s="16" t="s">
        <v>60</v>
      </c>
      <c r="N30" s="33">
        <v>44176</v>
      </c>
      <c r="O30" s="33">
        <v>44177</v>
      </c>
      <c r="P30" s="33"/>
      <c r="Q30" s="16" t="s">
        <v>75</v>
      </c>
      <c r="R30" s="16" t="s">
        <v>75</v>
      </c>
      <c r="S30" s="16" t="s">
        <v>68</v>
      </c>
      <c r="T30" s="16" t="s">
        <v>68</v>
      </c>
      <c r="U30" s="16" t="s">
        <v>68</v>
      </c>
      <c r="V30" s="16" t="s">
        <v>68</v>
      </c>
      <c r="W30" s="37" t="s">
        <v>68</v>
      </c>
      <c r="X30" s="16"/>
      <c r="Y30" s="16"/>
      <c r="Z30" s="432"/>
      <c r="AA30" s="432"/>
      <c r="AB30" s="24"/>
      <c r="AC30" s="24"/>
      <c r="AD30" s="276" t="s">
        <v>68</v>
      </c>
      <c r="AE30" s="58"/>
      <c r="AF30" s="343">
        <v>45348</v>
      </c>
      <c r="AG30" s="386">
        <v>45468</v>
      </c>
      <c r="AH30" s="386">
        <v>45468</v>
      </c>
      <c r="AI30" s="386">
        <v>45581</v>
      </c>
      <c r="AJ30" s="276" t="s">
        <v>68</v>
      </c>
      <c r="AK30" s="386">
        <v>45475</v>
      </c>
      <c r="AL30" s="386">
        <v>45348</v>
      </c>
      <c r="AM30" s="386">
        <v>45529</v>
      </c>
    </row>
    <row r="31" spans="1:40" ht="22.8" x14ac:dyDescent="0.25">
      <c r="A31" s="28">
        <v>30</v>
      </c>
      <c r="B31" s="20">
        <v>37343</v>
      </c>
      <c r="C31" s="27" t="s">
        <v>54</v>
      </c>
      <c r="D31" s="3" t="s">
        <v>2122</v>
      </c>
      <c r="E31" s="20" t="s">
        <v>2458</v>
      </c>
      <c r="F31" s="29" t="s">
        <v>2093</v>
      </c>
      <c r="G31" s="29" t="s">
        <v>15</v>
      </c>
      <c r="H31" s="19">
        <v>43890</v>
      </c>
      <c r="I31" s="3">
        <v>707</v>
      </c>
      <c r="J31" s="3" t="s">
        <v>58</v>
      </c>
      <c r="K31" s="37" t="s">
        <v>59</v>
      </c>
      <c r="L31" s="33" t="s">
        <v>63</v>
      </c>
      <c r="M31" s="16" t="s">
        <v>60</v>
      </c>
      <c r="N31" s="33">
        <v>44176</v>
      </c>
      <c r="O31" s="33">
        <v>44177</v>
      </c>
      <c r="P31" s="33"/>
      <c r="Q31" s="16" t="s">
        <v>75</v>
      </c>
      <c r="R31" s="16" t="s">
        <v>75</v>
      </c>
      <c r="S31" s="16" t="s">
        <v>62</v>
      </c>
      <c r="T31" s="16" t="s">
        <v>62</v>
      </c>
      <c r="U31" s="16" t="s">
        <v>62</v>
      </c>
      <c r="V31" s="16" t="s">
        <v>62</v>
      </c>
      <c r="W31" s="37" t="s">
        <v>62</v>
      </c>
      <c r="X31" s="16"/>
      <c r="Y31" s="16"/>
      <c r="Z31" s="432"/>
      <c r="AA31" s="432"/>
      <c r="AB31" s="24" t="s">
        <v>2464</v>
      </c>
      <c r="AC31" s="24"/>
      <c r="AD31" s="276" t="s">
        <v>62</v>
      </c>
      <c r="AE31" s="58"/>
      <c r="AF31" s="343">
        <v>45348</v>
      </c>
      <c r="AG31" s="386">
        <v>45468</v>
      </c>
      <c r="AH31" s="386">
        <v>45468</v>
      </c>
      <c r="AI31" s="386">
        <v>45581</v>
      </c>
      <c r="AJ31" s="276" t="s">
        <v>62</v>
      </c>
      <c r="AK31" s="386">
        <v>45475</v>
      </c>
      <c r="AL31" s="386">
        <v>45348</v>
      </c>
      <c r="AM31" s="386">
        <v>45529</v>
      </c>
    </row>
    <row r="32" spans="1:40" ht="22.8" x14ac:dyDescent="0.25">
      <c r="A32" s="28">
        <v>31</v>
      </c>
      <c r="B32" s="20">
        <v>37345</v>
      </c>
      <c r="C32" s="27" t="s">
        <v>64</v>
      </c>
      <c r="D32" s="3" t="s">
        <v>2123</v>
      </c>
      <c r="E32" s="20" t="s">
        <v>2458</v>
      </c>
      <c r="F32" s="29" t="s">
        <v>2093</v>
      </c>
      <c r="G32" s="29" t="s">
        <v>15</v>
      </c>
      <c r="H32" s="19">
        <v>43895</v>
      </c>
      <c r="I32" s="3">
        <v>686</v>
      </c>
      <c r="J32" s="3" t="s">
        <v>58</v>
      </c>
      <c r="K32" s="37" t="s">
        <v>59</v>
      </c>
      <c r="L32" s="33">
        <v>44345</v>
      </c>
      <c r="M32" s="16" t="s">
        <v>60</v>
      </c>
      <c r="N32" s="33">
        <v>44182</v>
      </c>
      <c r="O32" s="33"/>
      <c r="P32" s="33"/>
      <c r="Q32" s="16" t="s">
        <v>75</v>
      </c>
      <c r="R32" s="16" t="s">
        <v>75</v>
      </c>
      <c r="S32" s="16" t="s">
        <v>68</v>
      </c>
      <c r="T32" s="16" t="s">
        <v>68</v>
      </c>
      <c r="U32" s="16"/>
      <c r="V32" s="16" t="s">
        <v>68</v>
      </c>
      <c r="W32" s="16" t="s">
        <v>68</v>
      </c>
      <c r="X32" s="16"/>
      <c r="Y32" s="16"/>
      <c r="Z32" s="432"/>
      <c r="AA32" s="432"/>
      <c r="AB32" s="1116" t="s">
        <v>2465</v>
      </c>
      <c r="AC32" s="24"/>
      <c r="AD32" s="276" t="s">
        <v>68</v>
      </c>
      <c r="AE32" s="58"/>
      <c r="AF32" s="386">
        <v>45424</v>
      </c>
      <c r="AG32" s="386">
        <v>45474</v>
      </c>
      <c r="AH32" s="386">
        <v>45474</v>
      </c>
      <c r="AI32" s="343">
        <v>45636</v>
      </c>
      <c r="AJ32" s="58" t="s">
        <v>63</v>
      </c>
      <c r="AK32" s="343">
        <v>45636</v>
      </c>
      <c r="AM32" s="386">
        <v>45522</v>
      </c>
      <c r="AN32" s="381"/>
    </row>
    <row r="33" spans="1:40" ht="22.8" x14ac:dyDescent="0.25">
      <c r="A33" s="28">
        <v>32</v>
      </c>
      <c r="B33" s="20">
        <v>37345</v>
      </c>
      <c r="C33" s="27" t="s">
        <v>54</v>
      </c>
      <c r="D33" s="3" t="s">
        <v>2124</v>
      </c>
      <c r="E33" s="20" t="s">
        <v>2458</v>
      </c>
      <c r="F33" s="29" t="s">
        <v>2093</v>
      </c>
      <c r="G33" s="29" t="s">
        <v>15</v>
      </c>
      <c r="H33" s="19">
        <v>43895</v>
      </c>
      <c r="I33" s="3">
        <v>563</v>
      </c>
      <c r="J33" s="3" t="s">
        <v>58</v>
      </c>
      <c r="K33" s="37" t="s">
        <v>59</v>
      </c>
      <c r="L33" s="33">
        <v>44345</v>
      </c>
      <c r="M33" s="16" t="s">
        <v>60</v>
      </c>
      <c r="N33" s="33">
        <v>44182</v>
      </c>
      <c r="O33" s="33"/>
      <c r="P33" s="33"/>
      <c r="Q33" s="16" t="s">
        <v>75</v>
      </c>
      <c r="R33" s="16" t="s">
        <v>75</v>
      </c>
      <c r="S33" s="16" t="s">
        <v>62</v>
      </c>
      <c r="T33" s="16" t="s">
        <v>62</v>
      </c>
      <c r="U33" s="16"/>
      <c r="V33" s="16" t="s">
        <v>62</v>
      </c>
      <c r="W33" s="16" t="s">
        <v>62</v>
      </c>
      <c r="X33" s="16"/>
      <c r="Y33" s="16"/>
      <c r="Z33" s="432"/>
      <c r="AA33" s="432"/>
      <c r="AB33" s="24"/>
      <c r="AC33" s="24"/>
      <c r="AD33" s="276" t="s">
        <v>62</v>
      </c>
      <c r="AE33" s="58"/>
      <c r="AF33" s="386">
        <v>45424</v>
      </c>
      <c r="AG33" s="386">
        <v>45474</v>
      </c>
      <c r="AH33" s="386">
        <v>45474</v>
      </c>
      <c r="AI33" s="343">
        <v>45636</v>
      </c>
      <c r="AJ33" s="58" t="s">
        <v>63</v>
      </c>
      <c r="AK33" s="343">
        <v>45636</v>
      </c>
      <c r="AM33" s="386">
        <v>45522</v>
      </c>
      <c r="AN33" s="381"/>
    </row>
    <row r="34" spans="1:40" ht="22.8" x14ac:dyDescent="0.25">
      <c r="A34" s="28">
        <v>33</v>
      </c>
      <c r="B34" s="20">
        <v>37347</v>
      </c>
      <c r="C34" s="27" t="s">
        <v>64</v>
      </c>
      <c r="D34" s="24" t="s">
        <v>2125</v>
      </c>
      <c r="E34" s="20" t="s">
        <v>2458</v>
      </c>
      <c r="F34" s="29" t="s">
        <v>2093</v>
      </c>
      <c r="G34" s="29" t="s">
        <v>15</v>
      </c>
      <c r="H34" s="19">
        <v>43897</v>
      </c>
      <c r="I34" s="3">
        <v>556</v>
      </c>
      <c r="J34" s="3" t="s">
        <v>58</v>
      </c>
      <c r="K34" s="37" t="s">
        <v>59</v>
      </c>
      <c r="L34" s="33">
        <v>44415</v>
      </c>
      <c r="M34" s="16" t="s">
        <v>60</v>
      </c>
      <c r="N34" s="33">
        <v>44173</v>
      </c>
      <c r="O34" s="33">
        <v>44055</v>
      </c>
      <c r="P34" s="33"/>
      <c r="Q34" s="16" t="s">
        <v>75</v>
      </c>
      <c r="R34" s="16" t="s">
        <v>75</v>
      </c>
      <c r="S34" s="16" t="s">
        <v>68</v>
      </c>
      <c r="T34" s="16" t="s">
        <v>68</v>
      </c>
      <c r="U34" s="16"/>
      <c r="V34" s="16" t="s">
        <v>68</v>
      </c>
      <c r="W34" s="16" t="s">
        <v>68</v>
      </c>
      <c r="X34" s="16"/>
      <c r="Y34" s="16"/>
      <c r="Z34" s="432"/>
      <c r="AA34" s="432"/>
      <c r="AB34" s="24"/>
      <c r="AC34" s="24"/>
      <c r="AD34" s="281">
        <v>44691</v>
      </c>
      <c r="AE34" s="58"/>
      <c r="AF34" s="343">
        <v>45350</v>
      </c>
      <c r="AG34" s="143">
        <v>45488</v>
      </c>
      <c r="AH34" s="143">
        <v>45488</v>
      </c>
      <c r="AI34" s="386">
        <v>45272</v>
      </c>
      <c r="AJ34" s="58" t="s">
        <v>63</v>
      </c>
      <c r="AL34" s="386">
        <v>45350</v>
      </c>
    </row>
    <row r="35" spans="1:40" ht="22.8" x14ac:dyDescent="0.25">
      <c r="A35" s="28">
        <v>34</v>
      </c>
      <c r="B35" s="20">
        <v>37347</v>
      </c>
      <c r="C35" s="27" t="s">
        <v>54</v>
      </c>
      <c r="D35" s="24" t="s">
        <v>2126</v>
      </c>
      <c r="E35" s="20" t="s">
        <v>2458</v>
      </c>
      <c r="F35" s="29" t="s">
        <v>2093</v>
      </c>
      <c r="G35" s="29" t="s">
        <v>15</v>
      </c>
      <c r="H35" s="19">
        <v>43897</v>
      </c>
      <c r="I35" s="3">
        <v>687</v>
      </c>
      <c r="J35" s="3" t="s">
        <v>58</v>
      </c>
      <c r="K35" s="37" t="s">
        <v>59</v>
      </c>
      <c r="L35" s="33">
        <v>44410</v>
      </c>
      <c r="M35" s="16" t="s">
        <v>60</v>
      </c>
      <c r="N35" s="33">
        <v>44173</v>
      </c>
      <c r="O35" s="33">
        <v>44055</v>
      </c>
      <c r="P35" s="33"/>
      <c r="Q35" s="16" t="s">
        <v>75</v>
      </c>
      <c r="R35" s="16" t="s">
        <v>75</v>
      </c>
      <c r="S35" s="16" t="s">
        <v>62</v>
      </c>
      <c r="T35" s="16" t="s">
        <v>62</v>
      </c>
      <c r="U35" s="16"/>
      <c r="V35" s="16" t="s">
        <v>62</v>
      </c>
      <c r="W35" s="16" t="s">
        <v>62</v>
      </c>
      <c r="X35" s="16"/>
      <c r="Y35" s="16"/>
      <c r="Z35" s="432"/>
      <c r="AA35" s="432"/>
      <c r="AB35" s="24" t="s">
        <v>2466</v>
      </c>
      <c r="AC35" s="24"/>
      <c r="AD35" s="281">
        <v>44691</v>
      </c>
      <c r="AE35" s="58"/>
      <c r="AF35" s="343">
        <v>45350</v>
      </c>
      <c r="AG35" s="143">
        <v>45488</v>
      </c>
      <c r="AH35" s="143">
        <v>45488</v>
      </c>
      <c r="AI35" s="386">
        <v>45272</v>
      </c>
      <c r="AJ35" s="58" t="s">
        <v>63</v>
      </c>
      <c r="AL35" s="386">
        <v>45350</v>
      </c>
    </row>
    <row r="36" spans="1:40" ht="22.8" x14ac:dyDescent="0.25">
      <c r="A36" s="28">
        <v>35</v>
      </c>
      <c r="B36" s="20">
        <v>37410</v>
      </c>
      <c r="C36" s="27" t="s">
        <v>64</v>
      </c>
      <c r="D36" s="56" t="s">
        <v>2127</v>
      </c>
      <c r="E36" s="20" t="s">
        <v>2458</v>
      </c>
      <c r="F36" s="29" t="s">
        <v>2093</v>
      </c>
      <c r="G36" s="29" t="s">
        <v>15</v>
      </c>
      <c r="H36" s="19">
        <v>44041</v>
      </c>
      <c r="I36" s="3">
        <v>854</v>
      </c>
      <c r="J36" s="3" t="s">
        <v>58</v>
      </c>
      <c r="K36" s="37" t="s">
        <v>59</v>
      </c>
      <c r="L36" s="33">
        <v>44196</v>
      </c>
      <c r="M36" s="41" t="s">
        <v>60</v>
      </c>
      <c r="N36" s="40">
        <v>44196</v>
      </c>
      <c r="O36" s="33"/>
      <c r="P36" s="33"/>
      <c r="Q36" s="16" t="s">
        <v>75</v>
      </c>
      <c r="R36" s="16" t="s">
        <v>75</v>
      </c>
      <c r="S36" s="37" t="s">
        <v>68</v>
      </c>
      <c r="T36" s="16" t="s">
        <v>68</v>
      </c>
      <c r="U36" s="16" t="s">
        <v>68</v>
      </c>
      <c r="V36" s="16" t="s">
        <v>68</v>
      </c>
      <c r="W36" s="16"/>
      <c r="X36" s="16" t="s">
        <v>75</v>
      </c>
      <c r="Y36" s="16"/>
      <c r="Z36" s="432"/>
      <c r="AA36" s="432"/>
      <c r="AB36" s="24"/>
      <c r="AC36" s="24"/>
      <c r="AD36" s="281">
        <v>44681</v>
      </c>
      <c r="AE36" s="58"/>
      <c r="AF36" s="386">
        <v>45400</v>
      </c>
      <c r="AG36" s="386">
        <v>45493</v>
      </c>
      <c r="AH36" s="386">
        <v>45493</v>
      </c>
      <c r="AI36" s="386">
        <v>45498</v>
      </c>
      <c r="AJ36" s="58" t="s">
        <v>63</v>
      </c>
    </row>
    <row r="37" spans="1:40" ht="22.8" x14ac:dyDescent="0.25">
      <c r="A37" s="28">
        <v>36</v>
      </c>
      <c r="B37" s="20">
        <v>37410</v>
      </c>
      <c r="C37" s="27" t="s">
        <v>54</v>
      </c>
      <c r="D37" s="56" t="s">
        <v>2128</v>
      </c>
      <c r="E37" s="20" t="s">
        <v>2458</v>
      </c>
      <c r="F37" s="29" t="s">
        <v>2093</v>
      </c>
      <c r="G37" s="29" t="s">
        <v>15</v>
      </c>
      <c r="H37" s="19">
        <v>44041</v>
      </c>
      <c r="I37" s="3">
        <v>720</v>
      </c>
      <c r="J37" s="3" t="s">
        <v>58</v>
      </c>
      <c r="K37" s="37" t="s">
        <v>59</v>
      </c>
      <c r="L37" s="33">
        <v>44196</v>
      </c>
      <c r="M37" s="41" t="s">
        <v>60</v>
      </c>
      <c r="N37" s="40">
        <v>44196</v>
      </c>
      <c r="O37" s="33"/>
      <c r="P37" s="33"/>
      <c r="Q37" s="16" t="s">
        <v>75</v>
      </c>
      <c r="R37" s="16" t="s">
        <v>75</v>
      </c>
      <c r="S37" s="37" t="s">
        <v>62</v>
      </c>
      <c r="T37" s="16" t="s">
        <v>62</v>
      </c>
      <c r="U37" s="16" t="s">
        <v>62</v>
      </c>
      <c r="V37" s="16" t="s">
        <v>62</v>
      </c>
      <c r="W37" s="16"/>
      <c r="X37" s="16"/>
      <c r="Y37" s="16"/>
      <c r="Z37" s="432"/>
      <c r="AA37" s="432"/>
      <c r="AB37" s="24"/>
      <c r="AC37" s="24"/>
      <c r="AD37" s="281">
        <v>44681</v>
      </c>
      <c r="AE37" s="58"/>
      <c r="AF37" s="386">
        <v>45400</v>
      </c>
      <c r="AG37" s="386">
        <v>45493</v>
      </c>
      <c r="AH37" s="386">
        <v>45493</v>
      </c>
      <c r="AI37" s="386">
        <v>45498</v>
      </c>
      <c r="AJ37" s="58" t="s">
        <v>63</v>
      </c>
    </row>
    <row r="38" spans="1:40" ht="22.8" x14ac:dyDescent="0.25">
      <c r="A38" s="28">
        <v>37</v>
      </c>
      <c r="B38" s="20">
        <v>37412</v>
      </c>
      <c r="C38" s="27" t="s">
        <v>64</v>
      </c>
      <c r="D38" s="56" t="s">
        <v>2129</v>
      </c>
      <c r="E38" s="20" t="s">
        <v>1933</v>
      </c>
      <c r="F38" s="29" t="s">
        <v>2093</v>
      </c>
      <c r="G38" s="29" t="s">
        <v>15</v>
      </c>
      <c r="H38" s="19">
        <v>44062</v>
      </c>
      <c r="I38" s="3">
        <v>816</v>
      </c>
      <c r="J38" s="3" t="s">
        <v>58</v>
      </c>
      <c r="K38" s="37" t="s">
        <v>59</v>
      </c>
      <c r="L38" s="33">
        <v>44125</v>
      </c>
      <c r="M38" s="41" t="s">
        <v>999</v>
      </c>
      <c r="N38" s="40"/>
      <c r="O38" s="33"/>
      <c r="P38" s="33"/>
      <c r="Q38" s="16" t="s">
        <v>75</v>
      </c>
      <c r="R38" s="16" t="s">
        <v>75</v>
      </c>
      <c r="S38" s="37" t="s">
        <v>68</v>
      </c>
      <c r="T38" s="16" t="s">
        <v>68</v>
      </c>
      <c r="U38" s="37" t="s">
        <v>68</v>
      </c>
      <c r="V38" s="16"/>
      <c r="W38" s="16" t="s">
        <v>68</v>
      </c>
      <c r="X38" s="16" t="s">
        <v>75</v>
      </c>
      <c r="Y38" s="16"/>
      <c r="Z38" s="432"/>
      <c r="AA38" s="432"/>
      <c r="AB38" s="24"/>
      <c r="AC38" s="24"/>
      <c r="AD38" s="276" t="s">
        <v>68</v>
      </c>
      <c r="AE38" s="343">
        <v>45513</v>
      </c>
      <c r="AF38" s="343">
        <v>45293</v>
      </c>
      <c r="AG38" s="343">
        <v>45514</v>
      </c>
      <c r="AH38" s="343">
        <v>45514</v>
      </c>
      <c r="AI38" s="386">
        <v>45628</v>
      </c>
      <c r="AJ38" s="381" t="s">
        <v>63</v>
      </c>
      <c r="AK38" s="386">
        <v>45513</v>
      </c>
      <c r="AL38" s="386">
        <v>45513</v>
      </c>
      <c r="AM38" s="343"/>
    </row>
    <row r="39" spans="1:40" ht="22.8" x14ac:dyDescent="0.25">
      <c r="A39" s="28">
        <v>38</v>
      </c>
      <c r="B39" s="20">
        <v>37412</v>
      </c>
      <c r="C39" s="27" t="s">
        <v>54</v>
      </c>
      <c r="D39" s="56" t="s">
        <v>2130</v>
      </c>
      <c r="E39" s="20" t="s">
        <v>1933</v>
      </c>
      <c r="F39" s="29" t="s">
        <v>2093</v>
      </c>
      <c r="G39" s="29" t="s">
        <v>15</v>
      </c>
      <c r="H39" s="19">
        <v>44062</v>
      </c>
      <c r="I39" s="3">
        <v>817</v>
      </c>
      <c r="J39" s="3" t="s">
        <v>58</v>
      </c>
      <c r="K39" s="37" t="s">
        <v>59</v>
      </c>
      <c r="L39" s="33">
        <v>44125</v>
      </c>
      <c r="M39" s="41" t="s">
        <v>999</v>
      </c>
      <c r="N39" s="40"/>
      <c r="O39" s="33"/>
      <c r="P39" s="33"/>
      <c r="Q39" s="16" t="s">
        <v>75</v>
      </c>
      <c r="R39" s="16" t="s">
        <v>75</v>
      </c>
      <c r="S39" s="37" t="s">
        <v>62</v>
      </c>
      <c r="T39" s="16" t="s">
        <v>62</v>
      </c>
      <c r="U39" s="37" t="s">
        <v>62</v>
      </c>
      <c r="V39" s="16"/>
      <c r="W39" s="16" t="s">
        <v>62</v>
      </c>
      <c r="X39" s="16" t="s">
        <v>75</v>
      </c>
      <c r="Y39" s="16"/>
      <c r="Z39" s="432"/>
      <c r="AA39" s="432"/>
      <c r="AB39" s="24"/>
      <c r="AC39" s="24"/>
      <c r="AD39" s="276" t="s">
        <v>62</v>
      </c>
      <c r="AE39" s="343">
        <v>45513</v>
      </c>
      <c r="AF39" s="343">
        <v>45293</v>
      </c>
      <c r="AG39" s="343">
        <v>45514</v>
      </c>
      <c r="AH39" s="343">
        <v>45514</v>
      </c>
      <c r="AI39" s="386">
        <v>45628</v>
      </c>
      <c r="AJ39" s="381" t="s">
        <v>63</v>
      </c>
      <c r="AK39" s="386">
        <v>45513</v>
      </c>
      <c r="AL39" s="386">
        <v>45513</v>
      </c>
    </row>
    <row r="40" spans="1:40" ht="22.8" x14ac:dyDescent="0.25">
      <c r="A40" s="28">
        <v>39</v>
      </c>
      <c r="B40" s="20">
        <v>37414</v>
      </c>
      <c r="C40" s="27" t="s">
        <v>64</v>
      </c>
      <c r="D40" s="56" t="s">
        <v>2131</v>
      </c>
      <c r="E40" s="20" t="s">
        <v>1933</v>
      </c>
      <c r="F40" s="29" t="s">
        <v>2093</v>
      </c>
      <c r="G40" s="29" t="s">
        <v>15</v>
      </c>
      <c r="H40" s="19">
        <v>44049</v>
      </c>
      <c r="I40" s="3">
        <v>719</v>
      </c>
      <c r="J40" s="3" t="s">
        <v>58</v>
      </c>
      <c r="K40" s="37" t="s">
        <v>59</v>
      </c>
      <c r="L40" s="33">
        <v>44415</v>
      </c>
      <c r="M40" s="41" t="s">
        <v>60</v>
      </c>
      <c r="N40" s="40">
        <v>44183</v>
      </c>
      <c r="O40" s="33"/>
      <c r="P40" s="33"/>
      <c r="Q40" s="16" t="s">
        <v>75</v>
      </c>
      <c r="R40" s="16" t="s">
        <v>75</v>
      </c>
      <c r="S40" s="37" t="s">
        <v>68</v>
      </c>
      <c r="T40" s="16" t="s">
        <v>68</v>
      </c>
      <c r="U40" s="37" t="s">
        <v>68</v>
      </c>
      <c r="V40" s="16"/>
      <c r="W40" s="16" t="s">
        <v>68</v>
      </c>
      <c r="X40" s="16"/>
      <c r="Y40" s="16"/>
      <c r="Z40" s="432"/>
      <c r="AA40" s="432"/>
      <c r="AB40" s="24"/>
      <c r="AC40" s="24"/>
      <c r="AD40" s="276" t="s">
        <v>68</v>
      </c>
      <c r="AE40" s="343">
        <v>45533</v>
      </c>
      <c r="AF40" s="343">
        <v>45317</v>
      </c>
      <c r="AG40" s="343">
        <v>45533</v>
      </c>
      <c r="AH40" s="343">
        <v>45533</v>
      </c>
      <c r="AI40" s="343">
        <v>45533</v>
      </c>
      <c r="AJ40" s="381" t="s">
        <v>63</v>
      </c>
      <c r="AK40" s="343">
        <v>45533</v>
      </c>
      <c r="AL40" s="343">
        <v>45533</v>
      </c>
      <c r="AM40" s="343">
        <v>45533</v>
      </c>
      <c r="AN40" s="381"/>
    </row>
    <row r="41" spans="1:40" ht="22.8" x14ac:dyDescent="0.25">
      <c r="A41" s="28">
        <v>40</v>
      </c>
      <c r="B41" s="20">
        <v>37414</v>
      </c>
      <c r="C41" s="27" t="s">
        <v>54</v>
      </c>
      <c r="D41" s="56" t="s">
        <v>2132</v>
      </c>
      <c r="E41" s="20" t="s">
        <v>1933</v>
      </c>
      <c r="F41" s="29" t="s">
        <v>2093</v>
      </c>
      <c r="G41" s="29" t="s">
        <v>15</v>
      </c>
      <c r="H41" s="19">
        <v>44049</v>
      </c>
      <c r="I41" s="3">
        <v>784</v>
      </c>
      <c r="J41" s="3" t="s">
        <v>58</v>
      </c>
      <c r="K41" s="37" t="s">
        <v>59</v>
      </c>
      <c r="L41" s="33">
        <v>44415</v>
      </c>
      <c r="M41" s="41" t="s">
        <v>60</v>
      </c>
      <c r="N41" s="40">
        <v>44183</v>
      </c>
      <c r="O41" s="33"/>
      <c r="P41" s="33"/>
      <c r="Q41" s="16" t="s">
        <v>75</v>
      </c>
      <c r="R41" s="16" t="s">
        <v>75</v>
      </c>
      <c r="S41" s="37" t="s">
        <v>62</v>
      </c>
      <c r="T41" s="16" t="s">
        <v>62</v>
      </c>
      <c r="U41" s="37" t="s">
        <v>62</v>
      </c>
      <c r="V41" s="16"/>
      <c r="W41" s="16" t="s">
        <v>62</v>
      </c>
      <c r="X41" s="16" t="s">
        <v>75</v>
      </c>
      <c r="Y41" s="16"/>
      <c r="Z41" s="432"/>
      <c r="AA41" s="432"/>
      <c r="AB41" s="24" t="s">
        <v>2467</v>
      </c>
      <c r="AC41" s="24"/>
      <c r="AD41" s="276" t="s">
        <v>62</v>
      </c>
      <c r="AE41" s="343">
        <v>45533</v>
      </c>
      <c r="AF41" s="343">
        <v>45317</v>
      </c>
      <c r="AG41" s="343">
        <v>45533</v>
      </c>
      <c r="AH41" s="343">
        <v>45533</v>
      </c>
      <c r="AI41" s="343">
        <v>45533</v>
      </c>
      <c r="AJ41" s="381" t="s">
        <v>63</v>
      </c>
      <c r="AK41" s="343">
        <v>45533</v>
      </c>
      <c r="AL41" s="343">
        <v>45533</v>
      </c>
      <c r="AM41" s="343">
        <v>45533</v>
      </c>
      <c r="AN41" s="381"/>
    </row>
    <row r="42" spans="1:40" ht="22.8" x14ac:dyDescent="0.25">
      <c r="A42" s="28">
        <v>41</v>
      </c>
      <c r="B42" s="20">
        <v>37454</v>
      </c>
      <c r="C42" s="27" t="s">
        <v>64</v>
      </c>
      <c r="D42" s="24" t="s">
        <v>2133</v>
      </c>
      <c r="E42" s="20" t="s">
        <v>1933</v>
      </c>
      <c r="F42" s="29" t="s">
        <v>2093</v>
      </c>
      <c r="G42" s="29" t="s">
        <v>15</v>
      </c>
      <c r="H42" s="19">
        <v>44201</v>
      </c>
      <c r="I42" s="3">
        <v>844</v>
      </c>
      <c r="J42" s="3" t="s">
        <v>58</v>
      </c>
      <c r="K42" s="37" t="s">
        <v>59</v>
      </c>
      <c r="L42" s="33">
        <v>44398</v>
      </c>
      <c r="M42" s="16" t="s">
        <v>60</v>
      </c>
      <c r="N42" s="33">
        <v>44187</v>
      </c>
      <c r="O42" s="33">
        <v>44197</v>
      </c>
      <c r="P42" s="33"/>
      <c r="Q42" s="16" t="s">
        <v>75</v>
      </c>
      <c r="R42" s="16" t="s">
        <v>75</v>
      </c>
      <c r="S42" s="16" t="s">
        <v>68</v>
      </c>
      <c r="T42" s="16" t="s">
        <v>68</v>
      </c>
      <c r="U42" s="37" t="s">
        <v>68</v>
      </c>
      <c r="V42" s="16"/>
      <c r="W42" s="16" t="s">
        <v>68</v>
      </c>
      <c r="X42" s="16" t="s">
        <v>75</v>
      </c>
      <c r="Y42" s="16"/>
      <c r="Z42" s="432"/>
      <c r="AA42" s="432"/>
      <c r="AB42" s="24"/>
      <c r="AC42" s="24"/>
      <c r="AD42" s="281">
        <v>44697</v>
      </c>
      <c r="AE42" s="343">
        <v>45500</v>
      </c>
      <c r="AF42" s="343">
        <v>45306</v>
      </c>
      <c r="AG42" s="343">
        <v>45468</v>
      </c>
      <c r="AH42" s="343">
        <v>45468</v>
      </c>
      <c r="AI42" s="382">
        <v>45468</v>
      </c>
      <c r="AJ42" s="58" t="s">
        <v>63</v>
      </c>
      <c r="AK42" s="386">
        <v>45496</v>
      </c>
      <c r="AL42" s="386">
        <v>45496</v>
      </c>
      <c r="AM42" s="343">
        <v>45496</v>
      </c>
      <c r="AN42" s="381"/>
    </row>
    <row r="43" spans="1:40" ht="22.8" x14ac:dyDescent="0.25">
      <c r="A43" s="28">
        <v>42</v>
      </c>
      <c r="B43" s="20">
        <v>37454</v>
      </c>
      <c r="C43" s="27" t="s">
        <v>54</v>
      </c>
      <c r="D43" s="24" t="s">
        <v>2134</v>
      </c>
      <c r="E43" s="20" t="s">
        <v>1933</v>
      </c>
      <c r="F43" s="29" t="s">
        <v>2093</v>
      </c>
      <c r="G43" s="29" t="s">
        <v>15</v>
      </c>
      <c r="H43" s="19">
        <v>44201</v>
      </c>
      <c r="I43" s="3">
        <v>845</v>
      </c>
      <c r="J43" s="3" t="s">
        <v>58</v>
      </c>
      <c r="K43" s="37" t="s">
        <v>59</v>
      </c>
      <c r="L43" s="33">
        <v>44398</v>
      </c>
      <c r="M43" s="16" t="s">
        <v>60</v>
      </c>
      <c r="N43" s="33">
        <v>44187</v>
      </c>
      <c r="O43" s="33">
        <v>44197</v>
      </c>
      <c r="P43" s="33"/>
      <c r="Q43" s="16" t="s">
        <v>75</v>
      </c>
      <c r="R43" s="16" t="s">
        <v>75</v>
      </c>
      <c r="S43" s="16" t="s">
        <v>62</v>
      </c>
      <c r="T43" s="16" t="s">
        <v>62</v>
      </c>
      <c r="U43" s="37" t="s">
        <v>62</v>
      </c>
      <c r="V43" s="16"/>
      <c r="W43" s="16" t="s">
        <v>62</v>
      </c>
      <c r="X43" s="16" t="s">
        <v>75</v>
      </c>
      <c r="Y43" s="16"/>
      <c r="Z43" s="432"/>
      <c r="AA43" s="432"/>
      <c r="AB43" s="24"/>
      <c r="AC43" s="24"/>
      <c r="AD43" s="281">
        <v>44697</v>
      </c>
      <c r="AE43" s="343">
        <v>45500</v>
      </c>
      <c r="AF43" s="343">
        <v>45306</v>
      </c>
      <c r="AG43" s="343">
        <v>45468</v>
      </c>
      <c r="AH43" s="343">
        <v>45468</v>
      </c>
      <c r="AI43" s="382">
        <v>45468</v>
      </c>
      <c r="AJ43" s="58" t="s">
        <v>63</v>
      </c>
      <c r="AK43" s="386">
        <v>45496</v>
      </c>
      <c r="AL43" s="386">
        <v>45496</v>
      </c>
      <c r="AM43" s="343">
        <v>45496</v>
      </c>
    </row>
    <row r="44" spans="1:40" ht="22.8" x14ac:dyDescent="0.25">
      <c r="A44" s="28">
        <v>43</v>
      </c>
      <c r="B44" s="20">
        <v>37561</v>
      </c>
      <c r="C44" s="27" t="s">
        <v>64</v>
      </c>
      <c r="D44" s="20" t="s">
        <v>2135</v>
      </c>
      <c r="E44" s="20" t="s">
        <v>1933</v>
      </c>
      <c r="F44" s="29" t="s">
        <v>2093</v>
      </c>
      <c r="G44" s="29" t="s">
        <v>15</v>
      </c>
      <c r="H44" s="19">
        <v>44277</v>
      </c>
      <c r="I44" s="3">
        <v>860</v>
      </c>
      <c r="J44" s="3" t="s">
        <v>58</v>
      </c>
      <c r="K44" s="37" t="s">
        <v>59</v>
      </c>
      <c r="L44" s="33" t="s">
        <v>63</v>
      </c>
      <c r="M44" s="16" t="s">
        <v>60</v>
      </c>
      <c r="N44" s="33" t="s">
        <v>63</v>
      </c>
      <c r="O44" s="33"/>
      <c r="P44" s="33"/>
      <c r="Q44" s="16" t="s">
        <v>75</v>
      </c>
      <c r="R44" s="16" t="s">
        <v>75</v>
      </c>
      <c r="S44" s="16" t="s">
        <v>68</v>
      </c>
      <c r="T44" s="16" t="s">
        <v>68</v>
      </c>
      <c r="U44" s="16" t="s">
        <v>68</v>
      </c>
      <c r="V44" s="37"/>
      <c r="W44" s="16"/>
      <c r="X44" s="16" t="s">
        <v>75</v>
      </c>
      <c r="Y44" s="16"/>
      <c r="Z44" s="432"/>
      <c r="AA44" s="432"/>
      <c r="AB44" s="24"/>
      <c r="AC44" s="24"/>
      <c r="AD44" s="281" t="s">
        <v>68</v>
      </c>
      <c r="AE44" s="343">
        <v>45528</v>
      </c>
      <c r="AF44" s="343">
        <v>45380</v>
      </c>
      <c r="AG44" s="343">
        <v>45527</v>
      </c>
      <c r="AH44" s="343">
        <v>45528</v>
      </c>
      <c r="AI44" s="343">
        <v>45528</v>
      </c>
      <c r="AJ44" s="276" t="s">
        <v>68</v>
      </c>
      <c r="AK44" s="343">
        <v>45528</v>
      </c>
      <c r="AL44" s="343">
        <v>45528</v>
      </c>
      <c r="AM44" s="343">
        <v>45528</v>
      </c>
      <c r="AN44" s="381"/>
    </row>
    <row r="45" spans="1:40" ht="22.8" x14ac:dyDescent="0.25">
      <c r="A45" s="28">
        <v>44</v>
      </c>
      <c r="B45" s="20">
        <v>37561</v>
      </c>
      <c r="C45" s="27" t="s">
        <v>54</v>
      </c>
      <c r="D45" s="20" t="s">
        <v>2136</v>
      </c>
      <c r="E45" s="20" t="s">
        <v>1933</v>
      </c>
      <c r="F45" s="29" t="s">
        <v>2093</v>
      </c>
      <c r="G45" s="29" t="s">
        <v>15</v>
      </c>
      <c r="H45" s="19">
        <v>44277</v>
      </c>
      <c r="I45" s="3">
        <v>861</v>
      </c>
      <c r="J45" s="3" t="s">
        <v>58</v>
      </c>
      <c r="K45" s="37" t="s">
        <v>59</v>
      </c>
      <c r="L45" s="33" t="s">
        <v>63</v>
      </c>
      <c r="M45" s="16" t="s">
        <v>60</v>
      </c>
      <c r="N45" s="33" t="s">
        <v>63</v>
      </c>
      <c r="O45" s="33"/>
      <c r="P45" s="33"/>
      <c r="Q45" s="16" t="s">
        <v>75</v>
      </c>
      <c r="R45" s="16" t="s">
        <v>75</v>
      </c>
      <c r="S45" s="16" t="s">
        <v>62</v>
      </c>
      <c r="T45" s="16" t="s">
        <v>62</v>
      </c>
      <c r="U45" s="16" t="s">
        <v>62</v>
      </c>
      <c r="V45" s="37"/>
      <c r="W45" s="16"/>
      <c r="X45" s="16" t="s">
        <v>75</v>
      </c>
      <c r="Y45" s="16"/>
      <c r="Z45" s="432"/>
      <c r="AA45" s="432"/>
      <c r="AB45" s="24"/>
      <c r="AC45" s="24"/>
      <c r="AD45" s="276" t="s">
        <v>62</v>
      </c>
      <c r="AE45" s="343">
        <v>45528</v>
      </c>
      <c r="AF45" s="343">
        <v>45380</v>
      </c>
      <c r="AG45" s="343">
        <v>45527</v>
      </c>
      <c r="AH45" s="343">
        <v>45528</v>
      </c>
      <c r="AI45" s="343">
        <v>45528</v>
      </c>
      <c r="AJ45" s="276" t="s">
        <v>62</v>
      </c>
      <c r="AK45" s="343">
        <v>45528</v>
      </c>
      <c r="AL45" s="343">
        <v>45528</v>
      </c>
      <c r="AM45" s="343">
        <v>45528</v>
      </c>
    </row>
    <row r="46" spans="1:40" x14ac:dyDescent="0.25">
      <c r="A46" s="28">
        <v>45</v>
      </c>
      <c r="B46" s="20">
        <v>39003</v>
      </c>
      <c r="C46" s="27" t="s">
        <v>64</v>
      </c>
      <c r="D46" s="3" t="s">
        <v>2137</v>
      </c>
      <c r="E46" s="20" t="s">
        <v>1933</v>
      </c>
      <c r="F46" s="29" t="s">
        <v>2093</v>
      </c>
      <c r="G46" s="29" t="s">
        <v>15</v>
      </c>
      <c r="H46" s="19">
        <v>43464</v>
      </c>
      <c r="I46" s="3">
        <v>205</v>
      </c>
      <c r="J46" s="3" t="s">
        <v>58</v>
      </c>
      <c r="K46" s="16" t="s">
        <v>680</v>
      </c>
      <c r="L46" s="33">
        <v>44365</v>
      </c>
      <c r="M46" s="41" t="s">
        <v>60</v>
      </c>
      <c r="N46" s="40">
        <v>44206</v>
      </c>
      <c r="O46" s="33">
        <v>44214</v>
      </c>
      <c r="P46" s="343">
        <v>45582</v>
      </c>
      <c r="Q46" s="37" t="s">
        <v>68</v>
      </c>
      <c r="R46" s="37" t="s">
        <v>68</v>
      </c>
      <c r="S46" s="37" t="s">
        <v>68</v>
      </c>
      <c r="T46" s="37" t="s">
        <v>68</v>
      </c>
      <c r="U46" s="37" t="s">
        <v>68</v>
      </c>
      <c r="V46" s="37" t="s">
        <v>68</v>
      </c>
      <c r="W46" s="37" t="s">
        <v>68</v>
      </c>
      <c r="X46" s="37" t="s">
        <v>68</v>
      </c>
      <c r="Y46" s="16"/>
      <c r="Z46" s="432"/>
      <c r="AA46" s="432"/>
      <c r="AB46" s="24"/>
      <c r="AC46" s="24"/>
      <c r="AD46" s="281">
        <v>44701</v>
      </c>
      <c r="AE46" s="343">
        <v>45483</v>
      </c>
      <c r="AF46" s="343">
        <v>45286</v>
      </c>
      <c r="AG46" s="343">
        <v>45470</v>
      </c>
      <c r="AH46" s="143">
        <v>45469</v>
      </c>
      <c r="AI46" s="143">
        <v>45483</v>
      </c>
      <c r="AJ46" s="58" t="s">
        <v>63</v>
      </c>
      <c r="AK46" s="143">
        <v>45483</v>
      </c>
      <c r="AL46" s="343">
        <v>45483</v>
      </c>
      <c r="AM46" s="343">
        <v>45483</v>
      </c>
    </row>
    <row r="47" spans="1:40" x14ac:dyDescent="0.25">
      <c r="A47" s="28">
        <v>46</v>
      </c>
      <c r="B47" s="20">
        <v>39003</v>
      </c>
      <c r="C47" s="27" t="s">
        <v>54</v>
      </c>
      <c r="D47" s="3" t="s">
        <v>2138</v>
      </c>
      <c r="E47" s="20" t="s">
        <v>1933</v>
      </c>
      <c r="F47" s="29" t="s">
        <v>2093</v>
      </c>
      <c r="G47" s="29" t="s">
        <v>15</v>
      </c>
      <c r="H47" s="19">
        <v>43464</v>
      </c>
      <c r="I47" s="3">
        <v>204</v>
      </c>
      <c r="J47" s="3" t="s">
        <v>58</v>
      </c>
      <c r="K47" s="16" t="s">
        <v>680</v>
      </c>
      <c r="L47" s="33">
        <v>44365</v>
      </c>
      <c r="M47" s="41" t="s">
        <v>60</v>
      </c>
      <c r="N47" s="40">
        <v>44206</v>
      </c>
      <c r="O47" s="33">
        <v>44214</v>
      </c>
      <c r="P47" s="343">
        <v>45582</v>
      </c>
      <c r="Q47" s="37" t="s">
        <v>62</v>
      </c>
      <c r="R47" s="37" t="s">
        <v>62</v>
      </c>
      <c r="S47" s="37" t="s">
        <v>62</v>
      </c>
      <c r="T47" s="37" t="s">
        <v>62</v>
      </c>
      <c r="U47" s="37" t="s">
        <v>62</v>
      </c>
      <c r="V47" s="37" t="s">
        <v>62</v>
      </c>
      <c r="W47" s="37" t="s">
        <v>62</v>
      </c>
      <c r="X47" s="37" t="s">
        <v>62</v>
      </c>
      <c r="Y47" s="16"/>
      <c r="Z47" s="432"/>
      <c r="AA47" s="432"/>
      <c r="AB47" s="24" t="s">
        <v>2468</v>
      </c>
      <c r="AC47" s="24"/>
      <c r="AD47" s="281">
        <v>44701</v>
      </c>
      <c r="AE47" s="343">
        <v>45483</v>
      </c>
      <c r="AF47" s="343">
        <v>45286</v>
      </c>
      <c r="AG47" s="343">
        <v>45470</v>
      </c>
      <c r="AH47" s="143">
        <v>45469</v>
      </c>
      <c r="AI47" s="143">
        <v>45483</v>
      </c>
      <c r="AJ47" s="58" t="s">
        <v>63</v>
      </c>
      <c r="AK47" s="143">
        <v>45483</v>
      </c>
      <c r="AL47" s="343">
        <v>45483</v>
      </c>
      <c r="AM47" s="343">
        <v>45483</v>
      </c>
    </row>
    <row r="48" spans="1:40" ht="22.8" x14ac:dyDescent="0.25">
      <c r="A48" s="28">
        <v>47</v>
      </c>
      <c r="B48" s="20">
        <v>39076</v>
      </c>
      <c r="C48" s="27" t="s">
        <v>64</v>
      </c>
      <c r="D48" s="3" t="s">
        <v>2139</v>
      </c>
      <c r="E48" s="20" t="s">
        <v>1933</v>
      </c>
      <c r="F48" s="29" t="s">
        <v>2093</v>
      </c>
      <c r="G48" s="29" t="s">
        <v>15</v>
      </c>
      <c r="H48" s="19">
        <v>43672</v>
      </c>
      <c r="I48" s="3">
        <v>483</v>
      </c>
      <c r="J48" s="3" t="s">
        <v>58</v>
      </c>
      <c r="K48" s="37" t="s">
        <v>59</v>
      </c>
      <c r="L48" s="33" t="s">
        <v>63</v>
      </c>
      <c r="M48" s="16" t="s">
        <v>60</v>
      </c>
      <c r="N48" s="33">
        <v>44198</v>
      </c>
      <c r="O48" s="33">
        <v>44198</v>
      </c>
      <c r="P48" s="33"/>
      <c r="Q48" s="16" t="s">
        <v>68</v>
      </c>
      <c r="R48" s="16" t="s">
        <v>68</v>
      </c>
      <c r="S48" s="16" t="s">
        <v>68</v>
      </c>
      <c r="T48" s="16" t="s">
        <v>68</v>
      </c>
      <c r="U48" s="16" t="s">
        <v>68</v>
      </c>
      <c r="V48" s="16"/>
      <c r="W48" s="16" t="s">
        <v>68</v>
      </c>
      <c r="X48" s="16"/>
      <c r="Y48" s="16"/>
      <c r="Z48" s="432"/>
      <c r="AA48" s="432"/>
      <c r="AB48" s="24"/>
      <c r="AC48" s="24"/>
      <c r="AD48" s="281">
        <v>44698</v>
      </c>
      <c r="AE48" s="343">
        <v>45443</v>
      </c>
      <c r="AF48" s="386">
        <v>45384</v>
      </c>
      <c r="AG48" s="343">
        <v>45468</v>
      </c>
      <c r="AH48" s="343">
        <v>45552</v>
      </c>
      <c r="AI48" s="343">
        <v>45552</v>
      </c>
      <c r="AJ48" s="58" t="s">
        <v>63</v>
      </c>
      <c r="AK48" s="343">
        <v>45552</v>
      </c>
      <c r="AL48" s="343">
        <v>45443</v>
      </c>
      <c r="AN48" s="381"/>
    </row>
    <row r="49" spans="1:40" ht="22.8" x14ac:dyDescent="0.25">
      <c r="A49" s="28">
        <v>48</v>
      </c>
      <c r="B49" s="20">
        <v>39076</v>
      </c>
      <c r="C49" s="27" t="s">
        <v>54</v>
      </c>
      <c r="D49" s="3" t="s">
        <v>2140</v>
      </c>
      <c r="E49" s="20" t="s">
        <v>1933</v>
      </c>
      <c r="F49" s="29" t="s">
        <v>2093</v>
      </c>
      <c r="G49" s="29" t="s">
        <v>15</v>
      </c>
      <c r="H49" s="19">
        <v>43672</v>
      </c>
      <c r="I49" s="3">
        <v>484</v>
      </c>
      <c r="J49" s="3" t="s">
        <v>58</v>
      </c>
      <c r="K49" s="37" t="s">
        <v>59</v>
      </c>
      <c r="L49" s="33" t="s">
        <v>63</v>
      </c>
      <c r="M49" s="16" t="s">
        <v>60</v>
      </c>
      <c r="N49" s="33">
        <v>44198</v>
      </c>
      <c r="O49" s="33">
        <v>44198</v>
      </c>
      <c r="P49" s="33"/>
      <c r="Q49" s="16" t="s">
        <v>62</v>
      </c>
      <c r="R49" s="16" t="s">
        <v>62</v>
      </c>
      <c r="S49" s="16" t="s">
        <v>62</v>
      </c>
      <c r="T49" s="16" t="s">
        <v>62</v>
      </c>
      <c r="U49" s="16" t="s">
        <v>62</v>
      </c>
      <c r="V49" s="16"/>
      <c r="W49" s="16" t="s">
        <v>62</v>
      </c>
      <c r="X49" s="16"/>
      <c r="Y49" s="16"/>
      <c r="Z49" s="432"/>
      <c r="AA49" s="432"/>
      <c r="AB49" s="24"/>
      <c r="AC49" s="24"/>
      <c r="AD49" s="281">
        <v>44698</v>
      </c>
      <c r="AE49" s="343">
        <v>45443</v>
      </c>
      <c r="AF49" s="386">
        <v>45384</v>
      </c>
      <c r="AG49" s="343">
        <v>45468</v>
      </c>
      <c r="AH49" s="343">
        <v>45552</v>
      </c>
      <c r="AI49" s="343">
        <v>45552</v>
      </c>
      <c r="AJ49" s="58" t="s">
        <v>63</v>
      </c>
      <c r="AK49" s="343">
        <v>45552</v>
      </c>
      <c r="AL49" s="343">
        <v>45443</v>
      </c>
      <c r="AN49" s="381"/>
    </row>
    <row r="50" spans="1:40" ht="22.8" x14ac:dyDescent="0.25">
      <c r="A50" s="28">
        <v>49</v>
      </c>
      <c r="B50" s="20">
        <v>37063</v>
      </c>
      <c r="C50" s="27" t="s">
        <v>64</v>
      </c>
      <c r="D50" s="3" t="s">
        <v>2141</v>
      </c>
      <c r="E50" s="20" t="s">
        <v>1932</v>
      </c>
      <c r="F50" s="3" t="s">
        <v>863</v>
      </c>
      <c r="G50" s="29" t="s">
        <v>15</v>
      </c>
      <c r="H50" s="19">
        <v>43452</v>
      </c>
      <c r="I50" s="3">
        <v>241</v>
      </c>
      <c r="J50" s="3" t="s">
        <v>58</v>
      </c>
      <c r="K50" s="37" t="s">
        <v>59</v>
      </c>
      <c r="L50" s="33">
        <v>44231</v>
      </c>
      <c r="M50" s="41" t="s">
        <v>60</v>
      </c>
      <c r="N50" s="40">
        <v>44231</v>
      </c>
      <c r="O50" s="33">
        <v>44231</v>
      </c>
      <c r="P50" s="33"/>
      <c r="Q50" s="16"/>
      <c r="R50" s="16" t="s">
        <v>68</v>
      </c>
      <c r="S50" s="310" t="s">
        <v>68</v>
      </c>
      <c r="T50" s="16"/>
      <c r="U50" s="16"/>
      <c r="V50" s="42" t="s">
        <v>616</v>
      </c>
      <c r="W50" s="16"/>
      <c r="X50" s="16"/>
      <c r="Y50" s="16"/>
      <c r="Z50" s="432"/>
      <c r="AA50" s="432"/>
      <c r="AB50" s="24"/>
      <c r="AC50" s="24"/>
      <c r="AD50" s="281">
        <v>44916</v>
      </c>
      <c r="AE50" s="58" t="s">
        <v>68</v>
      </c>
      <c r="AF50" s="365"/>
      <c r="AG50" s="343">
        <v>45464</v>
      </c>
      <c r="AH50" s="343">
        <v>45464</v>
      </c>
      <c r="AI50" s="343">
        <v>45464</v>
      </c>
      <c r="AJ50" s="58" t="s">
        <v>63</v>
      </c>
      <c r="AK50" s="343">
        <v>45750</v>
      </c>
      <c r="AL50" s="343">
        <v>45543</v>
      </c>
      <c r="AM50" s="343">
        <v>45749</v>
      </c>
    </row>
    <row r="51" spans="1:40" ht="22.8" x14ac:dyDescent="0.25">
      <c r="A51" s="28">
        <v>50</v>
      </c>
      <c r="B51" s="20">
        <v>37063</v>
      </c>
      <c r="C51" s="27" t="s">
        <v>54</v>
      </c>
      <c r="D51" s="3" t="s">
        <v>2142</v>
      </c>
      <c r="E51" s="20" t="s">
        <v>1932</v>
      </c>
      <c r="F51" s="3" t="s">
        <v>863</v>
      </c>
      <c r="G51" s="29" t="s">
        <v>15</v>
      </c>
      <c r="H51" s="19">
        <v>43452</v>
      </c>
      <c r="I51" s="3">
        <v>240</v>
      </c>
      <c r="J51" s="3" t="s">
        <v>58</v>
      </c>
      <c r="K51" s="37" t="s">
        <v>59</v>
      </c>
      <c r="L51" s="33">
        <v>44231</v>
      </c>
      <c r="M51" s="41" t="s">
        <v>60</v>
      </c>
      <c r="N51" s="40">
        <v>44231</v>
      </c>
      <c r="O51" s="33"/>
      <c r="P51" s="33"/>
      <c r="Q51" s="16"/>
      <c r="R51" s="16" t="s">
        <v>62</v>
      </c>
      <c r="S51" s="310" t="s">
        <v>62</v>
      </c>
      <c r="T51" s="16"/>
      <c r="U51" s="16"/>
      <c r="V51" s="42" t="s">
        <v>604</v>
      </c>
      <c r="W51" s="16"/>
      <c r="X51" s="16"/>
      <c r="Y51" s="16"/>
      <c r="Z51" s="432"/>
      <c r="AA51" s="432"/>
      <c r="AB51" s="251">
        <v>44404</v>
      </c>
      <c r="AC51" s="24"/>
      <c r="AD51" s="281">
        <v>44916</v>
      </c>
      <c r="AE51" s="58" t="s">
        <v>62</v>
      </c>
      <c r="AF51" s="365"/>
      <c r="AG51" s="343">
        <v>45464</v>
      </c>
      <c r="AH51" s="343">
        <v>45464</v>
      </c>
      <c r="AI51" s="343">
        <v>45464</v>
      </c>
      <c r="AJ51" s="58" t="s">
        <v>63</v>
      </c>
      <c r="AK51" s="343">
        <v>45750</v>
      </c>
      <c r="AL51" s="343">
        <v>45543</v>
      </c>
      <c r="AM51" s="343">
        <v>45749</v>
      </c>
    </row>
    <row r="52" spans="1:40" ht="22.8" x14ac:dyDescent="0.25">
      <c r="A52" s="28">
        <v>51</v>
      </c>
      <c r="B52" s="20">
        <v>37064</v>
      </c>
      <c r="C52" s="27" t="s">
        <v>64</v>
      </c>
      <c r="D52" s="3" t="s">
        <v>2143</v>
      </c>
      <c r="E52" s="20" t="s">
        <v>1932</v>
      </c>
      <c r="F52" s="3" t="s">
        <v>863</v>
      </c>
      <c r="G52" s="29" t="s">
        <v>15</v>
      </c>
      <c r="H52" s="19">
        <v>43457</v>
      </c>
      <c r="I52" s="3">
        <v>243</v>
      </c>
      <c r="J52" s="3" t="s">
        <v>58</v>
      </c>
      <c r="K52" s="37" t="s">
        <v>59</v>
      </c>
      <c r="L52" s="33">
        <v>44184</v>
      </c>
      <c r="M52" s="41" t="s">
        <v>60</v>
      </c>
      <c r="N52" s="40">
        <v>44184</v>
      </c>
      <c r="O52" s="33">
        <v>44184</v>
      </c>
      <c r="P52" s="33"/>
      <c r="Q52" s="16"/>
      <c r="R52" s="16" t="s">
        <v>68</v>
      </c>
      <c r="S52" s="310" t="s">
        <v>68</v>
      </c>
      <c r="T52" s="16"/>
      <c r="U52" s="16"/>
      <c r="V52" s="42" t="s">
        <v>616</v>
      </c>
      <c r="W52" s="16"/>
      <c r="X52" s="16"/>
      <c r="Y52" s="16"/>
      <c r="Z52" s="432"/>
      <c r="AA52" s="432"/>
      <c r="AB52" s="24" t="s">
        <v>2469</v>
      </c>
      <c r="AC52" s="24"/>
      <c r="AD52" s="281">
        <v>44989</v>
      </c>
      <c r="AE52" s="58"/>
      <c r="AF52" s="365"/>
      <c r="AG52" s="343">
        <v>45470</v>
      </c>
      <c r="AH52" s="343">
        <v>45526</v>
      </c>
      <c r="AI52" s="343">
        <v>45549</v>
      </c>
      <c r="AJ52" s="58" t="s">
        <v>63</v>
      </c>
      <c r="AK52" s="343">
        <v>45749</v>
      </c>
      <c r="AM52" s="281">
        <v>45552</v>
      </c>
    </row>
    <row r="53" spans="1:40" ht="22.8" x14ac:dyDescent="0.25">
      <c r="A53" s="28">
        <v>52</v>
      </c>
      <c r="B53" s="20">
        <v>37064</v>
      </c>
      <c r="C53" s="27" t="s">
        <v>54</v>
      </c>
      <c r="D53" s="3" t="s">
        <v>2144</v>
      </c>
      <c r="E53" s="20" t="s">
        <v>1932</v>
      </c>
      <c r="F53" s="3" t="s">
        <v>863</v>
      </c>
      <c r="G53" s="29" t="s">
        <v>15</v>
      </c>
      <c r="H53" s="19">
        <v>43457</v>
      </c>
      <c r="I53" s="3">
        <v>247</v>
      </c>
      <c r="J53" s="3" t="s">
        <v>58</v>
      </c>
      <c r="K53" s="37" t="s">
        <v>59</v>
      </c>
      <c r="L53" s="33">
        <v>44184</v>
      </c>
      <c r="M53" s="41" t="s">
        <v>60</v>
      </c>
      <c r="N53" s="40">
        <v>44184</v>
      </c>
      <c r="O53" s="33"/>
      <c r="P53" s="33"/>
      <c r="Q53" s="16"/>
      <c r="R53" s="16" t="s">
        <v>62</v>
      </c>
      <c r="S53" s="310" t="s">
        <v>62</v>
      </c>
      <c r="T53" s="16"/>
      <c r="U53" s="16"/>
      <c r="V53" s="42" t="s">
        <v>604</v>
      </c>
      <c r="W53" s="16"/>
      <c r="X53" s="16"/>
      <c r="Y53" s="16"/>
      <c r="Z53" s="432"/>
      <c r="AA53" s="432"/>
      <c r="AB53" s="24"/>
      <c r="AC53" s="24"/>
      <c r="AD53" s="281">
        <v>44989</v>
      </c>
      <c r="AE53" s="58"/>
      <c r="AF53" s="365"/>
      <c r="AG53" s="343">
        <v>45470</v>
      </c>
      <c r="AH53" s="343">
        <v>45526</v>
      </c>
      <c r="AI53" s="343">
        <v>45549</v>
      </c>
      <c r="AJ53" s="58" t="s">
        <v>63</v>
      </c>
      <c r="AK53" s="343">
        <v>45749</v>
      </c>
      <c r="AM53" s="281">
        <v>45552</v>
      </c>
    </row>
    <row r="54" spans="1:40" ht="22.8" x14ac:dyDescent="0.25">
      <c r="A54" s="28">
        <v>53</v>
      </c>
      <c r="B54" s="20">
        <v>37065</v>
      </c>
      <c r="C54" s="27" t="s">
        <v>64</v>
      </c>
      <c r="D54" s="3" t="s">
        <v>2145</v>
      </c>
      <c r="E54" s="20" t="s">
        <v>1932</v>
      </c>
      <c r="F54" s="3" t="s">
        <v>863</v>
      </c>
      <c r="G54" s="29" t="s">
        <v>15</v>
      </c>
      <c r="H54" s="19">
        <v>43456</v>
      </c>
      <c r="I54" s="3">
        <v>246</v>
      </c>
      <c r="J54" s="3" t="s">
        <v>58</v>
      </c>
      <c r="K54" s="37" t="s">
        <v>59</v>
      </c>
      <c r="L54" s="33">
        <v>44231</v>
      </c>
      <c r="M54" s="41" t="s">
        <v>60</v>
      </c>
      <c r="N54" s="40">
        <v>44231</v>
      </c>
      <c r="O54" s="33">
        <v>44231</v>
      </c>
      <c r="P54" s="33"/>
      <c r="Q54" s="16"/>
      <c r="R54" s="16" t="s">
        <v>68</v>
      </c>
      <c r="S54" s="310" t="s">
        <v>68</v>
      </c>
      <c r="T54" s="16"/>
      <c r="U54" s="42" t="s">
        <v>616</v>
      </c>
      <c r="V54" s="42" t="s">
        <v>616</v>
      </c>
      <c r="W54" s="16"/>
      <c r="X54" s="16"/>
      <c r="Y54" s="16"/>
      <c r="Z54" s="432"/>
      <c r="AA54" s="432"/>
      <c r="AB54" s="24" t="s">
        <v>2470</v>
      </c>
      <c r="AC54" s="24"/>
      <c r="AD54" s="281">
        <v>45115</v>
      </c>
      <c r="AE54" s="58" t="s">
        <v>68</v>
      </c>
      <c r="AF54" s="365"/>
      <c r="AG54" s="343">
        <v>45466</v>
      </c>
      <c r="AH54" s="343">
        <v>45490</v>
      </c>
      <c r="AI54" s="343">
        <v>45545</v>
      </c>
      <c r="AJ54" s="58" t="s">
        <v>63</v>
      </c>
      <c r="AL54" s="343">
        <v>45546</v>
      </c>
      <c r="AM54" s="343">
        <v>45727</v>
      </c>
    </row>
    <row r="55" spans="1:40" ht="22.8" x14ac:dyDescent="0.25">
      <c r="A55" s="28">
        <v>54</v>
      </c>
      <c r="B55" s="20">
        <v>37065</v>
      </c>
      <c r="C55" s="27" t="s">
        <v>54</v>
      </c>
      <c r="D55" s="3" t="s">
        <v>2146</v>
      </c>
      <c r="E55" s="20" t="s">
        <v>1932</v>
      </c>
      <c r="F55" s="3" t="s">
        <v>863</v>
      </c>
      <c r="G55" s="29" t="s">
        <v>15</v>
      </c>
      <c r="H55" s="19">
        <v>43456</v>
      </c>
      <c r="I55" s="3">
        <v>242</v>
      </c>
      <c r="J55" s="3" t="s">
        <v>58</v>
      </c>
      <c r="K55" s="37" t="s">
        <v>59</v>
      </c>
      <c r="L55" s="33">
        <v>44231</v>
      </c>
      <c r="M55" s="41" t="s">
        <v>60</v>
      </c>
      <c r="N55" s="40">
        <v>44231</v>
      </c>
      <c r="O55" s="33"/>
      <c r="P55" s="33"/>
      <c r="Q55" s="16"/>
      <c r="R55" s="16" t="s">
        <v>62</v>
      </c>
      <c r="S55" s="310" t="s">
        <v>62</v>
      </c>
      <c r="T55" s="16"/>
      <c r="U55" s="42" t="s">
        <v>604</v>
      </c>
      <c r="V55" s="42" t="s">
        <v>604</v>
      </c>
      <c r="W55" s="16"/>
      <c r="X55" s="16"/>
      <c r="Y55" s="16"/>
      <c r="Z55" s="432"/>
      <c r="AA55" s="432"/>
      <c r="AB55" s="24" t="s">
        <v>2471</v>
      </c>
      <c r="AC55" s="24"/>
      <c r="AD55" s="281">
        <v>45115</v>
      </c>
      <c r="AE55" s="58" t="s">
        <v>62</v>
      </c>
      <c r="AF55" s="365"/>
      <c r="AG55" s="343">
        <v>45466</v>
      </c>
      <c r="AH55" s="343">
        <v>45490</v>
      </c>
      <c r="AI55" s="343">
        <v>45545</v>
      </c>
      <c r="AJ55" s="58" t="s">
        <v>63</v>
      </c>
      <c r="AL55" s="343">
        <v>45546</v>
      </c>
      <c r="AM55" s="343">
        <v>45727</v>
      </c>
    </row>
    <row r="56" spans="1:40" ht="22.8" x14ac:dyDescent="0.25">
      <c r="A56" s="28">
        <v>55</v>
      </c>
      <c r="B56" s="20">
        <v>37072</v>
      </c>
      <c r="C56" s="27" t="s">
        <v>64</v>
      </c>
      <c r="D56" s="3" t="s">
        <v>2147</v>
      </c>
      <c r="E56" s="20" t="s">
        <v>1932</v>
      </c>
      <c r="F56" s="3" t="s">
        <v>863</v>
      </c>
      <c r="G56" s="29" t="s">
        <v>15</v>
      </c>
      <c r="H56" s="19">
        <v>43462</v>
      </c>
      <c r="I56" s="3">
        <v>285</v>
      </c>
      <c r="J56" s="3" t="s">
        <v>58</v>
      </c>
      <c r="K56" s="37" t="s">
        <v>59</v>
      </c>
      <c r="L56" s="33">
        <v>44216</v>
      </c>
      <c r="M56" s="41" t="s">
        <v>60</v>
      </c>
      <c r="N56" s="40">
        <v>44216</v>
      </c>
      <c r="O56" s="33">
        <v>44216</v>
      </c>
      <c r="P56" s="33"/>
      <c r="Q56" s="16"/>
      <c r="R56" s="16" t="s">
        <v>68</v>
      </c>
      <c r="S56" s="16"/>
      <c r="T56" s="16"/>
      <c r="U56" s="42" t="s">
        <v>616</v>
      </c>
      <c r="V56" s="16"/>
      <c r="W56" s="16"/>
      <c r="X56" s="16"/>
      <c r="Y56" s="16"/>
      <c r="Z56" s="432"/>
      <c r="AA56" s="432"/>
      <c r="AB56" s="24"/>
      <c r="AC56" s="24"/>
      <c r="AD56" s="281">
        <v>45003</v>
      </c>
      <c r="AE56" s="58"/>
      <c r="AF56" s="365"/>
      <c r="AG56" s="343">
        <v>45464</v>
      </c>
      <c r="AH56" s="343">
        <v>45570</v>
      </c>
      <c r="AI56" s="343">
        <v>45464</v>
      </c>
      <c r="AJ56" s="58" t="s">
        <v>63</v>
      </c>
      <c r="AK56" s="343">
        <v>45751</v>
      </c>
      <c r="AM56" s="343">
        <v>45749</v>
      </c>
    </row>
    <row r="57" spans="1:40" ht="22.8" x14ac:dyDescent="0.25">
      <c r="A57" s="28">
        <v>56</v>
      </c>
      <c r="B57" s="20">
        <v>37072</v>
      </c>
      <c r="C57" s="27" t="s">
        <v>54</v>
      </c>
      <c r="D57" s="3" t="s">
        <v>2148</v>
      </c>
      <c r="E57" s="20" t="s">
        <v>1932</v>
      </c>
      <c r="F57" s="3" t="s">
        <v>863</v>
      </c>
      <c r="G57" s="29" t="s">
        <v>15</v>
      </c>
      <c r="H57" s="19">
        <v>43462</v>
      </c>
      <c r="I57" s="3">
        <v>284</v>
      </c>
      <c r="J57" s="3" t="s">
        <v>58</v>
      </c>
      <c r="K57" s="37" t="s">
        <v>59</v>
      </c>
      <c r="L57" s="33">
        <v>44216</v>
      </c>
      <c r="M57" s="41" t="s">
        <v>60</v>
      </c>
      <c r="N57" s="40">
        <v>44216</v>
      </c>
      <c r="O57" s="33"/>
      <c r="P57" s="33"/>
      <c r="Q57" s="16"/>
      <c r="R57" s="16" t="s">
        <v>62</v>
      </c>
      <c r="S57" s="16"/>
      <c r="T57" s="16"/>
      <c r="U57" s="42" t="s">
        <v>604</v>
      </c>
      <c r="V57" s="16"/>
      <c r="W57" s="16"/>
      <c r="X57" s="16"/>
      <c r="Y57" s="16"/>
      <c r="Z57" s="432"/>
      <c r="AA57" s="432"/>
      <c r="AB57" s="24"/>
      <c r="AC57" s="24"/>
      <c r="AD57" s="281">
        <v>45003</v>
      </c>
      <c r="AE57" s="58"/>
      <c r="AF57" s="365"/>
      <c r="AG57" s="343">
        <v>45464</v>
      </c>
      <c r="AH57" s="343">
        <v>45570</v>
      </c>
      <c r="AI57" s="343">
        <v>45464</v>
      </c>
      <c r="AJ57" s="58" t="s">
        <v>63</v>
      </c>
      <c r="AK57" s="343">
        <v>45751</v>
      </c>
      <c r="AM57" s="343">
        <v>45749</v>
      </c>
    </row>
    <row r="58" spans="1:40" ht="22.8" x14ac:dyDescent="0.25">
      <c r="A58" s="28">
        <v>57</v>
      </c>
      <c r="B58" s="20">
        <v>37074</v>
      </c>
      <c r="C58" s="27" t="s">
        <v>64</v>
      </c>
      <c r="D58" s="3" t="s">
        <v>2149</v>
      </c>
      <c r="E58" s="20" t="s">
        <v>1932</v>
      </c>
      <c r="F58" s="3" t="s">
        <v>863</v>
      </c>
      <c r="G58" s="29" t="s">
        <v>15</v>
      </c>
      <c r="H58" s="19">
        <v>43463</v>
      </c>
      <c r="I58" s="3">
        <v>276</v>
      </c>
      <c r="J58" s="3" t="s">
        <v>58</v>
      </c>
      <c r="K58" s="37" t="s">
        <v>59</v>
      </c>
      <c r="L58" s="33">
        <v>44322</v>
      </c>
      <c r="M58" s="41" t="s">
        <v>60</v>
      </c>
      <c r="N58" s="33" t="s">
        <v>63</v>
      </c>
      <c r="O58" s="33"/>
      <c r="P58" s="33"/>
      <c r="Q58" s="16"/>
      <c r="R58" s="16" t="s">
        <v>68</v>
      </c>
      <c r="S58" s="310" t="s">
        <v>68</v>
      </c>
      <c r="T58" s="16"/>
      <c r="U58" s="16"/>
      <c r="V58" s="16"/>
      <c r="W58" s="16"/>
      <c r="X58" s="16"/>
      <c r="Y58" s="16"/>
      <c r="Z58" s="432"/>
      <c r="AA58" s="432"/>
      <c r="AB58" s="24"/>
      <c r="AC58" s="24"/>
      <c r="AD58" s="281">
        <v>45070</v>
      </c>
      <c r="AE58" s="58"/>
      <c r="AF58" s="365"/>
      <c r="AG58" s="343">
        <v>45471</v>
      </c>
      <c r="AH58" s="343">
        <v>45661</v>
      </c>
      <c r="AI58" s="58"/>
      <c r="AJ58" s="58" t="s">
        <v>63</v>
      </c>
      <c r="AK58" s="343">
        <v>45827</v>
      </c>
      <c r="AM58" s="343">
        <v>45827</v>
      </c>
      <c r="AN58" s="381"/>
    </row>
    <row r="59" spans="1:40" x14ac:dyDescent="0.25">
      <c r="A59" s="28">
        <v>58</v>
      </c>
      <c r="B59" s="20">
        <v>37074</v>
      </c>
      <c r="C59" s="27" t="s">
        <v>54</v>
      </c>
      <c r="D59" s="3" t="s">
        <v>2150</v>
      </c>
      <c r="E59" s="20" t="s">
        <v>1932</v>
      </c>
      <c r="F59" s="3" t="s">
        <v>863</v>
      </c>
      <c r="G59" s="29" t="s">
        <v>15</v>
      </c>
      <c r="H59" s="19">
        <v>43463</v>
      </c>
      <c r="I59" s="3">
        <v>277</v>
      </c>
      <c r="J59" s="3" t="s">
        <v>58</v>
      </c>
      <c r="K59" s="16"/>
      <c r="L59" s="33"/>
      <c r="M59" s="41" t="s">
        <v>60</v>
      </c>
      <c r="N59" s="33" t="s">
        <v>63</v>
      </c>
      <c r="O59" s="33"/>
      <c r="P59" s="33"/>
      <c r="Q59" s="16"/>
      <c r="R59" s="16" t="s">
        <v>62</v>
      </c>
      <c r="S59" s="310" t="s">
        <v>62</v>
      </c>
      <c r="T59" s="16"/>
      <c r="U59" s="16"/>
      <c r="V59" s="16"/>
      <c r="W59" s="16"/>
      <c r="X59" s="16"/>
      <c r="Y59" s="16"/>
      <c r="Z59" s="432"/>
      <c r="AA59" s="432"/>
      <c r="AB59" s="24"/>
      <c r="AC59" s="24"/>
      <c r="AD59" s="281">
        <v>45070</v>
      </c>
      <c r="AE59" s="58"/>
      <c r="AF59" s="365"/>
      <c r="AG59" s="343">
        <v>45471</v>
      </c>
      <c r="AH59" s="343">
        <v>45661</v>
      </c>
      <c r="AI59" s="58"/>
      <c r="AJ59" s="58" t="s">
        <v>63</v>
      </c>
      <c r="AK59" s="343">
        <v>45827</v>
      </c>
      <c r="AM59" s="343">
        <v>45827</v>
      </c>
      <c r="AN59" s="381"/>
    </row>
    <row r="60" spans="1:40" ht="22.8" x14ac:dyDescent="0.25">
      <c r="A60" s="28">
        <v>59</v>
      </c>
      <c r="B60" s="20">
        <v>37228</v>
      </c>
      <c r="C60" s="27" t="s">
        <v>64</v>
      </c>
      <c r="D60" s="3" t="s">
        <v>2151</v>
      </c>
      <c r="E60" s="20" t="s">
        <v>1932</v>
      </c>
      <c r="F60" s="3" t="s">
        <v>863</v>
      </c>
      <c r="G60" s="29" t="s">
        <v>15</v>
      </c>
      <c r="H60" s="19">
        <v>43672</v>
      </c>
      <c r="I60" s="3">
        <v>512</v>
      </c>
      <c r="J60" s="3" t="s">
        <v>58</v>
      </c>
      <c r="K60" s="37" t="s">
        <v>59</v>
      </c>
      <c r="L60" s="38">
        <v>44238</v>
      </c>
      <c r="M60" s="41" t="s">
        <v>999</v>
      </c>
      <c r="N60" s="40">
        <v>44213</v>
      </c>
      <c r="O60" s="33"/>
      <c r="P60" s="33"/>
      <c r="Q60" s="16" t="s">
        <v>75</v>
      </c>
      <c r="R60" s="16" t="s">
        <v>68</v>
      </c>
      <c r="S60" s="16"/>
      <c r="T60" s="42" t="s">
        <v>68</v>
      </c>
      <c r="U60" s="16"/>
      <c r="V60" s="42" t="s">
        <v>616</v>
      </c>
      <c r="W60" s="16"/>
      <c r="X60" s="16"/>
      <c r="Y60" s="16"/>
      <c r="Z60" s="432"/>
      <c r="AA60" s="432"/>
      <c r="AB60" s="24"/>
      <c r="AC60" s="24"/>
      <c r="AD60" s="281">
        <v>44979</v>
      </c>
      <c r="AE60" s="58" t="s">
        <v>68</v>
      </c>
      <c r="AF60" s="365"/>
      <c r="AG60" s="143">
        <v>45466</v>
      </c>
      <c r="AH60" s="143">
        <v>45466</v>
      </c>
      <c r="AI60" s="343">
        <v>45544</v>
      </c>
      <c r="AJ60" s="58" t="s">
        <v>63</v>
      </c>
      <c r="AK60" s="343">
        <v>45733</v>
      </c>
      <c r="AL60" s="343">
        <v>45733</v>
      </c>
      <c r="AM60" s="343">
        <v>45535</v>
      </c>
    </row>
    <row r="61" spans="1:40" ht="22.8" x14ac:dyDescent="0.25">
      <c r="A61" s="28">
        <v>60</v>
      </c>
      <c r="B61" s="20">
        <v>37228</v>
      </c>
      <c r="C61" s="27" t="s">
        <v>54</v>
      </c>
      <c r="D61" s="3" t="s">
        <v>2152</v>
      </c>
      <c r="E61" s="20" t="s">
        <v>1932</v>
      </c>
      <c r="F61" s="3" t="s">
        <v>863</v>
      </c>
      <c r="G61" s="29" t="s">
        <v>15</v>
      </c>
      <c r="H61" s="19">
        <v>43672</v>
      </c>
      <c r="I61" s="3">
        <v>513</v>
      </c>
      <c r="J61" s="3" t="s">
        <v>58</v>
      </c>
      <c r="K61" s="37" t="s">
        <v>59</v>
      </c>
      <c r="L61" s="38">
        <v>44238</v>
      </c>
      <c r="M61" s="41" t="s">
        <v>999</v>
      </c>
      <c r="N61" s="40">
        <v>7688</v>
      </c>
      <c r="O61" s="33"/>
      <c r="P61" s="33"/>
      <c r="Q61" s="16" t="s">
        <v>75</v>
      </c>
      <c r="R61" s="16" t="s">
        <v>62</v>
      </c>
      <c r="S61" s="16"/>
      <c r="T61" s="42" t="s">
        <v>62</v>
      </c>
      <c r="U61" s="16"/>
      <c r="V61" s="42" t="s">
        <v>604</v>
      </c>
      <c r="W61" s="16"/>
      <c r="X61" s="16"/>
      <c r="Y61" s="16"/>
      <c r="Z61" s="432"/>
      <c r="AA61" s="432"/>
      <c r="AB61" s="24"/>
      <c r="AC61" s="24"/>
      <c r="AD61" s="281">
        <v>44979</v>
      </c>
      <c r="AE61" s="58" t="s">
        <v>62</v>
      </c>
      <c r="AF61" s="365"/>
      <c r="AG61" s="143">
        <v>45466</v>
      </c>
      <c r="AH61" s="143">
        <v>45466</v>
      </c>
      <c r="AI61" s="343">
        <v>45544</v>
      </c>
      <c r="AJ61" s="58" t="s">
        <v>63</v>
      </c>
      <c r="AK61" s="343">
        <v>45733</v>
      </c>
      <c r="AL61" s="343">
        <v>45733</v>
      </c>
      <c r="AM61" s="343">
        <v>45535</v>
      </c>
    </row>
    <row r="62" spans="1:40" ht="22.8" x14ac:dyDescent="0.25">
      <c r="A62" s="28">
        <v>61</v>
      </c>
      <c r="B62" s="20">
        <v>37229</v>
      </c>
      <c r="C62" s="27" t="s">
        <v>64</v>
      </c>
      <c r="D62" s="3" t="s">
        <v>2153</v>
      </c>
      <c r="E62" s="20" t="s">
        <v>1932</v>
      </c>
      <c r="F62" s="3" t="s">
        <v>863</v>
      </c>
      <c r="G62" s="29" t="s">
        <v>15</v>
      </c>
      <c r="H62" s="19">
        <v>43673</v>
      </c>
      <c r="I62" s="3">
        <v>544</v>
      </c>
      <c r="J62" s="3" t="s">
        <v>58</v>
      </c>
      <c r="K62" s="37" t="s">
        <v>59</v>
      </c>
      <c r="L62" s="33">
        <v>44264</v>
      </c>
      <c r="M62" s="41" t="s">
        <v>999</v>
      </c>
      <c r="N62" s="40">
        <v>44264</v>
      </c>
      <c r="O62" s="33"/>
      <c r="P62" s="33"/>
      <c r="Q62" s="16" t="s">
        <v>75</v>
      </c>
      <c r="R62" s="16" t="s">
        <v>68</v>
      </c>
      <c r="S62" s="16"/>
      <c r="T62" s="42" t="s">
        <v>68</v>
      </c>
      <c r="U62" s="16"/>
      <c r="V62" s="42" t="s">
        <v>616</v>
      </c>
      <c r="W62" s="16"/>
      <c r="X62" s="16"/>
      <c r="Y62" s="16"/>
      <c r="Z62" s="432"/>
      <c r="AA62" s="432"/>
      <c r="AB62" s="24"/>
      <c r="AC62" s="24"/>
      <c r="AD62" s="281">
        <v>45158</v>
      </c>
      <c r="AE62" s="58" t="s">
        <v>68</v>
      </c>
      <c r="AF62" s="365"/>
      <c r="AG62" s="143">
        <v>45465</v>
      </c>
      <c r="AH62" s="143">
        <v>45465</v>
      </c>
      <c r="AI62" s="281">
        <v>45341</v>
      </c>
      <c r="AJ62" s="58" t="s">
        <v>63</v>
      </c>
      <c r="AK62" s="343">
        <v>45497</v>
      </c>
      <c r="AM62" s="343">
        <v>45734</v>
      </c>
      <c r="AN62" s="381"/>
    </row>
    <row r="63" spans="1:40" ht="22.8" x14ac:dyDescent="0.25">
      <c r="A63" s="28">
        <v>62</v>
      </c>
      <c r="B63" s="20">
        <v>37229</v>
      </c>
      <c r="C63" s="27" t="s">
        <v>54</v>
      </c>
      <c r="D63" s="3" t="s">
        <v>2154</v>
      </c>
      <c r="E63" s="20" t="s">
        <v>1932</v>
      </c>
      <c r="F63" s="3" t="s">
        <v>863</v>
      </c>
      <c r="G63" s="29" t="s">
        <v>15</v>
      </c>
      <c r="H63" s="19">
        <v>43673</v>
      </c>
      <c r="I63" s="3">
        <v>545</v>
      </c>
      <c r="J63" s="3" t="s">
        <v>58</v>
      </c>
      <c r="K63" s="37" t="s">
        <v>59</v>
      </c>
      <c r="L63" s="33">
        <v>44264</v>
      </c>
      <c r="M63" s="41" t="s">
        <v>999</v>
      </c>
      <c r="N63" s="40">
        <v>44264</v>
      </c>
      <c r="O63" s="33"/>
      <c r="P63" s="33"/>
      <c r="Q63" s="16" t="s">
        <v>75</v>
      </c>
      <c r="R63" s="16" t="s">
        <v>62</v>
      </c>
      <c r="S63" s="16"/>
      <c r="T63" s="42" t="s">
        <v>62</v>
      </c>
      <c r="U63" s="16"/>
      <c r="V63" s="42" t="s">
        <v>604</v>
      </c>
      <c r="W63" s="16"/>
      <c r="X63" s="16"/>
      <c r="Y63" s="16"/>
      <c r="Z63" s="432"/>
      <c r="AA63" s="432"/>
      <c r="AB63" s="24" t="s">
        <v>2472</v>
      </c>
      <c r="AC63" s="24"/>
      <c r="AD63" s="281">
        <v>45158</v>
      </c>
      <c r="AE63" s="58" t="s">
        <v>62</v>
      </c>
      <c r="AF63" s="365"/>
      <c r="AG63" s="143">
        <v>45465</v>
      </c>
      <c r="AH63" s="143">
        <v>45465</v>
      </c>
      <c r="AI63" s="143">
        <v>45341</v>
      </c>
      <c r="AJ63" s="58" t="s">
        <v>63</v>
      </c>
      <c r="AK63" s="343">
        <v>45497</v>
      </c>
      <c r="AM63" s="343">
        <v>45734</v>
      </c>
    </row>
    <row r="64" spans="1:40" ht="22.8" x14ac:dyDescent="0.25">
      <c r="A64" s="28">
        <v>63</v>
      </c>
      <c r="B64" s="20">
        <v>37230</v>
      </c>
      <c r="C64" s="27" t="s">
        <v>64</v>
      </c>
      <c r="D64" s="3" t="s">
        <v>2155</v>
      </c>
      <c r="E64" s="20" t="s">
        <v>1932</v>
      </c>
      <c r="F64" s="3" t="s">
        <v>863</v>
      </c>
      <c r="G64" s="29" t="s">
        <v>15</v>
      </c>
      <c r="H64" s="19">
        <v>43702</v>
      </c>
      <c r="I64" s="3">
        <v>560</v>
      </c>
      <c r="J64" s="3" t="s">
        <v>58</v>
      </c>
      <c r="K64" s="37" t="s">
        <v>59</v>
      </c>
      <c r="L64" s="38">
        <v>44265</v>
      </c>
      <c r="M64" s="41" t="s">
        <v>999</v>
      </c>
      <c r="N64" s="40">
        <v>44183</v>
      </c>
      <c r="O64" s="33"/>
      <c r="P64" s="33"/>
      <c r="Q64" s="16" t="s">
        <v>75</v>
      </c>
      <c r="R64" s="16" t="s">
        <v>75</v>
      </c>
      <c r="S64" s="16"/>
      <c r="T64" s="42" t="s">
        <v>68</v>
      </c>
      <c r="U64" s="16"/>
      <c r="V64" s="42" t="s">
        <v>616</v>
      </c>
      <c r="W64" s="16"/>
      <c r="X64" s="16"/>
      <c r="Y64" s="16"/>
      <c r="Z64" s="432"/>
      <c r="AA64" s="432"/>
      <c r="AB64" s="24"/>
      <c r="AC64" s="24"/>
      <c r="AD64" s="281">
        <v>44809</v>
      </c>
      <c r="AE64" s="58"/>
      <c r="AF64" s="281">
        <v>45773</v>
      </c>
      <c r="AG64" s="343">
        <v>45531</v>
      </c>
      <c r="AH64" s="343">
        <v>45531</v>
      </c>
      <c r="AI64" s="343">
        <v>45677</v>
      </c>
      <c r="AJ64" s="58" t="s">
        <v>63</v>
      </c>
      <c r="AK64" s="343">
        <v>45772</v>
      </c>
      <c r="AM64" s="343">
        <v>45737</v>
      </c>
      <c r="AN64" s="381"/>
    </row>
    <row r="65" spans="1:40" ht="22.8" x14ac:dyDescent="0.25">
      <c r="A65" s="28">
        <v>64</v>
      </c>
      <c r="B65" s="20">
        <v>37230</v>
      </c>
      <c r="C65" s="27" t="s">
        <v>54</v>
      </c>
      <c r="D65" s="3" t="s">
        <v>2156</v>
      </c>
      <c r="E65" s="20" t="s">
        <v>1932</v>
      </c>
      <c r="F65" s="3" t="s">
        <v>863</v>
      </c>
      <c r="G65" s="29" t="s">
        <v>15</v>
      </c>
      <c r="H65" s="19">
        <v>43702</v>
      </c>
      <c r="I65" s="3">
        <v>558</v>
      </c>
      <c r="J65" s="3" t="s">
        <v>58</v>
      </c>
      <c r="K65" s="37" t="s">
        <v>59</v>
      </c>
      <c r="L65" s="38">
        <v>44265</v>
      </c>
      <c r="M65" s="41" t="s">
        <v>999</v>
      </c>
      <c r="N65" s="40">
        <v>44183</v>
      </c>
      <c r="O65" s="33"/>
      <c r="P65" s="33"/>
      <c r="Q65" s="16" t="s">
        <v>75</v>
      </c>
      <c r="R65" s="16" t="s">
        <v>75</v>
      </c>
      <c r="S65" s="16"/>
      <c r="T65" s="42" t="s">
        <v>62</v>
      </c>
      <c r="U65" s="16"/>
      <c r="V65" s="42" t="s">
        <v>604</v>
      </c>
      <c r="W65" s="16"/>
      <c r="X65" s="16"/>
      <c r="Y65" s="16"/>
      <c r="Z65" s="432"/>
      <c r="AA65" s="432"/>
      <c r="AB65" s="24"/>
      <c r="AC65" s="24"/>
      <c r="AD65" s="281">
        <v>44809</v>
      </c>
      <c r="AE65" s="58"/>
      <c r="AF65" s="281">
        <v>45773</v>
      </c>
      <c r="AG65" s="343">
        <v>45531</v>
      </c>
      <c r="AH65" s="343">
        <v>45531</v>
      </c>
      <c r="AI65" s="343">
        <v>45677</v>
      </c>
      <c r="AJ65" s="58" t="s">
        <v>63</v>
      </c>
      <c r="AK65" s="343">
        <v>45772</v>
      </c>
      <c r="AM65" s="343">
        <v>45737</v>
      </c>
    </row>
    <row r="66" spans="1:40" ht="22.8" x14ac:dyDescent="0.25">
      <c r="A66" s="28">
        <v>65</v>
      </c>
      <c r="B66" s="20">
        <v>37541</v>
      </c>
      <c r="C66" s="27" t="s">
        <v>64</v>
      </c>
      <c r="D66" s="3" t="s">
        <v>2157</v>
      </c>
      <c r="E66" s="20" t="s">
        <v>1932</v>
      </c>
      <c r="F66" s="3" t="s">
        <v>863</v>
      </c>
      <c r="G66" s="29" t="s">
        <v>15</v>
      </c>
      <c r="H66" s="19">
        <v>44242</v>
      </c>
      <c r="I66" s="3">
        <v>935</v>
      </c>
      <c r="J66" s="3" t="s">
        <v>58</v>
      </c>
      <c r="K66" s="37" t="s">
        <v>59</v>
      </c>
      <c r="L66" s="16" t="s">
        <v>75</v>
      </c>
      <c r="M66" s="41" t="s">
        <v>60</v>
      </c>
      <c r="N66" s="33">
        <v>44250</v>
      </c>
      <c r="O66" s="33"/>
      <c r="P66" s="33"/>
      <c r="Q66" s="16" t="s">
        <v>75</v>
      </c>
      <c r="R66" s="16" t="s">
        <v>75</v>
      </c>
      <c r="S66" s="16"/>
      <c r="T66" s="42" t="s">
        <v>68</v>
      </c>
      <c r="U66" s="16"/>
      <c r="V66" s="42" t="s">
        <v>616</v>
      </c>
      <c r="W66" s="16"/>
      <c r="X66" s="16" t="s">
        <v>75</v>
      </c>
      <c r="Y66" s="16"/>
      <c r="Z66" s="432"/>
      <c r="AA66" s="432"/>
      <c r="AB66" s="24"/>
      <c r="AC66" s="24"/>
      <c r="AD66" s="281">
        <v>44810</v>
      </c>
      <c r="AE66" s="58"/>
      <c r="AF66" s="281">
        <v>45799</v>
      </c>
      <c r="AG66" s="343">
        <v>45549</v>
      </c>
      <c r="AH66" s="343">
        <v>45549</v>
      </c>
      <c r="AI66" s="343">
        <v>45549</v>
      </c>
      <c r="AJ66" s="58" t="s">
        <v>63</v>
      </c>
      <c r="AK66" s="343">
        <v>45710</v>
      </c>
      <c r="AM66" s="343">
        <v>45527</v>
      </c>
    </row>
    <row r="67" spans="1:40" ht="22.8" x14ac:dyDescent="0.25">
      <c r="A67" s="28">
        <v>66</v>
      </c>
      <c r="B67" s="20">
        <v>37541</v>
      </c>
      <c r="C67" s="27" t="s">
        <v>54</v>
      </c>
      <c r="D67" s="3" t="s">
        <v>2158</v>
      </c>
      <c r="E67" s="20" t="s">
        <v>1932</v>
      </c>
      <c r="F67" s="3" t="s">
        <v>863</v>
      </c>
      <c r="G67" s="29" t="s">
        <v>15</v>
      </c>
      <c r="H67" s="19">
        <v>44242</v>
      </c>
      <c r="I67" s="3">
        <v>909</v>
      </c>
      <c r="J67" s="3" t="s">
        <v>58</v>
      </c>
      <c r="K67" s="37" t="s">
        <v>59</v>
      </c>
      <c r="L67" s="16" t="s">
        <v>75</v>
      </c>
      <c r="M67" s="41" t="s">
        <v>60</v>
      </c>
      <c r="N67" s="33">
        <v>44250</v>
      </c>
      <c r="O67" s="33"/>
      <c r="P67" s="33"/>
      <c r="Q67" s="16" t="s">
        <v>75</v>
      </c>
      <c r="R67" s="16" t="s">
        <v>75</v>
      </c>
      <c r="S67" s="16"/>
      <c r="T67" s="42" t="s">
        <v>62</v>
      </c>
      <c r="U67" s="16"/>
      <c r="V67" s="42" t="s">
        <v>604</v>
      </c>
      <c r="W67" s="16"/>
      <c r="X67" s="16" t="s">
        <v>75</v>
      </c>
      <c r="Y67" s="16"/>
      <c r="Z67" s="432"/>
      <c r="AA67" s="432"/>
      <c r="AB67" s="24"/>
      <c r="AC67" s="24"/>
      <c r="AD67" s="281">
        <v>44810</v>
      </c>
      <c r="AE67" s="58"/>
      <c r="AF67" s="281">
        <v>45799</v>
      </c>
      <c r="AG67" s="343">
        <v>45549</v>
      </c>
      <c r="AH67" s="343">
        <v>45549</v>
      </c>
      <c r="AI67" s="343">
        <v>45549</v>
      </c>
      <c r="AJ67" s="58" t="s">
        <v>63</v>
      </c>
      <c r="AK67" s="343">
        <v>45710</v>
      </c>
      <c r="AM67" s="343">
        <v>45527</v>
      </c>
    </row>
    <row r="68" spans="1:40" ht="22.8" x14ac:dyDescent="0.25">
      <c r="A68" s="28">
        <v>67</v>
      </c>
      <c r="B68" s="20">
        <v>39040</v>
      </c>
      <c r="C68" s="27" t="s">
        <v>64</v>
      </c>
      <c r="D68" s="3" t="s">
        <v>2159</v>
      </c>
      <c r="E68" s="20" t="s">
        <v>1932</v>
      </c>
      <c r="F68" s="3" t="s">
        <v>863</v>
      </c>
      <c r="G68" s="29" t="s">
        <v>15</v>
      </c>
      <c r="H68" s="19">
        <v>43558</v>
      </c>
      <c r="I68" s="3">
        <v>307</v>
      </c>
      <c r="J68" s="3" t="s">
        <v>58</v>
      </c>
      <c r="K68" s="37" t="s">
        <v>59</v>
      </c>
      <c r="L68" s="33">
        <v>44121</v>
      </c>
      <c r="M68" s="41" t="s">
        <v>60</v>
      </c>
      <c r="N68" s="33">
        <v>44410</v>
      </c>
      <c r="O68" s="33"/>
      <c r="P68" s="33"/>
      <c r="Q68" s="16"/>
      <c r="R68" s="16" t="s">
        <v>68</v>
      </c>
      <c r="S68" s="310" t="s">
        <v>68</v>
      </c>
      <c r="T68" s="42" t="s">
        <v>68</v>
      </c>
      <c r="U68" s="16"/>
      <c r="V68" s="42" t="s">
        <v>616</v>
      </c>
      <c r="W68" s="16"/>
      <c r="X68" s="16"/>
      <c r="Y68" s="16"/>
      <c r="Z68" s="432"/>
      <c r="AA68" s="432"/>
      <c r="AB68" s="24"/>
      <c r="AC68" s="24"/>
      <c r="AD68" s="281">
        <v>45090</v>
      </c>
      <c r="AE68" s="58" t="s">
        <v>68</v>
      </c>
      <c r="AF68" s="365"/>
      <c r="AG68" s="343">
        <v>45464</v>
      </c>
      <c r="AH68" s="343">
        <v>45588</v>
      </c>
      <c r="AI68" s="281">
        <v>45296</v>
      </c>
    </row>
    <row r="69" spans="1:40" ht="22.8" x14ac:dyDescent="0.25">
      <c r="A69" s="28">
        <v>68</v>
      </c>
      <c r="B69" s="20">
        <v>39040</v>
      </c>
      <c r="C69" s="27" t="s">
        <v>54</v>
      </c>
      <c r="D69" s="3" t="s">
        <v>2160</v>
      </c>
      <c r="E69" s="20" t="s">
        <v>1932</v>
      </c>
      <c r="F69" s="3" t="s">
        <v>863</v>
      </c>
      <c r="G69" s="29" t="s">
        <v>15</v>
      </c>
      <c r="H69" s="19">
        <v>43558</v>
      </c>
      <c r="I69" s="3">
        <v>306</v>
      </c>
      <c r="J69" s="3" t="s">
        <v>58</v>
      </c>
      <c r="K69" s="37" t="s">
        <v>59</v>
      </c>
      <c r="L69" s="33">
        <v>44121</v>
      </c>
      <c r="M69" s="41" t="s">
        <v>60</v>
      </c>
      <c r="N69" s="33">
        <v>44410</v>
      </c>
      <c r="O69" s="33"/>
      <c r="P69" s="33"/>
      <c r="Q69" s="16"/>
      <c r="R69" s="16" t="s">
        <v>62</v>
      </c>
      <c r="S69" s="310" t="s">
        <v>62</v>
      </c>
      <c r="T69" s="42" t="s">
        <v>62</v>
      </c>
      <c r="U69" s="16"/>
      <c r="V69" s="42" t="s">
        <v>604</v>
      </c>
      <c r="W69" s="16"/>
      <c r="X69" s="16"/>
      <c r="Y69" s="16"/>
      <c r="Z69" s="432"/>
      <c r="AA69" s="432"/>
      <c r="AB69" s="24"/>
      <c r="AC69" s="24"/>
      <c r="AD69" s="281">
        <v>45090</v>
      </c>
      <c r="AE69" s="58" t="s">
        <v>62</v>
      </c>
      <c r="AF69" s="365"/>
      <c r="AG69" s="343">
        <v>45464</v>
      </c>
      <c r="AH69" s="343">
        <v>45588</v>
      </c>
      <c r="AI69" s="281">
        <v>45296</v>
      </c>
    </row>
    <row r="70" spans="1:40" ht="22.8" x14ac:dyDescent="0.25">
      <c r="A70" s="28">
        <v>69</v>
      </c>
      <c r="B70" s="20">
        <v>39043</v>
      </c>
      <c r="C70" s="27" t="s">
        <v>64</v>
      </c>
      <c r="D70" s="3" t="s">
        <v>2161</v>
      </c>
      <c r="E70" s="20" t="s">
        <v>1932</v>
      </c>
      <c r="F70" s="3" t="s">
        <v>863</v>
      </c>
      <c r="G70" s="29" t="s">
        <v>15</v>
      </c>
      <c r="H70" s="19">
        <v>43587</v>
      </c>
      <c r="I70" s="3">
        <v>302</v>
      </c>
      <c r="J70" s="3" t="s">
        <v>58</v>
      </c>
      <c r="K70" s="37" t="s">
        <v>59</v>
      </c>
      <c r="L70" s="33">
        <v>44261</v>
      </c>
      <c r="M70" s="41" t="s">
        <v>999</v>
      </c>
      <c r="N70" s="40">
        <v>44261</v>
      </c>
      <c r="O70" s="33">
        <v>44261</v>
      </c>
      <c r="P70" s="33"/>
      <c r="Q70" s="16"/>
      <c r="R70" s="16" t="s">
        <v>68</v>
      </c>
      <c r="S70" s="310" t="s">
        <v>68</v>
      </c>
      <c r="T70" s="42" t="s">
        <v>68</v>
      </c>
      <c r="U70" s="42" t="s">
        <v>616</v>
      </c>
      <c r="V70" s="16"/>
      <c r="W70" s="16"/>
      <c r="X70" s="16"/>
      <c r="Y70" s="16"/>
      <c r="Z70" s="432"/>
      <c r="AA70" s="432"/>
      <c r="AB70" s="24"/>
      <c r="AC70" s="24"/>
      <c r="AD70" s="281">
        <v>44809</v>
      </c>
      <c r="AE70" s="58"/>
      <c r="AF70" s="365"/>
      <c r="AG70" s="343">
        <v>45531</v>
      </c>
      <c r="AH70" s="343">
        <v>45531</v>
      </c>
      <c r="AI70" s="281">
        <v>45347</v>
      </c>
      <c r="AJ70" s="58" t="s">
        <v>63</v>
      </c>
      <c r="AK70" s="343">
        <v>45715</v>
      </c>
      <c r="AL70" s="343">
        <v>45715</v>
      </c>
      <c r="AM70" s="343">
        <v>45746</v>
      </c>
    </row>
    <row r="71" spans="1:40" ht="22.8" x14ac:dyDescent="0.25">
      <c r="A71" s="28">
        <v>70</v>
      </c>
      <c r="B71" s="20">
        <v>39043</v>
      </c>
      <c r="C71" s="27" t="s">
        <v>54</v>
      </c>
      <c r="D71" s="3" t="s">
        <v>2162</v>
      </c>
      <c r="E71" s="20" t="s">
        <v>1932</v>
      </c>
      <c r="F71" s="3" t="s">
        <v>863</v>
      </c>
      <c r="G71" s="29" t="s">
        <v>15</v>
      </c>
      <c r="H71" s="19">
        <v>43587</v>
      </c>
      <c r="I71" s="3">
        <v>303</v>
      </c>
      <c r="J71" s="3" t="s">
        <v>58</v>
      </c>
      <c r="K71" s="37" t="s">
        <v>59</v>
      </c>
      <c r="L71" s="33">
        <v>44261</v>
      </c>
      <c r="M71" s="41" t="s">
        <v>999</v>
      </c>
      <c r="N71" s="40">
        <v>44261</v>
      </c>
      <c r="O71" s="33"/>
      <c r="P71" s="33"/>
      <c r="Q71" s="16"/>
      <c r="R71" s="16" t="s">
        <v>62</v>
      </c>
      <c r="S71" s="310" t="s">
        <v>62</v>
      </c>
      <c r="T71" s="42" t="s">
        <v>62</v>
      </c>
      <c r="U71" s="42" t="s">
        <v>604</v>
      </c>
      <c r="V71" s="16"/>
      <c r="W71" s="16"/>
      <c r="X71" s="16"/>
      <c r="Y71" s="16"/>
      <c r="Z71" s="432"/>
      <c r="AA71" s="432"/>
      <c r="AB71" s="24"/>
      <c r="AC71" s="24"/>
      <c r="AD71" s="281">
        <v>44809</v>
      </c>
      <c r="AE71" s="58"/>
      <c r="AF71" s="365"/>
      <c r="AG71" s="343">
        <v>45531</v>
      </c>
      <c r="AH71" s="343">
        <v>45531</v>
      </c>
      <c r="AI71" s="281">
        <v>45347</v>
      </c>
      <c r="AJ71" s="58" t="s">
        <v>63</v>
      </c>
      <c r="AK71" s="343">
        <v>45715</v>
      </c>
      <c r="AL71" s="343">
        <v>45715</v>
      </c>
      <c r="AM71" s="343">
        <v>45746</v>
      </c>
    </row>
    <row r="72" spans="1:40" ht="22.8" x14ac:dyDescent="0.25">
      <c r="A72" s="28">
        <v>71</v>
      </c>
      <c r="B72" s="20">
        <v>30542</v>
      </c>
      <c r="C72" s="27" t="s">
        <v>64</v>
      </c>
      <c r="D72" s="3" t="s">
        <v>2163</v>
      </c>
      <c r="E72" s="20" t="s">
        <v>1933</v>
      </c>
      <c r="F72" s="29" t="s">
        <v>2093</v>
      </c>
      <c r="G72" s="29" t="s">
        <v>15</v>
      </c>
      <c r="H72" s="19">
        <v>42865</v>
      </c>
      <c r="I72" s="3">
        <v>77</v>
      </c>
      <c r="J72" s="3" t="s">
        <v>66</v>
      </c>
      <c r="K72" s="37" t="s">
        <v>59</v>
      </c>
      <c r="L72" s="33">
        <v>44161</v>
      </c>
      <c r="M72" s="41" t="s">
        <v>871</v>
      </c>
      <c r="N72" s="40">
        <v>44433</v>
      </c>
      <c r="O72" s="33">
        <v>44194</v>
      </c>
      <c r="P72" s="343">
        <v>45615</v>
      </c>
      <c r="Q72" s="16"/>
      <c r="R72" s="37" t="s">
        <v>68</v>
      </c>
      <c r="S72" s="16" t="s">
        <v>68</v>
      </c>
      <c r="T72" s="37" t="s">
        <v>68</v>
      </c>
      <c r="U72" s="16"/>
      <c r="V72" s="37" t="s">
        <v>68</v>
      </c>
      <c r="W72" s="16"/>
      <c r="X72" s="37" t="s">
        <v>68</v>
      </c>
      <c r="Y72" s="16"/>
      <c r="Z72" s="432"/>
      <c r="AA72" s="432"/>
      <c r="AB72" s="1117" t="s">
        <v>2473</v>
      </c>
      <c r="AC72" s="24"/>
      <c r="AD72" s="281">
        <v>44601</v>
      </c>
      <c r="AE72" s="343">
        <v>45332</v>
      </c>
      <c r="AF72" s="365"/>
      <c r="AG72" s="343">
        <v>45513</v>
      </c>
      <c r="AH72" s="343">
        <v>45580</v>
      </c>
      <c r="AI72" s="343">
        <v>45330</v>
      </c>
      <c r="AJ72" s="58" t="s">
        <v>63</v>
      </c>
      <c r="AK72" s="343">
        <v>45465</v>
      </c>
      <c r="AL72" s="343">
        <v>45517</v>
      </c>
    </row>
    <row r="73" spans="1:40" ht="22.8" x14ac:dyDescent="0.25">
      <c r="A73" s="28">
        <v>72</v>
      </c>
      <c r="B73" s="20">
        <v>30542</v>
      </c>
      <c r="C73" s="27" t="s">
        <v>54</v>
      </c>
      <c r="D73" s="3" t="s">
        <v>2164</v>
      </c>
      <c r="E73" s="20" t="s">
        <v>1933</v>
      </c>
      <c r="F73" s="29" t="s">
        <v>2093</v>
      </c>
      <c r="G73" s="29" t="s">
        <v>15</v>
      </c>
      <c r="H73" s="19">
        <v>42865</v>
      </c>
      <c r="I73" s="3">
        <v>72</v>
      </c>
      <c r="J73" s="3" t="s">
        <v>66</v>
      </c>
      <c r="K73" s="37" t="s">
        <v>59</v>
      </c>
      <c r="L73" s="33">
        <v>44161</v>
      </c>
      <c r="M73" s="41" t="s">
        <v>871</v>
      </c>
      <c r="N73" s="40">
        <v>44433</v>
      </c>
      <c r="O73" s="33">
        <v>44184</v>
      </c>
      <c r="P73" s="343">
        <v>45615</v>
      </c>
      <c r="Q73" s="16"/>
      <c r="R73" s="37" t="s">
        <v>62</v>
      </c>
      <c r="S73" s="16" t="s">
        <v>62</v>
      </c>
      <c r="T73" s="37" t="s">
        <v>62</v>
      </c>
      <c r="U73" s="16"/>
      <c r="V73" s="37" t="s">
        <v>62</v>
      </c>
      <c r="W73" s="16"/>
      <c r="X73" s="37" t="s">
        <v>62</v>
      </c>
      <c r="Y73" s="16"/>
      <c r="Z73" s="432"/>
      <c r="AA73" s="432"/>
      <c r="AB73" s="1116" t="s">
        <v>2474</v>
      </c>
      <c r="AC73" s="24"/>
      <c r="AD73" s="281">
        <v>44601</v>
      </c>
      <c r="AE73" s="343">
        <v>45332</v>
      </c>
      <c r="AF73" s="365"/>
      <c r="AG73" s="343">
        <v>45513</v>
      </c>
      <c r="AH73" s="343">
        <v>45580</v>
      </c>
      <c r="AI73" s="343">
        <v>45330</v>
      </c>
      <c r="AJ73" s="58" t="s">
        <v>63</v>
      </c>
      <c r="AK73" s="343">
        <v>45465</v>
      </c>
      <c r="AL73" s="343">
        <v>45517</v>
      </c>
    </row>
    <row r="74" spans="1:40" x14ac:dyDescent="0.25">
      <c r="A74" s="28">
        <v>73</v>
      </c>
      <c r="B74" s="20">
        <v>30543</v>
      </c>
      <c r="C74" s="27" t="s">
        <v>64</v>
      </c>
      <c r="D74" s="3" t="s">
        <v>2165</v>
      </c>
      <c r="E74" s="20" t="s">
        <v>1933</v>
      </c>
      <c r="F74" s="29" t="s">
        <v>2093</v>
      </c>
      <c r="G74" s="29" t="s">
        <v>15</v>
      </c>
      <c r="H74" s="19">
        <v>42854</v>
      </c>
      <c r="I74" s="3">
        <v>76</v>
      </c>
      <c r="J74" s="3" t="s">
        <v>66</v>
      </c>
      <c r="K74" s="16"/>
      <c r="L74" s="33"/>
      <c r="M74" s="41" t="s">
        <v>871</v>
      </c>
      <c r="N74" s="33">
        <v>44601</v>
      </c>
      <c r="O74" s="33">
        <v>44211</v>
      </c>
      <c r="P74" s="343">
        <v>45655</v>
      </c>
      <c r="Q74" s="16"/>
      <c r="R74" s="16" t="s">
        <v>68</v>
      </c>
      <c r="S74" s="37" t="s">
        <v>68</v>
      </c>
      <c r="T74" s="37" t="s">
        <v>68</v>
      </c>
      <c r="U74" s="16"/>
      <c r="V74" s="37" t="s">
        <v>68</v>
      </c>
      <c r="W74" s="16"/>
      <c r="X74" s="37" t="s">
        <v>68</v>
      </c>
      <c r="Y74" s="16"/>
      <c r="Z74" s="432"/>
      <c r="AA74" s="432"/>
      <c r="AB74" s="24"/>
      <c r="AC74" s="24"/>
      <c r="AD74" s="281">
        <v>44601</v>
      </c>
      <c r="AE74" s="343">
        <v>45353</v>
      </c>
      <c r="AF74" s="365"/>
      <c r="AG74" s="343">
        <v>45499</v>
      </c>
      <c r="AH74" s="343">
        <v>45499</v>
      </c>
      <c r="AI74" s="343">
        <v>45479</v>
      </c>
      <c r="AJ74" s="58" t="s">
        <v>63</v>
      </c>
      <c r="AK74" s="343">
        <v>45617</v>
      </c>
      <c r="AL74" s="343">
        <v>45479</v>
      </c>
      <c r="AN74" s="381"/>
    </row>
    <row r="75" spans="1:40" x14ac:dyDescent="0.25">
      <c r="A75" s="28">
        <v>74</v>
      </c>
      <c r="B75" s="20">
        <v>30543</v>
      </c>
      <c r="C75" s="27" t="s">
        <v>54</v>
      </c>
      <c r="D75" s="3" t="s">
        <v>2166</v>
      </c>
      <c r="E75" s="20" t="s">
        <v>1933</v>
      </c>
      <c r="F75" s="29" t="s">
        <v>2093</v>
      </c>
      <c r="G75" s="29" t="s">
        <v>15</v>
      </c>
      <c r="H75" s="19">
        <v>42854</v>
      </c>
      <c r="I75" s="3">
        <v>74</v>
      </c>
      <c r="J75" s="3" t="s">
        <v>66</v>
      </c>
      <c r="K75" s="16"/>
      <c r="L75" s="33"/>
      <c r="M75" s="41" t="s">
        <v>871</v>
      </c>
      <c r="N75" s="33">
        <v>44601</v>
      </c>
      <c r="O75" s="33">
        <v>44211</v>
      </c>
      <c r="P75" s="343">
        <v>45655</v>
      </c>
      <c r="Q75" s="16"/>
      <c r="R75" s="16" t="s">
        <v>62</v>
      </c>
      <c r="S75" s="37" t="s">
        <v>62</v>
      </c>
      <c r="T75" s="37" t="s">
        <v>62</v>
      </c>
      <c r="U75" s="16"/>
      <c r="V75" s="37" t="s">
        <v>62</v>
      </c>
      <c r="W75" s="16"/>
      <c r="X75" s="37" t="s">
        <v>62</v>
      </c>
      <c r="Y75" s="16"/>
      <c r="Z75" s="432"/>
      <c r="AA75" s="432"/>
      <c r="AB75" s="24"/>
      <c r="AC75" s="24"/>
      <c r="AD75" s="281">
        <v>44601</v>
      </c>
      <c r="AE75" s="343">
        <v>45353</v>
      </c>
      <c r="AF75" s="365"/>
      <c r="AG75" s="343">
        <v>45499</v>
      </c>
      <c r="AH75" s="343">
        <v>45499</v>
      </c>
      <c r="AI75" s="343">
        <v>45479</v>
      </c>
      <c r="AJ75" s="58" t="s">
        <v>63</v>
      </c>
      <c r="AK75" s="343">
        <v>45617</v>
      </c>
      <c r="AL75" s="343">
        <v>45479</v>
      </c>
      <c r="AN75" s="381"/>
    </row>
    <row r="76" spans="1:40" ht="22.8" x14ac:dyDescent="0.25">
      <c r="A76" s="28">
        <v>75</v>
      </c>
      <c r="B76" s="20">
        <v>30546</v>
      </c>
      <c r="C76" s="27" t="s">
        <v>64</v>
      </c>
      <c r="D76" s="56" t="s">
        <v>2167</v>
      </c>
      <c r="E76" s="20" t="s">
        <v>1933</v>
      </c>
      <c r="F76" s="29" t="s">
        <v>2093</v>
      </c>
      <c r="G76" s="29" t="s">
        <v>15</v>
      </c>
      <c r="H76" s="19">
        <v>42950</v>
      </c>
      <c r="I76" s="3">
        <v>85</v>
      </c>
      <c r="J76" s="3" t="s">
        <v>66</v>
      </c>
      <c r="K76" s="37" t="s">
        <v>59</v>
      </c>
      <c r="L76" s="33">
        <v>44045</v>
      </c>
      <c r="M76" s="41" t="s">
        <v>871</v>
      </c>
      <c r="N76" s="40">
        <v>44464</v>
      </c>
      <c r="O76" s="33">
        <v>43869</v>
      </c>
      <c r="P76" s="343">
        <v>45521</v>
      </c>
      <c r="Q76" s="42" t="s">
        <v>68</v>
      </c>
      <c r="R76" s="42" t="s">
        <v>68</v>
      </c>
      <c r="S76" s="37" t="s">
        <v>68</v>
      </c>
      <c r="T76" s="37" t="s">
        <v>68</v>
      </c>
      <c r="U76" s="16" t="s">
        <v>68</v>
      </c>
      <c r="V76" s="37" t="s">
        <v>68</v>
      </c>
      <c r="W76" s="16"/>
      <c r="X76" s="16" t="s">
        <v>2168</v>
      </c>
      <c r="Y76" s="16"/>
      <c r="Z76" s="432"/>
      <c r="AA76" s="432"/>
      <c r="AB76" s="24" t="s">
        <v>2475</v>
      </c>
      <c r="AC76" s="24"/>
      <c r="AD76" s="281">
        <v>44669</v>
      </c>
      <c r="AE76" s="343">
        <v>45353</v>
      </c>
      <c r="AF76" s="365"/>
      <c r="AG76" s="343">
        <v>45485</v>
      </c>
      <c r="AH76" s="343">
        <v>45485</v>
      </c>
      <c r="AI76" s="343">
        <v>45353</v>
      </c>
      <c r="AJ76" s="58" t="s">
        <v>63</v>
      </c>
      <c r="AK76" s="343">
        <v>45586</v>
      </c>
      <c r="AL76" s="343">
        <v>45447</v>
      </c>
    </row>
    <row r="77" spans="1:40" ht="22.8" x14ac:dyDescent="0.25">
      <c r="A77" s="28">
        <v>76</v>
      </c>
      <c r="B77" s="20">
        <v>30546</v>
      </c>
      <c r="C77" s="27" t="s">
        <v>54</v>
      </c>
      <c r="D77" s="56" t="s">
        <v>2169</v>
      </c>
      <c r="E77" s="20" t="s">
        <v>1933</v>
      </c>
      <c r="F77" s="29" t="s">
        <v>2093</v>
      </c>
      <c r="G77" s="29" t="s">
        <v>15</v>
      </c>
      <c r="H77" s="19">
        <v>42950</v>
      </c>
      <c r="I77" s="3">
        <v>88</v>
      </c>
      <c r="J77" s="3" t="s">
        <v>66</v>
      </c>
      <c r="K77" s="37" t="s">
        <v>59</v>
      </c>
      <c r="L77" s="33">
        <v>44045</v>
      </c>
      <c r="M77" s="41" t="s">
        <v>2170</v>
      </c>
      <c r="N77" s="40">
        <v>44464</v>
      </c>
      <c r="O77" s="33">
        <v>43869</v>
      </c>
      <c r="P77" s="343">
        <v>45521</v>
      </c>
      <c r="Q77" s="42" t="s">
        <v>62</v>
      </c>
      <c r="R77" s="42" t="s">
        <v>62</v>
      </c>
      <c r="S77" s="37" t="s">
        <v>62</v>
      </c>
      <c r="T77" s="37" t="s">
        <v>62</v>
      </c>
      <c r="U77" s="16" t="s">
        <v>62</v>
      </c>
      <c r="V77" s="37" t="s">
        <v>62</v>
      </c>
      <c r="W77" s="16"/>
      <c r="X77" s="16"/>
      <c r="Y77" s="16"/>
      <c r="Z77" s="432"/>
      <c r="AA77" s="432"/>
      <c r="AB77" s="24"/>
      <c r="AC77" s="24"/>
      <c r="AD77" s="281">
        <v>44669</v>
      </c>
      <c r="AE77" s="343">
        <v>45353</v>
      </c>
      <c r="AF77" s="365"/>
      <c r="AG77" s="343">
        <v>45485</v>
      </c>
      <c r="AH77" s="343">
        <v>45485</v>
      </c>
      <c r="AI77" s="343">
        <v>45353</v>
      </c>
      <c r="AJ77" s="58" t="s">
        <v>63</v>
      </c>
      <c r="AK77" s="343">
        <v>45586</v>
      </c>
      <c r="AL77" s="343">
        <v>45447</v>
      </c>
    </row>
    <row r="78" spans="1:40" ht="22.8" x14ac:dyDescent="0.25">
      <c r="A78" s="28">
        <v>77</v>
      </c>
      <c r="B78" s="20">
        <v>30592</v>
      </c>
      <c r="C78" s="27" t="s">
        <v>64</v>
      </c>
      <c r="D78" s="17" t="s">
        <v>2171</v>
      </c>
      <c r="E78" s="20" t="s">
        <v>1933</v>
      </c>
      <c r="F78" s="29" t="s">
        <v>2093</v>
      </c>
      <c r="G78" s="29" t="s">
        <v>15</v>
      </c>
      <c r="H78" s="19">
        <v>43129</v>
      </c>
      <c r="I78" s="3">
        <v>141</v>
      </c>
      <c r="J78" s="3" t="s">
        <v>58</v>
      </c>
      <c r="K78" s="37" t="s">
        <v>59</v>
      </c>
      <c r="L78" s="33">
        <v>44066</v>
      </c>
      <c r="M78" s="41" t="s">
        <v>60</v>
      </c>
      <c r="N78" s="40">
        <v>44177</v>
      </c>
      <c r="O78" s="33">
        <v>44029</v>
      </c>
      <c r="P78" s="343">
        <v>45473</v>
      </c>
      <c r="Q78" s="42" t="s">
        <v>68</v>
      </c>
      <c r="R78" s="42" t="s">
        <v>68</v>
      </c>
      <c r="S78" s="37" t="s">
        <v>68</v>
      </c>
      <c r="T78" s="37" t="s">
        <v>68</v>
      </c>
      <c r="U78" s="37" t="s">
        <v>68</v>
      </c>
      <c r="V78" s="37" t="s">
        <v>68</v>
      </c>
      <c r="W78" s="37"/>
      <c r="X78" s="37" t="s">
        <v>2168</v>
      </c>
      <c r="Y78" s="37"/>
      <c r="Z78" s="429"/>
      <c r="AA78" s="429"/>
      <c r="AB78" s="24" t="s">
        <v>2476</v>
      </c>
      <c r="AC78" s="24"/>
      <c r="AD78" s="281">
        <v>44606</v>
      </c>
      <c r="AE78" s="343">
        <v>45436</v>
      </c>
      <c r="AF78" s="365"/>
      <c r="AG78" s="343">
        <v>45485</v>
      </c>
      <c r="AH78" s="343">
        <v>45485</v>
      </c>
      <c r="AI78" s="343">
        <v>45436</v>
      </c>
      <c r="AJ78" s="58" t="s">
        <v>63</v>
      </c>
      <c r="AK78" s="343">
        <v>45532</v>
      </c>
      <c r="AL78" s="343">
        <v>45532</v>
      </c>
      <c r="AN78" s="381"/>
    </row>
    <row r="79" spans="1:40" ht="22.8" x14ac:dyDescent="0.25">
      <c r="A79" s="28">
        <v>78</v>
      </c>
      <c r="B79" s="20">
        <v>30592</v>
      </c>
      <c r="C79" s="27" t="s">
        <v>54</v>
      </c>
      <c r="D79" s="17" t="s">
        <v>2172</v>
      </c>
      <c r="E79" s="20" t="s">
        <v>1933</v>
      </c>
      <c r="F79" s="29" t="s">
        <v>2093</v>
      </c>
      <c r="G79" s="29" t="s">
        <v>15</v>
      </c>
      <c r="H79" s="19">
        <v>43129</v>
      </c>
      <c r="I79" s="3">
        <v>139</v>
      </c>
      <c r="J79" s="3" t="s">
        <v>58</v>
      </c>
      <c r="K79" s="37" t="s">
        <v>59</v>
      </c>
      <c r="L79" s="33">
        <v>44066</v>
      </c>
      <c r="M79" s="41" t="s">
        <v>60</v>
      </c>
      <c r="N79" s="40">
        <v>44177</v>
      </c>
      <c r="O79" s="33">
        <v>44029</v>
      </c>
      <c r="P79" s="343">
        <v>45473</v>
      </c>
      <c r="Q79" s="42" t="s">
        <v>62</v>
      </c>
      <c r="R79" s="42" t="s">
        <v>62</v>
      </c>
      <c r="S79" s="37" t="s">
        <v>62</v>
      </c>
      <c r="T79" s="37" t="s">
        <v>62</v>
      </c>
      <c r="U79" s="37" t="s">
        <v>62</v>
      </c>
      <c r="V79" s="37" t="s">
        <v>62</v>
      </c>
      <c r="W79" s="37"/>
      <c r="X79" s="37"/>
      <c r="Y79" s="37"/>
      <c r="Z79" s="429"/>
      <c r="AA79" s="429"/>
      <c r="AB79" s="24"/>
      <c r="AC79" s="24"/>
      <c r="AD79" s="281">
        <v>44606</v>
      </c>
      <c r="AE79" s="343">
        <v>45436</v>
      </c>
      <c r="AF79" s="365"/>
      <c r="AG79" s="343">
        <v>45485</v>
      </c>
      <c r="AH79" s="343">
        <v>45485</v>
      </c>
      <c r="AI79" s="343">
        <v>45436</v>
      </c>
      <c r="AJ79" s="58" t="s">
        <v>63</v>
      </c>
      <c r="AK79" s="343">
        <v>45532</v>
      </c>
      <c r="AL79" s="343">
        <v>45532</v>
      </c>
      <c r="AM79" s="343">
        <v>45528</v>
      </c>
    </row>
    <row r="80" spans="1:40" ht="22.8" x14ac:dyDescent="0.25">
      <c r="A80" s="28">
        <v>79</v>
      </c>
      <c r="B80" s="20">
        <v>30818</v>
      </c>
      <c r="C80" s="27" t="s">
        <v>64</v>
      </c>
      <c r="D80" s="56" t="s">
        <v>2173</v>
      </c>
      <c r="E80" s="20" t="s">
        <v>2458</v>
      </c>
      <c r="F80" s="29" t="s">
        <v>2093</v>
      </c>
      <c r="G80" s="29" t="s">
        <v>15</v>
      </c>
      <c r="H80" s="19">
        <v>44174</v>
      </c>
      <c r="I80" s="3">
        <v>358</v>
      </c>
      <c r="J80" s="3" t="s">
        <v>58</v>
      </c>
      <c r="K80" s="37" t="s">
        <v>59</v>
      </c>
      <c r="L80" s="33">
        <v>44328</v>
      </c>
      <c r="M80" s="41" t="s">
        <v>871</v>
      </c>
      <c r="N80" s="33">
        <v>44212</v>
      </c>
      <c r="O80" s="33"/>
      <c r="P80" s="33">
        <v>45638</v>
      </c>
      <c r="Q80" s="16" t="s">
        <v>68</v>
      </c>
      <c r="R80" s="42" t="s">
        <v>68</v>
      </c>
      <c r="S80" s="16" t="s">
        <v>68</v>
      </c>
      <c r="T80" s="16" t="s">
        <v>68</v>
      </c>
      <c r="U80" s="16" t="s">
        <v>68</v>
      </c>
      <c r="V80" s="16"/>
      <c r="W80" s="16"/>
      <c r="X80" s="16"/>
      <c r="Y80" s="16"/>
      <c r="Z80" s="432"/>
      <c r="AA80" s="432"/>
      <c r="AB80" s="24" t="s">
        <v>2477</v>
      </c>
      <c r="AC80" s="24"/>
      <c r="AD80" s="281">
        <v>44702</v>
      </c>
      <c r="AE80" s="58"/>
      <c r="AF80" s="343">
        <v>45295</v>
      </c>
      <c r="AG80" s="143">
        <v>45483</v>
      </c>
      <c r="AH80" s="343">
        <v>45511</v>
      </c>
      <c r="AI80" s="343">
        <v>45295</v>
      </c>
      <c r="AJ80" s="58" t="s">
        <v>63</v>
      </c>
      <c r="AL80" s="386"/>
      <c r="AM80" s="386">
        <v>45524</v>
      </c>
      <c r="AN80" s="381"/>
    </row>
    <row r="81" spans="1:40" ht="22.8" x14ac:dyDescent="0.25">
      <c r="A81" s="28">
        <v>80</v>
      </c>
      <c r="B81" s="20">
        <v>30818</v>
      </c>
      <c r="C81" s="27" t="s">
        <v>54</v>
      </c>
      <c r="D81" s="56" t="s">
        <v>2174</v>
      </c>
      <c r="E81" s="20" t="s">
        <v>2458</v>
      </c>
      <c r="F81" s="29" t="s">
        <v>2093</v>
      </c>
      <c r="G81" s="29" t="s">
        <v>15</v>
      </c>
      <c r="H81" s="19">
        <v>44174</v>
      </c>
      <c r="I81" s="3">
        <v>369</v>
      </c>
      <c r="J81" s="3" t="s">
        <v>58</v>
      </c>
      <c r="K81" s="37" t="s">
        <v>59</v>
      </c>
      <c r="L81" s="33">
        <v>44328</v>
      </c>
      <c r="M81" s="41" t="s">
        <v>871</v>
      </c>
      <c r="N81" s="33">
        <v>44212</v>
      </c>
      <c r="O81" s="33"/>
      <c r="P81" s="33">
        <v>45638</v>
      </c>
      <c r="Q81" s="16" t="s">
        <v>62</v>
      </c>
      <c r="R81" s="42" t="s">
        <v>62</v>
      </c>
      <c r="S81" s="16" t="s">
        <v>62</v>
      </c>
      <c r="T81" s="16" t="s">
        <v>62</v>
      </c>
      <c r="U81" s="16" t="s">
        <v>62</v>
      </c>
      <c r="V81" s="16"/>
      <c r="W81" s="16"/>
      <c r="X81" s="16"/>
      <c r="Y81" s="16"/>
      <c r="Z81" s="432"/>
      <c r="AA81" s="432"/>
      <c r="AB81" s="24" t="s">
        <v>2478</v>
      </c>
      <c r="AC81" s="24"/>
      <c r="AD81" s="281">
        <v>44702</v>
      </c>
      <c r="AE81" s="381">
        <v>45083</v>
      </c>
      <c r="AF81" s="343">
        <v>45295</v>
      </c>
      <c r="AG81" s="143">
        <v>45483</v>
      </c>
      <c r="AH81" s="343">
        <v>45511</v>
      </c>
      <c r="AI81" s="343">
        <v>45295</v>
      </c>
      <c r="AJ81" s="58" t="s">
        <v>63</v>
      </c>
      <c r="AL81" s="386">
        <v>45494</v>
      </c>
      <c r="AM81" s="386">
        <v>45524</v>
      </c>
    </row>
    <row r="82" spans="1:40" ht="14.4" x14ac:dyDescent="0.25">
      <c r="A82" s="28">
        <v>81</v>
      </c>
      <c r="B82" s="20">
        <v>37267</v>
      </c>
      <c r="C82" s="27" t="s">
        <v>64</v>
      </c>
      <c r="D82" s="56" t="s">
        <v>2175</v>
      </c>
      <c r="E82" s="20" t="s">
        <v>2092</v>
      </c>
      <c r="F82" s="29" t="s">
        <v>2093</v>
      </c>
      <c r="G82" s="29" t="s">
        <v>15</v>
      </c>
      <c r="H82" s="19">
        <v>43757</v>
      </c>
      <c r="I82" s="3">
        <v>628</v>
      </c>
      <c r="J82" s="3" t="s">
        <v>58</v>
      </c>
      <c r="K82" s="16" t="s">
        <v>2176</v>
      </c>
      <c r="L82" s="33"/>
      <c r="M82" s="41" t="s">
        <v>871</v>
      </c>
      <c r="N82" s="40">
        <v>44545</v>
      </c>
      <c r="O82" s="33"/>
      <c r="P82" s="33"/>
      <c r="Q82" s="16" t="s">
        <v>75</v>
      </c>
      <c r="R82" s="16" t="s">
        <v>75</v>
      </c>
      <c r="S82" s="37" t="s">
        <v>62</v>
      </c>
      <c r="T82" s="37" t="s">
        <v>68</v>
      </c>
      <c r="U82" s="37" t="s">
        <v>62</v>
      </c>
      <c r="V82" s="37"/>
      <c r="W82" s="37"/>
      <c r="X82" s="37"/>
      <c r="Y82" s="37"/>
      <c r="Z82" s="429"/>
      <c r="AA82" s="429"/>
      <c r="AB82" s="24"/>
      <c r="AC82" s="24"/>
      <c r="AD82" s="281">
        <v>44651</v>
      </c>
      <c r="AE82" s="343">
        <v>45497</v>
      </c>
      <c r="AF82" s="343">
        <v>45374</v>
      </c>
      <c r="AG82" s="343">
        <v>45493</v>
      </c>
      <c r="AH82" s="386">
        <v>45646</v>
      </c>
      <c r="AI82" s="343">
        <v>45372</v>
      </c>
      <c r="AJ82" s="58" t="s">
        <v>63</v>
      </c>
      <c r="AK82" s="343">
        <v>45574</v>
      </c>
      <c r="AL82" s="386">
        <v>45374</v>
      </c>
      <c r="AM82" s="343">
        <v>45497</v>
      </c>
    </row>
    <row r="83" spans="1:40" ht="14.4" x14ac:dyDescent="0.25">
      <c r="A83" s="28">
        <v>82</v>
      </c>
      <c r="B83" s="20">
        <v>37267</v>
      </c>
      <c r="C83" s="27" t="s">
        <v>54</v>
      </c>
      <c r="D83" s="56" t="s">
        <v>2177</v>
      </c>
      <c r="E83" s="20" t="s">
        <v>2092</v>
      </c>
      <c r="F83" s="29" t="s">
        <v>2093</v>
      </c>
      <c r="G83" s="29" t="s">
        <v>15</v>
      </c>
      <c r="H83" s="19">
        <v>43757</v>
      </c>
      <c r="I83" s="3">
        <v>629</v>
      </c>
      <c r="J83" s="3" t="s">
        <v>58</v>
      </c>
      <c r="K83" s="16" t="s">
        <v>2176</v>
      </c>
      <c r="L83" s="33"/>
      <c r="M83" s="41" t="s">
        <v>871</v>
      </c>
      <c r="N83" s="40">
        <v>44182</v>
      </c>
      <c r="O83" s="33"/>
      <c r="P83" s="33"/>
      <c r="Q83" s="16" t="s">
        <v>75</v>
      </c>
      <c r="R83" s="16" t="s">
        <v>75</v>
      </c>
      <c r="S83" s="37" t="s">
        <v>68</v>
      </c>
      <c r="T83" s="37" t="s">
        <v>62</v>
      </c>
      <c r="U83" s="37" t="s">
        <v>68</v>
      </c>
      <c r="V83" s="37"/>
      <c r="W83" s="37"/>
      <c r="X83" s="37"/>
      <c r="Y83" s="37"/>
      <c r="Z83" s="429"/>
      <c r="AA83" s="429"/>
      <c r="AB83" s="24"/>
      <c r="AC83" s="24"/>
      <c r="AD83" s="281">
        <v>44651</v>
      </c>
      <c r="AE83" s="343">
        <v>45497</v>
      </c>
      <c r="AF83" s="343">
        <v>45374</v>
      </c>
      <c r="AG83" s="343">
        <v>45493</v>
      </c>
      <c r="AH83" s="386">
        <v>45646</v>
      </c>
      <c r="AI83" s="343">
        <v>45372</v>
      </c>
      <c r="AJ83" s="58" t="s">
        <v>63</v>
      </c>
      <c r="AK83" s="343">
        <v>45574</v>
      </c>
      <c r="AL83" s="386">
        <v>45374</v>
      </c>
      <c r="AM83" s="343">
        <v>45497</v>
      </c>
    </row>
    <row r="84" spans="1:40" ht="22.8" x14ac:dyDescent="0.25">
      <c r="A84" s="28">
        <v>83</v>
      </c>
      <c r="B84" s="20">
        <v>37270</v>
      </c>
      <c r="C84" s="27" t="s">
        <v>64</v>
      </c>
      <c r="D84" s="56" t="s">
        <v>2178</v>
      </c>
      <c r="E84" s="20" t="s">
        <v>2092</v>
      </c>
      <c r="F84" s="29" t="s">
        <v>2093</v>
      </c>
      <c r="G84" s="29" t="s">
        <v>15</v>
      </c>
      <c r="H84" s="19">
        <v>43759</v>
      </c>
      <c r="I84" s="3">
        <v>579</v>
      </c>
      <c r="J84" s="3" t="s">
        <v>58</v>
      </c>
      <c r="K84" s="37" t="s">
        <v>59</v>
      </c>
      <c r="L84" s="40">
        <v>44044</v>
      </c>
      <c r="M84" s="16" t="s">
        <v>60</v>
      </c>
      <c r="N84" s="33">
        <v>44170</v>
      </c>
      <c r="O84" s="47">
        <v>43869</v>
      </c>
      <c r="P84" s="47"/>
      <c r="Q84" s="16" t="s">
        <v>75</v>
      </c>
      <c r="R84" s="16" t="s">
        <v>75</v>
      </c>
      <c r="S84" s="37" t="s">
        <v>62</v>
      </c>
      <c r="T84" s="37" t="s">
        <v>68</v>
      </c>
      <c r="U84" s="42" t="s">
        <v>62</v>
      </c>
      <c r="V84" s="42"/>
      <c r="W84" s="42"/>
      <c r="X84" s="42"/>
      <c r="Y84" s="42"/>
      <c r="Z84" s="553"/>
      <c r="AA84" s="553"/>
      <c r="AB84" s="24"/>
      <c r="AC84" s="24"/>
      <c r="AD84" s="281">
        <v>44688</v>
      </c>
      <c r="AE84" s="58"/>
      <c r="AF84" s="143">
        <v>45534</v>
      </c>
      <c r="AG84" s="143">
        <v>45534</v>
      </c>
      <c r="AH84" s="386">
        <v>45660</v>
      </c>
      <c r="AI84" s="343">
        <v>45311</v>
      </c>
      <c r="AJ84" s="58" t="s">
        <v>63</v>
      </c>
      <c r="AM84" s="343">
        <v>45677</v>
      </c>
      <c r="AN84" s="381"/>
    </row>
    <row r="85" spans="1:40" ht="22.8" x14ac:dyDescent="0.25">
      <c r="A85" s="28">
        <v>84</v>
      </c>
      <c r="B85" s="20">
        <v>37270</v>
      </c>
      <c r="C85" s="27" t="s">
        <v>54</v>
      </c>
      <c r="D85" s="56" t="s">
        <v>2179</v>
      </c>
      <c r="E85" s="20" t="s">
        <v>2092</v>
      </c>
      <c r="F85" s="29" t="s">
        <v>2093</v>
      </c>
      <c r="G85" s="29" t="s">
        <v>15</v>
      </c>
      <c r="H85" s="19">
        <v>43759</v>
      </c>
      <c r="I85" s="3">
        <v>578</v>
      </c>
      <c r="J85" s="3" t="s">
        <v>58</v>
      </c>
      <c r="K85" s="37" t="s">
        <v>59</v>
      </c>
      <c r="L85" s="40">
        <v>44044</v>
      </c>
      <c r="M85" s="16" t="s">
        <v>60</v>
      </c>
      <c r="N85" s="33">
        <v>44170</v>
      </c>
      <c r="O85" s="47">
        <v>43869</v>
      </c>
      <c r="P85" s="47"/>
      <c r="Q85" s="16" t="s">
        <v>75</v>
      </c>
      <c r="R85" s="16" t="s">
        <v>75</v>
      </c>
      <c r="S85" s="37" t="s">
        <v>68</v>
      </c>
      <c r="T85" s="37" t="s">
        <v>62</v>
      </c>
      <c r="U85" s="42" t="s">
        <v>68</v>
      </c>
      <c r="V85" s="42"/>
      <c r="W85" s="42"/>
      <c r="X85" s="42"/>
      <c r="Y85" s="42"/>
      <c r="Z85" s="553"/>
      <c r="AA85" s="553"/>
      <c r="AB85" s="24" t="s">
        <v>2479</v>
      </c>
      <c r="AC85" s="24"/>
      <c r="AD85" s="281">
        <v>44688</v>
      </c>
      <c r="AE85" s="58"/>
      <c r="AF85" s="143">
        <v>45534</v>
      </c>
      <c r="AG85" s="143">
        <v>45534</v>
      </c>
      <c r="AH85" s="386">
        <v>45660</v>
      </c>
      <c r="AI85" s="343">
        <v>45311</v>
      </c>
      <c r="AJ85" s="58" t="s">
        <v>63</v>
      </c>
      <c r="AM85" s="343">
        <v>45677</v>
      </c>
      <c r="AN85" s="381"/>
    </row>
    <row r="86" spans="1:40" ht="22.8" x14ac:dyDescent="0.25">
      <c r="A86" s="28">
        <v>85</v>
      </c>
      <c r="B86" s="20">
        <v>37274</v>
      </c>
      <c r="C86" s="27" t="s">
        <v>64</v>
      </c>
      <c r="D86" s="17" t="s">
        <v>2180</v>
      </c>
      <c r="E86" s="20" t="s">
        <v>1933</v>
      </c>
      <c r="F86" s="29" t="s">
        <v>2093</v>
      </c>
      <c r="G86" s="29" t="s">
        <v>15</v>
      </c>
      <c r="H86" s="19">
        <v>43761</v>
      </c>
      <c r="I86" s="3">
        <v>596</v>
      </c>
      <c r="J86" s="3" t="s">
        <v>58</v>
      </c>
      <c r="K86" s="37" t="s">
        <v>59</v>
      </c>
      <c r="L86" s="33">
        <v>44097</v>
      </c>
      <c r="M86" s="41" t="s">
        <v>871</v>
      </c>
      <c r="N86" s="40">
        <v>44438</v>
      </c>
      <c r="O86" s="33">
        <v>43910</v>
      </c>
      <c r="P86" s="33"/>
      <c r="Q86" s="16" t="s">
        <v>75</v>
      </c>
      <c r="R86" s="16" t="s">
        <v>75</v>
      </c>
      <c r="S86" s="37" t="s">
        <v>68</v>
      </c>
      <c r="T86" s="37" t="s">
        <v>68</v>
      </c>
      <c r="U86" s="37" t="s">
        <v>68</v>
      </c>
      <c r="V86" s="37"/>
      <c r="W86" s="37"/>
      <c r="X86" s="37"/>
      <c r="Y86" s="37"/>
      <c r="Z86" s="429"/>
      <c r="AA86" s="429"/>
      <c r="AB86" s="1117" t="s">
        <v>2480</v>
      </c>
      <c r="AC86" s="24"/>
      <c r="AD86" s="281">
        <v>44596</v>
      </c>
      <c r="AE86" s="343">
        <v>45511</v>
      </c>
      <c r="AF86" s="386">
        <v>45422</v>
      </c>
      <c r="AG86" s="343">
        <v>45511</v>
      </c>
      <c r="AH86" s="343">
        <v>45511</v>
      </c>
      <c r="AI86" s="343">
        <v>45511</v>
      </c>
      <c r="AJ86" s="58" t="s">
        <v>63</v>
      </c>
      <c r="AK86" s="386">
        <v>45511</v>
      </c>
      <c r="AL86" s="386">
        <v>45511</v>
      </c>
      <c r="AM86" s="386">
        <v>45617</v>
      </c>
    </row>
    <row r="87" spans="1:40" ht="22.8" x14ac:dyDescent="0.25">
      <c r="A87" s="28">
        <v>86</v>
      </c>
      <c r="B87" s="20">
        <v>37274</v>
      </c>
      <c r="C87" s="27" t="s">
        <v>54</v>
      </c>
      <c r="D87" s="17" t="s">
        <v>2181</v>
      </c>
      <c r="E87" s="20" t="s">
        <v>1933</v>
      </c>
      <c r="F87" s="29" t="s">
        <v>2093</v>
      </c>
      <c r="G87" s="29" t="s">
        <v>15</v>
      </c>
      <c r="H87" s="19">
        <v>43761</v>
      </c>
      <c r="I87" s="3">
        <v>597</v>
      </c>
      <c r="J87" s="3" t="s">
        <v>58</v>
      </c>
      <c r="K87" s="37" t="s">
        <v>59</v>
      </c>
      <c r="L87" s="33">
        <v>44097</v>
      </c>
      <c r="M87" s="41" t="s">
        <v>871</v>
      </c>
      <c r="N87" s="40">
        <v>44438</v>
      </c>
      <c r="O87" s="33">
        <v>43910</v>
      </c>
      <c r="P87" s="33"/>
      <c r="Q87" s="16" t="s">
        <v>75</v>
      </c>
      <c r="R87" s="16" t="s">
        <v>75</v>
      </c>
      <c r="S87" s="37" t="s">
        <v>62</v>
      </c>
      <c r="T87" s="37" t="s">
        <v>62</v>
      </c>
      <c r="U87" s="37" t="s">
        <v>62</v>
      </c>
      <c r="V87" s="37"/>
      <c r="W87" s="37"/>
      <c r="X87" s="37"/>
      <c r="Y87" s="37"/>
      <c r="Z87" s="429"/>
      <c r="AA87" s="429"/>
      <c r="AB87" s="24"/>
      <c r="AC87" s="24"/>
      <c r="AD87" s="281">
        <v>44596</v>
      </c>
      <c r="AE87" s="343">
        <v>45511</v>
      </c>
      <c r="AF87" s="386">
        <v>45422</v>
      </c>
      <c r="AG87" s="343">
        <v>45511</v>
      </c>
      <c r="AH87" s="343">
        <v>45511</v>
      </c>
      <c r="AI87" s="343">
        <v>45511</v>
      </c>
      <c r="AJ87" s="58" t="s">
        <v>63</v>
      </c>
      <c r="AK87" s="386">
        <v>45511</v>
      </c>
      <c r="AL87" s="386">
        <v>45511</v>
      </c>
      <c r="AM87" s="386">
        <v>45617</v>
      </c>
    </row>
    <row r="88" spans="1:40" ht="22.8" x14ac:dyDescent="0.25">
      <c r="A88" s="28">
        <v>87</v>
      </c>
      <c r="B88" s="20">
        <v>37276</v>
      </c>
      <c r="C88" s="27" t="s">
        <v>64</v>
      </c>
      <c r="D88" s="17" t="s">
        <v>2182</v>
      </c>
      <c r="E88" s="20" t="s">
        <v>1933</v>
      </c>
      <c r="F88" s="29" t="s">
        <v>2093</v>
      </c>
      <c r="G88" s="29" t="s">
        <v>15</v>
      </c>
      <c r="H88" s="19">
        <v>43798</v>
      </c>
      <c r="I88" s="3">
        <v>626</v>
      </c>
      <c r="J88" s="3" t="s">
        <v>58</v>
      </c>
      <c r="K88" s="37" t="s">
        <v>59</v>
      </c>
      <c r="L88" s="33">
        <v>44187</v>
      </c>
      <c r="M88" s="41" t="s">
        <v>871</v>
      </c>
      <c r="N88" s="40">
        <v>44440</v>
      </c>
      <c r="O88" s="33">
        <v>44152</v>
      </c>
      <c r="P88" s="33"/>
      <c r="Q88" s="16" t="s">
        <v>75</v>
      </c>
      <c r="R88" s="16" t="s">
        <v>75</v>
      </c>
      <c r="S88" s="37" t="s">
        <v>68</v>
      </c>
      <c r="T88" s="282" t="s">
        <v>68</v>
      </c>
      <c r="U88" s="37" t="s">
        <v>68</v>
      </c>
      <c r="V88" s="37"/>
      <c r="W88" s="37"/>
      <c r="X88" s="37"/>
      <c r="Y88" s="37"/>
      <c r="Z88" s="429"/>
      <c r="AA88" s="429"/>
      <c r="AB88" s="24"/>
      <c r="AC88" s="24"/>
      <c r="AD88" s="281">
        <v>44603</v>
      </c>
      <c r="AE88" s="343">
        <v>45381</v>
      </c>
      <c r="AF88" s="365"/>
      <c r="AG88" s="343">
        <v>45489</v>
      </c>
      <c r="AH88" s="343">
        <v>45489</v>
      </c>
      <c r="AI88" s="343">
        <v>45489</v>
      </c>
      <c r="AJ88" s="58" t="s">
        <v>63</v>
      </c>
      <c r="AK88" s="343">
        <v>45489</v>
      </c>
      <c r="AL88" s="343">
        <v>45489</v>
      </c>
      <c r="AM88" s="343">
        <v>45489</v>
      </c>
    </row>
    <row r="89" spans="1:40" ht="22.8" x14ac:dyDescent="0.25">
      <c r="A89" s="28">
        <v>88</v>
      </c>
      <c r="B89" s="20">
        <v>37276</v>
      </c>
      <c r="C89" s="27" t="s">
        <v>54</v>
      </c>
      <c r="D89" s="17" t="s">
        <v>2183</v>
      </c>
      <c r="E89" s="20" t="s">
        <v>1933</v>
      </c>
      <c r="F89" s="29" t="s">
        <v>2093</v>
      </c>
      <c r="G89" s="29" t="s">
        <v>15</v>
      </c>
      <c r="H89" s="19">
        <v>43798</v>
      </c>
      <c r="I89" s="3">
        <v>627</v>
      </c>
      <c r="J89" s="3" t="s">
        <v>58</v>
      </c>
      <c r="K89" s="37" t="s">
        <v>59</v>
      </c>
      <c r="L89" s="33">
        <v>44187</v>
      </c>
      <c r="M89" s="41" t="s">
        <v>871</v>
      </c>
      <c r="N89" s="40">
        <v>44440</v>
      </c>
      <c r="O89" s="33">
        <v>44152</v>
      </c>
      <c r="P89" s="33"/>
      <c r="Q89" s="16" t="s">
        <v>75</v>
      </c>
      <c r="R89" s="16" t="s">
        <v>75</v>
      </c>
      <c r="S89" s="37" t="s">
        <v>62</v>
      </c>
      <c r="T89" s="37" t="s">
        <v>62</v>
      </c>
      <c r="U89" s="37" t="s">
        <v>62</v>
      </c>
      <c r="V89" s="37"/>
      <c r="W89" s="37"/>
      <c r="X89" s="37"/>
      <c r="Y89" s="37"/>
      <c r="Z89" s="429"/>
      <c r="AA89" s="429"/>
      <c r="AB89" s="24"/>
      <c r="AC89" s="24"/>
      <c r="AD89" s="281">
        <v>44603</v>
      </c>
      <c r="AE89" s="343">
        <v>45381</v>
      </c>
      <c r="AF89" s="365"/>
      <c r="AG89" s="343">
        <v>45489</v>
      </c>
      <c r="AH89" s="343">
        <v>45489</v>
      </c>
      <c r="AI89" s="343">
        <v>45489</v>
      </c>
      <c r="AJ89" s="58" t="s">
        <v>63</v>
      </c>
      <c r="AK89" s="343">
        <v>45489</v>
      </c>
      <c r="AL89" s="343">
        <v>45489</v>
      </c>
      <c r="AM89" s="343">
        <v>45489</v>
      </c>
    </row>
    <row r="90" spans="1:40" ht="22.8" x14ac:dyDescent="0.25">
      <c r="A90" s="28">
        <v>89</v>
      </c>
      <c r="B90" s="20">
        <v>37323</v>
      </c>
      <c r="C90" s="27" t="s">
        <v>64</v>
      </c>
      <c r="D90" s="3" t="s">
        <v>2184</v>
      </c>
      <c r="E90" s="20" t="s">
        <v>1933</v>
      </c>
      <c r="F90" s="29" t="s">
        <v>2093</v>
      </c>
      <c r="G90" s="29" t="s">
        <v>15</v>
      </c>
      <c r="H90" s="19">
        <v>43858</v>
      </c>
      <c r="I90" s="3">
        <v>698</v>
      </c>
      <c r="J90" s="3" t="s">
        <v>58</v>
      </c>
      <c r="K90" s="37" t="s">
        <v>59</v>
      </c>
      <c r="L90" s="33">
        <v>44121</v>
      </c>
      <c r="M90" s="41" t="s">
        <v>871</v>
      </c>
      <c r="N90" s="40">
        <v>44482</v>
      </c>
      <c r="O90" s="33">
        <v>44168</v>
      </c>
      <c r="P90" s="33"/>
      <c r="Q90" s="16" t="s">
        <v>75</v>
      </c>
      <c r="R90" s="16" t="s">
        <v>75</v>
      </c>
      <c r="S90" s="37" t="s">
        <v>68</v>
      </c>
      <c r="T90" s="37" t="s">
        <v>68</v>
      </c>
      <c r="U90" s="16" t="s">
        <v>68</v>
      </c>
      <c r="V90" s="16"/>
      <c r="W90" s="16"/>
      <c r="X90" s="16"/>
      <c r="Y90" s="16"/>
      <c r="Z90" s="432"/>
      <c r="AA90" s="432"/>
      <c r="AB90" s="24"/>
      <c r="AC90" s="24"/>
      <c r="AD90" s="281">
        <v>44674</v>
      </c>
      <c r="AE90" s="343">
        <v>45525</v>
      </c>
      <c r="AF90" s="365"/>
      <c r="AG90" s="343">
        <v>45539</v>
      </c>
      <c r="AH90" s="343">
        <v>45539</v>
      </c>
      <c r="AI90" s="343">
        <v>45534</v>
      </c>
      <c r="AJ90" s="58" t="s">
        <v>63</v>
      </c>
      <c r="AK90" s="386">
        <v>45525</v>
      </c>
      <c r="AL90" s="386">
        <v>45525</v>
      </c>
      <c r="AM90" s="343">
        <v>45538</v>
      </c>
    </row>
    <row r="91" spans="1:40" ht="22.8" x14ac:dyDescent="0.25">
      <c r="A91" s="28">
        <v>90</v>
      </c>
      <c r="B91" s="20">
        <v>37323</v>
      </c>
      <c r="C91" s="27" t="s">
        <v>54</v>
      </c>
      <c r="D91" s="3" t="s">
        <v>2185</v>
      </c>
      <c r="E91" s="20" t="s">
        <v>1933</v>
      </c>
      <c r="F91" s="29" t="s">
        <v>2093</v>
      </c>
      <c r="G91" s="29" t="s">
        <v>15</v>
      </c>
      <c r="H91" s="19">
        <v>43858</v>
      </c>
      <c r="I91" s="3">
        <v>704</v>
      </c>
      <c r="J91" s="3" t="s">
        <v>58</v>
      </c>
      <c r="K91" s="37" t="s">
        <v>59</v>
      </c>
      <c r="L91" s="33">
        <v>44121</v>
      </c>
      <c r="M91" s="41" t="s">
        <v>871</v>
      </c>
      <c r="N91" s="40">
        <v>44482</v>
      </c>
      <c r="O91" s="33">
        <v>44168</v>
      </c>
      <c r="P91" s="33"/>
      <c r="Q91" s="16" t="s">
        <v>75</v>
      </c>
      <c r="R91" s="16" t="s">
        <v>75</v>
      </c>
      <c r="S91" s="37" t="s">
        <v>62</v>
      </c>
      <c r="T91" s="37" t="s">
        <v>62</v>
      </c>
      <c r="U91" s="16" t="s">
        <v>62</v>
      </c>
      <c r="V91" s="16"/>
      <c r="W91" s="16"/>
      <c r="X91" s="16"/>
      <c r="Y91" s="16"/>
      <c r="Z91" s="432"/>
      <c r="AA91" s="432"/>
      <c r="AB91" s="24"/>
      <c r="AC91" s="24"/>
      <c r="AD91" s="281">
        <v>44674</v>
      </c>
      <c r="AE91" s="343">
        <v>45525</v>
      </c>
      <c r="AF91" s="365"/>
      <c r="AG91" s="343">
        <v>45539</v>
      </c>
      <c r="AH91" s="343">
        <v>45539</v>
      </c>
      <c r="AI91" s="343">
        <v>45534</v>
      </c>
      <c r="AJ91" s="58" t="s">
        <v>63</v>
      </c>
      <c r="AK91" s="386">
        <v>45525</v>
      </c>
      <c r="AL91" s="386">
        <v>45525</v>
      </c>
      <c r="AM91" s="343">
        <v>45538</v>
      </c>
    </row>
    <row r="92" spans="1:40" ht="14.4" x14ac:dyDescent="0.25">
      <c r="A92" s="28">
        <v>91</v>
      </c>
      <c r="B92" s="20">
        <v>37325</v>
      </c>
      <c r="C92" s="27" t="s">
        <v>64</v>
      </c>
      <c r="D92" s="3" t="s">
        <v>2186</v>
      </c>
      <c r="E92" s="20" t="s">
        <v>1933</v>
      </c>
      <c r="F92" s="29" t="s">
        <v>2093</v>
      </c>
      <c r="G92" s="29" t="s">
        <v>15</v>
      </c>
      <c r="H92" s="19">
        <v>43860</v>
      </c>
      <c r="I92" s="3">
        <v>684</v>
      </c>
      <c r="J92" s="3" t="s">
        <v>58</v>
      </c>
      <c r="K92" s="16"/>
      <c r="L92" s="33"/>
      <c r="M92" s="41" t="s">
        <v>871</v>
      </c>
      <c r="N92" s="40">
        <v>44596</v>
      </c>
      <c r="O92" s="33">
        <v>44282</v>
      </c>
      <c r="P92" s="33"/>
      <c r="Q92" s="16" t="s">
        <v>75</v>
      </c>
      <c r="R92" s="16" t="s">
        <v>75</v>
      </c>
      <c r="S92" s="37" t="s">
        <v>68</v>
      </c>
      <c r="T92" s="37" t="s">
        <v>68</v>
      </c>
      <c r="U92" s="37" t="s">
        <v>68</v>
      </c>
      <c r="V92" s="16"/>
      <c r="W92" s="16"/>
      <c r="X92" s="16"/>
      <c r="Y92" s="16"/>
      <c r="Z92" s="432"/>
      <c r="AA92" s="432"/>
      <c r="AB92" s="24"/>
      <c r="AC92" s="24"/>
      <c r="AD92" s="281">
        <v>44596</v>
      </c>
      <c r="AE92" s="343">
        <v>45324</v>
      </c>
      <c r="AF92" s="365"/>
      <c r="AG92" s="343">
        <v>45518</v>
      </c>
      <c r="AH92" s="343">
        <v>45518</v>
      </c>
      <c r="AI92" s="343">
        <v>45324</v>
      </c>
      <c r="AJ92" s="58" t="s">
        <v>63</v>
      </c>
      <c r="AK92" s="386">
        <v>45518</v>
      </c>
      <c r="AL92" s="386">
        <v>45518</v>
      </c>
      <c r="AM92" s="386">
        <v>45615</v>
      </c>
    </row>
    <row r="93" spans="1:40" ht="14.4" x14ac:dyDescent="0.25">
      <c r="A93" s="28">
        <v>92</v>
      </c>
      <c r="B93" s="20">
        <v>37325</v>
      </c>
      <c r="C93" s="27" t="s">
        <v>54</v>
      </c>
      <c r="D93" s="3" t="s">
        <v>2187</v>
      </c>
      <c r="E93" s="20" t="s">
        <v>1933</v>
      </c>
      <c r="F93" s="29" t="s">
        <v>2093</v>
      </c>
      <c r="G93" s="29" t="s">
        <v>15</v>
      </c>
      <c r="H93" s="19">
        <v>43860</v>
      </c>
      <c r="I93" s="3">
        <v>685</v>
      </c>
      <c r="J93" s="3" t="s">
        <v>58</v>
      </c>
      <c r="K93" s="16"/>
      <c r="L93" s="33"/>
      <c r="M93" s="41" t="s">
        <v>871</v>
      </c>
      <c r="N93" s="40">
        <v>44596</v>
      </c>
      <c r="O93" s="33">
        <v>44282</v>
      </c>
      <c r="P93" s="33"/>
      <c r="Q93" s="16" t="s">
        <v>75</v>
      </c>
      <c r="R93" s="16" t="s">
        <v>75</v>
      </c>
      <c r="S93" s="37" t="s">
        <v>62</v>
      </c>
      <c r="T93" s="37" t="s">
        <v>62</v>
      </c>
      <c r="U93" s="37" t="s">
        <v>62</v>
      </c>
      <c r="V93" s="16"/>
      <c r="W93" s="16"/>
      <c r="X93" s="16"/>
      <c r="Y93" s="16"/>
      <c r="Z93" s="432"/>
      <c r="AA93" s="432"/>
      <c r="AB93" s="24"/>
      <c r="AC93" s="24"/>
      <c r="AD93" s="281">
        <v>44596</v>
      </c>
      <c r="AE93" s="343">
        <v>45324</v>
      </c>
      <c r="AF93" s="365"/>
      <c r="AG93" s="343">
        <v>45518</v>
      </c>
      <c r="AH93" s="343">
        <v>45518</v>
      </c>
      <c r="AI93" s="343">
        <v>45324</v>
      </c>
      <c r="AJ93" s="58" t="s">
        <v>63</v>
      </c>
      <c r="AK93" s="386">
        <v>45518</v>
      </c>
      <c r="AL93" s="386">
        <v>45518</v>
      </c>
      <c r="AM93" s="386">
        <v>45615</v>
      </c>
    </row>
    <row r="94" spans="1:40" ht="22.8" x14ac:dyDescent="0.25">
      <c r="A94" s="28">
        <v>93</v>
      </c>
      <c r="B94" s="20">
        <v>37329</v>
      </c>
      <c r="C94" s="27" t="s">
        <v>64</v>
      </c>
      <c r="D94" s="3" t="s">
        <v>2188</v>
      </c>
      <c r="E94" s="20" t="s">
        <v>1933</v>
      </c>
      <c r="F94" s="29" t="s">
        <v>2093</v>
      </c>
      <c r="G94" s="29" t="s">
        <v>15</v>
      </c>
      <c r="H94" s="19">
        <v>43867</v>
      </c>
      <c r="I94" s="3">
        <v>693</v>
      </c>
      <c r="J94" s="3" t="s">
        <v>58</v>
      </c>
      <c r="K94" s="37" t="s">
        <v>59</v>
      </c>
      <c r="L94" s="33">
        <v>44045</v>
      </c>
      <c r="M94" s="41" t="s">
        <v>871</v>
      </c>
      <c r="N94" s="40">
        <v>44271</v>
      </c>
      <c r="O94" s="33">
        <v>43869</v>
      </c>
      <c r="P94" s="343">
        <v>45588</v>
      </c>
      <c r="Q94" s="16" t="s">
        <v>75</v>
      </c>
      <c r="R94" s="16" t="s">
        <v>75</v>
      </c>
      <c r="S94" s="37" t="s">
        <v>68</v>
      </c>
      <c r="T94" s="37" t="s">
        <v>68</v>
      </c>
      <c r="U94" s="16" t="s">
        <v>68</v>
      </c>
      <c r="V94" s="16"/>
      <c r="W94" s="16"/>
      <c r="X94" s="16"/>
      <c r="Y94" s="16"/>
      <c r="Z94" s="432"/>
      <c r="AA94" s="432"/>
      <c r="AB94" s="1116" t="s">
        <v>2481</v>
      </c>
      <c r="AC94" s="24"/>
      <c r="AD94" s="281">
        <v>44661</v>
      </c>
      <c r="AE94" s="343">
        <v>45355</v>
      </c>
      <c r="AF94" s="365"/>
      <c r="AG94" s="343">
        <v>45498</v>
      </c>
      <c r="AH94" s="343">
        <v>45498</v>
      </c>
      <c r="AI94" s="343">
        <v>45355</v>
      </c>
      <c r="AK94" s="343">
        <v>45460</v>
      </c>
      <c r="AL94" s="343">
        <v>45460</v>
      </c>
      <c r="AM94" s="343">
        <v>45563</v>
      </c>
      <c r="AN94" s="381"/>
    </row>
    <row r="95" spans="1:40" ht="22.8" x14ac:dyDescent="0.25">
      <c r="A95" s="28">
        <v>94</v>
      </c>
      <c r="B95" s="20">
        <v>37329</v>
      </c>
      <c r="C95" s="27" t="s">
        <v>54</v>
      </c>
      <c r="D95" s="3" t="s">
        <v>2189</v>
      </c>
      <c r="E95" s="20" t="s">
        <v>1933</v>
      </c>
      <c r="F95" s="29" t="s">
        <v>2093</v>
      </c>
      <c r="G95" s="29" t="s">
        <v>15</v>
      </c>
      <c r="H95" s="19">
        <v>43867</v>
      </c>
      <c r="I95" s="3">
        <v>701</v>
      </c>
      <c r="J95" s="3" t="s">
        <v>58</v>
      </c>
      <c r="K95" s="37" t="s">
        <v>59</v>
      </c>
      <c r="L95" s="33">
        <v>44045</v>
      </c>
      <c r="M95" s="41" t="s">
        <v>871</v>
      </c>
      <c r="N95" s="40">
        <v>44193</v>
      </c>
      <c r="O95" s="33">
        <v>43869</v>
      </c>
      <c r="P95" s="343">
        <v>45588</v>
      </c>
      <c r="Q95" s="16" t="s">
        <v>75</v>
      </c>
      <c r="R95" s="16" t="s">
        <v>75</v>
      </c>
      <c r="S95" s="37" t="s">
        <v>62</v>
      </c>
      <c r="T95" s="37" t="s">
        <v>62</v>
      </c>
      <c r="U95" s="16" t="s">
        <v>62</v>
      </c>
      <c r="V95" s="16"/>
      <c r="W95" s="16"/>
      <c r="X95" s="16"/>
      <c r="Y95" s="16"/>
      <c r="Z95" s="432"/>
      <c r="AA95" s="432"/>
      <c r="AB95" s="24"/>
      <c r="AC95" s="24"/>
      <c r="AD95" s="281">
        <v>44661</v>
      </c>
      <c r="AE95" s="343">
        <v>45355</v>
      </c>
      <c r="AF95" s="365"/>
      <c r="AG95" s="343">
        <v>45498</v>
      </c>
      <c r="AH95" s="343">
        <v>45498</v>
      </c>
      <c r="AI95" s="343">
        <v>45355</v>
      </c>
      <c r="AJ95" s="58" t="s">
        <v>63</v>
      </c>
      <c r="AK95" s="343">
        <v>45460</v>
      </c>
      <c r="AL95" s="343">
        <v>45460</v>
      </c>
      <c r="AM95" s="343">
        <v>45563</v>
      </c>
    </row>
    <row r="96" spans="1:40" ht="22.8" x14ac:dyDescent="0.25">
      <c r="A96" s="28">
        <v>95</v>
      </c>
      <c r="B96" s="20">
        <v>37333</v>
      </c>
      <c r="C96" s="27" t="s">
        <v>64</v>
      </c>
      <c r="D96" s="56" t="s">
        <v>2190</v>
      </c>
      <c r="E96" s="20" t="s">
        <v>1933</v>
      </c>
      <c r="F96" s="29" t="s">
        <v>2093</v>
      </c>
      <c r="G96" s="29" t="s">
        <v>15</v>
      </c>
      <c r="H96" s="19">
        <v>43879</v>
      </c>
      <c r="I96" s="3">
        <v>585</v>
      </c>
      <c r="J96" s="3" t="s">
        <v>58</v>
      </c>
      <c r="K96" s="37" t="s">
        <v>59</v>
      </c>
      <c r="L96" s="33">
        <v>44086</v>
      </c>
      <c r="M96" s="41" t="s">
        <v>871</v>
      </c>
      <c r="N96" s="40">
        <v>44601</v>
      </c>
      <c r="O96" s="33"/>
      <c r="P96" s="33"/>
      <c r="Q96" s="16" t="s">
        <v>75</v>
      </c>
      <c r="R96" s="16" t="s">
        <v>75</v>
      </c>
      <c r="S96" s="37" t="s">
        <v>68</v>
      </c>
      <c r="T96" s="37" t="s">
        <v>68</v>
      </c>
      <c r="U96" s="16" t="s">
        <v>68</v>
      </c>
      <c r="V96" s="16"/>
      <c r="W96" s="16"/>
      <c r="X96" s="16"/>
      <c r="Y96" s="16"/>
      <c r="Z96" s="432"/>
      <c r="AA96" s="432"/>
      <c r="AB96" s="24"/>
      <c r="AC96" s="24"/>
      <c r="AD96" s="281">
        <v>44601</v>
      </c>
      <c r="AE96" s="281">
        <v>45356</v>
      </c>
      <c r="AF96" s="365"/>
      <c r="AG96" s="343">
        <v>45497</v>
      </c>
      <c r="AH96" s="343">
        <v>45497</v>
      </c>
      <c r="AI96" s="343">
        <v>45356</v>
      </c>
      <c r="AJ96" s="58" t="s">
        <v>63</v>
      </c>
      <c r="AK96" s="386">
        <v>45556</v>
      </c>
      <c r="AL96" s="386">
        <v>45556</v>
      </c>
      <c r="AM96" s="386">
        <v>45555</v>
      </c>
      <c r="AN96" s="381"/>
    </row>
    <row r="97" spans="1:40" ht="22.8" x14ac:dyDescent="0.25">
      <c r="A97" s="28">
        <v>96</v>
      </c>
      <c r="B97" s="20">
        <v>37333</v>
      </c>
      <c r="C97" s="27" t="s">
        <v>54</v>
      </c>
      <c r="D97" s="56" t="s">
        <v>2191</v>
      </c>
      <c r="E97" s="20" t="s">
        <v>1933</v>
      </c>
      <c r="F97" s="29" t="s">
        <v>2093</v>
      </c>
      <c r="G97" s="29" t="s">
        <v>15</v>
      </c>
      <c r="H97" s="19">
        <v>43879</v>
      </c>
      <c r="I97" s="3">
        <v>706</v>
      </c>
      <c r="J97" s="3" t="s">
        <v>58</v>
      </c>
      <c r="K97" s="37" t="s">
        <v>59</v>
      </c>
      <c r="L97" s="33">
        <v>44086</v>
      </c>
      <c r="M97" s="41" t="s">
        <v>871</v>
      </c>
      <c r="N97" s="40">
        <v>44601</v>
      </c>
      <c r="O97" s="33"/>
      <c r="P97" s="33"/>
      <c r="Q97" s="16" t="s">
        <v>75</v>
      </c>
      <c r="R97" s="16" t="s">
        <v>75</v>
      </c>
      <c r="S97" s="37" t="s">
        <v>62</v>
      </c>
      <c r="T97" s="37" t="s">
        <v>62</v>
      </c>
      <c r="U97" s="16" t="s">
        <v>62</v>
      </c>
      <c r="V97" s="16"/>
      <c r="W97" s="16"/>
      <c r="X97" s="16"/>
      <c r="Y97" s="16"/>
      <c r="Z97" s="432"/>
      <c r="AA97" s="432"/>
      <c r="AB97" s="24"/>
      <c r="AC97" s="24"/>
      <c r="AD97" s="281">
        <v>44601</v>
      </c>
      <c r="AE97" s="281">
        <v>45137</v>
      </c>
      <c r="AF97" s="365"/>
      <c r="AG97" s="343">
        <v>45497</v>
      </c>
      <c r="AH97" s="343">
        <v>45497</v>
      </c>
      <c r="AI97" s="343">
        <v>45356</v>
      </c>
      <c r="AJ97" s="58" t="s">
        <v>63</v>
      </c>
      <c r="AK97" s="386">
        <v>45556</v>
      </c>
      <c r="AL97" s="386">
        <v>45556</v>
      </c>
      <c r="AM97" s="386">
        <v>45555</v>
      </c>
    </row>
    <row r="98" spans="1:40" ht="22.8" x14ac:dyDescent="0.25">
      <c r="A98" s="28">
        <v>97</v>
      </c>
      <c r="B98" s="20">
        <v>37335</v>
      </c>
      <c r="C98" s="27" t="s">
        <v>64</v>
      </c>
      <c r="D98" s="56" t="s">
        <v>2192</v>
      </c>
      <c r="E98" s="20" t="s">
        <v>1933</v>
      </c>
      <c r="F98" s="29" t="s">
        <v>2093</v>
      </c>
      <c r="G98" s="29" t="s">
        <v>15</v>
      </c>
      <c r="H98" s="19">
        <v>43880</v>
      </c>
      <c r="I98" s="3">
        <v>697</v>
      </c>
      <c r="J98" s="3" t="s">
        <v>58</v>
      </c>
      <c r="K98" s="37" t="s">
        <v>59</v>
      </c>
      <c r="L98" s="33" t="s">
        <v>63</v>
      </c>
      <c r="M98" s="41" t="s">
        <v>871</v>
      </c>
      <c r="N98" s="40">
        <v>44524</v>
      </c>
      <c r="O98" s="33"/>
      <c r="P98" s="33"/>
      <c r="Q98" s="16" t="s">
        <v>75</v>
      </c>
      <c r="R98" s="16" t="s">
        <v>75</v>
      </c>
      <c r="S98" s="37" t="s">
        <v>68</v>
      </c>
      <c r="T98" s="37" t="s">
        <v>68</v>
      </c>
      <c r="U98" s="16" t="s">
        <v>68</v>
      </c>
      <c r="V98" s="16"/>
      <c r="W98" s="16"/>
      <c r="X98" s="16"/>
      <c r="Y98" s="16"/>
      <c r="Z98" s="432"/>
      <c r="AA98" s="432"/>
      <c r="AB98" s="24"/>
      <c r="AC98" s="24"/>
      <c r="AD98" s="281">
        <v>44668</v>
      </c>
      <c r="AE98" s="343">
        <v>45507</v>
      </c>
      <c r="AF98" s="365"/>
      <c r="AG98" s="343">
        <v>45507</v>
      </c>
      <c r="AH98" s="343">
        <v>45401</v>
      </c>
      <c r="AI98" s="343">
        <v>45401</v>
      </c>
      <c r="AJ98" s="58" t="s">
        <v>63</v>
      </c>
      <c r="AK98" s="386">
        <v>45507</v>
      </c>
      <c r="AL98" s="386">
        <v>45507</v>
      </c>
      <c r="AM98" s="343">
        <v>45601</v>
      </c>
    </row>
    <row r="99" spans="1:40" ht="22.8" x14ac:dyDescent="0.25">
      <c r="A99" s="28">
        <v>98</v>
      </c>
      <c r="B99" s="20">
        <v>37335</v>
      </c>
      <c r="C99" s="27" t="s">
        <v>54</v>
      </c>
      <c r="D99" s="56" t="s">
        <v>2193</v>
      </c>
      <c r="E99" s="20" t="s">
        <v>1933</v>
      </c>
      <c r="F99" s="29" t="s">
        <v>2093</v>
      </c>
      <c r="G99" s="29" t="s">
        <v>15</v>
      </c>
      <c r="H99" s="19">
        <v>43880</v>
      </c>
      <c r="I99" s="3">
        <v>572</v>
      </c>
      <c r="J99" s="3" t="s">
        <v>58</v>
      </c>
      <c r="K99" s="37" t="s">
        <v>59</v>
      </c>
      <c r="L99" s="33" t="s">
        <v>63</v>
      </c>
      <c r="M99" s="41" t="s">
        <v>871</v>
      </c>
      <c r="N99" s="40">
        <v>44524</v>
      </c>
      <c r="O99" s="33"/>
      <c r="P99" s="33"/>
      <c r="Q99" s="16" t="s">
        <v>75</v>
      </c>
      <c r="R99" s="16" t="s">
        <v>75</v>
      </c>
      <c r="S99" s="37" t="s">
        <v>62</v>
      </c>
      <c r="T99" s="37" t="s">
        <v>62</v>
      </c>
      <c r="U99" s="16" t="s">
        <v>62</v>
      </c>
      <c r="V99" s="16"/>
      <c r="W99" s="16"/>
      <c r="X99" s="16"/>
      <c r="Y99" s="16"/>
      <c r="Z99" s="432"/>
      <c r="AA99" s="432"/>
      <c r="AB99" s="24"/>
      <c r="AC99" s="24"/>
      <c r="AD99" s="281">
        <v>44668</v>
      </c>
      <c r="AE99" s="343">
        <v>45507</v>
      </c>
      <c r="AF99" s="365"/>
      <c r="AG99" s="343">
        <v>45507</v>
      </c>
      <c r="AH99" s="343">
        <v>45401</v>
      </c>
      <c r="AI99" s="343">
        <v>45401</v>
      </c>
      <c r="AJ99" s="58" t="s">
        <v>63</v>
      </c>
      <c r="AK99" s="386">
        <v>45507</v>
      </c>
      <c r="AL99" s="386">
        <v>45507</v>
      </c>
      <c r="AM99" s="343">
        <v>45601</v>
      </c>
    </row>
    <row r="100" spans="1:40" ht="22.8" x14ac:dyDescent="0.25">
      <c r="A100" s="28">
        <v>99</v>
      </c>
      <c r="B100" s="20">
        <v>37434</v>
      </c>
      <c r="C100" s="27" t="s">
        <v>64</v>
      </c>
      <c r="D100" s="56" t="s">
        <v>2194</v>
      </c>
      <c r="E100" s="20" t="s">
        <v>2092</v>
      </c>
      <c r="F100" s="29" t="s">
        <v>2093</v>
      </c>
      <c r="G100" s="29" t="s">
        <v>15</v>
      </c>
      <c r="H100" s="19">
        <v>44072</v>
      </c>
      <c r="I100" s="3">
        <v>839</v>
      </c>
      <c r="J100" s="3" t="s">
        <v>58</v>
      </c>
      <c r="K100" s="37" t="s">
        <v>59</v>
      </c>
      <c r="L100" s="33">
        <v>44187</v>
      </c>
      <c r="M100" s="41" t="s">
        <v>871</v>
      </c>
      <c r="N100" s="33">
        <v>44478</v>
      </c>
      <c r="O100" s="33"/>
      <c r="P100" s="33">
        <v>45522</v>
      </c>
      <c r="Q100" s="16" t="s">
        <v>75</v>
      </c>
      <c r="R100" s="16" t="s">
        <v>75</v>
      </c>
      <c r="S100" s="37" t="s">
        <v>68</v>
      </c>
      <c r="T100" s="37" t="s">
        <v>68</v>
      </c>
      <c r="U100" s="37" t="s">
        <v>68</v>
      </c>
      <c r="V100" s="37" t="s">
        <v>68</v>
      </c>
      <c r="W100" s="16"/>
      <c r="X100" s="16" t="s">
        <v>75</v>
      </c>
      <c r="Y100" s="16"/>
      <c r="Z100" s="432"/>
      <c r="AA100" s="432"/>
      <c r="AB100" s="24"/>
      <c r="AC100" s="24"/>
      <c r="AD100" s="281">
        <v>44597</v>
      </c>
      <c r="AE100" s="281">
        <v>45602</v>
      </c>
      <c r="AF100" s="343">
        <v>45321</v>
      </c>
      <c r="AG100" s="143">
        <v>45464</v>
      </c>
      <c r="AH100" s="343">
        <v>45355</v>
      </c>
      <c r="AI100" s="343">
        <v>45321</v>
      </c>
      <c r="AJ100" s="58" t="s">
        <v>63</v>
      </c>
      <c r="AK100" s="343">
        <v>45469</v>
      </c>
      <c r="AM100" s="343">
        <v>45687</v>
      </c>
      <c r="AN100" s="381"/>
    </row>
    <row r="101" spans="1:40" ht="22.8" x14ac:dyDescent="0.25">
      <c r="A101" s="28">
        <v>100</v>
      </c>
      <c r="B101" s="20">
        <v>37434</v>
      </c>
      <c r="C101" s="27" t="s">
        <v>54</v>
      </c>
      <c r="D101" s="56" t="s">
        <v>2195</v>
      </c>
      <c r="E101" s="20" t="s">
        <v>2092</v>
      </c>
      <c r="F101" s="29" t="s">
        <v>2093</v>
      </c>
      <c r="G101" s="29" t="s">
        <v>15</v>
      </c>
      <c r="H101" s="19">
        <v>44072</v>
      </c>
      <c r="I101" s="3">
        <v>837</v>
      </c>
      <c r="J101" s="3" t="s">
        <v>58</v>
      </c>
      <c r="K101" s="37" t="s">
        <v>59</v>
      </c>
      <c r="L101" s="33">
        <v>44187</v>
      </c>
      <c r="M101" s="41" t="s">
        <v>871</v>
      </c>
      <c r="N101" s="33">
        <v>44478</v>
      </c>
      <c r="O101" s="33"/>
      <c r="P101" s="33">
        <v>45522</v>
      </c>
      <c r="Q101" s="16" t="s">
        <v>75</v>
      </c>
      <c r="R101" s="16" t="s">
        <v>75</v>
      </c>
      <c r="S101" s="37" t="s">
        <v>62</v>
      </c>
      <c r="T101" s="37" t="s">
        <v>62</v>
      </c>
      <c r="U101" s="37" t="s">
        <v>62</v>
      </c>
      <c r="V101" s="37" t="s">
        <v>62</v>
      </c>
      <c r="W101" s="16"/>
      <c r="X101" s="16" t="s">
        <v>75</v>
      </c>
      <c r="Y101" s="16"/>
      <c r="Z101" s="432"/>
      <c r="AA101" s="432"/>
      <c r="AB101" s="24"/>
      <c r="AC101" s="24"/>
      <c r="AD101" s="281">
        <v>44597</v>
      </c>
      <c r="AE101" s="281">
        <v>45602</v>
      </c>
      <c r="AF101" s="343">
        <v>45321</v>
      </c>
      <c r="AG101" s="143">
        <v>45464</v>
      </c>
      <c r="AH101" s="343">
        <v>45355</v>
      </c>
      <c r="AI101" s="343">
        <v>45321</v>
      </c>
      <c r="AJ101" s="58" t="s">
        <v>63</v>
      </c>
      <c r="AK101" s="343">
        <v>45469</v>
      </c>
      <c r="AM101" s="343">
        <v>45687</v>
      </c>
      <c r="AN101" s="381"/>
    </row>
    <row r="102" spans="1:40" ht="22.8" x14ac:dyDescent="0.25">
      <c r="A102" s="28">
        <v>101</v>
      </c>
      <c r="B102" s="20">
        <v>37443</v>
      </c>
      <c r="C102" s="27" t="s">
        <v>64</v>
      </c>
      <c r="D102" s="56" t="s">
        <v>2196</v>
      </c>
      <c r="E102" s="20" t="s">
        <v>2092</v>
      </c>
      <c r="F102" s="29" t="s">
        <v>2093</v>
      </c>
      <c r="G102" s="29" t="s">
        <v>15</v>
      </c>
      <c r="H102" s="19">
        <v>44081</v>
      </c>
      <c r="I102" s="3">
        <v>841</v>
      </c>
      <c r="J102" s="3" t="s">
        <v>58</v>
      </c>
      <c r="K102" s="37" t="s">
        <v>59</v>
      </c>
      <c r="L102" s="33" t="s">
        <v>63</v>
      </c>
      <c r="M102" s="41" t="s">
        <v>871</v>
      </c>
      <c r="N102" s="33">
        <v>44596</v>
      </c>
      <c r="O102" s="33"/>
      <c r="P102" s="33"/>
      <c r="Q102" s="16" t="s">
        <v>75</v>
      </c>
      <c r="R102" s="16" t="s">
        <v>75</v>
      </c>
      <c r="S102" s="37" t="s">
        <v>68</v>
      </c>
      <c r="T102" s="37" t="s">
        <v>68</v>
      </c>
      <c r="U102" s="37" t="s">
        <v>68</v>
      </c>
      <c r="V102" s="16"/>
      <c r="W102" s="16"/>
      <c r="X102" s="16" t="s">
        <v>75</v>
      </c>
      <c r="Y102" s="16"/>
      <c r="Z102" s="432"/>
      <c r="AA102" s="432"/>
      <c r="AB102" s="24" t="s">
        <v>2482</v>
      </c>
      <c r="AC102" s="24"/>
      <c r="AD102" s="281">
        <v>44596</v>
      </c>
      <c r="AE102" s="58"/>
      <c r="AF102" s="365" t="s">
        <v>63</v>
      </c>
      <c r="AG102" s="343">
        <v>45493</v>
      </c>
      <c r="AH102" s="343">
        <v>45493</v>
      </c>
      <c r="AI102" s="343">
        <v>45404</v>
      </c>
      <c r="AJ102" s="58" t="s">
        <v>63</v>
      </c>
      <c r="AK102" s="343">
        <v>45592</v>
      </c>
      <c r="AM102" s="343">
        <v>45667</v>
      </c>
    </row>
    <row r="103" spans="1:40" ht="22.8" x14ac:dyDescent="0.25">
      <c r="A103" s="28">
        <v>102</v>
      </c>
      <c r="B103" s="20">
        <v>37443</v>
      </c>
      <c r="C103" s="27" t="s">
        <v>54</v>
      </c>
      <c r="D103" s="56" t="s">
        <v>2197</v>
      </c>
      <c r="E103" s="20" t="s">
        <v>2092</v>
      </c>
      <c r="F103" s="29" t="s">
        <v>2093</v>
      </c>
      <c r="G103" s="29" t="s">
        <v>15</v>
      </c>
      <c r="H103" s="19">
        <v>44081</v>
      </c>
      <c r="I103" s="3">
        <v>846</v>
      </c>
      <c r="J103" s="3" t="s">
        <v>58</v>
      </c>
      <c r="K103" s="37" t="s">
        <v>59</v>
      </c>
      <c r="L103" s="33" t="s">
        <v>63</v>
      </c>
      <c r="M103" s="41" t="s">
        <v>871</v>
      </c>
      <c r="N103" s="33">
        <v>44596</v>
      </c>
      <c r="O103" s="33"/>
      <c r="P103" s="33"/>
      <c r="Q103" s="16" t="s">
        <v>75</v>
      </c>
      <c r="R103" s="16" t="s">
        <v>75</v>
      </c>
      <c r="S103" s="37" t="s">
        <v>62</v>
      </c>
      <c r="T103" s="37" t="s">
        <v>62</v>
      </c>
      <c r="U103" s="37" t="s">
        <v>62</v>
      </c>
      <c r="V103" s="16"/>
      <c r="W103" s="16"/>
      <c r="X103" s="16" t="s">
        <v>75</v>
      </c>
      <c r="Y103" s="16"/>
      <c r="Z103" s="432"/>
      <c r="AA103" s="432"/>
      <c r="AB103" s="24"/>
      <c r="AC103" s="24"/>
      <c r="AD103" s="281">
        <v>44596</v>
      </c>
      <c r="AE103" s="58"/>
      <c r="AF103" s="365" t="s">
        <v>63</v>
      </c>
      <c r="AG103" s="343">
        <v>45493</v>
      </c>
      <c r="AH103" s="343">
        <v>45493</v>
      </c>
      <c r="AI103" s="343">
        <v>45404</v>
      </c>
      <c r="AJ103" s="58" t="s">
        <v>63</v>
      </c>
      <c r="AK103" s="343">
        <v>45592</v>
      </c>
      <c r="AM103" s="343">
        <v>45667</v>
      </c>
    </row>
    <row r="104" spans="1:40" ht="22.8" x14ac:dyDescent="0.3">
      <c r="A104" s="28">
        <v>103</v>
      </c>
      <c r="B104" s="20">
        <v>37479</v>
      </c>
      <c r="C104" s="27" t="s">
        <v>64</v>
      </c>
      <c r="D104" s="56" t="s">
        <v>2198</v>
      </c>
      <c r="E104" s="20" t="s">
        <v>2092</v>
      </c>
      <c r="F104" s="29" t="s">
        <v>2093</v>
      </c>
      <c r="G104" s="29" t="s">
        <v>15</v>
      </c>
      <c r="H104" s="19">
        <v>44161</v>
      </c>
      <c r="I104" s="3">
        <v>899</v>
      </c>
      <c r="J104" s="3" t="s">
        <v>58</v>
      </c>
      <c r="K104" s="37" t="s">
        <v>59</v>
      </c>
      <c r="L104" s="16" t="s">
        <v>75</v>
      </c>
      <c r="M104" s="41" t="s">
        <v>871</v>
      </c>
      <c r="N104" s="33">
        <v>44198</v>
      </c>
      <c r="O104" s="33"/>
      <c r="P104" s="33">
        <v>45584</v>
      </c>
      <c r="Q104" s="16" t="s">
        <v>75</v>
      </c>
      <c r="R104" s="16" t="s">
        <v>75</v>
      </c>
      <c r="S104" s="37" t="s">
        <v>68</v>
      </c>
      <c r="T104" s="37" t="s">
        <v>68</v>
      </c>
      <c r="U104" s="16" t="s">
        <v>68</v>
      </c>
      <c r="V104" s="16"/>
      <c r="W104" s="16"/>
      <c r="X104" s="16" t="s">
        <v>75</v>
      </c>
      <c r="Y104" s="16"/>
      <c r="Z104" s="432"/>
      <c r="AA104" s="432"/>
      <c r="AB104" s="378" t="s">
        <v>2483</v>
      </c>
      <c r="AC104" s="24"/>
      <c r="AD104" s="281">
        <v>44613</v>
      </c>
      <c r="AE104" s="58"/>
      <c r="AF104" s="343">
        <v>45342</v>
      </c>
      <c r="AG104" s="143">
        <v>45527</v>
      </c>
      <c r="AH104" s="343">
        <v>45622</v>
      </c>
      <c r="AI104" s="143">
        <v>45342</v>
      </c>
      <c r="AJ104" s="58" t="s">
        <v>63</v>
      </c>
      <c r="AM104" s="343">
        <v>45622</v>
      </c>
    </row>
    <row r="105" spans="1:40" ht="22.8" x14ac:dyDescent="0.25">
      <c r="A105" s="28">
        <v>104</v>
      </c>
      <c r="B105" s="20">
        <v>37479</v>
      </c>
      <c r="C105" s="27" t="s">
        <v>54</v>
      </c>
      <c r="D105" s="56" t="s">
        <v>2199</v>
      </c>
      <c r="E105" s="20" t="s">
        <v>2092</v>
      </c>
      <c r="F105" s="29" t="s">
        <v>2093</v>
      </c>
      <c r="G105" s="29" t="s">
        <v>15</v>
      </c>
      <c r="H105" s="19">
        <v>44161</v>
      </c>
      <c r="I105" s="3">
        <v>903</v>
      </c>
      <c r="J105" s="3" t="s">
        <v>58</v>
      </c>
      <c r="K105" s="37" t="s">
        <v>59</v>
      </c>
      <c r="L105" s="16" t="s">
        <v>75</v>
      </c>
      <c r="M105" s="41" t="s">
        <v>871</v>
      </c>
      <c r="N105" s="33">
        <v>44198</v>
      </c>
      <c r="O105" s="33"/>
      <c r="P105" s="33">
        <v>45584</v>
      </c>
      <c r="Q105" s="16" t="s">
        <v>75</v>
      </c>
      <c r="R105" s="16" t="s">
        <v>75</v>
      </c>
      <c r="S105" s="37" t="s">
        <v>62</v>
      </c>
      <c r="T105" s="37" t="s">
        <v>62</v>
      </c>
      <c r="U105" s="16" t="s">
        <v>62</v>
      </c>
      <c r="V105" s="16"/>
      <c r="W105" s="16"/>
      <c r="X105" s="16" t="s">
        <v>75</v>
      </c>
      <c r="Y105" s="16"/>
      <c r="Z105" s="432"/>
      <c r="AA105" s="432"/>
      <c r="AB105" s="24" t="s">
        <v>2484</v>
      </c>
      <c r="AC105" s="24"/>
      <c r="AD105" s="281">
        <v>44613</v>
      </c>
      <c r="AE105" s="58"/>
      <c r="AF105" s="343">
        <v>45342</v>
      </c>
      <c r="AG105" s="143">
        <v>45527</v>
      </c>
      <c r="AH105" s="343">
        <v>45622</v>
      </c>
      <c r="AI105" s="143">
        <v>45342</v>
      </c>
      <c r="AJ105" s="58" t="s">
        <v>63</v>
      </c>
      <c r="AM105" s="343">
        <v>45622</v>
      </c>
    </row>
    <row r="106" spans="1:40" ht="22.8" x14ac:dyDescent="0.25">
      <c r="A106" s="28">
        <v>105</v>
      </c>
      <c r="B106" s="20">
        <v>37488</v>
      </c>
      <c r="C106" s="27" t="s">
        <v>64</v>
      </c>
      <c r="D106" s="56" t="s">
        <v>2200</v>
      </c>
      <c r="E106" s="20" t="s">
        <v>1933</v>
      </c>
      <c r="F106" s="29" t="s">
        <v>2093</v>
      </c>
      <c r="G106" s="29" t="s">
        <v>15</v>
      </c>
      <c r="H106" s="19">
        <v>44164</v>
      </c>
      <c r="I106" s="3">
        <v>948</v>
      </c>
      <c r="J106" s="3" t="s">
        <v>58</v>
      </c>
      <c r="K106" s="37" t="s">
        <v>59</v>
      </c>
      <c r="L106" s="16" t="s">
        <v>75</v>
      </c>
      <c r="M106" s="41" t="s">
        <v>871</v>
      </c>
      <c r="N106" s="33">
        <v>44459</v>
      </c>
      <c r="O106" s="33"/>
      <c r="P106" s="33"/>
      <c r="Q106" s="16" t="s">
        <v>75</v>
      </c>
      <c r="R106" s="16" t="s">
        <v>75</v>
      </c>
      <c r="S106" s="37" t="s">
        <v>68</v>
      </c>
      <c r="T106" s="37" t="s">
        <v>68</v>
      </c>
      <c r="U106" s="16" t="s">
        <v>68</v>
      </c>
      <c r="V106" s="16"/>
      <c r="W106" s="16"/>
      <c r="X106" s="16" t="s">
        <v>75</v>
      </c>
      <c r="Y106" s="16"/>
      <c r="Z106" s="432"/>
      <c r="AA106" s="432"/>
      <c r="AB106" s="24"/>
      <c r="AC106" s="24"/>
      <c r="AD106" s="281">
        <v>44601</v>
      </c>
      <c r="AE106" s="343">
        <v>45355</v>
      </c>
      <c r="AF106" s="365"/>
      <c r="AG106" s="343">
        <v>45574</v>
      </c>
      <c r="AH106" s="343">
        <v>45355</v>
      </c>
      <c r="AI106" s="343">
        <v>45355</v>
      </c>
      <c r="AJ106" s="58" t="s">
        <v>63</v>
      </c>
      <c r="AK106" s="386">
        <v>45649</v>
      </c>
      <c r="AL106" s="343">
        <v>45469</v>
      </c>
      <c r="AM106" s="343">
        <v>45574</v>
      </c>
    </row>
    <row r="107" spans="1:40" ht="22.8" x14ac:dyDescent="0.25">
      <c r="A107" s="28">
        <v>106</v>
      </c>
      <c r="B107" s="20">
        <v>37488</v>
      </c>
      <c r="C107" s="27" t="s">
        <v>54</v>
      </c>
      <c r="D107" s="56" t="s">
        <v>2201</v>
      </c>
      <c r="E107" s="20" t="s">
        <v>1933</v>
      </c>
      <c r="F107" s="29" t="s">
        <v>2093</v>
      </c>
      <c r="G107" s="29" t="s">
        <v>15</v>
      </c>
      <c r="H107" s="19">
        <v>44164</v>
      </c>
      <c r="I107" s="3">
        <v>949</v>
      </c>
      <c r="J107" s="3" t="s">
        <v>58</v>
      </c>
      <c r="K107" s="37" t="s">
        <v>59</v>
      </c>
      <c r="L107" s="16" t="s">
        <v>75</v>
      </c>
      <c r="M107" s="41" t="s">
        <v>871</v>
      </c>
      <c r="N107" s="33">
        <v>44459</v>
      </c>
      <c r="O107" s="33"/>
      <c r="P107" s="33"/>
      <c r="Q107" s="16" t="s">
        <v>75</v>
      </c>
      <c r="R107" s="16" t="s">
        <v>75</v>
      </c>
      <c r="S107" s="37" t="s">
        <v>62</v>
      </c>
      <c r="T107" s="37" t="s">
        <v>62</v>
      </c>
      <c r="U107" s="16" t="s">
        <v>62</v>
      </c>
      <c r="V107" s="16"/>
      <c r="W107" s="16"/>
      <c r="X107" s="16" t="s">
        <v>75</v>
      </c>
      <c r="Y107" s="16"/>
      <c r="Z107" s="432"/>
      <c r="AA107" s="432"/>
      <c r="AB107" s="24"/>
      <c r="AC107" s="24"/>
      <c r="AD107" s="281">
        <v>44601</v>
      </c>
      <c r="AE107" s="343">
        <v>45355</v>
      </c>
      <c r="AF107" s="365"/>
      <c r="AG107" s="343">
        <v>45574</v>
      </c>
      <c r="AH107" s="343">
        <v>45355</v>
      </c>
      <c r="AI107" s="343">
        <v>45355</v>
      </c>
      <c r="AJ107" s="58" t="s">
        <v>63</v>
      </c>
      <c r="AK107" s="386">
        <v>45649</v>
      </c>
      <c r="AL107" s="343">
        <v>45469</v>
      </c>
      <c r="AM107" s="343">
        <v>45574</v>
      </c>
    </row>
    <row r="108" spans="1:40" x14ac:dyDescent="0.25">
      <c r="A108" s="28">
        <v>107</v>
      </c>
      <c r="B108" s="20">
        <v>37496</v>
      </c>
      <c r="C108" s="27" t="s">
        <v>64</v>
      </c>
      <c r="D108" s="56" t="s">
        <v>2202</v>
      </c>
      <c r="E108" s="20" t="s">
        <v>2092</v>
      </c>
      <c r="F108" s="29" t="s">
        <v>2093</v>
      </c>
      <c r="G108" s="29" t="s">
        <v>15</v>
      </c>
      <c r="H108" s="19">
        <v>44177</v>
      </c>
      <c r="I108" s="3">
        <v>848</v>
      </c>
      <c r="J108" s="3" t="s">
        <v>58</v>
      </c>
      <c r="K108" s="16"/>
      <c r="L108" s="33"/>
      <c r="M108" s="16" t="s">
        <v>60</v>
      </c>
      <c r="N108" s="33">
        <v>44211</v>
      </c>
      <c r="O108" s="33"/>
      <c r="P108" s="33"/>
      <c r="Q108" s="16" t="s">
        <v>75</v>
      </c>
      <c r="R108" s="16" t="s">
        <v>75</v>
      </c>
      <c r="S108" s="37" t="s">
        <v>68</v>
      </c>
      <c r="T108" s="37" t="s">
        <v>68</v>
      </c>
      <c r="U108" s="16" t="s">
        <v>68</v>
      </c>
      <c r="V108" s="37" t="s">
        <v>68</v>
      </c>
      <c r="W108" s="16"/>
      <c r="X108" s="16" t="s">
        <v>75</v>
      </c>
      <c r="Y108" s="16"/>
      <c r="Z108" s="432"/>
      <c r="AA108" s="432"/>
      <c r="AB108" s="24"/>
      <c r="AC108" s="24"/>
      <c r="AD108" s="281">
        <v>44613</v>
      </c>
      <c r="AE108" s="58"/>
      <c r="AF108" s="365" t="s">
        <v>63</v>
      </c>
      <c r="AG108" s="143">
        <v>45529</v>
      </c>
      <c r="AH108" s="343">
        <v>45401</v>
      </c>
      <c r="AI108" s="143">
        <v>45546</v>
      </c>
      <c r="AJ108" s="58" t="s">
        <v>63</v>
      </c>
      <c r="AK108" s="343">
        <v>45469</v>
      </c>
      <c r="AM108" s="343">
        <v>45524</v>
      </c>
    </row>
    <row r="109" spans="1:40" x14ac:dyDescent="0.25">
      <c r="A109" s="28">
        <v>108</v>
      </c>
      <c r="B109" s="20">
        <v>37496</v>
      </c>
      <c r="C109" s="27" t="s">
        <v>54</v>
      </c>
      <c r="D109" s="56" t="s">
        <v>2203</v>
      </c>
      <c r="E109" s="20" t="s">
        <v>2092</v>
      </c>
      <c r="F109" s="29" t="s">
        <v>2093</v>
      </c>
      <c r="G109" s="29" t="s">
        <v>15</v>
      </c>
      <c r="H109" s="19">
        <v>44177</v>
      </c>
      <c r="I109" s="3">
        <v>849</v>
      </c>
      <c r="J109" s="3" t="s">
        <v>58</v>
      </c>
      <c r="K109" s="16"/>
      <c r="L109" s="33"/>
      <c r="M109" s="16" t="s">
        <v>60</v>
      </c>
      <c r="N109" s="33">
        <v>44211</v>
      </c>
      <c r="O109" s="33"/>
      <c r="P109" s="33"/>
      <c r="Q109" s="16" t="s">
        <v>75</v>
      </c>
      <c r="R109" s="16" t="s">
        <v>75</v>
      </c>
      <c r="S109" s="37" t="s">
        <v>62</v>
      </c>
      <c r="T109" s="37" t="s">
        <v>62</v>
      </c>
      <c r="U109" s="16" t="s">
        <v>62</v>
      </c>
      <c r="V109" s="37" t="s">
        <v>62</v>
      </c>
      <c r="W109" s="16"/>
      <c r="X109" s="16" t="s">
        <v>75</v>
      </c>
      <c r="Y109" s="16"/>
      <c r="Z109" s="432"/>
      <c r="AA109" s="432"/>
      <c r="AB109" s="24"/>
      <c r="AC109" s="24"/>
      <c r="AD109" s="281">
        <v>44613</v>
      </c>
      <c r="AE109" s="281">
        <v>45566</v>
      </c>
      <c r="AF109" s="365" t="s">
        <v>63</v>
      </c>
      <c r="AG109" s="143">
        <v>45529</v>
      </c>
      <c r="AH109" s="343">
        <v>45401</v>
      </c>
      <c r="AI109" s="143">
        <v>45546</v>
      </c>
      <c r="AJ109" s="58" t="s">
        <v>63</v>
      </c>
      <c r="AK109" s="343">
        <v>45469</v>
      </c>
      <c r="AM109" s="343">
        <v>45524</v>
      </c>
    </row>
    <row r="110" spans="1:40" ht="22.8" x14ac:dyDescent="0.25">
      <c r="A110" s="28">
        <v>109</v>
      </c>
      <c r="B110" s="20">
        <v>37498</v>
      </c>
      <c r="C110" s="27" t="s">
        <v>64</v>
      </c>
      <c r="D110" s="56" t="s">
        <v>2204</v>
      </c>
      <c r="E110" s="20" t="s">
        <v>2092</v>
      </c>
      <c r="F110" s="29" t="s">
        <v>2093</v>
      </c>
      <c r="G110" s="29" t="s">
        <v>15</v>
      </c>
      <c r="H110" s="19">
        <v>44182</v>
      </c>
      <c r="I110" s="3">
        <v>900</v>
      </c>
      <c r="J110" s="3" t="s">
        <v>58</v>
      </c>
      <c r="K110" s="37" t="s">
        <v>59</v>
      </c>
      <c r="L110" s="16" t="s">
        <v>75</v>
      </c>
      <c r="M110" s="41" t="s">
        <v>871</v>
      </c>
      <c r="N110" s="33">
        <v>44610</v>
      </c>
      <c r="O110" s="33"/>
      <c r="P110" s="33"/>
      <c r="Q110" s="16" t="s">
        <v>75</v>
      </c>
      <c r="R110" s="16" t="s">
        <v>75</v>
      </c>
      <c r="S110" s="37" t="s">
        <v>68</v>
      </c>
      <c r="T110" s="37" t="s">
        <v>68</v>
      </c>
      <c r="U110" s="16" t="s">
        <v>68</v>
      </c>
      <c r="V110" s="16"/>
      <c r="W110" s="16"/>
      <c r="X110" s="16" t="s">
        <v>75</v>
      </c>
      <c r="Y110" s="16"/>
      <c r="Z110" s="432"/>
      <c r="AA110" s="432"/>
      <c r="AB110" s="24"/>
      <c r="AC110" s="24"/>
      <c r="AD110" s="281">
        <v>44680</v>
      </c>
      <c r="AE110" s="281">
        <v>45566</v>
      </c>
      <c r="AF110" s="365" t="s">
        <v>63</v>
      </c>
      <c r="AG110" s="143">
        <v>45527</v>
      </c>
      <c r="AH110" s="143">
        <v>45527</v>
      </c>
      <c r="AI110" s="386">
        <v>45616</v>
      </c>
      <c r="AJ110" s="58" t="s">
        <v>63</v>
      </c>
      <c r="AK110" s="343">
        <v>45461</v>
      </c>
      <c r="AM110" s="143">
        <v>45527</v>
      </c>
      <c r="AN110" s="381"/>
    </row>
    <row r="111" spans="1:40" ht="22.8" x14ac:dyDescent="0.25">
      <c r="A111" s="28">
        <v>110</v>
      </c>
      <c r="B111" s="20">
        <v>37498</v>
      </c>
      <c r="C111" s="27" t="s">
        <v>54</v>
      </c>
      <c r="D111" s="56" t="s">
        <v>2205</v>
      </c>
      <c r="E111" s="20" t="s">
        <v>2092</v>
      </c>
      <c r="F111" s="29" t="s">
        <v>2093</v>
      </c>
      <c r="G111" s="29" t="s">
        <v>15</v>
      </c>
      <c r="H111" s="19">
        <v>44182</v>
      </c>
      <c r="I111" s="3">
        <v>901</v>
      </c>
      <c r="J111" s="3" t="s">
        <v>58</v>
      </c>
      <c r="K111" s="37" t="s">
        <v>59</v>
      </c>
      <c r="L111" s="16" t="s">
        <v>75</v>
      </c>
      <c r="M111" s="41" t="s">
        <v>871</v>
      </c>
      <c r="N111" s="33">
        <v>44610</v>
      </c>
      <c r="O111" s="33"/>
      <c r="P111" s="33"/>
      <c r="Q111" s="16" t="s">
        <v>75</v>
      </c>
      <c r="R111" s="16" t="s">
        <v>75</v>
      </c>
      <c r="S111" s="37" t="s">
        <v>62</v>
      </c>
      <c r="T111" s="37" t="s">
        <v>62</v>
      </c>
      <c r="U111" s="16" t="s">
        <v>62</v>
      </c>
      <c r="V111" s="16"/>
      <c r="W111" s="16"/>
      <c r="X111" s="16" t="s">
        <v>75</v>
      </c>
      <c r="Y111" s="16"/>
      <c r="Z111" s="432"/>
      <c r="AA111" s="432"/>
      <c r="AB111" s="24"/>
      <c r="AC111" s="24"/>
      <c r="AD111" s="281">
        <v>44680</v>
      </c>
      <c r="AE111" s="58"/>
      <c r="AF111" s="365" t="s">
        <v>63</v>
      </c>
      <c r="AG111" s="143">
        <v>45527</v>
      </c>
      <c r="AH111" s="143">
        <v>45527</v>
      </c>
      <c r="AI111" s="386">
        <v>45616</v>
      </c>
      <c r="AJ111" s="58" t="s">
        <v>63</v>
      </c>
      <c r="AK111" s="343">
        <v>45461</v>
      </c>
      <c r="AM111" s="143">
        <v>45527</v>
      </c>
      <c r="AN111" s="381"/>
    </row>
    <row r="112" spans="1:40" ht="14.4" x14ac:dyDescent="0.25">
      <c r="A112" s="28">
        <v>111</v>
      </c>
      <c r="B112" s="20">
        <v>37500</v>
      </c>
      <c r="C112" s="27" t="s">
        <v>64</v>
      </c>
      <c r="D112" s="20" t="s">
        <v>2206</v>
      </c>
      <c r="E112" s="20" t="s">
        <v>2092</v>
      </c>
      <c r="F112" s="29" t="s">
        <v>2093</v>
      </c>
      <c r="G112" s="29" t="s">
        <v>15</v>
      </c>
      <c r="H112" s="19">
        <v>44186</v>
      </c>
      <c r="I112" s="3">
        <v>874</v>
      </c>
      <c r="J112" s="3" t="s">
        <v>58</v>
      </c>
      <c r="K112" s="16"/>
      <c r="L112" s="33"/>
      <c r="M112" s="41" t="s">
        <v>871</v>
      </c>
      <c r="N112" s="33">
        <v>44615</v>
      </c>
      <c r="O112" s="33"/>
      <c r="P112" s="33">
        <v>45493</v>
      </c>
      <c r="Q112" s="16" t="s">
        <v>75</v>
      </c>
      <c r="R112" s="16" t="s">
        <v>75</v>
      </c>
      <c r="S112" s="37" t="s">
        <v>68</v>
      </c>
      <c r="T112" s="37" t="s">
        <v>68</v>
      </c>
      <c r="U112" s="16" t="s">
        <v>68</v>
      </c>
      <c r="V112" s="16"/>
      <c r="W112" s="16"/>
      <c r="X112" s="16" t="s">
        <v>75</v>
      </c>
      <c r="Y112" s="16"/>
      <c r="Z112" s="432"/>
      <c r="AA112" s="432"/>
      <c r="AB112" s="24"/>
      <c r="AC112" s="24"/>
      <c r="AD112" s="281">
        <v>44672</v>
      </c>
      <c r="AE112" s="58"/>
      <c r="AF112" s="343">
        <v>45288</v>
      </c>
      <c r="AG112" s="143">
        <v>45476</v>
      </c>
      <c r="AH112" s="143">
        <v>45641</v>
      </c>
      <c r="AI112" s="143">
        <v>45642</v>
      </c>
      <c r="AJ112" s="58" t="s">
        <v>63</v>
      </c>
      <c r="AM112" s="386">
        <v>45481</v>
      </c>
      <c r="AN112" s="381"/>
    </row>
    <row r="113" spans="1:40" ht="14.4" x14ac:dyDescent="0.25">
      <c r="A113" s="28">
        <v>112</v>
      </c>
      <c r="B113" s="20">
        <v>37500</v>
      </c>
      <c r="C113" s="27" t="s">
        <v>54</v>
      </c>
      <c r="D113" s="20" t="s">
        <v>2207</v>
      </c>
      <c r="E113" s="20" t="s">
        <v>2092</v>
      </c>
      <c r="F113" s="29" t="s">
        <v>2093</v>
      </c>
      <c r="G113" s="29" t="s">
        <v>15</v>
      </c>
      <c r="H113" s="19">
        <v>44186</v>
      </c>
      <c r="I113" s="3">
        <v>875</v>
      </c>
      <c r="J113" s="3" t="s">
        <v>58</v>
      </c>
      <c r="K113" s="16"/>
      <c r="L113" s="33"/>
      <c r="M113" s="41" t="s">
        <v>871</v>
      </c>
      <c r="N113" s="33">
        <v>44615</v>
      </c>
      <c r="O113" s="33"/>
      <c r="P113" s="33">
        <v>45493</v>
      </c>
      <c r="Q113" s="16" t="s">
        <v>75</v>
      </c>
      <c r="R113" s="16" t="s">
        <v>75</v>
      </c>
      <c r="S113" s="37" t="s">
        <v>62</v>
      </c>
      <c r="T113" s="37" t="s">
        <v>62</v>
      </c>
      <c r="U113" s="16" t="s">
        <v>62</v>
      </c>
      <c r="V113" s="16"/>
      <c r="W113" s="16"/>
      <c r="X113" s="16" t="s">
        <v>75</v>
      </c>
      <c r="Y113" s="16"/>
      <c r="Z113" s="432"/>
      <c r="AA113" s="432"/>
      <c r="AB113" s="24" t="s">
        <v>2485</v>
      </c>
      <c r="AC113" s="24"/>
      <c r="AD113" s="281">
        <v>44672</v>
      </c>
      <c r="AE113" s="58"/>
      <c r="AF113" s="343">
        <v>45288</v>
      </c>
      <c r="AG113" s="143">
        <v>45476</v>
      </c>
      <c r="AH113" s="143">
        <v>45641</v>
      </c>
      <c r="AI113" s="143">
        <v>45642</v>
      </c>
      <c r="AJ113" s="58" t="s">
        <v>63</v>
      </c>
      <c r="AM113" s="386">
        <v>45481</v>
      </c>
      <c r="AN113" s="381"/>
    </row>
    <row r="114" spans="1:40" ht="22.8" x14ac:dyDescent="0.25">
      <c r="A114" s="28">
        <v>113</v>
      </c>
      <c r="B114" s="20">
        <v>37537</v>
      </c>
      <c r="C114" s="27" t="s">
        <v>64</v>
      </c>
      <c r="D114" s="56" t="s">
        <v>2208</v>
      </c>
      <c r="E114" s="20" t="s">
        <v>1933</v>
      </c>
      <c r="F114" s="24" t="s">
        <v>2093</v>
      </c>
      <c r="G114" s="29" t="s">
        <v>15</v>
      </c>
      <c r="H114" s="19">
        <v>44225</v>
      </c>
      <c r="I114" s="3">
        <v>862</v>
      </c>
      <c r="J114" s="3" t="s">
        <v>58</v>
      </c>
      <c r="K114" s="37" t="s">
        <v>59</v>
      </c>
      <c r="L114" s="33">
        <v>44317</v>
      </c>
      <c r="M114" s="41" t="s">
        <v>871</v>
      </c>
      <c r="N114" s="33">
        <v>44615</v>
      </c>
      <c r="O114" s="33"/>
      <c r="P114" s="343">
        <v>45550</v>
      </c>
      <c r="Q114" s="16" t="s">
        <v>75</v>
      </c>
      <c r="R114" s="16" t="s">
        <v>75</v>
      </c>
      <c r="S114" s="37" t="s">
        <v>68</v>
      </c>
      <c r="T114" s="16" t="s">
        <v>68</v>
      </c>
      <c r="U114" s="16" t="s">
        <v>68</v>
      </c>
      <c r="V114" s="16"/>
      <c r="W114" s="16"/>
      <c r="X114" s="16" t="s">
        <v>75</v>
      </c>
      <c r="Y114" s="16"/>
      <c r="Z114" s="432"/>
      <c r="AA114" s="432"/>
      <c r="AB114" s="24"/>
      <c r="AC114" s="24"/>
      <c r="AD114" s="281">
        <v>44806</v>
      </c>
      <c r="AE114" s="343">
        <v>45401</v>
      </c>
      <c r="AF114" s="365"/>
      <c r="AG114" s="143">
        <v>45534</v>
      </c>
      <c r="AH114" s="143">
        <v>45534</v>
      </c>
      <c r="AI114" s="343">
        <v>45401</v>
      </c>
      <c r="AJ114" s="58" t="s">
        <v>63</v>
      </c>
      <c r="AK114" s="343">
        <v>45584</v>
      </c>
      <c r="AL114" s="343">
        <v>45469</v>
      </c>
      <c r="AM114" s="343">
        <v>45584</v>
      </c>
      <c r="AN114" s="381"/>
    </row>
    <row r="115" spans="1:40" ht="22.8" x14ac:dyDescent="0.25">
      <c r="A115" s="28">
        <v>114</v>
      </c>
      <c r="B115" s="20">
        <v>37537</v>
      </c>
      <c r="C115" s="27" t="s">
        <v>54</v>
      </c>
      <c r="D115" s="56" t="s">
        <v>2209</v>
      </c>
      <c r="E115" s="20" t="s">
        <v>1933</v>
      </c>
      <c r="F115" s="24" t="s">
        <v>2093</v>
      </c>
      <c r="G115" s="29" t="s">
        <v>15</v>
      </c>
      <c r="H115" s="19">
        <v>44225</v>
      </c>
      <c r="I115" s="3">
        <v>931</v>
      </c>
      <c r="J115" s="3" t="s">
        <v>58</v>
      </c>
      <c r="K115" s="37" t="s">
        <v>59</v>
      </c>
      <c r="L115" s="16" t="s">
        <v>75</v>
      </c>
      <c r="M115" s="41" t="s">
        <v>871</v>
      </c>
      <c r="N115" s="33">
        <v>44615</v>
      </c>
      <c r="O115" s="33"/>
      <c r="P115" s="343">
        <v>45550</v>
      </c>
      <c r="Q115" s="16" t="s">
        <v>75</v>
      </c>
      <c r="R115" s="16" t="s">
        <v>75</v>
      </c>
      <c r="S115" s="37" t="s">
        <v>62</v>
      </c>
      <c r="T115" s="16" t="s">
        <v>62</v>
      </c>
      <c r="U115" s="16" t="s">
        <v>62</v>
      </c>
      <c r="V115" s="16"/>
      <c r="W115" s="16"/>
      <c r="X115" s="16" t="s">
        <v>75</v>
      </c>
      <c r="Y115" s="16"/>
      <c r="Z115" s="432"/>
      <c r="AA115" s="432"/>
      <c r="AB115" s="24"/>
      <c r="AC115" s="24"/>
      <c r="AD115" s="281">
        <v>44806</v>
      </c>
      <c r="AE115" s="343">
        <v>45401</v>
      </c>
      <c r="AF115" s="365"/>
      <c r="AG115" s="143">
        <v>45534</v>
      </c>
      <c r="AH115" s="143">
        <v>45534</v>
      </c>
      <c r="AI115" s="343">
        <v>45401</v>
      </c>
      <c r="AJ115" s="58" t="s">
        <v>63</v>
      </c>
      <c r="AK115" s="343">
        <v>45584</v>
      </c>
      <c r="AL115" s="343">
        <v>45469</v>
      </c>
      <c r="AM115" s="343">
        <v>45584</v>
      </c>
    </row>
    <row r="116" spans="1:40" ht="22.8" x14ac:dyDescent="0.25">
      <c r="A116" s="28">
        <v>115</v>
      </c>
      <c r="B116" s="20">
        <v>37565</v>
      </c>
      <c r="C116" s="27" t="s">
        <v>64</v>
      </c>
      <c r="D116" s="20" t="s">
        <v>2210</v>
      </c>
      <c r="E116" s="20" t="s">
        <v>1933</v>
      </c>
      <c r="F116" s="3" t="s">
        <v>2093</v>
      </c>
      <c r="G116" s="29" t="s">
        <v>15</v>
      </c>
      <c r="H116" s="19">
        <v>44279</v>
      </c>
      <c r="I116" s="3">
        <v>752</v>
      </c>
      <c r="J116" s="3" t="s">
        <v>58</v>
      </c>
      <c r="K116" s="37" t="s">
        <v>59</v>
      </c>
      <c r="L116" s="33">
        <v>44326</v>
      </c>
      <c r="M116" s="41" t="s">
        <v>871</v>
      </c>
      <c r="N116" s="33">
        <v>44460</v>
      </c>
      <c r="O116" s="33"/>
      <c r="P116" s="33"/>
      <c r="Q116" s="16" t="s">
        <v>75</v>
      </c>
      <c r="R116" s="16" t="s">
        <v>75</v>
      </c>
      <c r="S116" s="37" t="s">
        <v>68</v>
      </c>
      <c r="T116" s="37" t="s">
        <v>68</v>
      </c>
      <c r="U116" s="16" t="s">
        <v>68</v>
      </c>
      <c r="V116" s="16"/>
      <c r="W116" s="16"/>
      <c r="X116" s="16"/>
      <c r="Y116" s="16"/>
      <c r="Z116" s="432"/>
      <c r="AA116" s="432"/>
      <c r="AB116" s="24"/>
      <c r="AC116" s="24"/>
      <c r="AD116" s="281">
        <v>44597</v>
      </c>
      <c r="AE116" s="281">
        <v>45162</v>
      </c>
      <c r="AF116" s="365"/>
      <c r="AG116" s="343">
        <v>45484</v>
      </c>
      <c r="AH116" s="343">
        <v>45484</v>
      </c>
      <c r="AI116" s="343">
        <v>45359</v>
      </c>
      <c r="AJ116" s="58" t="s">
        <v>63</v>
      </c>
      <c r="AL116" s="343">
        <v>45480</v>
      </c>
      <c r="AM116" s="343">
        <v>45481</v>
      </c>
      <c r="AN116" s="381"/>
    </row>
    <row r="117" spans="1:40" ht="22.8" x14ac:dyDescent="0.25">
      <c r="A117" s="28">
        <v>116</v>
      </c>
      <c r="B117" s="20">
        <v>37565</v>
      </c>
      <c r="C117" s="27" t="s">
        <v>54</v>
      </c>
      <c r="D117" s="20" t="s">
        <v>2211</v>
      </c>
      <c r="E117" s="20" t="s">
        <v>1933</v>
      </c>
      <c r="F117" s="3" t="s">
        <v>2093</v>
      </c>
      <c r="G117" s="29" t="s">
        <v>15</v>
      </c>
      <c r="H117" s="19">
        <v>44279</v>
      </c>
      <c r="I117" s="3">
        <v>789</v>
      </c>
      <c r="J117" s="3" t="s">
        <v>58</v>
      </c>
      <c r="K117" s="37" t="s">
        <v>59</v>
      </c>
      <c r="L117" s="33">
        <v>44326</v>
      </c>
      <c r="M117" s="41" t="s">
        <v>871</v>
      </c>
      <c r="N117" s="33">
        <v>44460</v>
      </c>
      <c r="O117" s="33"/>
      <c r="P117" s="33"/>
      <c r="Q117" s="16" t="s">
        <v>75</v>
      </c>
      <c r="R117" s="16" t="s">
        <v>75</v>
      </c>
      <c r="S117" s="37" t="s">
        <v>62</v>
      </c>
      <c r="T117" s="37" t="s">
        <v>62</v>
      </c>
      <c r="U117" s="16" t="s">
        <v>62</v>
      </c>
      <c r="V117" s="16"/>
      <c r="W117" s="16"/>
      <c r="X117" s="16" t="s">
        <v>75</v>
      </c>
      <c r="Y117" s="16"/>
      <c r="Z117" s="432"/>
      <c r="AA117" s="432"/>
      <c r="AB117" s="24"/>
      <c r="AC117" s="24"/>
      <c r="AD117" s="281">
        <v>44597</v>
      </c>
      <c r="AE117" s="281">
        <v>45162</v>
      </c>
      <c r="AF117" s="365"/>
      <c r="AG117" s="343">
        <v>45484</v>
      </c>
      <c r="AH117" s="343">
        <v>45484</v>
      </c>
      <c r="AI117" s="343">
        <v>45359</v>
      </c>
      <c r="AJ117" s="58" t="s">
        <v>63</v>
      </c>
      <c r="AL117" s="343">
        <v>45480</v>
      </c>
      <c r="AM117" s="343">
        <v>45481</v>
      </c>
    </row>
    <row r="118" spans="1:40" ht="22.8" x14ac:dyDescent="0.25">
      <c r="A118" s="28">
        <v>117</v>
      </c>
      <c r="B118" s="20">
        <v>37572</v>
      </c>
      <c r="C118" s="27" t="s">
        <v>64</v>
      </c>
      <c r="D118" s="20" t="s">
        <v>2212</v>
      </c>
      <c r="E118" s="20" t="s">
        <v>1933</v>
      </c>
      <c r="F118" s="3" t="s">
        <v>2093</v>
      </c>
      <c r="G118" s="29" t="s">
        <v>15</v>
      </c>
      <c r="H118" s="19">
        <v>44292</v>
      </c>
      <c r="I118" s="3">
        <v>798</v>
      </c>
      <c r="J118" s="3" t="s">
        <v>58</v>
      </c>
      <c r="K118" s="37" t="s">
        <v>59</v>
      </c>
      <c r="L118" s="33">
        <v>44343</v>
      </c>
      <c r="M118" s="41" t="s">
        <v>871</v>
      </c>
      <c r="N118" s="33">
        <v>44459</v>
      </c>
      <c r="O118" s="24"/>
      <c r="P118" s="24"/>
      <c r="Q118" s="16" t="s">
        <v>75</v>
      </c>
      <c r="R118" s="16" t="s">
        <v>75</v>
      </c>
      <c r="S118" s="37" t="s">
        <v>68</v>
      </c>
      <c r="T118" s="37" t="s">
        <v>68</v>
      </c>
      <c r="U118" s="37" t="s">
        <v>68</v>
      </c>
      <c r="V118" s="24"/>
      <c r="W118" s="24"/>
      <c r="X118" s="16" t="s">
        <v>75</v>
      </c>
      <c r="Y118" s="24"/>
      <c r="Z118" s="435"/>
      <c r="AA118" s="435"/>
      <c r="AB118" s="24"/>
      <c r="AC118" s="24"/>
      <c r="AD118" s="281">
        <v>44595</v>
      </c>
      <c r="AE118" s="343">
        <v>45387</v>
      </c>
      <c r="AF118" s="365"/>
      <c r="AG118" s="343">
        <v>45486</v>
      </c>
      <c r="AH118" s="343">
        <v>45486</v>
      </c>
      <c r="AI118" s="343">
        <v>45486</v>
      </c>
      <c r="AJ118" s="58" t="s">
        <v>63</v>
      </c>
      <c r="AK118" s="343">
        <v>45486</v>
      </c>
      <c r="AL118" s="343">
        <v>45486</v>
      </c>
      <c r="AM118" s="343">
        <v>45486</v>
      </c>
    </row>
    <row r="119" spans="1:40" ht="22.8" x14ac:dyDescent="0.25">
      <c r="A119" s="28">
        <v>118</v>
      </c>
      <c r="B119" s="20">
        <v>37572</v>
      </c>
      <c r="C119" s="27" t="s">
        <v>54</v>
      </c>
      <c r="D119" s="20" t="s">
        <v>2213</v>
      </c>
      <c r="E119" s="20" t="s">
        <v>1933</v>
      </c>
      <c r="F119" s="3" t="s">
        <v>2093</v>
      </c>
      <c r="G119" s="29" t="s">
        <v>15</v>
      </c>
      <c r="H119" s="19">
        <v>44292</v>
      </c>
      <c r="I119" s="3">
        <v>800</v>
      </c>
      <c r="J119" s="3" t="s">
        <v>58</v>
      </c>
      <c r="K119" s="37" t="s">
        <v>59</v>
      </c>
      <c r="L119" s="33">
        <v>44343</v>
      </c>
      <c r="M119" s="41" t="s">
        <v>871</v>
      </c>
      <c r="N119" s="33">
        <v>44459</v>
      </c>
      <c r="O119" s="24"/>
      <c r="P119" s="24"/>
      <c r="Q119" s="16" t="s">
        <v>75</v>
      </c>
      <c r="R119" s="16" t="s">
        <v>75</v>
      </c>
      <c r="S119" s="37" t="s">
        <v>62</v>
      </c>
      <c r="T119" s="37" t="s">
        <v>62</v>
      </c>
      <c r="U119" s="37" t="s">
        <v>62</v>
      </c>
      <c r="V119" s="24"/>
      <c r="W119" s="24"/>
      <c r="X119" s="16" t="s">
        <v>75</v>
      </c>
      <c r="Y119" s="24"/>
      <c r="Z119" s="435"/>
      <c r="AA119" s="435"/>
      <c r="AB119" s="24"/>
      <c r="AC119" s="24"/>
      <c r="AD119" s="281">
        <v>44595</v>
      </c>
      <c r="AE119" s="343">
        <v>45387</v>
      </c>
      <c r="AF119" s="365"/>
      <c r="AG119" s="343">
        <v>45486</v>
      </c>
      <c r="AH119" s="343">
        <v>45486</v>
      </c>
      <c r="AI119" s="343">
        <v>45486</v>
      </c>
      <c r="AJ119" s="58" t="s">
        <v>63</v>
      </c>
      <c r="AK119" s="343">
        <v>45486</v>
      </c>
      <c r="AL119" s="343">
        <v>45486</v>
      </c>
      <c r="AM119" s="343">
        <v>45486</v>
      </c>
    </row>
    <row r="120" spans="1:40" ht="14.4" x14ac:dyDescent="0.25">
      <c r="A120" s="28">
        <v>119</v>
      </c>
      <c r="B120" s="20">
        <v>37574</v>
      </c>
      <c r="C120" s="27" t="s">
        <v>64</v>
      </c>
      <c r="D120" s="20" t="s">
        <v>2214</v>
      </c>
      <c r="E120" s="20" t="s">
        <v>2092</v>
      </c>
      <c r="F120" s="3" t="s">
        <v>2093</v>
      </c>
      <c r="G120" s="29" t="s">
        <v>15</v>
      </c>
      <c r="H120" s="19">
        <v>44292</v>
      </c>
      <c r="I120" s="3">
        <v>799</v>
      </c>
      <c r="J120" s="3" t="s">
        <v>58</v>
      </c>
      <c r="K120" s="24"/>
      <c r="L120" s="24"/>
      <c r="M120" s="41" t="s">
        <v>871</v>
      </c>
      <c r="N120" s="33">
        <v>44466</v>
      </c>
      <c r="O120" s="24"/>
      <c r="P120" s="24"/>
      <c r="Q120" s="16" t="s">
        <v>75</v>
      </c>
      <c r="R120" s="16" t="s">
        <v>75</v>
      </c>
      <c r="S120" s="24"/>
      <c r="T120" s="37" t="s">
        <v>68</v>
      </c>
      <c r="U120" s="24"/>
      <c r="V120" s="24"/>
      <c r="W120" s="24"/>
      <c r="X120" s="16" t="s">
        <v>75</v>
      </c>
      <c r="Y120" s="24"/>
      <c r="Z120" s="435"/>
      <c r="AA120" s="435"/>
      <c r="AB120" s="24"/>
      <c r="AC120" s="24"/>
      <c r="AD120" s="281">
        <v>44659</v>
      </c>
      <c r="AE120" s="58"/>
      <c r="AF120" s="343">
        <v>45356</v>
      </c>
      <c r="AG120" s="343">
        <v>45502</v>
      </c>
      <c r="AH120" s="343">
        <v>45490</v>
      </c>
      <c r="AI120" s="143">
        <v>45356</v>
      </c>
      <c r="AJ120" s="58" t="s">
        <v>63</v>
      </c>
      <c r="AK120" s="143">
        <v>45623</v>
      </c>
      <c r="AL120" s="386">
        <v>45376</v>
      </c>
      <c r="AM120" s="143">
        <v>45648</v>
      </c>
    </row>
    <row r="121" spans="1:40" ht="22.8" x14ac:dyDescent="0.25">
      <c r="A121" s="28">
        <v>120</v>
      </c>
      <c r="B121" s="17">
        <v>37574</v>
      </c>
      <c r="C121" s="27" t="s">
        <v>64</v>
      </c>
      <c r="D121" s="20" t="s">
        <v>2215</v>
      </c>
      <c r="E121" s="20" t="s">
        <v>2092</v>
      </c>
      <c r="F121" s="3" t="s">
        <v>2093</v>
      </c>
      <c r="G121" s="29" t="s">
        <v>15</v>
      </c>
      <c r="H121" s="19">
        <v>44292</v>
      </c>
      <c r="I121" s="3">
        <v>1034</v>
      </c>
      <c r="J121" s="3" t="s">
        <v>58</v>
      </c>
      <c r="K121" s="37" t="s">
        <v>59</v>
      </c>
      <c r="L121" s="16" t="s">
        <v>75</v>
      </c>
      <c r="M121" s="41" t="s">
        <v>871</v>
      </c>
      <c r="N121" s="33">
        <v>44466</v>
      </c>
      <c r="O121" s="33"/>
      <c r="P121" s="33"/>
      <c r="Q121" s="16" t="s">
        <v>75</v>
      </c>
      <c r="R121" s="16" t="s">
        <v>75</v>
      </c>
      <c r="S121" s="24"/>
      <c r="T121" s="37" t="s">
        <v>62</v>
      </c>
      <c r="U121" s="24"/>
      <c r="V121" s="37" t="s">
        <v>68</v>
      </c>
      <c r="W121" s="24"/>
      <c r="X121" s="16" t="s">
        <v>75</v>
      </c>
      <c r="Y121" s="24"/>
      <c r="Z121" s="435"/>
      <c r="AA121" s="435"/>
      <c r="AB121" s="24"/>
      <c r="AC121" s="24"/>
      <c r="AD121" s="281">
        <v>44659</v>
      </c>
      <c r="AE121" s="58"/>
      <c r="AF121" s="343">
        <v>45356</v>
      </c>
      <c r="AG121" s="343">
        <v>45502</v>
      </c>
      <c r="AH121" s="343">
        <v>45490</v>
      </c>
      <c r="AI121" s="143">
        <v>45356</v>
      </c>
      <c r="AJ121" s="58" t="s">
        <v>63</v>
      </c>
      <c r="AK121" s="143">
        <v>45623</v>
      </c>
      <c r="AL121" s="386">
        <v>45376</v>
      </c>
      <c r="AM121" s="143">
        <v>45623</v>
      </c>
    </row>
    <row r="122" spans="1:40" ht="22.8" x14ac:dyDescent="0.25">
      <c r="A122" s="28">
        <v>121</v>
      </c>
      <c r="B122" s="20">
        <v>37575</v>
      </c>
      <c r="C122" s="27" t="s">
        <v>64</v>
      </c>
      <c r="D122" s="20" t="s">
        <v>2216</v>
      </c>
      <c r="E122" s="20" t="s">
        <v>2092</v>
      </c>
      <c r="F122" s="3" t="s">
        <v>2093</v>
      </c>
      <c r="G122" s="29" t="s">
        <v>15</v>
      </c>
      <c r="H122" s="19">
        <v>44292</v>
      </c>
      <c r="I122" s="3">
        <v>801</v>
      </c>
      <c r="J122" s="3" t="s">
        <v>58</v>
      </c>
      <c r="K122" s="37" t="s">
        <v>59</v>
      </c>
      <c r="L122" s="24" t="s">
        <v>63</v>
      </c>
      <c r="M122" s="41" t="s">
        <v>871</v>
      </c>
      <c r="N122" s="33">
        <v>44459</v>
      </c>
      <c r="O122" s="24"/>
      <c r="P122" s="24"/>
      <c r="Q122" s="16" t="s">
        <v>75</v>
      </c>
      <c r="R122" s="16" t="s">
        <v>75</v>
      </c>
      <c r="S122" s="37" t="s">
        <v>68</v>
      </c>
      <c r="T122" s="37" t="s">
        <v>68</v>
      </c>
      <c r="U122" s="24"/>
      <c r="V122" s="37" t="s">
        <v>62</v>
      </c>
      <c r="W122" s="24"/>
      <c r="X122" s="16" t="s">
        <v>75</v>
      </c>
      <c r="Y122" s="24"/>
      <c r="Z122" s="435"/>
      <c r="AA122" s="435"/>
      <c r="AB122" s="24"/>
      <c r="AC122" s="24"/>
      <c r="AD122" s="281">
        <v>44606</v>
      </c>
      <c r="AE122" s="58"/>
      <c r="AF122" s="343">
        <v>45330</v>
      </c>
      <c r="AG122" s="343">
        <v>45502</v>
      </c>
      <c r="AH122" s="343">
        <v>45485</v>
      </c>
      <c r="AI122" s="143">
        <v>45609</v>
      </c>
      <c r="AJ122" s="58" t="s">
        <v>63</v>
      </c>
      <c r="AL122" s="386">
        <v>45375</v>
      </c>
      <c r="AM122" s="143">
        <v>45609</v>
      </c>
    </row>
    <row r="123" spans="1:40" ht="22.8" x14ac:dyDescent="0.25">
      <c r="A123" s="28">
        <v>122</v>
      </c>
      <c r="B123" s="20">
        <v>37575</v>
      </c>
      <c r="C123" s="27" t="s">
        <v>54</v>
      </c>
      <c r="D123" s="20" t="s">
        <v>2217</v>
      </c>
      <c r="E123" s="20" t="s">
        <v>2092</v>
      </c>
      <c r="F123" s="3" t="s">
        <v>2093</v>
      </c>
      <c r="G123" s="29" t="s">
        <v>15</v>
      </c>
      <c r="H123" s="19">
        <v>44292</v>
      </c>
      <c r="I123" s="3">
        <v>803</v>
      </c>
      <c r="J123" s="3" t="s">
        <v>58</v>
      </c>
      <c r="K123" s="37" t="s">
        <v>59</v>
      </c>
      <c r="L123" s="24" t="s">
        <v>63</v>
      </c>
      <c r="M123" s="41" t="s">
        <v>871</v>
      </c>
      <c r="N123" s="33">
        <v>44459</v>
      </c>
      <c r="O123" s="24"/>
      <c r="P123" s="24"/>
      <c r="Q123" s="16" t="s">
        <v>75</v>
      </c>
      <c r="R123" s="16" t="s">
        <v>75</v>
      </c>
      <c r="S123" s="37" t="s">
        <v>62</v>
      </c>
      <c r="T123" s="37" t="s">
        <v>62</v>
      </c>
      <c r="U123" s="24"/>
      <c r="V123" s="24"/>
      <c r="W123" s="24"/>
      <c r="X123" s="16" t="s">
        <v>75</v>
      </c>
      <c r="Y123" s="24"/>
      <c r="Z123" s="435"/>
      <c r="AA123" s="435"/>
      <c r="AB123" s="24"/>
      <c r="AC123" s="24"/>
      <c r="AD123" s="281">
        <v>44606</v>
      </c>
      <c r="AE123" s="58"/>
      <c r="AF123" s="343">
        <v>45330</v>
      </c>
      <c r="AG123" s="343">
        <v>45502</v>
      </c>
      <c r="AH123" s="343">
        <v>45485</v>
      </c>
      <c r="AI123" s="143">
        <v>45609</v>
      </c>
      <c r="AJ123" s="58" t="s">
        <v>63</v>
      </c>
      <c r="AL123" s="386">
        <v>45375</v>
      </c>
      <c r="AM123" s="143">
        <v>45609</v>
      </c>
    </row>
    <row r="124" spans="1:40" ht="22.8" x14ac:dyDescent="0.25">
      <c r="A124" s="28">
        <v>123</v>
      </c>
      <c r="B124" s="20">
        <v>39033</v>
      </c>
      <c r="C124" s="27" t="s">
        <v>64</v>
      </c>
      <c r="D124" s="17" t="s">
        <v>2218</v>
      </c>
      <c r="E124" s="20" t="s">
        <v>1933</v>
      </c>
      <c r="F124" s="29" t="s">
        <v>2093</v>
      </c>
      <c r="G124" s="29" t="s">
        <v>15</v>
      </c>
      <c r="H124" s="19">
        <v>43568</v>
      </c>
      <c r="I124" s="3">
        <v>235</v>
      </c>
      <c r="J124" s="3" t="s">
        <v>58</v>
      </c>
      <c r="K124" s="37" t="s">
        <v>59</v>
      </c>
      <c r="L124" s="40">
        <v>44097</v>
      </c>
      <c r="M124" s="41" t="s">
        <v>871</v>
      </c>
      <c r="N124" s="40">
        <v>44608</v>
      </c>
      <c r="O124" s="47">
        <v>43893</v>
      </c>
      <c r="P124" s="343">
        <v>45636</v>
      </c>
      <c r="Q124" s="42" t="s">
        <v>68</v>
      </c>
      <c r="R124" s="42" t="s">
        <v>68</v>
      </c>
      <c r="S124" s="37" t="s">
        <v>68</v>
      </c>
      <c r="T124" s="42" t="s">
        <v>68</v>
      </c>
      <c r="U124" s="42" t="s">
        <v>68</v>
      </c>
      <c r="V124" s="37" t="s">
        <v>68</v>
      </c>
      <c r="W124" s="42"/>
      <c r="X124" s="42"/>
      <c r="Y124" s="42"/>
      <c r="Z124" s="553"/>
      <c r="AA124" s="553"/>
      <c r="AB124" s="24" t="s">
        <v>2486</v>
      </c>
      <c r="AC124" s="24"/>
      <c r="AD124" s="281">
        <v>44613</v>
      </c>
      <c r="AE124" s="343">
        <v>45441</v>
      </c>
      <c r="AF124" s="365"/>
      <c r="AG124" s="343">
        <v>45490</v>
      </c>
      <c r="AH124" s="343">
        <v>45490</v>
      </c>
      <c r="AI124" s="343">
        <v>45441</v>
      </c>
      <c r="AJ124" s="58" t="s">
        <v>63</v>
      </c>
      <c r="AK124" s="343">
        <v>45560</v>
      </c>
      <c r="AL124" s="343">
        <v>45490</v>
      </c>
      <c r="AM124" s="343">
        <v>45559</v>
      </c>
    </row>
    <row r="125" spans="1:40" ht="22.8" x14ac:dyDescent="0.25">
      <c r="A125" s="28">
        <v>124</v>
      </c>
      <c r="B125" s="20">
        <v>39033</v>
      </c>
      <c r="C125" s="27" t="s">
        <v>54</v>
      </c>
      <c r="D125" s="17" t="s">
        <v>2219</v>
      </c>
      <c r="E125" s="20" t="s">
        <v>1933</v>
      </c>
      <c r="F125" s="29" t="s">
        <v>2093</v>
      </c>
      <c r="G125" s="29" t="s">
        <v>15</v>
      </c>
      <c r="H125" s="19">
        <v>43568</v>
      </c>
      <c r="I125" s="3">
        <v>234</v>
      </c>
      <c r="J125" s="3" t="s">
        <v>58</v>
      </c>
      <c r="K125" s="37" t="s">
        <v>59</v>
      </c>
      <c r="L125" s="40">
        <v>44097</v>
      </c>
      <c r="M125" s="41" t="s">
        <v>871</v>
      </c>
      <c r="N125" s="40">
        <v>44608</v>
      </c>
      <c r="O125" s="47">
        <v>43893</v>
      </c>
      <c r="P125" s="343">
        <v>45636</v>
      </c>
      <c r="Q125" s="42" t="s">
        <v>62</v>
      </c>
      <c r="R125" s="42" t="s">
        <v>62</v>
      </c>
      <c r="S125" s="37" t="s">
        <v>62</v>
      </c>
      <c r="T125" s="42" t="s">
        <v>62</v>
      </c>
      <c r="U125" s="42" t="s">
        <v>62</v>
      </c>
      <c r="V125" s="37" t="s">
        <v>62</v>
      </c>
      <c r="W125" s="42"/>
      <c r="X125" s="42"/>
      <c r="Y125" s="42"/>
      <c r="Z125" s="553"/>
      <c r="AA125" s="553"/>
      <c r="AB125" s="24" t="s">
        <v>2487</v>
      </c>
      <c r="AC125" s="24"/>
      <c r="AD125" s="281">
        <v>44613</v>
      </c>
      <c r="AE125" s="343">
        <v>45441</v>
      </c>
      <c r="AF125" s="365"/>
      <c r="AG125" s="343">
        <v>45490</v>
      </c>
      <c r="AH125" s="343">
        <v>45490</v>
      </c>
      <c r="AI125" s="343">
        <v>45441</v>
      </c>
      <c r="AJ125" s="58" t="s">
        <v>63</v>
      </c>
      <c r="AK125" s="343">
        <v>45560</v>
      </c>
      <c r="AL125" s="343">
        <v>45490</v>
      </c>
      <c r="AM125" s="343">
        <v>45559</v>
      </c>
    </row>
    <row r="126" spans="1:40" ht="22.8" x14ac:dyDescent="0.25">
      <c r="A126" s="28">
        <v>125</v>
      </c>
      <c r="B126" s="20">
        <v>39045</v>
      </c>
      <c r="C126" s="27" t="s">
        <v>64</v>
      </c>
      <c r="D126" s="17" t="s">
        <v>2220</v>
      </c>
      <c r="E126" s="20" t="s">
        <v>1933</v>
      </c>
      <c r="F126" s="29" t="s">
        <v>2093</v>
      </c>
      <c r="G126" s="29" t="s">
        <v>15</v>
      </c>
      <c r="H126" s="19">
        <v>43578</v>
      </c>
      <c r="I126" s="3">
        <v>304</v>
      </c>
      <c r="J126" s="3" t="s">
        <v>58</v>
      </c>
      <c r="K126" s="37" t="s">
        <v>59</v>
      </c>
      <c r="L126" s="40">
        <v>44127</v>
      </c>
      <c r="M126" s="41" t="s">
        <v>871</v>
      </c>
      <c r="N126" s="40">
        <v>44608</v>
      </c>
      <c r="O126" s="47">
        <v>43910</v>
      </c>
      <c r="P126" s="343">
        <v>45647</v>
      </c>
      <c r="Q126" s="42" t="s">
        <v>68</v>
      </c>
      <c r="R126" s="42" t="s">
        <v>68</v>
      </c>
      <c r="S126" s="37" t="s">
        <v>68</v>
      </c>
      <c r="T126" s="37" t="s">
        <v>68</v>
      </c>
      <c r="U126" s="42" t="s">
        <v>68</v>
      </c>
      <c r="V126" s="37" t="s">
        <v>68</v>
      </c>
      <c r="W126" s="42"/>
      <c r="X126" s="42"/>
      <c r="Y126" s="42"/>
      <c r="Z126" s="553"/>
      <c r="AA126" s="553"/>
      <c r="AB126" s="24"/>
      <c r="AC126" s="24"/>
      <c r="AD126" s="281">
        <v>44613</v>
      </c>
      <c r="AE126" s="58"/>
      <c r="AF126" s="365"/>
      <c r="AG126" s="343">
        <v>45485</v>
      </c>
      <c r="AH126" s="343">
        <v>45485</v>
      </c>
      <c r="AI126" s="343">
        <v>45377</v>
      </c>
      <c r="AJ126" s="58" t="s">
        <v>63</v>
      </c>
      <c r="AK126" s="343">
        <v>45570</v>
      </c>
      <c r="AL126" s="343">
        <v>45485</v>
      </c>
      <c r="AM126" s="343">
        <v>45570</v>
      </c>
    </row>
    <row r="127" spans="1:40" ht="22.8" x14ac:dyDescent="0.25">
      <c r="A127" s="28">
        <v>126</v>
      </c>
      <c r="B127" s="20">
        <v>39045</v>
      </c>
      <c r="C127" s="27" t="s">
        <v>54</v>
      </c>
      <c r="D127" s="17" t="s">
        <v>2221</v>
      </c>
      <c r="E127" s="20" t="s">
        <v>1933</v>
      </c>
      <c r="F127" s="29" t="s">
        <v>2093</v>
      </c>
      <c r="G127" s="29" t="s">
        <v>15</v>
      </c>
      <c r="H127" s="19">
        <v>43578</v>
      </c>
      <c r="I127" s="3">
        <v>305</v>
      </c>
      <c r="J127" s="3" t="s">
        <v>58</v>
      </c>
      <c r="K127" s="37" t="s">
        <v>59</v>
      </c>
      <c r="L127" s="40">
        <v>44127</v>
      </c>
      <c r="M127" s="41" t="s">
        <v>871</v>
      </c>
      <c r="N127" s="40">
        <v>44608</v>
      </c>
      <c r="O127" s="47">
        <v>43910</v>
      </c>
      <c r="P127" s="343">
        <v>45647</v>
      </c>
      <c r="Q127" s="42" t="s">
        <v>62</v>
      </c>
      <c r="R127" s="42" t="s">
        <v>62</v>
      </c>
      <c r="S127" s="37" t="s">
        <v>62</v>
      </c>
      <c r="T127" s="37" t="s">
        <v>62</v>
      </c>
      <c r="U127" s="42" t="s">
        <v>62</v>
      </c>
      <c r="V127" s="37" t="s">
        <v>62</v>
      </c>
      <c r="W127" s="42"/>
      <c r="X127" s="42"/>
      <c r="Y127" s="42"/>
      <c r="Z127" s="553"/>
      <c r="AA127" s="553"/>
      <c r="AB127" s="24"/>
      <c r="AC127" s="24"/>
      <c r="AD127" s="281">
        <v>44613</v>
      </c>
      <c r="AE127" s="58"/>
      <c r="AF127" s="365"/>
      <c r="AG127" s="343">
        <v>45485</v>
      </c>
      <c r="AH127" s="343">
        <v>45485</v>
      </c>
      <c r="AI127" s="343">
        <v>45377</v>
      </c>
      <c r="AJ127" s="58" t="s">
        <v>63</v>
      </c>
      <c r="AK127" s="343">
        <v>45570</v>
      </c>
      <c r="AL127" s="343">
        <v>45485</v>
      </c>
      <c r="AM127" s="343">
        <v>45570</v>
      </c>
    </row>
    <row r="128" spans="1:40" ht="22.8" x14ac:dyDescent="0.25">
      <c r="A128" s="28">
        <v>127</v>
      </c>
      <c r="B128" s="20">
        <v>39056</v>
      </c>
      <c r="C128" s="27" t="s">
        <v>64</v>
      </c>
      <c r="D128" s="17" t="s">
        <v>2222</v>
      </c>
      <c r="E128" s="20" t="s">
        <v>1933</v>
      </c>
      <c r="F128" s="29" t="s">
        <v>2093</v>
      </c>
      <c r="G128" s="29" t="s">
        <v>15</v>
      </c>
      <c r="H128" s="19">
        <v>43634</v>
      </c>
      <c r="I128" s="3">
        <v>391</v>
      </c>
      <c r="J128" s="3" t="s">
        <v>58</v>
      </c>
      <c r="K128" s="37" t="s">
        <v>59</v>
      </c>
      <c r="L128" s="33">
        <v>44092</v>
      </c>
      <c r="M128" s="41" t="s">
        <v>871</v>
      </c>
      <c r="N128" s="40">
        <v>44525</v>
      </c>
      <c r="O128" s="33">
        <v>44168</v>
      </c>
      <c r="P128" s="343">
        <v>45597</v>
      </c>
      <c r="Q128" s="42" t="s">
        <v>68</v>
      </c>
      <c r="R128" s="42" t="s">
        <v>68</v>
      </c>
      <c r="S128" s="37" t="s">
        <v>68</v>
      </c>
      <c r="T128" s="37" t="s">
        <v>68</v>
      </c>
      <c r="U128" s="37" t="s">
        <v>68</v>
      </c>
      <c r="V128" s="37" t="s">
        <v>68</v>
      </c>
      <c r="W128" s="37"/>
      <c r="X128" s="37"/>
      <c r="Y128" s="37"/>
      <c r="Z128" s="429"/>
      <c r="AA128" s="429"/>
      <c r="AB128" s="24"/>
      <c r="AC128" s="24"/>
      <c r="AD128" s="281">
        <v>44676</v>
      </c>
      <c r="AE128" s="343">
        <v>45479</v>
      </c>
      <c r="AF128" s="365"/>
      <c r="AG128" s="343">
        <v>45559</v>
      </c>
      <c r="AH128" s="343">
        <v>45559</v>
      </c>
      <c r="AI128" s="143">
        <v>45479</v>
      </c>
      <c r="AJ128" s="58" t="s">
        <v>63</v>
      </c>
      <c r="AK128" s="343">
        <v>45594</v>
      </c>
      <c r="AL128" s="343">
        <v>45479</v>
      </c>
      <c r="AM128" s="343">
        <v>45479</v>
      </c>
    </row>
    <row r="129" spans="1:40" ht="22.8" x14ac:dyDescent="0.25">
      <c r="A129" s="28">
        <v>128</v>
      </c>
      <c r="B129" s="20">
        <v>39056</v>
      </c>
      <c r="C129" s="27" t="s">
        <v>54</v>
      </c>
      <c r="D129" s="17" t="s">
        <v>2223</v>
      </c>
      <c r="E129" s="20" t="s">
        <v>1933</v>
      </c>
      <c r="F129" s="29" t="s">
        <v>2093</v>
      </c>
      <c r="G129" s="29" t="s">
        <v>15</v>
      </c>
      <c r="H129" s="19">
        <v>43634</v>
      </c>
      <c r="I129" s="3">
        <v>398</v>
      </c>
      <c r="J129" s="3" t="s">
        <v>58</v>
      </c>
      <c r="K129" s="37" t="s">
        <v>59</v>
      </c>
      <c r="L129" s="33">
        <v>44092</v>
      </c>
      <c r="M129" s="41" t="s">
        <v>871</v>
      </c>
      <c r="N129" s="40">
        <v>44525</v>
      </c>
      <c r="O129" s="33">
        <v>44168</v>
      </c>
      <c r="P129" s="343">
        <v>45597</v>
      </c>
      <c r="Q129" s="42" t="s">
        <v>62</v>
      </c>
      <c r="R129" s="42" t="s">
        <v>62</v>
      </c>
      <c r="S129" s="37" t="s">
        <v>62</v>
      </c>
      <c r="T129" s="37" t="s">
        <v>62</v>
      </c>
      <c r="U129" s="37" t="s">
        <v>62</v>
      </c>
      <c r="V129" s="37" t="s">
        <v>62</v>
      </c>
      <c r="W129" s="37"/>
      <c r="X129" s="37"/>
      <c r="Y129" s="37"/>
      <c r="Z129" s="429"/>
      <c r="AA129" s="429"/>
      <c r="AB129" s="3" t="s">
        <v>2476</v>
      </c>
      <c r="AC129" s="24"/>
      <c r="AD129" s="281">
        <v>44676</v>
      </c>
      <c r="AE129" s="343">
        <v>45479</v>
      </c>
      <c r="AF129" s="365"/>
      <c r="AG129" s="343">
        <v>45559</v>
      </c>
      <c r="AH129" s="343">
        <v>45559</v>
      </c>
      <c r="AI129" s="143">
        <v>45479</v>
      </c>
      <c r="AJ129" s="58" t="s">
        <v>63</v>
      </c>
      <c r="AK129" s="343">
        <v>45594</v>
      </c>
      <c r="AL129" s="343">
        <v>45479</v>
      </c>
      <c r="AM129" s="343">
        <v>45479</v>
      </c>
    </row>
    <row r="130" spans="1:40" ht="22.8" x14ac:dyDescent="0.25">
      <c r="A130" s="28">
        <v>129</v>
      </c>
      <c r="B130" s="20">
        <v>39061</v>
      </c>
      <c r="C130" s="27" t="s">
        <v>64</v>
      </c>
      <c r="D130" s="17" t="s">
        <v>2224</v>
      </c>
      <c r="E130" s="20" t="s">
        <v>1933</v>
      </c>
      <c r="F130" s="29" t="s">
        <v>2093</v>
      </c>
      <c r="G130" s="29" t="s">
        <v>15</v>
      </c>
      <c r="H130" s="19">
        <v>43636</v>
      </c>
      <c r="I130" s="3">
        <v>396</v>
      </c>
      <c r="J130" s="3" t="s">
        <v>58</v>
      </c>
      <c r="K130" s="37" t="s">
        <v>59</v>
      </c>
      <c r="L130" s="33">
        <v>44085</v>
      </c>
      <c r="M130" s="41" t="s">
        <v>871</v>
      </c>
      <c r="N130" s="40">
        <v>44595</v>
      </c>
      <c r="O130" s="33">
        <v>43889</v>
      </c>
      <c r="P130" s="33"/>
      <c r="Q130" s="42" t="s">
        <v>68</v>
      </c>
      <c r="R130" s="42" t="s">
        <v>68</v>
      </c>
      <c r="S130" s="37" t="s">
        <v>68</v>
      </c>
      <c r="T130" s="37" t="s">
        <v>68</v>
      </c>
      <c r="U130" s="37" t="s">
        <v>68</v>
      </c>
      <c r="V130" s="37" t="s">
        <v>68</v>
      </c>
      <c r="W130" s="37"/>
      <c r="X130" s="37"/>
      <c r="Y130" s="37"/>
      <c r="Z130" s="429"/>
      <c r="AA130" s="429"/>
      <c r="AB130" s="24" t="s">
        <v>2488</v>
      </c>
      <c r="AC130" s="24"/>
      <c r="AD130" s="281">
        <v>44606</v>
      </c>
      <c r="AE130" s="343">
        <v>45492</v>
      </c>
      <c r="AF130" s="365"/>
      <c r="AG130" s="343">
        <v>45492</v>
      </c>
      <c r="AH130" s="343">
        <v>45492</v>
      </c>
      <c r="AI130" s="143">
        <v>45492</v>
      </c>
      <c r="AJ130" s="58" t="s">
        <v>63</v>
      </c>
      <c r="AK130" s="343">
        <v>45721</v>
      </c>
      <c r="AL130" s="343">
        <v>45492</v>
      </c>
      <c r="AM130" s="343">
        <v>45721</v>
      </c>
    </row>
    <row r="131" spans="1:40" ht="22.8" x14ac:dyDescent="0.25">
      <c r="A131" s="28">
        <v>130</v>
      </c>
      <c r="B131" s="20">
        <v>39061</v>
      </c>
      <c r="C131" s="27" t="s">
        <v>54</v>
      </c>
      <c r="D131" s="17" t="s">
        <v>2225</v>
      </c>
      <c r="E131" s="20" t="s">
        <v>1933</v>
      </c>
      <c r="F131" s="29" t="s">
        <v>2093</v>
      </c>
      <c r="G131" s="29" t="s">
        <v>15</v>
      </c>
      <c r="H131" s="19">
        <v>43636</v>
      </c>
      <c r="I131" s="3">
        <v>394</v>
      </c>
      <c r="J131" s="3" t="s">
        <v>58</v>
      </c>
      <c r="K131" s="37" t="s">
        <v>59</v>
      </c>
      <c r="L131" s="33">
        <v>44085</v>
      </c>
      <c r="M131" s="41" t="s">
        <v>871</v>
      </c>
      <c r="N131" s="40">
        <v>44595</v>
      </c>
      <c r="O131" s="33">
        <v>43889</v>
      </c>
      <c r="P131" s="33"/>
      <c r="Q131" s="42" t="s">
        <v>62</v>
      </c>
      <c r="R131" s="42" t="s">
        <v>62</v>
      </c>
      <c r="S131" s="37" t="s">
        <v>62</v>
      </c>
      <c r="T131" s="37" t="s">
        <v>62</v>
      </c>
      <c r="U131" s="37" t="s">
        <v>62</v>
      </c>
      <c r="V131" s="37" t="s">
        <v>62</v>
      </c>
      <c r="W131" s="37"/>
      <c r="X131" s="37"/>
      <c r="Y131" s="37"/>
      <c r="Z131" s="429"/>
      <c r="AA131" s="429"/>
      <c r="AB131" s="24"/>
      <c r="AC131" s="24"/>
      <c r="AD131" s="281">
        <v>44606</v>
      </c>
      <c r="AE131" s="343">
        <v>45492</v>
      </c>
      <c r="AF131" s="365"/>
      <c r="AG131" s="343">
        <v>45492</v>
      </c>
      <c r="AH131" s="343">
        <v>45492</v>
      </c>
      <c r="AI131" s="143">
        <v>45492</v>
      </c>
      <c r="AJ131" s="58" t="s">
        <v>63</v>
      </c>
      <c r="AK131" s="343">
        <v>45721</v>
      </c>
      <c r="AL131" s="343">
        <v>45492</v>
      </c>
      <c r="AM131" s="343">
        <v>45721</v>
      </c>
    </row>
    <row r="132" spans="1:40" ht="22.8" x14ac:dyDescent="0.25">
      <c r="A132" s="28">
        <v>131</v>
      </c>
      <c r="B132" s="20">
        <v>39062</v>
      </c>
      <c r="C132" s="27" t="s">
        <v>64</v>
      </c>
      <c r="D132" s="17" t="s">
        <v>2226</v>
      </c>
      <c r="E132" s="20" t="s">
        <v>1933</v>
      </c>
      <c r="F132" s="29" t="s">
        <v>2093</v>
      </c>
      <c r="G132" s="29" t="s">
        <v>15</v>
      </c>
      <c r="H132" s="19">
        <v>43640</v>
      </c>
      <c r="I132" s="3">
        <v>392</v>
      </c>
      <c r="J132" s="3" t="s">
        <v>58</v>
      </c>
      <c r="K132" s="37" t="s">
        <v>59</v>
      </c>
      <c r="L132" s="33">
        <v>44097</v>
      </c>
      <c r="M132" s="41" t="s">
        <v>871</v>
      </c>
      <c r="N132" s="40">
        <v>44457</v>
      </c>
      <c r="O132" s="33">
        <v>43920</v>
      </c>
      <c r="P132" s="33"/>
      <c r="Q132" s="42" t="s">
        <v>68</v>
      </c>
      <c r="R132" s="42" t="s">
        <v>68</v>
      </c>
      <c r="S132" s="37" t="s">
        <v>68</v>
      </c>
      <c r="T132" s="37" t="s">
        <v>68</v>
      </c>
      <c r="U132" s="37" t="s">
        <v>68</v>
      </c>
      <c r="V132" s="37" t="s">
        <v>68</v>
      </c>
      <c r="W132" s="37"/>
      <c r="X132" s="37"/>
      <c r="Y132" s="37"/>
      <c r="Z132" s="429"/>
      <c r="AA132" s="429"/>
      <c r="AB132" s="24" t="s">
        <v>2489</v>
      </c>
      <c r="AC132" s="24"/>
      <c r="AD132" s="281">
        <v>44606</v>
      </c>
      <c r="AE132" s="343">
        <v>45390</v>
      </c>
      <c r="AF132" s="365"/>
      <c r="AG132" s="343">
        <v>45490</v>
      </c>
      <c r="AH132" s="343">
        <v>45490</v>
      </c>
      <c r="AI132" s="143">
        <v>45491</v>
      </c>
      <c r="AJ132" s="58" t="s">
        <v>63</v>
      </c>
      <c r="AK132" s="343">
        <v>45490</v>
      </c>
      <c r="AL132" s="343">
        <v>45490</v>
      </c>
      <c r="AM132" s="343">
        <v>45821</v>
      </c>
    </row>
    <row r="133" spans="1:40" ht="22.8" x14ac:dyDescent="0.25">
      <c r="A133" s="28">
        <v>132</v>
      </c>
      <c r="B133" s="20">
        <v>39062</v>
      </c>
      <c r="C133" s="27" t="s">
        <v>54</v>
      </c>
      <c r="D133" s="20" t="s">
        <v>2227</v>
      </c>
      <c r="E133" s="20" t="s">
        <v>1933</v>
      </c>
      <c r="F133" s="29" t="s">
        <v>2093</v>
      </c>
      <c r="G133" s="29" t="s">
        <v>15</v>
      </c>
      <c r="H133" s="19">
        <v>43640</v>
      </c>
      <c r="I133" s="3">
        <v>395</v>
      </c>
      <c r="J133" s="3" t="s">
        <v>58</v>
      </c>
      <c r="K133" s="37" t="s">
        <v>59</v>
      </c>
      <c r="L133" s="33">
        <v>44097</v>
      </c>
      <c r="M133" s="41" t="s">
        <v>871</v>
      </c>
      <c r="N133" s="40">
        <v>44457</v>
      </c>
      <c r="O133" s="33">
        <v>43920</v>
      </c>
      <c r="P133" s="33"/>
      <c r="Q133" s="42" t="s">
        <v>62</v>
      </c>
      <c r="R133" s="42" t="s">
        <v>62</v>
      </c>
      <c r="S133" s="37" t="s">
        <v>62</v>
      </c>
      <c r="T133" s="37" t="s">
        <v>62</v>
      </c>
      <c r="U133" s="37" t="s">
        <v>62</v>
      </c>
      <c r="V133" s="37" t="s">
        <v>62</v>
      </c>
      <c r="W133" s="37"/>
      <c r="X133" s="37"/>
      <c r="Y133" s="37"/>
      <c r="Z133" s="429"/>
      <c r="AA133" s="429"/>
      <c r="AB133" s="24"/>
      <c r="AC133" s="24"/>
      <c r="AD133" s="281">
        <v>44606</v>
      </c>
      <c r="AE133" s="343">
        <v>45390</v>
      </c>
      <c r="AF133" s="365"/>
      <c r="AG133" s="343">
        <v>45490</v>
      </c>
      <c r="AH133" s="343">
        <v>45490</v>
      </c>
      <c r="AI133" s="143">
        <v>45491</v>
      </c>
      <c r="AJ133" s="58" t="s">
        <v>63</v>
      </c>
      <c r="AK133" s="343">
        <v>45490</v>
      </c>
      <c r="AL133" s="343">
        <v>45490</v>
      </c>
      <c r="AM133" s="343">
        <v>45821</v>
      </c>
    </row>
    <row r="134" spans="1:40" ht="22.8" x14ac:dyDescent="0.25">
      <c r="A134" s="28">
        <v>133</v>
      </c>
      <c r="B134" s="20">
        <v>39130</v>
      </c>
      <c r="C134" s="27" t="s">
        <v>64</v>
      </c>
      <c r="D134" s="56" t="s">
        <v>2228</v>
      </c>
      <c r="E134" s="20" t="s">
        <v>1933</v>
      </c>
      <c r="F134" s="29" t="s">
        <v>2093</v>
      </c>
      <c r="G134" s="29" t="s">
        <v>15</v>
      </c>
      <c r="H134" s="19">
        <v>43875</v>
      </c>
      <c r="I134" s="3">
        <v>656</v>
      </c>
      <c r="J134" s="3" t="s">
        <v>58</v>
      </c>
      <c r="K134" s="37" t="s">
        <v>59</v>
      </c>
      <c r="L134" s="33">
        <v>44067</v>
      </c>
      <c r="M134" s="41" t="s">
        <v>871</v>
      </c>
      <c r="N134" s="40">
        <v>44436</v>
      </c>
      <c r="O134" s="33"/>
      <c r="P134" s="33"/>
      <c r="Q134" s="16" t="s">
        <v>75</v>
      </c>
      <c r="R134" s="16" t="s">
        <v>75</v>
      </c>
      <c r="S134" s="37" t="s">
        <v>68</v>
      </c>
      <c r="T134" s="37" t="s">
        <v>68</v>
      </c>
      <c r="U134" s="37" t="s">
        <v>68</v>
      </c>
      <c r="V134" s="16"/>
      <c r="W134" s="16"/>
      <c r="X134" s="16"/>
      <c r="Y134" s="16"/>
      <c r="Z134" s="432"/>
      <c r="AA134" s="432"/>
      <c r="AB134" s="24" t="s">
        <v>2490</v>
      </c>
      <c r="AC134" s="24"/>
      <c r="AD134" s="281">
        <v>44595</v>
      </c>
      <c r="AE134" s="343">
        <v>45448</v>
      </c>
      <c r="AF134" s="365"/>
      <c r="AG134" s="343">
        <v>45556</v>
      </c>
      <c r="AH134" s="343">
        <v>45556</v>
      </c>
      <c r="AI134" s="343">
        <v>45448</v>
      </c>
      <c r="AJ134" s="58" t="s">
        <v>63</v>
      </c>
      <c r="AK134" s="343">
        <v>45556</v>
      </c>
      <c r="AL134" s="343">
        <v>45448</v>
      </c>
      <c r="AM134" s="343">
        <v>45556</v>
      </c>
    </row>
    <row r="135" spans="1:40" ht="22.8" x14ac:dyDescent="0.25">
      <c r="A135" s="28">
        <v>134</v>
      </c>
      <c r="B135" s="20">
        <v>39130</v>
      </c>
      <c r="C135" s="27" t="s">
        <v>54</v>
      </c>
      <c r="D135" s="56" t="s">
        <v>2229</v>
      </c>
      <c r="E135" s="20" t="s">
        <v>1933</v>
      </c>
      <c r="F135" s="29" t="s">
        <v>2093</v>
      </c>
      <c r="G135" s="29" t="s">
        <v>15</v>
      </c>
      <c r="H135" s="19">
        <v>43875</v>
      </c>
      <c r="I135" s="3">
        <v>655</v>
      </c>
      <c r="J135" s="3" t="s">
        <v>58</v>
      </c>
      <c r="K135" s="37" t="s">
        <v>59</v>
      </c>
      <c r="L135" s="33">
        <v>44067</v>
      </c>
      <c r="M135" s="41" t="s">
        <v>871</v>
      </c>
      <c r="N135" s="40">
        <v>44436</v>
      </c>
      <c r="O135" s="33"/>
      <c r="P135" s="33"/>
      <c r="Q135" s="16" t="s">
        <v>75</v>
      </c>
      <c r="R135" s="16" t="s">
        <v>75</v>
      </c>
      <c r="S135" s="37" t="s">
        <v>62</v>
      </c>
      <c r="T135" s="37" t="s">
        <v>62</v>
      </c>
      <c r="U135" s="37" t="s">
        <v>62</v>
      </c>
      <c r="V135" s="16"/>
      <c r="W135" s="16"/>
      <c r="X135" s="16"/>
      <c r="Y135" s="16"/>
      <c r="Z135" s="432"/>
      <c r="AA135" s="432"/>
      <c r="AB135" s="24"/>
      <c r="AC135" s="24"/>
      <c r="AD135" s="281">
        <v>44595</v>
      </c>
      <c r="AE135" s="343">
        <v>45448</v>
      </c>
      <c r="AF135" s="365"/>
      <c r="AG135" s="343">
        <v>45556</v>
      </c>
      <c r="AH135" s="343">
        <v>45556</v>
      </c>
      <c r="AI135" s="343">
        <v>45448</v>
      </c>
      <c r="AJ135" s="58" t="s">
        <v>63</v>
      </c>
      <c r="AK135" s="343">
        <v>45556</v>
      </c>
      <c r="AL135" s="343">
        <v>45448</v>
      </c>
      <c r="AM135" s="343">
        <v>45556</v>
      </c>
    </row>
    <row r="136" spans="1:40" ht="22.8" x14ac:dyDescent="0.25">
      <c r="A136" s="28">
        <v>135</v>
      </c>
      <c r="B136" s="20">
        <v>39167</v>
      </c>
      <c r="C136" s="27" t="s">
        <v>64</v>
      </c>
      <c r="D136" s="20" t="s">
        <v>2230</v>
      </c>
      <c r="E136" s="20" t="s">
        <v>1933</v>
      </c>
      <c r="F136" s="29" t="s">
        <v>2093</v>
      </c>
      <c r="G136" s="29" t="s">
        <v>15</v>
      </c>
      <c r="H136" s="19">
        <v>44151</v>
      </c>
      <c r="I136" s="3">
        <v>979</v>
      </c>
      <c r="J136" s="3" t="s">
        <v>58</v>
      </c>
      <c r="K136" s="37" t="s">
        <v>59</v>
      </c>
      <c r="L136" s="16" t="s">
        <v>75</v>
      </c>
      <c r="M136" s="41" t="s">
        <v>871</v>
      </c>
      <c r="N136" s="40">
        <v>44509</v>
      </c>
      <c r="O136" s="24"/>
      <c r="P136" s="24"/>
      <c r="Q136" s="16" t="s">
        <v>75</v>
      </c>
      <c r="R136" s="16" t="s">
        <v>75</v>
      </c>
      <c r="S136" s="24"/>
      <c r="T136" s="37" t="s">
        <v>68</v>
      </c>
      <c r="U136" s="24"/>
      <c r="V136" s="37" t="s">
        <v>68</v>
      </c>
      <c r="W136" s="24"/>
      <c r="X136" s="16" t="s">
        <v>75</v>
      </c>
      <c r="Y136" s="24"/>
      <c r="Z136" s="435"/>
      <c r="AA136" s="435"/>
      <c r="AB136" s="24"/>
      <c r="AC136" s="24"/>
      <c r="AD136" s="281">
        <v>44701</v>
      </c>
      <c r="AE136" s="343">
        <v>45521</v>
      </c>
      <c r="AF136" s="365"/>
      <c r="AG136" s="343">
        <v>45521</v>
      </c>
      <c r="AH136" s="143">
        <v>45521</v>
      </c>
      <c r="AI136" s="143">
        <v>45521</v>
      </c>
      <c r="AJ136" s="58" t="s">
        <v>63</v>
      </c>
      <c r="AK136" s="386">
        <v>45624</v>
      </c>
      <c r="AL136" s="143">
        <v>45521</v>
      </c>
      <c r="AM136" s="386">
        <v>45624</v>
      </c>
    </row>
    <row r="137" spans="1:40" ht="22.8" x14ac:dyDescent="0.25">
      <c r="A137" s="28">
        <v>136</v>
      </c>
      <c r="B137" s="20">
        <v>39167</v>
      </c>
      <c r="C137" s="27" t="s">
        <v>54</v>
      </c>
      <c r="D137" s="56" t="s">
        <v>2231</v>
      </c>
      <c r="E137" s="20" t="s">
        <v>1933</v>
      </c>
      <c r="F137" s="29" t="s">
        <v>2093</v>
      </c>
      <c r="G137" s="29" t="s">
        <v>15</v>
      </c>
      <c r="H137" s="19">
        <v>44151</v>
      </c>
      <c r="I137" s="3">
        <v>978</v>
      </c>
      <c r="J137" s="3" t="s">
        <v>58</v>
      </c>
      <c r="K137" s="37" t="s">
        <v>59</v>
      </c>
      <c r="L137" s="16" t="s">
        <v>75</v>
      </c>
      <c r="M137" s="41" t="s">
        <v>871</v>
      </c>
      <c r="N137" s="40">
        <v>44509</v>
      </c>
      <c r="O137" s="33"/>
      <c r="P137" s="33"/>
      <c r="Q137" s="16" t="s">
        <v>75</v>
      </c>
      <c r="R137" s="16" t="s">
        <v>75</v>
      </c>
      <c r="S137" s="37" t="s">
        <v>68</v>
      </c>
      <c r="T137" s="37" t="s">
        <v>62</v>
      </c>
      <c r="U137" s="16" t="s">
        <v>68</v>
      </c>
      <c r="V137" s="37" t="s">
        <v>62</v>
      </c>
      <c r="W137" s="16"/>
      <c r="X137" s="16" t="s">
        <v>75</v>
      </c>
      <c r="Y137" s="16"/>
      <c r="Z137" s="432"/>
      <c r="AA137" s="432"/>
      <c r="AB137" s="24"/>
      <c r="AC137" s="24"/>
      <c r="AD137" s="281">
        <v>44701</v>
      </c>
      <c r="AE137" s="343">
        <v>45521</v>
      </c>
      <c r="AF137" s="365"/>
      <c r="AG137" s="343">
        <v>45521</v>
      </c>
      <c r="AH137" s="143">
        <v>45521</v>
      </c>
      <c r="AI137" s="143">
        <v>45521</v>
      </c>
      <c r="AJ137" s="58" t="s">
        <v>63</v>
      </c>
      <c r="AK137" s="386">
        <v>45624</v>
      </c>
      <c r="AL137" s="143">
        <v>45521</v>
      </c>
      <c r="AM137" s="386">
        <v>45624</v>
      </c>
    </row>
    <row r="138" spans="1:40" ht="22.8" x14ac:dyDescent="0.25">
      <c r="A138" s="28">
        <v>137</v>
      </c>
      <c r="B138" s="20">
        <v>39168</v>
      </c>
      <c r="C138" s="27" t="s">
        <v>64</v>
      </c>
      <c r="D138" s="56" t="s">
        <v>2232</v>
      </c>
      <c r="E138" s="20" t="s">
        <v>1933</v>
      </c>
      <c r="F138" s="29" t="s">
        <v>2093</v>
      </c>
      <c r="G138" s="29" t="s">
        <v>15</v>
      </c>
      <c r="H138" s="19">
        <v>44153</v>
      </c>
      <c r="I138" s="3">
        <v>977</v>
      </c>
      <c r="J138" s="3" t="s">
        <v>58</v>
      </c>
      <c r="K138" s="37" t="s">
        <v>59</v>
      </c>
      <c r="L138" s="16" t="s">
        <v>75</v>
      </c>
      <c r="M138" s="41" t="s">
        <v>871</v>
      </c>
      <c r="N138" s="33">
        <v>44597</v>
      </c>
      <c r="O138" s="33"/>
      <c r="P138" s="33"/>
      <c r="Q138" s="16" t="s">
        <v>75</v>
      </c>
      <c r="R138" s="16" t="s">
        <v>75</v>
      </c>
      <c r="S138" s="37" t="s">
        <v>68</v>
      </c>
      <c r="T138" s="37" t="s">
        <v>68</v>
      </c>
      <c r="U138" s="16" t="s">
        <v>68</v>
      </c>
      <c r="V138" s="37" t="s">
        <v>68</v>
      </c>
      <c r="W138" s="16"/>
      <c r="X138" s="16" t="s">
        <v>75</v>
      </c>
      <c r="Y138" s="16"/>
      <c r="Z138" s="432"/>
      <c r="AA138" s="432"/>
      <c r="AB138" s="24"/>
      <c r="AC138" s="24"/>
      <c r="AD138" s="281">
        <v>44690</v>
      </c>
      <c r="AE138" s="343">
        <v>45520</v>
      </c>
      <c r="AF138" s="365"/>
      <c r="AG138" s="343">
        <v>45520</v>
      </c>
      <c r="AH138" s="143">
        <v>45418</v>
      </c>
      <c r="AI138" s="143">
        <v>45418</v>
      </c>
      <c r="AJ138" s="58" t="s">
        <v>63</v>
      </c>
      <c r="AK138" s="386">
        <v>45628</v>
      </c>
      <c r="AL138" s="143">
        <v>45520</v>
      </c>
      <c r="AM138" s="386">
        <v>45628</v>
      </c>
    </row>
    <row r="139" spans="1:40" ht="22.8" x14ac:dyDescent="0.25">
      <c r="A139" s="28">
        <v>138</v>
      </c>
      <c r="B139" s="20">
        <v>39168</v>
      </c>
      <c r="C139" s="27" t="s">
        <v>54</v>
      </c>
      <c r="D139" s="56" t="s">
        <v>2233</v>
      </c>
      <c r="E139" s="20" t="s">
        <v>1933</v>
      </c>
      <c r="F139" s="29" t="s">
        <v>2093</v>
      </c>
      <c r="G139" s="29" t="s">
        <v>15</v>
      </c>
      <c r="H139" s="19">
        <v>44153</v>
      </c>
      <c r="I139" s="3">
        <v>976</v>
      </c>
      <c r="J139" s="3" t="s">
        <v>58</v>
      </c>
      <c r="K139" s="37" t="s">
        <v>59</v>
      </c>
      <c r="L139" s="16" t="s">
        <v>75</v>
      </c>
      <c r="M139" s="41" t="s">
        <v>871</v>
      </c>
      <c r="N139" s="33">
        <v>44597</v>
      </c>
      <c r="O139" s="33"/>
      <c r="P139" s="33"/>
      <c r="Q139" s="16" t="s">
        <v>75</v>
      </c>
      <c r="R139" s="16" t="s">
        <v>75</v>
      </c>
      <c r="S139" s="37" t="s">
        <v>62</v>
      </c>
      <c r="T139" s="37" t="s">
        <v>62</v>
      </c>
      <c r="U139" s="16" t="s">
        <v>62</v>
      </c>
      <c r="V139" s="37" t="s">
        <v>62</v>
      </c>
      <c r="W139" s="16"/>
      <c r="X139" s="16" t="s">
        <v>75</v>
      </c>
      <c r="Y139" s="16"/>
      <c r="Z139" s="432"/>
      <c r="AA139" s="432"/>
      <c r="AB139" s="24"/>
      <c r="AC139" s="24"/>
      <c r="AD139" s="281">
        <v>44690</v>
      </c>
      <c r="AE139" s="343">
        <v>45520</v>
      </c>
      <c r="AF139" s="365"/>
      <c r="AG139" s="343">
        <v>45520</v>
      </c>
      <c r="AH139" s="143">
        <v>45418</v>
      </c>
      <c r="AI139" s="143">
        <v>45418</v>
      </c>
      <c r="AJ139" s="58" t="s">
        <v>63</v>
      </c>
      <c r="AK139" s="386">
        <v>45628</v>
      </c>
      <c r="AL139" s="143">
        <v>45520</v>
      </c>
      <c r="AM139" s="386">
        <v>45628</v>
      </c>
    </row>
    <row r="140" spans="1:40" ht="22.8" x14ac:dyDescent="0.25">
      <c r="A140" s="28">
        <v>139</v>
      </c>
      <c r="B140" s="56">
        <v>39180</v>
      </c>
      <c r="C140" s="60" t="s">
        <v>64</v>
      </c>
      <c r="D140" s="56" t="s">
        <v>2234</v>
      </c>
      <c r="E140" s="18" t="s">
        <v>1933</v>
      </c>
      <c r="F140" s="18"/>
      <c r="G140" s="29" t="s">
        <v>15</v>
      </c>
      <c r="H140" s="18"/>
      <c r="I140" s="3" t="s">
        <v>2235</v>
      </c>
      <c r="J140" s="3" t="s">
        <v>58</v>
      </c>
      <c r="K140" s="37" t="s">
        <v>59</v>
      </c>
      <c r="L140" s="16" t="s">
        <v>75</v>
      </c>
      <c r="M140" s="16" t="s">
        <v>60</v>
      </c>
      <c r="N140" s="16" t="s">
        <v>75</v>
      </c>
      <c r="O140" s="33"/>
      <c r="P140" s="33"/>
      <c r="Q140" s="16" t="s">
        <v>75</v>
      </c>
      <c r="R140" s="16" t="s">
        <v>75</v>
      </c>
      <c r="S140" s="37" t="s">
        <v>68</v>
      </c>
      <c r="T140" s="16" t="s">
        <v>68</v>
      </c>
      <c r="U140" s="16" t="s">
        <v>68</v>
      </c>
      <c r="V140" s="16"/>
      <c r="W140" s="16"/>
      <c r="X140" s="16" t="s">
        <v>75</v>
      </c>
      <c r="Y140" s="16"/>
      <c r="Z140" s="432"/>
      <c r="AA140" s="432"/>
      <c r="AB140" s="24"/>
      <c r="AC140" s="24"/>
      <c r="AD140" s="281">
        <v>44688</v>
      </c>
      <c r="AE140" s="343">
        <v>45343</v>
      </c>
      <c r="AF140" s="365"/>
      <c r="AG140" s="343">
        <v>45556</v>
      </c>
      <c r="AI140" s="343">
        <v>45343</v>
      </c>
      <c r="AJ140" s="58" t="s">
        <v>63</v>
      </c>
      <c r="AK140" s="386">
        <v>45556</v>
      </c>
      <c r="AL140" s="386">
        <v>45556</v>
      </c>
      <c r="AM140" s="343">
        <v>45556</v>
      </c>
    </row>
    <row r="141" spans="1:40" ht="22.8" x14ac:dyDescent="0.25">
      <c r="A141" s="28">
        <v>140</v>
      </c>
      <c r="B141" s="56">
        <v>39181</v>
      </c>
      <c r="C141" s="60" t="s">
        <v>64</v>
      </c>
      <c r="D141" s="56" t="s">
        <v>2236</v>
      </c>
      <c r="E141" s="18" t="s">
        <v>1933</v>
      </c>
      <c r="F141" s="18"/>
      <c r="G141" s="29" t="s">
        <v>15</v>
      </c>
      <c r="H141" s="18"/>
      <c r="I141" s="3" t="s">
        <v>2237</v>
      </c>
      <c r="J141" s="3" t="s">
        <v>58</v>
      </c>
      <c r="K141" s="37" t="s">
        <v>59</v>
      </c>
      <c r="L141" s="16" t="s">
        <v>75</v>
      </c>
      <c r="M141" s="41" t="s">
        <v>871</v>
      </c>
      <c r="N141" s="33">
        <v>44457</v>
      </c>
      <c r="O141" s="33"/>
      <c r="P141" s="33"/>
      <c r="Q141" s="16" t="s">
        <v>75</v>
      </c>
      <c r="R141" s="16" t="s">
        <v>75</v>
      </c>
      <c r="S141" s="37" t="s">
        <v>68</v>
      </c>
      <c r="T141" s="16" t="s">
        <v>68</v>
      </c>
      <c r="U141" s="16" t="s">
        <v>68</v>
      </c>
      <c r="V141" s="16"/>
      <c r="W141" s="16"/>
      <c r="X141" s="16" t="s">
        <v>75</v>
      </c>
      <c r="Y141" s="16"/>
      <c r="Z141" s="432"/>
      <c r="AA141" s="432"/>
      <c r="AB141" s="24"/>
      <c r="AC141" s="24"/>
      <c r="AD141" s="281">
        <v>44811</v>
      </c>
      <c r="AE141" s="343">
        <v>45323</v>
      </c>
      <c r="AF141" s="365"/>
      <c r="AG141" s="343">
        <v>45467</v>
      </c>
      <c r="AI141" s="343">
        <v>45323</v>
      </c>
      <c r="AJ141" s="58" t="s">
        <v>63</v>
      </c>
      <c r="AK141" s="343">
        <v>45554</v>
      </c>
      <c r="AL141" s="143">
        <v>45467</v>
      </c>
      <c r="AM141" s="343">
        <v>45554</v>
      </c>
    </row>
    <row r="142" spans="1:40" ht="22.8" x14ac:dyDescent="0.25">
      <c r="A142" s="28">
        <v>141</v>
      </c>
      <c r="B142" s="56">
        <v>39182</v>
      </c>
      <c r="C142" s="27" t="s">
        <v>64</v>
      </c>
      <c r="D142" s="56" t="s">
        <v>2238</v>
      </c>
      <c r="E142" s="18" t="s">
        <v>2458</v>
      </c>
      <c r="F142" s="18" t="s">
        <v>2093</v>
      </c>
      <c r="G142" s="29" t="s">
        <v>15</v>
      </c>
      <c r="H142" s="18"/>
      <c r="I142" s="3" t="s">
        <v>2239</v>
      </c>
      <c r="J142" s="3" t="s">
        <v>58</v>
      </c>
      <c r="K142" s="37" t="s">
        <v>59</v>
      </c>
      <c r="L142" s="16" t="s">
        <v>75</v>
      </c>
      <c r="M142" s="16" t="s">
        <v>60</v>
      </c>
      <c r="N142" s="16" t="s">
        <v>75</v>
      </c>
      <c r="O142" s="33"/>
      <c r="P142" s="33"/>
      <c r="Q142" s="16" t="s">
        <v>75</v>
      </c>
      <c r="R142" s="16" t="s">
        <v>75</v>
      </c>
      <c r="S142" s="37" t="s">
        <v>68</v>
      </c>
      <c r="T142" s="16" t="s">
        <v>68</v>
      </c>
      <c r="U142" s="16" t="s">
        <v>68</v>
      </c>
      <c r="V142" s="16"/>
      <c r="W142" s="16"/>
      <c r="X142" s="16" t="s">
        <v>75</v>
      </c>
      <c r="Y142" s="16"/>
      <c r="Z142" s="432"/>
      <c r="AA142" s="432"/>
      <c r="AB142" s="24"/>
      <c r="AC142" s="24"/>
      <c r="AD142" s="281">
        <v>44702</v>
      </c>
      <c r="AE142" s="58"/>
      <c r="AF142" s="386">
        <v>45434</v>
      </c>
      <c r="AG142" s="143">
        <v>45483</v>
      </c>
      <c r="AH142" s="143">
        <v>45483</v>
      </c>
      <c r="AI142" s="386">
        <v>45567</v>
      </c>
      <c r="AJ142" s="58" t="s">
        <v>63</v>
      </c>
      <c r="AM142" s="386">
        <v>45572</v>
      </c>
      <c r="AN142" s="381"/>
    </row>
    <row r="143" spans="1:40" ht="22.8" x14ac:dyDescent="0.25">
      <c r="A143" s="28">
        <v>142</v>
      </c>
      <c r="B143" s="56">
        <v>39182</v>
      </c>
      <c r="C143" s="27" t="s">
        <v>54</v>
      </c>
      <c r="D143" s="56" t="s">
        <v>2403</v>
      </c>
      <c r="E143" s="18" t="s">
        <v>2458</v>
      </c>
      <c r="F143" s="18" t="s">
        <v>2093</v>
      </c>
      <c r="G143" s="29" t="s">
        <v>15</v>
      </c>
      <c r="H143" s="19">
        <v>44247</v>
      </c>
      <c r="I143" s="3">
        <v>1058</v>
      </c>
      <c r="J143" s="3" t="s">
        <v>58</v>
      </c>
      <c r="K143" s="37" t="s">
        <v>59</v>
      </c>
      <c r="L143" s="16" t="s">
        <v>75</v>
      </c>
      <c r="M143" s="16" t="s">
        <v>60</v>
      </c>
      <c r="N143" s="16" t="s">
        <v>75</v>
      </c>
      <c r="O143" s="33"/>
      <c r="P143" s="33"/>
      <c r="Q143" s="16" t="s">
        <v>75</v>
      </c>
      <c r="R143" s="16" t="s">
        <v>75</v>
      </c>
      <c r="S143" s="37" t="s">
        <v>62</v>
      </c>
      <c r="T143" s="16" t="s">
        <v>62</v>
      </c>
      <c r="U143" s="16" t="s">
        <v>62</v>
      </c>
      <c r="V143" s="16"/>
      <c r="W143" s="16"/>
      <c r="X143" s="16" t="s">
        <v>75</v>
      </c>
      <c r="Y143" s="16"/>
      <c r="Z143" s="432"/>
      <c r="AA143" s="432"/>
      <c r="AB143" s="24"/>
      <c r="AC143" s="24"/>
      <c r="AD143" s="281">
        <v>44702</v>
      </c>
      <c r="AE143" s="58"/>
      <c r="AF143" s="386">
        <v>45567</v>
      </c>
      <c r="AG143" s="143">
        <v>45483</v>
      </c>
      <c r="AH143" s="143">
        <v>45483</v>
      </c>
      <c r="AI143" s="386">
        <v>45567</v>
      </c>
      <c r="AJ143" s="58" t="s">
        <v>63</v>
      </c>
      <c r="AM143" s="386">
        <v>45572</v>
      </c>
    </row>
    <row r="144" spans="1:40" ht="22.8" x14ac:dyDescent="0.25">
      <c r="A144" s="28">
        <v>143</v>
      </c>
      <c r="B144" s="55">
        <v>39187</v>
      </c>
      <c r="C144" s="55" t="s">
        <v>64</v>
      </c>
      <c r="D144" s="20" t="s">
        <v>2240</v>
      </c>
      <c r="E144" s="18" t="s">
        <v>1933</v>
      </c>
      <c r="F144" s="18" t="s">
        <v>2241</v>
      </c>
      <c r="G144" s="18" t="s">
        <v>15</v>
      </c>
      <c r="H144" s="19">
        <v>44264</v>
      </c>
      <c r="I144" s="3" t="s">
        <v>2242</v>
      </c>
      <c r="J144" s="3" t="s">
        <v>58</v>
      </c>
      <c r="K144" s="37" t="s">
        <v>59</v>
      </c>
      <c r="L144" s="16" t="s">
        <v>75</v>
      </c>
      <c r="M144" s="41" t="s">
        <v>871</v>
      </c>
      <c r="N144" s="33">
        <v>44472</v>
      </c>
      <c r="O144" s="33"/>
      <c r="P144" s="33"/>
      <c r="Q144" s="16" t="s">
        <v>75</v>
      </c>
      <c r="R144" s="16" t="s">
        <v>75</v>
      </c>
      <c r="S144" s="37" t="s">
        <v>68</v>
      </c>
      <c r="T144" s="37" t="s">
        <v>68</v>
      </c>
      <c r="U144" s="37" t="s">
        <v>68</v>
      </c>
      <c r="V144" s="16"/>
      <c r="W144" s="16"/>
      <c r="X144" s="16" t="s">
        <v>75</v>
      </c>
      <c r="Y144" s="16"/>
      <c r="Z144" s="432"/>
      <c r="AA144" s="432"/>
      <c r="AB144" s="24"/>
      <c r="AC144" s="24"/>
      <c r="AD144" s="281">
        <v>44597</v>
      </c>
      <c r="AE144" s="343">
        <v>45558</v>
      </c>
      <c r="AF144" s="365"/>
      <c r="AG144" s="343">
        <v>45559</v>
      </c>
      <c r="AH144" s="143">
        <v>45489</v>
      </c>
      <c r="AI144" s="343">
        <v>45353</v>
      </c>
      <c r="AJ144" s="58" t="s">
        <v>63</v>
      </c>
      <c r="AK144" s="343">
        <v>45559</v>
      </c>
      <c r="AL144" s="386">
        <v>45558</v>
      </c>
      <c r="AM144" s="343">
        <v>45559</v>
      </c>
      <c r="AN144" s="381"/>
    </row>
    <row r="145" spans="1:41" ht="22.8" x14ac:dyDescent="0.25">
      <c r="A145" s="28">
        <v>144</v>
      </c>
      <c r="B145" s="55">
        <v>39187</v>
      </c>
      <c r="C145" s="55" t="s">
        <v>54</v>
      </c>
      <c r="D145" s="20" t="s">
        <v>2243</v>
      </c>
      <c r="E145" s="18" t="s">
        <v>1933</v>
      </c>
      <c r="F145" s="18" t="s">
        <v>2241</v>
      </c>
      <c r="G145" s="18" t="s">
        <v>15</v>
      </c>
      <c r="H145" s="19">
        <v>44264</v>
      </c>
      <c r="I145" s="3" t="s">
        <v>2244</v>
      </c>
      <c r="J145" s="3" t="s">
        <v>58</v>
      </c>
      <c r="K145" s="37" t="s">
        <v>59</v>
      </c>
      <c r="L145" s="16" t="s">
        <v>75</v>
      </c>
      <c r="M145" s="41" t="s">
        <v>871</v>
      </c>
      <c r="N145" s="33">
        <v>44472</v>
      </c>
      <c r="O145" s="33"/>
      <c r="P145" s="33"/>
      <c r="Q145" s="16" t="s">
        <v>75</v>
      </c>
      <c r="R145" s="16" t="s">
        <v>75</v>
      </c>
      <c r="S145" s="37" t="s">
        <v>62</v>
      </c>
      <c r="T145" s="37" t="s">
        <v>62</v>
      </c>
      <c r="U145" s="37" t="s">
        <v>62</v>
      </c>
      <c r="V145" s="16"/>
      <c r="W145" s="16"/>
      <c r="X145" s="16" t="s">
        <v>75</v>
      </c>
      <c r="Y145" s="16"/>
      <c r="Z145" s="432"/>
      <c r="AA145" s="432"/>
      <c r="AB145" s="24"/>
      <c r="AC145" s="24"/>
      <c r="AD145" s="281">
        <v>44597</v>
      </c>
      <c r="AE145" s="343">
        <v>45558</v>
      </c>
      <c r="AF145" s="365"/>
      <c r="AG145" s="343">
        <v>45559</v>
      </c>
      <c r="AH145" s="143">
        <v>45489</v>
      </c>
      <c r="AI145" s="343">
        <v>45353</v>
      </c>
      <c r="AJ145" s="58" t="s">
        <v>63</v>
      </c>
      <c r="AK145" s="343">
        <v>45559</v>
      </c>
      <c r="AL145" s="386">
        <v>45558</v>
      </c>
      <c r="AM145" s="343">
        <v>45559</v>
      </c>
    </row>
    <row r="146" spans="1:41" ht="22.8" x14ac:dyDescent="0.25">
      <c r="A146" s="28">
        <v>145</v>
      </c>
      <c r="B146" s="55">
        <v>39188</v>
      </c>
      <c r="C146" s="60"/>
      <c r="D146" s="20" t="s">
        <v>2245</v>
      </c>
      <c r="E146" s="18" t="s">
        <v>1933</v>
      </c>
      <c r="F146" s="18" t="s">
        <v>2241</v>
      </c>
      <c r="G146" s="18" t="s">
        <v>15</v>
      </c>
      <c r="H146" s="19">
        <v>44282</v>
      </c>
      <c r="I146" s="3" t="s">
        <v>2246</v>
      </c>
      <c r="J146" s="3" t="s">
        <v>58</v>
      </c>
      <c r="K146" s="37" t="s">
        <v>59</v>
      </c>
      <c r="L146" s="16" t="s">
        <v>75</v>
      </c>
      <c r="M146" s="41" t="s">
        <v>871</v>
      </c>
      <c r="N146" s="33">
        <v>44483</v>
      </c>
      <c r="O146" s="33"/>
      <c r="P146" s="33"/>
      <c r="Q146" s="16" t="s">
        <v>75</v>
      </c>
      <c r="R146" s="16" t="s">
        <v>75</v>
      </c>
      <c r="S146" s="37"/>
      <c r="T146" s="37" t="s">
        <v>68</v>
      </c>
      <c r="U146" s="16"/>
      <c r="V146" s="16"/>
      <c r="W146" s="16"/>
      <c r="X146" s="16" t="s">
        <v>75</v>
      </c>
      <c r="Y146" s="16"/>
      <c r="Z146" s="432"/>
      <c r="AA146" s="432"/>
      <c r="AB146" s="24"/>
      <c r="AC146" s="24"/>
      <c r="AD146" s="281">
        <v>44663</v>
      </c>
      <c r="AE146" s="343">
        <v>45518</v>
      </c>
      <c r="AF146" s="365"/>
      <c r="AG146" s="343">
        <v>45518</v>
      </c>
      <c r="AH146" s="343">
        <v>45518</v>
      </c>
      <c r="AI146" s="143">
        <v>45518</v>
      </c>
      <c r="AJ146" s="58" t="s">
        <v>63</v>
      </c>
      <c r="AK146" s="386">
        <v>45628</v>
      </c>
      <c r="AL146" s="143">
        <v>45518</v>
      </c>
      <c r="AM146" s="386">
        <v>45628</v>
      </c>
      <c r="AN146" s="381"/>
      <c r="AO146" s="58"/>
    </row>
    <row r="147" spans="1:41" ht="22.8" x14ac:dyDescent="0.25">
      <c r="A147" s="28">
        <v>146</v>
      </c>
      <c r="B147" s="55">
        <v>39188</v>
      </c>
      <c r="C147" s="60"/>
      <c r="D147" s="20" t="s">
        <v>2247</v>
      </c>
      <c r="E147" s="18" t="s">
        <v>1933</v>
      </c>
      <c r="F147" s="18" t="s">
        <v>2241</v>
      </c>
      <c r="G147" s="18" t="s">
        <v>15</v>
      </c>
      <c r="H147" s="19">
        <v>44282</v>
      </c>
      <c r="I147" s="3" t="s">
        <v>2248</v>
      </c>
      <c r="J147" s="3" t="s">
        <v>58</v>
      </c>
      <c r="K147" s="37" t="s">
        <v>59</v>
      </c>
      <c r="L147" s="16" t="s">
        <v>75</v>
      </c>
      <c r="M147" s="41" t="s">
        <v>871</v>
      </c>
      <c r="N147" s="33">
        <v>44483</v>
      </c>
      <c r="O147" s="33"/>
      <c r="P147" s="33"/>
      <c r="Q147" s="16" t="s">
        <v>75</v>
      </c>
      <c r="R147" s="16" t="s">
        <v>75</v>
      </c>
      <c r="S147" s="37"/>
      <c r="T147" s="37" t="s">
        <v>62</v>
      </c>
      <c r="U147" s="16"/>
      <c r="V147" s="16"/>
      <c r="W147" s="16"/>
      <c r="X147" s="16" t="s">
        <v>75</v>
      </c>
      <c r="Y147" s="16"/>
      <c r="Z147" s="432"/>
      <c r="AA147" s="432"/>
      <c r="AB147" s="24"/>
      <c r="AC147" s="24"/>
      <c r="AD147" s="281">
        <v>44663</v>
      </c>
      <c r="AE147" s="343">
        <v>45518</v>
      </c>
      <c r="AF147" s="365"/>
      <c r="AG147" s="343">
        <v>45518</v>
      </c>
      <c r="AH147" s="343">
        <v>45518</v>
      </c>
      <c r="AI147" s="143">
        <v>45518</v>
      </c>
      <c r="AJ147" s="58" t="s">
        <v>63</v>
      </c>
      <c r="AK147" s="386">
        <v>45628</v>
      </c>
      <c r="AL147" s="143">
        <v>45518</v>
      </c>
      <c r="AM147" s="386">
        <v>45628</v>
      </c>
    </row>
    <row r="148" spans="1:41" ht="22.8" x14ac:dyDescent="0.25">
      <c r="A148" s="28">
        <v>147</v>
      </c>
      <c r="B148" s="20">
        <v>30470</v>
      </c>
      <c r="C148" s="27" t="s">
        <v>64</v>
      </c>
      <c r="D148" s="24" t="s">
        <v>2249</v>
      </c>
      <c r="E148" s="20" t="s">
        <v>2250</v>
      </c>
      <c r="F148" s="29" t="s">
        <v>2241</v>
      </c>
      <c r="G148" s="29" t="s">
        <v>15</v>
      </c>
      <c r="H148" s="19">
        <v>42490</v>
      </c>
      <c r="I148" s="3">
        <v>39</v>
      </c>
      <c r="J148" s="3" t="s">
        <v>66</v>
      </c>
      <c r="K148" s="37" t="s">
        <v>59</v>
      </c>
      <c r="L148" s="33" t="s">
        <v>63</v>
      </c>
      <c r="M148" s="30" t="s">
        <v>67</v>
      </c>
      <c r="N148" s="33" t="s">
        <v>63</v>
      </c>
      <c r="O148" s="33">
        <v>44315</v>
      </c>
      <c r="P148" s="33">
        <v>45076</v>
      </c>
      <c r="Q148" s="16" t="s">
        <v>68</v>
      </c>
      <c r="R148" s="16" t="s">
        <v>68</v>
      </c>
      <c r="S148" s="16" t="s">
        <v>68</v>
      </c>
      <c r="T148" s="16" t="s">
        <v>68</v>
      </c>
      <c r="U148" s="37" t="s">
        <v>68</v>
      </c>
      <c r="V148" s="33">
        <v>44775</v>
      </c>
      <c r="W148" s="33">
        <v>44775</v>
      </c>
      <c r="X148" s="16" t="s">
        <v>68</v>
      </c>
      <c r="Y148" s="16" t="s">
        <v>68</v>
      </c>
      <c r="Z148" s="432" t="s">
        <v>68</v>
      </c>
      <c r="AA148" s="432"/>
      <c r="AB148" s="24"/>
      <c r="AC148" s="24"/>
      <c r="AD148" s="282">
        <v>44647</v>
      </c>
      <c r="AE148" s="58" t="s">
        <v>91</v>
      </c>
      <c r="AF148" s="282">
        <v>45768</v>
      </c>
      <c r="AG148" s="282">
        <v>45565</v>
      </c>
      <c r="AH148" s="282">
        <v>45565</v>
      </c>
      <c r="AI148" s="952">
        <v>45565</v>
      </c>
      <c r="AJ148" s="282">
        <v>45642</v>
      </c>
      <c r="AK148" s="282">
        <v>45769</v>
      </c>
      <c r="AL148" s="282">
        <v>45565</v>
      </c>
      <c r="AM148" s="282">
        <v>45565</v>
      </c>
      <c r="AN148" s="381"/>
    </row>
    <row r="149" spans="1:41" ht="22.8" x14ac:dyDescent="0.25">
      <c r="A149" s="28">
        <v>148</v>
      </c>
      <c r="B149" s="20">
        <v>30470</v>
      </c>
      <c r="C149" s="27" t="s">
        <v>54</v>
      </c>
      <c r="D149" s="24" t="s">
        <v>2251</v>
      </c>
      <c r="E149" s="20" t="s">
        <v>2250</v>
      </c>
      <c r="F149" s="29" t="s">
        <v>2241</v>
      </c>
      <c r="G149" s="29" t="s">
        <v>15</v>
      </c>
      <c r="H149" s="19">
        <v>42490</v>
      </c>
      <c r="I149" s="3">
        <v>23</v>
      </c>
      <c r="J149" s="3" t="s">
        <v>66</v>
      </c>
      <c r="K149" s="37" t="s">
        <v>59</v>
      </c>
      <c r="L149" s="33" t="s">
        <v>63</v>
      </c>
      <c r="M149" s="30" t="s">
        <v>67</v>
      </c>
      <c r="N149" s="33" t="s">
        <v>63</v>
      </c>
      <c r="O149" s="33">
        <v>44315</v>
      </c>
      <c r="P149" s="33">
        <v>45076</v>
      </c>
      <c r="Q149" s="16" t="s">
        <v>62</v>
      </c>
      <c r="R149" s="16" t="s">
        <v>62</v>
      </c>
      <c r="S149" s="16" t="s">
        <v>62</v>
      </c>
      <c r="T149" s="16" t="s">
        <v>62</v>
      </c>
      <c r="U149" s="37" t="s">
        <v>62</v>
      </c>
      <c r="V149" s="33">
        <v>44775</v>
      </c>
      <c r="W149" s="33">
        <v>44775</v>
      </c>
      <c r="X149" s="16" t="s">
        <v>62</v>
      </c>
      <c r="Y149" s="16" t="s">
        <v>62</v>
      </c>
      <c r="Z149" s="432" t="s">
        <v>62</v>
      </c>
      <c r="AA149" s="432"/>
      <c r="AB149" s="24"/>
      <c r="AC149" s="24"/>
      <c r="AD149" s="282">
        <v>44647</v>
      </c>
      <c r="AE149" s="58" t="s">
        <v>91</v>
      </c>
      <c r="AF149" s="282">
        <v>45768</v>
      </c>
      <c r="AG149" s="282">
        <v>45565</v>
      </c>
      <c r="AH149" s="282">
        <v>45565</v>
      </c>
      <c r="AI149" s="952">
        <v>45565</v>
      </c>
      <c r="AJ149" s="282">
        <v>45642</v>
      </c>
      <c r="AK149" s="282">
        <v>45769</v>
      </c>
      <c r="AL149" s="282">
        <v>45565</v>
      </c>
      <c r="AM149" s="282">
        <v>45565</v>
      </c>
    </row>
    <row r="150" spans="1:41" ht="22.8" x14ac:dyDescent="0.25">
      <c r="A150" s="28">
        <v>149</v>
      </c>
      <c r="B150" s="20">
        <v>30471</v>
      </c>
      <c r="C150" s="27" t="s">
        <v>64</v>
      </c>
      <c r="D150" s="24" t="s">
        <v>2253</v>
      </c>
      <c r="E150" s="20" t="s">
        <v>2250</v>
      </c>
      <c r="F150" s="29" t="s">
        <v>2241</v>
      </c>
      <c r="G150" s="29" t="s">
        <v>15</v>
      </c>
      <c r="H150" s="19">
        <v>42487</v>
      </c>
      <c r="I150" s="3">
        <v>21</v>
      </c>
      <c r="J150" s="3" t="s">
        <v>66</v>
      </c>
      <c r="K150" s="37" t="s">
        <v>59</v>
      </c>
      <c r="L150" s="33">
        <v>44189</v>
      </c>
      <c r="M150" s="30" t="s">
        <v>67</v>
      </c>
      <c r="N150" s="33" t="s">
        <v>63</v>
      </c>
      <c r="O150" s="33">
        <v>44306</v>
      </c>
      <c r="P150" s="33">
        <v>44765</v>
      </c>
      <c r="Q150" s="16" t="s">
        <v>68</v>
      </c>
      <c r="R150" s="16" t="s">
        <v>68</v>
      </c>
      <c r="S150" s="16" t="s">
        <v>68</v>
      </c>
      <c r="T150" s="16" t="s">
        <v>68</v>
      </c>
      <c r="U150" s="37" t="s">
        <v>68</v>
      </c>
      <c r="V150" s="33">
        <v>44765</v>
      </c>
      <c r="W150" s="33">
        <v>44765</v>
      </c>
      <c r="X150" s="16" t="s">
        <v>68</v>
      </c>
      <c r="Y150" s="16"/>
      <c r="Z150" s="432"/>
      <c r="AA150" s="432"/>
      <c r="AB150" s="24"/>
      <c r="AC150" s="24"/>
      <c r="AD150" s="282">
        <v>44672</v>
      </c>
      <c r="AE150" s="58" t="s">
        <v>91</v>
      </c>
      <c r="AF150" s="282">
        <v>45789</v>
      </c>
      <c r="AG150" s="282">
        <v>45524</v>
      </c>
      <c r="AH150" s="282">
        <v>45524</v>
      </c>
      <c r="AI150" s="949" t="s">
        <v>2491</v>
      </c>
      <c r="AJ150" s="282">
        <v>45633</v>
      </c>
      <c r="AK150" s="282">
        <v>45430</v>
      </c>
      <c r="AL150" s="282">
        <v>45540</v>
      </c>
      <c r="AM150" s="282">
        <v>45535</v>
      </c>
      <c r="AN150" s="381"/>
    </row>
    <row r="151" spans="1:41" ht="22.8" x14ac:dyDescent="0.25">
      <c r="A151" s="28">
        <v>150</v>
      </c>
      <c r="B151" s="20">
        <v>30471</v>
      </c>
      <c r="C151" s="27" t="s">
        <v>54</v>
      </c>
      <c r="D151" s="24" t="s">
        <v>2254</v>
      </c>
      <c r="E151" s="20" t="s">
        <v>2250</v>
      </c>
      <c r="F151" s="29" t="s">
        <v>2241</v>
      </c>
      <c r="G151" s="29" t="s">
        <v>15</v>
      </c>
      <c r="H151" s="19">
        <v>42487</v>
      </c>
      <c r="I151" s="3">
        <v>16</v>
      </c>
      <c r="J151" s="3" t="s">
        <v>66</v>
      </c>
      <c r="K151" s="37" t="s">
        <v>59</v>
      </c>
      <c r="L151" s="33">
        <v>44189</v>
      </c>
      <c r="M151" s="30" t="s">
        <v>67</v>
      </c>
      <c r="N151" s="33" t="s">
        <v>63</v>
      </c>
      <c r="O151" s="33">
        <v>44306</v>
      </c>
      <c r="P151" s="33">
        <v>44765</v>
      </c>
      <c r="Q151" s="16" t="s">
        <v>62</v>
      </c>
      <c r="R151" s="16" t="s">
        <v>62</v>
      </c>
      <c r="S151" s="16" t="s">
        <v>62</v>
      </c>
      <c r="T151" s="61" t="s">
        <v>62</v>
      </c>
      <c r="U151" s="37" t="s">
        <v>62</v>
      </c>
      <c r="V151" s="33">
        <v>44765</v>
      </c>
      <c r="W151" s="33">
        <v>44765</v>
      </c>
      <c r="X151" s="16" t="s">
        <v>62</v>
      </c>
      <c r="Y151" s="16"/>
      <c r="Z151" s="432"/>
      <c r="AA151" s="432"/>
      <c r="AB151" s="24"/>
      <c r="AC151" s="24"/>
      <c r="AD151" s="282">
        <v>44672</v>
      </c>
      <c r="AE151" s="58" t="s">
        <v>91</v>
      </c>
      <c r="AF151" s="282">
        <v>45789</v>
      </c>
      <c r="AG151" s="282">
        <v>45524</v>
      </c>
      <c r="AH151" s="282">
        <v>45524</v>
      </c>
      <c r="AI151" s="949" t="s">
        <v>2491</v>
      </c>
      <c r="AJ151" s="282">
        <v>45633</v>
      </c>
      <c r="AK151" s="282">
        <v>45430</v>
      </c>
      <c r="AL151" s="282">
        <v>45540</v>
      </c>
      <c r="AM151" s="282">
        <v>45535</v>
      </c>
    </row>
    <row r="152" spans="1:41" ht="22.8" x14ac:dyDescent="0.25">
      <c r="A152" s="28">
        <v>151</v>
      </c>
      <c r="B152" s="20">
        <v>30472</v>
      </c>
      <c r="C152" s="27" t="s">
        <v>64</v>
      </c>
      <c r="D152" s="24" t="s">
        <v>2255</v>
      </c>
      <c r="E152" s="20" t="s">
        <v>2250</v>
      </c>
      <c r="F152" s="29" t="s">
        <v>2241</v>
      </c>
      <c r="G152" s="29" t="s">
        <v>15</v>
      </c>
      <c r="H152" s="19">
        <v>42497</v>
      </c>
      <c r="I152" s="3">
        <v>17</v>
      </c>
      <c r="J152" s="3" t="s">
        <v>66</v>
      </c>
      <c r="K152" s="37" t="s">
        <v>59</v>
      </c>
      <c r="L152" s="33">
        <v>44095</v>
      </c>
      <c r="M152" s="30" t="s">
        <v>67</v>
      </c>
      <c r="N152" s="33" t="s">
        <v>63</v>
      </c>
      <c r="O152" s="33"/>
      <c r="P152" s="33">
        <v>44725</v>
      </c>
      <c r="Q152" s="16" t="s">
        <v>68</v>
      </c>
      <c r="R152" s="16" t="s">
        <v>68</v>
      </c>
      <c r="S152" s="16" t="s">
        <v>68</v>
      </c>
      <c r="T152" s="16"/>
      <c r="U152" s="37" t="s">
        <v>68</v>
      </c>
      <c r="V152" s="33">
        <v>44725</v>
      </c>
      <c r="W152" s="33">
        <v>44725</v>
      </c>
      <c r="X152" s="16" t="s">
        <v>68</v>
      </c>
      <c r="Y152" s="16"/>
      <c r="Z152" s="432"/>
      <c r="AA152" s="432"/>
      <c r="AB152" s="24"/>
      <c r="AC152" s="24"/>
      <c r="AD152" s="282">
        <v>44725</v>
      </c>
      <c r="AE152" s="58" t="s">
        <v>91</v>
      </c>
      <c r="AF152" s="282">
        <v>45768</v>
      </c>
      <c r="AG152" s="282">
        <v>45492</v>
      </c>
      <c r="AH152" s="282">
        <v>45492</v>
      </c>
      <c r="AI152" s="952">
        <v>45582</v>
      </c>
      <c r="AJ152" s="282">
        <v>45656</v>
      </c>
      <c r="AK152" s="282">
        <v>45768</v>
      </c>
      <c r="AL152" s="282">
        <v>45656</v>
      </c>
      <c r="AM152" s="282">
        <v>45498</v>
      </c>
      <c r="AN152" s="381"/>
    </row>
    <row r="153" spans="1:41" ht="22.8" x14ac:dyDescent="0.25">
      <c r="A153" s="28">
        <v>152</v>
      </c>
      <c r="B153" s="20">
        <v>30472</v>
      </c>
      <c r="C153" s="27" t="s">
        <v>54</v>
      </c>
      <c r="D153" s="24" t="s">
        <v>815</v>
      </c>
      <c r="E153" s="20" t="s">
        <v>2250</v>
      </c>
      <c r="F153" s="29" t="s">
        <v>2241</v>
      </c>
      <c r="G153" s="29" t="s">
        <v>15</v>
      </c>
      <c r="H153" s="19">
        <v>42497</v>
      </c>
      <c r="I153" s="3">
        <v>36</v>
      </c>
      <c r="J153" s="3" t="s">
        <v>66</v>
      </c>
      <c r="K153" s="37" t="s">
        <v>59</v>
      </c>
      <c r="L153" s="33">
        <v>44095</v>
      </c>
      <c r="M153" s="30" t="s">
        <v>67</v>
      </c>
      <c r="N153" s="33" t="s">
        <v>63</v>
      </c>
      <c r="O153" s="33"/>
      <c r="P153" s="33">
        <v>44725</v>
      </c>
      <c r="Q153" s="16" t="s">
        <v>62</v>
      </c>
      <c r="R153" s="16" t="s">
        <v>62</v>
      </c>
      <c r="S153" s="16" t="s">
        <v>62</v>
      </c>
      <c r="T153" s="16"/>
      <c r="U153" s="37" t="s">
        <v>62</v>
      </c>
      <c r="V153" s="33">
        <v>44725</v>
      </c>
      <c r="W153" s="33">
        <v>44725</v>
      </c>
      <c r="X153" s="16" t="s">
        <v>62</v>
      </c>
      <c r="Y153" s="16"/>
      <c r="Z153" s="432"/>
      <c r="AA153" s="432"/>
      <c r="AB153" s="24"/>
      <c r="AC153" s="24"/>
      <c r="AD153" s="282">
        <v>44725</v>
      </c>
      <c r="AE153" s="58" t="s">
        <v>91</v>
      </c>
      <c r="AF153" s="282">
        <v>45768</v>
      </c>
      <c r="AG153" s="282">
        <v>45492</v>
      </c>
      <c r="AH153" s="282">
        <v>45492</v>
      </c>
      <c r="AI153" s="952">
        <v>45582</v>
      </c>
      <c r="AJ153" s="282">
        <v>45656</v>
      </c>
      <c r="AK153" s="282">
        <v>45768</v>
      </c>
      <c r="AL153" s="282">
        <v>45656</v>
      </c>
      <c r="AM153" s="282">
        <v>45498</v>
      </c>
    </row>
    <row r="154" spans="1:41" ht="22.8" x14ac:dyDescent="0.25">
      <c r="A154" s="28">
        <v>153</v>
      </c>
      <c r="B154" s="20">
        <v>30473</v>
      </c>
      <c r="C154" s="27" t="s">
        <v>64</v>
      </c>
      <c r="D154" s="20" t="s">
        <v>2256</v>
      </c>
      <c r="E154" s="20" t="s">
        <v>2250</v>
      </c>
      <c r="F154" s="29" t="s">
        <v>2241</v>
      </c>
      <c r="G154" s="29" t="s">
        <v>15</v>
      </c>
      <c r="H154" s="19">
        <v>42490</v>
      </c>
      <c r="I154" s="3">
        <v>40</v>
      </c>
      <c r="J154" s="3" t="s">
        <v>66</v>
      </c>
      <c r="K154" s="37" t="s">
        <v>59</v>
      </c>
      <c r="L154" s="33">
        <v>44413</v>
      </c>
      <c r="M154" s="30" t="s">
        <v>67</v>
      </c>
      <c r="N154" s="33" t="s">
        <v>63</v>
      </c>
      <c r="O154" s="33">
        <v>44726</v>
      </c>
      <c r="P154" s="33">
        <v>44805</v>
      </c>
      <c r="Q154" s="16" t="s">
        <v>68</v>
      </c>
      <c r="R154" s="16" t="s">
        <v>68</v>
      </c>
      <c r="S154" s="16"/>
      <c r="T154" s="16"/>
      <c r="U154" s="37" t="s">
        <v>68</v>
      </c>
      <c r="V154" s="33">
        <v>44805</v>
      </c>
      <c r="W154" s="33">
        <v>44805</v>
      </c>
      <c r="X154" s="16" t="s">
        <v>68</v>
      </c>
      <c r="Y154" s="16"/>
      <c r="Z154" s="432"/>
      <c r="AA154" s="432"/>
      <c r="AB154" s="24"/>
      <c r="AC154" s="24"/>
      <c r="AD154" s="282">
        <v>44805</v>
      </c>
      <c r="AE154" s="58" t="s">
        <v>91</v>
      </c>
      <c r="AF154" s="282">
        <v>45779</v>
      </c>
      <c r="AG154" s="282">
        <v>45499</v>
      </c>
      <c r="AH154" s="282">
        <v>45499</v>
      </c>
      <c r="AI154" s="949" t="s">
        <v>2491</v>
      </c>
      <c r="AJ154" s="282">
        <v>45499</v>
      </c>
      <c r="AK154" s="282">
        <v>45430</v>
      </c>
      <c r="AM154" s="282">
        <v>45506</v>
      </c>
    </row>
    <row r="155" spans="1:41" ht="22.8" x14ac:dyDescent="0.25">
      <c r="A155" s="28">
        <v>154</v>
      </c>
      <c r="B155" s="20">
        <v>30473</v>
      </c>
      <c r="C155" s="27" t="s">
        <v>54</v>
      </c>
      <c r="D155" s="24" t="s">
        <v>2257</v>
      </c>
      <c r="E155" s="20" t="s">
        <v>2250</v>
      </c>
      <c r="F155" s="29" t="s">
        <v>2241</v>
      </c>
      <c r="G155" s="29" t="s">
        <v>15</v>
      </c>
      <c r="H155" s="19">
        <v>42490</v>
      </c>
      <c r="I155" s="3">
        <v>44</v>
      </c>
      <c r="J155" s="3" t="s">
        <v>66</v>
      </c>
      <c r="K155" s="37" t="s">
        <v>59</v>
      </c>
      <c r="L155" s="33">
        <v>44356</v>
      </c>
      <c r="M155" s="30" t="s">
        <v>67</v>
      </c>
      <c r="N155" s="33" t="s">
        <v>63</v>
      </c>
      <c r="O155" s="33">
        <v>44726</v>
      </c>
      <c r="P155" s="33">
        <v>44805</v>
      </c>
      <c r="Q155" s="16" t="s">
        <v>62</v>
      </c>
      <c r="R155" s="16" t="s">
        <v>62</v>
      </c>
      <c r="S155" s="16"/>
      <c r="T155" s="16"/>
      <c r="U155" s="37" t="s">
        <v>62</v>
      </c>
      <c r="V155" s="33">
        <v>44805</v>
      </c>
      <c r="W155" s="33">
        <v>44805</v>
      </c>
      <c r="X155" s="16" t="s">
        <v>62</v>
      </c>
      <c r="Y155" s="16"/>
      <c r="Z155" s="432"/>
      <c r="AA155" s="432"/>
      <c r="AB155" s="24"/>
      <c r="AC155" s="24"/>
      <c r="AD155" s="282">
        <v>44805</v>
      </c>
      <c r="AE155" s="58" t="s">
        <v>91</v>
      </c>
      <c r="AF155" s="282">
        <v>45779</v>
      </c>
      <c r="AG155" s="282">
        <v>45499</v>
      </c>
      <c r="AH155" s="282">
        <v>45499</v>
      </c>
      <c r="AI155" s="949" t="s">
        <v>2491</v>
      </c>
      <c r="AJ155" s="282">
        <v>45499</v>
      </c>
      <c r="AK155" s="282">
        <v>45430</v>
      </c>
      <c r="AM155" s="282">
        <v>45506</v>
      </c>
    </row>
    <row r="156" spans="1:41" ht="22.8" x14ac:dyDescent="0.25">
      <c r="A156" s="28">
        <v>155</v>
      </c>
      <c r="B156" s="20">
        <v>30474</v>
      </c>
      <c r="C156" s="27" t="s">
        <v>64</v>
      </c>
      <c r="D156" s="24" t="s">
        <v>2258</v>
      </c>
      <c r="E156" s="20" t="s">
        <v>2250</v>
      </c>
      <c r="F156" s="29" t="s">
        <v>2241</v>
      </c>
      <c r="G156" s="29" t="s">
        <v>15</v>
      </c>
      <c r="H156" s="19">
        <v>42501</v>
      </c>
      <c r="I156" s="3">
        <v>43</v>
      </c>
      <c r="J156" s="3" t="s">
        <v>66</v>
      </c>
      <c r="K156" s="37" t="s">
        <v>59</v>
      </c>
      <c r="L156" s="33">
        <v>44245</v>
      </c>
      <c r="M156" s="30" t="s">
        <v>67</v>
      </c>
      <c r="N156" s="33" t="s">
        <v>63</v>
      </c>
      <c r="O156" s="33"/>
      <c r="P156" s="33">
        <v>44715</v>
      </c>
      <c r="Q156" s="16" t="s">
        <v>68</v>
      </c>
      <c r="R156" s="16" t="s">
        <v>68</v>
      </c>
      <c r="S156" s="16"/>
      <c r="T156" s="16"/>
      <c r="U156" s="37" t="s">
        <v>68</v>
      </c>
      <c r="V156" s="16"/>
      <c r="W156" s="16"/>
      <c r="X156" s="16" t="s">
        <v>68</v>
      </c>
      <c r="Y156" s="16"/>
      <c r="Z156" s="432"/>
      <c r="AA156" s="432"/>
      <c r="AB156" s="24"/>
      <c r="AC156" s="24"/>
      <c r="AD156" s="282">
        <v>44672</v>
      </c>
      <c r="AE156" s="58" t="s">
        <v>91</v>
      </c>
      <c r="AF156" s="282">
        <v>45768</v>
      </c>
      <c r="AG156" s="282">
        <v>45509</v>
      </c>
      <c r="AH156" s="282">
        <v>45509</v>
      </c>
      <c r="AI156" s="949" t="s">
        <v>2491</v>
      </c>
      <c r="AJ156" s="282">
        <v>45650</v>
      </c>
      <c r="AK156" s="282">
        <v>45391</v>
      </c>
      <c r="AL156" s="282">
        <v>45580</v>
      </c>
      <c r="AM156" s="282">
        <v>44672</v>
      </c>
      <c r="AO156" t="s">
        <v>2492</v>
      </c>
    </row>
    <row r="157" spans="1:41" ht="22.8" x14ac:dyDescent="0.25">
      <c r="A157" s="28">
        <v>156</v>
      </c>
      <c r="B157" s="20">
        <v>30474</v>
      </c>
      <c r="C157" s="27" t="s">
        <v>54</v>
      </c>
      <c r="D157" s="24" t="s">
        <v>2260</v>
      </c>
      <c r="E157" s="20" t="s">
        <v>2250</v>
      </c>
      <c r="F157" s="29" t="s">
        <v>2241</v>
      </c>
      <c r="G157" s="29" t="s">
        <v>15</v>
      </c>
      <c r="H157" s="19">
        <v>42501</v>
      </c>
      <c r="I157" s="3">
        <v>15</v>
      </c>
      <c r="J157" s="3" t="s">
        <v>66</v>
      </c>
      <c r="K157" s="37" t="s">
        <v>59</v>
      </c>
      <c r="L157" s="33">
        <v>44245</v>
      </c>
      <c r="M157" s="30" t="s">
        <v>67</v>
      </c>
      <c r="N157" s="33" t="s">
        <v>63</v>
      </c>
      <c r="O157" s="33"/>
      <c r="P157" s="33">
        <v>44715</v>
      </c>
      <c r="Q157" s="16" t="s">
        <v>62</v>
      </c>
      <c r="R157" s="16" t="s">
        <v>62</v>
      </c>
      <c r="S157" s="16"/>
      <c r="T157" s="16"/>
      <c r="U157" s="37" t="s">
        <v>62</v>
      </c>
      <c r="V157" s="16"/>
      <c r="W157" s="16"/>
      <c r="X157" s="16" t="s">
        <v>62</v>
      </c>
      <c r="Y157" s="16"/>
      <c r="Z157" s="432"/>
      <c r="AA157" s="432"/>
      <c r="AB157" s="24"/>
      <c r="AC157" s="24"/>
      <c r="AD157" s="282">
        <v>44602</v>
      </c>
      <c r="AE157" s="58" t="s">
        <v>91</v>
      </c>
      <c r="AF157" s="282">
        <v>45768</v>
      </c>
      <c r="AG157" s="282">
        <v>45509</v>
      </c>
      <c r="AH157" s="282">
        <v>45509</v>
      </c>
      <c r="AI157" s="949" t="s">
        <v>2491</v>
      </c>
      <c r="AJ157" s="282">
        <v>45650</v>
      </c>
      <c r="AK157" s="282">
        <v>45391</v>
      </c>
      <c r="AL157" s="282">
        <v>45580</v>
      </c>
      <c r="AM157" s="282">
        <v>44672</v>
      </c>
      <c r="AO157" t="s">
        <v>2492</v>
      </c>
    </row>
    <row r="158" spans="1:41" ht="22.8" x14ac:dyDescent="0.25">
      <c r="A158" s="28">
        <v>157</v>
      </c>
      <c r="B158" s="20">
        <v>30476</v>
      </c>
      <c r="C158" s="27" t="s">
        <v>64</v>
      </c>
      <c r="D158" s="24" t="s">
        <v>2261</v>
      </c>
      <c r="E158" s="20" t="s">
        <v>2250</v>
      </c>
      <c r="F158" s="29" t="s">
        <v>2241</v>
      </c>
      <c r="G158" s="29" t="s">
        <v>15</v>
      </c>
      <c r="H158" s="19">
        <v>42513</v>
      </c>
      <c r="I158" s="3">
        <v>54</v>
      </c>
      <c r="J158" s="3" t="s">
        <v>66</v>
      </c>
      <c r="K158" s="37" t="s">
        <v>59</v>
      </c>
      <c r="L158" s="33"/>
      <c r="M158" s="30" t="s">
        <v>67</v>
      </c>
      <c r="N158" s="33" t="s">
        <v>63</v>
      </c>
      <c r="O158" s="33"/>
      <c r="P158" s="33">
        <v>45049</v>
      </c>
      <c r="Q158" s="16" t="s">
        <v>68</v>
      </c>
      <c r="R158" s="16" t="s">
        <v>68</v>
      </c>
      <c r="S158" s="16"/>
      <c r="T158" s="16"/>
      <c r="U158" s="37" t="s">
        <v>68</v>
      </c>
      <c r="V158" s="33">
        <v>44741</v>
      </c>
      <c r="W158" s="33">
        <v>44741</v>
      </c>
      <c r="X158" s="16" t="s">
        <v>68</v>
      </c>
      <c r="Y158" s="16"/>
      <c r="Z158" s="432"/>
      <c r="AA158" s="432"/>
      <c r="AB158" s="24"/>
      <c r="AC158" s="24"/>
      <c r="AD158" s="282">
        <v>44741</v>
      </c>
      <c r="AE158" s="58" t="s">
        <v>91</v>
      </c>
      <c r="AF158" s="282">
        <v>45794</v>
      </c>
      <c r="AG158" s="282">
        <v>45538</v>
      </c>
      <c r="AH158" s="282">
        <v>45538</v>
      </c>
      <c r="AI158" s="952">
        <v>45162</v>
      </c>
      <c r="AJ158" s="282">
        <v>45642</v>
      </c>
      <c r="AK158" s="282">
        <v>45441</v>
      </c>
      <c r="AL158" s="282">
        <v>45540</v>
      </c>
      <c r="AM158" s="282">
        <v>45441</v>
      </c>
    </row>
    <row r="159" spans="1:41" ht="22.8" x14ac:dyDescent="0.25">
      <c r="A159" s="28">
        <v>158</v>
      </c>
      <c r="B159" s="20">
        <v>30476</v>
      </c>
      <c r="C159" s="27" t="s">
        <v>54</v>
      </c>
      <c r="D159" s="24" t="s">
        <v>2262</v>
      </c>
      <c r="E159" s="20" t="s">
        <v>2250</v>
      </c>
      <c r="F159" s="29" t="s">
        <v>2241</v>
      </c>
      <c r="G159" s="29" t="s">
        <v>15</v>
      </c>
      <c r="H159" s="19">
        <v>42513</v>
      </c>
      <c r="I159" s="3">
        <v>41</v>
      </c>
      <c r="J159" s="3" t="s">
        <v>66</v>
      </c>
      <c r="K159" s="37" t="s">
        <v>59</v>
      </c>
      <c r="L159" s="33"/>
      <c r="M159" s="30" t="s">
        <v>67</v>
      </c>
      <c r="N159" s="33" t="s">
        <v>63</v>
      </c>
      <c r="O159" s="33"/>
      <c r="P159" s="33">
        <v>45049</v>
      </c>
      <c r="Q159" s="16" t="s">
        <v>62</v>
      </c>
      <c r="R159" s="16" t="s">
        <v>62</v>
      </c>
      <c r="S159" s="16"/>
      <c r="T159" s="16"/>
      <c r="U159" s="37" t="s">
        <v>62</v>
      </c>
      <c r="V159" s="33">
        <v>44741</v>
      </c>
      <c r="W159" s="33">
        <v>44741</v>
      </c>
      <c r="X159" s="16" t="s">
        <v>62</v>
      </c>
      <c r="Y159" s="16"/>
      <c r="Z159" s="432"/>
      <c r="AA159" s="432"/>
      <c r="AB159" s="24"/>
      <c r="AC159" s="24"/>
      <c r="AD159" s="282">
        <v>44741</v>
      </c>
      <c r="AE159" s="58" t="s">
        <v>91</v>
      </c>
      <c r="AF159" s="282">
        <v>45794</v>
      </c>
      <c r="AG159" s="282">
        <v>45538</v>
      </c>
      <c r="AH159" s="282">
        <v>45538</v>
      </c>
      <c r="AI159" s="952">
        <v>45162</v>
      </c>
      <c r="AJ159" s="282">
        <v>45642</v>
      </c>
      <c r="AK159" s="282">
        <v>45441</v>
      </c>
      <c r="AL159" s="282">
        <v>45540</v>
      </c>
      <c r="AM159" s="282">
        <v>45441</v>
      </c>
    </row>
    <row r="160" spans="1:41" ht="22.8" x14ac:dyDescent="0.25">
      <c r="A160" s="28">
        <v>159</v>
      </c>
      <c r="B160" s="20">
        <v>30480</v>
      </c>
      <c r="C160" s="27" t="s">
        <v>64</v>
      </c>
      <c r="D160" s="24" t="s">
        <v>2263</v>
      </c>
      <c r="E160" s="20" t="s">
        <v>2250</v>
      </c>
      <c r="F160" s="29" t="s">
        <v>2241</v>
      </c>
      <c r="G160" s="29" t="s">
        <v>15</v>
      </c>
      <c r="H160" s="19">
        <v>42508</v>
      </c>
      <c r="I160" s="3">
        <v>25</v>
      </c>
      <c r="J160" s="3" t="s">
        <v>66</v>
      </c>
      <c r="K160" s="37" t="s">
        <v>59</v>
      </c>
      <c r="L160" s="33"/>
      <c r="M160" s="30" t="s">
        <v>67</v>
      </c>
      <c r="N160" s="33" t="s">
        <v>63</v>
      </c>
      <c r="O160" s="33"/>
      <c r="P160" s="33">
        <v>44795</v>
      </c>
      <c r="Q160" s="16" t="s">
        <v>68</v>
      </c>
      <c r="R160" s="16" t="s">
        <v>68</v>
      </c>
      <c r="S160" s="16" t="s">
        <v>68</v>
      </c>
      <c r="T160" s="16"/>
      <c r="U160" s="16"/>
      <c r="V160" s="33">
        <v>44795</v>
      </c>
      <c r="W160" s="33">
        <v>44795</v>
      </c>
      <c r="X160" s="16" t="s">
        <v>68</v>
      </c>
      <c r="Y160" s="16"/>
      <c r="Z160" s="432"/>
      <c r="AA160" s="432"/>
      <c r="AB160" s="24"/>
      <c r="AC160" s="24"/>
      <c r="AD160" s="282">
        <v>44795</v>
      </c>
      <c r="AE160" s="58" t="s">
        <v>91</v>
      </c>
      <c r="AF160" s="282">
        <v>45797</v>
      </c>
      <c r="AG160" s="282">
        <v>45484</v>
      </c>
      <c r="AH160" s="282">
        <v>45484</v>
      </c>
      <c r="AI160" s="952">
        <v>45162</v>
      </c>
      <c r="AJ160" s="282">
        <v>45602</v>
      </c>
      <c r="AK160" s="282">
        <v>45797</v>
      </c>
      <c r="AL160" s="282">
        <v>45705</v>
      </c>
      <c r="AM160" s="282">
        <v>45705</v>
      </c>
    </row>
    <row r="161" spans="1:44" ht="22.8" x14ac:dyDescent="0.25">
      <c r="A161" s="28">
        <v>160</v>
      </c>
      <c r="B161" s="20">
        <v>30480</v>
      </c>
      <c r="C161" s="27" t="s">
        <v>54</v>
      </c>
      <c r="D161" s="24" t="s">
        <v>2264</v>
      </c>
      <c r="E161" s="20" t="s">
        <v>2250</v>
      </c>
      <c r="F161" s="29" t="s">
        <v>2241</v>
      </c>
      <c r="G161" s="29" t="s">
        <v>15</v>
      </c>
      <c r="H161" s="19">
        <v>42508</v>
      </c>
      <c r="I161" s="3">
        <v>55</v>
      </c>
      <c r="J161" s="3" t="s">
        <v>66</v>
      </c>
      <c r="K161" s="37" t="s">
        <v>59</v>
      </c>
      <c r="L161" s="33"/>
      <c r="M161" s="30" t="s">
        <v>67</v>
      </c>
      <c r="N161" s="33" t="s">
        <v>63</v>
      </c>
      <c r="O161" s="33"/>
      <c r="P161" s="33">
        <v>44795</v>
      </c>
      <c r="Q161" s="16" t="s">
        <v>62</v>
      </c>
      <c r="R161" s="16" t="s">
        <v>62</v>
      </c>
      <c r="S161" s="16" t="s">
        <v>62</v>
      </c>
      <c r="T161" s="16"/>
      <c r="U161" s="16"/>
      <c r="V161" s="33">
        <v>44795</v>
      </c>
      <c r="W161" s="33">
        <v>44795</v>
      </c>
      <c r="X161" s="16" t="s">
        <v>62</v>
      </c>
      <c r="Y161" s="16"/>
      <c r="Z161" s="432"/>
      <c r="AA161" s="432"/>
      <c r="AB161" s="902" t="s">
        <v>2493</v>
      </c>
      <c r="AC161" s="24"/>
      <c r="AD161" s="282">
        <v>44795</v>
      </c>
      <c r="AE161" s="58" t="s">
        <v>91</v>
      </c>
      <c r="AF161" s="282">
        <v>45797</v>
      </c>
      <c r="AG161" s="282">
        <v>45484</v>
      </c>
      <c r="AH161" s="282">
        <v>45484</v>
      </c>
      <c r="AI161" s="952">
        <v>45162</v>
      </c>
      <c r="AJ161" s="282">
        <v>45602</v>
      </c>
      <c r="AK161" s="282">
        <v>45797</v>
      </c>
      <c r="AL161" s="282">
        <v>45705</v>
      </c>
      <c r="AM161" s="282">
        <v>45705</v>
      </c>
    </row>
    <row r="162" spans="1:44" ht="22.8" x14ac:dyDescent="0.25">
      <c r="A162" s="28">
        <v>161</v>
      </c>
      <c r="B162" s="20">
        <v>30484</v>
      </c>
      <c r="C162" s="27" t="s">
        <v>64</v>
      </c>
      <c r="D162" s="24" t="s">
        <v>2265</v>
      </c>
      <c r="E162" s="20" t="s">
        <v>2250</v>
      </c>
      <c r="F162" s="29" t="s">
        <v>2241</v>
      </c>
      <c r="G162" s="29" t="s">
        <v>15</v>
      </c>
      <c r="H162" s="19">
        <v>42592</v>
      </c>
      <c r="I162" s="3">
        <v>24</v>
      </c>
      <c r="J162" s="3" t="s">
        <v>66</v>
      </c>
      <c r="K162" s="37" t="s">
        <v>59</v>
      </c>
      <c r="L162" s="33">
        <v>44059</v>
      </c>
      <c r="M162" s="30" t="s">
        <v>67</v>
      </c>
      <c r="N162" s="33" t="s">
        <v>63</v>
      </c>
      <c r="O162" s="38">
        <v>44057</v>
      </c>
      <c r="P162" s="33">
        <v>45066</v>
      </c>
      <c r="Q162" s="16" t="s">
        <v>68</v>
      </c>
      <c r="R162" s="16" t="s">
        <v>68</v>
      </c>
      <c r="S162" s="16" t="s">
        <v>68</v>
      </c>
      <c r="T162" s="16"/>
      <c r="U162" s="117"/>
      <c r="V162" s="33">
        <v>44763</v>
      </c>
      <c r="W162" s="37" t="s">
        <v>68</v>
      </c>
      <c r="X162" s="16" t="s">
        <v>68</v>
      </c>
      <c r="Y162" s="16"/>
      <c r="Z162" s="432"/>
      <c r="AA162" s="432"/>
      <c r="AB162" s="24"/>
      <c r="AC162" s="24"/>
      <c r="AD162" s="282">
        <v>44611</v>
      </c>
      <c r="AE162" s="58" t="s">
        <v>91</v>
      </c>
      <c r="AF162" s="282">
        <v>45772</v>
      </c>
      <c r="AG162" s="282">
        <v>45498</v>
      </c>
      <c r="AH162" s="282">
        <v>45498</v>
      </c>
      <c r="AI162" s="952">
        <v>45162</v>
      </c>
      <c r="AJ162" s="282">
        <v>45611</v>
      </c>
      <c r="AK162" s="282">
        <v>45447</v>
      </c>
      <c r="AL162" s="282">
        <v>45611</v>
      </c>
      <c r="AM162" s="282">
        <v>45447</v>
      </c>
    </row>
    <row r="163" spans="1:44" ht="22.8" x14ac:dyDescent="0.25">
      <c r="A163" s="28">
        <v>162</v>
      </c>
      <c r="B163" s="20">
        <v>30484</v>
      </c>
      <c r="C163" s="27" t="s">
        <v>54</v>
      </c>
      <c r="D163" s="24" t="s">
        <v>2266</v>
      </c>
      <c r="E163" s="20" t="s">
        <v>2250</v>
      </c>
      <c r="F163" s="29" t="s">
        <v>2241</v>
      </c>
      <c r="G163" s="29" t="s">
        <v>15</v>
      </c>
      <c r="H163" s="19">
        <v>42592</v>
      </c>
      <c r="I163" s="3">
        <v>49</v>
      </c>
      <c r="J163" s="3" t="s">
        <v>66</v>
      </c>
      <c r="K163" s="37" t="s">
        <v>59</v>
      </c>
      <c r="L163" s="33">
        <v>44059</v>
      </c>
      <c r="M163" s="30" t="s">
        <v>67</v>
      </c>
      <c r="N163" s="33" t="s">
        <v>63</v>
      </c>
      <c r="O163" s="38">
        <v>44057</v>
      </c>
      <c r="P163" s="33">
        <v>45066</v>
      </c>
      <c r="Q163" s="16" t="s">
        <v>62</v>
      </c>
      <c r="R163" s="16" t="s">
        <v>62</v>
      </c>
      <c r="S163" s="16" t="s">
        <v>62</v>
      </c>
      <c r="T163" s="276"/>
      <c r="U163" s="105"/>
      <c r="V163" s="33">
        <v>44763</v>
      </c>
      <c r="W163" s="37" t="s">
        <v>62</v>
      </c>
      <c r="X163" s="16" t="s">
        <v>62</v>
      </c>
      <c r="Y163" s="37" t="s">
        <v>62</v>
      </c>
      <c r="Z163" s="429" t="s">
        <v>62</v>
      </c>
      <c r="AA163" s="429"/>
      <c r="AB163" s="24"/>
      <c r="AC163" s="24"/>
      <c r="AD163" s="282">
        <v>44611</v>
      </c>
      <c r="AE163" s="58" t="s">
        <v>91</v>
      </c>
      <c r="AF163" s="282">
        <v>45772</v>
      </c>
      <c r="AG163" s="282">
        <v>45498</v>
      </c>
      <c r="AH163" s="282">
        <v>45498</v>
      </c>
      <c r="AI163" s="952">
        <v>45162</v>
      </c>
      <c r="AJ163" s="282">
        <v>45611</v>
      </c>
      <c r="AK163" s="282">
        <v>45447</v>
      </c>
      <c r="AL163" s="282">
        <v>45611</v>
      </c>
      <c r="AM163" s="282">
        <v>45447</v>
      </c>
    </row>
    <row r="164" spans="1:44" ht="22.8" x14ac:dyDescent="0.25">
      <c r="A164" s="28">
        <v>163</v>
      </c>
      <c r="B164" s="20">
        <v>30531</v>
      </c>
      <c r="C164" s="27" t="s">
        <v>64</v>
      </c>
      <c r="D164" s="24" t="s">
        <v>2267</v>
      </c>
      <c r="E164" s="20" t="s">
        <v>2250</v>
      </c>
      <c r="F164" s="29" t="s">
        <v>2241</v>
      </c>
      <c r="G164" s="29" t="s">
        <v>15</v>
      </c>
      <c r="H164" s="19">
        <v>42787</v>
      </c>
      <c r="I164" s="3">
        <v>64</v>
      </c>
      <c r="J164" s="3" t="s">
        <v>66</v>
      </c>
      <c r="K164" s="37" t="s">
        <v>59</v>
      </c>
      <c r="L164" s="33">
        <v>43920</v>
      </c>
      <c r="M164" s="34" t="s">
        <v>60</v>
      </c>
      <c r="N164" s="35">
        <v>44194</v>
      </c>
      <c r="O164" s="33" t="s">
        <v>2268</v>
      </c>
      <c r="P164" s="33">
        <v>44748</v>
      </c>
      <c r="Q164" s="16" t="s">
        <v>68</v>
      </c>
      <c r="R164" s="16" t="s">
        <v>68</v>
      </c>
      <c r="S164" s="16" t="s">
        <v>68</v>
      </c>
      <c r="T164" s="276" t="s">
        <v>68</v>
      </c>
      <c r="U164" s="105" t="s">
        <v>68</v>
      </c>
      <c r="V164" s="33">
        <v>44748</v>
      </c>
      <c r="W164" s="33">
        <v>44748</v>
      </c>
      <c r="X164" s="16" t="s">
        <v>68</v>
      </c>
      <c r="Y164" s="16"/>
      <c r="Z164" s="432"/>
      <c r="AA164" s="432"/>
      <c r="AB164" s="24"/>
      <c r="AC164" s="24"/>
      <c r="AD164" s="282">
        <v>44671</v>
      </c>
      <c r="AE164" s="58" t="s">
        <v>2494</v>
      </c>
      <c r="AF164" s="282">
        <v>45835</v>
      </c>
      <c r="AG164" s="282">
        <v>45547</v>
      </c>
      <c r="AH164" s="282">
        <v>45547</v>
      </c>
      <c r="AI164" s="952">
        <v>45371</v>
      </c>
      <c r="AJ164" s="282">
        <v>45644</v>
      </c>
      <c r="AK164" s="282">
        <v>45450</v>
      </c>
      <c r="AL164" s="282">
        <v>45644</v>
      </c>
      <c r="AM164" s="282">
        <v>45450</v>
      </c>
    </row>
    <row r="165" spans="1:44" ht="22.8" x14ac:dyDescent="0.25">
      <c r="A165" s="28">
        <v>164</v>
      </c>
      <c r="B165" s="20">
        <v>30531</v>
      </c>
      <c r="C165" s="27" t="s">
        <v>54</v>
      </c>
      <c r="D165" s="24" t="s">
        <v>2269</v>
      </c>
      <c r="E165" s="20" t="s">
        <v>2250</v>
      </c>
      <c r="F165" s="29" t="s">
        <v>2241</v>
      </c>
      <c r="G165" s="29" t="s">
        <v>15</v>
      </c>
      <c r="H165" s="19">
        <v>42787</v>
      </c>
      <c r="I165" s="3">
        <v>61</v>
      </c>
      <c r="J165" s="3" t="s">
        <v>66</v>
      </c>
      <c r="K165" s="37" t="s">
        <v>59</v>
      </c>
      <c r="L165" s="33">
        <v>43920</v>
      </c>
      <c r="M165" s="34" t="s">
        <v>60</v>
      </c>
      <c r="N165" s="35">
        <v>44194</v>
      </c>
      <c r="O165" s="33" t="s">
        <v>2268</v>
      </c>
      <c r="P165" s="33">
        <v>44748</v>
      </c>
      <c r="Q165" s="16" t="s">
        <v>62</v>
      </c>
      <c r="R165" s="16" t="s">
        <v>62</v>
      </c>
      <c r="S165" s="16" t="s">
        <v>62</v>
      </c>
      <c r="T165" s="16" t="s">
        <v>62</v>
      </c>
      <c r="U165" s="241" t="s">
        <v>62</v>
      </c>
      <c r="V165" s="33">
        <v>44748</v>
      </c>
      <c r="W165" s="33">
        <v>44748</v>
      </c>
      <c r="X165" s="16" t="s">
        <v>62</v>
      </c>
      <c r="Y165" s="16"/>
      <c r="Z165" s="432"/>
      <c r="AA165" s="432"/>
      <c r="AB165" s="24"/>
      <c r="AC165" s="24"/>
      <c r="AD165" s="282">
        <v>44671</v>
      </c>
      <c r="AE165" s="58" t="s">
        <v>2494</v>
      </c>
      <c r="AF165" s="282">
        <v>45835</v>
      </c>
      <c r="AG165" s="282">
        <v>45547</v>
      </c>
      <c r="AH165" s="282">
        <v>45547</v>
      </c>
      <c r="AI165" s="952">
        <v>45371</v>
      </c>
      <c r="AJ165" s="282">
        <v>45644</v>
      </c>
      <c r="AK165" s="282">
        <v>45450</v>
      </c>
      <c r="AL165" s="282">
        <v>45644</v>
      </c>
      <c r="AM165" s="282">
        <v>45450</v>
      </c>
    </row>
    <row r="166" spans="1:44" ht="22.8" x14ac:dyDescent="0.25">
      <c r="A166" s="28">
        <v>165</v>
      </c>
      <c r="B166" s="20">
        <v>30532</v>
      </c>
      <c r="C166" s="27" t="s">
        <v>64</v>
      </c>
      <c r="D166" s="24" t="s">
        <v>2270</v>
      </c>
      <c r="E166" s="20" t="s">
        <v>2250</v>
      </c>
      <c r="F166" s="29" t="s">
        <v>2241</v>
      </c>
      <c r="G166" s="29" t="s">
        <v>15</v>
      </c>
      <c r="H166" s="19">
        <v>42789</v>
      </c>
      <c r="I166" s="3">
        <v>62</v>
      </c>
      <c r="J166" s="3" t="s">
        <v>66</v>
      </c>
      <c r="K166" s="37" t="s">
        <v>59</v>
      </c>
      <c r="L166" s="33"/>
      <c r="M166" s="16" t="s">
        <v>60</v>
      </c>
      <c r="N166" s="33">
        <v>44237</v>
      </c>
      <c r="O166" s="33"/>
      <c r="P166" s="33"/>
      <c r="Q166" s="16" t="s">
        <v>68</v>
      </c>
      <c r="R166" s="16" t="s">
        <v>68</v>
      </c>
      <c r="S166" s="16" t="s">
        <v>68</v>
      </c>
      <c r="T166" s="16" t="s">
        <v>68</v>
      </c>
      <c r="U166" s="16"/>
      <c r="V166" s="16"/>
      <c r="W166" s="16"/>
      <c r="X166" s="16" t="s">
        <v>68</v>
      </c>
      <c r="Y166" s="16"/>
      <c r="Z166" s="432"/>
      <c r="AA166" s="432"/>
      <c r="AB166" s="24"/>
      <c r="AC166" s="24"/>
      <c r="AD166" s="282">
        <v>44684</v>
      </c>
      <c r="AE166" s="58" t="s">
        <v>2495</v>
      </c>
      <c r="AF166" s="282">
        <v>45822</v>
      </c>
      <c r="AG166" s="282">
        <v>45636</v>
      </c>
      <c r="AH166" s="282">
        <v>45636</v>
      </c>
      <c r="AI166" s="952">
        <v>45358</v>
      </c>
      <c r="AJ166" s="282">
        <v>45636</v>
      </c>
      <c r="AK166" s="282">
        <v>45450</v>
      </c>
      <c r="AL166" s="282">
        <v>45541</v>
      </c>
      <c r="AM166" s="282">
        <v>45450</v>
      </c>
      <c r="AN166" s="381"/>
    </row>
    <row r="167" spans="1:44" ht="22.8" x14ac:dyDescent="0.25">
      <c r="A167" s="28">
        <v>166</v>
      </c>
      <c r="B167" s="20">
        <v>30532</v>
      </c>
      <c r="C167" s="27" t="s">
        <v>54</v>
      </c>
      <c r="D167" s="24" t="s">
        <v>2271</v>
      </c>
      <c r="E167" s="20" t="s">
        <v>2250</v>
      </c>
      <c r="F167" s="29" t="s">
        <v>2241</v>
      </c>
      <c r="G167" s="29" t="s">
        <v>15</v>
      </c>
      <c r="H167" s="19">
        <v>42789</v>
      </c>
      <c r="I167" s="3">
        <v>60</v>
      </c>
      <c r="J167" s="3" t="s">
        <v>66</v>
      </c>
      <c r="K167" s="37" t="s">
        <v>59</v>
      </c>
      <c r="L167" s="33"/>
      <c r="M167" s="16" t="s">
        <v>60</v>
      </c>
      <c r="N167" s="33">
        <v>44237</v>
      </c>
      <c r="O167" s="33"/>
      <c r="P167" s="33"/>
      <c r="Q167" s="16" t="s">
        <v>62</v>
      </c>
      <c r="R167" s="16" t="s">
        <v>62</v>
      </c>
      <c r="S167" s="16" t="s">
        <v>62</v>
      </c>
      <c r="T167" s="16" t="s">
        <v>62</v>
      </c>
      <c r="U167" s="16"/>
      <c r="V167" s="16"/>
      <c r="W167" s="16"/>
      <c r="X167" s="16" t="s">
        <v>62</v>
      </c>
      <c r="Y167" s="16"/>
      <c r="Z167" s="432"/>
      <c r="AA167" s="432"/>
      <c r="AB167" s="24"/>
      <c r="AC167" s="24"/>
      <c r="AD167" s="282">
        <v>44684</v>
      </c>
      <c r="AE167" s="58" t="s">
        <v>91</v>
      </c>
      <c r="AF167" s="282">
        <v>45822</v>
      </c>
      <c r="AG167" s="282">
        <v>45636</v>
      </c>
      <c r="AH167" s="282">
        <v>45636</v>
      </c>
      <c r="AI167" s="952">
        <v>45358</v>
      </c>
      <c r="AJ167" s="282">
        <v>45636</v>
      </c>
      <c r="AK167" s="282">
        <v>45450</v>
      </c>
      <c r="AL167" s="282">
        <v>45541</v>
      </c>
      <c r="AM167" s="282">
        <v>45450</v>
      </c>
    </row>
    <row r="168" spans="1:44" ht="22.8" x14ac:dyDescent="0.25">
      <c r="A168" s="28">
        <v>167</v>
      </c>
      <c r="B168" s="20">
        <v>30533</v>
      </c>
      <c r="C168" s="27" t="s">
        <v>64</v>
      </c>
      <c r="D168" s="24" t="s">
        <v>2272</v>
      </c>
      <c r="E168" s="20" t="s">
        <v>2250</v>
      </c>
      <c r="F168" s="29" t="s">
        <v>2241</v>
      </c>
      <c r="G168" s="29" t="s">
        <v>15</v>
      </c>
      <c r="H168" s="19">
        <v>42791</v>
      </c>
      <c r="I168" s="3">
        <v>59</v>
      </c>
      <c r="J168" s="3" t="s">
        <v>66</v>
      </c>
      <c r="K168" s="37" t="s">
        <v>59</v>
      </c>
      <c r="L168" s="33">
        <v>44294</v>
      </c>
      <c r="M168" s="34" t="s">
        <v>60</v>
      </c>
      <c r="N168" s="35">
        <v>44191</v>
      </c>
      <c r="O168" s="33"/>
      <c r="P168" s="33">
        <v>44769</v>
      </c>
      <c r="Q168" s="16" t="s">
        <v>68</v>
      </c>
      <c r="R168" s="16" t="s">
        <v>68</v>
      </c>
      <c r="S168" s="16" t="s">
        <v>68</v>
      </c>
      <c r="T168" s="16"/>
      <c r="U168" s="16"/>
      <c r="V168" s="33">
        <v>44769</v>
      </c>
      <c r="W168" s="33">
        <v>44769</v>
      </c>
      <c r="X168" s="16" t="s">
        <v>68</v>
      </c>
      <c r="Y168" s="16"/>
      <c r="Z168" s="432"/>
      <c r="AA168" s="432"/>
      <c r="AB168" s="24"/>
      <c r="AC168" s="24"/>
      <c r="AD168" s="282">
        <v>44690</v>
      </c>
      <c r="AE168" s="282">
        <v>44958</v>
      </c>
      <c r="AF168" s="282">
        <v>45772</v>
      </c>
      <c r="AG168" s="282">
        <v>45464</v>
      </c>
      <c r="AH168" s="282">
        <v>45464</v>
      </c>
      <c r="AI168" s="952">
        <v>45381</v>
      </c>
      <c r="AJ168" s="282">
        <v>45464</v>
      </c>
      <c r="AK168" s="282">
        <v>45464</v>
      </c>
      <c r="AL168" s="282">
        <v>45559</v>
      </c>
      <c r="AM168" s="282">
        <v>45464</v>
      </c>
      <c r="AN168" s="381"/>
    </row>
    <row r="169" spans="1:44" ht="22.8" x14ac:dyDescent="0.25">
      <c r="A169" s="28">
        <v>168</v>
      </c>
      <c r="B169" s="20">
        <v>30533</v>
      </c>
      <c r="C169" s="27" t="s">
        <v>54</v>
      </c>
      <c r="D169" s="24" t="s">
        <v>2273</v>
      </c>
      <c r="E169" s="20" t="s">
        <v>2250</v>
      </c>
      <c r="F169" s="29" t="s">
        <v>2241</v>
      </c>
      <c r="G169" s="29" t="s">
        <v>15</v>
      </c>
      <c r="H169" s="19">
        <v>42791</v>
      </c>
      <c r="I169" s="3">
        <v>63</v>
      </c>
      <c r="J169" s="3" t="s">
        <v>66</v>
      </c>
      <c r="K169" s="37" t="s">
        <v>59</v>
      </c>
      <c r="L169" s="33">
        <v>44294</v>
      </c>
      <c r="M169" s="34" t="s">
        <v>60</v>
      </c>
      <c r="N169" s="35">
        <v>44191</v>
      </c>
      <c r="O169" s="33"/>
      <c r="P169" s="33">
        <v>44769</v>
      </c>
      <c r="Q169" s="16" t="s">
        <v>62</v>
      </c>
      <c r="R169" s="16" t="s">
        <v>62</v>
      </c>
      <c r="S169" s="16" t="s">
        <v>62</v>
      </c>
      <c r="T169" s="16"/>
      <c r="U169" s="16"/>
      <c r="V169" s="33">
        <v>44769</v>
      </c>
      <c r="W169" s="33">
        <v>44769</v>
      </c>
      <c r="X169" s="16" t="s">
        <v>62</v>
      </c>
      <c r="Y169" s="16"/>
      <c r="Z169" s="432"/>
      <c r="AA169" s="432"/>
      <c r="AB169" s="24"/>
      <c r="AC169" s="24"/>
      <c r="AD169" s="282">
        <v>44690</v>
      </c>
      <c r="AE169" s="282">
        <v>44958</v>
      </c>
      <c r="AF169" s="282">
        <v>45772</v>
      </c>
      <c r="AG169" s="282">
        <v>45464</v>
      </c>
      <c r="AH169" s="282">
        <v>45464</v>
      </c>
      <c r="AI169" s="952">
        <v>45381</v>
      </c>
      <c r="AJ169" s="282">
        <v>45464</v>
      </c>
      <c r="AK169" s="282">
        <v>45464</v>
      </c>
      <c r="AL169" s="282">
        <v>45559</v>
      </c>
      <c r="AM169" s="282">
        <v>45464</v>
      </c>
    </row>
    <row r="170" spans="1:44" s="954" customFormat="1" ht="22.8" x14ac:dyDescent="0.25">
      <c r="A170" s="28">
        <v>169</v>
      </c>
      <c r="B170" s="955">
        <v>30536</v>
      </c>
      <c r="C170" s="956" t="s">
        <v>64</v>
      </c>
      <c r="D170" s="957" t="s">
        <v>1090</v>
      </c>
      <c r="E170" s="955"/>
      <c r="F170" s="958" t="s">
        <v>2241</v>
      </c>
      <c r="G170" s="958" t="s">
        <v>15</v>
      </c>
      <c r="H170" s="959">
        <v>42831</v>
      </c>
      <c r="I170" s="960">
        <v>66</v>
      </c>
      <c r="J170" s="960" t="s">
        <v>66</v>
      </c>
      <c r="K170" s="961" t="s">
        <v>59</v>
      </c>
      <c r="L170" s="962">
        <v>44059</v>
      </c>
      <c r="M170" s="950" t="s">
        <v>60</v>
      </c>
      <c r="N170" s="963">
        <v>44226</v>
      </c>
      <c r="O170" s="963"/>
      <c r="P170" s="963">
        <v>44717</v>
      </c>
      <c r="Q170" s="950" t="s">
        <v>62</v>
      </c>
      <c r="R170" s="950" t="s">
        <v>62</v>
      </c>
      <c r="S170" s="950"/>
      <c r="T170" s="950"/>
      <c r="U170" s="950"/>
      <c r="V170" s="963">
        <v>44717</v>
      </c>
      <c r="W170" s="963">
        <v>44717</v>
      </c>
      <c r="X170" s="950"/>
      <c r="Y170" s="950"/>
      <c r="Z170" s="950"/>
      <c r="AA170" s="950"/>
      <c r="AB170" s="964"/>
      <c r="AC170" s="964"/>
      <c r="AD170" s="965">
        <v>44692</v>
      </c>
      <c r="AE170" s="966"/>
      <c r="AF170" s="967"/>
      <c r="AG170" s="966"/>
      <c r="AH170" s="966"/>
      <c r="AI170" s="966"/>
      <c r="AJ170" s="966"/>
      <c r="AK170" s="966"/>
      <c r="AL170" s="953"/>
      <c r="AM170" s="953"/>
      <c r="AN170" s="381"/>
      <c r="AR170" s="954" t="s">
        <v>2496</v>
      </c>
    </row>
    <row r="171" spans="1:44" s="1394" customFormat="1" ht="22.8" x14ac:dyDescent="0.25">
      <c r="A171" s="1392">
        <v>170</v>
      </c>
      <c r="B171" s="955">
        <v>30536</v>
      </c>
      <c r="C171" s="956" t="s">
        <v>54</v>
      </c>
      <c r="D171" s="957" t="s">
        <v>1091</v>
      </c>
      <c r="E171" s="955"/>
      <c r="F171" s="958" t="s">
        <v>2241</v>
      </c>
      <c r="G171" s="958" t="s">
        <v>15</v>
      </c>
      <c r="H171" s="959">
        <v>42831</v>
      </c>
      <c r="I171" s="960">
        <v>67</v>
      </c>
      <c r="J171" s="960" t="s">
        <v>66</v>
      </c>
      <c r="K171" s="961" t="s">
        <v>59</v>
      </c>
      <c r="L171" s="963">
        <v>44059</v>
      </c>
      <c r="M171" s="950" t="s">
        <v>60</v>
      </c>
      <c r="N171" s="963">
        <v>44226</v>
      </c>
      <c r="O171" s="963"/>
      <c r="P171" s="963">
        <v>44717</v>
      </c>
      <c r="Q171" s="950" t="s">
        <v>68</v>
      </c>
      <c r="R171" s="950" t="s">
        <v>68</v>
      </c>
      <c r="S171" s="950"/>
      <c r="T171" s="950"/>
      <c r="U171" s="950"/>
      <c r="V171" s="963">
        <v>44717</v>
      </c>
      <c r="W171" s="963">
        <v>44717</v>
      </c>
      <c r="X171" s="950"/>
      <c r="Y171" s="950"/>
      <c r="Z171" s="950"/>
      <c r="AA171" s="950"/>
      <c r="AB171" s="964"/>
      <c r="AC171" s="964"/>
      <c r="AD171" s="965">
        <v>44692</v>
      </c>
      <c r="AE171" s="966"/>
      <c r="AF171" s="967"/>
      <c r="AG171" s="966"/>
      <c r="AH171" s="966"/>
      <c r="AI171" s="966"/>
      <c r="AJ171" s="966"/>
      <c r="AK171" s="966"/>
      <c r="AL171" s="966"/>
      <c r="AM171" s="966"/>
      <c r="AN171" s="1393"/>
      <c r="AR171" s="1394" t="s">
        <v>2496</v>
      </c>
    </row>
    <row r="172" spans="1:44" s="954" customFormat="1" ht="22.8" x14ac:dyDescent="0.25">
      <c r="A172" s="28">
        <v>171</v>
      </c>
      <c r="B172" s="955">
        <v>30548</v>
      </c>
      <c r="C172" s="956" t="s">
        <v>64</v>
      </c>
      <c r="D172" s="957" t="s">
        <v>1087</v>
      </c>
      <c r="E172" s="955"/>
      <c r="F172" s="958" t="s">
        <v>2241</v>
      </c>
      <c r="G172" s="958" t="s">
        <v>15</v>
      </c>
      <c r="H172" s="959">
        <v>42884</v>
      </c>
      <c r="I172" s="960">
        <v>80</v>
      </c>
      <c r="J172" s="960" t="s">
        <v>58</v>
      </c>
      <c r="K172" s="961" t="s">
        <v>59</v>
      </c>
      <c r="L172" s="962">
        <v>44061</v>
      </c>
      <c r="M172" s="950" t="s">
        <v>60</v>
      </c>
      <c r="N172" s="963">
        <v>44175</v>
      </c>
      <c r="O172" s="963"/>
      <c r="P172" s="963">
        <v>44769</v>
      </c>
      <c r="Q172" s="950"/>
      <c r="R172" s="950"/>
      <c r="S172" s="950"/>
      <c r="T172" s="950"/>
      <c r="U172" s="950"/>
      <c r="V172" s="963">
        <v>44769</v>
      </c>
      <c r="W172" s="963">
        <v>44769</v>
      </c>
      <c r="X172" s="950"/>
      <c r="Y172" s="950"/>
      <c r="Z172" s="950"/>
      <c r="AA172" s="950"/>
      <c r="AB172" s="964"/>
      <c r="AC172" s="964"/>
      <c r="AD172" s="965">
        <v>44599</v>
      </c>
      <c r="AE172" s="966"/>
      <c r="AF172" s="967"/>
      <c r="AG172" s="966"/>
      <c r="AH172" s="966"/>
      <c r="AI172" s="966"/>
      <c r="AJ172" s="966"/>
      <c r="AK172" s="966"/>
      <c r="AL172" s="953"/>
      <c r="AM172" s="953"/>
      <c r="AN172" s="381"/>
      <c r="AR172" s="954" t="s">
        <v>2496</v>
      </c>
    </row>
    <row r="173" spans="1:44" s="954" customFormat="1" ht="22.8" x14ac:dyDescent="0.25">
      <c r="A173" s="28">
        <v>172</v>
      </c>
      <c r="B173" s="955">
        <v>30548</v>
      </c>
      <c r="C173" s="956" t="s">
        <v>54</v>
      </c>
      <c r="D173" s="957" t="s">
        <v>1089</v>
      </c>
      <c r="E173" s="955"/>
      <c r="F173" s="958" t="s">
        <v>2241</v>
      </c>
      <c r="G173" s="958" t="s">
        <v>15</v>
      </c>
      <c r="H173" s="959">
        <v>42884</v>
      </c>
      <c r="I173" s="960">
        <v>78</v>
      </c>
      <c r="J173" s="960" t="s">
        <v>58</v>
      </c>
      <c r="K173" s="961" t="s">
        <v>59</v>
      </c>
      <c r="L173" s="962">
        <v>44061</v>
      </c>
      <c r="M173" s="950" t="s">
        <v>60</v>
      </c>
      <c r="N173" s="963">
        <v>44175</v>
      </c>
      <c r="O173" s="963"/>
      <c r="P173" s="963">
        <v>44769</v>
      </c>
      <c r="Q173" s="950"/>
      <c r="R173" s="950"/>
      <c r="S173" s="950"/>
      <c r="T173" s="950"/>
      <c r="U173" s="950"/>
      <c r="V173" s="963">
        <v>44769</v>
      </c>
      <c r="W173" s="963">
        <v>44769</v>
      </c>
      <c r="X173" s="950"/>
      <c r="Y173" s="950"/>
      <c r="Z173" s="950"/>
      <c r="AA173" s="950"/>
      <c r="AB173" s="964"/>
      <c r="AC173" s="964"/>
      <c r="AD173" s="965">
        <v>44599</v>
      </c>
      <c r="AE173" s="966"/>
      <c r="AF173" s="967"/>
      <c r="AG173" s="966"/>
      <c r="AH173" s="966"/>
      <c r="AI173" s="966"/>
      <c r="AJ173" s="966"/>
      <c r="AK173" s="966"/>
      <c r="AL173" s="953"/>
      <c r="AM173" s="953"/>
      <c r="AN173" s="58"/>
      <c r="AR173" s="954" t="s">
        <v>2496</v>
      </c>
    </row>
    <row r="174" spans="1:44" ht="22.8" x14ac:dyDescent="0.25">
      <c r="A174" s="28">
        <v>173</v>
      </c>
      <c r="B174" s="20">
        <v>30588</v>
      </c>
      <c r="C174" s="27" t="s">
        <v>64</v>
      </c>
      <c r="D174" s="24" t="s">
        <v>2274</v>
      </c>
      <c r="E174" s="20" t="s">
        <v>2250</v>
      </c>
      <c r="F174" s="29" t="s">
        <v>2241</v>
      </c>
      <c r="G174" s="29" t="s">
        <v>15</v>
      </c>
      <c r="H174" s="19">
        <v>43109</v>
      </c>
      <c r="I174" s="3">
        <v>104</v>
      </c>
      <c r="J174" s="3" t="s">
        <v>58</v>
      </c>
      <c r="K174" s="37" t="s">
        <v>59</v>
      </c>
      <c r="L174" s="33" t="s">
        <v>63</v>
      </c>
      <c r="M174" s="34" t="s">
        <v>60</v>
      </c>
      <c r="N174" s="35">
        <v>44179</v>
      </c>
      <c r="O174" s="33"/>
      <c r="P174" s="33"/>
      <c r="Q174" s="16" t="s">
        <v>68</v>
      </c>
      <c r="R174" s="16" t="s">
        <v>68</v>
      </c>
      <c r="S174" s="16" t="s">
        <v>68</v>
      </c>
      <c r="T174" s="16"/>
      <c r="U174" s="16"/>
      <c r="V174" s="16"/>
      <c r="W174" s="16"/>
      <c r="X174" s="16" t="s">
        <v>68</v>
      </c>
      <c r="Y174" s="16"/>
      <c r="Z174" s="432"/>
      <c r="AA174" s="442">
        <v>44475</v>
      </c>
      <c r="AB174" s="24"/>
      <c r="AC174" s="24"/>
      <c r="AD174" s="282" t="s">
        <v>2275</v>
      </c>
      <c r="AE174" s="58"/>
      <c r="AF174" s="282">
        <v>45782</v>
      </c>
      <c r="AG174" s="282">
        <v>45498</v>
      </c>
      <c r="AH174" s="282">
        <v>45498</v>
      </c>
      <c r="AI174" s="952">
        <v>45310</v>
      </c>
      <c r="AJ174" s="282">
        <v>45588</v>
      </c>
      <c r="AK174" s="282">
        <v>45782</v>
      </c>
      <c r="AM174" s="282">
        <v>45491</v>
      </c>
    </row>
    <row r="175" spans="1:44" ht="22.8" x14ac:dyDescent="0.25">
      <c r="A175" s="28">
        <v>174</v>
      </c>
      <c r="B175" s="20">
        <v>30588</v>
      </c>
      <c r="C175" s="27" t="s">
        <v>54</v>
      </c>
      <c r="D175" s="24" t="s">
        <v>2276</v>
      </c>
      <c r="E175" s="20" t="s">
        <v>2250</v>
      </c>
      <c r="F175" s="29" t="s">
        <v>2241</v>
      </c>
      <c r="G175" s="29" t="s">
        <v>15</v>
      </c>
      <c r="H175" s="19">
        <v>43109</v>
      </c>
      <c r="I175" s="3">
        <v>105</v>
      </c>
      <c r="J175" s="3" t="s">
        <v>58</v>
      </c>
      <c r="K175" s="37" t="s">
        <v>59</v>
      </c>
      <c r="L175" s="33" t="s">
        <v>63</v>
      </c>
      <c r="M175" s="34" t="s">
        <v>60</v>
      </c>
      <c r="N175" s="35">
        <v>44179</v>
      </c>
      <c r="O175" s="33"/>
      <c r="P175" s="33"/>
      <c r="Q175" s="16" t="s">
        <v>62</v>
      </c>
      <c r="R175" s="16" t="s">
        <v>62</v>
      </c>
      <c r="S175" s="16" t="s">
        <v>62</v>
      </c>
      <c r="T175" s="16"/>
      <c r="U175" s="16"/>
      <c r="V175" s="16"/>
      <c r="W175" s="16"/>
      <c r="X175" s="16" t="s">
        <v>62</v>
      </c>
      <c r="Y175" s="16"/>
      <c r="Z175" s="432"/>
      <c r="AA175" s="442">
        <v>44475</v>
      </c>
      <c r="AB175" s="24"/>
      <c r="AC175" s="24"/>
      <c r="AD175" s="282" t="s">
        <v>2275</v>
      </c>
      <c r="AE175" s="58"/>
      <c r="AF175" s="282">
        <v>45782</v>
      </c>
      <c r="AG175" s="282">
        <v>45498</v>
      </c>
      <c r="AH175" s="282">
        <v>45498</v>
      </c>
      <c r="AI175" s="952">
        <v>45310</v>
      </c>
      <c r="AJ175" s="282">
        <v>45588</v>
      </c>
      <c r="AK175" s="282">
        <v>45782</v>
      </c>
      <c r="AM175" s="282">
        <v>45491</v>
      </c>
    </row>
    <row r="176" spans="1:44" s="954" customFormat="1" x14ac:dyDescent="0.25">
      <c r="A176" s="28">
        <v>175</v>
      </c>
      <c r="B176" s="955">
        <v>30598</v>
      </c>
      <c r="C176" s="956" t="s">
        <v>64</v>
      </c>
      <c r="D176" s="28" t="s">
        <v>2277</v>
      </c>
      <c r="E176" s="955"/>
      <c r="F176" s="956" t="s">
        <v>2241</v>
      </c>
      <c r="G176" s="957" t="s">
        <v>15</v>
      </c>
      <c r="H176" s="955">
        <v>43050</v>
      </c>
      <c r="I176" s="958">
        <v>144</v>
      </c>
      <c r="J176" s="958" t="s">
        <v>58</v>
      </c>
      <c r="K176" s="959"/>
      <c r="L176" s="960"/>
      <c r="M176" s="960" t="s">
        <v>60</v>
      </c>
      <c r="N176" s="961">
        <v>44180</v>
      </c>
      <c r="O176" s="962"/>
      <c r="P176" s="950">
        <v>44768</v>
      </c>
      <c r="Q176" s="963" t="s">
        <v>68</v>
      </c>
      <c r="R176" s="963"/>
      <c r="S176" s="963"/>
      <c r="T176" s="950"/>
      <c r="U176" s="950"/>
      <c r="V176" s="950">
        <v>44768</v>
      </c>
      <c r="W176" s="950">
        <v>44768</v>
      </c>
      <c r="X176" s="950" t="s">
        <v>68</v>
      </c>
      <c r="Y176" s="963"/>
      <c r="Z176" s="963"/>
      <c r="AA176" s="950"/>
      <c r="AB176" s="950"/>
      <c r="AC176" s="950"/>
      <c r="AD176" s="950">
        <v>44690</v>
      </c>
      <c r="AE176" s="964"/>
      <c r="AF176" s="964"/>
      <c r="AG176" s="965"/>
      <c r="AH176" s="966"/>
      <c r="AI176" s="967"/>
      <c r="AJ176" s="966"/>
      <c r="AK176" s="966"/>
      <c r="AL176" s="966"/>
      <c r="AM176" s="966"/>
      <c r="AN176" s="58"/>
      <c r="AO176" s="966"/>
      <c r="AP176" s="953"/>
      <c r="AQ176" s="953"/>
      <c r="AR176" s="954" t="s">
        <v>2496</v>
      </c>
    </row>
    <row r="177" spans="1:44" s="954" customFormat="1" x14ac:dyDescent="0.25">
      <c r="A177" s="28">
        <v>176</v>
      </c>
      <c r="B177" s="955">
        <v>30598</v>
      </c>
      <c r="C177" s="956" t="s">
        <v>54</v>
      </c>
      <c r="D177" s="28" t="s">
        <v>1086</v>
      </c>
      <c r="E177" s="955"/>
      <c r="F177" s="956" t="s">
        <v>2241</v>
      </c>
      <c r="G177" s="957" t="s">
        <v>15</v>
      </c>
      <c r="H177" s="955">
        <v>43050</v>
      </c>
      <c r="I177" s="958">
        <v>145</v>
      </c>
      <c r="J177" s="958" t="s">
        <v>58</v>
      </c>
      <c r="K177" s="959"/>
      <c r="L177" s="960"/>
      <c r="M177" s="960" t="s">
        <v>60</v>
      </c>
      <c r="N177" s="961">
        <v>44180</v>
      </c>
      <c r="O177" s="962"/>
      <c r="P177" s="950">
        <v>44768</v>
      </c>
      <c r="Q177" s="963" t="s">
        <v>62</v>
      </c>
      <c r="R177" s="963" t="s">
        <v>62</v>
      </c>
      <c r="S177" s="963"/>
      <c r="T177" s="950"/>
      <c r="U177" s="950"/>
      <c r="V177" s="950">
        <v>44768</v>
      </c>
      <c r="W177" s="950">
        <v>44768</v>
      </c>
      <c r="X177" s="950" t="s">
        <v>62</v>
      </c>
      <c r="Y177" s="963"/>
      <c r="Z177" s="963"/>
      <c r="AA177" s="950"/>
      <c r="AB177" s="950"/>
      <c r="AC177" s="950"/>
      <c r="AD177" s="950">
        <v>44690</v>
      </c>
      <c r="AE177" s="964"/>
      <c r="AF177" s="964"/>
      <c r="AG177" s="965"/>
      <c r="AH177" s="966"/>
      <c r="AI177" s="967"/>
      <c r="AJ177" s="966"/>
      <c r="AK177" s="966"/>
      <c r="AL177" s="966"/>
      <c r="AM177" s="966"/>
      <c r="AN177" s="58"/>
      <c r="AO177" s="966"/>
      <c r="AP177" s="953"/>
      <c r="AQ177" s="953"/>
      <c r="AR177" s="954" t="s">
        <v>2496</v>
      </c>
    </row>
    <row r="178" spans="1:44" ht="22.8" x14ac:dyDescent="0.25">
      <c r="A178" s="28">
        <v>177</v>
      </c>
      <c r="B178" s="20">
        <v>30606</v>
      </c>
      <c r="C178" s="27" t="s">
        <v>64</v>
      </c>
      <c r="D178" s="24" t="s">
        <v>2278</v>
      </c>
      <c r="E178" s="20" t="s">
        <v>2250</v>
      </c>
      <c r="F178" s="29" t="s">
        <v>2241</v>
      </c>
      <c r="G178" s="29" t="s">
        <v>15</v>
      </c>
      <c r="H178" s="19">
        <v>43074</v>
      </c>
      <c r="I178" s="3">
        <v>107</v>
      </c>
      <c r="J178" s="3" t="s">
        <v>58</v>
      </c>
      <c r="K178" s="37" t="s">
        <v>59</v>
      </c>
      <c r="L178" s="33">
        <v>44112</v>
      </c>
      <c r="M178" s="34" t="s">
        <v>60</v>
      </c>
      <c r="N178" s="40">
        <v>44235</v>
      </c>
      <c r="O178" s="33"/>
      <c r="P178" s="33">
        <v>44781</v>
      </c>
      <c r="Q178" s="16" t="s">
        <v>68</v>
      </c>
      <c r="R178" s="37" t="s">
        <v>68</v>
      </c>
      <c r="S178" s="37" t="s">
        <v>68</v>
      </c>
      <c r="T178" s="16"/>
      <c r="U178" s="16"/>
      <c r="V178" s="33">
        <v>44781</v>
      </c>
      <c r="W178" s="33">
        <v>44781</v>
      </c>
      <c r="X178" s="16" t="s">
        <v>68</v>
      </c>
      <c r="Y178" s="16"/>
      <c r="Z178" s="432"/>
      <c r="AA178" s="432"/>
      <c r="AB178" s="24"/>
      <c r="AC178" s="24"/>
      <c r="AD178" s="282">
        <v>44615</v>
      </c>
      <c r="AE178" s="282">
        <v>44959</v>
      </c>
      <c r="AF178" s="282">
        <v>45392</v>
      </c>
      <c r="AG178" s="282">
        <v>45493</v>
      </c>
      <c r="AH178" s="282">
        <v>45493</v>
      </c>
      <c r="AI178" s="952">
        <v>45404</v>
      </c>
      <c r="AJ178" s="282">
        <v>45698</v>
      </c>
      <c r="AK178" s="282">
        <v>45404</v>
      </c>
      <c r="AL178" s="282">
        <v>45698</v>
      </c>
      <c r="AM178" s="282">
        <v>45404</v>
      </c>
    </row>
    <row r="179" spans="1:44" ht="22.8" x14ac:dyDescent="0.25">
      <c r="A179" s="28">
        <v>178</v>
      </c>
      <c r="B179" s="20">
        <v>30606</v>
      </c>
      <c r="C179" s="27" t="s">
        <v>54</v>
      </c>
      <c r="D179" s="24" t="s">
        <v>2279</v>
      </c>
      <c r="E179" s="20" t="s">
        <v>2250</v>
      </c>
      <c r="F179" s="29" t="s">
        <v>2241</v>
      </c>
      <c r="G179" s="29" t="s">
        <v>15</v>
      </c>
      <c r="H179" s="19">
        <v>43074</v>
      </c>
      <c r="I179" s="3">
        <v>106</v>
      </c>
      <c r="J179" s="3" t="s">
        <v>58</v>
      </c>
      <c r="K179" s="37" t="s">
        <v>59</v>
      </c>
      <c r="L179" s="33">
        <v>44112</v>
      </c>
      <c r="M179" s="34" t="s">
        <v>60</v>
      </c>
      <c r="N179" s="40">
        <v>44235</v>
      </c>
      <c r="O179" s="33"/>
      <c r="P179" s="33">
        <v>44781</v>
      </c>
      <c r="Q179" s="16" t="s">
        <v>62</v>
      </c>
      <c r="R179" s="37" t="s">
        <v>62</v>
      </c>
      <c r="S179" s="37" t="s">
        <v>62</v>
      </c>
      <c r="T179" s="16"/>
      <c r="U179" s="16"/>
      <c r="V179" s="33">
        <v>44781</v>
      </c>
      <c r="W179" s="33">
        <v>44781</v>
      </c>
      <c r="X179" s="16" t="s">
        <v>62</v>
      </c>
      <c r="Y179" s="16"/>
      <c r="Z179" s="432"/>
      <c r="AA179" s="432"/>
      <c r="AB179" s="24"/>
      <c r="AC179" s="24"/>
      <c r="AD179" s="282">
        <v>44615</v>
      </c>
      <c r="AE179" s="282">
        <v>44959</v>
      </c>
      <c r="AF179" s="282">
        <v>45392</v>
      </c>
      <c r="AG179" s="282">
        <v>45493</v>
      </c>
      <c r="AH179" s="282">
        <v>45493</v>
      </c>
      <c r="AI179" s="952">
        <v>45404</v>
      </c>
      <c r="AJ179" s="282">
        <v>45698</v>
      </c>
      <c r="AK179" s="282">
        <v>45404</v>
      </c>
      <c r="AL179" s="282">
        <v>45698</v>
      </c>
      <c r="AM179" s="282">
        <v>45404</v>
      </c>
    </row>
    <row r="180" spans="1:44" ht="22.8" x14ac:dyDescent="0.25">
      <c r="A180" s="28">
        <v>179</v>
      </c>
      <c r="B180" s="20">
        <v>30607</v>
      </c>
      <c r="C180" s="27" t="s">
        <v>64</v>
      </c>
      <c r="D180" s="24" t="s">
        <v>2280</v>
      </c>
      <c r="E180" s="20" t="s">
        <v>2250</v>
      </c>
      <c r="F180" s="29" t="s">
        <v>2241</v>
      </c>
      <c r="G180" s="29" t="s">
        <v>15</v>
      </c>
      <c r="H180" s="19">
        <v>43084</v>
      </c>
      <c r="I180" s="3">
        <v>126</v>
      </c>
      <c r="J180" s="3" t="s">
        <v>58</v>
      </c>
      <c r="K180" s="37" t="s">
        <v>59</v>
      </c>
      <c r="L180" s="33">
        <v>44072</v>
      </c>
      <c r="M180" s="34" t="s">
        <v>60</v>
      </c>
      <c r="N180" s="35">
        <v>44173</v>
      </c>
      <c r="O180" s="33" t="s">
        <v>2259</v>
      </c>
      <c r="P180" s="33">
        <v>44753</v>
      </c>
      <c r="Q180" s="16" t="s">
        <v>68</v>
      </c>
      <c r="R180" s="16" t="s">
        <v>68</v>
      </c>
      <c r="S180" s="16" t="s">
        <v>68</v>
      </c>
      <c r="T180" s="16"/>
      <c r="U180" s="16"/>
      <c r="V180" s="33">
        <v>44753</v>
      </c>
      <c r="W180" s="33">
        <v>44753</v>
      </c>
      <c r="X180" s="16" t="s">
        <v>68</v>
      </c>
      <c r="Y180" s="16"/>
      <c r="Z180" s="432"/>
      <c r="AA180" s="432"/>
      <c r="AB180" s="24" t="s">
        <v>2497</v>
      </c>
      <c r="AC180" s="24"/>
      <c r="AD180" s="282">
        <v>44609</v>
      </c>
      <c r="AE180" s="282">
        <v>44947</v>
      </c>
      <c r="AF180" s="282">
        <v>45811</v>
      </c>
      <c r="AG180" s="282">
        <v>45482</v>
      </c>
      <c r="AH180" s="282">
        <v>45482</v>
      </c>
      <c r="AI180" s="952">
        <v>45344</v>
      </c>
      <c r="AJ180" s="282">
        <v>45623</v>
      </c>
      <c r="AK180" s="282">
        <v>45485</v>
      </c>
      <c r="AM180" s="282">
        <v>45485</v>
      </c>
    </row>
    <row r="181" spans="1:44" ht="22.8" x14ac:dyDescent="0.25">
      <c r="A181" s="28">
        <v>180</v>
      </c>
      <c r="B181" s="20">
        <v>30607</v>
      </c>
      <c r="C181" s="27" t="s">
        <v>54</v>
      </c>
      <c r="D181" s="24" t="s">
        <v>2281</v>
      </c>
      <c r="E181" s="20" t="s">
        <v>2250</v>
      </c>
      <c r="F181" s="29" t="s">
        <v>2241</v>
      </c>
      <c r="G181" s="29" t="s">
        <v>15</v>
      </c>
      <c r="H181" s="19">
        <v>43084</v>
      </c>
      <c r="I181" s="3">
        <v>127</v>
      </c>
      <c r="J181" s="3" t="s">
        <v>58</v>
      </c>
      <c r="K181" s="37" t="s">
        <v>59</v>
      </c>
      <c r="L181" s="33">
        <v>44072</v>
      </c>
      <c r="M181" s="34" t="s">
        <v>60</v>
      </c>
      <c r="N181" s="35">
        <v>44173</v>
      </c>
      <c r="O181" s="33" t="s">
        <v>2259</v>
      </c>
      <c r="P181" s="33">
        <v>44753</v>
      </c>
      <c r="Q181" s="16" t="s">
        <v>62</v>
      </c>
      <c r="R181" s="16" t="s">
        <v>62</v>
      </c>
      <c r="S181" s="37" t="s">
        <v>62</v>
      </c>
      <c r="T181" s="16"/>
      <c r="U181" s="16"/>
      <c r="V181" s="33">
        <v>44753</v>
      </c>
      <c r="W181" s="33">
        <v>44753</v>
      </c>
      <c r="X181" s="16" t="s">
        <v>62</v>
      </c>
      <c r="Y181" s="16"/>
      <c r="Z181" s="432"/>
      <c r="AA181" s="432"/>
      <c r="AB181" s="24"/>
      <c r="AC181" s="24"/>
      <c r="AD181" s="282">
        <v>44609</v>
      </c>
      <c r="AE181" s="282">
        <v>44947</v>
      </c>
      <c r="AF181" s="282">
        <v>45811</v>
      </c>
      <c r="AG181" s="282">
        <v>45482</v>
      </c>
      <c r="AH181" s="282">
        <v>45482</v>
      </c>
      <c r="AI181" s="952">
        <v>45344</v>
      </c>
      <c r="AJ181" s="282">
        <v>45623</v>
      </c>
      <c r="AK181" s="282">
        <v>45485</v>
      </c>
      <c r="AM181" s="282">
        <v>45485</v>
      </c>
    </row>
    <row r="182" spans="1:44" ht="22.8" x14ac:dyDescent="0.25">
      <c r="A182" s="28">
        <v>181</v>
      </c>
      <c r="B182" s="20">
        <v>30821</v>
      </c>
      <c r="C182" s="27" t="s">
        <v>64</v>
      </c>
      <c r="D182" s="20" t="s">
        <v>2282</v>
      </c>
      <c r="E182" s="20" t="s">
        <v>2498</v>
      </c>
      <c r="F182" s="29" t="s">
        <v>2241</v>
      </c>
      <c r="G182" s="29" t="s">
        <v>15</v>
      </c>
      <c r="H182" s="19">
        <v>44209</v>
      </c>
      <c r="I182" s="3">
        <v>374</v>
      </c>
      <c r="J182" s="3" t="s">
        <v>58</v>
      </c>
      <c r="K182" s="37" t="s">
        <v>59</v>
      </c>
      <c r="L182" s="38">
        <v>44418</v>
      </c>
      <c r="M182" s="41" t="s">
        <v>60</v>
      </c>
      <c r="N182" s="33" t="s">
        <v>63</v>
      </c>
      <c r="O182" s="282">
        <v>44785</v>
      </c>
      <c r="P182" s="282">
        <v>45470</v>
      </c>
      <c r="Q182" s="16"/>
      <c r="R182" s="16" t="s">
        <v>68</v>
      </c>
      <c r="S182" s="16" t="s">
        <v>68</v>
      </c>
      <c r="T182" s="16" t="s">
        <v>68</v>
      </c>
      <c r="U182" s="16" t="s">
        <v>68</v>
      </c>
      <c r="V182" s="282">
        <v>44785</v>
      </c>
      <c r="W182" s="282">
        <v>44785</v>
      </c>
      <c r="X182" s="16" t="s">
        <v>68</v>
      </c>
      <c r="Y182" s="16"/>
      <c r="Z182" s="432"/>
      <c r="AA182" s="442">
        <v>44531</v>
      </c>
      <c r="AB182" s="24" t="s">
        <v>2499</v>
      </c>
      <c r="AC182" s="24"/>
      <c r="AD182" s="282">
        <v>44740</v>
      </c>
      <c r="AE182" s="282">
        <v>44975</v>
      </c>
      <c r="AF182" s="365"/>
      <c r="AG182" s="282">
        <v>45470</v>
      </c>
      <c r="AH182" s="282">
        <v>45470</v>
      </c>
      <c r="AI182" s="282">
        <v>45097</v>
      </c>
      <c r="AJ182" s="58" t="s">
        <v>63</v>
      </c>
      <c r="AK182" s="282">
        <v>45468</v>
      </c>
      <c r="AL182" s="282">
        <v>45599</v>
      </c>
      <c r="AM182" s="282">
        <v>45469</v>
      </c>
    </row>
    <row r="183" spans="1:44" ht="22.8" x14ac:dyDescent="0.25">
      <c r="A183" s="28">
        <v>182</v>
      </c>
      <c r="B183" s="20">
        <v>30821</v>
      </c>
      <c r="C183" s="27" t="s">
        <v>54</v>
      </c>
      <c r="D183" s="20" t="s">
        <v>2283</v>
      </c>
      <c r="E183" s="20" t="s">
        <v>2498</v>
      </c>
      <c r="F183" s="29" t="s">
        <v>2241</v>
      </c>
      <c r="G183" s="29" t="s">
        <v>15</v>
      </c>
      <c r="H183" s="19">
        <v>44209</v>
      </c>
      <c r="I183" s="3">
        <v>375</v>
      </c>
      <c r="J183" s="3" t="s">
        <v>58</v>
      </c>
      <c r="K183" s="37" t="s">
        <v>59</v>
      </c>
      <c r="L183" s="38">
        <v>44418</v>
      </c>
      <c r="M183" s="41" t="s">
        <v>60</v>
      </c>
      <c r="N183" s="33" t="s">
        <v>63</v>
      </c>
      <c r="O183" s="282">
        <v>44785</v>
      </c>
      <c r="P183" s="282">
        <v>45470</v>
      </c>
      <c r="Q183" s="16"/>
      <c r="R183" s="16" t="s">
        <v>62</v>
      </c>
      <c r="S183" s="16" t="s">
        <v>62</v>
      </c>
      <c r="T183" s="16" t="s">
        <v>62</v>
      </c>
      <c r="U183" s="16" t="s">
        <v>62</v>
      </c>
      <c r="V183" s="282">
        <v>44785</v>
      </c>
      <c r="W183" s="282">
        <v>44785</v>
      </c>
      <c r="X183" s="16" t="s">
        <v>62</v>
      </c>
      <c r="Y183" s="16"/>
      <c r="Z183" s="432"/>
      <c r="AA183" s="442">
        <v>44531</v>
      </c>
      <c r="AB183" s="24" t="s">
        <v>2500</v>
      </c>
      <c r="AC183" s="24"/>
      <c r="AD183" s="282">
        <v>44740</v>
      </c>
      <c r="AE183" s="282">
        <v>44975</v>
      </c>
      <c r="AF183" s="365"/>
      <c r="AG183" s="282">
        <v>45470</v>
      </c>
      <c r="AH183" s="282">
        <v>45470</v>
      </c>
      <c r="AI183" s="282">
        <v>45097</v>
      </c>
      <c r="AJ183" s="58" t="s">
        <v>63</v>
      </c>
      <c r="AK183" s="282">
        <v>45468</v>
      </c>
      <c r="AL183" s="282">
        <v>45599</v>
      </c>
      <c r="AM183" s="282">
        <v>45469</v>
      </c>
    </row>
    <row r="184" spans="1:44" ht="22.8" x14ac:dyDescent="0.25">
      <c r="A184" s="28">
        <v>183</v>
      </c>
      <c r="B184" s="20">
        <v>30822</v>
      </c>
      <c r="C184" s="27" t="s">
        <v>64</v>
      </c>
      <c r="D184" s="20" t="s">
        <v>2284</v>
      </c>
      <c r="E184" s="20" t="s">
        <v>2498</v>
      </c>
      <c r="F184" s="29" t="s">
        <v>2241</v>
      </c>
      <c r="G184" s="29" t="s">
        <v>15</v>
      </c>
      <c r="H184" s="19">
        <v>44210</v>
      </c>
      <c r="I184" s="3">
        <v>964</v>
      </c>
      <c r="J184" s="3" t="s">
        <v>58</v>
      </c>
      <c r="K184" s="37" t="s">
        <v>59</v>
      </c>
      <c r="L184" s="16" t="s">
        <v>75</v>
      </c>
      <c r="M184" s="41" t="s">
        <v>60</v>
      </c>
      <c r="N184" s="40">
        <v>44221</v>
      </c>
      <c r="O184" s="282">
        <v>44729</v>
      </c>
      <c r="P184" s="282">
        <v>45581</v>
      </c>
      <c r="Q184" s="16" t="s">
        <v>75</v>
      </c>
      <c r="R184" s="16" t="s">
        <v>75</v>
      </c>
      <c r="S184" s="16" t="s">
        <v>68</v>
      </c>
      <c r="T184" s="16" t="s">
        <v>68</v>
      </c>
      <c r="U184" s="16" t="s">
        <v>68</v>
      </c>
      <c r="V184" s="282">
        <v>44729</v>
      </c>
      <c r="W184" s="282">
        <v>44729</v>
      </c>
      <c r="X184" s="16" t="s">
        <v>75</v>
      </c>
      <c r="Y184" s="16"/>
      <c r="Z184" s="432"/>
      <c r="AA184" s="432"/>
      <c r="AB184" s="24"/>
      <c r="AC184" s="24"/>
      <c r="AD184" s="282" t="s">
        <v>2285</v>
      </c>
      <c r="AE184" s="381">
        <v>44751</v>
      </c>
      <c r="AF184" s="514">
        <v>45233</v>
      </c>
      <c r="AG184" s="282">
        <v>45474</v>
      </c>
      <c r="AH184" s="282">
        <v>45474</v>
      </c>
      <c r="AI184" s="282">
        <v>45390</v>
      </c>
      <c r="AJ184" s="58" t="s">
        <v>63</v>
      </c>
      <c r="AK184" s="282">
        <v>45476</v>
      </c>
      <c r="AL184" s="282">
        <v>45584</v>
      </c>
      <c r="AM184" s="282">
        <v>45646</v>
      </c>
    </row>
    <row r="185" spans="1:44" ht="22.8" x14ac:dyDescent="0.25">
      <c r="A185" s="28">
        <v>184</v>
      </c>
      <c r="B185" s="20">
        <v>30822</v>
      </c>
      <c r="C185" s="27" t="s">
        <v>54</v>
      </c>
      <c r="D185" s="20" t="s">
        <v>2286</v>
      </c>
      <c r="E185" s="20" t="s">
        <v>2498</v>
      </c>
      <c r="F185" s="29" t="s">
        <v>2241</v>
      </c>
      <c r="G185" s="29" t="s">
        <v>15</v>
      </c>
      <c r="H185" s="19">
        <v>44210</v>
      </c>
      <c r="I185" s="3">
        <v>965</v>
      </c>
      <c r="J185" s="3" t="s">
        <v>58</v>
      </c>
      <c r="K185" s="37" t="s">
        <v>59</v>
      </c>
      <c r="L185" s="16" t="s">
        <v>75</v>
      </c>
      <c r="M185" s="41" t="s">
        <v>60</v>
      </c>
      <c r="N185" s="40">
        <v>44221</v>
      </c>
      <c r="O185" s="282">
        <v>44729</v>
      </c>
      <c r="P185" s="282">
        <v>45581</v>
      </c>
      <c r="Q185" s="16" t="s">
        <v>75</v>
      </c>
      <c r="R185" s="16" t="s">
        <v>75</v>
      </c>
      <c r="S185" s="16" t="s">
        <v>62</v>
      </c>
      <c r="T185" s="16" t="s">
        <v>62</v>
      </c>
      <c r="U185" s="16" t="s">
        <v>62</v>
      </c>
      <c r="V185" s="282">
        <v>44729</v>
      </c>
      <c r="W185" s="282">
        <v>44729</v>
      </c>
      <c r="X185" s="16" t="s">
        <v>75</v>
      </c>
      <c r="Y185" s="16"/>
      <c r="Z185" s="432"/>
      <c r="AA185" s="432"/>
      <c r="AB185" s="24"/>
      <c r="AC185" s="24"/>
      <c r="AD185" s="282" t="s">
        <v>2285</v>
      </c>
      <c r="AE185" s="381">
        <v>44751</v>
      </c>
      <c r="AF185" s="514">
        <v>45233</v>
      </c>
      <c r="AG185" s="282">
        <v>45474</v>
      </c>
      <c r="AH185" s="282">
        <v>45474</v>
      </c>
      <c r="AI185" s="282">
        <v>45390</v>
      </c>
      <c r="AJ185" s="58" t="s">
        <v>63</v>
      </c>
      <c r="AK185" s="282">
        <v>45476</v>
      </c>
      <c r="AL185" s="282">
        <v>45584</v>
      </c>
      <c r="AM185" s="282">
        <v>45646</v>
      </c>
    </row>
    <row r="186" spans="1:44" ht="22.8" x14ac:dyDescent="0.25">
      <c r="A186" s="28">
        <v>185</v>
      </c>
      <c r="B186" s="20">
        <v>30823</v>
      </c>
      <c r="C186" s="27" t="s">
        <v>64</v>
      </c>
      <c r="D186" s="20" t="s">
        <v>2287</v>
      </c>
      <c r="E186" s="20" t="s">
        <v>2250</v>
      </c>
      <c r="F186" s="29" t="s">
        <v>2241</v>
      </c>
      <c r="G186" s="29" t="s">
        <v>15</v>
      </c>
      <c r="H186" s="19">
        <v>44218</v>
      </c>
      <c r="I186" s="3">
        <v>1008</v>
      </c>
      <c r="J186" s="3" t="s">
        <v>58</v>
      </c>
      <c r="K186" s="37" t="s">
        <v>59</v>
      </c>
      <c r="L186" s="16" t="s">
        <v>75</v>
      </c>
      <c r="M186" s="41" t="s">
        <v>60</v>
      </c>
      <c r="N186" s="33" t="s">
        <v>63</v>
      </c>
      <c r="O186" s="33"/>
      <c r="P186" s="282">
        <v>44772</v>
      </c>
      <c r="Q186" s="16" t="s">
        <v>75</v>
      </c>
      <c r="R186" s="16" t="s">
        <v>75</v>
      </c>
      <c r="S186" s="16" t="s">
        <v>68</v>
      </c>
      <c r="T186" s="16" t="s">
        <v>68</v>
      </c>
      <c r="U186" s="16"/>
      <c r="V186" s="282">
        <v>44772</v>
      </c>
      <c r="W186" s="282">
        <v>44772</v>
      </c>
      <c r="X186" s="16" t="s">
        <v>75</v>
      </c>
      <c r="Y186" s="16"/>
      <c r="Z186" s="432"/>
      <c r="AA186" s="432"/>
      <c r="AB186" s="24"/>
      <c r="AC186" s="24"/>
      <c r="AD186" s="282">
        <v>44772</v>
      </c>
      <c r="AE186" s="282">
        <v>44961</v>
      </c>
      <c r="AF186" s="282">
        <v>45362</v>
      </c>
      <c r="AG186" s="282">
        <v>45474</v>
      </c>
      <c r="AH186" s="282">
        <v>45474</v>
      </c>
      <c r="AI186" s="952">
        <v>45269</v>
      </c>
      <c r="AJ186" s="282">
        <v>45652</v>
      </c>
      <c r="AK186" s="282">
        <v>45462</v>
      </c>
      <c r="AL186" s="282">
        <v>45652</v>
      </c>
      <c r="AM186" s="282">
        <v>45462</v>
      </c>
    </row>
    <row r="187" spans="1:44" ht="22.8" x14ac:dyDescent="0.25">
      <c r="A187" s="28">
        <v>186</v>
      </c>
      <c r="B187" s="20">
        <v>30823</v>
      </c>
      <c r="C187" s="27" t="s">
        <v>54</v>
      </c>
      <c r="D187" s="20" t="s">
        <v>2288</v>
      </c>
      <c r="E187" s="20" t="s">
        <v>2250</v>
      </c>
      <c r="F187" s="29" t="s">
        <v>2241</v>
      </c>
      <c r="G187" s="29" t="s">
        <v>15</v>
      </c>
      <c r="H187" s="19">
        <v>44218</v>
      </c>
      <c r="I187" s="3">
        <v>986</v>
      </c>
      <c r="J187" s="3" t="s">
        <v>58</v>
      </c>
      <c r="K187" s="37" t="s">
        <v>59</v>
      </c>
      <c r="L187" s="16" t="s">
        <v>75</v>
      </c>
      <c r="M187" s="41" t="s">
        <v>60</v>
      </c>
      <c r="N187" s="33" t="s">
        <v>63</v>
      </c>
      <c r="O187" s="33"/>
      <c r="P187" s="282">
        <v>44772</v>
      </c>
      <c r="Q187" s="16" t="s">
        <v>75</v>
      </c>
      <c r="R187" s="16" t="s">
        <v>75</v>
      </c>
      <c r="S187" s="16" t="s">
        <v>62</v>
      </c>
      <c r="T187" s="16" t="s">
        <v>62</v>
      </c>
      <c r="U187" s="16"/>
      <c r="V187" s="282">
        <v>44772</v>
      </c>
      <c r="W187" s="282">
        <v>44772</v>
      </c>
      <c r="X187" s="16" t="s">
        <v>75</v>
      </c>
      <c r="Y187" s="16"/>
      <c r="Z187" s="432"/>
      <c r="AA187" s="432"/>
      <c r="AB187" s="24"/>
      <c r="AC187" s="24"/>
      <c r="AD187" s="282">
        <v>44772</v>
      </c>
      <c r="AE187" s="282">
        <v>44961</v>
      </c>
      <c r="AF187" s="282">
        <v>45362</v>
      </c>
      <c r="AG187" s="282">
        <v>45474</v>
      </c>
      <c r="AH187" s="282">
        <v>45474</v>
      </c>
      <c r="AI187" s="952">
        <v>45269</v>
      </c>
      <c r="AJ187" s="282">
        <v>45652</v>
      </c>
      <c r="AK187" s="282">
        <v>45462</v>
      </c>
      <c r="AL187" s="282">
        <v>45652</v>
      </c>
      <c r="AM187" s="282">
        <v>45462</v>
      </c>
    </row>
    <row r="188" spans="1:44" ht="22.8" x14ac:dyDescent="0.25">
      <c r="A188" s="28">
        <v>187</v>
      </c>
      <c r="B188" s="20">
        <v>37086</v>
      </c>
      <c r="C188" s="27" t="s">
        <v>64</v>
      </c>
      <c r="D188" s="24" t="s">
        <v>2289</v>
      </c>
      <c r="E188" s="20" t="s">
        <v>2498</v>
      </c>
      <c r="F188" s="29" t="s">
        <v>2241</v>
      </c>
      <c r="G188" s="29" t="s">
        <v>15</v>
      </c>
      <c r="H188" s="19">
        <v>43510</v>
      </c>
      <c r="I188" s="3">
        <v>244</v>
      </c>
      <c r="J188" s="3" t="s">
        <v>58</v>
      </c>
      <c r="K188" s="37" t="s">
        <v>59</v>
      </c>
      <c r="L188" s="33">
        <v>43858</v>
      </c>
      <c r="M188" s="34" t="s">
        <v>60</v>
      </c>
      <c r="N188" s="35">
        <v>44187</v>
      </c>
      <c r="O188" s="282">
        <v>45644</v>
      </c>
      <c r="P188" s="282">
        <v>44782</v>
      </c>
      <c r="Q188" s="16" t="s">
        <v>68</v>
      </c>
      <c r="R188" s="16" t="s">
        <v>68</v>
      </c>
      <c r="S188" s="16" t="s">
        <v>68</v>
      </c>
      <c r="T188" s="16" t="s">
        <v>68</v>
      </c>
      <c r="U188" s="16" t="s">
        <v>68</v>
      </c>
      <c r="V188" s="282">
        <v>44782</v>
      </c>
      <c r="W188" s="282">
        <v>44782</v>
      </c>
      <c r="X188" s="16"/>
      <c r="Y188" s="16"/>
      <c r="Z188" s="432"/>
      <c r="AA188" s="442">
        <v>44494</v>
      </c>
      <c r="AB188" s="24" t="s">
        <v>2501</v>
      </c>
      <c r="AC188" s="24"/>
      <c r="AD188" s="282">
        <v>44599</v>
      </c>
      <c r="AE188" s="58" t="s">
        <v>2502</v>
      </c>
      <c r="AF188" s="514">
        <v>45149</v>
      </c>
      <c r="AG188" s="282">
        <v>45569</v>
      </c>
      <c r="AH188" s="282">
        <v>45512</v>
      </c>
      <c r="AI188" s="282">
        <v>45644</v>
      </c>
      <c r="AJ188" s="58" t="s">
        <v>63</v>
      </c>
      <c r="AM188" s="282">
        <v>45569</v>
      </c>
    </row>
    <row r="189" spans="1:44" ht="22.8" x14ac:dyDescent="0.25">
      <c r="A189" s="28">
        <v>188</v>
      </c>
      <c r="B189" s="20">
        <v>37086</v>
      </c>
      <c r="C189" s="27" t="s">
        <v>54</v>
      </c>
      <c r="D189" s="24" t="s">
        <v>2290</v>
      </c>
      <c r="E189" s="20" t="s">
        <v>2498</v>
      </c>
      <c r="F189" s="29" t="s">
        <v>2241</v>
      </c>
      <c r="G189" s="29" t="s">
        <v>15</v>
      </c>
      <c r="H189" s="19">
        <v>43510</v>
      </c>
      <c r="I189" s="3">
        <v>245</v>
      </c>
      <c r="J189" s="3" t="s">
        <v>58</v>
      </c>
      <c r="K189" s="37" t="s">
        <v>59</v>
      </c>
      <c r="L189" s="33">
        <v>43858</v>
      </c>
      <c r="M189" s="34" t="s">
        <v>60</v>
      </c>
      <c r="N189" s="35">
        <v>44187</v>
      </c>
      <c r="O189" s="282">
        <v>45644</v>
      </c>
      <c r="P189" s="282">
        <v>44782</v>
      </c>
      <c r="Q189" s="16" t="s">
        <v>62</v>
      </c>
      <c r="R189" s="16"/>
      <c r="S189" s="16" t="s">
        <v>62</v>
      </c>
      <c r="T189" s="16" t="s">
        <v>62</v>
      </c>
      <c r="U189" s="16" t="s">
        <v>62</v>
      </c>
      <c r="V189" s="282">
        <v>44782</v>
      </c>
      <c r="W189" s="282">
        <v>44782</v>
      </c>
      <c r="X189" s="16"/>
      <c r="Y189" s="16"/>
      <c r="Z189" s="432"/>
      <c r="AA189" s="442">
        <v>44494</v>
      </c>
      <c r="AB189" s="24" t="s">
        <v>2503</v>
      </c>
      <c r="AC189" s="24"/>
      <c r="AD189" s="282">
        <v>44599</v>
      </c>
      <c r="AE189" s="58" t="s">
        <v>2502</v>
      </c>
      <c r="AF189" s="514">
        <v>45149</v>
      </c>
      <c r="AG189" s="282">
        <v>45569</v>
      </c>
      <c r="AH189" s="282">
        <v>45512</v>
      </c>
      <c r="AI189" s="282">
        <v>45365</v>
      </c>
      <c r="AJ189" s="381" t="s">
        <v>63</v>
      </c>
      <c r="AK189" s="381"/>
      <c r="AM189" s="282">
        <v>45569</v>
      </c>
    </row>
    <row r="190" spans="1:44" ht="22.8" x14ac:dyDescent="0.25">
      <c r="A190" s="28">
        <v>189</v>
      </c>
      <c r="B190" s="20">
        <v>37088</v>
      </c>
      <c r="C190" s="27" t="s">
        <v>64</v>
      </c>
      <c r="D190" s="24" t="s">
        <v>2291</v>
      </c>
      <c r="E190" s="20" t="s">
        <v>2498</v>
      </c>
      <c r="F190" s="29" t="s">
        <v>2241</v>
      </c>
      <c r="G190" s="29" t="s">
        <v>15</v>
      </c>
      <c r="H190" s="19">
        <v>43514</v>
      </c>
      <c r="I190" s="3">
        <v>256</v>
      </c>
      <c r="J190" s="3" t="s">
        <v>58</v>
      </c>
      <c r="K190" s="37" t="s">
        <v>59</v>
      </c>
      <c r="L190" s="33">
        <v>44218</v>
      </c>
      <c r="M190" s="34" t="s">
        <v>60</v>
      </c>
      <c r="N190" s="40">
        <v>44161</v>
      </c>
      <c r="O190" s="282">
        <v>45433</v>
      </c>
      <c r="P190" s="35">
        <v>44902</v>
      </c>
      <c r="Q190" s="16" t="s">
        <v>68</v>
      </c>
      <c r="R190" s="16" t="s">
        <v>68</v>
      </c>
      <c r="S190" s="16"/>
      <c r="T190" s="16" t="s">
        <v>68</v>
      </c>
      <c r="U190" s="16" t="s">
        <v>68</v>
      </c>
      <c r="V190" s="35">
        <v>44902</v>
      </c>
      <c r="W190" s="35">
        <v>44902</v>
      </c>
      <c r="X190" s="16"/>
      <c r="Y190" s="16"/>
      <c r="Z190" s="432"/>
      <c r="AA190" s="442">
        <v>44518</v>
      </c>
      <c r="AB190" s="24" t="s">
        <v>2504</v>
      </c>
      <c r="AC190" s="24"/>
      <c r="AD190" s="282">
        <v>44690</v>
      </c>
      <c r="AE190" s="58"/>
      <c r="AF190" s="282">
        <v>45322</v>
      </c>
      <c r="AG190" s="282">
        <v>45467</v>
      </c>
      <c r="AH190" s="282">
        <v>45471</v>
      </c>
      <c r="AI190" s="282">
        <v>45433</v>
      </c>
      <c r="AJ190" s="381" t="s">
        <v>63</v>
      </c>
      <c r="AK190" s="282">
        <v>45461</v>
      </c>
      <c r="AL190" s="282">
        <v>45605</v>
      </c>
      <c r="AM190" s="282">
        <v>45461</v>
      </c>
    </row>
    <row r="191" spans="1:44" ht="22.8" x14ac:dyDescent="0.25">
      <c r="A191" s="28">
        <v>190</v>
      </c>
      <c r="B191" s="20">
        <v>37088</v>
      </c>
      <c r="C191" s="27" t="s">
        <v>54</v>
      </c>
      <c r="D191" s="24" t="s">
        <v>2292</v>
      </c>
      <c r="E191" s="20" t="s">
        <v>2498</v>
      </c>
      <c r="F191" s="29" t="s">
        <v>2241</v>
      </c>
      <c r="G191" s="29" t="s">
        <v>15</v>
      </c>
      <c r="H191" s="19">
        <v>43514</v>
      </c>
      <c r="I191" s="3">
        <v>257</v>
      </c>
      <c r="J191" s="3" t="s">
        <v>58</v>
      </c>
      <c r="K191" s="37" t="s">
        <v>59</v>
      </c>
      <c r="L191" s="33">
        <v>44218</v>
      </c>
      <c r="M191" s="34" t="s">
        <v>60</v>
      </c>
      <c r="N191" s="40">
        <v>44161</v>
      </c>
      <c r="O191" s="282">
        <v>45433</v>
      </c>
      <c r="P191" s="35">
        <v>44902</v>
      </c>
      <c r="Q191" s="16" t="s">
        <v>62</v>
      </c>
      <c r="R191" s="16" t="s">
        <v>62</v>
      </c>
      <c r="S191" s="16"/>
      <c r="T191" s="16" t="s">
        <v>62</v>
      </c>
      <c r="U191" s="16" t="s">
        <v>62</v>
      </c>
      <c r="V191" s="35">
        <v>44902</v>
      </c>
      <c r="W191" s="35">
        <v>44902</v>
      </c>
      <c r="X191" s="16"/>
      <c r="Y191" s="16"/>
      <c r="Z191" s="432"/>
      <c r="AA191" s="442"/>
      <c r="AB191" s="24" t="s">
        <v>2504</v>
      </c>
      <c r="AC191" s="24"/>
      <c r="AD191" s="282">
        <v>44690</v>
      </c>
      <c r="AE191" s="58"/>
      <c r="AF191" s="282">
        <v>45322</v>
      </c>
      <c r="AG191" s="282">
        <v>45467</v>
      </c>
      <c r="AH191" s="282">
        <v>45471</v>
      </c>
      <c r="AI191" s="282">
        <v>45433</v>
      </c>
      <c r="AJ191" s="381" t="s">
        <v>63</v>
      </c>
      <c r="AK191" s="282">
        <v>45461</v>
      </c>
      <c r="AL191" s="282">
        <v>45605</v>
      </c>
      <c r="AM191" s="282">
        <v>45461</v>
      </c>
    </row>
    <row r="192" spans="1:44" ht="22.8" x14ac:dyDescent="0.25">
      <c r="A192" s="28">
        <v>191</v>
      </c>
      <c r="B192" s="20">
        <v>37112</v>
      </c>
      <c r="C192" s="27" t="s">
        <v>64</v>
      </c>
      <c r="D192" s="24" t="s">
        <v>2293</v>
      </c>
      <c r="E192" s="20" t="s">
        <v>2250</v>
      </c>
      <c r="F192" s="29" t="s">
        <v>2241</v>
      </c>
      <c r="G192" s="29" t="s">
        <v>15</v>
      </c>
      <c r="H192" s="19">
        <v>43538</v>
      </c>
      <c r="I192" s="3">
        <v>318</v>
      </c>
      <c r="J192" s="3" t="s">
        <v>58</v>
      </c>
      <c r="K192" s="37" t="s">
        <v>59</v>
      </c>
      <c r="L192" s="33"/>
      <c r="M192" s="41" t="s">
        <v>60</v>
      </c>
      <c r="N192" s="35">
        <v>44545</v>
      </c>
      <c r="O192" s="33"/>
      <c r="P192" s="35">
        <v>44806</v>
      </c>
      <c r="Q192" s="16" t="s">
        <v>68</v>
      </c>
      <c r="R192" s="16" t="s">
        <v>68</v>
      </c>
      <c r="S192" s="16"/>
      <c r="T192" s="16"/>
      <c r="U192" s="16"/>
      <c r="V192" s="35">
        <v>44806</v>
      </c>
      <c r="W192" s="35">
        <v>44806</v>
      </c>
      <c r="X192" s="16"/>
      <c r="Y192" s="16"/>
      <c r="Z192" s="432"/>
      <c r="AA192" s="442">
        <v>44529</v>
      </c>
      <c r="AB192" s="24"/>
      <c r="AC192" s="24"/>
      <c r="AD192" s="35">
        <v>44806</v>
      </c>
      <c r="AE192" s="381">
        <v>44816</v>
      </c>
      <c r="AF192" s="282">
        <v>45314</v>
      </c>
      <c r="AG192" s="282">
        <v>45512</v>
      </c>
      <c r="AH192" s="282">
        <v>45611</v>
      </c>
      <c r="AI192" s="952">
        <v>45097</v>
      </c>
      <c r="AJ192" s="282">
        <v>45436</v>
      </c>
      <c r="AK192" s="282">
        <v>45436</v>
      </c>
      <c r="AL192" s="282">
        <v>45746</v>
      </c>
      <c r="AM192" s="282">
        <v>45436</v>
      </c>
    </row>
    <row r="193" spans="1:40" ht="39.6" x14ac:dyDescent="0.25">
      <c r="A193" s="28">
        <v>192</v>
      </c>
      <c r="B193" s="20">
        <v>37112</v>
      </c>
      <c r="C193" s="27" t="s">
        <v>54</v>
      </c>
      <c r="D193" s="24" t="s">
        <v>2294</v>
      </c>
      <c r="E193" s="20" t="s">
        <v>2250</v>
      </c>
      <c r="F193" s="29" t="s">
        <v>2241</v>
      </c>
      <c r="G193" s="29" t="s">
        <v>15</v>
      </c>
      <c r="H193" s="19">
        <v>43538</v>
      </c>
      <c r="I193" s="3">
        <v>319</v>
      </c>
      <c r="J193" s="3" t="s">
        <v>58</v>
      </c>
      <c r="K193" s="37" t="s">
        <v>59</v>
      </c>
      <c r="L193" s="33"/>
      <c r="M193" s="41" t="s">
        <v>60</v>
      </c>
      <c r="N193" s="35">
        <v>44545</v>
      </c>
      <c r="O193" s="33"/>
      <c r="P193" s="35">
        <v>44806</v>
      </c>
      <c r="Q193" s="16" t="s">
        <v>62</v>
      </c>
      <c r="R193" s="16"/>
      <c r="S193" s="16"/>
      <c r="T193" s="16"/>
      <c r="U193" s="16"/>
      <c r="V193" s="35">
        <v>44806</v>
      </c>
      <c r="W193" s="35">
        <v>44806</v>
      </c>
      <c r="X193" s="16"/>
      <c r="Y193" s="16"/>
      <c r="Z193" s="432"/>
      <c r="AA193" s="442">
        <v>44529</v>
      </c>
      <c r="AB193" s="24"/>
      <c r="AC193" s="902" t="s">
        <v>2505</v>
      </c>
      <c r="AD193" s="35">
        <v>44806</v>
      </c>
      <c r="AE193" s="381">
        <v>44816</v>
      </c>
      <c r="AF193" s="282">
        <v>45314</v>
      </c>
      <c r="AG193" s="282">
        <v>45512</v>
      </c>
      <c r="AH193" s="282">
        <v>45611</v>
      </c>
      <c r="AI193" s="952">
        <v>45097</v>
      </c>
      <c r="AJ193" s="282">
        <v>45436</v>
      </c>
      <c r="AK193" s="282">
        <v>45436</v>
      </c>
      <c r="AL193" s="282">
        <v>45746</v>
      </c>
      <c r="AM193" s="282">
        <v>45436</v>
      </c>
    </row>
    <row r="194" spans="1:40" ht="22.8" x14ac:dyDescent="0.3">
      <c r="A194" s="28">
        <v>193</v>
      </c>
      <c r="B194" s="20">
        <v>37113</v>
      </c>
      <c r="C194" s="27" t="s">
        <v>64</v>
      </c>
      <c r="D194" s="24" t="s">
        <v>2295</v>
      </c>
      <c r="E194" s="20" t="s">
        <v>2250</v>
      </c>
      <c r="F194" s="29" t="s">
        <v>2241</v>
      </c>
      <c r="G194" s="29" t="s">
        <v>15</v>
      </c>
      <c r="H194" s="19">
        <v>43540</v>
      </c>
      <c r="I194" s="3">
        <v>355</v>
      </c>
      <c r="J194" s="3" t="s">
        <v>58</v>
      </c>
      <c r="K194" s="37" t="s">
        <v>59</v>
      </c>
      <c r="L194" s="33">
        <v>43892</v>
      </c>
      <c r="M194" s="34" t="s">
        <v>60</v>
      </c>
      <c r="N194" s="35">
        <v>44232</v>
      </c>
      <c r="O194" s="33"/>
      <c r="P194" s="35">
        <v>44824</v>
      </c>
      <c r="Q194" s="16" t="s">
        <v>68</v>
      </c>
      <c r="R194" s="16"/>
      <c r="S194" s="16"/>
      <c r="T194" s="16"/>
      <c r="U194" s="16"/>
      <c r="V194" s="35">
        <v>44824</v>
      </c>
      <c r="W194" s="35">
        <v>44824</v>
      </c>
      <c r="X194" s="16"/>
      <c r="Y194" s="16"/>
      <c r="Z194" s="432"/>
      <c r="AA194" s="442">
        <v>44497</v>
      </c>
      <c r="AB194" s="378" t="s">
        <v>2506</v>
      </c>
      <c r="AC194" s="24"/>
      <c r="AD194" s="282">
        <v>44692</v>
      </c>
      <c r="AE194" s="58"/>
      <c r="AF194" s="282">
        <v>45801</v>
      </c>
      <c r="AG194" s="282">
        <v>45471</v>
      </c>
      <c r="AH194" s="282">
        <v>45527</v>
      </c>
      <c r="AI194" s="952">
        <v>45105</v>
      </c>
      <c r="AJ194" s="282">
        <v>45600</v>
      </c>
      <c r="AK194" s="282">
        <v>45308</v>
      </c>
      <c r="AL194" s="282">
        <v>45703</v>
      </c>
      <c r="AM194" s="282">
        <v>45600</v>
      </c>
    </row>
    <row r="195" spans="1:40" ht="22.8" x14ac:dyDescent="0.3">
      <c r="A195" s="28">
        <v>194</v>
      </c>
      <c r="B195" s="20">
        <v>37113</v>
      </c>
      <c r="C195" s="27" t="s">
        <v>54</v>
      </c>
      <c r="D195" s="24" t="s">
        <v>2296</v>
      </c>
      <c r="E195" s="20" t="s">
        <v>2250</v>
      </c>
      <c r="F195" s="29" t="s">
        <v>2241</v>
      </c>
      <c r="G195" s="29" t="s">
        <v>15</v>
      </c>
      <c r="H195" s="19">
        <v>43540</v>
      </c>
      <c r="I195" s="3">
        <v>336</v>
      </c>
      <c r="J195" s="3" t="s">
        <v>58</v>
      </c>
      <c r="K195" s="37" t="s">
        <v>59</v>
      </c>
      <c r="L195" s="33">
        <v>43892</v>
      </c>
      <c r="M195" s="34" t="s">
        <v>60</v>
      </c>
      <c r="N195" s="40">
        <v>44232</v>
      </c>
      <c r="O195" s="33"/>
      <c r="P195" s="35">
        <v>44824</v>
      </c>
      <c r="Q195" s="16" t="s">
        <v>62</v>
      </c>
      <c r="R195" s="16" t="s">
        <v>62</v>
      </c>
      <c r="S195" s="16"/>
      <c r="T195" s="16"/>
      <c r="U195" s="16"/>
      <c r="V195" s="35">
        <v>44824</v>
      </c>
      <c r="W195" s="35">
        <v>44824</v>
      </c>
      <c r="X195" s="16"/>
      <c r="Y195" s="16"/>
      <c r="Z195" s="432"/>
      <c r="AA195" s="442">
        <v>44497</v>
      </c>
      <c r="AB195" s="378" t="s">
        <v>2507</v>
      </c>
      <c r="AC195" s="24"/>
      <c r="AD195" s="282">
        <v>44692</v>
      </c>
      <c r="AE195" s="282">
        <v>45119</v>
      </c>
      <c r="AF195" s="282">
        <v>45801</v>
      </c>
      <c r="AG195" s="282">
        <v>45471</v>
      </c>
      <c r="AH195" s="282">
        <v>45527</v>
      </c>
      <c r="AI195" s="952">
        <v>45105</v>
      </c>
      <c r="AJ195" s="282">
        <v>45600</v>
      </c>
      <c r="AK195" s="282">
        <v>45308</v>
      </c>
      <c r="AL195" s="282">
        <v>45703</v>
      </c>
      <c r="AM195" s="282">
        <v>45600</v>
      </c>
    </row>
    <row r="196" spans="1:40" ht="22.8" x14ac:dyDescent="0.25">
      <c r="A196" s="28">
        <v>195</v>
      </c>
      <c r="B196" s="20">
        <v>37131</v>
      </c>
      <c r="C196" s="27" t="s">
        <v>64</v>
      </c>
      <c r="D196" s="24" t="s">
        <v>2297</v>
      </c>
      <c r="E196" s="20" t="s">
        <v>2250</v>
      </c>
      <c r="F196" s="29" t="s">
        <v>2241</v>
      </c>
      <c r="G196" s="29" t="s">
        <v>15</v>
      </c>
      <c r="H196" s="49">
        <v>43552</v>
      </c>
      <c r="I196" s="3">
        <v>400</v>
      </c>
      <c r="J196" s="3" t="s">
        <v>58</v>
      </c>
      <c r="K196" s="37" t="s">
        <v>59</v>
      </c>
      <c r="L196" s="33">
        <v>44079</v>
      </c>
      <c r="M196" s="34" t="s">
        <v>60</v>
      </c>
      <c r="N196" s="35">
        <v>44193</v>
      </c>
      <c r="O196" s="33"/>
      <c r="P196" s="35">
        <v>44799</v>
      </c>
      <c r="Q196" s="16" t="s">
        <v>68</v>
      </c>
      <c r="R196" s="16" t="s">
        <v>68</v>
      </c>
      <c r="S196" s="16"/>
      <c r="T196" s="16"/>
      <c r="U196" s="16"/>
      <c r="V196" s="35">
        <v>44799</v>
      </c>
      <c r="W196" s="35">
        <v>44799</v>
      </c>
      <c r="X196" s="16"/>
      <c r="Y196" s="16"/>
      <c r="Z196" s="432"/>
      <c r="AA196" s="442">
        <v>44509</v>
      </c>
      <c r="AB196" s="24" t="s">
        <v>2508</v>
      </c>
      <c r="AC196" s="24"/>
      <c r="AD196" s="282">
        <v>44685</v>
      </c>
      <c r="AE196" s="282">
        <v>44982</v>
      </c>
      <c r="AF196" s="282">
        <v>45311</v>
      </c>
      <c r="AG196" s="282">
        <v>45611</v>
      </c>
      <c r="AH196" s="282">
        <v>45465</v>
      </c>
      <c r="AI196" s="952">
        <v>45310</v>
      </c>
      <c r="AJ196" s="282">
        <v>45611</v>
      </c>
      <c r="AK196" s="282">
        <v>45315</v>
      </c>
      <c r="AL196" s="282">
        <v>45707</v>
      </c>
      <c r="AM196" s="282">
        <v>45611</v>
      </c>
      <c r="AN196" s="381"/>
    </row>
    <row r="197" spans="1:40" ht="22.8" x14ac:dyDescent="0.25">
      <c r="A197" s="28">
        <v>196</v>
      </c>
      <c r="B197" s="20">
        <v>37131</v>
      </c>
      <c r="C197" s="27" t="s">
        <v>54</v>
      </c>
      <c r="D197" s="24" t="s">
        <v>2298</v>
      </c>
      <c r="E197" s="20" t="s">
        <v>2250</v>
      </c>
      <c r="F197" s="29" t="s">
        <v>2241</v>
      </c>
      <c r="G197" s="29" t="s">
        <v>15</v>
      </c>
      <c r="H197" s="49">
        <v>43552</v>
      </c>
      <c r="I197" s="3">
        <v>323</v>
      </c>
      <c r="J197" s="3" t="s">
        <v>58</v>
      </c>
      <c r="K197" s="37" t="s">
        <v>59</v>
      </c>
      <c r="L197" s="33">
        <v>44079</v>
      </c>
      <c r="M197" s="34" t="s">
        <v>60</v>
      </c>
      <c r="N197" s="35">
        <v>44193</v>
      </c>
      <c r="O197" s="33"/>
      <c r="P197" s="35">
        <v>44799</v>
      </c>
      <c r="Q197" s="16" t="s">
        <v>62</v>
      </c>
      <c r="R197" s="16" t="s">
        <v>62</v>
      </c>
      <c r="S197" s="16"/>
      <c r="T197" s="16"/>
      <c r="U197" s="16"/>
      <c r="V197" s="35">
        <v>44799</v>
      </c>
      <c r="W197" s="35">
        <v>44799</v>
      </c>
      <c r="X197" s="16"/>
      <c r="Y197" s="16"/>
      <c r="Z197" s="432"/>
      <c r="AA197" s="432"/>
      <c r="AB197" s="24"/>
      <c r="AC197" s="24"/>
      <c r="AD197" s="282">
        <v>44685</v>
      </c>
      <c r="AE197" s="282">
        <v>44982</v>
      </c>
      <c r="AF197" s="282">
        <v>45311</v>
      </c>
      <c r="AG197" s="282">
        <v>45611</v>
      </c>
      <c r="AH197" s="282">
        <v>45465</v>
      </c>
      <c r="AI197" s="952">
        <v>45310</v>
      </c>
      <c r="AJ197" s="282">
        <v>45611</v>
      </c>
      <c r="AK197" s="282">
        <v>45315</v>
      </c>
      <c r="AL197" s="282">
        <v>45707</v>
      </c>
      <c r="AM197" s="282">
        <v>45611</v>
      </c>
      <c r="AN197" s="381"/>
    </row>
    <row r="198" spans="1:40" ht="22.8" x14ac:dyDescent="0.25">
      <c r="A198" s="28">
        <v>197</v>
      </c>
      <c r="B198" s="20">
        <v>37286</v>
      </c>
      <c r="C198" s="27" t="s">
        <v>64</v>
      </c>
      <c r="D198" s="24" t="s">
        <v>2299</v>
      </c>
      <c r="E198" s="20" t="s">
        <v>2250</v>
      </c>
      <c r="F198" s="29" t="s">
        <v>2241</v>
      </c>
      <c r="G198" s="29" t="s">
        <v>15</v>
      </c>
      <c r="H198" s="19">
        <v>43799</v>
      </c>
      <c r="I198" s="3">
        <v>554</v>
      </c>
      <c r="J198" s="3" t="s">
        <v>58</v>
      </c>
      <c r="K198" s="37" t="s">
        <v>59</v>
      </c>
      <c r="L198" s="33">
        <v>43902</v>
      </c>
      <c r="M198" s="34" t="s">
        <v>60</v>
      </c>
      <c r="N198" s="35">
        <v>44185</v>
      </c>
      <c r="O198" s="282">
        <v>44720</v>
      </c>
      <c r="P198" s="35">
        <v>44806</v>
      </c>
      <c r="Q198" s="16" t="s">
        <v>75</v>
      </c>
      <c r="R198" s="16" t="s">
        <v>75</v>
      </c>
      <c r="S198" s="16"/>
      <c r="T198" s="16"/>
      <c r="U198" s="16"/>
      <c r="V198" s="35">
        <v>44806</v>
      </c>
      <c r="W198" s="35">
        <v>44806</v>
      </c>
      <c r="X198" s="16"/>
      <c r="Y198" s="16"/>
      <c r="Z198" s="432"/>
      <c r="AA198" s="442">
        <v>44524</v>
      </c>
      <c r="AB198" s="24"/>
      <c r="AC198" s="24"/>
      <c r="AD198" s="282">
        <v>44714</v>
      </c>
      <c r="AE198" s="282">
        <v>44995</v>
      </c>
      <c r="AF198" s="282">
        <v>45327</v>
      </c>
      <c r="AG198" s="282">
        <v>45527</v>
      </c>
      <c r="AH198" s="282">
        <v>45482</v>
      </c>
      <c r="AI198" s="952">
        <v>45527</v>
      </c>
      <c r="AJ198" s="282">
        <v>45628</v>
      </c>
      <c r="AK198" s="282">
        <v>45423</v>
      </c>
      <c r="AL198" s="282">
        <v>45628</v>
      </c>
      <c r="AM198" s="282">
        <v>45525</v>
      </c>
    </row>
    <row r="199" spans="1:40" ht="22.8" x14ac:dyDescent="0.25">
      <c r="A199" s="28">
        <v>198</v>
      </c>
      <c r="B199" s="20">
        <v>37286</v>
      </c>
      <c r="C199" s="27" t="s">
        <v>54</v>
      </c>
      <c r="D199" s="24" t="s">
        <v>2300</v>
      </c>
      <c r="E199" s="20" t="s">
        <v>2250</v>
      </c>
      <c r="F199" s="29" t="s">
        <v>2241</v>
      </c>
      <c r="G199" s="29" t="s">
        <v>15</v>
      </c>
      <c r="H199" s="19">
        <v>43799</v>
      </c>
      <c r="I199" s="3">
        <v>569</v>
      </c>
      <c r="J199" s="3" t="s">
        <v>58</v>
      </c>
      <c r="K199" s="37" t="s">
        <v>59</v>
      </c>
      <c r="L199" s="33">
        <v>43902</v>
      </c>
      <c r="M199" s="34" t="s">
        <v>60</v>
      </c>
      <c r="N199" s="35">
        <v>44185</v>
      </c>
      <c r="O199" s="282">
        <v>44720</v>
      </c>
      <c r="P199" s="35">
        <v>44806</v>
      </c>
      <c r="Q199" s="16" t="s">
        <v>75</v>
      </c>
      <c r="R199" s="16" t="s">
        <v>75</v>
      </c>
      <c r="S199" s="16"/>
      <c r="T199" s="16"/>
      <c r="U199" s="16"/>
      <c r="V199" s="35">
        <v>44806</v>
      </c>
      <c r="W199" s="35">
        <v>44806</v>
      </c>
      <c r="X199" s="16"/>
      <c r="Y199" s="16"/>
      <c r="Z199" s="432"/>
      <c r="AA199" s="442">
        <v>44524</v>
      </c>
      <c r="AB199" s="24"/>
      <c r="AC199" s="24"/>
      <c r="AD199" s="282">
        <v>44714</v>
      </c>
      <c r="AE199" s="282">
        <v>44995</v>
      </c>
      <c r="AF199" s="282">
        <v>45327</v>
      </c>
      <c r="AG199" s="282">
        <v>45527</v>
      </c>
      <c r="AH199" s="282">
        <v>45482</v>
      </c>
      <c r="AI199" s="952">
        <v>45527</v>
      </c>
      <c r="AJ199" s="282">
        <v>45628</v>
      </c>
      <c r="AK199" s="282">
        <v>45423</v>
      </c>
      <c r="AL199" s="282">
        <v>45628</v>
      </c>
      <c r="AM199" s="282">
        <v>45525</v>
      </c>
    </row>
    <row r="200" spans="1:40" x14ac:dyDescent="0.25">
      <c r="A200" s="28">
        <v>199</v>
      </c>
      <c r="B200" s="20">
        <v>37287</v>
      </c>
      <c r="C200" s="27" t="s">
        <v>64</v>
      </c>
      <c r="D200" s="24" t="s">
        <v>2301</v>
      </c>
      <c r="E200" s="20" t="s">
        <v>2250</v>
      </c>
      <c r="F200" s="29" t="s">
        <v>2241</v>
      </c>
      <c r="G200" s="29" t="s">
        <v>15</v>
      </c>
      <c r="H200" s="19">
        <v>43796</v>
      </c>
      <c r="I200" s="3">
        <v>568</v>
      </c>
      <c r="J200" s="3" t="s">
        <v>58</v>
      </c>
      <c r="K200" s="16"/>
      <c r="L200" s="33"/>
      <c r="M200" s="16" t="s">
        <v>60</v>
      </c>
      <c r="N200" s="33">
        <v>44231</v>
      </c>
      <c r="O200" s="33"/>
      <c r="P200" s="35">
        <v>44837</v>
      </c>
      <c r="Q200" s="16" t="s">
        <v>75</v>
      </c>
      <c r="R200" s="16" t="s">
        <v>75</v>
      </c>
      <c r="S200" s="16"/>
      <c r="T200" s="16"/>
      <c r="U200" s="16"/>
      <c r="V200" s="35">
        <v>44837</v>
      </c>
      <c r="W200" s="35">
        <v>44837</v>
      </c>
      <c r="X200" s="16"/>
      <c r="Y200" s="16"/>
      <c r="Z200" s="432"/>
      <c r="AA200" s="442">
        <v>44510</v>
      </c>
      <c r="AB200" s="24"/>
      <c r="AC200" s="24"/>
      <c r="AD200" s="282">
        <v>44617</v>
      </c>
      <c r="AE200" s="282">
        <v>45022</v>
      </c>
      <c r="AF200" s="282">
        <v>45563</v>
      </c>
      <c r="AG200" s="282">
        <v>45465</v>
      </c>
      <c r="AH200" s="282">
        <v>45485</v>
      </c>
      <c r="AI200" s="952">
        <v>45163</v>
      </c>
      <c r="AJ200" s="282">
        <v>45660</v>
      </c>
      <c r="AK200" s="282">
        <v>45411</v>
      </c>
      <c r="AL200" s="282">
        <v>45563</v>
      </c>
      <c r="AM200" s="282">
        <v>45411</v>
      </c>
      <c r="AN200" s="381"/>
    </row>
    <row r="201" spans="1:40" x14ac:dyDescent="0.25">
      <c r="A201" s="28">
        <v>200</v>
      </c>
      <c r="B201" s="20">
        <v>37287</v>
      </c>
      <c r="C201" s="27" t="s">
        <v>54</v>
      </c>
      <c r="D201" s="24" t="s">
        <v>2302</v>
      </c>
      <c r="E201" s="20" t="s">
        <v>2250</v>
      </c>
      <c r="F201" s="29" t="s">
        <v>2241</v>
      </c>
      <c r="G201" s="29" t="s">
        <v>15</v>
      </c>
      <c r="H201" s="19">
        <v>43796</v>
      </c>
      <c r="I201" s="3">
        <v>555</v>
      </c>
      <c r="J201" s="3" t="s">
        <v>58</v>
      </c>
      <c r="K201" s="16"/>
      <c r="L201" s="33"/>
      <c r="M201" s="16" t="s">
        <v>60</v>
      </c>
      <c r="N201" s="33">
        <v>44231</v>
      </c>
      <c r="O201" s="33"/>
      <c r="P201" s="35">
        <v>44837</v>
      </c>
      <c r="Q201" s="16" t="s">
        <v>75</v>
      </c>
      <c r="R201" s="16" t="s">
        <v>75</v>
      </c>
      <c r="S201" s="16"/>
      <c r="T201" s="16"/>
      <c r="U201" s="16"/>
      <c r="V201" s="35">
        <v>44837</v>
      </c>
      <c r="W201" s="35">
        <v>44837</v>
      </c>
      <c r="X201" s="16"/>
      <c r="Y201" s="16"/>
      <c r="Z201" s="432"/>
      <c r="AA201" s="442">
        <v>44510</v>
      </c>
      <c r="AB201" s="24" t="s">
        <v>2509</v>
      </c>
      <c r="AC201" s="24"/>
      <c r="AD201" s="282">
        <v>44617</v>
      </c>
      <c r="AE201" s="282">
        <v>45022</v>
      </c>
      <c r="AF201" s="282">
        <v>45563</v>
      </c>
      <c r="AG201" s="282">
        <v>45465</v>
      </c>
      <c r="AH201" s="282">
        <v>45485</v>
      </c>
      <c r="AI201" s="952">
        <v>45163</v>
      </c>
      <c r="AJ201" s="282">
        <v>45660</v>
      </c>
      <c r="AK201" s="282">
        <v>45411</v>
      </c>
      <c r="AL201" s="282">
        <v>45563</v>
      </c>
      <c r="AM201" s="282">
        <v>45411</v>
      </c>
      <c r="AN201" s="381"/>
    </row>
    <row r="202" spans="1:40" ht="22.8" x14ac:dyDescent="0.25">
      <c r="A202" s="28">
        <v>201</v>
      </c>
      <c r="B202" s="20">
        <v>37321</v>
      </c>
      <c r="C202" s="27" t="s">
        <v>64</v>
      </c>
      <c r="D202" s="24" t="s">
        <v>2303</v>
      </c>
      <c r="E202" s="20" t="s">
        <v>2250</v>
      </c>
      <c r="F202" s="29" t="s">
        <v>2241</v>
      </c>
      <c r="G202" s="29" t="s">
        <v>15</v>
      </c>
      <c r="H202" s="19">
        <v>43858</v>
      </c>
      <c r="I202" s="3">
        <v>722</v>
      </c>
      <c r="J202" s="3" t="s">
        <v>58</v>
      </c>
      <c r="K202" s="37" t="s">
        <v>59</v>
      </c>
      <c r="L202" s="33">
        <v>44057</v>
      </c>
      <c r="M202" s="34" t="s">
        <v>60</v>
      </c>
      <c r="N202" s="35">
        <v>44187</v>
      </c>
      <c r="O202" s="38">
        <v>44057</v>
      </c>
      <c r="P202" s="35">
        <v>44832</v>
      </c>
      <c r="Q202" s="16" t="s">
        <v>75</v>
      </c>
      <c r="R202" s="16" t="s">
        <v>75</v>
      </c>
      <c r="S202" s="16"/>
      <c r="T202" s="16"/>
      <c r="U202" s="16"/>
      <c r="V202" s="35">
        <v>44832</v>
      </c>
      <c r="W202" s="35">
        <v>44832</v>
      </c>
      <c r="X202" s="16"/>
      <c r="Y202" s="16"/>
      <c r="Z202" s="432"/>
      <c r="AA202" s="442">
        <v>44520</v>
      </c>
      <c r="AB202" s="24"/>
      <c r="AC202" s="24"/>
      <c r="AD202" s="282">
        <v>44692</v>
      </c>
      <c r="AE202" s="282">
        <v>45113</v>
      </c>
      <c r="AF202" s="282">
        <v>45356</v>
      </c>
      <c r="AG202" s="282">
        <v>45482</v>
      </c>
      <c r="AH202" s="282">
        <v>45601</v>
      </c>
      <c r="AI202" s="952">
        <v>45356</v>
      </c>
      <c r="AJ202" s="282">
        <v>45589</v>
      </c>
      <c r="AK202" s="282">
        <v>45482</v>
      </c>
      <c r="AL202" s="282">
        <v>45698</v>
      </c>
      <c r="AM202" s="282">
        <v>45482</v>
      </c>
    </row>
    <row r="203" spans="1:40" ht="22.8" x14ac:dyDescent="0.25">
      <c r="A203" s="28">
        <v>202</v>
      </c>
      <c r="B203" s="20">
        <v>37321</v>
      </c>
      <c r="C203" s="27" t="s">
        <v>54</v>
      </c>
      <c r="D203" s="24" t="s">
        <v>2304</v>
      </c>
      <c r="E203" s="20" t="s">
        <v>2250</v>
      </c>
      <c r="F203" s="29" t="s">
        <v>2241</v>
      </c>
      <c r="G203" s="29" t="s">
        <v>15</v>
      </c>
      <c r="H203" s="19">
        <v>43858</v>
      </c>
      <c r="I203" s="3">
        <v>729</v>
      </c>
      <c r="J203" s="3" t="s">
        <v>58</v>
      </c>
      <c r="K203" s="37" t="s">
        <v>59</v>
      </c>
      <c r="L203" s="33">
        <v>44057</v>
      </c>
      <c r="M203" s="34" t="s">
        <v>60</v>
      </c>
      <c r="N203" s="35">
        <v>44187</v>
      </c>
      <c r="O203" s="38">
        <v>44057</v>
      </c>
      <c r="P203" s="35">
        <v>44832</v>
      </c>
      <c r="Q203" s="16" t="s">
        <v>75</v>
      </c>
      <c r="R203" s="16" t="s">
        <v>75</v>
      </c>
      <c r="S203" s="16"/>
      <c r="T203" s="16"/>
      <c r="U203" s="16"/>
      <c r="V203" s="35">
        <v>44832</v>
      </c>
      <c r="W203" s="35">
        <v>44832</v>
      </c>
      <c r="X203" s="16"/>
      <c r="Y203" s="16"/>
      <c r="Z203" s="432"/>
      <c r="AA203" s="442">
        <v>44520</v>
      </c>
      <c r="AB203" s="24"/>
      <c r="AC203" s="24"/>
      <c r="AD203" s="282">
        <v>44692</v>
      </c>
      <c r="AE203" s="58"/>
      <c r="AF203" s="282">
        <v>45356</v>
      </c>
      <c r="AG203" s="282">
        <v>45482</v>
      </c>
      <c r="AH203" s="282">
        <v>45601</v>
      </c>
      <c r="AI203" s="952">
        <v>45356</v>
      </c>
      <c r="AJ203" s="282">
        <v>45589</v>
      </c>
      <c r="AK203" s="282">
        <v>45482</v>
      </c>
      <c r="AL203" s="282">
        <v>45698</v>
      </c>
      <c r="AM203" s="282">
        <v>45482</v>
      </c>
    </row>
    <row r="204" spans="1:40" x14ac:dyDescent="0.25">
      <c r="A204" s="28">
        <v>203</v>
      </c>
      <c r="B204" s="20">
        <v>37337</v>
      </c>
      <c r="C204" s="27" t="s">
        <v>64</v>
      </c>
      <c r="D204" s="24" t="s">
        <v>2305</v>
      </c>
      <c r="E204" s="20" t="s">
        <v>2250</v>
      </c>
      <c r="F204" s="29" t="s">
        <v>2241</v>
      </c>
      <c r="G204" s="29" t="s">
        <v>15</v>
      </c>
      <c r="H204" s="19">
        <v>44170</v>
      </c>
      <c r="I204" s="3">
        <v>702</v>
      </c>
      <c r="J204" s="3" t="s">
        <v>58</v>
      </c>
      <c r="K204" s="16"/>
      <c r="L204" s="33"/>
      <c r="M204" s="16" t="s">
        <v>60</v>
      </c>
      <c r="N204" s="33">
        <v>44224</v>
      </c>
      <c r="O204" s="33"/>
      <c r="P204" s="33"/>
      <c r="Q204" s="16" t="s">
        <v>75</v>
      </c>
      <c r="R204" s="16" t="s">
        <v>75</v>
      </c>
      <c r="S204" s="16"/>
      <c r="T204" s="16"/>
      <c r="U204" s="16"/>
      <c r="V204" s="16"/>
      <c r="W204" s="16"/>
      <c r="X204" s="16"/>
      <c r="Y204" s="16"/>
      <c r="Z204" s="432"/>
      <c r="AA204" s="432"/>
      <c r="AB204" s="24" t="s">
        <v>2510</v>
      </c>
      <c r="AC204" s="24"/>
      <c r="AD204" s="282">
        <v>44918</v>
      </c>
      <c r="AE204" s="282">
        <v>44984</v>
      </c>
      <c r="AF204" s="282">
        <v>45357</v>
      </c>
      <c r="AG204" s="282">
        <v>45485</v>
      </c>
      <c r="AH204" s="282">
        <v>45477</v>
      </c>
      <c r="AI204" s="952">
        <v>45357</v>
      </c>
      <c r="AJ204" s="282">
        <v>45630</v>
      </c>
      <c r="AK204" s="282">
        <v>45443</v>
      </c>
      <c r="AL204" s="282">
        <v>45834</v>
      </c>
      <c r="AM204" s="282">
        <v>45443</v>
      </c>
    </row>
    <row r="205" spans="1:40" x14ac:dyDescent="0.25">
      <c r="A205" s="28">
        <v>204</v>
      </c>
      <c r="B205" s="20">
        <v>37337</v>
      </c>
      <c r="C205" s="27" t="s">
        <v>54</v>
      </c>
      <c r="D205" s="24" t="s">
        <v>2306</v>
      </c>
      <c r="E205" s="20" t="s">
        <v>2250</v>
      </c>
      <c r="F205" s="29" t="s">
        <v>2241</v>
      </c>
      <c r="G205" s="29" t="s">
        <v>15</v>
      </c>
      <c r="H205" s="19">
        <v>44170</v>
      </c>
      <c r="I205" s="3">
        <v>700</v>
      </c>
      <c r="J205" s="3" t="s">
        <v>58</v>
      </c>
      <c r="K205" s="16"/>
      <c r="L205" s="33"/>
      <c r="M205" s="16" t="s">
        <v>60</v>
      </c>
      <c r="N205" s="33">
        <v>44224</v>
      </c>
      <c r="O205" s="33"/>
      <c r="P205" s="33"/>
      <c r="Q205" s="16" t="s">
        <v>75</v>
      </c>
      <c r="R205" s="16" t="s">
        <v>75</v>
      </c>
      <c r="S205" s="16"/>
      <c r="T205" s="16"/>
      <c r="U205" s="16"/>
      <c r="V205" s="16"/>
      <c r="W205" s="16"/>
      <c r="X205" s="16"/>
      <c r="Y205" s="16"/>
      <c r="Z205" s="432"/>
      <c r="AA205" s="442">
        <v>44508</v>
      </c>
      <c r="AB205" s="24"/>
      <c r="AC205" s="24"/>
      <c r="AD205" s="282">
        <v>44918</v>
      </c>
      <c r="AE205" s="282">
        <v>44984</v>
      </c>
      <c r="AF205" s="282">
        <v>45357</v>
      </c>
      <c r="AG205" s="282">
        <v>45485</v>
      </c>
      <c r="AH205" s="282">
        <v>45477</v>
      </c>
      <c r="AI205" s="952">
        <v>45357</v>
      </c>
      <c r="AJ205" s="282">
        <v>45630</v>
      </c>
      <c r="AK205" s="282">
        <v>45443</v>
      </c>
      <c r="AL205" s="282">
        <v>45834</v>
      </c>
      <c r="AM205" s="282">
        <v>45443</v>
      </c>
    </row>
    <row r="206" spans="1:40" ht="22.8" x14ac:dyDescent="0.25">
      <c r="A206" s="28">
        <v>205</v>
      </c>
      <c r="B206" s="20">
        <v>37339</v>
      </c>
      <c r="C206" s="27" t="s">
        <v>64</v>
      </c>
      <c r="D206" s="24" t="s">
        <v>2307</v>
      </c>
      <c r="E206" s="20" t="s">
        <v>2250</v>
      </c>
      <c r="F206" s="29" t="s">
        <v>2241</v>
      </c>
      <c r="G206" s="29" t="s">
        <v>15</v>
      </c>
      <c r="H206" s="19">
        <v>43882</v>
      </c>
      <c r="I206" s="3">
        <v>696</v>
      </c>
      <c r="J206" s="3" t="s">
        <v>58</v>
      </c>
      <c r="K206" s="37" t="s">
        <v>59</v>
      </c>
      <c r="L206" s="38">
        <v>44155</v>
      </c>
      <c r="M206" s="16" t="s">
        <v>60</v>
      </c>
      <c r="N206" s="33">
        <v>44201</v>
      </c>
      <c r="O206" s="33"/>
      <c r="P206" s="35">
        <v>44851</v>
      </c>
      <c r="Q206" s="16" t="s">
        <v>75</v>
      </c>
      <c r="R206" s="16" t="s">
        <v>75</v>
      </c>
      <c r="S206" s="16"/>
      <c r="T206" s="16"/>
      <c r="U206" s="16"/>
      <c r="V206" s="35">
        <v>44851</v>
      </c>
      <c r="W206" s="35">
        <v>44851</v>
      </c>
      <c r="X206" s="16"/>
      <c r="Y206" s="16"/>
      <c r="Z206" s="432"/>
      <c r="AA206" s="442">
        <v>44568</v>
      </c>
      <c r="AB206" s="24"/>
      <c r="AC206" s="24"/>
      <c r="AD206" s="282">
        <v>44692</v>
      </c>
      <c r="AE206" s="282">
        <v>44945</v>
      </c>
      <c r="AF206" s="282">
        <v>45421</v>
      </c>
      <c r="AG206" s="282">
        <v>45601</v>
      </c>
      <c r="AH206" s="282">
        <v>45619</v>
      </c>
      <c r="AI206" s="952">
        <v>45421</v>
      </c>
      <c r="AK206" s="282">
        <v>45416</v>
      </c>
      <c r="AM206" s="282">
        <v>45416</v>
      </c>
      <c r="AN206" s="381"/>
    </row>
    <row r="207" spans="1:40" ht="22.8" x14ac:dyDescent="0.25">
      <c r="A207" s="28">
        <v>206</v>
      </c>
      <c r="B207" s="20">
        <v>37339</v>
      </c>
      <c r="C207" s="27" t="s">
        <v>54</v>
      </c>
      <c r="D207" s="24" t="s">
        <v>2308</v>
      </c>
      <c r="E207" s="20" t="s">
        <v>2250</v>
      </c>
      <c r="F207" s="29" t="s">
        <v>2241</v>
      </c>
      <c r="G207" s="29" t="s">
        <v>15</v>
      </c>
      <c r="H207" s="19">
        <v>43882</v>
      </c>
      <c r="I207" s="3">
        <v>703</v>
      </c>
      <c r="J207" s="3" t="s">
        <v>58</v>
      </c>
      <c r="K207" s="37" t="s">
        <v>59</v>
      </c>
      <c r="L207" s="38">
        <v>44155</v>
      </c>
      <c r="M207" s="16" t="s">
        <v>60</v>
      </c>
      <c r="N207" s="33">
        <v>44201</v>
      </c>
      <c r="O207" s="33"/>
      <c r="P207" s="35">
        <v>44851</v>
      </c>
      <c r="Q207" s="16" t="s">
        <v>75</v>
      </c>
      <c r="R207" s="16" t="s">
        <v>75</v>
      </c>
      <c r="S207" s="16"/>
      <c r="T207" s="16"/>
      <c r="U207" s="16"/>
      <c r="V207" s="35">
        <v>44851</v>
      </c>
      <c r="W207" s="35">
        <v>44851</v>
      </c>
      <c r="X207" s="16"/>
      <c r="Y207" s="16"/>
      <c r="Z207" s="432"/>
      <c r="AA207" s="442">
        <v>44568</v>
      </c>
      <c r="AB207" s="24"/>
      <c r="AC207" s="24"/>
      <c r="AD207" s="282">
        <v>44692</v>
      </c>
      <c r="AE207" s="282">
        <v>44945</v>
      </c>
      <c r="AF207" s="282">
        <v>45421</v>
      </c>
      <c r="AG207" s="282">
        <v>45601</v>
      </c>
      <c r="AH207" s="282">
        <v>45619</v>
      </c>
      <c r="AI207" s="952">
        <v>45421</v>
      </c>
      <c r="AK207" s="282">
        <v>45416</v>
      </c>
      <c r="AM207" s="282">
        <v>45416</v>
      </c>
      <c r="AN207" s="381"/>
    </row>
    <row r="208" spans="1:40" ht="22.8" x14ac:dyDescent="0.25">
      <c r="A208" s="28">
        <v>207</v>
      </c>
      <c r="B208" s="20">
        <v>37341</v>
      </c>
      <c r="C208" s="27" t="s">
        <v>64</v>
      </c>
      <c r="D208" s="17" t="s">
        <v>2309</v>
      </c>
      <c r="E208" s="20" t="s">
        <v>2250</v>
      </c>
      <c r="F208" s="29" t="s">
        <v>2241</v>
      </c>
      <c r="G208" s="29" t="s">
        <v>15</v>
      </c>
      <c r="H208" s="19">
        <v>43888</v>
      </c>
      <c r="I208" s="3">
        <v>562</v>
      </c>
      <c r="J208" s="3" t="s">
        <v>58</v>
      </c>
      <c r="K208" s="37" t="s">
        <v>59</v>
      </c>
      <c r="L208" s="38">
        <v>44247</v>
      </c>
      <c r="M208" s="16" t="s">
        <v>60</v>
      </c>
      <c r="N208" s="33">
        <v>44225</v>
      </c>
      <c r="O208" s="33"/>
      <c r="P208" s="282">
        <v>44717</v>
      </c>
      <c r="Q208" s="16" t="s">
        <v>75</v>
      </c>
      <c r="R208" s="16" t="s">
        <v>75</v>
      </c>
      <c r="S208" s="16"/>
      <c r="T208" s="282">
        <v>45705</v>
      </c>
      <c r="U208" s="16"/>
      <c r="V208" s="282">
        <v>44717</v>
      </c>
      <c r="W208" s="282">
        <v>44717</v>
      </c>
      <c r="X208" s="16"/>
      <c r="Y208" s="16"/>
      <c r="Z208" s="432"/>
      <c r="AA208" s="442">
        <v>44496</v>
      </c>
      <c r="AB208" s="24"/>
      <c r="AC208" s="24"/>
      <c r="AD208" s="282">
        <v>44700</v>
      </c>
      <c r="AE208" s="282">
        <v>44968</v>
      </c>
      <c r="AF208" s="282">
        <v>45448</v>
      </c>
      <c r="AG208" s="282">
        <v>45477</v>
      </c>
      <c r="AH208" s="282">
        <v>45541</v>
      </c>
      <c r="AI208" s="952">
        <v>45448</v>
      </c>
      <c r="AJ208" s="282">
        <v>45588</v>
      </c>
      <c r="AK208" s="282">
        <v>45448</v>
      </c>
      <c r="AL208" s="282">
        <v>45705</v>
      </c>
      <c r="AM208" s="282">
        <v>45448</v>
      </c>
      <c r="AN208" s="381"/>
    </row>
    <row r="209" spans="1:40" ht="22.8" x14ac:dyDescent="0.25">
      <c r="A209" s="28">
        <v>208</v>
      </c>
      <c r="B209" s="20">
        <v>37341</v>
      </c>
      <c r="C209" s="27" t="s">
        <v>54</v>
      </c>
      <c r="D209" s="17" t="s">
        <v>2310</v>
      </c>
      <c r="E209" s="20" t="s">
        <v>2250</v>
      </c>
      <c r="F209" s="29" t="s">
        <v>2241</v>
      </c>
      <c r="G209" s="29" t="s">
        <v>15</v>
      </c>
      <c r="H209" s="19">
        <v>43888</v>
      </c>
      <c r="I209" s="3">
        <v>606</v>
      </c>
      <c r="J209" s="3" t="s">
        <v>58</v>
      </c>
      <c r="K209" s="37" t="s">
        <v>59</v>
      </c>
      <c r="L209" s="38">
        <v>44191</v>
      </c>
      <c r="M209" s="16" t="s">
        <v>60</v>
      </c>
      <c r="N209" s="33">
        <v>44196</v>
      </c>
      <c r="O209" s="33"/>
      <c r="P209" s="282">
        <v>44717</v>
      </c>
      <c r="Q209" s="16" t="s">
        <v>75</v>
      </c>
      <c r="R209" s="16" t="s">
        <v>75</v>
      </c>
      <c r="S209" s="16"/>
      <c r="T209" s="282">
        <v>45705</v>
      </c>
      <c r="U209" s="16"/>
      <c r="V209" s="282">
        <v>44717</v>
      </c>
      <c r="W209" s="282">
        <v>44717</v>
      </c>
      <c r="X209" s="16"/>
      <c r="Y209" s="16"/>
      <c r="Z209" s="432"/>
      <c r="AA209" s="442">
        <v>44496</v>
      </c>
      <c r="AB209" s="24"/>
      <c r="AC209" s="24"/>
      <c r="AD209" s="282">
        <v>44700</v>
      </c>
      <c r="AE209" s="282">
        <v>44968</v>
      </c>
      <c r="AF209" s="282">
        <v>45448</v>
      </c>
      <c r="AG209" s="282">
        <v>45477</v>
      </c>
      <c r="AH209" s="282">
        <v>45541</v>
      </c>
      <c r="AI209" s="952">
        <v>45448</v>
      </c>
      <c r="AJ209" s="282">
        <v>45588</v>
      </c>
      <c r="AK209" s="282">
        <v>45448</v>
      </c>
      <c r="AL209" s="282">
        <v>45705</v>
      </c>
      <c r="AM209" s="282">
        <v>45448</v>
      </c>
      <c r="AN209" s="381"/>
    </row>
    <row r="210" spans="1:40" ht="26.4" x14ac:dyDescent="0.25">
      <c r="A210" s="28">
        <v>209</v>
      </c>
      <c r="B210" s="20">
        <v>37353</v>
      </c>
      <c r="C210" s="27" t="s">
        <v>64</v>
      </c>
      <c r="D210" s="3" t="s">
        <v>2311</v>
      </c>
      <c r="E210" s="20" t="s">
        <v>2250</v>
      </c>
      <c r="F210" s="29" t="s">
        <v>2241</v>
      </c>
      <c r="G210" s="29" t="s">
        <v>15</v>
      </c>
      <c r="H210" s="19">
        <v>43908</v>
      </c>
      <c r="I210" s="3">
        <v>615</v>
      </c>
      <c r="J210" s="3" t="s">
        <v>58</v>
      </c>
      <c r="K210" s="37" t="s">
        <v>59</v>
      </c>
      <c r="L210" s="33" t="s">
        <v>63</v>
      </c>
      <c r="M210" s="34" t="s">
        <v>60</v>
      </c>
      <c r="N210" s="35">
        <v>44194</v>
      </c>
      <c r="O210" s="38"/>
      <c r="P210" s="282">
        <v>44811</v>
      </c>
      <c r="Q210" s="16" t="s">
        <v>75</v>
      </c>
      <c r="R210" s="16" t="s">
        <v>75</v>
      </c>
      <c r="S210" s="16"/>
      <c r="T210" s="16"/>
      <c r="U210" s="16"/>
      <c r="V210" s="282">
        <v>44811</v>
      </c>
      <c r="W210" s="282">
        <v>44811</v>
      </c>
      <c r="X210" s="16"/>
      <c r="Y210" s="16"/>
      <c r="Z210" s="432"/>
      <c r="AA210" s="442">
        <v>44489</v>
      </c>
      <c r="AB210" s="24" t="s">
        <v>2511</v>
      </c>
      <c r="AC210" s="902" t="s">
        <v>2512</v>
      </c>
      <c r="AD210" s="282">
        <v>44719</v>
      </c>
      <c r="AE210" s="282">
        <v>45010</v>
      </c>
      <c r="AF210" s="282">
        <v>45821</v>
      </c>
      <c r="AG210" s="282">
        <v>45619</v>
      </c>
      <c r="AH210" s="282">
        <v>45619</v>
      </c>
      <c r="AI210" s="952">
        <v>45408</v>
      </c>
      <c r="AJ210" s="282">
        <v>45619</v>
      </c>
      <c r="AK210" s="282">
        <v>45408</v>
      </c>
      <c r="AM210" s="282">
        <v>45408</v>
      </c>
    </row>
    <row r="211" spans="1:40" ht="22.8" x14ac:dyDescent="0.25">
      <c r="A211" s="28">
        <v>210</v>
      </c>
      <c r="B211" s="20">
        <v>37353</v>
      </c>
      <c r="C211" s="27" t="s">
        <v>54</v>
      </c>
      <c r="D211" s="3" t="s">
        <v>2312</v>
      </c>
      <c r="E211" s="20" t="s">
        <v>2250</v>
      </c>
      <c r="F211" s="29" t="s">
        <v>2241</v>
      </c>
      <c r="G211" s="29" t="s">
        <v>15</v>
      </c>
      <c r="H211" s="19">
        <v>43908</v>
      </c>
      <c r="I211" s="3">
        <v>614</v>
      </c>
      <c r="J211" s="3" t="s">
        <v>58</v>
      </c>
      <c r="K211" s="37" t="s">
        <v>59</v>
      </c>
      <c r="L211" s="33" t="s">
        <v>63</v>
      </c>
      <c r="M211" s="34" t="s">
        <v>60</v>
      </c>
      <c r="N211" s="35">
        <v>44194</v>
      </c>
      <c r="O211" s="33"/>
      <c r="P211" s="282">
        <v>44811</v>
      </c>
      <c r="Q211" s="16" t="s">
        <v>75</v>
      </c>
      <c r="R211" s="16" t="s">
        <v>75</v>
      </c>
      <c r="S211" s="16"/>
      <c r="T211" s="16"/>
      <c r="U211" s="16"/>
      <c r="V211" s="282">
        <v>44811</v>
      </c>
      <c r="W211" s="282">
        <v>44811</v>
      </c>
      <c r="X211" s="16"/>
      <c r="Y211" s="16"/>
      <c r="Z211" s="432"/>
      <c r="AA211" s="442">
        <v>44489</v>
      </c>
      <c r="AB211" s="24" t="s">
        <v>2513</v>
      </c>
      <c r="AC211" s="24"/>
      <c r="AD211" s="282">
        <v>44719</v>
      </c>
      <c r="AE211" s="282">
        <v>45010</v>
      </c>
      <c r="AF211" s="282">
        <v>45821</v>
      </c>
      <c r="AG211" s="282">
        <v>45619</v>
      </c>
      <c r="AH211" s="282">
        <v>45619</v>
      </c>
      <c r="AI211" s="952">
        <v>45408</v>
      </c>
      <c r="AJ211" s="282">
        <v>45619</v>
      </c>
      <c r="AK211" s="282">
        <v>45408</v>
      </c>
      <c r="AM211" s="282">
        <v>45408</v>
      </c>
    </row>
    <row r="212" spans="1:40" ht="22.8" x14ac:dyDescent="0.25">
      <c r="A212" s="28">
        <v>211</v>
      </c>
      <c r="B212" s="20">
        <v>37354</v>
      </c>
      <c r="C212" s="27" t="s">
        <v>64</v>
      </c>
      <c r="D212" s="17" t="s">
        <v>2313</v>
      </c>
      <c r="E212" s="20" t="s">
        <v>2250</v>
      </c>
      <c r="F212" s="29" t="s">
        <v>2241</v>
      </c>
      <c r="G212" s="29" t="s">
        <v>15</v>
      </c>
      <c r="H212" s="19">
        <v>43909</v>
      </c>
      <c r="I212" s="3">
        <v>688</v>
      </c>
      <c r="J212" s="3" t="s">
        <v>58</v>
      </c>
      <c r="K212" s="37" t="s">
        <v>59</v>
      </c>
      <c r="L212" s="38">
        <v>44244</v>
      </c>
      <c r="M212" s="16" t="s">
        <v>60</v>
      </c>
      <c r="N212" s="33">
        <v>44200</v>
      </c>
      <c r="O212" s="33"/>
      <c r="P212" s="33"/>
      <c r="Q212" s="16" t="s">
        <v>75</v>
      </c>
      <c r="R212" s="16" t="s">
        <v>75</v>
      </c>
      <c r="S212" s="16"/>
      <c r="T212" s="16"/>
      <c r="U212" s="16"/>
      <c r="V212" s="16"/>
      <c r="W212" s="16"/>
      <c r="X212" s="16"/>
      <c r="Y212" s="16"/>
      <c r="Z212" s="432"/>
      <c r="AA212" s="442">
        <v>44518</v>
      </c>
      <c r="AB212" s="24"/>
      <c r="AC212" s="24"/>
      <c r="AD212" s="282">
        <v>44700</v>
      </c>
      <c r="AE212" s="282">
        <v>44996</v>
      </c>
      <c r="AF212" s="282">
        <v>45415</v>
      </c>
      <c r="AG212" s="282">
        <v>45541</v>
      </c>
      <c r="AH212" s="282">
        <v>45541</v>
      </c>
      <c r="AI212" s="952">
        <v>45415</v>
      </c>
      <c r="AJ212" s="282">
        <v>45644</v>
      </c>
      <c r="AK212" s="282">
        <v>45415</v>
      </c>
      <c r="AL212" s="282">
        <v>45644</v>
      </c>
      <c r="AM212" s="282">
        <v>45415</v>
      </c>
    </row>
    <row r="213" spans="1:40" ht="26.4" x14ac:dyDescent="0.25">
      <c r="A213" s="28">
        <v>212</v>
      </c>
      <c r="B213" s="20">
        <v>37354</v>
      </c>
      <c r="C213" s="27" t="s">
        <v>54</v>
      </c>
      <c r="D213" s="17" t="s">
        <v>2314</v>
      </c>
      <c r="E213" s="20" t="s">
        <v>2250</v>
      </c>
      <c r="F213" s="29" t="s">
        <v>2241</v>
      </c>
      <c r="G213" s="29" t="s">
        <v>15</v>
      </c>
      <c r="H213" s="19">
        <v>43909</v>
      </c>
      <c r="I213" s="3">
        <v>689</v>
      </c>
      <c r="J213" s="3" t="s">
        <v>58</v>
      </c>
      <c r="K213" s="37" t="s">
        <v>59</v>
      </c>
      <c r="L213" s="38">
        <v>44244</v>
      </c>
      <c r="M213" s="16" t="s">
        <v>60</v>
      </c>
      <c r="N213" s="33">
        <v>44200</v>
      </c>
      <c r="O213" s="33"/>
      <c r="P213" s="33"/>
      <c r="Q213" s="16" t="s">
        <v>75</v>
      </c>
      <c r="R213" s="16" t="s">
        <v>75</v>
      </c>
      <c r="S213" s="16"/>
      <c r="T213" s="16"/>
      <c r="U213" s="16"/>
      <c r="V213" s="16"/>
      <c r="W213" s="16"/>
      <c r="X213" s="16"/>
      <c r="Y213" s="16"/>
      <c r="Z213" s="432"/>
      <c r="AA213" s="442">
        <v>44518</v>
      </c>
      <c r="AB213" s="902" t="s">
        <v>2514</v>
      </c>
      <c r="AC213" s="24"/>
      <c r="AD213" s="282">
        <v>44700</v>
      </c>
      <c r="AE213" s="282">
        <v>44996</v>
      </c>
      <c r="AF213" s="282">
        <v>45415</v>
      </c>
      <c r="AG213" s="282">
        <v>45541</v>
      </c>
      <c r="AH213" s="282">
        <v>45541</v>
      </c>
      <c r="AI213" s="952">
        <v>45415</v>
      </c>
      <c r="AJ213" s="282">
        <v>45644</v>
      </c>
      <c r="AK213" s="282">
        <v>45415</v>
      </c>
      <c r="AL213" s="282">
        <v>45644</v>
      </c>
      <c r="AM213" s="282">
        <v>45415</v>
      </c>
    </row>
    <row r="214" spans="1:40" ht="22.8" x14ac:dyDescent="0.25">
      <c r="A214" s="28">
        <v>213</v>
      </c>
      <c r="B214" s="20">
        <v>37382</v>
      </c>
      <c r="C214" s="27" t="s">
        <v>64</v>
      </c>
      <c r="D214" s="3" t="s">
        <v>2315</v>
      </c>
      <c r="E214" s="20" t="s">
        <v>2498</v>
      </c>
      <c r="F214" s="29" t="s">
        <v>2241</v>
      </c>
      <c r="G214" s="29" t="s">
        <v>15</v>
      </c>
      <c r="H214" s="19">
        <v>44022</v>
      </c>
      <c r="I214" s="3">
        <v>607</v>
      </c>
      <c r="J214" s="3" t="s">
        <v>58</v>
      </c>
      <c r="K214" s="37" t="s">
        <v>59</v>
      </c>
      <c r="L214" s="33" t="s">
        <v>63</v>
      </c>
      <c r="M214" s="16" t="s">
        <v>60</v>
      </c>
      <c r="N214" s="33">
        <v>44189</v>
      </c>
      <c r="O214" s="33"/>
      <c r="P214" s="282">
        <v>44831</v>
      </c>
      <c r="Q214" s="16" t="s">
        <v>75</v>
      </c>
      <c r="R214" s="16" t="s">
        <v>75</v>
      </c>
      <c r="S214" s="16" t="s">
        <v>62</v>
      </c>
      <c r="T214" s="16" t="s">
        <v>62</v>
      </c>
      <c r="U214" s="16" t="s">
        <v>62</v>
      </c>
      <c r="V214" s="282">
        <v>44831</v>
      </c>
      <c r="W214" s="282">
        <v>44831</v>
      </c>
      <c r="X214" s="16"/>
      <c r="Y214" s="16"/>
      <c r="Z214" s="432"/>
      <c r="AA214" s="442">
        <v>44538</v>
      </c>
      <c r="AB214" s="24" t="s">
        <v>2515</v>
      </c>
      <c r="AC214" s="24" t="s">
        <v>2516</v>
      </c>
      <c r="AD214" s="282">
        <v>44739</v>
      </c>
      <c r="AE214" s="58" t="s">
        <v>2517</v>
      </c>
      <c r="AF214" s="365"/>
      <c r="AG214" s="282">
        <v>45478</v>
      </c>
      <c r="AH214" s="282">
        <v>45478</v>
      </c>
      <c r="AI214" s="282">
        <v>45458</v>
      </c>
      <c r="AJ214" s="58" t="s">
        <v>63</v>
      </c>
      <c r="AM214" s="282">
        <v>45653</v>
      </c>
    </row>
    <row r="215" spans="1:40" ht="22.8" x14ac:dyDescent="0.25">
      <c r="A215" s="28">
        <v>214</v>
      </c>
      <c r="B215" s="20">
        <v>37382</v>
      </c>
      <c r="C215" s="27" t="s">
        <v>54</v>
      </c>
      <c r="D215" s="17" t="s">
        <v>2316</v>
      </c>
      <c r="E215" s="20" t="s">
        <v>2498</v>
      </c>
      <c r="F215" s="29" t="s">
        <v>2241</v>
      </c>
      <c r="G215" s="29" t="s">
        <v>15</v>
      </c>
      <c r="H215" s="19">
        <v>44022</v>
      </c>
      <c r="I215" s="3">
        <v>750</v>
      </c>
      <c r="J215" s="3" t="s">
        <v>58</v>
      </c>
      <c r="K215" s="37" t="s">
        <v>59</v>
      </c>
      <c r="L215" s="38">
        <v>44191</v>
      </c>
      <c r="M215" s="16" t="s">
        <v>60</v>
      </c>
      <c r="N215" s="33">
        <v>44196</v>
      </c>
      <c r="O215" s="33"/>
      <c r="P215" s="282">
        <v>44831</v>
      </c>
      <c r="Q215" s="16" t="s">
        <v>75</v>
      </c>
      <c r="R215" s="16" t="s">
        <v>75</v>
      </c>
      <c r="S215" s="16"/>
      <c r="T215" s="16" t="s">
        <v>68</v>
      </c>
      <c r="U215" s="16"/>
      <c r="V215" s="282">
        <v>44831</v>
      </c>
      <c r="W215" s="282">
        <v>44831</v>
      </c>
      <c r="X215" s="16"/>
      <c r="Y215" s="16"/>
      <c r="Z215" s="432"/>
      <c r="AA215" s="432"/>
      <c r="AB215" s="24"/>
      <c r="AC215" s="24"/>
      <c r="AD215" s="282">
        <v>44739</v>
      </c>
      <c r="AE215" s="58" t="s">
        <v>2517</v>
      </c>
      <c r="AF215" s="365"/>
      <c r="AG215" s="282">
        <v>45478</v>
      </c>
      <c r="AH215" s="282">
        <v>45478</v>
      </c>
      <c r="AI215" s="282">
        <v>45458</v>
      </c>
      <c r="AJ215" s="58" t="s">
        <v>63</v>
      </c>
      <c r="AM215" s="282">
        <v>45653</v>
      </c>
    </row>
    <row r="216" spans="1:40" ht="22.8" x14ac:dyDescent="0.25">
      <c r="A216" s="28">
        <v>215</v>
      </c>
      <c r="B216" s="20">
        <v>37383</v>
      </c>
      <c r="C216" s="27" t="s">
        <v>64</v>
      </c>
      <c r="D216" s="17" t="s">
        <v>2317</v>
      </c>
      <c r="E216" s="20" t="s">
        <v>2498</v>
      </c>
      <c r="F216" s="29" t="s">
        <v>2241</v>
      </c>
      <c r="G216" s="29" t="s">
        <v>15</v>
      </c>
      <c r="H216" s="19">
        <v>44022</v>
      </c>
      <c r="I216" s="3">
        <v>718</v>
      </c>
      <c r="J216" s="3" t="s">
        <v>58</v>
      </c>
      <c r="K216" s="37" t="s">
        <v>59</v>
      </c>
      <c r="L216" s="38">
        <v>44183</v>
      </c>
      <c r="M216" s="16" t="s">
        <v>60</v>
      </c>
      <c r="N216" s="40">
        <v>44183</v>
      </c>
      <c r="O216" s="33"/>
      <c r="P216" s="282">
        <v>44823</v>
      </c>
      <c r="Q216" s="16" t="s">
        <v>75</v>
      </c>
      <c r="R216" s="16" t="s">
        <v>75</v>
      </c>
      <c r="S216" s="16"/>
      <c r="T216" s="16" t="s">
        <v>62</v>
      </c>
      <c r="U216" s="16"/>
      <c r="V216" s="282">
        <v>44823</v>
      </c>
      <c r="W216" s="282">
        <v>44823</v>
      </c>
      <c r="X216" s="16"/>
      <c r="Y216" s="16"/>
      <c r="Z216" s="432"/>
      <c r="AA216" s="442">
        <v>44545</v>
      </c>
      <c r="AB216" s="24" t="s">
        <v>2518</v>
      </c>
      <c r="AC216" s="24"/>
      <c r="AD216" s="282">
        <v>44604</v>
      </c>
      <c r="AE216" s="58" t="s">
        <v>2519</v>
      </c>
      <c r="AF216" s="365"/>
      <c r="AG216" s="282">
        <v>45512</v>
      </c>
      <c r="AH216" s="282">
        <v>45646</v>
      </c>
      <c r="AI216" s="282">
        <v>45163</v>
      </c>
      <c r="AJ216" s="381" t="s">
        <v>63</v>
      </c>
      <c r="AK216" s="381"/>
      <c r="AL216" s="282">
        <v>45648</v>
      </c>
      <c r="AM216" s="282">
        <v>45673</v>
      </c>
    </row>
    <row r="217" spans="1:40" ht="22.8" x14ac:dyDescent="0.25">
      <c r="A217" s="28">
        <v>216</v>
      </c>
      <c r="B217" s="20">
        <v>37383</v>
      </c>
      <c r="C217" s="27" t="s">
        <v>54</v>
      </c>
      <c r="D217" s="17" t="s">
        <v>2318</v>
      </c>
      <c r="E217" s="20" t="s">
        <v>2498</v>
      </c>
      <c r="F217" s="29" t="s">
        <v>2241</v>
      </c>
      <c r="G217" s="29" t="s">
        <v>15</v>
      </c>
      <c r="H217" s="19">
        <v>44022</v>
      </c>
      <c r="I217" s="3">
        <v>714</v>
      </c>
      <c r="J217" s="3" t="s">
        <v>58</v>
      </c>
      <c r="K217" s="37" t="s">
        <v>59</v>
      </c>
      <c r="L217" s="38">
        <v>44183</v>
      </c>
      <c r="M217" s="16" t="s">
        <v>60</v>
      </c>
      <c r="N217" s="40">
        <v>44183</v>
      </c>
      <c r="O217" s="33"/>
      <c r="P217" s="282">
        <v>44823</v>
      </c>
      <c r="Q217" s="16" t="s">
        <v>75</v>
      </c>
      <c r="R217" s="16" t="s">
        <v>75</v>
      </c>
      <c r="S217" s="16"/>
      <c r="T217" s="16"/>
      <c r="U217" s="16"/>
      <c r="V217" s="282">
        <v>44823</v>
      </c>
      <c r="W217" s="282">
        <v>44823</v>
      </c>
      <c r="X217" s="16"/>
      <c r="Y217" s="16"/>
      <c r="Z217" s="432"/>
      <c r="AA217" s="442">
        <v>44545</v>
      </c>
      <c r="AB217" s="24" t="s">
        <v>2520</v>
      </c>
      <c r="AC217" s="24"/>
      <c r="AD217" s="282">
        <v>44604</v>
      </c>
      <c r="AE217" s="58"/>
      <c r="AF217" s="365"/>
      <c r="AG217" s="282">
        <v>45512</v>
      </c>
      <c r="AH217" s="282">
        <v>45646</v>
      </c>
      <c r="AI217" s="282">
        <v>45163</v>
      </c>
      <c r="AJ217" s="381" t="s">
        <v>63</v>
      </c>
      <c r="AK217" s="381"/>
      <c r="AL217" s="282">
        <v>45648</v>
      </c>
      <c r="AM217" s="282">
        <v>45673</v>
      </c>
    </row>
    <row r="218" spans="1:40" ht="17.25" customHeight="1" x14ac:dyDescent="0.25">
      <c r="A218" s="28">
        <v>217</v>
      </c>
      <c r="B218" s="20">
        <v>37424</v>
      </c>
      <c r="C218" s="27" t="s">
        <v>64</v>
      </c>
      <c r="D218" s="3" t="s">
        <v>2319</v>
      </c>
      <c r="E218" s="20" t="s">
        <v>2250</v>
      </c>
      <c r="F218" s="29" t="s">
        <v>2241</v>
      </c>
      <c r="G218" s="29" t="s">
        <v>15</v>
      </c>
      <c r="H218" s="19">
        <v>44060</v>
      </c>
      <c r="I218" s="3">
        <v>807</v>
      </c>
      <c r="J218" s="3" t="s">
        <v>58</v>
      </c>
      <c r="K218" s="16"/>
      <c r="L218" s="33"/>
      <c r="M218" s="16" t="s">
        <v>60</v>
      </c>
      <c r="N218" s="33">
        <v>44182</v>
      </c>
      <c r="O218" s="33"/>
      <c r="P218" s="282">
        <v>44754</v>
      </c>
      <c r="Q218" s="16" t="s">
        <v>75</v>
      </c>
      <c r="R218" s="16" t="s">
        <v>75</v>
      </c>
      <c r="S218" s="16"/>
      <c r="T218" s="16"/>
      <c r="U218" s="16"/>
      <c r="V218" s="282">
        <v>44754</v>
      </c>
      <c r="W218" s="282">
        <v>44754</v>
      </c>
      <c r="X218" s="16" t="s">
        <v>75</v>
      </c>
      <c r="Y218" s="16"/>
      <c r="Z218" s="432"/>
      <c r="AA218" s="442">
        <v>44616</v>
      </c>
      <c r="AB218" s="24"/>
      <c r="AC218" s="24"/>
      <c r="AD218" s="282">
        <v>44602</v>
      </c>
      <c r="AE218" s="282">
        <v>44949</v>
      </c>
      <c r="AF218" s="282">
        <v>45357</v>
      </c>
      <c r="AG218" s="282">
        <v>45507</v>
      </c>
      <c r="AH218" s="282">
        <v>45507</v>
      </c>
      <c r="AI218" s="952">
        <v>44991</v>
      </c>
      <c r="AJ218" s="282">
        <v>45507</v>
      </c>
      <c r="AK218" s="282">
        <v>45404</v>
      </c>
      <c r="AM218" s="282">
        <v>45404</v>
      </c>
    </row>
    <row r="219" spans="1:40" x14ac:dyDescent="0.25">
      <c r="A219" s="28">
        <v>218</v>
      </c>
      <c r="B219" s="20">
        <v>37424</v>
      </c>
      <c r="C219" s="27" t="s">
        <v>54</v>
      </c>
      <c r="D219" s="3" t="s">
        <v>2320</v>
      </c>
      <c r="E219" s="20" t="s">
        <v>2250</v>
      </c>
      <c r="F219" s="29" t="s">
        <v>2241</v>
      </c>
      <c r="G219" s="29" t="s">
        <v>15</v>
      </c>
      <c r="H219" s="19">
        <v>44060</v>
      </c>
      <c r="I219" s="3">
        <v>813</v>
      </c>
      <c r="J219" s="3" t="s">
        <v>58</v>
      </c>
      <c r="K219" s="16"/>
      <c r="L219" s="33"/>
      <c r="M219" s="16" t="s">
        <v>60</v>
      </c>
      <c r="N219" s="33">
        <v>44182</v>
      </c>
      <c r="O219" s="33"/>
      <c r="P219" s="282">
        <v>44754</v>
      </c>
      <c r="Q219" s="16" t="s">
        <v>75</v>
      </c>
      <c r="R219" s="16" t="s">
        <v>75</v>
      </c>
      <c r="S219" s="16"/>
      <c r="T219" s="16"/>
      <c r="U219" s="16"/>
      <c r="V219" s="282">
        <v>44754</v>
      </c>
      <c r="W219" s="282">
        <v>44754</v>
      </c>
      <c r="X219" s="16" t="s">
        <v>75</v>
      </c>
      <c r="Y219" s="16"/>
      <c r="Z219" s="432"/>
      <c r="AA219" s="442">
        <v>44616</v>
      </c>
      <c r="AB219" s="1116" t="s">
        <v>2521</v>
      </c>
      <c r="AC219" s="24"/>
      <c r="AD219" s="282">
        <v>44602</v>
      </c>
      <c r="AE219" s="282">
        <v>44949</v>
      </c>
      <c r="AF219" s="282">
        <v>45357</v>
      </c>
      <c r="AG219" s="282">
        <v>45507</v>
      </c>
      <c r="AH219" s="282">
        <v>45507</v>
      </c>
      <c r="AI219" s="952">
        <v>44991</v>
      </c>
      <c r="AJ219" s="282">
        <v>45507</v>
      </c>
      <c r="AK219" s="282">
        <v>45404</v>
      </c>
      <c r="AM219" s="282">
        <v>45404</v>
      </c>
    </row>
    <row r="220" spans="1:40" ht="22.8" x14ac:dyDescent="0.25">
      <c r="A220" s="28">
        <v>219</v>
      </c>
      <c r="B220" s="20">
        <v>37471</v>
      </c>
      <c r="C220" s="27" t="s">
        <v>64</v>
      </c>
      <c r="D220" s="17" t="s">
        <v>2321</v>
      </c>
      <c r="E220" s="20" t="s">
        <v>2250</v>
      </c>
      <c r="F220" s="29" t="s">
        <v>2241</v>
      </c>
      <c r="G220" s="29" t="s">
        <v>15</v>
      </c>
      <c r="H220" s="19">
        <v>44155</v>
      </c>
      <c r="I220" s="3">
        <v>960</v>
      </c>
      <c r="J220" s="3" t="s">
        <v>58</v>
      </c>
      <c r="K220" s="37" t="s">
        <v>59</v>
      </c>
      <c r="L220" s="16" t="s">
        <v>75</v>
      </c>
      <c r="M220" s="16" t="s">
        <v>60</v>
      </c>
      <c r="N220" s="40">
        <v>44184</v>
      </c>
      <c r="O220" s="33"/>
      <c r="P220" s="282">
        <v>44771</v>
      </c>
      <c r="Q220" s="16" t="s">
        <v>75</v>
      </c>
      <c r="R220" s="16" t="s">
        <v>75</v>
      </c>
      <c r="S220" s="16"/>
      <c r="T220" s="16"/>
      <c r="U220" s="16"/>
      <c r="V220" s="282">
        <v>44771</v>
      </c>
      <c r="W220" s="282">
        <v>44771</v>
      </c>
      <c r="X220" s="16" t="s">
        <v>75</v>
      </c>
      <c r="Y220" s="16"/>
      <c r="Z220" s="432"/>
      <c r="AA220" s="432"/>
      <c r="AB220" s="24"/>
      <c r="AC220" s="24"/>
      <c r="AD220" s="282">
        <v>44771</v>
      </c>
      <c r="AE220" s="282">
        <v>44971</v>
      </c>
      <c r="AF220" s="365"/>
      <c r="AG220" s="282">
        <v>45514</v>
      </c>
      <c r="AH220" s="282">
        <v>45514</v>
      </c>
      <c r="AI220" s="952">
        <v>45066</v>
      </c>
      <c r="AJ220" s="282">
        <v>45588</v>
      </c>
      <c r="AK220" s="282">
        <v>45418</v>
      </c>
      <c r="AM220" s="282">
        <v>45418</v>
      </c>
    </row>
    <row r="221" spans="1:40" ht="22.8" x14ac:dyDescent="0.25">
      <c r="A221" s="28">
        <v>220</v>
      </c>
      <c r="B221" s="20">
        <v>37471</v>
      </c>
      <c r="C221" s="27" t="s">
        <v>54</v>
      </c>
      <c r="D221" s="17" t="s">
        <v>2322</v>
      </c>
      <c r="E221" s="20" t="s">
        <v>2250</v>
      </c>
      <c r="F221" s="29" t="s">
        <v>2241</v>
      </c>
      <c r="G221" s="29" t="s">
        <v>15</v>
      </c>
      <c r="H221" s="19">
        <v>44155</v>
      </c>
      <c r="I221" s="3">
        <v>961</v>
      </c>
      <c r="J221" s="3" t="s">
        <v>58</v>
      </c>
      <c r="K221" s="37" t="s">
        <v>59</v>
      </c>
      <c r="L221" s="16" t="s">
        <v>75</v>
      </c>
      <c r="M221" s="16" t="s">
        <v>60</v>
      </c>
      <c r="N221" s="40">
        <v>44184</v>
      </c>
      <c r="O221" s="33"/>
      <c r="P221" s="282">
        <v>44771</v>
      </c>
      <c r="Q221" s="16" t="s">
        <v>75</v>
      </c>
      <c r="R221" s="16" t="s">
        <v>75</v>
      </c>
      <c r="S221" s="16"/>
      <c r="T221" s="16"/>
      <c r="U221" s="16"/>
      <c r="V221" s="282">
        <v>44771</v>
      </c>
      <c r="W221" s="282">
        <v>44771</v>
      </c>
      <c r="X221" s="16" t="s">
        <v>75</v>
      </c>
      <c r="Y221" s="16"/>
      <c r="Z221" s="432"/>
      <c r="AA221" s="432"/>
      <c r="AB221" s="24" t="s">
        <v>2522</v>
      </c>
      <c r="AC221" s="24"/>
      <c r="AD221" s="282">
        <v>44771</v>
      </c>
      <c r="AE221" s="282">
        <v>44971</v>
      </c>
      <c r="AF221" s="365"/>
      <c r="AG221" s="282">
        <v>45514</v>
      </c>
      <c r="AH221" s="282">
        <v>45514</v>
      </c>
      <c r="AI221" s="952">
        <v>45066</v>
      </c>
      <c r="AJ221" s="282">
        <v>45588</v>
      </c>
      <c r="AK221" s="282">
        <v>45418</v>
      </c>
      <c r="AM221" s="282">
        <v>45418</v>
      </c>
    </row>
    <row r="222" spans="1:40" ht="22.8" x14ac:dyDescent="0.25">
      <c r="A222" s="28">
        <v>221</v>
      </c>
      <c r="B222" s="20">
        <v>37504</v>
      </c>
      <c r="C222" s="27" t="s">
        <v>64</v>
      </c>
      <c r="D222" s="20" t="s">
        <v>2323</v>
      </c>
      <c r="E222" s="20" t="s">
        <v>2250</v>
      </c>
      <c r="F222" s="29" t="s">
        <v>2241</v>
      </c>
      <c r="G222" s="29" t="s">
        <v>15</v>
      </c>
      <c r="H222" s="19">
        <v>44187</v>
      </c>
      <c r="I222" s="3">
        <v>1003</v>
      </c>
      <c r="J222" s="3" t="s">
        <v>58</v>
      </c>
      <c r="K222" s="37" t="s">
        <v>59</v>
      </c>
      <c r="L222" s="16" t="s">
        <v>75</v>
      </c>
      <c r="M222" s="41" t="s">
        <v>60</v>
      </c>
      <c r="N222" s="40">
        <v>44196</v>
      </c>
      <c r="O222" s="33"/>
      <c r="P222" s="282">
        <v>44889</v>
      </c>
      <c r="Q222" s="16" t="s">
        <v>75</v>
      </c>
      <c r="R222" s="16" t="s">
        <v>75</v>
      </c>
      <c r="S222" s="16"/>
      <c r="T222" s="16"/>
      <c r="U222" s="282">
        <v>44889</v>
      </c>
      <c r="V222" s="16" t="s">
        <v>68</v>
      </c>
      <c r="W222" s="16"/>
      <c r="X222" s="16" t="s">
        <v>75</v>
      </c>
      <c r="Y222" s="16"/>
      <c r="Z222" s="432"/>
      <c r="AA222" s="432"/>
      <c r="AB222" s="24"/>
      <c r="AC222" s="24"/>
      <c r="AD222" s="282">
        <v>44686</v>
      </c>
      <c r="AE222" s="282">
        <v>44984</v>
      </c>
      <c r="AF222" s="282">
        <v>45399</v>
      </c>
      <c r="AG222" s="282">
        <v>45489</v>
      </c>
      <c r="AH222" s="282">
        <v>45489</v>
      </c>
      <c r="AI222" s="952">
        <v>45162</v>
      </c>
      <c r="AJ222" s="282">
        <v>45768</v>
      </c>
      <c r="AK222" s="282">
        <v>45399</v>
      </c>
      <c r="AM222" s="282">
        <v>45399</v>
      </c>
    </row>
    <row r="223" spans="1:40" ht="22.8" x14ac:dyDescent="0.25">
      <c r="A223" s="28">
        <v>222</v>
      </c>
      <c r="B223" s="20">
        <v>37504</v>
      </c>
      <c r="C223" s="27" t="s">
        <v>54</v>
      </c>
      <c r="D223" s="20" t="s">
        <v>2324</v>
      </c>
      <c r="E223" s="20" t="s">
        <v>2250</v>
      </c>
      <c r="F223" s="29" t="s">
        <v>2241</v>
      </c>
      <c r="G223" s="29" t="s">
        <v>15</v>
      </c>
      <c r="H223" s="19">
        <v>44187</v>
      </c>
      <c r="I223" s="3">
        <v>998</v>
      </c>
      <c r="J223" s="3" t="s">
        <v>58</v>
      </c>
      <c r="K223" s="37" t="s">
        <v>59</v>
      </c>
      <c r="L223" s="16" t="s">
        <v>75</v>
      </c>
      <c r="M223" s="41" t="s">
        <v>60</v>
      </c>
      <c r="N223" s="40">
        <v>44196</v>
      </c>
      <c r="O223" s="33"/>
      <c r="P223" s="282">
        <v>44889</v>
      </c>
      <c r="Q223" s="16" t="s">
        <v>75</v>
      </c>
      <c r="R223" s="16" t="s">
        <v>75</v>
      </c>
      <c r="S223" s="16"/>
      <c r="T223" s="16"/>
      <c r="U223" s="282">
        <v>44889</v>
      </c>
      <c r="V223" s="16" t="s">
        <v>62</v>
      </c>
      <c r="W223" s="16"/>
      <c r="X223" s="16" t="s">
        <v>75</v>
      </c>
      <c r="Y223" s="16"/>
      <c r="Z223" s="432"/>
      <c r="AA223" s="432"/>
      <c r="AB223" s="24"/>
      <c r="AC223" s="24"/>
      <c r="AD223" s="282">
        <v>44686</v>
      </c>
      <c r="AE223" s="282">
        <v>44984</v>
      </c>
      <c r="AF223" s="282">
        <v>45399</v>
      </c>
      <c r="AG223" s="282">
        <v>45489</v>
      </c>
      <c r="AH223" s="282">
        <v>45489</v>
      </c>
      <c r="AI223" s="952">
        <v>45162</v>
      </c>
      <c r="AJ223" s="282">
        <v>45768</v>
      </c>
      <c r="AK223" s="282">
        <v>45399</v>
      </c>
      <c r="AM223" s="282">
        <v>45399</v>
      </c>
    </row>
    <row r="224" spans="1:40" ht="22.8" x14ac:dyDescent="0.25">
      <c r="A224" s="28">
        <v>223</v>
      </c>
      <c r="B224" s="20">
        <v>37506</v>
      </c>
      <c r="C224" s="27" t="s">
        <v>64</v>
      </c>
      <c r="D224" s="20" t="s">
        <v>2325</v>
      </c>
      <c r="E224" s="20" t="s">
        <v>2250</v>
      </c>
      <c r="F224" s="29" t="s">
        <v>2241</v>
      </c>
      <c r="G224" s="29" t="s">
        <v>15</v>
      </c>
      <c r="H224" s="19">
        <v>44191</v>
      </c>
      <c r="I224" s="3">
        <v>999</v>
      </c>
      <c r="J224" s="3" t="s">
        <v>58</v>
      </c>
      <c r="K224" s="37" t="s">
        <v>59</v>
      </c>
      <c r="L224" s="16" t="s">
        <v>75</v>
      </c>
      <c r="M224" s="41" t="s">
        <v>60</v>
      </c>
      <c r="N224" s="40">
        <v>44203</v>
      </c>
      <c r="O224" s="33"/>
      <c r="P224" s="282">
        <v>44732</v>
      </c>
      <c r="Q224" s="16" t="s">
        <v>75</v>
      </c>
      <c r="R224" s="16" t="s">
        <v>75</v>
      </c>
      <c r="S224" s="16"/>
      <c r="T224" s="282">
        <v>45527</v>
      </c>
      <c r="U224" s="16"/>
      <c r="V224" s="282">
        <v>44732</v>
      </c>
      <c r="W224" s="282">
        <v>44732</v>
      </c>
      <c r="X224" s="16" t="s">
        <v>75</v>
      </c>
      <c r="Y224" s="16"/>
      <c r="Z224" s="432"/>
      <c r="AA224" s="432"/>
      <c r="AB224" s="24"/>
      <c r="AC224" s="24"/>
      <c r="AD224" s="282">
        <v>44733</v>
      </c>
      <c r="AE224" s="282">
        <v>44924</v>
      </c>
      <c r="AF224" s="282">
        <v>45334</v>
      </c>
      <c r="AG224" s="282">
        <v>45528</v>
      </c>
      <c r="AH224" s="282">
        <v>45528</v>
      </c>
      <c r="AI224" s="952">
        <v>45127</v>
      </c>
      <c r="AJ224" s="282">
        <v>45650</v>
      </c>
      <c r="AM224" s="282">
        <v>45527</v>
      </c>
    </row>
    <row r="225" spans="1:39" ht="22.8" x14ac:dyDescent="0.25">
      <c r="A225" s="28">
        <v>224</v>
      </c>
      <c r="B225" s="20">
        <v>37506</v>
      </c>
      <c r="C225" s="27" t="s">
        <v>54</v>
      </c>
      <c r="D225" s="20" t="s">
        <v>2326</v>
      </c>
      <c r="E225" s="20" t="s">
        <v>2250</v>
      </c>
      <c r="F225" s="29" t="s">
        <v>2241</v>
      </c>
      <c r="G225" s="29" t="s">
        <v>15</v>
      </c>
      <c r="H225" s="19">
        <v>44191</v>
      </c>
      <c r="I225" s="3">
        <v>957</v>
      </c>
      <c r="J225" s="3" t="s">
        <v>58</v>
      </c>
      <c r="K225" s="37" t="s">
        <v>59</v>
      </c>
      <c r="L225" s="16" t="s">
        <v>75</v>
      </c>
      <c r="M225" s="41" t="s">
        <v>60</v>
      </c>
      <c r="N225" s="33" t="s">
        <v>63</v>
      </c>
      <c r="O225" s="33"/>
      <c r="P225" s="282">
        <v>44732</v>
      </c>
      <c r="Q225" s="16" t="s">
        <v>75</v>
      </c>
      <c r="R225" s="16" t="s">
        <v>75</v>
      </c>
      <c r="S225" s="16"/>
      <c r="T225" s="282">
        <v>45527</v>
      </c>
      <c r="U225" s="16" t="s">
        <v>62</v>
      </c>
      <c r="V225" s="282">
        <v>44732</v>
      </c>
      <c r="W225" s="282">
        <v>44732</v>
      </c>
      <c r="X225" s="16" t="s">
        <v>75</v>
      </c>
      <c r="Y225" s="16"/>
      <c r="Z225" s="432"/>
      <c r="AA225" s="432"/>
      <c r="AB225" s="24"/>
      <c r="AC225" s="24"/>
      <c r="AD225" s="282">
        <v>44733</v>
      </c>
      <c r="AE225" s="282">
        <v>44924</v>
      </c>
      <c r="AF225" s="282">
        <v>45334</v>
      </c>
      <c r="AG225" s="282">
        <v>45528</v>
      </c>
      <c r="AH225" s="282">
        <v>45528</v>
      </c>
      <c r="AI225" s="952">
        <v>45127</v>
      </c>
      <c r="AJ225" s="282">
        <v>45650</v>
      </c>
      <c r="AM225" s="282">
        <v>45527</v>
      </c>
    </row>
    <row r="226" spans="1:39" ht="22.8" x14ac:dyDescent="0.25">
      <c r="A226" s="28">
        <v>225</v>
      </c>
      <c r="B226" s="20">
        <v>37548</v>
      </c>
      <c r="C226" s="27" t="s">
        <v>64</v>
      </c>
      <c r="D226" s="20" t="s">
        <v>2327</v>
      </c>
      <c r="E226" s="20" t="s">
        <v>2250</v>
      </c>
      <c r="F226" s="29" t="s">
        <v>2241</v>
      </c>
      <c r="G226" s="29" t="s">
        <v>15</v>
      </c>
      <c r="H226" s="19">
        <v>44267</v>
      </c>
      <c r="I226" s="3">
        <v>788</v>
      </c>
      <c r="J226" s="3" t="s">
        <v>58</v>
      </c>
      <c r="K226" s="37" t="s">
        <v>59</v>
      </c>
      <c r="L226" s="33">
        <v>44147</v>
      </c>
      <c r="M226" s="16" t="s">
        <v>60</v>
      </c>
      <c r="N226" s="33">
        <v>44147</v>
      </c>
      <c r="O226" s="33"/>
      <c r="P226" s="282">
        <v>44767</v>
      </c>
      <c r="Q226" s="16" t="s">
        <v>75</v>
      </c>
      <c r="R226" s="16" t="s">
        <v>75</v>
      </c>
      <c r="S226" s="16"/>
      <c r="T226" s="16"/>
      <c r="U226" s="16" t="s">
        <v>68</v>
      </c>
      <c r="V226" s="282">
        <v>44767</v>
      </c>
      <c r="W226" s="282">
        <v>44767</v>
      </c>
      <c r="X226" s="16" t="s">
        <v>75</v>
      </c>
      <c r="Y226" s="16"/>
      <c r="Z226" s="432"/>
      <c r="AA226" s="442"/>
      <c r="AB226" s="24" t="s">
        <v>2523</v>
      </c>
      <c r="AC226" s="24"/>
      <c r="AD226" s="282">
        <v>44617</v>
      </c>
      <c r="AE226" s="58"/>
      <c r="AF226" s="282">
        <v>45831</v>
      </c>
      <c r="AG226" s="282">
        <v>45465</v>
      </c>
      <c r="AH226" s="282">
        <v>45465</v>
      </c>
      <c r="AI226" s="952">
        <v>45239</v>
      </c>
      <c r="AK226" s="282">
        <v>45434</v>
      </c>
      <c r="AM226" s="282">
        <v>45434</v>
      </c>
    </row>
    <row r="227" spans="1:39" ht="22.8" x14ac:dyDescent="0.25">
      <c r="A227" s="28">
        <v>226</v>
      </c>
      <c r="B227" s="20">
        <v>37548</v>
      </c>
      <c r="C227" s="27" t="s">
        <v>54</v>
      </c>
      <c r="D227" s="20" t="s">
        <v>2328</v>
      </c>
      <c r="E227" s="20" t="s">
        <v>2250</v>
      </c>
      <c r="F227" s="29" t="s">
        <v>2241</v>
      </c>
      <c r="G227" s="29" t="s">
        <v>15</v>
      </c>
      <c r="H227" s="19">
        <v>44267</v>
      </c>
      <c r="I227" s="3">
        <v>825</v>
      </c>
      <c r="J227" s="3" t="s">
        <v>58</v>
      </c>
      <c r="K227" s="37" t="s">
        <v>59</v>
      </c>
      <c r="L227" s="33">
        <v>44147</v>
      </c>
      <c r="M227" s="16" t="s">
        <v>60</v>
      </c>
      <c r="N227" s="33">
        <v>44147</v>
      </c>
      <c r="O227" s="33"/>
      <c r="P227" s="282">
        <v>44767</v>
      </c>
      <c r="Q227" s="16" t="s">
        <v>75</v>
      </c>
      <c r="R227" s="16" t="s">
        <v>75</v>
      </c>
      <c r="S227" s="16"/>
      <c r="T227" s="16"/>
      <c r="U227" s="51" t="s">
        <v>62</v>
      </c>
      <c r="V227" s="282">
        <v>44767</v>
      </c>
      <c r="W227" s="282">
        <v>44767</v>
      </c>
      <c r="X227" s="16" t="s">
        <v>75</v>
      </c>
      <c r="Y227" s="16"/>
      <c r="Z227" s="432"/>
      <c r="AA227" s="442">
        <v>44580</v>
      </c>
      <c r="AB227" s="24"/>
      <c r="AC227" s="24"/>
      <c r="AD227" s="282">
        <v>44617</v>
      </c>
      <c r="AE227" s="58"/>
      <c r="AF227" s="282">
        <v>45831</v>
      </c>
      <c r="AG227" s="282">
        <v>45465</v>
      </c>
      <c r="AH227" s="282">
        <v>45465</v>
      </c>
      <c r="AI227" s="952">
        <v>45239</v>
      </c>
      <c r="AK227" s="282">
        <v>45434</v>
      </c>
      <c r="AM227" s="282">
        <v>45434</v>
      </c>
    </row>
    <row r="228" spans="1:39" ht="22.8" x14ac:dyDescent="0.25">
      <c r="A228" s="28">
        <v>227</v>
      </c>
      <c r="B228" s="20">
        <v>37559</v>
      </c>
      <c r="C228" s="27" t="s">
        <v>64</v>
      </c>
      <c r="D228" s="20" t="s">
        <v>2329</v>
      </c>
      <c r="E228" s="20" t="s">
        <v>2498</v>
      </c>
      <c r="F228" s="29" t="s">
        <v>2241</v>
      </c>
      <c r="G228" s="29" t="s">
        <v>15</v>
      </c>
      <c r="H228" s="19">
        <v>44271</v>
      </c>
      <c r="I228" s="3">
        <v>1010</v>
      </c>
      <c r="J228" s="3" t="s">
        <v>58</v>
      </c>
      <c r="K228" s="37" t="s">
        <v>59</v>
      </c>
      <c r="L228" s="16" t="s">
        <v>75</v>
      </c>
      <c r="M228" s="16" t="s">
        <v>60</v>
      </c>
      <c r="N228" s="33">
        <v>44280</v>
      </c>
      <c r="O228" s="24"/>
      <c r="P228" s="282">
        <v>45648</v>
      </c>
      <c r="Q228" s="16" t="s">
        <v>75</v>
      </c>
      <c r="R228" s="16" t="s">
        <v>75</v>
      </c>
      <c r="S228" s="24"/>
      <c r="T228" s="24"/>
      <c r="U228" s="24"/>
      <c r="V228" s="24"/>
      <c r="W228" s="24"/>
      <c r="X228" s="16" t="s">
        <v>75</v>
      </c>
      <c r="Y228" s="24"/>
      <c r="Z228" s="435"/>
      <c r="AA228" s="435"/>
      <c r="AB228" s="24"/>
      <c r="AC228" s="24"/>
      <c r="AD228" s="282">
        <v>44719</v>
      </c>
      <c r="AE228" s="282">
        <v>44953</v>
      </c>
      <c r="AF228" s="365"/>
      <c r="AG228" s="282">
        <v>45482</v>
      </c>
      <c r="AH228" s="282">
        <v>45603</v>
      </c>
      <c r="AI228" s="282">
        <v>45057</v>
      </c>
      <c r="AJ228" s="381" t="s">
        <v>63</v>
      </c>
      <c r="AK228" s="381"/>
      <c r="AL228" s="282">
        <v>45654</v>
      </c>
      <c r="AM228" s="282">
        <v>45506</v>
      </c>
    </row>
    <row r="229" spans="1:39" ht="22.8" x14ac:dyDescent="0.25">
      <c r="A229" s="28">
        <v>228</v>
      </c>
      <c r="B229" s="20">
        <v>37559</v>
      </c>
      <c r="C229" s="27" t="s">
        <v>54</v>
      </c>
      <c r="D229" s="20" t="s">
        <v>2330</v>
      </c>
      <c r="E229" s="20" t="s">
        <v>2498</v>
      </c>
      <c r="F229" s="29" t="s">
        <v>2241</v>
      </c>
      <c r="G229" s="29" t="s">
        <v>15</v>
      </c>
      <c r="H229" s="19">
        <v>44271</v>
      </c>
      <c r="I229" s="3">
        <v>1011</v>
      </c>
      <c r="J229" s="3" t="s">
        <v>58</v>
      </c>
      <c r="K229" s="37" t="s">
        <v>59</v>
      </c>
      <c r="L229" s="16" t="s">
        <v>75</v>
      </c>
      <c r="M229" s="16" t="s">
        <v>60</v>
      </c>
      <c r="N229" s="33">
        <v>44280</v>
      </c>
      <c r="O229" s="24"/>
      <c r="P229" s="282">
        <v>45648</v>
      </c>
      <c r="Q229" s="16" t="s">
        <v>75</v>
      </c>
      <c r="R229" s="16" t="s">
        <v>75</v>
      </c>
      <c r="S229" s="24"/>
      <c r="T229" s="24"/>
      <c r="U229" s="24"/>
      <c r="V229" s="24"/>
      <c r="W229" s="24"/>
      <c r="X229" s="16" t="s">
        <v>75</v>
      </c>
      <c r="Y229" s="24"/>
      <c r="Z229" s="435"/>
      <c r="AA229" s="435"/>
      <c r="AB229" s="24"/>
      <c r="AC229" s="24"/>
      <c r="AD229" s="282">
        <v>44719</v>
      </c>
      <c r="AE229" s="282">
        <v>44953</v>
      </c>
      <c r="AF229" s="365"/>
      <c r="AG229" s="282">
        <v>45482</v>
      </c>
      <c r="AH229" s="282">
        <v>45603</v>
      </c>
      <c r="AI229" s="282">
        <v>45057</v>
      </c>
      <c r="AJ229" s="58" t="s">
        <v>63</v>
      </c>
      <c r="AL229" s="282">
        <v>45654</v>
      </c>
      <c r="AM229" s="282">
        <v>45506</v>
      </c>
    </row>
    <row r="230" spans="1:39" ht="22.8" x14ac:dyDescent="0.25">
      <c r="A230" s="28">
        <v>229</v>
      </c>
      <c r="B230" s="55">
        <v>37569</v>
      </c>
      <c r="C230" s="55" t="s">
        <v>64</v>
      </c>
      <c r="D230" s="20" t="s">
        <v>2331</v>
      </c>
      <c r="E230" s="20" t="s">
        <v>2250</v>
      </c>
      <c r="F230" s="3" t="s">
        <v>2241</v>
      </c>
      <c r="G230" s="3" t="s">
        <v>15</v>
      </c>
      <c r="H230" s="19">
        <v>44293</v>
      </c>
      <c r="I230" s="3" t="s">
        <v>2332</v>
      </c>
      <c r="J230" s="3" t="s">
        <v>58</v>
      </c>
      <c r="K230" s="37" t="s">
        <v>59</v>
      </c>
      <c r="L230" s="16" t="s">
        <v>75</v>
      </c>
      <c r="M230" s="16" t="s">
        <v>60</v>
      </c>
      <c r="N230" s="16" t="s">
        <v>75</v>
      </c>
      <c r="O230" s="33"/>
      <c r="P230" s="33"/>
      <c r="Q230" s="16" t="s">
        <v>75</v>
      </c>
      <c r="R230" s="16" t="s">
        <v>75</v>
      </c>
      <c r="S230" s="16"/>
      <c r="T230" s="16"/>
      <c r="U230" s="16"/>
      <c r="V230" s="16"/>
      <c r="W230" s="16"/>
      <c r="X230" s="16" t="s">
        <v>75</v>
      </c>
      <c r="Y230" s="16"/>
      <c r="Z230" s="432"/>
      <c r="AA230" s="432"/>
      <c r="AB230" s="24"/>
      <c r="AC230" s="24"/>
      <c r="AD230" s="282">
        <v>44690</v>
      </c>
      <c r="AE230" s="282">
        <v>44977</v>
      </c>
      <c r="AF230" s="282">
        <v>45327</v>
      </c>
      <c r="AG230" s="282">
        <v>45516</v>
      </c>
      <c r="AH230" s="282">
        <v>45516</v>
      </c>
      <c r="AI230" s="952">
        <v>45057</v>
      </c>
      <c r="AJ230" s="282">
        <v>45607</v>
      </c>
      <c r="AK230" s="282">
        <v>45216</v>
      </c>
      <c r="AM230" s="282">
        <v>45516</v>
      </c>
    </row>
    <row r="231" spans="1:39" ht="22.8" x14ac:dyDescent="0.25">
      <c r="A231" s="28">
        <v>230</v>
      </c>
      <c r="B231" s="55">
        <v>37569</v>
      </c>
      <c r="C231" s="55" t="s">
        <v>54</v>
      </c>
      <c r="D231" s="20" t="s">
        <v>2333</v>
      </c>
      <c r="E231" s="20" t="s">
        <v>2250</v>
      </c>
      <c r="F231" s="3" t="s">
        <v>2241</v>
      </c>
      <c r="G231" s="3" t="s">
        <v>15</v>
      </c>
      <c r="H231" s="19">
        <v>44293</v>
      </c>
      <c r="I231" s="3" t="s">
        <v>2334</v>
      </c>
      <c r="J231" s="3" t="s">
        <v>58</v>
      </c>
      <c r="K231" s="37" t="s">
        <v>59</v>
      </c>
      <c r="L231" s="16" t="s">
        <v>75</v>
      </c>
      <c r="M231" s="16" t="s">
        <v>60</v>
      </c>
      <c r="N231" s="16" t="s">
        <v>75</v>
      </c>
      <c r="O231" s="33"/>
      <c r="P231" s="33"/>
      <c r="Q231" s="16" t="s">
        <v>75</v>
      </c>
      <c r="R231" s="16" t="s">
        <v>75</v>
      </c>
      <c r="S231" s="16"/>
      <c r="T231" s="16"/>
      <c r="U231" s="16"/>
      <c r="V231" s="16"/>
      <c r="W231" s="16"/>
      <c r="X231" s="16" t="s">
        <v>75</v>
      </c>
      <c r="Y231" s="16"/>
      <c r="Z231" s="432"/>
      <c r="AA231" s="432"/>
      <c r="AB231" s="24"/>
      <c r="AC231" s="24"/>
      <c r="AD231" s="282">
        <v>44690</v>
      </c>
      <c r="AE231" s="282">
        <v>44977</v>
      </c>
      <c r="AF231" s="282">
        <v>45327</v>
      </c>
      <c r="AG231" s="282">
        <v>45516</v>
      </c>
      <c r="AH231" s="282">
        <v>45516</v>
      </c>
      <c r="AI231" s="952">
        <v>45057</v>
      </c>
      <c r="AJ231" s="282">
        <v>45607</v>
      </c>
      <c r="AK231" s="282">
        <v>45216</v>
      </c>
      <c r="AM231" s="282">
        <v>45516</v>
      </c>
    </row>
    <row r="232" spans="1:39" ht="22.8" x14ac:dyDescent="0.25">
      <c r="A232" s="28">
        <v>231</v>
      </c>
      <c r="B232" s="17">
        <v>37571</v>
      </c>
      <c r="C232" s="55" t="s">
        <v>64</v>
      </c>
      <c r="D232" s="20" t="s">
        <v>2335</v>
      </c>
      <c r="E232" s="20" t="s">
        <v>2498</v>
      </c>
      <c r="F232" s="3" t="s">
        <v>2241</v>
      </c>
      <c r="G232" s="3" t="s">
        <v>15</v>
      </c>
      <c r="H232" s="19">
        <v>44293</v>
      </c>
      <c r="I232" s="3">
        <v>1032</v>
      </c>
      <c r="J232" s="3" t="s">
        <v>58</v>
      </c>
      <c r="K232" s="37" t="s">
        <v>59</v>
      </c>
      <c r="L232" s="16" t="s">
        <v>75</v>
      </c>
      <c r="M232" s="16" t="s">
        <v>60</v>
      </c>
      <c r="N232" s="16" t="s">
        <v>75</v>
      </c>
      <c r="O232" s="33"/>
      <c r="P232" s="35">
        <v>44791</v>
      </c>
      <c r="Q232" s="16" t="s">
        <v>75</v>
      </c>
      <c r="R232" s="16" t="s">
        <v>75</v>
      </c>
      <c r="S232" s="16" t="s">
        <v>68</v>
      </c>
      <c r="T232" s="16" t="s">
        <v>68</v>
      </c>
      <c r="U232" s="16" t="s">
        <v>68</v>
      </c>
      <c r="V232" s="35">
        <v>44791</v>
      </c>
      <c r="W232" s="35">
        <v>44791</v>
      </c>
      <c r="X232" s="16" t="s">
        <v>75</v>
      </c>
      <c r="Y232" s="16"/>
      <c r="Z232" s="432"/>
      <c r="AA232" s="442">
        <v>44615</v>
      </c>
      <c r="AB232" s="24"/>
      <c r="AC232" s="24"/>
      <c r="AD232" s="282">
        <v>44671</v>
      </c>
      <c r="AE232" s="282">
        <v>44978</v>
      </c>
      <c r="AF232" s="365"/>
      <c r="AG232" s="282">
        <v>45583</v>
      </c>
      <c r="AH232" s="282">
        <v>45583</v>
      </c>
      <c r="AI232" s="282">
        <v>45371</v>
      </c>
      <c r="AJ232" s="58" t="s">
        <v>63</v>
      </c>
      <c r="AM232" s="282">
        <v>45680</v>
      </c>
    </row>
    <row r="233" spans="1:39" ht="22.8" x14ac:dyDescent="0.25">
      <c r="A233" s="28">
        <v>232</v>
      </c>
      <c r="B233" s="17">
        <v>37571</v>
      </c>
      <c r="C233" s="55" t="s">
        <v>54</v>
      </c>
      <c r="D233" s="20" t="s">
        <v>2336</v>
      </c>
      <c r="E233" s="20" t="s">
        <v>2498</v>
      </c>
      <c r="F233" s="3" t="s">
        <v>2241</v>
      </c>
      <c r="G233" s="3" t="s">
        <v>15</v>
      </c>
      <c r="H233" s="19">
        <v>44293</v>
      </c>
      <c r="I233" s="3">
        <v>1038</v>
      </c>
      <c r="J233" s="3" t="s">
        <v>58</v>
      </c>
      <c r="K233" s="37" t="s">
        <v>59</v>
      </c>
      <c r="L233" s="16" t="s">
        <v>75</v>
      </c>
      <c r="M233" s="16" t="s">
        <v>60</v>
      </c>
      <c r="N233" s="16" t="s">
        <v>75</v>
      </c>
      <c r="O233" s="33"/>
      <c r="P233" s="35">
        <v>44791</v>
      </c>
      <c r="Q233" s="16" t="s">
        <v>75</v>
      </c>
      <c r="R233" s="16" t="s">
        <v>75</v>
      </c>
      <c r="S233" s="16" t="s">
        <v>62</v>
      </c>
      <c r="T233" s="16" t="s">
        <v>62</v>
      </c>
      <c r="U233" s="16" t="s">
        <v>62</v>
      </c>
      <c r="V233" s="35">
        <v>44791</v>
      </c>
      <c r="W233" s="35">
        <v>44791</v>
      </c>
      <c r="X233" s="16" t="s">
        <v>75</v>
      </c>
      <c r="Y233" s="16"/>
      <c r="Z233" s="432"/>
      <c r="AA233" s="432"/>
      <c r="AB233" s="24" t="s">
        <v>2524</v>
      </c>
      <c r="AC233" s="24"/>
      <c r="AD233" s="282">
        <v>44671</v>
      </c>
      <c r="AE233" s="282">
        <v>44978</v>
      </c>
      <c r="AF233" s="365"/>
      <c r="AG233" s="282">
        <v>45583</v>
      </c>
      <c r="AH233" s="282">
        <v>45583</v>
      </c>
      <c r="AI233" s="282">
        <v>45371</v>
      </c>
      <c r="AJ233" s="58" t="s">
        <v>63</v>
      </c>
      <c r="AM233" s="282">
        <v>45680</v>
      </c>
    </row>
    <row r="234" spans="1:39" ht="22.8" x14ac:dyDescent="0.25">
      <c r="A234" s="28">
        <v>233</v>
      </c>
      <c r="B234" s="17">
        <v>37579</v>
      </c>
      <c r="C234" s="55" t="s">
        <v>64</v>
      </c>
      <c r="D234" s="20" t="s">
        <v>2337</v>
      </c>
      <c r="E234" s="20" t="s">
        <v>2498</v>
      </c>
      <c r="F234" s="3" t="s">
        <v>2241</v>
      </c>
      <c r="G234" s="3" t="s">
        <v>15</v>
      </c>
      <c r="H234" s="19">
        <v>44315</v>
      </c>
      <c r="I234" s="3" t="s">
        <v>2338</v>
      </c>
      <c r="J234" s="3" t="s">
        <v>58</v>
      </c>
      <c r="K234" s="37" t="s">
        <v>59</v>
      </c>
      <c r="L234" s="16" t="s">
        <v>75</v>
      </c>
      <c r="M234" s="16" t="s">
        <v>60</v>
      </c>
      <c r="N234" s="16" t="s">
        <v>75</v>
      </c>
      <c r="O234" s="33"/>
      <c r="P234" s="282">
        <v>44735</v>
      </c>
      <c r="Q234" s="16" t="s">
        <v>75</v>
      </c>
      <c r="R234" s="16" t="s">
        <v>75</v>
      </c>
      <c r="S234" s="16"/>
      <c r="T234" s="16" t="s">
        <v>68</v>
      </c>
      <c r="U234" s="16" t="s">
        <v>68</v>
      </c>
      <c r="V234" s="282">
        <v>44735</v>
      </c>
      <c r="W234" s="282">
        <v>44735</v>
      </c>
      <c r="X234" s="16" t="s">
        <v>75</v>
      </c>
      <c r="Y234" s="16"/>
      <c r="Z234" s="432"/>
      <c r="AA234" s="432"/>
      <c r="AB234" s="24"/>
      <c r="AC234" s="24"/>
      <c r="AD234" s="282">
        <v>44597</v>
      </c>
      <c r="AE234" s="381">
        <v>45028</v>
      </c>
      <c r="AF234" s="365"/>
      <c r="AG234" s="282">
        <v>45531</v>
      </c>
      <c r="AH234" s="282">
        <v>45639</v>
      </c>
      <c r="AI234" s="282">
        <v>45378</v>
      </c>
      <c r="AM234" s="282">
        <v>45672</v>
      </c>
    </row>
    <row r="235" spans="1:39" ht="22.8" x14ac:dyDescent="0.25">
      <c r="A235" s="28">
        <v>234</v>
      </c>
      <c r="B235" s="17">
        <v>37579</v>
      </c>
      <c r="C235" s="55" t="s">
        <v>54</v>
      </c>
      <c r="D235" s="20" t="s">
        <v>2339</v>
      </c>
      <c r="E235" s="20" t="s">
        <v>2498</v>
      </c>
      <c r="F235" s="3" t="s">
        <v>2241</v>
      </c>
      <c r="G235" s="3" t="s">
        <v>15</v>
      </c>
      <c r="H235" s="19">
        <v>44315</v>
      </c>
      <c r="I235" s="3" t="s">
        <v>2340</v>
      </c>
      <c r="J235" s="3" t="s">
        <v>58</v>
      </c>
      <c r="K235" s="37" t="s">
        <v>59</v>
      </c>
      <c r="L235" s="16" t="s">
        <v>75</v>
      </c>
      <c r="M235" s="16" t="s">
        <v>60</v>
      </c>
      <c r="N235" s="16" t="s">
        <v>75</v>
      </c>
      <c r="O235" s="33"/>
      <c r="P235" s="282">
        <v>44735</v>
      </c>
      <c r="Q235" s="16" t="s">
        <v>75</v>
      </c>
      <c r="R235" s="16" t="s">
        <v>75</v>
      </c>
      <c r="S235" s="16"/>
      <c r="T235" s="16" t="s">
        <v>62</v>
      </c>
      <c r="U235" s="16" t="s">
        <v>62</v>
      </c>
      <c r="V235" s="282">
        <v>44735</v>
      </c>
      <c r="W235" s="282">
        <v>44735</v>
      </c>
      <c r="X235" s="16" t="s">
        <v>75</v>
      </c>
      <c r="Y235" s="16"/>
      <c r="Z235" s="432"/>
      <c r="AA235" s="432"/>
      <c r="AB235" s="24"/>
      <c r="AC235" s="24"/>
      <c r="AD235" s="282">
        <v>44597</v>
      </c>
      <c r="AE235" s="381">
        <v>45028</v>
      </c>
      <c r="AF235" s="365"/>
      <c r="AG235" s="282">
        <v>45531</v>
      </c>
      <c r="AH235" s="282">
        <v>45639</v>
      </c>
      <c r="AI235" s="282">
        <v>45378</v>
      </c>
      <c r="AM235" s="282">
        <v>45672</v>
      </c>
    </row>
    <row r="236" spans="1:39" ht="22.8" x14ac:dyDescent="0.25">
      <c r="A236" s="28">
        <v>235</v>
      </c>
      <c r="B236" s="20">
        <v>39027</v>
      </c>
      <c r="C236" s="27" t="s">
        <v>64</v>
      </c>
      <c r="D236" s="3" t="s">
        <v>2341</v>
      </c>
      <c r="E236" s="20" t="s">
        <v>2498</v>
      </c>
      <c r="F236" s="29" t="s">
        <v>2241</v>
      </c>
      <c r="G236" s="29" t="s">
        <v>15</v>
      </c>
      <c r="H236" s="19">
        <v>43495</v>
      </c>
      <c r="I236" s="3">
        <v>250</v>
      </c>
      <c r="J236" s="3" t="s">
        <v>58</v>
      </c>
      <c r="K236" s="37" t="s">
        <v>59</v>
      </c>
      <c r="L236" s="33">
        <v>44243</v>
      </c>
      <c r="M236" s="16" t="s">
        <v>60</v>
      </c>
      <c r="N236" s="40">
        <v>44237</v>
      </c>
      <c r="O236" s="33"/>
      <c r="P236" s="282">
        <v>44814</v>
      </c>
      <c r="Q236" s="16" t="s">
        <v>68</v>
      </c>
      <c r="R236" s="16" t="s">
        <v>68</v>
      </c>
      <c r="S236" s="16"/>
      <c r="T236" s="16" t="s">
        <v>68</v>
      </c>
      <c r="U236" s="16"/>
      <c r="V236" s="282">
        <v>44814</v>
      </c>
      <c r="W236" s="282">
        <v>44814</v>
      </c>
      <c r="X236" s="16"/>
      <c r="Y236" s="16"/>
      <c r="Z236" s="432"/>
      <c r="AA236" s="442"/>
      <c r="AB236" s="24" t="s">
        <v>2525</v>
      </c>
      <c r="AC236" s="24"/>
      <c r="AD236" s="282">
        <v>44692</v>
      </c>
      <c r="AE236" s="282">
        <v>45001</v>
      </c>
      <c r="AF236" s="282">
        <v>45322</v>
      </c>
      <c r="AG236" s="282">
        <v>45468</v>
      </c>
      <c r="AH236" s="282">
        <v>45625</v>
      </c>
      <c r="AI236" s="282">
        <v>45322</v>
      </c>
      <c r="AJ236" s="58" t="s">
        <v>63</v>
      </c>
      <c r="AK236" s="282">
        <v>45461</v>
      </c>
      <c r="AL236" s="282">
        <v>45667</v>
      </c>
      <c r="AM236" s="282">
        <v>45731</v>
      </c>
    </row>
    <row r="237" spans="1:39" ht="22.8" x14ac:dyDescent="0.25">
      <c r="A237" s="28">
        <v>236</v>
      </c>
      <c r="B237" s="20">
        <v>39027</v>
      </c>
      <c r="C237" s="27" t="s">
        <v>54</v>
      </c>
      <c r="D237" s="3" t="s">
        <v>2342</v>
      </c>
      <c r="E237" s="20" t="s">
        <v>2498</v>
      </c>
      <c r="F237" s="29" t="s">
        <v>2241</v>
      </c>
      <c r="G237" s="29" t="s">
        <v>15</v>
      </c>
      <c r="H237" s="19">
        <v>43495</v>
      </c>
      <c r="I237" s="3">
        <v>252</v>
      </c>
      <c r="J237" s="3" t="s">
        <v>58</v>
      </c>
      <c r="K237" s="37" t="s">
        <v>59</v>
      </c>
      <c r="L237" s="33">
        <v>44243</v>
      </c>
      <c r="M237" s="16" t="s">
        <v>60</v>
      </c>
      <c r="N237" s="40">
        <v>44237</v>
      </c>
      <c r="O237" s="33"/>
      <c r="P237" s="282">
        <v>44814</v>
      </c>
      <c r="Q237" s="16" t="s">
        <v>62</v>
      </c>
      <c r="R237" s="16" t="s">
        <v>62</v>
      </c>
      <c r="S237" s="16"/>
      <c r="T237" s="16" t="s">
        <v>62</v>
      </c>
      <c r="U237" s="16"/>
      <c r="V237" s="282">
        <v>44814</v>
      </c>
      <c r="W237" s="282">
        <v>44814</v>
      </c>
      <c r="X237" s="16"/>
      <c r="Y237" s="16"/>
      <c r="Z237" s="432"/>
      <c r="AA237" s="442">
        <v>44463</v>
      </c>
      <c r="AB237" s="24" t="s">
        <v>2526</v>
      </c>
      <c r="AC237" s="24"/>
      <c r="AD237" s="282">
        <v>44692</v>
      </c>
      <c r="AE237" s="282">
        <v>45001</v>
      </c>
      <c r="AF237" s="282">
        <v>45322</v>
      </c>
      <c r="AG237" s="282">
        <v>45468</v>
      </c>
      <c r="AH237" s="282">
        <v>45625</v>
      </c>
      <c r="AI237" s="282">
        <v>45322</v>
      </c>
      <c r="AJ237" s="58" t="s">
        <v>63</v>
      </c>
      <c r="AK237" s="282">
        <v>45461</v>
      </c>
      <c r="AL237" s="282">
        <v>45667</v>
      </c>
      <c r="AM237" s="282">
        <v>45731</v>
      </c>
    </row>
    <row r="238" spans="1:39" ht="22.8" x14ac:dyDescent="0.25">
      <c r="A238" s="28">
        <v>237</v>
      </c>
      <c r="B238" s="20">
        <v>39066</v>
      </c>
      <c r="C238" s="27" t="s">
        <v>64</v>
      </c>
      <c r="D238" s="24" t="s">
        <v>2343</v>
      </c>
      <c r="E238" s="20" t="s">
        <v>2498</v>
      </c>
      <c r="F238" s="29" t="s">
        <v>2241</v>
      </c>
      <c r="G238" s="29" t="s">
        <v>15</v>
      </c>
      <c r="H238" s="19">
        <v>43658</v>
      </c>
      <c r="I238" s="3">
        <v>393</v>
      </c>
      <c r="J238" s="3" t="s">
        <v>58</v>
      </c>
      <c r="K238" s="37" t="s">
        <v>59</v>
      </c>
      <c r="L238" s="33">
        <v>43853</v>
      </c>
      <c r="M238" s="34" t="s">
        <v>60</v>
      </c>
      <c r="N238" s="33">
        <v>44238</v>
      </c>
      <c r="O238" s="282">
        <v>45392</v>
      </c>
      <c r="P238" s="282">
        <v>44814</v>
      </c>
      <c r="Q238" s="16" t="s">
        <v>68</v>
      </c>
      <c r="R238" s="16" t="s">
        <v>68</v>
      </c>
      <c r="S238" s="16" t="s">
        <v>68</v>
      </c>
      <c r="T238" s="16" t="s">
        <v>68</v>
      </c>
      <c r="U238" s="37" t="s">
        <v>68</v>
      </c>
      <c r="V238" s="282">
        <v>44814</v>
      </c>
      <c r="W238" s="282">
        <v>44814</v>
      </c>
      <c r="X238" s="16"/>
      <c r="Y238" s="16" t="s">
        <v>2168</v>
      </c>
      <c r="Z238" s="432" t="s">
        <v>2168</v>
      </c>
      <c r="AA238" s="442">
        <v>44492</v>
      </c>
      <c r="AB238" s="24" t="s">
        <v>2527</v>
      </c>
      <c r="AC238" s="24"/>
      <c r="AD238" s="282">
        <v>44747</v>
      </c>
      <c r="AE238" s="282">
        <v>44996</v>
      </c>
      <c r="AF238" s="282">
        <v>45416</v>
      </c>
      <c r="AG238" s="282">
        <v>45514</v>
      </c>
      <c r="AH238" s="282">
        <v>45660</v>
      </c>
      <c r="AI238" s="282">
        <v>45392</v>
      </c>
      <c r="AJ238" s="58" t="s">
        <v>63</v>
      </c>
      <c r="AK238" s="282">
        <v>45411</v>
      </c>
      <c r="AL238" s="282">
        <v>45649</v>
      </c>
      <c r="AM238" s="282">
        <v>45411</v>
      </c>
    </row>
    <row r="239" spans="1:39" ht="22.8" x14ac:dyDescent="0.25">
      <c r="A239" s="28">
        <v>238</v>
      </c>
      <c r="B239" s="20">
        <v>39066</v>
      </c>
      <c r="C239" s="27" t="s">
        <v>54</v>
      </c>
      <c r="D239" s="24" t="s">
        <v>2344</v>
      </c>
      <c r="E239" s="20" t="s">
        <v>2498</v>
      </c>
      <c r="F239" s="29" t="s">
        <v>2241</v>
      </c>
      <c r="G239" s="29" t="s">
        <v>15</v>
      </c>
      <c r="H239" s="19">
        <v>43658</v>
      </c>
      <c r="I239" s="3">
        <v>399</v>
      </c>
      <c r="J239" s="3" t="s">
        <v>58</v>
      </c>
      <c r="K239" s="37" t="s">
        <v>59</v>
      </c>
      <c r="L239" s="33">
        <v>43853</v>
      </c>
      <c r="M239" s="34" t="s">
        <v>60</v>
      </c>
      <c r="N239" s="33">
        <v>44238</v>
      </c>
      <c r="O239" s="282">
        <v>45392</v>
      </c>
      <c r="P239" s="282">
        <v>44814</v>
      </c>
      <c r="Q239" s="37" t="s">
        <v>62</v>
      </c>
      <c r="R239" s="16" t="s">
        <v>62</v>
      </c>
      <c r="S239" s="16" t="s">
        <v>62</v>
      </c>
      <c r="T239" s="16" t="s">
        <v>62</v>
      </c>
      <c r="U239" s="37" t="s">
        <v>62</v>
      </c>
      <c r="V239" s="282">
        <v>44814</v>
      </c>
      <c r="W239" s="282">
        <v>44814</v>
      </c>
      <c r="X239" s="16"/>
      <c r="Y239" s="16" t="s">
        <v>2168</v>
      </c>
      <c r="Z239" s="432" t="s">
        <v>2168</v>
      </c>
      <c r="AA239" s="442">
        <v>44492</v>
      </c>
      <c r="AB239" s="24" t="s">
        <v>2528</v>
      </c>
      <c r="AC239" s="24"/>
      <c r="AD239" s="282">
        <v>44747</v>
      </c>
      <c r="AE239" s="282">
        <v>45090</v>
      </c>
      <c r="AF239" s="282">
        <v>45416</v>
      </c>
      <c r="AG239" s="282">
        <v>45514</v>
      </c>
      <c r="AH239" s="282">
        <v>45660</v>
      </c>
      <c r="AI239" s="282">
        <v>45392</v>
      </c>
      <c r="AJ239" s="58" t="s">
        <v>63</v>
      </c>
      <c r="AK239" s="282">
        <v>45411</v>
      </c>
      <c r="AL239" s="282">
        <v>45649</v>
      </c>
      <c r="AM239" s="282">
        <v>45411</v>
      </c>
    </row>
    <row r="240" spans="1:39" ht="22.8" x14ac:dyDescent="0.25">
      <c r="A240" s="28">
        <v>239</v>
      </c>
      <c r="B240" s="20">
        <v>39103</v>
      </c>
      <c r="C240" s="27" t="s">
        <v>64</v>
      </c>
      <c r="D240" s="24" t="s">
        <v>2345</v>
      </c>
      <c r="E240" s="20" t="s">
        <v>2250</v>
      </c>
      <c r="F240" s="29" t="s">
        <v>2241</v>
      </c>
      <c r="G240" s="29" t="s">
        <v>15</v>
      </c>
      <c r="H240" s="19">
        <v>43767</v>
      </c>
      <c r="I240" s="3">
        <v>526</v>
      </c>
      <c r="J240" s="3" t="s">
        <v>58</v>
      </c>
      <c r="K240" s="37" t="s">
        <v>59</v>
      </c>
      <c r="L240" s="33">
        <v>43904</v>
      </c>
      <c r="M240" s="16" t="s">
        <v>60</v>
      </c>
      <c r="N240" s="33">
        <v>44228</v>
      </c>
      <c r="O240" s="33"/>
      <c r="P240" s="282">
        <v>44844</v>
      </c>
      <c r="Q240" s="16" t="s">
        <v>75</v>
      </c>
      <c r="R240" s="16" t="s">
        <v>68</v>
      </c>
      <c r="S240" s="16"/>
      <c r="T240" s="16"/>
      <c r="U240" s="16"/>
      <c r="V240" s="282">
        <v>44844</v>
      </c>
      <c r="W240" s="282">
        <v>44844</v>
      </c>
      <c r="X240" s="16"/>
      <c r="Y240" s="16" t="s">
        <v>2168</v>
      </c>
      <c r="Z240" s="432" t="s">
        <v>2168</v>
      </c>
      <c r="AA240" s="442">
        <v>44476</v>
      </c>
      <c r="AB240" s="24" t="s">
        <v>2529</v>
      </c>
      <c r="AC240" s="24"/>
      <c r="AD240" s="282">
        <v>44602</v>
      </c>
      <c r="AE240" s="282">
        <v>45219</v>
      </c>
      <c r="AF240" s="282">
        <v>45631</v>
      </c>
      <c r="AG240" s="282">
        <v>45549</v>
      </c>
      <c r="AH240" s="282">
        <v>45549</v>
      </c>
      <c r="AI240" s="952">
        <v>45520</v>
      </c>
      <c r="AJ240" s="282">
        <v>45631</v>
      </c>
      <c r="AL240" s="282">
        <v>45540</v>
      </c>
      <c r="AM240" s="282">
        <v>45524</v>
      </c>
    </row>
    <row r="241" spans="1:39" ht="22.8" x14ac:dyDescent="0.25">
      <c r="A241" s="28">
        <v>240</v>
      </c>
      <c r="B241" s="20">
        <v>39103</v>
      </c>
      <c r="C241" s="27" t="s">
        <v>54</v>
      </c>
      <c r="D241" s="24" t="s">
        <v>2346</v>
      </c>
      <c r="E241" s="20" t="s">
        <v>2250</v>
      </c>
      <c r="F241" s="29" t="s">
        <v>2241</v>
      </c>
      <c r="G241" s="29" t="s">
        <v>15</v>
      </c>
      <c r="H241" s="19">
        <v>43767</v>
      </c>
      <c r="I241" s="3">
        <v>527</v>
      </c>
      <c r="J241" s="3" t="s">
        <v>58</v>
      </c>
      <c r="K241" s="37" t="s">
        <v>59</v>
      </c>
      <c r="L241" s="33">
        <v>43904</v>
      </c>
      <c r="M241" s="16" t="s">
        <v>60</v>
      </c>
      <c r="N241" s="33">
        <v>44228</v>
      </c>
      <c r="O241" s="33"/>
      <c r="P241" s="282">
        <v>44844</v>
      </c>
      <c r="Q241" s="16" t="s">
        <v>75</v>
      </c>
      <c r="R241" s="16" t="s">
        <v>62</v>
      </c>
      <c r="S241" s="16"/>
      <c r="T241" s="16"/>
      <c r="U241" s="16"/>
      <c r="V241" s="282">
        <v>44844</v>
      </c>
      <c r="W241" s="282">
        <v>44844</v>
      </c>
      <c r="X241" s="16"/>
      <c r="Y241" s="16" t="s">
        <v>2168</v>
      </c>
      <c r="Z241" s="432" t="s">
        <v>2168</v>
      </c>
      <c r="AA241" s="432"/>
      <c r="AB241" s="1116" t="s">
        <v>2530</v>
      </c>
      <c r="AC241" s="24"/>
      <c r="AD241" s="282">
        <v>44602</v>
      </c>
      <c r="AE241" s="282">
        <v>45219</v>
      </c>
      <c r="AF241" s="282">
        <v>45631</v>
      </c>
      <c r="AG241" s="282">
        <v>45549</v>
      </c>
      <c r="AH241" s="282">
        <v>45549</v>
      </c>
      <c r="AI241" s="952">
        <v>45520</v>
      </c>
      <c r="AJ241" s="282">
        <v>45631</v>
      </c>
      <c r="AL241" s="282">
        <v>45540</v>
      </c>
      <c r="AM241" s="282">
        <v>45524</v>
      </c>
    </row>
    <row r="242" spans="1:39" ht="22.8" x14ac:dyDescent="0.25">
      <c r="A242" s="28">
        <v>241</v>
      </c>
      <c r="B242" s="20">
        <v>39159</v>
      </c>
      <c r="C242" s="27" t="s">
        <v>64</v>
      </c>
      <c r="D242" s="3" t="s">
        <v>2347</v>
      </c>
      <c r="E242" s="20" t="s">
        <v>2250</v>
      </c>
      <c r="F242" s="29" t="s">
        <v>2241</v>
      </c>
      <c r="G242" s="29" t="s">
        <v>15</v>
      </c>
      <c r="H242" s="19">
        <v>44092</v>
      </c>
      <c r="I242" s="3">
        <v>884</v>
      </c>
      <c r="J242" s="3" t="s">
        <v>58</v>
      </c>
      <c r="K242" s="37" t="s">
        <v>59</v>
      </c>
      <c r="L242" s="33"/>
      <c r="M242" s="34" t="s">
        <v>60</v>
      </c>
      <c r="N242" s="35">
        <v>44182</v>
      </c>
      <c r="O242" s="33"/>
      <c r="P242" s="282">
        <v>44747</v>
      </c>
      <c r="Q242" s="16" t="s">
        <v>75</v>
      </c>
      <c r="R242" s="16" t="s">
        <v>75</v>
      </c>
      <c r="S242" s="16"/>
      <c r="T242" s="16"/>
      <c r="U242" s="16"/>
      <c r="V242" s="282">
        <v>44747</v>
      </c>
      <c r="W242" s="282">
        <v>44747</v>
      </c>
      <c r="X242" s="16" t="s">
        <v>75</v>
      </c>
      <c r="Y242" s="16"/>
      <c r="Z242" s="432"/>
      <c r="AA242" s="432"/>
      <c r="AB242" s="24" t="s">
        <v>2531</v>
      </c>
      <c r="AC242" s="24"/>
      <c r="AD242" s="282">
        <v>44599</v>
      </c>
      <c r="AE242" s="58"/>
      <c r="AF242" s="282">
        <v>45320</v>
      </c>
      <c r="AG242" s="282">
        <v>45507</v>
      </c>
      <c r="AH242" s="282">
        <v>45507</v>
      </c>
      <c r="AI242" s="952">
        <v>45320</v>
      </c>
      <c r="AJ242" s="282">
        <v>45603</v>
      </c>
      <c r="AK242" s="282">
        <v>45413</v>
      </c>
      <c r="AL242" s="282"/>
      <c r="AM242" s="282">
        <v>45413</v>
      </c>
    </row>
    <row r="243" spans="1:39" ht="22.8" x14ac:dyDescent="0.25">
      <c r="A243" s="28">
        <v>242</v>
      </c>
      <c r="B243" s="20">
        <v>39159</v>
      </c>
      <c r="C243" s="27" t="s">
        <v>54</v>
      </c>
      <c r="D243" s="3" t="s">
        <v>2348</v>
      </c>
      <c r="E243" s="20" t="s">
        <v>2250</v>
      </c>
      <c r="F243" s="29" t="s">
        <v>2241</v>
      </c>
      <c r="G243" s="29" t="s">
        <v>15</v>
      </c>
      <c r="H243" s="19">
        <v>44092</v>
      </c>
      <c r="I243" s="3">
        <v>878</v>
      </c>
      <c r="J243" s="3" t="s">
        <v>58</v>
      </c>
      <c r="K243" s="37" t="s">
        <v>59</v>
      </c>
      <c r="L243" s="33"/>
      <c r="M243" s="34" t="s">
        <v>60</v>
      </c>
      <c r="N243" s="35">
        <v>44182</v>
      </c>
      <c r="O243" s="33"/>
      <c r="P243" s="282">
        <v>44747</v>
      </c>
      <c r="Q243" s="16" t="s">
        <v>75</v>
      </c>
      <c r="R243" s="16" t="s">
        <v>75</v>
      </c>
      <c r="S243" s="16"/>
      <c r="T243" s="16"/>
      <c r="U243" s="16"/>
      <c r="V243" s="282">
        <v>44747</v>
      </c>
      <c r="W243" s="282">
        <v>44747</v>
      </c>
      <c r="X243" s="16" t="s">
        <v>75</v>
      </c>
      <c r="Y243" s="16"/>
      <c r="Z243" s="432"/>
      <c r="AA243" s="432"/>
      <c r="AB243" s="24"/>
      <c r="AC243" s="24"/>
      <c r="AD243" s="282">
        <v>44599</v>
      </c>
      <c r="AE243" s="58"/>
      <c r="AF243" s="282">
        <v>45320</v>
      </c>
      <c r="AG243" s="282">
        <v>45507</v>
      </c>
      <c r="AH243" s="282">
        <v>45507</v>
      </c>
      <c r="AI243" s="952">
        <v>45320</v>
      </c>
      <c r="AJ243" s="282">
        <v>45603</v>
      </c>
      <c r="AK243" s="282">
        <v>45413</v>
      </c>
      <c r="AM243" s="282">
        <v>45413</v>
      </c>
    </row>
    <row r="244" spans="1:39" ht="22.8" x14ac:dyDescent="0.25">
      <c r="A244" s="28">
        <v>243</v>
      </c>
      <c r="B244" s="20">
        <v>39160</v>
      </c>
      <c r="C244" s="27" t="s">
        <v>64</v>
      </c>
      <c r="D244" s="3" t="s">
        <v>2349</v>
      </c>
      <c r="E244" s="20" t="s">
        <v>2250</v>
      </c>
      <c r="F244" s="29" t="s">
        <v>2241</v>
      </c>
      <c r="G244" s="29" t="s">
        <v>15</v>
      </c>
      <c r="H244" s="19">
        <v>44095</v>
      </c>
      <c r="I244" s="3">
        <v>882</v>
      </c>
      <c r="J244" s="3" t="s">
        <v>58</v>
      </c>
      <c r="K244" s="37" t="s">
        <v>59</v>
      </c>
      <c r="L244" s="33" t="s">
        <v>63</v>
      </c>
      <c r="M244" s="41" t="s">
        <v>60</v>
      </c>
      <c r="N244" s="40">
        <v>44209</v>
      </c>
      <c r="O244" s="38">
        <v>44059</v>
      </c>
      <c r="P244" s="282">
        <v>44865</v>
      </c>
      <c r="Q244" s="16" t="s">
        <v>75</v>
      </c>
      <c r="R244" s="16" t="s">
        <v>75</v>
      </c>
      <c r="S244" s="16"/>
      <c r="T244" s="282">
        <v>45644</v>
      </c>
      <c r="U244" s="16"/>
      <c r="V244" s="282">
        <v>44865</v>
      </c>
      <c r="W244" s="37" t="s">
        <v>68</v>
      </c>
      <c r="X244" s="16" t="s">
        <v>75</v>
      </c>
      <c r="Y244" s="16"/>
      <c r="Z244" s="432"/>
      <c r="AA244" s="432"/>
      <c r="AB244" s="24"/>
      <c r="AC244" s="24"/>
      <c r="AD244" s="282">
        <v>44699</v>
      </c>
      <c r="AE244" s="282">
        <v>44972</v>
      </c>
      <c r="AF244" s="282">
        <v>45447</v>
      </c>
      <c r="AG244" s="282">
        <v>45464</v>
      </c>
      <c r="AH244" s="282">
        <v>45464</v>
      </c>
      <c r="AI244" s="952">
        <v>45058</v>
      </c>
      <c r="AJ244" s="282">
        <v>45644</v>
      </c>
      <c r="AK244" s="282">
        <v>45447</v>
      </c>
      <c r="AM244" s="282">
        <v>45447</v>
      </c>
    </row>
    <row r="245" spans="1:39" ht="22.8" x14ac:dyDescent="0.25">
      <c r="A245" s="28">
        <v>244</v>
      </c>
      <c r="B245" s="20">
        <v>39160</v>
      </c>
      <c r="C245" s="27" t="s">
        <v>54</v>
      </c>
      <c r="D245" s="3" t="s">
        <v>2350</v>
      </c>
      <c r="E245" s="20" t="s">
        <v>2250</v>
      </c>
      <c r="F245" s="29" t="s">
        <v>2241</v>
      </c>
      <c r="G245" s="29" t="s">
        <v>15</v>
      </c>
      <c r="H245" s="19">
        <v>44095</v>
      </c>
      <c r="I245" s="3">
        <v>883</v>
      </c>
      <c r="J245" s="3" t="s">
        <v>58</v>
      </c>
      <c r="K245" s="37" t="s">
        <v>59</v>
      </c>
      <c r="L245" s="33" t="s">
        <v>63</v>
      </c>
      <c r="M245" s="41" t="s">
        <v>60</v>
      </c>
      <c r="N245" s="40">
        <v>44209</v>
      </c>
      <c r="O245" s="38">
        <v>44059</v>
      </c>
      <c r="P245" s="282">
        <v>44865</v>
      </c>
      <c r="Q245" s="16" t="s">
        <v>75</v>
      </c>
      <c r="R245" s="16" t="s">
        <v>75</v>
      </c>
      <c r="S245" s="16"/>
      <c r="T245" s="282">
        <v>45644</v>
      </c>
      <c r="U245" s="16"/>
      <c r="V245" s="282">
        <v>44865</v>
      </c>
      <c r="W245" s="37" t="s">
        <v>62</v>
      </c>
      <c r="X245" s="16" t="s">
        <v>75</v>
      </c>
      <c r="Y245" s="16"/>
      <c r="Z245" s="432"/>
      <c r="AA245" s="432"/>
      <c r="AB245" s="24"/>
      <c r="AC245" s="24"/>
      <c r="AD245" s="282">
        <v>44699</v>
      </c>
      <c r="AE245" s="282">
        <v>44972</v>
      </c>
      <c r="AF245" s="282">
        <v>45447</v>
      </c>
      <c r="AG245" s="282">
        <v>45464</v>
      </c>
      <c r="AH245" s="282">
        <v>45464</v>
      </c>
      <c r="AI245" s="952">
        <v>45058</v>
      </c>
      <c r="AJ245" s="282">
        <v>45644</v>
      </c>
      <c r="AK245" s="282">
        <v>45447</v>
      </c>
      <c r="AM245" s="282">
        <v>45447</v>
      </c>
    </row>
    <row r="246" spans="1:39" ht="22.8" x14ac:dyDescent="0.25">
      <c r="A246" s="28">
        <v>245</v>
      </c>
      <c r="B246" s="55">
        <v>39192</v>
      </c>
      <c r="C246" s="55" t="s">
        <v>64</v>
      </c>
      <c r="D246" s="20" t="s">
        <v>2351</v>
      </c>
      <c r="E246" s="20" t="s">
        <v>2498</v>
      </c>
      <c r="F246" s="3" t="s">
        <v>2241</v>
      </c>
      <c r="G246" s="3" t="s">
        <v>15</v>
      </c>
      <c r="H246" s="19">
        <v>44315</v>
      </c>
      <c r="I246" s="3" t="s">
        <v>2352</v>
      </c>
      <c r="J246" s="3" t="s">
        <v>58</v>
      </c>
      <c r="K246" s="37" t="s">
        <v>59</v>
      </c>
      <c r="L246" s="16" t="s">
        <v>75</v>
      </c>
      <c r="M246" s="16" t="s">
        <v>60</v>
      </c>
      <c r="N246" s="16" t="s">
        <v>75</v>
      </c>
      <c r="O246" s="33"/>
      <c r="P246" s="282">
        <v>44813</v>
      </c>
      <c r="Q246" s="16" t="s">
        <v>75</v>
      </c>
      <c r="R246" s="16" t="s">
        <v>75</v>
      </c>
      <c r="S246" s="37"/>
      <c r="T246" s="16"/>
      <c r="U246" s="16"/>
      <c r="V246" s="282">
        <v>44813</v>
      </c>
      <c r="W246" s="282">
        <v>44813</v>
      </c>
      <c r="X246" s="16" t="s">
        <v>75</v>
      </c>
      <c r="Y246" s="16"/>
      <c r="Z246" s="432"/>
      <c r="AA246" s="432"/>
      <c r="AB246" s="24"/>
      <c r="AC246" s="24"/>
      <c r="AD246" s="282">
        <v>44604</v>
      </c>
      <c r="AE246" s="58" t="s">
        <v>2532</v>
      </c>
      <c r="AF246" s="365"/>
      <c r="AG246" s="282">
        <v>45520</v>
      </c>
      <c r="AH246" s="282">
        <v>45614</v>
      </c>
      <c r="AI246" s="282">
        <v>45430</v>
      </c>
      <c r="AJ246" s="58" t="s">
        <v>63</v>
      </c>
      <c r="AM246" s="282">
        <v>45696</v>
      </c>
    </row>
    <row r="247" spans="1:39" ht="22.8" x14ac:dyDescent="0.25">
      <c r="A247" s="28">
        <v>246</v>
      </c>
      <c r="B247" s="55">
        <v>39192</v>
      </c>
      <c r="C247" s="55" t="s">
        <v>54</v>
      </c>
      <c r="D247" s="20" t="s">
        <v>2353</v>
      </c>
      <c r="E247" s="20" t="s">
        <v>2498</v>
      </c>
      <c r="F247" s="3" t="s">
        <v>2241</v>
      </c>
      <c r="G247" s="3" t="s">
        <v>15</v>
      </c>
      <c r="H247" s="19">
        <v>44315</v>
      </c>
      <c r="I247" s="3" t="s">
        <v>2354</v>
      </c>
      <c r="J247" s="3" t="s">
        <v>58</v>
      </c>
      <c r="K247" s="37" t="s">
        <v>59</v>
      </c>
      <c r="L247" s="16" t="s">
        <v>75</v>
      </c>
      <c r="M247" s="16" t="s">
        <v>60</v>
      </c>
      <c r="N247" s="16" t="s">
        <v>75</v>
      </c>
      <c r="O247" s="33"/>
      <c r="P247" s="282">
        <v>44813</v>
      </c>
      <c r="Q247" s="16" t="s">
        <v>75</v>
      </c>
      <c r="R247" s="16" t="s">
        <v>75</v>
      </c>
      <c r="S247" s="37"/>
      <c r="T247" s="16"/>
      <c r="U247" s="16"/>
      <c r="V247" s="282">
        <v>44813</v>
      </c>
      <c r="W247" s="282">
        <v>44813</v>
      </c>
      <c r="X247" s="16" t="s">
        <v>75</v>
      </c>
      <c r="Y247" s="16"/>
      <c r="Z247" s="432"/>
      <c r="AA247" s="432"/>
      <c r="AB247" s="24"/>
      <c r="AC247" s="24"/>
      <c r="AD247" s="282">
        <v>44604</v>
      </c>
      <c r="AE247" s="58" t="s">
        <v>2532</v>
      </c>
      <c r="AF247" s="365"/>
      <c r="AG247" s="282">
        <v>45520</v>
      </c>
      <c r="AH247" s="282">
        <v>45614</v>
      </c>
      <c r="AI247" s="282">
        <v>45430</v>
      </c>
      <c r="AJ247" s="58" t="s">
        <v>63</v>
      </c>
      <c r="AM247" s="282">
        <v>45696</v>
      </c>
    </row>
    <row r="248" spans="1:39" ht="22.8" x14ac:dyDescent="0.25">
      <c r="A248" s="28">
        <v>247</v>
      </c>
      <c r="B248" s="56">
        <v>39180</v>
      </c>
      <c r="C248" s="60"/>
      <c r="D248" s="3" t="s">
        <v>2358</v>
      </c>
      <c r="E248" s="18" t="s">
        <v>1933</v>
      </c>
      <c r="F248" s="18"/>
      <c r="G248" s="18" t="s">
        <v>15</v>
      </c>
      <c r="H248" s="18"/>
      <c r="I248" s="3" t="s">
        <v>2359</v>
      </c>
      <c r="J248" s="3" t="s">
        <v>58</v>
      </c>
      <c r="K248" s="37" t="s">
        <v>59</v>
      </c>
      <c r="L248" s="16" t="s">
        <v>75</v>
      </c>
      <c r="M248" s="16" t="s">
        <v>60</v>
      </c>
      <c r="N248" s="16" t="s">
        <v>75</v>
      </c>
      <c r="O248" s="33"/>
      <c r="P248" s="33"/>
      <c r="Q248" s="16" t="s">
        <v>75</v>
      </c>
      <c r="R248" s="16" t="s">
        <v>75</v>
      </c>
      <c r="S248" s="37" t="s">
        <v>62</v>
      </c>
      <c r="T248" s="16" t="s">
        <v>62</v>
      </c>
      <c r="U248" s="16" t="s">
        <v>62</v>
      </c>
      <c r="V248" s="16"/>
      <c r="W248" s="16"/>
      <c r="X248" s="16" t="s">
        <v>75</v>
      </c>
      <c r="Y248" s="16"/>
      <c r="Z248" s="432"/>
      <c r="AA248" s="432"/>
      <c r="AB248" s="24"/>
      <c r="AC248" s="24"/>
      <c r="AD248" s="281">
        <v>44710</v>
      </c>
      <c r="AE248" s="343">
        <v>45343</v>
      </c>
      <c r="AF248" s="365"/>
      <c r="AG248" s="343">
        <v>45556</v>
      </c>
      <c r="AI248" s="143">
        <v>45343</v>
      </c>
      <c r="AJ248" s="58" t="s">
        <v>63</v>
      </c>
      <c r="AK248" s="343">
        <v>45556</v>
      </c>
      <c r="AL248" s="343">
        <v>45556</v>
      </c>
      <c r="AM248" s="343">
        <v>45556</v>
      </c>
    </row>
    <row r="249" spans="1:39" ht="22.8" x14ac:dyDescent="0.25">
      <c r="A249" s="28">
        <v>248</v>
      </c>
      <c r="B249" s="20">
        <v>37582</v>
      </c>
      <c r="C249" s="27" t="s">
        <v>54</v>
      </c>
      <c r="D249" s="20" t="s">
        <v>2366</v>
      </c>
      <c r="E249" s="20" t="s">
        <v>2250</v>
      </c>
      <c r="F249" s="3" t="s">
        <v>2241</v>
      </c>
      <c r="G249" s="29" t="s">
        <v>2367</v>
      </c>
      <c r="H249" s="19"/>
      <c r="I249" s="3">
        <v>802</v>
      </c>
      <c r="J249" s="3" t="s">
        <v>58</v>
      </c>
      <c r="K249" s="37" t="s">
        <v>59</v>
      </c>
      <c r="L249" s="24" t="s">
        <v>63</v>
      </c>
      <c r="M249" s="41" t="s">
        <v>60</v>
      </c>
      <c r="N249" s="24" t="s">
        <v>75</v>
      </c>
      <c r="O249" s="24"/>
      <c r="P249" s="282">
        <v>44753</v>
      </c>
      <c r="Q249" s="16" t="s">
        <v>75</v>
      </c>
      <c r="R249" s="16" t="s">
        <v>75</v>
      </c>
      <c r="S249" s="24"/>
      <c r="T249" s="24"/>
      <c r="U249" s="24"/>
      <c r="V249" s="282">
        <v>44851</v>
      </c>
      <c r="W249" s="282">
        <v>44851</v>
      </c>
      <c r="X249" s="16" t="s">
        <v>75</v>
      </c>
      <c r="Y249" s="24"/>
      <c r="Z249" s="435"/>
      <c r="AA249" s="435"/>
      <c r="AB249" s="24" t="s">
        <v>2533</v>
      </c>
      <c r="AC249" s="24"/>
      <c r="AD249" s="282">
        <v>44701</v>
      </c>
      <c r="AE249" s="282">
        <v>44946</v>
      </c>
      <c r="AF249" s="282">
        <v>45652</v>
      </c>
      <c r="AG249" s="282">
        <v>45514</v>
      </c>
      <c r="AH249" s="282">
        <v>45514</v>
      </c>
      <c r="AI249" s="952">
        <v>45044</v>
      </c>
      <c r="AJ249" s="58" t="s">
        <v>63</v>
      </c>
      <c r="AK249" s="282">
        <v>45461</v>
      </c>
      <c r="AL249" s="282">
        <v>45654</v>
      </c>
      <c r="AM249" s="282">
        <v>45461</v>
      </c>
    </row>
    <row r="250" spans="1:39" ht="22.8" x14ac:dyDescent="0.25">
      <c r="A250" s="28">
        <v>249</v>
      </c>
      <c r="B250" s="20">
        <v>37577</v>
      </c>
      <c r="C250" s="27" t="s">
        <v>54</v>
      </c>
      <c r="D250" s="20" t="s">
        <v>2369</v>
      </c>
      <c r="E250" s="20" t="s">
        <v>2498</v>
      </c>
      <c r="F250" s="3" t="s">
        <v>2241</v>
      </c>
      <c r="G250" s="29" t="s">
        <v>2367</v>
      </c>
      <c r="H250" s="19"/>
      <c r="I250" s="3">
        <v>826</v>
      </c>
      <c r="J250" s="3" t="s">
        <v>58</v>
      </c>
      <c r="K250" s="37" t="s">
        <v>59</v>
      </c>
      <c r="L250" s="33"/>
      <c r="M250" s="85" t="s">
        <v>60</v>
      </c>
      <c r="N250" s="52">
        <v>44364</v>
      </c>
      <c r="O250" s="33"/>
      <c r="P250" s="282">
        <v>44946</v>
      </c>
      <c r="Q250" s="16" t="s">
        <v>75</v>
      </c>
      <c r="R250" s="16" t="s">
        <v>75</v>
      </c>
      <c r="S250" s="16"/>
      <c r="T250" s="16"/>
      <c r="U250" s="51"/>
      <c r="V250" s="282">
        <v>44946</v>
      </c>
      <c r="W250" s="282">
        <v>44946</v>
      </c>
      <c r="X250" s="16" t="s">
        <v>75</v>
      </c>
      <c r="Y250" s="16"/>
      <c r="Z250" s="432"/>
      <c r="AA250" s="442">
        <v>44554</v>
      </c>
      <c r="AB250" s="24"/>
      <c r="AC250" s="24"/>
      <c r="AD250" s="282">
        <v>44701</v>
      </c>
      <c r="AE250" s="282">
        <v>44946</v>
      </c>
      <c r="AF250" s="282"/>
      <c r="AG250" s="282">
        <v>45522</v>
      </c>
      <c r="AH250" s="282">
        <v>45636</v>
      </c>
      <c r="AI250" s="282">
        <v>45044</v>
      </c>
      <c r="AJ250" s="58" t="s">
        <v>63</v>
      </c>
      <c r="AM250" s="282">
        <v>45516</v>
      </c>
    </row>
    <row r="251" spans="1:39" ht="22.8" x14ac:dyDescent="0.25">
      <c r="A251" s="28">
        <v>250</v>
      </c>
      <c r="B251" s="20">
        <v>37577</v>
      </c>
      <c r="C251" s="27" t="s">
        <v>64</v>
      </c>
      <c r="D251" s="20" t="s">
        <v>2370</v>
      </c>
      <c r="E251" s="20" t="s">
        <v>2498</v>
      </c>
      <c r="F251" s="3" t="s">
        <v>2241</v>
      </c>
      <c r="G251" s="29" t="s">
        <v>2367</v>
      </c>
      <c r="H251" s="19"/>
      <c r="I251" s="3">
        <v>827</v>
      </c>
      <c r="J251" s="3" t="s">
        <v>58</v>
      </c>
      <c r="K251" s="37" t="s">
        <v>59</v>
      </c>
      <c r="L251" s="33"/>
      <c r="M251" s="85" t="s">
        <v>60</v>
      </c>
      <c r="N251" s="52">
        <v>44364</v>
      </c>
      <c r="O251" s="33"/>
      <c r="P251" s="282">
        <v>44946</v>
      </c>
      <c r="Q251" s="16" t="s">
        <v>75</v>
      </c>
      <c r="R251" s="16" t="s">
        <v>75</v>
      </c>
      <c r="S251" s="16"/>
      <c r="T251" s="16"/>
      <c r="U251" s="51"/>
      <c r="V251" s="282">
        <v>44946</v>
      </c>
      <c r="W251" s="282">
        <v>44946</v>
      </c>
      <c r="X251" s="16" t="s">
        <v>75</v>
      </c>
      <c r="Y251" s="16"/>
      <c r="Z251" s="432"/>
      <c r="AA251" s="432"/>
      <c r="AB251" s="24"/>
      <c r="AC251" s="24"/>
      <c r="AD251" s="282">
        <v>44701</v>
      </c>
      <c r="AE251" s="282">
        <v>44946</v>
      </c>
      <c r="AF251" s="365"/>
      <c r="AG251" s="282">
        <v>45522</v>
      </c>
      <c r="AH251" s="282">
        <v>45636</v>
      </c>
      <c r="AI251" s="282">
        <v>45044</v>
      </c>
      <c r="AJ251" s="58" t="s">
        <v>63</v>
      </c>
      <c r="AM251" s="282">
        <v>45516</v>
      </c>
    </row>
    <row r="252" spans="1:39" ht="22.8" x14ac:dyDescent="0.25">
      <c r="A252" s="28">
        <v>251</v>
      </c>
      <c r="B252" s="88">
        <v>37595</v>
      </c>
      <c r="C252" s="27" t="s">
        <v>64</v>
      </c>
      <c r="D252" s="20" t="s">
        <v>2380</v>
      </c>
      <c r="E252" s="19" t="s">
        <v>2250</v>
      </c>
      <c r="F252" s="3" t="s">
        <v>2241</v>
      </c>
      <c r="G252" s="29" t="s">
        <v>15</v>
      </c>
      <c r="H252" s="19">
        <v>44366</v>
      </c>
      <c r="I252" s="3">
        <v>916</v>
      </c>
      <c r="J252" s="3" t="s">
        <v>58</v>
      </c>
      <c r="K252" s="37" t="s">
        <v>59</v>
      </c>
      <c r="L252" s="16" t="s">
        <v>75</v>
      </c>
      <c r="M252" s="16" t="s">
        <v>60</v>
      </c>
      <c r="N252" s="24" t="s">
        <v>75</v>
      </c>
      <c r="O252" s="24"/>
      <c r="P252" s="282">
        <v>44865</v>
      </c>
      <c r="Q252" s="16" t="s">
        <v>75</v>
      </c>
      <c r="R252" s="16" t="s">
        <v>75</v>
      </c>
      <c r="S252" s="24"/>
      <c r="T252" s="24"/>
      <c r="U252" s="24"/>
      <c r="V252" s="24"/>
      <c r="W252" s="24"/>
      <c r="X252" s="16" t="s">
        <v>75</v>
      </c>
      <c r="Y252" s="24"/>
      <c r="Z252" s="435"/>
      <c r="AA252" s="435"/>
      <c r="AB252" s="24"/>
      <c r="AC252" s="24"/>
      <c r="AD252" s="282">
        <v>44686</v>
      </c>
      <c r="AE252" s="282">
        <v>44958</v>
      </c>
      <c r="AF252" s="282">
        <v>45652</v>
      </c>
      <c r="AG252" s="282">
        <v>45652</v>
      </c>
      <c r="AH252" s="282">
        <v>45652</v>
      </c>
      <c r="AI252" s="952">
        <v>45058</v>
      </c>
      <c r="AJ252" s="282">
        <v>45652</v>
      </c>
      <c r="AK252" s="282">
        <v>45457</v>
      </c>
      <c r="AL252" s="282">
        <v>45556</v>
      </c>
      <c r="AM252" s="282">
        <v>45457</v>
      </c>
    </row>
    <row r="253" spans="1:39" ht="22.8" x14ac:dyDescent="0.25">
      <c r="A253" s="28">
        <v>252</v>
      </c>
      <c r="B253" s="88">
        <v>37595</v>
      </c>
      <c r="C253" s="27" t="s">
        <v>64</v>
      </c>
      <c r="D253" s="20" t="s">
        <v>2381</v>
      </c>
      <c r="E253" s="19" t="s">
        <v>2250</v>
      </c>
      <c r="F253" s="3" t="s">
        <v>2241</v>
      </c>
      <c r="G253" s="29" t="s">
        <v>15</v>
      </c>
      <c r="H253" s="19">
        <v>44366</v>
      </c>
      <c r="I253" s="3">
        <v>917</v>
      </c>
      <c r="J253" s="3" t="s">
        <v>58</v>
      </c>
      <c r="K253" s="37" t="s">
        <v>59</v>
      </c>
      <c r="L253" s="16" t="s">
        <v>75</v>
      </c>
      <c r="M253" s="41" t="s">
        <v>60</v>
      </c>
      <c r="N253" s="24" t="s">
        <v>75</v>
      </c>
      <c r="O253" s="24"/>
      <c r="P253" s="282">
        <v>44865</v>
      </c>
      <c r="Q253" s="16" t="s">
        <v>75</v>
      </c>
      <c r="R253" s="16" t="s">
        <v>75</v>
      </c>
      <c r="S253" s="24"/>
      <c r="T253" s="24"/>
      <c r="U253" s="24"/>
      <c r="V253" s="24"/>
      <c r="W253" s="24"/>
      <c r="X253" s="16" t="s">
        <v>75</v>
      </c>
      <c r="Y253" s="24"/>
      <c r="Z253" s="435"/>
      <c r="AA253" s="435"/>
      <c r="AB253" s="24"/>
      <c r="AC253" s="24"/>
      <c r="AD253" s="282">
        <v>44686</v>
      </c>
      <c r="AE253" s="282">
        <v>44958</v>
      </c>
      <c r="AF253" s="282">
        <v>45652</v>
      </c>
      <c r="AG253" s="282">
        <v>45652</v>
      </c>
      <c r="AH253" s="282">
        <v>45652</v>
      </c>
      <c r="AI253" s="952">
        <v>45058</v>
      </c>
      <c r="AJ253" s="282">
        <v>45652</v>
      </c>
      <c r="AK253" s="282">
        <v>45457</v>
      </c>
      <c r="AL253" s="282">
        <v>45556</v>
      </c>
      <c r="AM253" s="282">
        <v>45457</v>
      </c>
    </row>
    <row r="254" spans="1:39" ht="22.8" x14ac:dyDescent="0.25">
      <c r="A254" s="28">
        <v>253</v>
      </c>
      <c r="B254" s="55">
        <v>37582</v>
      </c>
      <c r="C254" s="55" t="s">
        <v>64</v>
      </c>
      <c r="D254" s="20" t="s">
        <v>2394</v>
      </c>
      <c r="E254" s="19" t="s">
        <v>2250</v>
      </c>
      <c r="F254" s="3" t="s">
        <v>2241</v>
      </c>
      <c r="G254" s="18" t="s">
        <v>15</v>
      </c>
      <c r="H254" s="3"/>
      <c r="I254" s="3">
        <v>1035</v>
      </c>
      <c r="J254" s="3" t="s">
        <v>58</v>
      </c>
      <c r="K254" s="37" t="s">
        <v>59</v>
      </c>
      <c r="L254" s="16" t="s">
        <v>75</v>
      </c>
      <c r="M254" s="16" t="s">
        <v>60</v>
      </c>
      <c r="N254" s="16" t="s">
        <v>75</v>
      </c>
      <c r="O254" s="33"/>
      <c r="P254" s="33"/>
      <c r="Q254" s="16" t="s">
        <v>75</v>
      </c>
      <c r="R254" s="16" t="s">
        <v>75</v>
      </c>
      <c r="S254" s="16"/>
      <c r="T254" s="16"/>
      <c r="U254" s="16"/>
      <c r="V254" s="16"/>
      <c r="W254" s="16"/>
      <c r="X254" s="16" t="s">
        <v>75</v>
      </c>
      <c r="Y254" s="16"/>
      <c r="Z254" s="432"/>
      <c r="AA254" s="432"/>
      <c r="AB254" s="24"/>
      <c r="AC254" s="24"/>
      <c r="AD254" s="282">
        <v>44754</v>
      </c>
      <c r="AE254" s="58"/>
      <c r="AF254" s="282">
        <v>45652</v>
      </c>
      <c r="AG254" s="282">
        <v>45514</v>
      </c>
      <c r="AH254" s="282">
        <v>45514</v>
      </c>
      <c r="AI254" s="952">
        <v>45044</v>
      </c>
      <c r="AJ254" s="282">
        <v>45649</v>
      </c>
      <c r="AK254" s="282">
        <v>45461</v>
      </c>
      <c r="AL254" s="282">
        <v>45654</v>
      </c>
      <c r="AM254" s="282">
        <v>45461</v>
      </c>
    </row>
    <row r="255" spans="1:39" ht="22.8" x14ac:dyDescent="0.25">
      <c r="A255" s="28">
        <v>254</v>
      </c>
      <c r="B255" s="20">
        <v>39181</v>
      </c>
      <c r="C255" s="55" t="s">
        <v>54</v>
      </c>
      <c r="D255" s="20" t="s">
        <v>2402</v>
      </c>
      <c r="E255" s="18" t="s">
        <v>1933</v>
      </c>
      <c r="F255" s="3" t="s">
        <v>2241</v>
      </c>
      <c r="G255" s="18" t="s">
        <v>15</v>
      </c>
      <c r="H255" s="19">
        <v>44237</v>
      </c>
      <c r="I255" s="3">
        <v>1052</v>
      </c>
      <c r="J255" s="3" t="s">
        <v>58</v>
      </c>
      <c r="K255" s="37" t="s">
        <v>59</v>
      </c>
      <c r="L255" s="16" t="s">
        <v>75</v>
      </c>
      <c r="M255" s="16" t="s">
        <v>60</v>
      </c>
      <c r="N255" s="16" t="s">
        <v>75</v>
      </c>
      <c r="O255" s="33"/>
      <c r="P255" s="33"/>
      <c r="Q255" s="16" t="s">
        <v>75</v>
      </c>
      <c r="R255" s="16" t="s">
        <v>75</v>
      </c>
      <c r="S255" s="37" t="s">
        <v>62</v>
      </c>
      <c r="T255" s="16" t="s">
        <v>62</v>
      </c>
      <c r="U255" s="16" t="s">
        <v>62</v>
      </c>
      <c r="V255" s="16"/>
      <c r="W255" s="16"/>
      <c r="X255" s="16" t="s">
        <v>75</v>
      </c>
      <c r="Y255" s="16"/>
      <c r="Z255" s="432"/>
      <c r="AA255" s="432"/>
      <c r="AB255" s="24"/>
      <c r="AC255" s="24"/>
      <c r="AD255" s="281">
        <v>44688</v>
      </c>
      <c r="AE255" s="343">
        <v>45343</v>
      </c>
      <c r="AF255" s="365"/>
      <c r="AG255" s="343">
        <v>45467</v>
      </c>
      <c r="AI255" s="282">
        <v>44958</v>
      </c>
      <c r="AJ255" s="58" t="s">
        <v>63</v>
      </c>
      <c r="AK255" s="343">
        <v>45554</v>
      </c>
      <c r="AL255" s="343">
        <v>45552</v>
      </c>
      <c r="AM255" s="343">
        <v>45554</v>
      </c>
    </row>
    <row r="256" spans="1:39" ht="12.6" customHeight="1" x14ac:dyDescent="0.3">
      <c r="A256" s="28">
        <v>256</v>
      </c>
      <c r="B256" s="55">
        <v>37551</v>
      </c>
      <c r="C256" s="55" t="s">
        <v>64</v>
      </c>
      <c r="D256" s="3" t="s">
        <v>2423</v>
      </c>
      <c r="E256" s="18" t="s">
        <v>1933</v>
      </c>
      <c r="F256" s="3" t="s">
        <v>2241</v>
      </c>
      <c r="G256" s="18" t="s">
        <v>15</v>
      </c>
      <c r="H256" s="213"/>
      <c r="I256" s="214"/>
      <c r="J256" s="261" t="s">
        <v>58</v>
      </c>
      <c r="K256" s="294" t="s">
        <v>680</v>
      </c>
      <c r="L256" s="268"/>
      <c r="M256" s="294" t="s">
        <v>60</v>
      </c>
      <c r="N256" s="268"/>
      <c r="O256" s="268"/>
      <c r="P256" s="265"/>
      <c r="Q256" s="294"/>
      <c r="R256" s="16" t="s">
        <v>75</v>
      </c>
      <c r="S256" s="296"/>
      <c r="T256" s="37" t="s">
        <v>68</v>
      </c>
      <c r="U256" s="296"/>
      <c r="V256" s="296"/>
      <c r="W256" s="294"/>
      <c r="X256" s="296" t="s">
        <v>68</v>
      </c>
      <c r="Y256" s="294"/>
      <c r="Z256" s="554"/>
      <c r="AA256" s="555"/>
      <c r="AB256" s="298"/>
      <c r="AC256" s="294"/>
      <c r="AD256" s="299" t="s">
        <v>616</v>
      </c>
      <c r="AE256" s="343">
        <v>45582</v>
      </c>
      <c r="AF256" s="365"/>
      <c r="AG256" s="343">
        <v>45582</v>
      </c>
      <c r="AH256" s="343">
        <v>45582</v>
      </c>
      <c r="AI256" s="343">
        <v>45439</v>
      </c>
      <c r="AJ256" s="58" t="s">
        <v>63</v>
      </c>
      <c r="AK256" s="343">
        <v>45583</v>
      </c>
      <c r="AL256" s="343">
        <v>45469</v>
      </c>
      <c r="AM256" s="343">
        <v>45583</v>
      </c>
    </row>
    <row r="257" spans="1:39" ht="12.6" customHeight="1" x14ac:dyDescent="0.3">
      <c r="A257" s="28">
        <v>257</v>
      </c>
      <c r="B257" s="55">
        <v>37551</v>
      </c>
      <c r="C257" s="55" t="s">
        <v>54</v>
      </c>
      <c r="D257" s="3" t="s">
        <v>2424</v>
      </c>
      <c r="E257" s="18" t="s">
        <v>1933</v>
      </c>
      <c r="F257" s="3" t="s">
        <v>2241</v>
      </c>
      <c r="G257" s="18" t="s">
        <v>15</v>
      </c>
      <c r="H257" s="213"/>
      <c r="I257" s="214"/>
      <c r="J257" s="261" t="s">
        <v>58</v>
      </c>
      <c r="K257" s="295" t="s">
        <v>680</v>
      </c>
      <c r="L257" s="268"/>
      <c r="M257" s="294" t="s">
        <v>60</v>
      </c>
      <c r="N257" s="268"/>
      <c r="O257" s="268"/>
      <c r="P257" s="265"/>
      <c r="Q257" s="294"/>
      <c r="R257" s="16" t="s">
        <v>75</v>
      </c>
      <c r="S257" s="294"/>
      <c r="T257" s="37" t="s">
        <v>62</v>
      </c>
      <c r="U257" s="294"/>
      <c r="V257" s="294"/>
      <c r="W257" s="294"/>
      <c r="X257" s="294" t="s">
        <v>62</v>
      </c>
      <c r="Y257" s="294"/>
      <c r="Z257" s="554"/>
      <c r="AA257" s="556"/>
      <c r="AB257" s="294"/>
      <c r="AC257" s="294"/>
      <c r="AD257" s="299" t="s">
        <v>604</v>
      </c>
      <c r="AE257" s="343">
        <v>45582</v>
      </c>
      <c r="AF257" s="365"/>
      <c r="AG257" s="343">
        <v>45582</v>
      </c>
      <c r="AH257" s="343">
        <v>45582</v>
      </c>
      <c r="AI257" s="343">
        <v>45439</v>
      </c>
      <c r="AJ257" s="58" t="s">
        <v>63</v>
      </c>
      <c r="AK257" s="343">
        <v>45583</v>
      </c>
      <c r="AL257" s="343">
        <v>45469</v>
      </c>
      <c r="AM257" s="343">
        <v>45583</v>
      </c>
    </row>
    <row r="258" spans="1:39" ht="12.6" customHeight="1" x14ac:dyDescent="0.3">
      <c r="A258" s="28">
        <v>258</v>
      </c>
      <c r="B258" s="55">
        <v>37555</v>
      </c>
      <c r="C258" s="55" t="s">
        <v>64</v>
      </c>
      <c r="D258" s="3" t="s">
        <v>2425</v>
      </c>
      <c r="E258" s="18" t="s">
        <v>1933</v>
      </c>
      <c r="F258" s="3" t="s">
        <v>2241</v>
      </c>
      <c r="G258" s="18" t="s">
        <v>15</v>
      </c>
      <c r="H258" s="213"/>
      <c r="I258" s="214"/>
      <c r="J258" s="261" t="s">
        <v>58</v>
      </c>
      <c r="K258" s="294" t="s">
        <v>680</v>
      </c>
      <c r="L258" s="268"/>
      <c r="M258" s="294" t="s">
        <v>60</v>
      </c>
      <c r="N258" s="268"/>
      <c r="O258" s="268"/>
      <c r="P258" s="265"/>
      <c r="Q258" s="294"/>
      <c r="R258" s="16" t="s">
        <v>75</v>
      </c>
      <c r="S258" s="296"/>
      <c r="T258" s="37" t="s">
        <v>68</v>
      </c>
      <c r="U258" s="296"/>
      <c r="V258" s="296"/>
      <c r="W258" s="294"/>
      <c r="X258" s="296"/>
      <c r="Y258" s="294"/>
      <c r="Z258" s="554"/>
      <c r="AA258" s="555"/>
      <c r="AB258" s="298"/>
      <c r="AC258" s="294"/>
      <c r="AD258" s="299" t="s">
        <v>616</v>
      </c>
      <c r="AE258" s="343">
        <v>45394</v>
      </c>
      <c r="AF258" s="365"/>
      <c r="AG258" s="343">
        <v>45530</v>
      </c>
      <c r="AH258" s="343">
        <v>45530</v>
      </c>
      <c r="AI258" s="343">
        <v>45394</v>
      </c>
      <c r="AJ258" s="58" t="s">
        <v>63</v>
      </c>
      <c r="AK258" s="343">
        <v>45685</v>
      </c>
      <c r="AL258" s="343">
        <v>45475</v>
      </c>
      <c r="AM258" s="343">
        <v>45685</v>
      </c>
    </row>
    <row r="259" spans="1:39" ht="12.6" customHeight="1" x14ac:dyDescent="0.3">
      <c r="A259" s="28">
        <v>259</v>
      </c>
      <c r="B259" s="55">
        <v>37555</v>
      </c>
      <c r="C259" s="55" t="s">
        <v>54</v>
      </c>
      <c r="D259" s="3" t="s">
        <v>2426</v>
      </c>
      <c r="E259" s="18" t="s">
        <v>1933</v>
      </c>
      <c r="F259" s="3" t="s">
        <v>2241</v>
      </c>
      <c r="G259" s="18" t="s">
        <v>15</v>
      </c>
      <c r="H259" s="213"/>
      <c r="I259" s="214"/>
      <c r="J259" s="261" t="s">
        <v>58</v>
      </c>
      <c r="K259" s="295" t="s">
        <v>680</v>
      </c>
      <c r="L259" s="268"/>
      <c r="M259" s="294" t="s">
        <v>60</v>
      </c>
      <c r="N259" s="268"/>
      <c r="O259" s="268"/>
      <c r="P259" s="265"/>
      <c r="Q259" s="294"/>
      <c r="R259" s="16" t="s">
        <v>75</v>
      </c>
      <c r="S259" s="294"/>
      <c r="T259" s="37" t="s">
        <v>62</v>
      </c>
      <c r="U259" s="294"/>
      <c r="V259" s="294"/>
      <c r="W259" s="294"/>
      <c r="X259" s="294"/>
      <c r="Y259" s="294"/>
      <c r="Z259" s="554"/>
      <c r="AA259" s="556"/>
      <c r="AB259" s="294"/>
      <c r="AC259" s="294"/>
      <c r="AD259" s="299" t="s">
        <v>604</v>
      </c>
      <c r="AE259" s="343">
        <v>45394</v>
      </c>
      <c r="AF259" s="365"/>
      <c r="AG259" s="343">
        <v>45530</v>
      </c>
      <c r="AH259" s="343">
        <v>45530</v>
      </c>
      <c r="AI259" s="343">
        <v>45394</v>
      </c>
      <c r="AJ259" s="58" t="s">
        <v>63</v>
      </c>
      <c r="AK259" s="343">
        <v>45685</v>
      </c>
      <c r="AL259" s="343">
        <v>45475</v>
      </c>
      <c r="AM259" s="343">
        <v>45685</v>
      </c>
    </row>
    <row r="260" spans="1:39" ht="13.35" customHeight="1" x14ac:dyDescent="0.3">
      <c r="A260" s="28">
        <v>260</v>
      </c>
      <c r="B260" s="55">
        <v>37556</v>
      </c>
      <c r="C260" s="55" t="s">
        <v>64</v>
      </c>
      <c r="D260" s="3" t="s">
        <v>2427</v>
      </c>
      <c r="E260" s="18" t="s">
        <v>1933</v>
      </c>
      <c r="F260" s="3" t="s">
        <v>2241</v>
      </c>
      <c r="G260" s="18" t="s">
        <v>15</v>
      </c>
      <c r="H260" s="213"/>
      <c r="I260" s="214"/>
      <c r="J260" s="261" t="s">
        <v>58</v>
      </c>
      <c r="K260" s="294" t="s">
        <v>680</v>
      </c>
      <c r="L260" s="268"/>
      <c r="M260" s="294" t="s">
        <v>60</v>
      </c>
      <c r="N260" s="268"/>
      <c r="O260" s="268"/>
      <c r="P260" s="265"/>
      <c r="Q260" s="294"/>
      <c r="R260" s="16" t="s">
        <v>75</v>
      </c>
      <c r="S260" s="296"/>
      <c r="T260" s="296" t="s">
        <v>68</v>
      </c>
      <c r="U260" s="296"/>
      <c r="V260" s="296"/>
      <c r="W260" s="294"/>
      <c r="X260" s="296" t="s">
        <v>68</v>
      </c>
      <c r="Y260" s="294"/>
      <c r="Z260" s="554"/>
      <c r="AA260" s="555"/>
      <c r="AB260" s="298"/>
      <c r="AC260" s="294"/>
      <c r="AD260" s="299" t="s">
        <v>616</v>
      </c>
      <c r="AE260" s="343">
        <v>45404</v>
      </c>
      <c r="AF260" s="365"/>
      <c r="AG260" s="343">
        <v>45509</v>
      </c>
      <c r="AH260" s="343">
        <v>45509</v>
      </c>
      <c r="AI260" s="343">
        <v>45434</v>
      </c>
      <c r="AJ260" s="58" t="s">
        <v>63</v>
      </c>
      <c r="AK260" s="386">
        <v>45509</v>
      </c>
      <c r="AL260" s="386">
        <v>45509</v>
      </c>
      <c r="AM260" s="343">
        <v>45509</v>
      </c>
    </row>
    <row r="261" spans="1:39" ht="13.35" customHeight="1" x14ac:dyDescent="0.3">
      <c r="A261" s="28">
        <v>261</v>
      </c>
      <c r="B261" s="55">
        <v>37556</v>
      </c>
      <c r="C261" s="55" t="s">
        <v>54</v>
      </c>
      <c r="D261" s="3" t="s">
        <v>2428</v>
      </c>
      <c r="E261" s="18" t="s">
        <v>1933</v>
      </c>
      <c r="F261" s="3" t="s">
        <v>2241</v>
      </c>
      <c r="G261" s="18" t="s">
        <v>15</v>
      </c>
      <c r="H261" s="213"/>
      <c r="I261" s="214"/>
      <c r="J261" s="261" t="s">
        <v>58</v>
      </c>
      <c r="K261" s="295" t="s">
        <v>680</v>
      </c>
      <c r="L261" s="268"/>
      <c r="M261" s="294" t="s">
        <v>60</v>
      </c>
      <c r="N261" s="268"/>
      <c r="O261" s="268"/>
      <c r="P261" s="265"/>
      <c r="Q261" s="294"/>
      <c r="R261" s="16" t="s">
        <v>75</v>
      </c>
      <c r="S261" s="294"/>
      <c r="T261" s="294" t="s">
        <v>62</v>
      </c>
      <c r="U261" s="294"/>
      <c r="V261" s="294"/>
      <c r="W261" s="294"/>
      <c r="X261" s="294" t="s">
        <v>62</v>
      </c>
      <c r="Y261" s="294"/>
      <c r="Z261" s="554"/>
      <c r="AA261" s="556"/>
      <c r="AB261" s="294"/>
      <c r="AC261" s="294"/>
      <c r="AD261" s="299" t="s">
        <v>604</v>
      </c>
      <c r="AE261" s="343">
        <v>45404</v>
      </c>
      <c r="AF261" s="365"/>
      <c r="AG261" s="343">
        <v>45509</v>
      </c>
      <c r="AH261" s="343">
        <v>45509</v>
      </c>
      <c r="AI261" s="343">
        <v>45434</v>
      </c>
      <c r="AJ261" s="58" t="s">
        <v>63</v>
      </c>
      <c r="AK261" s="386">
        <v>45509</v>
      </c>
      <c r="AL261" s="386">
        <v>45509</v>
      </c>
      <c r="AM261" s="343">
        <v>45509</v>
      </c>
    </row>
    <row r="262" spans="1:39" ht="22.8" x14ac:dyDescent="0.25">
      <c r="A262" s="28">
        <v>262</v>
      </c>
      <c r="B262" s="88">
        <v>37584</v>
      </c>
      <c r="C262" s="55" t="s">
        <v>54</v>
      </c>
      <c r="D262" s="20" t="s">
        <v>2395</v>
      </c>
      <c r="E262" s="18" t="s">
        <v>1933</v>
      </c>
      <c r="F262" s="3" t="s">
        <v>2241</v>
      </c>
      <c r="G262" s="18" t="s">
        <v>15</v>
      </c>
      <c r="H262" s="52">
        <v>44327</v>
      </c>
      <c r="I262" s="3">
        <v>1036</v>
      </c>
      <c r="J262" s="3" t="s">
        <v>58</v>
      </c>
      <c r="K262" s="37" t="s">
        <v>59</v>
      </c>
      <c r="L262" s="16" t="s">
        <v>75</v>
      </c>
      <c r="M262" s="16" t="s">
        <v>60</v>
      </c>
      <c r="N262" s="16" t="s">
        <v>75</v>
      </c>
      <c r="O262" s="33"/>
      <c r="P262" s="33"/>
      <c r="Q262" s="16" t="s">
        <v>75</v>
      </c>
      <c r="R262" s="16" t="s">
        <v>75</v>
      </c>
      <c r="S262" s="16"/>
      <c r="T262" s="37" t="s">
        <v>68</v>
      </c>
      <c r="U262" s="16"/>
      <c r="V262" s="16"/>
      <c r="W262" s="16" t="s">
        <v>75</v>
      </c>
      <c r="X262" s="16"/>
      <c r="Y262" s="16"/>
      <c r="Z262" s="432"/>
      <c r="AA262" s="435"/>
      <c r="AB262" s="24"/>
      <c r="AC262" s="276"/>
      <c r="AD262" s="299" t="s">
        <v>616</v>
      </c>
      <c r="AE262" s="343">
        <v>45482</v>
      </c>
      <c r="AF262"/>
      <c r="AG262" s="343">
        <v>45486</v>
      </c>
      <c r="AH262" s="343">
        <v>45486</v>
      </c>
      <c r="AI262" s="343">
        <v>45482</v>
      </c>
      <c r="AJ262" s="58" t="s">
        <v>63</v>
      </c>
      <c r="AK262" s="386">
        <v>45613</v>
      </c>
      <c r="AL262" s="343">
        <v>45482</v>
      </c>
      <c r="AM262" s="343">
        <v>45481</v>
      </c>
    </row>
    <row r="263" spans="1:39" ht="22.8" x14ac:dyDescent="0.25">
      <c r="A263" s="28">
        <v>263</v>
      </c>
      <c r="B263" s="88">
        <v>37584</v>
      </c>
      <c r="C263" s="55" t="s">
        <v>64</v>
      </c>
      <c r="D263" s="20" t="s">
        <v>2397</v>
      </c>
      <c r="E263" s="18" t="s">
        <v>1933</v>
      </c>
      <c r="F263" s="3" t="s">
        <v>2241</v>
      </c>
      <c r="G263" s="18" t="s">
        <v>15</v>
      </c>
      <c r="H263" s="52">
        <v>44327</v>
      </c>
      <c r="I263" s="3">
        <v>1037</v>
      </c>
      <c r="J263" s="3" t="s">
        <v>58</v>
      </c>
      <c r="K263" s="37" t="s">
        <v>59</v>
      </c>
      <c r="L263" s="16" t="s">
        <v>75</v>
      </c>
      <c r="M263" s="16" t="s">
        <v>60</v>
      </c>
      <c r="N263" s="16" t="s">
        <v>75</v>
      </c>
      <c r="O263" s="33"/>
      <c r="P263" s="33"/>
      <c r="Q263" s="16" t="s">
        <v>75</v>
      </c>
      <c r="R263" s="16" t="s">
        <v>75</v>
      </c>
      <c r="S263" s="16"/>
      <c r="T263" s="37" t="s">
        <v>62</v>
      </c>
      <c r="U263" s="16"/>
      <c r="V263" s="16"/>
      <c r="W263" s="16" t="s">
        <v>75</v>
      </c>
      <c r="X263" s="16"/>
      <c r="Y263" s="16"/>
      <c r="Z263" s="432"/>
      <c r="AA263" s="435"/>
      <c r="AB263" s="24"/>
      <c r="AC263" s="276"/>
      <c r="AD263" s="299" t="s">
        <v>604</v>
      </c>
      <c r="AE263" s="343">
        <v>45482</v>
      </c>
      <c r="AF263"/>
      <c r="AG263" s="343">
        <v>45486</v>
      </c>
      <c r="AH263" s="343">
        <v>45486</v>
      </c>
      <c r="AI263" s="343">
        <v>45482</v>
      </c>
      <c r="AJ263" s="58" t="s">
        <v>63</v>
      </c>
      <c r="AK263" s="386">
        <v>45613</v>
      </c>
      <c r="AL263" s="343">
        <v>45482</v>
      </c>
      <c r="AM263" s="343">
        <v>45481</v>
      </c>
    </row>
    <row r="264" spans="1:39" ht="22.8" x14ac:dyDescent="0.25">
      <c r="A264" s="28">
        <v>264</v>
      </c>
      <c r="B264" s="20">
        <v>30620</v>
      </c>
      <c r="C264" s="27" t="s">
        <v>64</v>
      </c>
      <c r="D264" s="409" t="s">
        <v>944</v>
      </c>
      <c r="E264" s="20" t="s">
        <v>1932</v>
      </c>
      <c r="F264" s="3" t="s">
        <v>2241</v>
      </c>
      <c r="G264" s="18" t="s">
        <v>15</v>
      </c>
      <c r="H264" s="19"/>
      <c r="I264" s="3"/>
      <c r="J264" s="3" t="s">
        <v>58</v>
      </c>
      <c r="K264" s="37" t="s">
        <v>720</v>
      </c>
      <c r="L264" s="40">
        <v>44174</v>
      </c>
      <c r="M264" s="16" t="s">
        <v>60</v>
      </c>
      <c r="N264" s="40">
        <v>44648</v>
      </c>
      <c r="O264" s="33">
        <v>44714</v>
      </c>
      <c r="P264" s="33"/>
      <c r="Q264" s="42"/>
      <c r="R264" s="42" t="s">
        <v>68</v>
      </c>
      <c r="S264" s="42"/>
      <c r="T264" s="42" t="s">
        <v>68</v>
      </c>
      <c r="U264" s="42"/>
      <c r="V264" s="42" t="s">
        <v>616</v>
      </c>
      <c r="W264" s="42"/>
      <c r="X264" s="42"/>
      <c r="Y264" s="42"/>
      <c r="Z264" s="553"/>
      <c r="AA264" s="553"/>
      <c r="AB264" s="24" t="s">
        <v>945</v>
      </c>
      <c r="AC264" s="16"/>
      <c r="AD264" s="32" t="s">
        <v>68</v>
      </c>
      <c r="AE264" s="58"/>
      <c r="AF264" s="281">
        <v>45777</v>
      </c>
      <c r="AG264" s="343">
        <v>45463</v>
      </c>
      <c r="AH264" s="343">
        <v>45488</v>
      </c>
      <c r="AI264" s="281">
        <v>45309</v>
      </c>
      <c r="AJ264" s="58" t="s">
        <v>63</v>
      </c>
      <c r="AK264" s="343">
        <v>45584</v>
      </c>
      <c r="AM264" s="281">
        <v>45533</v>
      </c>
    </row>
    <row r="265" spans="1:39" ht="22.8" x14ac:dyDescent="0.25">
      <c r="A265" s="28">
        <v>265</v>
      </c>
      <c r="B265" s="20">
        <v>30620</v>
      </c>
      <c r="C265" s="27" t="s">
        <v>54</v>
      </c>
      <c r="D265" s="410" t="s">
        <v>946</v>
      </c>
      <c r="E265" s="20" t="s">
        <v>1932</v>
      </c>
      <c r="F265" s="3" t="s">
        <v>2241</v>
      </c>
      <c r="G265" s="18" t="s">
        <v>15</v>
      </c>
      <c r="H265" s="19">
        <v>43203</v>
      </c>
      <c r="I265" s="3">
        <v>167</v>
      </c>
      <c r="J265" s="3" t="s">
        <v>58</v>
      </c>
      <c r="K265" s="37" t="s">
        <v>718</v>
      </c>
      <c r="L265" s="40">
        <v>44174</v>
      </c>
      <c r="M265" s="30" t="s">
        <v>60</v>
      </c>
      <c r="N265" s="40">
        <v>44648</v>
      </c>
      <c r="O265" s="33">
        <v>44714</v>
      </c>
      <c r="P265" s="33"/>
      <c r="Q265" s="42"/>
      <c r="R265" s="16" t="s">
        <v>62</v>
      </c>
      <c r="S265" s="42"/>
      <c r="T265" s="42" t="s">
        <v>62</v>
      </c>
      <c r="U265" s="42"/>
      <c r="V265" s="42" t="s">
        <v>604</v>
      </c>
      <c r="W265" s="42"/>
      <c r="X265" s="42"/>
      <c r="Y265" s="42"/>
      <c r="Z265" s="553"/>
      <c r="AA265" s="553"/>
      <c r="AB265" s="24" t="s">
        <v>947</v>
      </c>
      <c r="AC265" s="16"/>
      <c r="AD265" s="32" t="s">
        <v>62</v>
      </c>
      <c r="AE265" s="58"/>
      <c r="AF265" s="281">
        <v>45777</v>
      </c>
      <c r="AG265" s="343">
        <v>45463</v>
      </c>
      <c r="AH265" s="343">
        <v>45488</v>
      </c>
      <c r="AI265" s="281">
        <v>45309</v>
      </c>
      <c r="AJ265" s="58" t="s">
        <v>63</v>
      </c>
      <c r="AK265" s="343">
        <v>45584</v>
      </c>
      <c r="AM265" s="281">
        <v>45533</v>
      </c>
    </row>
    <row r="266" spans="1:39" ht="22.8" x14ac:dyDescent="0.25">
      <c r="A266" s="28">
        <v>266</v>
      </c>
      <c r="B266" s="20">
        <v>30624</v>
      </c>
      <c r="C266" s="27" t="s">
        <v>64</v>
      </c>
      <c r="D266" s="409" t="s">
        <v>2022</v>
      </c>
      <c r="E266" s="20" t="s">
        <v>1932</v>
      </c>
      <c r="F266" s="3" t="s">
        <v>2241</v>
      </c>
      <c r="G266" s="18" t="s">
        <v>15</v>
      </c>
      <c r="H266" s="19">
        <v>43076</v>
      </c>
      <c r="I266" s="3">
        <v>160</v>
      </c>
      <c r="J266" s="3" t="s">
        <v>58</v>
      </c>
      <c r="K266" s="37" t="s">
        <v>59</v>
      </c>
      <c r="L266" s="33" t="s">
        <v>63</v>
      </c>
      <c r="M266" s="46" t="s">
        <v>722</v>
      </c>
      <c r="N266" s="21">
        <v>44256</v>
      </c>
      <c r="O266" s="47">
        <v>44870</v>
      </c>
      <c r="P266" s="47"/>
      <c r="Q266" s="42"/>
      <c r="R266" s="42" t="s">
        <v>68</v>
      </c>
      <c r="S266" s="42"/>
      <c r="T266" s="42" t="s">
        <v>68</v>
      </c>
      <c r="U266" s="42"/>
      <c r="V266" s="42"/>
      <c r="W266" s="42" t="s">
        <v>68</v>
      </c>
      <c r="X266" s="42"/>
      <c r="Y266" s="42"/>
      <c r="Z266" s="553"/>
      <c r="AA266" s="553"/>
      <c r="AB266" s="24" t="s">
        <v>2534</v>
      </c>
      <c r="AC266" s="16"/>
      <c r="AD266" s="32" t="s">
        <v>68</v>
      </c>
      <c r="AE266" s="58" t="s">
        <v>68</v>
      </c>
      <c r="AF266" s="58" t="s">
        <v>63</v>
      </c>
      <c r="AG266" s="343">
        <v>45488</v>
      </c>
      <c r="AH266" s="343">
        <v>45489</v>
      </c>
      <c r="AI266" s="343">
        <v>45488</v>
      </c>
      <c r="AJ266" s="58" t="s">
        <v>63</v>
      </c>
      <c r="AK266" s="343">
        <v>45465</v>
      </c>
      <c r="AM266" s="343">
        <v>45579</v>
      </c>
    </row>
    <row r="267" spans="1:39" ht="22.8" x14ac:dyDescent="0.25">
      <c r="A267" s="28">
        <v>267</v>
      </c>
      <c r="B267" s="20">
        <v>30624</v>
      </c>
      <c r="C267" s="27" t="s">
        <v>54</v>
      </c>
      <c r="D267" s="409" t="s">
        <v>2023</v>
      </c>
      <c r="E267" s="20" t="s">
        <v>1932</v>
      </c>
      <c r="F267" s="3" t="s">
        <v>2241</v>
      </c>
      <c r="G267" s="18" t="s">
        <v>15</v>
      </c>
      <c r="H267" s="19">
        <v>43076</v>
      </c>
      <c r="I267" s="3">
        <v>155</v>
      </c>
      <c r="J267" s="3" t="s">
        <v>58</v>
      </c>
      <c r="K267" s="37" t="s">
        <v>59</v>
      </c>
      <c r="L267" s="33" t="s">
        <v>63</v>
      </c>
      <c r="M267" s="46" t="s">
        <v>722</v>
      </c>
      <c r="N267" s="21">
        <v>44256</v>
      </c>
      <c r="O267" s="47">
        <v>44870</v>
      </c>
      <c r="P267" s="47"/>
      <c r="Q267" s="42"/>
      <c r="R267" s="42" t="s">
        <v>62</v>
      </c>
      <c r="S267" s="42"/>
      <c r="T267" s="42" t="s">
        <v>62</v>
      </c>
      <c r="U267" s="305"/>
      <c r="V267" s="42"/>
      <c r="W267" s="42" t="s">
        <v>62</v>
      </c>
      <c r="X267" s="42"/>
      <c r="Y267" s="42"/>
      <c r="Z267" s="553"/>
      <c r="AA267" s="553"/>
      <c r="AB267" s="24" t="s">
        <v>2535</v>
      </c>
      <c r="AC267" s="16"/>
      <c r="AD267" s="32" t="s">
        <v>62</v>
      </c>
      <c r="AE267" s="58" t="s">
        <v>62</v>
      </c>
      <c r="AF267" s="58" t="s">
        <v>63</v>
      </c>
      <c r="AG267" s="343">
        <v>45488</v>
      </c>
      <c r="AH267" s="343">
        <v>45489</v>
      </c>
      <c r="AI267" s="343">
        <v>45488</v>
      </c>
      <c r="AJ267" s="58" t="s">
        <v>63</v>
      </c>
      <c r="AK267" s="343">
        <v>45465</v>
      </c>
      <c r="AM267" s="343">
        <v>45579</v>
      </c>
    </row>
    <row r="268" spans="1:39" ht="22.8" x14ac:dyDescent="0.25">
      <c r="A268" s="28">
        <v>268</v>
      </c>
      <c r="B268" s="20">
        <v>37184</v>
      </c>
      <c r="C268" s="27" t="s">
        <v>64</v>
      </c>
      <c r="D268" s="409" t="s">
        <v>2024</v>
      </c>
      <c r="E268" s="20" t="s">
        <v>1932</v>
      </c>
      <c r="F268" s="3" t="s">
        <v>2241</v>
      </c>
      <c r="G268" s="18" t="s">
        <v>15</v>
      </c>
      <c r="H268" s="19">
        <v>43666</v>
      </c>
      <c r="I268" s="3">
        <v>460</v>
      </c>
      <c r="J268" s="3" t="s">
        <v>58</v>
      </c>
      <c r="K268" s="37" t="s">
        <v>59</v>
      </c>
      <c r="L268" s="40">
        <v>44076</v>
      </c>
      <c r="M268" s="46" t="s">
        <v>871</v>
      </c>
      <c r="N268" s="40">
        <v>44489</v>
      </c>
      <c r="O268" s="21">
        <v>44756</v>
      </c>
      <c r="P268" s="21"/>
      <c r="Q268" s="42"/>
      <c r="R268" s="42" t="s">
        <v>68</v>
      </c>
      <c r="S268" s="42"/>
      <c r="T268" s="42" t="s">
        <v>68</v>
      </c>
      <c r="U268" s="42" t="s">
        <v>616</v>
      </c>
      <c r="V268" s="42"/>
      <c r="W268" s="42" t="s">
        <v>68</v>
      </c>
      <c r="X268" s="42"/>
      <c r="Y268" s="42"/>
      <c r="Z268" s="553"/>
      <c r="AA268" s="553"/>
      <c r="AB268" s="24" t="s">
        <v>2536</v>
      </c>
      <c r="AC268" s="16"/>
      <c r="AD268" s="281">
        <v>45056</v>
      </c>
      <c r="AE268" s="58" t="s">
        <v>68</v>
      </c>
      <c r="AF268" s="343">
        <v>45647</v>
      </c>
      <c r="AG268" s="343">
        <v>45494</v>
      </c>
      <c r="AH268" s="343">
        <v>45514</v>
      </c>
      <c r="AI268" s="343">
        <v>45648</v>
      </c>
      <c r="AJ268" s="58" t="s">
        <v>63</v>
      </c>
      <c r="AM268" s="343">
        <v>45551</v>
      </c>
    </row>
    <row r="269" spans="1:39" ht="22.8" x14ac:dyDescent="0.25">
      <c r="A269" s="28">
        <v>269</v>
      </c>
      <c r="B269" s="20">
        <v>37184</v>
      </c>
      <c r="C269" s="27" t="s">
        <v>54</v>
      </c>
      <c r="D269" s="409" t="s">
        <v>2025</v>
      </c>
      <c r="E269" s="20" t="s">
        <v>1932</v>
      </c>
      <c r="F269" s="3" t="s">
        <v>2241</v>
      </c>
      <c r="G269" s="18" t="s">
        <v>15</v>
      </c>
      <c r="H269" s="19">
        <v>43666</v>
      </c>
      <c r="I269" s="3">
        <v>466</v>
      </c>
      <c r="J269" s="3" t="s">
        <v>58</v>
      </c>
      <c r="K269" s="37" t="s">
        <v>59</v>
      </c>
      <c r="L269" s="40">
        <v>44076</v>
      </c>
      <c r="M269" s="46" t="s">
        <v>871</v>
      </c>
      <c r="N269" s="40">
        <v>44489</v>
      </c>
      <c r="O269" s="21">
        <v>44756</v>
      </c>
      <c r="P269" s="21"/>
      <c r="Q269" s="42"/>
      <c r="R269" s="42" t="s">
        <v>62</v>
      </c>
      <c r="S269" s="42"/>
      <c r="T269" s="42" t="s">
        <v>62</v>
      </c>
      <c r="U269" s="42" t="s">
        <v>604</v>
      </c>
      <c r="V269" s="42"/>
      <c r="W269" s="42" t="s">
        <v>62</v>
      </c>
      <c r="X269" s="42"/>
      <c r="Y269" s="42"/>
      <c r="Z269" s="553"/>
      <c r="AA269" s="553"/>
      <c r="AB269" s="24" t="s">
        <v>2536</v>
      </c>
      <c r="AC269" s="16"/>
      <c r="AD269" s="281">
        <v>45056</v>
      </c>
      <c r="AE269" s="58" t="s">
        <v>62</v>
      </c>
      <c r="AF269" s="343">
        <v>45647</v>
      </c>
      <c r="AG269" s="343">
        <v>45494</v>
      </c>
      <c r="AH269" s="343">
        <v>45514</v>
      </c>
      <c r="AI269" s="343">
        <v>45648</v>
      </c>
      <c r="AJ269" s="58" t="s">
        <v>63</v>
      </c>
      <c r="AM269" s="343">
        <v>45551</v>
      </c>
    </row>
    <row r="270" spans="1:39" ht="22.8" x14ac:dyDescent="0.25">
      <c r="A270" s="28">
        <v>270</v>
      </c>
      <c r="B270" s="20">
        <v>37192</v>
      </c>
      <c r="C270" s="27" t="s">
        <v>64</v>
      </c>
      <c r="D270" s="409" t="s">
        <v>2026</v>
      </c>
      <c r="E270" s="20" t="s">
        <v>1932</v>
      </c>
      <c r="F270" s="3" t="s">
        <v>2241</v>
      </c>
      <c r="G270" s="18" t="s">
        <v>15</v>
      </c>
      <c r="H270" s="19">
        <v>43633</v>
      </c>
      <c r="I270" s="3">
        <v>473</v>
      </c>
      <c r="J270" s="3" t="s">
        <v>58</v>
      </c>
      <c r="K270" s="37" t="s">
        <v>59</v>
      </c>
      <c r="L270" s="33" t="s">
        <v>63</v>
      </c>
      <c r="M270" s="46" t="s">
        <v>722</v>
      </c>
      <c r="N270" s="21"/>
      <c r="O270" s="47">
        <v>44053</v>
      </c>
      <c r="P270" s="47"/>
      <c r="Q270" s="53"/>
      <c r="R270" s="42" t="s">
        <v>68</v>
      </c>
      <c r="S270" s="42"/>
      <c r="T270" s="42" t="s">
        <v>68</v>
      </c>
      <c r="U270" s="42"/>
      <c r="V270" s="42"/>
      <c r="W270" s="42" t="s">
        <v>68</v>
      </c>
      <c r="X270" s="42"/>
      <c r="Y270" s="42"/>
      <c r="Z270" s="553"/>
      <c r="AA270" s="553"/>
      <c r="AB270" s="16" t="s">
        <v>2537</v>
      </c>
      <c r="AC270" s="16"/>
      <c r="AD270" s="42" t="s">
        <v>68</v>
      </c>
      <c r="AE270" s="58"/>
      <c r="AF270" s="58"/>
      <c r="AG270" s="343">
        <v>45514</v>
      </c>
      <c r="AH270" s="343">
        <v>45514</v>
      </c>
      <c r="AI270" s="343">
        <v>45514</v>
      </c>
      <c r="AM270" s="343">
        <v>45530</v>
      </c>
    </row>
    <row r="271" spans="1:39" ht="22.8" x14ac:dyDescent="0.25">
      <c r="A271" s="28">
        <v>271</v>
      </c>
      <c r="B271" s="20">
        <v>37192</v>
      </c>
      <c r="C271" s="27" t="s">
        <v>54</v>
      </c>
      <c r="D271" s="409" t="s">
        <v>2027</v>
      </c>
      <c r="E271" s="20" t="s">
        <v>1932</v>
      </c>
      <c r="F271" s="3" t="s">
        <v>2241</v>
      </c>
      <c r="G271" s="18" t="s">
        <v>15</v>
      </c>
      <c r="H271" s="19">
        <v>43633</v>
      </c>
      <c r="I271" s="3">
        <v>472</v>
      </c>
      <c r="J271" s="3" t="s">
        <v>58</v>
      </c>
      <c r="K271" s="37" t="s">
        <v>59</v>
      </c>
      <c r="L271" s="33" t="s">
        <v>63</v>
      </c>
      <c r="M271" s="46" t="s">
        <v>722</v>
      </c>
      <c r="N271" s="21"/>
      <c r="O271" s="47">
        <v>44053</v>
      </c>
      <c r="P271" s="47"/>
      <c r="Q271" s="53"/>
      <c r="R271" s="42" t="s">
        <v>62</v>
      </c>
      <c r="S271" s="42"/>
      <c r="T271" s="42" t="s">
        <v>62</v>
      </c>
      <c r="U271" s="42"/>
      <c r="V271" s="42"/>
      <c r="W271" s="42" t="s">
        <v>62</v>
      </c>
      <c r="X271" s="42"/>
      <c r="Y271" s="42"/>
      <c r="Z271" s="553"/>
      <c r="AA271" s="553"/>
      <c r="AB271" s="16" t="s">
        <v>2538</v>
      </c>
      <c r="AC271" s="16" t="s">
        <v>2539</v>
      </c>
      <c r="AD271" s="42" t="s">
        <v>62</v>
      </c>
      <c r="AE271" s="58"/>
      <c r="AF271" s="58"/>
      <c r="AG271" s="343">
        <v>45514</v>
      </c>
      <c r="AH271" s="343">
        <v>45514</v>
      </c>
      <c r="AI271" s="343">
        <v>45514</v>
      </c>
      <c r="AM271" s="343">
        <v>45530</v>
      </c>
    </row>
    <row r="272" spans="1:39" ht="22.8" x14ac:dyDescent="0.25">
      <c r="A272" s="28">
        <v>272</v>
      </c>
      <c r="B272" s="20">
        <v>37193</v>
      </c>
      <c r="C272" s="27" t="s">
        <v>64</v>
      </c>
      <c r="D272" s="409" t="s">
        <v>2028</v>
      </c>
      <c r="E272" s="20" t="s">
        <v>1932</v>
      </c>
      <c r="F272" s="3" t="s">
        <v>2241</v>
      </c>
      <c r="G272" s="18" t="s">
        <v>15</v>
      </c>
      <c r="H272" s="19">
        <v>43633</v>
      </c>
      <c r="I272" s="3">
        <v>474</v>
      </c>
      <c r="J272" s="3" t="s">
        <v>58</v>
      </c>
      <c r="K272" s="37" t="s">
        <v>59</v>
      </c>
      <c r="L272" s="40">
        <v>44823</v>
      </c>
      <c r="M272" s="46" t="s">
        <v>722</v>
      </c>
      <c r="N272" s="21">
        <v>44823</v>
      </c>
      <c r="O272" s="47">
        <v>44823</v>
      </c>
      <c r="P272" s="47"/>
      <c r="Q272" s="53"/>
      <c r="R272" s="42" t="s">
        <v>68</v>
      </c>
      <c r="S272" s="42"/>
      <c r="T272" s="42" t="s">
        <v>68</v>
      </c>
      <c r="U272" s="42" t="s">
        <v>616</v>
      </c>
      <c r="V272" s="42"/>
      <c r="W272" s="42" t="s">
        <v>68</v>
      </c>
      <c r="X272" s="42"/>
      <c r="Y272" s="42"/>
      <c r="Z272" s="553"/>
      <c r="AA272" s="553"/>
      <c r="AB272" s="16"/>
      <c r="AC272" s="16"/>
      <c r="AD272" s="42" t="s">
        <v>68</v>
      </c>
      <c r="AE272" s="58"/>
      <c r="AF272" s="343">
        <v>45781</v>
      </c>
      <c r="AG272" s="343">
        <v>45463</v>
      </c>
      <c r="AH272" s="343">
        <v>45463</v>
      </c>
      <c r="AI272" s="281">
        <v>45341</v>
      </c>
      <c r="AJ272" s="58" t="s">
        <v>63</v>
      </c>
      <c r="AK272" s="343">
        <v>45461</v>
      </c>
      <c r="AL272" s="343">
        <v>45461</v>
      </c>
      <c r="AM272" s="343">
        <v>45576</v>
      </c>
    </row>
    <row r="273" spans="1:39" ht="22.8" x14ac:dyDescent="0.25">
      <c r="A273" s="28">
        <v>273</v>
      </c>
      <c r="B273" s="20">
        <v>37193</v>
      </c>
      <c r="C273" s="27" t="s">
        <v>54</v>
      </c>
      <c r="D273" s="409" t="s">
        <v>2029</v>
      </c>
      <c r="E273" s="20" t="s">
        <v>1932</v>
      </c>
      <c r="F273" s="3" t="s">
        <v>2241</v>
      </c>
      <c r="G273" s="18" t="s">
        <v>15</v>
      </c>
      <c r="H273" s="19">
        <v>43633</v>
      </c>
      <c r="I273" s="3">
        <v>475</v>
      </c>
      <c r="J273" s="3" t="s">
        <v>58</v>
      </c>
      <c r="K273" s="37" t="s">
        <v>59</v>
      </c>
      <c r="L273" s="40">
        <v>44823</v>
      </c>
      <c r="M273" s="46" t="s">
        <v>722</v>
      </c>
      <c r="N273" s="21">
        <v>44823</v>
      </c>
      <c r="O273" s="47">
        <v>44823</v>
      </c>
      <c r="P273" s="47"/>
      <c r="Q273" s="53"/>
      <c r="R273" s="42" t="s">
        <v>62</v>
      </c>
      <c r="S273" s="42"/>
      <c r="T273" s="42" t="s">
        <v>62</v>
      </c>
      <c r="U273" s="42" t="s">
        <v>604</v>
      </c>
      <c r="V273" s="42"/>
      <c r="W273" s="42" t="s">
        <v>62</v>
      </c>
      <c r="X273" s="42"/>
      <c r="Y273" s="42"/>
      <c r="Z273" s="553"/>
      <c r="AA273" s="553"/>
      <c r="AB273" s="16"/>
      <c r="AC273" s="16"/>
      <c r="AD273" s="42" t="s">
        <v>62</v>
      </c>
      <c r="AE273" s="58"/>
      <c r="AF273" s="343">
        <v>45781</v>
      </c>
      <c r="AG273" s="343">
        <v>45463</v>
      </c>
      <c r="AH273" s="343">
        <v>45463</v>
      </c>
      <c r="AI273" s="281">
        <v>45341</v>
      </c>
      <c r="AJ273" s="58" t="s">
        <v>63</v>
      </c>
      <c r="AK273" s="343">
        <v>45461</v>
      </c>
      <c r="AL273" s="343">
        <v>45461</v>
      </c>
      <c r="AM273" s="343">
        <v>45576</v>
      </c>
    </row>
    <row r="274" spans="1:39" ht="22.8" x14ac:dyDescent="0.25">
      <c r="A274" s="28">
        <v>274</v>
      </c>
      <c r="B274" s="20">
        <v>37248</v>
      </c>
      <c r="C274" s="27" t="s">
        <v>64</v>
      </c>
      <c r="D274" s="409" t="s">
        <v>2030</v>
      </c>
      <c r="E274" s="20" t="s">
        <v>1932</v>
      </c>
      <c r="F274" s="3" t="s">
        <v>2241</v>
      </c>
      <c r="G274" s="18" t="s">
        <v>15</v>
      </c>
      <c r="H274" s="19">
        <v>43770</v>
      </c>
      <c r="I274" s="3">
        <v>582</v>
      </c>
      <c r="J274" s="3" t="s">
        <v>58</v>
      </c>
      <c r="K274" s="37" t="s">
        <v>59</v>
      </c>
      <c r="L274" s="40">
        <v>44068</v>
      </c>
      <c r="M274" s="46" t="s">
        <v>871</v>
      </c>
      <c r="N274" s="21">
        <v>44653</v>
      </c>
      <c r="O274" s="47">
        <v>44172</v>
      </c>
      <c r="P274" s="47"/>
      <c r="Q274" s="16" t="s">
        <v>75</v>
      </c>
      <c r="R274" s="16" t="s">
        <v>75</v>
      </c>
      <c r="S274" s="42"/>
      <c r="T274" s="42" t="s">
        <v>68</v>
      </c>
      <c r="U274" s="42" t="s">
        <v>616</v>
      </c>
      <c r="V274" s="42" t="s">
        <v>616</v>
      </c>
      <c r="W274" s="42" t="s">
        <v>68</v>
      </c>
      <c r="X274" s="42"/>
      <c r="Y274" s="42"/>
      <c r="Z274" s="553"/>
      <c r="AA274" s="553"/>
      <c r="AB274" s="16"/>
      <c r="AC274" s="16"/>
      <c r="AD274" s="42" t="s">
        <v>68</v>
      </c>
      <c r="AE274" s="58"/>
      <c r="AF274" s="58"/>
      <c r="AG274" s="343">
        <v>45464</v>
      </c>
      <c r="AH274" s="343">
        <v>45653</v>
      </c>
      <c r="AI274" s="281">
        <v>45403</v>
      </c>
      <c r="AJ274" s="58" t="s">
        <v>63</v>
      </c>
      <c r="AK274" s="343">
        <v>45712</v>
      </c>
      <c r="AM274" s="343">
        <v>45698</v>
      </c>
    </row>
    <row r="275" spans="1:39" ht="22.8" x14ac:dyDescent="0.25">
      <c r="A275" s="28">
        <v>275</v>
      </c>
      <c r="B275" s="20">
        <v>37248</v>
      </c>
      <c r="C275" s="27" t="s">
        <v>54</v>
      </c>
      <c r="D275" s="409" t="s">
        <v>2031</v>
      </c>
      <c r="E275" s="20" t="s">
        <v>1932</v>
      </c>
      <c r="F275" s="3" t="s">
        <v>2241</v>
      </c>
      <c r="G275" s="18" t="s">
        <v>15</v>
      </c>
      <c r="H275" s="19">
        <v>43770</v>
      </c>
      <c r="I275" s="3">
        <v>583</v>
      </c>
      <c r="J275" s="3" t="s">
        <v>58</v>
      </c>
      <c r="K275" s="37" t="s">
        <v>59</v>
      </c>
      <c r="L275" s="40">
        <v>44068</v>
      </c>
      <c r="M275" s="46" t="s">
        <v>871</v>
      </c>
      <c r="N275" s="21">
        <v>44653</v>
      </c>
      <c r="O275" s="47">
        <v>44172</v>
      </c>
      <c r="P275" s="47"/>
      <c r="Q275" s="16" t="s">
        <v>75</v>
      </c>
      <c r="R275" s="16" t="s">
        <v>75</v>
      </c>
      <c r="S275" s="42"/>
      <c r="T275" s="42" t="s">
        <v>62</v>
      </c>
      <c r="U275" s="42" t="s">
        <v>604</v>
      </c>
      <c r="V275" s="42" t="s">
        <v>604</v>
      </c>
      <c r="W275" s="42" t="s">
        <v>62</v>
      </c>
      <c r="X275" s="42"/>
      <c r="Y275" s="42"/>
      <c r="Z275" s="553"/>
      <c r="AA275" s="553"/>
      <c r="AB275" s="24" t="s">
        <v>2540</v>
      </c>
      <c r="AC275" s="16"/>
      <c r="AD275" s="42" t="s">
        <v>62</v>
      </c>
      <c r="AE275" s="58"/>
      <c r="AF275" s="58"/>
      <c r="AG275" s="343">
        <v>45464</v>
      </c>
      <c r="AH275" s="343">
        <v>45653</v>
      </c>
      <c r="AI275" s="281">
        <v>45403</v>
      </c>
      <c r="AJ275" s="58" t="s">
        <v>63</v>
      </c>
      <c r="AK275" s="343">
        <v>45712</v>
      </c>
      <c r="AM275" s="343">
        <v>45698</v>
      </c>
    </row>
    <row r="276" spans="1:39" x14ac:dyDescent="0.25">
      <c r="A276" s="28">
        <v>276</v>
      </c>
      <c r="B276" s="20">
        <v>37251</v>
      </c>
      <c r="C276" s="27" t="s">
        <v>64</v>
      </c>
      <c r="D276" s="411" t="s">
        <v>2032</v>
      </c>
      <c r="E276" s="20" t="s">
        <v>1932</v>
      </c>
      <c r="F276" s="3" t="s">
        <v>2241</v>
      </c>
      <c r="G276" s="18" t="s">
        <v>15</v>
      </c>
      <c r="H276" s="19">
        <v>43787</v>
      </c>
      <c r="I276" s="3">
        <v>622</v>
      </c>
      <c r="J276" s="3" t="s">
        <v>58</v>
      </c>
      <c r="K276" s="16"/>
      <c r="L276" s="33"/>
      <c r="M276" s="46" t="s">
        <v>60</v>
      </c>
      <c r="N276" s="39">
        <v>44783</v>
      </c>
      <c r="O276" s="33">
        <v>44783</v>
      </c>
      <c r="P276" s="33"/>
      <c r="Q276" s="16" t="s">
        <v>75</v>
      </c>
      <c r="R276" s="16" t="s">
        <v>75</v>
      </c>
      <c r="S276" s="16"/>
      <c r="T276" s="42" t="s">
        <v>68</v>
      </c>
      <c r="U276" s="16" t="s">
        <v>68</v>
      </c>
      <c r="V276" s="42" t="s">
        <v>616</v>
      </c>
      <c r="W276" s="16"/>
      <c r="X276" s="16"/>
      <c r="Y276" s="16"/>
      <c r="Z276" s="432"/>
      <c r="AA276" s="432"/>
      <c r="AB276" s="143">
        <v>44099</v>
      </c>
      <c r="AC276" s="16"/>
      <c r="AD276" s="276" t="s">
        <v>616</v>
      </c>
      <c r="AE276" s="58"/>
      <c r="AF276" s="343">
        <v>45797</v>
      </c>
      <c r="AG276" s="343">
        <v>45472</v>
      </c>
      <c r="AH276" s="343">
        <v>45472</v>
      </c>
      <c r="AI276" s="343">
        <v>45472</v>
      </c>
      <c r="AK276" s="343">
        <v>45797</v>
      </c>
      <c r="AM276" s="343">
        <v>45589</v>
      </c>
    </row>
    <row r="277" spans="1:39" x14ac:dyDescent="0.25">
      <c r="A277" s="28">
        <v>277</v>
      </c>
      <c r="B277" s="20">
        <v>37251</v>
      </c>
      <c r="C277" s="27" t="s">
        <v>54</v>
      </c>
      <c r="D277" s="411" t="s">
        <v>1281</v>
      </c>
      <c r="E277" s="20" t="s">
        <v>1932</v>
      </c>
      <c r="F277" s="3" t="s">
        <v>2241</v>
      </c>
      <c r="G277" s="18" t="s">
        <v>15</v>
      </c>
      <c r="H277" s="19">
        <v>43787</v>
      </c>
      <c r="I277" s="3">
        <v>623</v>
      </c>
      <c r="J277" s="3" t="s">
        <v>58</v>
      </c>
      <c r="K277" s="16"/>
      <c r="L277" s="33"/>
      <c r="M277" s="46" t="s">
        <v>60</v>
      </c>
      <c r="N277" s="39">
        <v>44783</v>
      </c>
      <c r="O277" s="33">
        <v>44783</v>
      </c>
      <c r="P277" s="33"/>
      <c r="Q277" s="16" t="s">
        <v>75</v>
      </c>
      <c r="R277" s="16" t="s">
        <v>75</v>
      </c>
      <c r="S277" s="16"/>
      <c r="T277" s="42" t="s">
        <v>62</v>
      </c>
      <c r="U277" s="16" t="s">
        <v>62</v>
      </c>
      <c r="V277" s="42" t="s">
        <v>604</v>
      </c>
      <c r="W277" s="16"/>
      <c r="X277" s="16"/>
      <c r="Y277" s="16"/>
      <c r="Z277" s="432"/>
      <c r="AA277" s="432"/>
      <c r="AB277" s="16"/>
      <c r="AC277" s="16"/>
      <c r="AD277" s="276" t="s">
        <v>604</v>
      </c>
      <c r="AE277" s="58"/>
      <c r="AF277" s="343">
        <v>45797</v>
      </c>
      <c r="AG277" s="343">
        <v>45472</v>
      </c>
      <c r="AH277" s="343">
        <v>45472</v>
      </c>
      <c r="AI277" s="343">
        <v>45472</v>
      </c>
      <c r="AK277" s="343">
        <v>45797</v>
      </c>
      <c r="AM277" s="343">
        <v>45589</v>
      </c>
    </row>
    <row r="278" spans="1:39" ht="22.8" x14ac:dyDescent="0.25">
      <c r="A278" s="28">
        <v>278</v>
      </c>
      <c r="B278" s="20">
        <v>37254</v>
      </c>
      <c r="C278" s="27" t="s">
        <v>64</v>
      </c>
      <c r="D278" s="409" t="s">
        <v>2034</v>
      </c>
      <c r="E278" s="20" t="s">
        <v>1932</v>
      </c>
      <c r="F278" s="3" t="s">
        <v>2241</v>
      </c>
      <c r="G278" s="18" t="s">
        <v>15</v>
      </c>
      <c r="H278" s="19">
        <v>43738</v>
      </c>
      <c r="I278" s="3">
        <v>566</v>
      </c>
      <c r="J278" s="3" t="s">
        <v>58</v>
      </c>
      <c r="K278" s="37" t="s">
        <v>59</v>
      </c>
      <c r="L278" s="40">
        <v>44055</v>
      </c>
      <c r="M278" s="46" t="s">
        <v>871</v>
      </c>
      <c r="N278" s="21">
        <v>44544</v>
      </c>
      <c r="O278" s="47">
        <v>44039</v>
      </c>
      <c r="P278" s="47"/>
      <c r="Q278" s="16" t="s">
        <v>75</v>
      </c>
      <c r="R278" s="16" t="s">
        <v>75</v>
      </c>
      <c r="S278" s="42"/>
      <c r="T278" s="42" t="s">
        <v>68</v>
      </c>
      <c r="U278" s="42" t="s">
        <v>616</v>
      </c>
      <c r="V278" s="42" t="s">
        <v>616</v>
      </c>
      <c r="W278" s="42" t="s">
        <v>68</v>
      </c>
      <c r="X278" s="42"/>
      <c r="Y278" s="42"/>
      <c r="Z278" s="553"/>
      <c r="AA278" s="553"/>
      <c r="AB278" s="24" t="s">
        <v>872</v>
      </c>
      <c r="AC278" s="16"/>
      <c r="AD278" s="283" t="s">
        <v>1088</v>
      </c>
      <c r="AE278" s="58"/>
      <c r="AF278" s="343">
        <v>45772</v>
      </c>
      <c r="AG278" s="343">
        <v>45521</v>
      </c>
      <c r="AH278" s="343">
        <v>45521</v>
      </c>
      <c r="AI278" s="343">
        <v>45637</v>
      </c>
      <c r="AJ278" s="382" t="s">
        <v>63</v>
      </c>
      <c r="AK278" s="343">
        <v>45468</v>
      </c>
      <c r="AL278" s="343">
        <v>45468</v>
      </c>
      <c r="AM278" s="343">
        <v>45574</v>
      </c>
    </row>
    <row r="279" spans="1:39" ht="22.8" x14ac:dyDescent="0.25">
      <c r="A279" s="28">
        <v>279</v>
      </c>
      <c r="B279" s="20">
        <v>37254</v>
      </c>
      <c r="C279" s="27" t="s">
        <v>54</v>
      </c>
      <c r="D279" s="409" t="s">
        <v>2035</v>
      </c>
      <c r="E279" s="20" t="s">
        <v>1932</v>
      </c>
      <c r="F279" s="3" t="s">
        <v>2241</v>
      </c>
      <c r="G279" s="18" t="s">
        <v>15</v>
      </c>
      <c r="H279" s="19">
        <v>43738</v>
      </c>
      <c r="I279" s="3">
        <v>567</v>
      </c>
      <c r="J279" s="3" t="s">
        <v>58</v>
      </c>
      <c r="K279" s="37" t="s">
        <v>59</v>
      </c>
      <c r="L279" s="40">
        <v>44055</v>
      </c>
      <c r="M279" s="46" t="s">
        <v>871</v>
      </c>
      <c r="N279" s="21">
        <v>44544</v>
      </c>
      <c r="O279" s="47">
        <v>44039</v>
      </c>
      <c r="P279" s="47"/>
      <c r="Q279" s="16" t="s">
        <v>75</v>
      </c>
      <c r="R279" s="16" t="s">
        <v>75</v>
      </c>
      <c r="S279" s="42"/>
      <c r="T279" s="42" t="s">
        <v>62</v>
      </c>
      <c r="U279" s="42" t="s">
        <v>604</v>
      </c>
      <c r="V279" s="42" t="s">
        <v>604</v>
      </c>
      <c r="W279" s="42" t="s">
        <v>62</v>
      </c>
      <c r="X279" s="42"/>
      <c r="Y279" s="42"/>
      <c r="Z279" s="553"/>
      <c r="AA279" s="553"/>
      <c r="AB279" s="16"/>
      <c r="AC279" s="16"/>
      <c r="AD279" s="283" t="s">
        <v>2541</v>
      </c>
      <c r="AE279" s="58"/>
      <c r="AF279" s="343">
        <v>45772</v>
      </c>
      <c r="AG279" s="343">
        <v>45521</v>
      </c>
      <c r="AH279" s="343">
        <v>45521</v>
      </c>
      <c r="AI279" s="343">
        <v>45637</v>
      </c>
      <c r="AJ279" s="382" t="s">
        <v>63</v>
      </c>
      <c r="AK279" s="343">
        <v>45468</v>
      </c>
      <c r="AL279" s="343">
        <v>45468</v>
      </c>
      <c r="AM279" s="343">
        <v>45574</v>
      </c>
    </row>
    <row r="280" spans="1:39" ht="22.8" x14ac:dyDescent="0.25">
      <c r="A280" s="28">
        <v>280</v>
      </c>
      <c r="B280" s="20">
        <v>37367</v>
      </c>
      <c r="C280" s="27" t="s">
        <v>64</v>
      </c>
      <c r="D280" s="409" t="s">
        <v>2036</v>
      </c>
      <c r="E280" s="20" t="s">
        <v>1932</v>
      </c>
      <c r="F280" s="3" t="s">
        <v>2241</v>
      </c>
      <c r="G280" s="18" t="s">
        <v>15</v>
      </c>
      <c r="H280" s="19">
        <v>43986</v>
      </c>
      <c r="I280" s="3">
        <v>736</v>
      </c>
      <c r="J280" s="3" t="s">
        <v>58</v>
      </c>
      <c r="K280" s="37" t="s">
        <v>59</v>
      </c>
      <c r="L280" s="40">
        <v>44051</v>
      </c>
      <c r="M280" s="46" t="s">
        <v>871</v>
      </c>
      <c r="N280" s="21">
        <v>44648</v>
      </c>
      <c r="O280" s="47"/>
      <c r="P280" s="47"/>
      <c r="Q280" s="16" t="s">
        <v>75</v>
      </c>
      <c r="R280" s="16" t="s">
        <v>75</v>
      </c>
      <c r="S280" s="42"/>
      <c r="T280" s="42" t="s">
        <v>68</v>
      </c>
      <c r="U280" s="42" t="s">
        <v>616</v>
      </c>
      <c r="V280" s="42" t="s">
        <v>616</v>
      </c>
      <c r="W280" s="42"/>
      <c r="X280" s="42"/>
      <c r="Y280" s="42"/>
      <c r="Z280" s="553"/>
      <c r="AA280" s="553"/>
      <c r="AB280" s="16"/>
      <c r="AC280" s="16"/>
      <c r="AD280" s="283" t="s">
        <v>710</v>
      </c>
      <c r="AE280" s="32"/>
      <c r="AF280" s="32"/>
      <c r="AG280" s="343">
        <v>45533</v>
      </c>
      <c r="AH280" s="343">
        <v>45533</v>
      </c>
      <c r="AI280" s="343">
        <v>45766</v>
      </c>
      <c r="AK280" s="343">
        <v>45667</v>
      </c>
      <c r="AM280" s="343">
        <v>45703</v>
      </c>
    </row>
    <row r="281" spans="1:39" ht="22.8" x14ac:dyDescent="0.25">
      <c r="A281" s="28">
        <v>281</v>
      </c>
      <c r="B281" s="20">
        <v>37367</v>
      </c>
      <c r="C281" s="27" t="s">
        <v>54</v>
      </c>
      <c r="D281" s="409" t="s">
        <v>2037</v>
      </c>
      <c r="E281" s="20" t="s">
        <v>1932</v>
      </c>
      <c r="F281" s="3" t="s">
        <v>2241</v>
      </c>
      <c r="G281" s="18" t="s">
        <v>15</v>
      </c>
      <c r="H281" s="19">
        <v>43986</v>
      </c>
      <c r="I281" s="3">
        <v>745</v>
      </c>
      <c r="J281" s="3" t="s">
        <v>58</v>
      </c>
      <c r="K281" s="37" t="s">
        <v>59</v>
      </c>
      <c r="L281" s="40">
        <v>44051</v>
      </c>
      <c r="M281" s="46" t="s">
        <v>871</v>
      </c>
      <c r="N281" s="21">
        <v>44648</v>
      </c>
      <c r="O281" s="47"/>
      <c r="P281" s="47"/>
      <c r="Q281" s="16" t="s">
        <v>75</v>
      </c>
      <c r="R281" s="16" t="s">
        <v>75</v>
      </c>
      <c r="S281" s="42"/>
      <c r="T281" s="42" t="s">
        <v>62</v>
      </c>
      <c r="U281" s="42" t="s">
        <v>604</v>
      </c>
      <c r="V281" s="42" t="s">
        <v>604</v>
      </c>
      <c r="W281" s="42"/>
      <c r="X281" s="42"/>
      <c r="Y281" s="42"/>
      <c r="Z281" s="553"/>
      <c r="AA281" s="553"/>
      <c r="AB281" s="24" t="s">
        <v>2542</v>
      </c>
      <c r="AC281" s="16"/>
      <c r="AD281" s="283" t="s">
        <v>604</v>
      </c>
      <c r="AE281" s="32"/>
      <c r="AF281" s="32"/>
      <c r="AG281" s="343">
        <v>45533</v>
      </c>
      <c r="AH281" s="343">
        <v>45533</v>
      </c>
      <c r="AI281" s="343">
        <v>45766</v>
      </c>
      <c r="AK281" s="343">
        <v>45667</v>
      </c>
      <c r="AM281" s="343">
        <v>45703</v>
      </c>
    </row>
    <row r="282" spans="1:39" ht="22.8" x14ac:dyDescent="0.25">
      <c r="A282" s="28">
        <v>282</v>
      </c>
      <c r="B282" s="20">
        <v>39042</v>
      </c>
      <c r="C282" s="27" t="s">
        <v>64</v>
      </c>
      <c r="D282" s="409" t="s">
        <v>2038</v>
      </c>
      <c r="E282" s="20" t="s">
        <v>1932</v>
      </c>
      <c r="F282" s="3" t="s">
        <v>2241</v>
      </c>
      <c r="G282" s="18" t="s">
        <v>15</v>
      </c>
      <c r="H282" s="19">
        <v>43563</v>
      </c>
      <c r="I282" s="3">
        <v>310</v>
      </c>
      <c r="J282" s="3" t="s">
        <v>58</v>
      </c>
      <c r="K282" s="37" t="s">
        <v>59</v>
      </c>
      <c r="L282" s="40">
        <v>44168</v>
      </c>
      <c r="M282" s="316" t="s">
        <v>871</v>
      </c>
      <c r="N282" s="40">
        <v>44757</v>
      </c>
      <c r="O282" s="21">
        <v>44861</v>
      </c>
      <c r="P282" s="21"/>
      <c r="Q282" s="42"/>
      <c r="R282" s="16" t="s">
        <v>68</v>
      </c>
      <c r="S282" s="42"/>
      <c r="T282" s="42" t="s">
        <v>616</v>
      </c>
      <c r="U282" s="42" t="s">
        <v>616</v>
      </c>
      <c r="V282" s="42"/>
      <c r="W282" s="42"/>
      <c r="X282" s="42"/>
      <c r="Y282" s="42"/>
      <c r="Z282" s="553"/>
      <c r="AA282" s="553"/>
      <c r="AB282" s="16"/>
      <c r="AC282" s="16"/>
      <c r="AD282" s="283" t="s">
        <v>616</v>
      </c>
      <c r="AE282" s="32"/>
      <c r="AF282" s="32"/>
      <c r="AG282" s="343">
        <v>45463</v>
      </c>
      <c r="AH282" s="343">
        <v>45606</v>
      </c>
      <c r="AI282" s="281">
        <v>45309</v>
      </c>
      <c r="AJ282" s="58" t="s">
        <v>63</v>
      </c>
      <c r="AK282" s="343">
        <v>45709</v>
      </c>
      <c r="AM282" s="343">
        <v>45588</v>
      </c>
    </row>
    <row r="283" spans="1:39" ht="22.8" x14ac:dyDescent="0.25">
      <c r="A283" s="28">
        <v>283</v>
      </c>
      <c r="B283" s="20">
        <v>39042</v>
      </c>
      <c r="C283" s="27" t="s">
        <v>54</v>
      </c>
      <c r="D283" s="409" t="s">
        <v>2039</v>
      </c>
      <c r="E283" s="20" t="s">
        <v>1932</v>
      </c>
      <c r="F283" s="3" t="s">
        <v>2241</v>
      </c>
      <c r="G283" s="18" t="s">
        <v>15</v>
      </c>
      <c r="H283" s="19">
        <v>43563</v>
      </c>
      <c r="I283" s="3">
        <v>309</v>
      </c>
      <c r="J283" s="3" t="s">
        <v>58</v>
      </c>
      <c r="K283" s="37" t="s">
        <v>59</v>
      </c>
      <c r="L283" s="40">
        <v>44168</v>
      </c>
      <c r="M283" s="46" t="s">
        <v>871</v>
      </c>
      <c r="N283" s="40">
        <v>44757</v>
      </c>
      <c r="O283" s="21">
        <v>44861</v>
      </c>
      <c r="P283" s="21"/>
      <c r="Q283" s="42"/>
      <c r="R283" s="16" t="s">
        <v>62</v>
      </c>
      <c r="S283" s="42"/>
      <c r="T283" s="42" t="s">
        <v>604</v>
      </c>
      <c r="U283" s="42" t="s">
        <v>604</v>
      </c>
      <c r="V283" s="42"/>
      <c r="W283" s="42"/>
      <c r="X283" s="42"/>
      <c r="Y283" s="42"/>
      <c r="Z283" s="553"/>
      <c r="AA283" s="553"/>
      <c r="AB283" s="16"/>
      <c r="AC283" s="16"/>
      <c r="AD283" s="283" t="s">
        <v>604</v>
      </c>
      <c r="AE283" s="32" t="s">
        <v>62</v>
      </c>
      <c r="AF283" s="32" t="s">
        <v>62</v>
      </c>
      <c r="AG283" s="343">
        <v>45463</v>
      </c>
      <c r="AH283" s="343">
        <v>45606</v>
      </c>
      <c r="AI283" s="281">
        <v>45309</v>
      </c>
      <c r="AJ283" s="58" t="s">
        <v>63</v>
      </c>
      <c r="AK283" s="343">
        <v>45709</v>
      </c>
      <c r="AM283" s="343">
        <v>45588</v>
      </c>
    </row>
    <row r="284" spans="1:39" ht="22.8" x14ac:dyDescent="0.25">
      <c r="A284" s="28">
        <v>284</v>
      </c>
      <c r="B284" s="51">
        <v>30674</v>
      </c>
      <c r="C284" s="27" t="s">
        <v>64</v>
      </c>
      <c r="D284" s="412" t="s">
        <v>2543</v>
      </c>
      <c r="E284" s="20" t="s">
        <v>1932</v>
      </c>
      <c r="F284" s="3" t="s">
        <v>2241</v>
      </c>
      <c r="G284" s="18" t="s">
        <v>15</v>
      </c>
      <c r="H284" s="51"/>
      <c r="I284" s="3"/>
      <c r="J284" s="3"/>
      <c r="K284" s="37" t="s">
        <v>59</v>
      </c>
      <c r="L284" s="16" t="s">
        <v>121</v>
      </c>
      <c r="M284" s="16" t="s">
        <v>871</v>
      </c>
      <c r="N284" s="59">
        <v>41203</v>
      </c>
      <c r="O284" s="33">
        <v>44855</v>
      </c>
      <c r="P284" s="33"/>
      <c r="Q284" s="16"/>
      <c r="R284" s="16" t="s">
        <v>121</v>
      </c>
      <c r="S284" s="16"/>
      <c r="T284" s="16"/>
      <c r="U284" s="42" t="s">
        <v>616</v>
      </c>
      <c r="V284" s="16"/>
      <c r="W284" s="16"/>
      <c r="X284" s="16"/>
      <c r="Y284" s="16"/>
      <c r="Z284" s="432"/>
      <c r="AA284" s="432"/>
      <c r="AB284" s="16"/>
      <c r="AC284" s="16"/>
      <c r="AD284" s="276" t="s">
        <v>68</v>
      </c>
      <c r="AE284" s="32"/>
      <c r="AF284" s="32" t="s">
        <v>63</v>
      </c>
      <c r="AG284" s="343">
        <v>45471</v>
      </c>
      <c r="AH284" s="343">
        <v>45471</v>
      </c>
      <c r="AI284" s="281">
        <v>45678</v>
      </c>
      <c r="AK284" s="343">
        <v>45575</v>
      </c>
    </row>
    <row r="285" spans="1:39" ht="22.8" x14ac:dyDescent="0.25">
      <c r="A285" s="28">
        <v>285</v>
      </c>
      <c r="B285" s="51">
        <v>30674</v>
      </c>
      <c r="C285" s="27" t="s">
        <v>54</v>
      </c>
      <c r="D285" s="412" t="s">
        <v>2544</v>
      </c>
      <c r="E285" s="20" t="s">
        <v>1932</v>
      </c>
      <c r="F285" s="3" t="s">
        <v>2241</v>
      </c>
      <c r="G285" s="18" t="s">
        <v>15</v>
      </c>
      <c r="H285" s="51"/>
      <c r="I285" s="3"/>
      <c r="J285" s="3"/>
      <c r="K285" s="37" t="s">
        <v>59</v>
      </c>
      <c r="L285" s="16" t="s">
        <v>206</v>
      </c>
      <c r="M285" s="16" t="s">
        <v>871</v>
      </c>
      <c r="N285" s="59">
        <v>44855</v>
      </c>
      <c r="O285" s="33">
        <v>44855</v>
      </c>
      <c r="P285" s="33"/>
      <c r="Q285" s="16"/>
      <c r="R285" s="16" t="s">
        <v>121</v>
      </c>
      <c r="S285" s="16"/>
      <c r="T285" s="16"/>
      <c r="U285" s="42" t="s">
        <v>604</v>
      </c>
      <c r="V285" s="16"/>
      <c r="W285" s="16"/>
      <c r="X285" s="16"/>
      <c r="Y285" s="16"/>
      <c r="Z285" s="432"/>
      <c r="AA285" s="432"/>
      <c r="AB285" s="16"/>
      <c r="AC285" s="16"/>
      <c r="AD285" s="276" t="s">
        <v>62</v>
      </c>
      <c r="AE285" s="32"/>
      <c r="AF285" s="32" t="s">
        <v>63</v>
      </c>
      <c r="AG285" s="343">
        <v>45471</v>
      </c>
      <c r="AH285" s="343">
        <v>45471</v>
      </c>
      <c r="AI285" s="281">
        <v>45678</v>
      </c>
      <c r="AK285" s="343">
        <v>45575</v>
      </c>
    </row>
    <row r="286" spans="1:39" ht="22.8" x14ac:dyDescent="0.25">
      <c r="A286" s="28">
        <v>286</v>
      </c>
      <c r="B286" s="51">
        <v>30673</v>
      </c>
      <c r="C286" s="27" t="s">
        <v>64</v>
      </c>
      <c r="D286" s="412" t="s">
        <v>2545</v>
      </c>
      <c r="E286" s="20" t="s">
        <v>1932</v>
      </c>
      <c r="F286" s="3" t="s">
        <v>2241</v>
      </c>
      <c r="G286" s="18" t="s">
        <v>15</v>
      </c>
      <c r="H286" s="51"/>
      <c r="I286" s="3"/>
      <c r="J286" s="3"/>
      <c r="K286" s="37" t="s">
        <v>59</v>
      </c>
      <c r="L286" s="16" t="s">
        <v>121</v>
      </c>
      <c r="M286" s="16" t="s">
        <v>871</v>
      </c>
      <c r="N286" s="59" t="s">
        <v>63</v>
      </c>
      <c r="O286" s="33"/>
      <c r="P286" s="33"/>
      <c r="Q286" s="16"/>
      <c r="R286" s="16" t="s">
        <v>121</v>
      </c>
      <c r="S286" s="16"/>
      <c r="T286" s="16"/>
      <c r="U286" s="42" t="s">
        <v>616</v>
      </c>
      <c r="V286" s="16"/>
      <c r="W286" s="16"/>
      <c r="X286" s="16"/>
      <c r="Y286" s="16"/>
      <c r="Z286" s="432"/>
      <c r="AA286" s="432"/>
      <c r="AB286" s="16"/>
      <c r="AC286" s="16"/>
      <c r="AD286" s="276" t="s">
        <v>68</v>
      </c>
      <c r="AE286" s="32"/>
      <c r="AF286" s="32" t="s">
        <v>63</v>
      </c>
      <c r="AG286" s="343">
        <v>45461</v>
      </c>
      <c r="AH286" s="343">
        <v>45616</v>
      </c>
      <c r="AI286" s="281">
        <v>45347</v>
      </c>
      <c r="AJ286" s="58" t="s">
        <v>63</v>
      </c>
      <c r="AK286" s="343">
        <v>45586</v>
      </c>
      <c r="AM286" s="343">
        <v>45980</v>
      </c>
    </row>
    <row r="287" spans="1:39" ht="22.8" x14ac:dyDescent="0.25">
      <c r="A287" s="28">
        <v>287</v>
      </c>
      <c r="B287" s="51">
        <v>30673</v>
      </c>
      <c r="C287" s="27" t="s">
        <v>54</v>
      </c>
      <c r="D287" s="412" t="s">
        <v>2546</v>
      </c>
      <c r="E287" s="20" t="s">
        <v>1932</v>
      </c>
      <c r="F287" s="3" t="s">
        <v>2241</v>
      </c>
      <c r="G287" s="18" t="s">
        <v>15</v>
      </c>
      <c r="H287" s="51"/>
      <c r="I287" s="3"/>
      <c r="J287" s="3"/>
      <c r="K287" s="37" t="s">
        <v>59</v>
      </c>
      <c r="L287" s="16" t="s">
        <v>206</v>
      </c>
      <c r="M287" s="16" t="s">
        <v>871</v>
      </c>
      <c r="N287" s="59" t="s">
        <v>63</v>
      </c>
      <c r="O287" s="33"/>
      <c r="P287" s="33"/>
      <c r="Q287" s="16"/>
      <c r="R287" s="16" t="s">
        <v>121</v>
      </c>
      <c r="S287" s="16"/>
      <c r="T287" s="16"/>
      <c r="U287" s="42" t="s">
        <v>604</v>
      </c>
      <c r="V287" s="16"/>
      <c r="W287" s="16"/>
      <c r="X287" s="16"/>
      <c r="Y287" s="16"/>
      <c r="Z287" s="432"/>
      <c r="AA287" s="432"/>
      <c r="AB287" s="16"/>
      <c r="AC287" s="16"/>
      <c r="AD287" s="276" t="s">
        <v>62</v>
      </c>
      <c r="AE287" s="32"/>
      <c r="AF287" s="32" t="s">
        <v>63</v>
      </c>
      <c r="AG287" s="343">
        <v>45461</v>
      </c>
      <c r="AH287" s="343">
        <v>45616</v>
      </c>
      <c r="AI287" s="281">
        <v>45347</v>
      </c>
      <c r="AJ287" s="58" t="s">
        <v>63</v>
      </c>
      <c r="AK287" s="343">
        <v>45586</v>
      </c>
      <c r="AM287" s="343">
        <v>45980</v>
      </c>
    </row>
    <row r="288" spans="1:39" ht="14.4" x14ac:dyDescent="0.25">
      <c r="A288" s="28">
        <v>288</v>
      </c>
      <c r="B288" s="538">
        <v>37079</v>
      </c>
      <c r="C288" s="334" t="s">
        <v>64</v>
      </c>
      <c r="D288" s="341" t="s">
        <v>2042</v>
      </c>
      <c r="E288" s="20" t="s">
        <v>1933</v>
      </c>
      <c r="F288" s="3" t="s">
        <v>2241</v>
      </c>
      <c r="G288" s="335" t="s">
        <v>15</v>
      </c>
      <c r="H288" s="342">
        <v>43477</v>
      </c>
      <c r="I288" s="314">
        <v>272</v>
      </c>
      <c r="J288" s="310" t="s">
        <v>58</v>
      </c>
      <c r="K288" s="491" t="s">
        <v>680</v>
      </c>
      <c r="L288" s="495">
        <v>44379</v>
      </c>
      <c r="M288" s="491" t="s">
        <v>60</v>
      </c>
      <c r="N288" s="495">
        <v>44379</v>
      </c>
      <c r="O288" s="343"/>
      <c r="P288" s="343">
        <v>44793</v>
      </c>
      <c r="Q288" s="310"/>
      <c r="R288" s="310" t="s">
        <v>68</v>
      </c>
      <c r="S288" s="310" t="s">
        <v>68</v>
      </c>
      <c r="T288" s="310" t="s">
        <v>68</v>
      </c>
      <c r="U288" s="310" t="s">
        <v>68</v>
      </c>
      <c r="V288" s="37" t="s">
        <v>68</v>
      </c>
      <c r="W288" s="310"/>
      <c r="X288" s="338" t="s">
        <v>1030</v>
      </c>
      <c r="Y288" s="310"/>
      <c r="Z288" s="491"/>
      <c r="AA288" s="552"/>
      <c r="AB288" s="310"/>
      <c r="AC288" s="310"/>
      <c r="AD288" s="343">
        <v>44793</v>
      </c>
      <c r="AE288" s="343">
        <v>45607</v>
      </c>
      <c r="AF288" s="343">
        <v>44793</v>
      </c>
      <c r="AG288" s="343">
        <v>45488</v>
      </c>
      <c r="AH288" s="343">
        <v>45488</v>
      </c>
      <c r="AI288" s="343">
        <v>45488</v>
      </c>
      <c r="AJ288" s="24" t="s">
        <v>1116</v>
      </c>
      <c r="AK288" s="386">
        <v>45636</v>
      </c>
      <c r="AL288" s="343">
        <v>45488</v>
      </c>
      <c r="AM288" s="343">
        <v>45488</v>
      </c>
    </row>
    <row r="289" spans="1:42" ht="14.4" x14ac:dyDescent="0.25">
      <c r="A289" s="28">
        <v>289</v>
      </c>
      <c r="B289" s="339">
        <v>37079</v>
      </c>
      <c r="C289" s="334" t="s">
        <v>54</v>
      </c>
      <c r="D289" s="341" t="s">
        <v>2043</v>
      </c>
      <c r="E289" s="20" t="s">
        <v>1933</v>
      </c>
      <c r="F289" s="3" t="s">
        <v>2241</v>
      </c>
      <c r="G289" s="335" t="s">
        <v>15</v>
      </c>
      <c r="H289" s="342">
        <v>43477</v>
      </c>
      <c r="I289" s="314">
        <v>273</v>
      </c>
      <c r="J289" s="310" t="s">
        <v>58</v>
      </c>
      <c r="K289" s="491" t="s">
        <v>680</v>
      </c>
      <c r="L289" s="495">
        <v>44379</v>
      </c>
      <c r="M289" s="491" t="s">
        <v>60</v>
      </c>
      <c r="N289" s="495">
        <v>44379</v>
      </c>
      <c r="O289" s="343"/>
      <c r="P289" s="343">
        <v>44793</v>
      </c>
      <c r="Q289" s="310"/>
      <c r="R289" s="310" t="s">
        <v>62</v>
      </c>
      <c r="S289" s="310" t="s">
        <v>62</v>
      </c>
      <c r="T289" s="310" t="s">
        <v>62</v>
      </c>
      <c r="U289" s="310" t="s">
        <v>62</v>
      </c>
      <c r="V289" s="37" t="s">
        <v>62</v>
      </c>
      <c r="W289" s="310"/>
      <c r="X289" s="338" t="s">
        <v>1030</v>
      </c>
      <c r="Y289" s="310"/>
      <c r="Z289" s="491"/>
      <c r="AA289" s="552"/>
      <c r="AB289" s="310"/>
      <c r="AC289" s="310"/>
      <c r="AD289" s="343">
        <v>44793</v>
      </c>
      <c r="AE289" s="343">
        <v>45607</v>
      </c>
      <c r="AF289" s="343">
        <v>44793</v>
      </c>
      <c r="AG289" s="343">
        <v>45488</v>
      </c>
      <c r="AH289" s="343">
        <v>45488</v>
      </c>
      <c r="AI289" s="343">
        <v>45488</v>
      </c>
      <c r="AJ289" s="24" t="s">
        <v>1116</v>
      </c>
      <c r="AK289" s="386">
        <v>45636</v>
      </c>
      <c r="AL289" s="343">
        <v>45488</v>
      </c>
      <c r="AM289" s="343">
        <v>45488</v>
      </c>
    </row>
    <row r="290" spans="1:42" ht="14.4" x14ac:dyDescent="0.25">
      <c r="A290" s="28">
        <v>290</v>
      </c>
      <c r="B290" s="576">
        <v>37516</v>
      </c>
      <c r="C290" s="577" t="s">
        <v>64</v>
      </c>
      <c r="D290" s="587" t="s">
        <v>2050</v>
      </c>
      <c r="E290" s="20" t="s">
        <v>1931</v>
      </c>
      <c r="F290" s="3" t="s">
        <v>2241</v>
      </c>
      <c r="G290" s="335" t="s">
        <v>15</v>
      </c>
      <c r="H290" s="579">
        <v>44194</v>
      </c>
      <c r="I290" s="580">
        <v>834</v>
      </c>
      <c r="J290" s="581" t="s">
        <v>58</v>
      </c>
      <c r="K290" s="582" t="s">
        <v>680</v>
      </c>
      <c r="L290" s="495">
        <v>44474</v>
      </c>
      <c r="M290" s="582" t="s">
        <v>60</v>
      </c>
      <c r="N290" s="583">
        <v>44474</v>
      </c>
      <c r="O290" s="581"/>
      <c r="P290" s="33"/>
      <c r="Q290" s="581"/>
      <c r="R290" s="581" t="s">
        <v>68</v>
      </c>
      <c r="S290" s="581"/>
      <c r="T290" s="581" t="s">
        <v>68</v>
      </c>
      <c r="U290" s="581" t="s">
        <v>68</v>
      </c>
      <c r="V290" s="588"/>
      <c r="W290" s="581"/>
      <c r="X290" s="585" t="s">
        <v>1030</v>
      </c>
      <c r="Y290" s="581"/>
      <c r="Z290" s="491"/>
      <c r="AA290" s="533"/>
      <c r="AB290" s="581"/>
      <c r="AC290" s="581"/>
      <c r="AD290" s="586">
        <v>44761</v>
      </c>
      <c r="AE290" s="586"/>
      <c r="AF290" s="586">
        <v>44761</v>
      </c>
      <c r="AG290" s="343">
        <v>45493</v>
      </c>
      <c r="AH290" s="343">
        <v>45489</v>
      </c>
      <c r="AI290" s="343">
        <v>45673</v>
      </c>
      <c r="AJ290" s="24" t="s">
        <v>63</v>
      </c>
      <c r="AK290" s="386">
        <v>45607</v>
      </c>
      <c r="AM290" s="386">
        <v>45607</v>
      </c>
    </row>
    <row r="291" spans="1:42" ht="14.4" x14ac:dyDescent="0.25">
      <c r="A291" s="28">
        <v>291</v>
      </c>
      <c r="B291" s="339">
        <v>37516</v>
      </c>
      <c r="C291" s="340" t="s">
        <v>54</v>
      </c>
      <c r="D291" s="341" t="s">
        <v>2051</v>
      </c>
      <c r="E291" s="20" t="s">
        <v>1931</v>
      </c>
      <c r="F291" s="3" t="s">
        <v>2241</v>
      </c>
      <c r="G291" s="335" t="s">
        <v>15</v>
      </c>
      <c r="H291" s="342">
        <v>44194</v>
      </c>
      <c r="I291" s="314">
        <v>843</v>
      </c>
      <c r="J291" s="310" t="s">
        <v>58</v>
      </c>
      <c r="K291" s="491" t="s">
        <v>680</v>
      </c>
      <c r="L291" s="495">
        <v>44474</v>
      </c>
      <c r="M291" s="491" t="s">
        <v>60</v>
      </c>
      <c r="N291" s="495">
        <v>44474</v>
      </c>
      <c r="O291" s="310"/>
      <c r="P291" s="314"/>
      <c r="Q291" s="310"/>
      <c r="R291" s="310" t="s">
        <v>62</v>
      </c>
      <c r="S291" s="310"/>
      <c r="T291" s="310" t="s">
        <v>62</v>
      </c>
      <c r="U291" s="310" t="s">
        <v>62</v>
      </c>
      <c r="V291" s="346"/>
      <c r="W291" s="310"/>
      <c r="X291" s="338" t="s">
        <v>1030</v>
      </c>
      <c r="Y291" s="310"/>
      <c r="Z291" s="491"/>
      <c r="AA291" s="552"/>
      <c r="AB291" s="310"/>
      <c r="AC291" s="310"/>
      <c r="AD291" s="344">
        <v>44761</v>
      </c>
      <c r="AE291" s="344"/>
      <c r="AF291" s="344">
        <v>44761</v>
      </c>
      <c r="AG291" s="343">
        <v>45493</v>
      </c>
      <c r="AH291" s="343">
        <v>45489</v>
      </c>
      <c r="AI291" s="343">
        <v>45673</v>
      </c>
      <c r="AJ291" s="24" t="s">
        <v>63</v>
      </c>
      <c r="AK291" s="386">
        <v>45607</v>
      </c>
      <c r="AM291" s="386">
        <v>45607</v>
      </c>
    </row>
    <row r="292" spans="1:42" ht="14.4" x14ac:dyDescent="0.25">
      <c r="A292" s="28">
        <v>292</v>
      </c>
      <c r="B292" s="339">
        <v>37518</v>
      </c>
      <c r="C292" s="340" t="s">
        <v>64</v>
      </c>
      <c r="D292" s="335" t="s">
        <v>2547</v>
      </c>
      <c r="E292" s="20" t="s">
        <v>1931</v>
      </c>
      <c r="F292" s="3" t="s">
        <v>2241</v>
      </c>
      <c r="G292" s="335" t="s">
        <v>15</v>
      </c>
      <c r="H292" s="342">
        <v>44196</v>
      </c>
      <c r="I292" s="314">
        <v>969</v>
      </c>
      <c r="J292" s="310" t="s">
        <v>58</v>
      </c>
      <c r="K292" s="491" t="s">
        <v>680</v>
      </c>
      <c r="L292" s="492">
        <v>44271</v>
      </c>
      <c r="M292" s="491" t="s">
        <v>60</v>
      </c>
      <c r="N292" s="497">
        <v>44636</v>
      </c>
      <c r="O292" s="348"/>
      <c r="P292" s="343">
        <v>45574</v>
      </c>
      <c r="Q292" s="343">
        <v>45647</v>
      </c>
      <c r="R292" s="310" t="s">
        <v>1295</v>
      </c>
      <c r="S292" s="313"/>
      <c r="T292" s="310" t="s">
        <v>62</v>
      </c>
      <c r="U292" s="310" t="s">
        <v>68</v>
      </c>
      <c r="V292" s="313"/>
      <c r="W292" s="313"/>
      <c r="X292" s="338" t="s">
        <v>1030</v>
      </c>
      <c r="Y292" s="313"/>
      <c r="Z292" s="551"/>
      <c r="AA292" s="552"/>
      <c r="AB292" s="313"/>
      <c r="AC292" s="313"/>
      <c r="AD292" s="344">
        <v>44785</v>
      </c>
      <c r="AE292" s="314"/>
      <c r="AF292" s="344">
        <v>44762</v>
      </c>
      <c r="AG292" s="343">
        <v>45500</v>
      </c>
      <c r="AH292" s="343">
        <v>45574</v>
      </c>
      <c r="AI292" s="386">
        <v>45272</v>
      </c>
      <c r="AJ292" s="24" t="s">
        <v>63</v>
      </c>
      <c r="AK292" s="24"/>
      <c r="AM292" s="343">
        <v>45504</v>
      </c>
    </row>
    <row r="293" spans="1:42" ht="14.4" x14ac:dyDescent="0.25">
      <c r="A293" s="28">
        <v>293</v>
      </c>
      <c r="B293" s="339">
        <v>37518</v>
      </c>
      <c r="C293" s="340" t="s">
        <v>54</v>
      </c>
      <c r="D293" s="335" t="s">
        <v>2548</v>
      </c>
      <c r="E293" s="20" t="s">
        <v>1931</v>
      </c>
      <c r="F293" s="3" t="s">
        <v>2241</v>
      </c>
      <c r="G293" s="335" t="s">
        <v>15</v>
      </c>
      <c r="H293" s="342">
        <v>44196</v>
      </c>
      <c r="I293" s="314">
        <v>787</v>
      </c>
      <c r="J293" s="310" t="s">
        <v>58</v>
      </c>
      <c r="K293" s="491" t="s">
        <v>680</v>
      </c>
      <c r="L293" s="492">
        <v>44271</v>
      </c>
      <c r="M293" s="491" t="s">
        <v>60</v>
      </c>
      <c r="N293" s="497">
        <v>44636</v>
      </c>
      <c r="O293" s="348"/>
      <c r="P293" s="343">
        <v>45574</v>
      </c>
      <c r="Q293" s="343">
        <v>45647</v>
      </c>
      <c r="R293" s="310" t="s">
        <v>1295</v>
      </c>
      <c r="S293" s="313"/>
      <c r="T293" s="310" t="s">
        <v>62</v>
      </c>
      <c r="U293" s="310" t="s">
        <v>62</v>
      </c>
      <c r="V293" s="313"/>
      <c r="W293" s="313"/>
      <c r="X293" s="338" t="s">
        <v>1030</v>
      </c>
      <c r="Y293" s="313"/>
      <c r="Z293" s="551"/>
      <c r="AA293" s="552"/>
      <c r="AB293" s="24" t="s">
        <v>2485</v>
      </c>
      <c r="AC293" s="313"/>
      <c r="AD293" s="344">
        <v>44785</v>
      </c>
      <c r="AE293" s="314"/>
      <c r="AF293" s="344">
        <v>44762</v>
      </c>
      <c r="AG293" s="343">
        <v>45500</v>
      </c>
      <c r="AH293" s="343">
        <v>45574</v>
      </c>
      <c r="AI293" s="386">
        <v>45272</v>
      </c>
      <c r="AJ293" s="24" t="s">
        <v>63</v>
      </c>
      <c r="AK293" s="24"/>
      <c r="AM293" s="343">
        <v>45504</v>
      </c>
    </row>
    <row r="294" spans="1:42" ht="14.4" x14ac:dyDescent="0.25">
      <c r="A294" s="28">
        <v>294</v>
      </c>
      <c r="B294" s="339">
        <v>39005</v>
      </c>
      <c r="C294" s="340" t="s">
        <v>64</v>
      </c>
      <c r="D294" s="341" t="s">
        <v>2054</v>
      </c>
      <c r="E294" s="20" t="s">
        <v>2458</v>
      </c>
      <c r="F294" s="3" t="s">
        <v>2241</v>
      </c>
      <c r="G294" s="335" t="s">
        <v>15</v>
      </c>
      <c r="H294" s="342">
        <v>43610</v>
      </c>
      <c r="I294" s="314">
        <v>209</v>
      </c>
      <c r="J294" s="310" t="s">
        <v>58</v>
      </c>
      <c r="K294" s="491" t="s">
        <v>680</v>
      </c>
      <c r="L294" s="495">
        <v>44553</v>
      </c>
      <c r="M294" s="491" t="s">
        <v>60</v>
      </c>
      <c r="N294" s="495">
        <v>44173</v>
      </c>
      <c r="O294" s="343">
        <v>44714</v>
      </c>
      <c r="P294" s="314"/>
      <c r="Q294" s="310"/>
      <c r="R294" s="310" t="s">
        <v>68</v>
      </c>
      <c r="S294" s="310"/>
      <c r="T294" s="310" t="s">
        <v>68</v>
      </c>
      <c r="U294" s="310" t="s">
        <v>68</v>
      </c>
      <c r="V294" s="16" t="s">
        <v>68</v>
      </c>
      <c r="W294" s="310"/>
      <c r="X294" s="338" t="s">
        <v>1030</v>
      </c>
      <c r="Y294" s="310"/>
      <c r="Z294" s="491"/>
      <c r="AA294" s="552"/>
      <c r="AB294" s="1116" t="s">
        <v>2549</v>
      </c>
      <c r="AC294" s="310"/>
      <c r="AD294" s="276" t="s">
        <v>68</v>
      </c>
      <c r="AE294" s="386">
        <v>45488</v>
      </c>
      <c r="AF294" s="309">
        <v>44604</v>
      </c>
      <c r="AG294" s="143">
        <v>45489</v>
      </c>
      <c r="AH294" s="143">
        <v>45489</v>
      </c>
      <c r="AI294" s="386">
        <v>45022</v>
      </c>
      <c r="AJ294" s="24" t="s">
        <v>1116</v>
      </c>
      <c r="AK294" s="24"/>
      <c r="AM294" s="386">
        <v>45831</v>
      </c>
    </row>
    <row r="295" spans="1:42" ht="14.4" x14ac:dyDescent="0.25">
      <c r="A295" s="28">
        <v>295</v>
      </c>
      <c r="B295" s="339">
        <v>39005</v>
      </c>
      <c r="C295" s="340" t="s">
        <v>54</v>
      </c>
      <c r="D295" s="341" t="s">
        <v>2055</v>
      </c>
      <c r="E295" s="20" t="s">
        <v>2458</v>
      </c>
      <c r="F295" s="3" t="s">
        <v>2241</v>
      </c>
      <c r="G295" s="335" t="s">
        <v>15</v>
      </c>
      <c r="H295" s="342">
        <v>43610</v>
      </c>
      <c r="I295" s="314">
        <v>208</v>
      </c>
      <c r="J295" s="310" t="s">
        <v>58</v>
      </c>
      <c r="K295" s="491" t="s">
        <v>680</v>
      </c>
      <c r="L295" s="495">
        <v>44553</v>
      </c>
      <c r="M295" s="491" t="s">
        <v>60</v>
      </c>
      <c r="N295" s="495">
        <v>44173</v>
      </c>
      <c r="O295" s="343">
        <v>44714</v>
      </c>
      <c r="P295" s="314"/>
      <c r="Q295" s="310"/>
      <c r="R295" s="310" t="s">
        <v>62</v>
      </c>
      <c r="S295" s="310"/>
      <c r="T295" s="310" t="s">
        <v>62</v>
      </c>
      <c r="U295" s="310" t="s">
        <v>62</v>
      </c>
      <c r="V295" s="16" t="s">
        <v>62</v>
      </c>
      <c r="W295" s="310"/>
      <c r="X295" s="338" t="s">
        <v>1030</v>
      </c>
      <c r="Y295" s="310"/>
      <c r="Z295" s="491"/>
      <c r="AA295" s="552"/>
      <c r="AB295" s="1116" t="s">
        <v>2550</v>
      </c>
      <c r="AC295" s="310"/>
      <c r="AD295" s="276" t="s">
        <v>62</v>
      </c>
      <c r="AE295" s="386">
        <v>45488</v>
      </c>
      <c r="AF295" s="309">
        <v>44604</v>
      </c>
      <c r="AG295" s="143">
        <v>45489</v>
      </c>
      <c r="AH295" s="143">
        <v>45489</v>
      </c>
      <c r="AI295" s="386">
        <v>45022</v>
      </c>
      <c r="AJ295" s="24" t="s">
        <v>1116</v>
      </c>
      <c r="AK295" s="24"/>
      <c r="AM295" s="386">
        <v>45831</v>
      </c>
    </row>
    <row r="296" spans="1:42" ht="14.4" x14ac:dyDescent="0.3">
      <c r="A296" s="28">
        <v>296</v>
      </c>
      <c r="B296" s="339">
        <v>37089</v>
      </c>
      <c r="C296" s="334" t="s">
        <v>64</v>
      </c>
      <c r="D296" s="341" t="s">
        <v>2044</v>
      </c>
      <c r="E296" s="20" t="s">
        <v>1932</v>
      </c>
      <c r="F296" s="3" t="s">
        <v>2241</v>
      </c>
      <c r="G296" s="335" t="s">
        <v>14</v>
      </c>
      <c r="H296" s="342">
        <v>43516</v>
      </c>
      <c r="I296" s="314">
        <v>282</v>
      </c>
      <c r="J296" s="310" t="s">
        <v>58</v>
      </c>
      <c r="K296" s="491" t="s">
        <v>680</v>
      </c>
      <c r="L296" s="495">
        <v>44333</v>
      </c>
      <c r="M296" s="491" t="s">
        <v>60</v>
      </c>
      <c r="N296" s="495">
        <v>44333</v>
      </c>
      <c r="O296" s="343"/>
      <c r="P296" s="343">
        <v>44774</v>
      </c>
      <c r="Q296" s="310"/>
      <c r="R296" s="310" t="s">
        <v>68</v>
      </c>
      <c r="S296" s="310" t="s">
        <v>68</v>
      </c>
      <c r="T296" s="310" t="s">
        <v>68</v>
      </c>
      <c r="U296" s="310" t="s">
        <v>68</v>
      </c>
      <c r="V296" s="310"/>
      <c r="W296" s="310"/>
      <c r="X296" s="338" t="s">
        <v>1030</v>
      </c>
      <c r="Y296" s="310"/>
      <c r="Z296" s="491"/>
      <c r="AA296" s="552"/>
      <c r="AB296" s="378" t="s">
        <v>2551</v>
      </c>
      <c r="AC296" s="310"/>
      <c r="AD296" s="343">
        <v>44774</v>
      </c>
      <c r="AE296" s="314"/>
      <c r="AF296" s="343">
        <v>44774</v>
      </c>
      <c r="AG296" s="343">
        <v>45472</v>
      </c>
      <c r="AH296" s="343">
        <v>45472</v>
      </c>
      <c r="AI296" s="343">
        <v>45472</v>
      </c>
      <c r="AJ296" s="24" t="s">
        <v>1116</v>
      </c>
      <c r="AK296" s="343">
        <v>45611</v>
      </c>
      <c r="AL296" s="343">
        <v>45472</v>
      </c>
    </row>
    <row r="297" spans="1:42" x14ac:dyDescent="0.25">
      <c r="A297" s="28">
        <v>297</v>
      </c>
      <c r="B297" s="339">
        <v>37089</v>
      </c>
      <c r="C297" s="334" t="s">
        <v>54</v>
      </c>
      <c r="D297" s="341" t="s">
        <v>2045</v>
      </c>
      <c r="E297" s="20" t="s">
        <v>1932</v>
      </c>
      <c r="F297" s="3" t="s">
        <v>2241</v>
      </c>
      <c r="G297" s="335" t="s">
        <v>14</v>
      </c>
      <c r="H297" s="342">
        <v>43516</v>
      </c>
      <c r="I297" s="314">
        <v>260</v>
      </c>
      <c r="J297" s="310" t="s">
        <v>58</v>
      </c>
      <c r="K297" s="491" t="s">
        <v>680</v>
      </c>
      <c r="L297" s="495">
        <v>44333</v>
      </c>
      <c r="M297" s="491" t="s">
        <v>60</v>
      </c>
      <c r="N297" s="495">
        <v>44333</v>
      </c>
      <c r="O297" s="343"/>
      <c r="P297" s="343">
        <v>44774</v>
      </c>
      <c r="Q297" s="310"/>
      <c r="R297" s="310" t="s">
        <v>62</v>
      </c>
      <c r="S297" s="310" t="s">
        <v>62</v>
      </c>
      <c r="T297" s="310" t="s">
        <v>62</v>
      </c>
      <c r="U297" s="310" t="s">
        <v>62</v>
      </c>
      <c r="V297" s="310"/>
      <c r="W297" s="310"/>
      <c r="X297" s="338"/>
      <c r="Y297" s="310"/>
      <c r="Z297" s="491"/>
      <c r="AA297" s="552"/>
      <c r="AB297" s="310"/>
      <c r="AC297" s="310"/>
      <c r="AD297" s="343">
        <v>44774</v>
      </c>
      <c r="AE297" s="314"/>
      <c r="AF297" s="343">
        <v>44774</v>
      </c>
      <c r="AG297" s="343">
        <v>45472</v>
      </c>
      <c r="AH297" s="343">
        <v>45472</v>
      </c>
      <c r="AI297" s="343">
        <v>45472</v>
      </c>
      <c r="AJ297" s="24" t="s">
        <v>1116</v>
      </c>
      <c r="AK297" s="343">
        <v>45611</v>
      </c>
      <c r="AL297" s="343">
        <v>45472</v>
      </c>
    </row>
    <row r="298" spans="1:42" x14ac:dyDescent="0.25">
      <c r="A298" s="28">
        <v>298</v>
      </c>
      <c r="B298" s="339">
        <v>37091</v>
      </c>
      <c r="C298" s="334" t="s">
        <v>64</v>
      </c>
      <c r="D298" s="341" t="s">
        <v>2046</v>
      </c>
      <c r="E298" s="20" t="s">
        <v>1932</v>
      </c>
      <c r="F298" s="3" t="s">
        <v>2241</v>
      </c>
      <c r="G298" s="335" t="s">
        <v>14</v>
      </c>
      <c r="H298" s="342">
        <v>43517</v>
      </c>
      <c r="I298" s="314">
        <v>280</v>
      </c>
      <c r="J298" s="310" t="s">
        <v>58</v>
      </c>
      <c r="K298" s="491" t="s">
        <v>680</v>
      </c>
      <c r="L298" s="495">
        <v>44681</v>
      </c>
      <c r="M298" s="491" t="s">
        <v>60</v>
      </c>
      <c r="N298" s="495">
        <v>44681</v>
      </c>
      <c r="O298" s="343">
        <v>44681</v>
      </c>
      <c r="P298" s="314"/>
      <c r="Q298" s="310"/>
      <c r="R298" s="310" t="s">
        <v>68</v>
      </c>
      <c r="S298" s="310" t="s">
        <v>68</v>
      </c>
      <c r="T298" s="310" t="s">
        <v>68</v>
      </c>
      <c r="U298" s="310" t="s">
        <v>68</v>
      </c>
      <c r="V298" s="310"/>
      <c r="W298" s="310"/>
      <c r="X298" s="338"/>
      <c r="Y298" s="310"/>
      <c r="Z298" s="491"/>
      <c r="AA298" s="552"/>
      <c r="AB298" s="310"/>
      <c r="AC298" s="310"/>
      <c r="AD298" s="344">
        <v>44681</v>
      </c>
      <c r="AE298" s="58" t="s">
        <v>68</v>
      </c>
      <c r="AF298" s="314"/>
      <c r="AG298" s="343">
        <v>45524</v>
      </c>
      <c r="AH298" s="343">
        <v>45524</v>
      </c>
      <c r="AI298" s="343">
        <v>45637</v>
      </c>
      <c r="AJ298" s="24" t="s">
        <v>1116</v>
      </c>
      <c r="AK298" s="343">
        <v>45735</v>
      </c>
      <c r="AM298" s="343">
        <v>45734</v>
      </c>
    </row>
    <row r="299" spans="1:42" x14ac:dyDescent="0.25">
      <c r="A299" s="28">
        <v>299</v>
      </c>
      <c r="B299" s="339">
        <v>37091</v>
      </c>
      <c r="C299" s="334" t="s">
        <v>54</v>
      </c>
      <c r="D299" s="341" t="s">
        <v>2047</v>
      </c>
      <c r="E299" s="20" t="s">
        <v>1932</v>
      </c>
      <c r="F299" s="3" t="s">
        <v>2241</v>
      </c>
      <c r="G299" s="335" t="s">
        <v>14</v>
      </c>
      <c r="H299" s="342">
        <v>43517</v>
      </c>
      <c r="I299" s="314">
        <v>281</v>
      </c>
      <c r="J299" s="310" t="s">
        <v>58</v>
      </c>
      <c r="K299" s="491" t="s">
        <v>680</v>
      </c>
      <c r="L299" s="495">
        <v>44681</v>
      </c>
      <c r="M299" s="491" t="s">
        <v>60</v>
      </c>
      <c r="N299" s="495">
        <v>44681</v>
      </c>
      <c r="O299" s="343">
        <v>44681</v>
      </c>
      <c r="P299" s="314"/>
      <c r="Q299" s="310"/>
      <c r="R299" s="310" t="s">
        <v>62</v>
      </c>
      <c r="S299" s="310" t="s">
        <v>62</v>
      </c>
      <c r="T299" s="310" t="s">
        <v>62</v>
      </c>
      <c r="U299" s="310" t="s">
        <v>62</v>
      </c>
      <c r="V299" s="310"/>
      <c r="W299" s="310"/>
      <c r="X299" s="338"/>
      <c r="Y299" s="310"/>
      <c r="Z299" s="491"/>
      <c r="AA299" s="552"/>
      <c r="AB299" s="310"/>
      <c r="AC299" s="310"/>
      <c r="AD299" s="344">
        <v>44681</v>
      </c>
      <c r="AE299" s="58" t="s">
        <v>62</v>
      </c>
      <c r="AF299" s="314"/>
      <c r="AG299" s="343">
        <v>45524</v>
      </c>
      <c r="AH299" s="343">
        <v>45524</v>
      </c>
      <c r="AI299" s="343">
        <v>45637</v>
      </c>
      <c r="AJ299" s="24" t="s">
        <v>1116</v>
      </c>
      <c r="AK299" s="343">
        <v>45735</v>
      </c>
      <c r="AM299" s="343">
        <v>45734</v>
      </c>
    </row>
    <row r="300" spans="1:42" ht="14.4" x14ac:dyDescent="0.3">
      <c r="A300" s="28">
        <v>300</v>
      </c>
      <c r="B300" s="339">
        <v>37095</v>
      </c>
      <c r="C300" s="334" t="s">
        <v>64</v>
      </c>
      <c r="D300" s="341" t="s">
        <v>2048</v>
      </c>
      <c r="E300" s="20" t="s">
        <v>1932</v>
      </c>
      <c r="F300" s="3" t="s">
        <v>2241</v>
      </c>
      <c r="G300" s="335" t="s">
        <v>14</v>
      </c>
      <c r="H300" s="342">
        <v>43522</v>
      </c>
      <c r="I300" s="314">
        <v>278</v>
      </c>
      <c r="J300" s="310" t="s">
        <v>58</v>
      </c>
      <c r="K300" s="491" t="s">
        <v>680</v>
      </c>
      <c r="L300" s="495">
        <v>44348</v>
      </c>
      <c r="M300" s="491" t="s">
        <v>60</v>
      </c>
      <c r="N300" s="496">
        <v>44702</v>
      </c>
      <c r="O300" s="343"/>
      <c r="P300" s="314"/>
      <c r="Q300" s="310"/>
      <c r="R300" s="310" t="s">
        <v>68</v>
      </c>
      <c r="S300" s="310" t="s">
        <v>68</v>
      </c>
      <c r="T300" s="310" t="s">
        <v>68</v>
      </c>
      <c r="U300" s="310" t="s">
        <v>68</v>
      </c>
      <c r="V300" s="310"/>
      <c r="W300" s="310"/>
      <c r="X300" s="338" t="s">
        <v>1030</v>
      </c>
      <c r="Y300" s="310"/>
      <c r="Z300" s="491"/>
      <c r="AA300" s="552"/>
      <c r="AB300" s="513" t="s">
        <v>2552</v>
      </c>
      <c r="AC300" s="310"/>
      <c r="AD300" s="276" t="s">
        <v>68</v>
      </c>
      <c r="AE300" s="314"/>
      <c r="AF300" s="314" t="s">
        <v>63</v>
      </c>
      <c r="AG300" s="343">
        <v>45471</v>
      </c>
      <c r="AH300" s="343">
        <v>45648</v>
      </c>
      <c r="AI300" s="343">
        <v>45713</v>
      </c>
      <c r="AJ300" s="24" t="s">
        <v>1116</v>
      </c>
      <c r="AK300" s="343">
        <v>45713</v>
      </c>
      <c r="AM300" s="343">
        <v>45526</v>
      </c>
    </row>
    <row r="301" spans="1:42" x14ac:dyDescent="0.25">
      <c r="A301" s="28">
        <v>301</v>
      </c>
      <c r="B301" s="339">
        <v>37095</v>
      </c>
      <c r="C301" s="334" t="s">
        <v>54</v>
      </c>
      <c r="D301" s="314" t="s">
        <v>2049</v>
      </c>
      <c r="E301" s="20" t="s">
        <v>1932</v>
      </c>
      <c r="F301" s="3" t="s">
        <v>2241</v>
      </c>
      <c r="G301" s="335" t="s">
        <v>14</v>
      </c>
      <c r="H301" s="342">
        <v>43522</v>
      </c>
      <c r="I301" s="314">
        <v>230</v>
      </c>
      <c r="J301" s="310" t="s">
        <v>58</v>
      </c>
      <c r="K301" s="491" t="s">
        <v>680</v>
      </c>
      <c r="L301" s="495">
        <v>44348</v>
      </c>
      <c r="M301" s="491" t="s">
        <v>60</v>
      </c>
      <c r="N301" s="496">
        <v>44702</v>
      </c>
      <c r="O301" s="343"/>
      <c r="P301" s="314"/>
      <c r="Q301" s="310"/>
      <c r="R301" s="310" t="s">
        <v>62</v>
      </c>
      <c r="S301" s="310" t="s">
        <v>62</v>
      </c>
      <c r="T301" s="310" t="s">
        <v>62</v>
      </c>
      <c r="U301" s="310" t="s">
        <v>62</v>
      </c>
      <c r="V301" s="310"/>
      <c r="W301" s="310"/>
      <c r="X301" s="338" t="s">
        <v>1030</v>
      </c>
      <c r="Y301" s="310"/>
      <c r="Z301" s="491"/>
      <c r="AA301" s="552"/>
      <c r="AB301" s="310"/>
      <c r="AC301" s="310"/>
      <c r="AD301" s="276" t="s">
        <v>62</v>
      </c>
      <c r="AE301" s="314"/>
      <c r="AF301" s="314" t="s">
        <v>63</v>
      </c>
      <c r="AG301" s="343">
        <v>45471</v>
      </c>
      <c r="AH301" s="343">
        <v>45648</v>
      </c>
      <c r="AI301" s="343">
        <v>45713</v>
      </c>
      <c r="AJ301" s="24" t="s">
        <v>1116</v>
      </c>
      <c r="AK301" s="343">
        <v>45713</v>
      </c>
      <c r="AM301" s="343">
        <v>45526</v>
      </c>
    </row>
    <row r="302" spans="1:42" x14ac:dyDescent="0.25">
      <c r="A302" s="28">
        <v>302</v>
      </c>
      <c r="B302" s="339">
        <v>39092</v>
      </c>
      <c r="C302" s="340" t="s">
        <v>64</v>
      </c>
      <c r="D302" s="341" t="s">
        <v>2056</v>
      </c>
      <c r="E302" s="20" t="s">
        <v>1932</v>
      </c>
      <c r="F302" s="3" t="s">
        <v>2241</v>
      </c>
      <c r="G302" s="335" t="s">
        <v>14</v>
      </c>
      <c r="H302" s="342">
        <v>43707</v>
      </c>
      <c r="I302" s="314">
        <v>532</v>
      </c>
      <c r="J302" s="310" t="s">
        <v>58</v>
      </c>
      <c r="K302" s="491" t="s">
        <v>680</v>
      </c>
      <c r="L302" s="495">
        <v>44461</v>
      </c>
      <c r="M302" s="491" t="s">
        <v>60</v>
      </c>
      <c r="N302" s="495">
        <v>44273</v>
      </c>
      <c r="O302" s="343">
        <v>44461</v>
      </c>
      <c r="P302" s="343">
        <v>44753</v>
      </c>
      <c r="Q302" s="310"/>
      <c r="R302" s="310" t="s">
        <v>1308</v>
      </c>
      <c r="S302" s="310" t="s">
        <v>68</v>
      </c>
      <c r="T302" s="310" t="s">
        <v>68</v>
      </c>
      <c r="U302" s="310" t="s">
        <v>68</v>
      </c>
      <c r="V302" s="346"/>
      <c r="W302" s="310"/>
      <c r="X302" s="338" t="s">
        <v>1030</v>
      </c>
      <c r="Y302" s="310"/>
      <c r="Z302" s="491"/>
      <c r="AA302" s="552"/>
      <c r="AB302" s="310"/>
      <c r="AC302" s="310"/>
      <c r="AD302" s="344">
        <v>44753</v>
      </c>
      <c r="AE302" s="344"/>
      <c r="AF302" s="344">
        <v>44753</v>
      </c>
      <c r="AG302" s="343">
        <v>45545</v>
      </c>
      <c r="AH302" s="343">
        <v>45610</v>
      </c>
      <c r="AI302" s="343">
        <v>45645</v>
      </c>
      <c r="AJ302" s="24" t="s">
        <v>1116</v>
      </c>
      <c r="AK302" s="343">
        <v>45475</v>
      </c>
    </row>
    <row r="303" spans="1:42" x14ac:dyDescent="0.25">
      <c r="A303" s="28">
        <v>303</v>
      </c>
      <c r="B303" s="339">
        <v>39092</v>
      </c>
      <c r="C303" s="340" t="s">
        <v>54</v>
      </c>
      <c r="D303" s="341" t="s">
        <v>2057</v>
      </c>
      <c r="E303" s="20" t="s">
        <v>1932</v>
      </c>
      <c r="F303" s="3" t="s">
        <v>2241</v>
      </c>
      <c r="G303" s="335" t="s">
        <v>14</v>
      </c>
      <c r="H303" s="342">
        <v>43707</v>
      </c>
      <c r="I303" s="314">
        <v>538</v>
      </c>
      <c r="J303" s="310" t="s">
        <v>58</v>
      </c>
      <c r="K303" s="491" t="s">
        <v>680</v>
      </c>
      <c r="L303" s="495">
        <v>44461</v>
      </c>
      <c r="M303" s="491" t="s">
        <v>60</v>
      </c>
      <c r="N303" s="495">
        <v>44181</v>
      </c>
      <c r="O303" s="343">
        <v>44461</v>
      </c>
      <c r="P303" s="343">
        <v>44753</v>
      </c>
      <c r="Q303" s="310"/>
      <c r="R303" s="310" t="s">
        <v>1308</v>
      </c>
      <c r="S303" s="310" t="s">
        <v>62</v>
      </c>
      <c r="T303" s="310" t="s">
        <v>62</v>
      </c>
      <c r="U303" s="310" t="s">
        <v>62</v>
      </c>
      <c r="V303" s="346"/>
      <c r="W303" s="310"/>
      <c r="X303" s="338" t="s">
        <v>1030</v>
      </c>
      <c r="Y303" s="310"/>
      <c r="Z303" s="491"/>
      <c r="AA303" s="552"/>
      <c r="AB303" s="310"/>
      <c r="AC303" s="310"/>
      <c r="AD303" s="344">
        <v>44753</v>
      </c>
      <c r="AE303" s="314"/>
      <c r="AF303" s="344">
        <v>44753</v>
      </c>
      <c r="AG303" s="343">
        <v>45545</v>
      </c>
      <c r="AH303" s="343">
        <v>45610</v>
      </c>
      <c r="AI303" s="343">
        <v>45645</v>
      </c>
      <c r="AJ303" s="24" t="s">
        <v>1116</v>
      </c>
      <c r="AK303" s="343">
        <v>45475</v>
      </c>
    </row>
    <row r="304" spans="1:42" ht="13.35" customHeight="1" x14ac:dyDescent="0.25">
      <c r="A304" s="28">
        <v>304</v>
      </c>
      <c r="B304" s="262">
        <v>30719</v>
      </c>
      <c r="C304" s="27" t="s">
        <v>64</v>
      </c>
      <c r="D304" s="264" t="s">
        <v>2553</v>
      </c>
      <c r="E304" s="19" t="s">
        <v>2250</v>
      </c>
      <c r="F304" s="3" t="s">
        <v>2241</v>
      </c>
      <c r="G304" s="18" t="s">
        <v>15</v>
      </c>
      <c r="H304" s="267"/>
      <c r="I304" s="264"/>
      <c r="J304" s="3" t="s">
        <v>58</v>
      </c>
      <c r="K304" s="37" t="s">
        <v>59</v>
      </c>
      <c r="L304" s="16" t="s">
        <v>75</v>
      </c>
      <c r="M304" s="41" t="s">
        <v>60</v>
      </c>
      <c r="N304" s="272" t="s">
        <v>63</v>
      </c>
      <c r="O304" s="272"/>
      <c r="P304" s="282">
        <v>44909</v>
      </c>
      <c r="Q304" s="16" t="s">
        <v>75</v>
      </c>
      <c r="R304" s="16" t="s">
        <v>75</v>
      </c>
      <c r="S304" s="271"/>
      <c r="T304" s="271"/>
      <c r="U304" s="271"/>
      <c r="V304" s="282">
        <v>44909</v>
      </c>
      <c r="W304" s="282">
        <v>44909</v>
      </c>
      <c r="X304" s="271"/>
      <c r="Y304" s="271"/>
      <c r="Z304" s="440"/>
      <c r="AA304" s="440"/>
      <c r="AB304" s="274"/>
      <c r="AC304" s="274"/>
      <c r="AD304" s="282">
        <v>44909</v>
      </c>
      <c r="AE304" s="282">
        <v>45219</v>
      </c>
      <c r="AF304" s="282">
        <v>45561</v>
      </c>
      <c r="AG304" s="282">
        <v>45469</v>
      </c>
      <c r="AH304" s="282">
        <v>45469</v>
      </c>
      <c r="AI304" s="952">
        <v>45561</v>
      </c>
      <c r="AJ304" s="282">
        <v>45656</v>
      </c>
      <c r="AK304" s="282">
        <v>45463</v>
      </c>
      <c r="AL304" s="282">
        <v>45469</v>
      </c>
      <c r="AM304" s="282">
        <v>45561</v>
      </c>
      <c r="AO304" s="120"/>
      <c r="AP304" s="120"/>
    </row>
    <row r="305" spans="1:42" ht="13.35" customHeight="1" x14ac:dyDescent="0.3">
      <c r="A305" s="28">
        <v>305</v>
      </c>
      <c r="B305" s="262">
        <v>30719</v>
      </c>
      <c r="C305" s="27" t="s">
        <v>54</v>
      </c>
      <c r="D305" s="391" t="s">
        <v>2554</v>
      </c>
      <c r="E305" s="19" t="s">
        <v>2250</v>
      </c>
      <c r="F305" s="3" t="s">
        <v>2241</v>
      </c>
      <c r="G305" s="18" t="s">
        <v>15</v>
      </c>
      <c r="H305" s="267"/>
      <c r="I305" s="264"/>
      <c r="J305" s="3" t="s">
        <v>58</v>
      </c>
      <c r="K305" s="37" t="s">
        <v>59</v>
      </c>
      <c r="L305" s="16" t="s">
        <v>75</v>
      </c>
      <c r="M305" s="16" t="s">
        <v>60</v>
      </c>
      <c r="N305" s="272" t="s">
        <v>63</v>
      </c>
      <c r="O305" s="272"/>
      <c r="P305" s="282">
        <v>44909</v>
      </c>
      <c r="Q305" s="16" t="s">
        <v>75</v>
      </c>
      <c r="R305" s="16" t="s">
        <v>75</v>
      </c>
      <c r="S305" s="271"/>
      <c r="T305" s="266"/>
      <c r="U305" s="266"/>
      <c r="V305" s="282">
        <v>44909</v>
      </c>
      <c r="W305" s="282">
        <v>44909</v>
      </c>
      <c r="X305" s="271"/>
      <c r="Y305" s="271"/>
      <c r="Z305" s="440"/>
      <c r="AA305" s="440"/>
      <c r="AB305" s="274"/>
      <c r="AC305" s="274"/>
      <c r="AD305" s="282">
        <v>44909</v>
      </c>
      <c r="AE305" s="282">
        <v>45219</v>
      </c>
      <c r="AF305" s="282">
        <v>45561</v>
      </c>
      <c r="AG305" s="282">
        <v>45469</v>
      </c>
      <c r="AH305" s="282">
        <v>45469</v>
      </c>
      <c r="AI305" s="952">
        <v>45561</v>
      </c>
      <c r="AJ305" s="282">
        <v>45656</v>
      </c>
      <c r="AK305" s="282">
        <v>45463</v>
      </c>
      <c r="AL305" s="282">
        <v>45469</v>
      </c>
      <c r="AM305" s="282">
        <v>45561</v>
      </c>
      <c r="AO305" s="120"/>
      <c r="AP305" s="120"/>
    </row>
    <row r="306" spans="1:42" ht="13.35" customHeight="1" x14ac:dyDescent="0.25">
      <c r="A306" s="28">
        <v>306</v>
      </c>
      <c r="B306" s="20">
        <v>37583</v>
      </c>
      <c r="C306" s="27" t="s">
        <v>64</v>
      </c>
      <c r="D306" s="264" t="s">
        <v>2364</v>
      </c>
      <c r="E306" s="19" t="s">
        <v>2250</v>
      </c>
      <c r="F306" s="3" t="s">
        <v>2241</v>
      </c>
      <c r="G306" s="18" t="s">
        <v>15</v>
      </c>
      <c r="H306" s="267"/>
      <c r="I306" s="264"/>
      <c r="J306" s="3" t="s">
        <v>58</v>
      </c>
      <c r="K306" s="37" t="s">
        <v>59</v>
      </c>
      <c r="L306" s="16" t="s">
        <v>75</v>
      </c>
      <c r="M306" s="41" t="s">
        <v>60</v>
      </c>
      <c r="N306" s="272" t="s">
        <v>63</v>
      </c>
      <c r="O306" s="272"/>
      <c r="P306" s="272"/>
      <c r="Q306" s="271"/>
      <c r="R306" s="271"/>
      <c r="S306" s="271"/>
      <c r="T306" s="271"/>
      <c r="U306" s="271"/>
      <c r="V306" s="271"/>
      <c r="W306" s="271"/>
      <c r="X306" s="271"/>
      <c r="Y306" s="271"/>
      <c r="Z306" s="440"/>
      <c r="AA306" s="440"/>
      <c r="AB306" s="274"/>
      <c r="AC306" s="274"/>
      <c r="AD306" s="282">
        <v>44916</v>
      </c>
      <c r="AE306" s="282">
        <v>45034</v>
      </c>
      <c r="AF306" s="282">
        <v>45561</v>
      </c>
      <c r="AG306" s="282">
        <v>45469</v>
      </c>
      <c r="AH306" s="282">
        <v>45469</v>
      </c>
      <c r="AI306" s="282">
        <v>45656</v>
      </c>
      <c r="AJ306" s="282">
        <v>45656</v>
      </c>
      <c r="AK306" s="282">
        <v>45283</v>
      </c>
      <c r="AL306" s="282">
        <v>45469</v>
      </c>
      <c r="AM306" s="282">
        <v>45561</v>
      </c>
      <c r="AO306" s="120"/>
      <c r="AP306" s="120"/>
    </row>
    <row r="307" spans="1:42" ht="13.35" customHeight="1" x14ac:dyDescent="0.25">
      <c r="A307" s="28">
        <v>307</v>
      </c>
      <c r="B307" s="20">
        <v>37583</v>
      </c>
      <c r="C307" s="27" t="s">
        <v>54</v>
      </c>
      <c r="D307" s="264" t="s">
        <v>2555</v>
      </c>
      <c r="E307" s="19" t="s">
        <v>2250</v>
      </c>
      <c r="F307" s="3" t="s">
        <v>2241</v>
      </c>
      <c r="G307" s="18" t="s">
        <v>15</v>
      </c>
      <c r="H307" s="267"/>
      <c r="I307" s="264"/>
      <c r="J307" s="3" t="s">
        <v>58</v>
      </c>
      <c r="K307" s="37" t="s">
        <v>59</v>
      </c>
      <c r="L307" s="16" t="s">
        <v>75</v>
      </c>
      <c r="M307" s="16" t="s">
        <v>60</v>
      </c>
      <c r="N307" s="272" t="s">
        <v>63</v>
      </c>
      <c r="O307" s="272"/>
      <c r="P307" s="272"/>
      <c r="Q307" s="271"/>
      <c r="R307" s="271"/>
      <c r="S307" s="271"/>
      <c r="T307" s="271"/>
      <c r="U307" s="266"/>
      <c r="V307" s="271"/>
      <c r="W307" s="271"/>
      <c r="X307" s="271"/>
      <c r="Y307" s="271"/>
      <c r="Z307" s="440"/>
      <c r="AA307" s="440"/>
      <c r="AB307" s="274"/>
      <c r="AC307" s="274"/>
      <c r="AD307" s="282">
        <v>44916</v>
      </c>
      <c r="AE307" s="282">
        <v>45034</v>
      </c>
      <c r="AF307" s="282">
        <v>45561</v>
      </c>
      <c r="AG307" s="282">
        <v>45469</v>
      </c>
      <c r="AH307" s="282">
        <v>45469</v>
      </c>
      <c r="AI307" s="282">
        <v>45656</v>
      </c>
      <c r="AJ307" s="282">
        <v>45656</v>
      </c>
      <c r="AK307" s="282">
        <v>45283</v>
      </c>
      <c r="AL307" s="282">
        <v>45469</v>
      </c>
      <c r="AM307" s="282">
        <v>45561</v>
      </c>
      <c r="AO307" s="120"/>
      <c r="AP307" s="120"/>
    </row>
    <row r="308" spans="1:42" ht="13.35" customHeight="1" x14ac:dyDescent="0.25">
      <c r="A308" s="28">
        <v>308</v>
      </c>
      <c r="B308" s="20">
        <v>30702</v>
      </c>
      <c r="C308" s="27" t="s">
        <v>64</v>
      </c>
      <c r="D308" s="264" t="s">
        <v>2556</v>
      </c>
      <c r="E308" s="20" t="s">
        <v>2092</v>
      </c>
      <c r="F308" s="3" t="s">
        <v>2241</v>
      </c>
      <c r="G308" s="29" t="s">
        <v>15</v>
      </c>
      <c r="H308" s="267">
        <v>44668</v>
      </c>
      <c r="I308" s="264"/>
      <c r="J308" s="264" t="s">
        <v>58</v>
      </c>
      <c r="K308" s="37" t="s">
        <v>59</v>
      </c>
      <c r="L308" s="33" t="s">
        <v>63</v>
      </c>
      <c r="M308" s="16" t="s">
        <v>60</v>
      </c>
      <c r="N308" s="272" t="s">
        <v>63</v>
      </c>
      <c r="O308" s="272"/>
      <c r="P308" s="272"/>
      <c r="Q308" s="37" t="s">
        <v>68</v>
      </c>
      <c r="R308" s="37" t="s">
        <v>68</v>
      </c>
      <c r="S308" s="37" t="s">
        <v>68</v>
      </c>
      <c r="T308" s="16" t="s">
        <v>68</v>
      </c>
      <c r="U308" s="37" t="s">
        <v>68</v>
      </c>
      <c r="V308" s="37" t="s">
        <v>68</v>
      </c>
      <c r="W308" s="271"/>
      <c r="X308" s="271"/>
      <c r="Y308" s="271"/>
      <c r="Z308" s="440"/>
      <c r="AA308" s="440"/>
      <c r="AB308" s="278"/>
      <c r="AC308" s="274"/>
      <c r="AD308" s="281" t="s">
        <v>68</v>
      </c>
      <c r="AE308" s="126"/>
      <c r="AF308" s="386">
        <v>45420</v>
      </c>
      <c r="AG308" s="343">
        <v>45493</v>
      </c>
      <c r="AH308" s="343">
        <v>45616</v>
      </c>
      <c r="AI308" s="143">
        <v>45180</v>
      </c>
      <c r="AJ308" s="126" t="s">
        <v>63</v>
      </c>
      <c r="AK308" s="126"/>
      <c r="AL308" s="386">
        <v>45492</v>
      </c>
      <c r="AM308" s="386">
        <v>45605</v>
      </c>
      <c r="AO308" s="120"/>
      <c r="AP308" s="120"/>
    </row>
    <row r="309" spans="1:42" ht="13.35" customHeight="1" x14ac:dyDescent="0.25">
      <c r="A309" s="28">
        <v>309</v>
      </c>
      <c r="B309" s="20">
        <v>30702</v>
      </c>
      <c r="C309" s="27" t="s">
        <v>54</v>
      </c>
      <c r="D309" s="264" t="s">
        <v>2557</v>
      </c>
      <c r="E309" s="20" t="s">
        <v>2092</v>
      </c>
      <c r="F309" s="3" t="s">
        <v>2241</v>
      </c>
      <c r="G309" s="29" t="s">
        <v>15</v>
      </c>
      <c r="H309" s="267">
        <v>44668</v>
      </c>
      <c r="I309" s="264"/>
      <c r="J309" s="264" t="s">
        <v>58</v>
      </c>
      <c r="K309" s="37" t="s">
        <v>59</v>
      </c>
      <c r="L309" s="33" t="s">
        <v>63</v>
      </c>
      <c r="M309" s="16" t="s">
        <v>60</v>
      </c>
      <c r="N309" s="272" t="s">
        <v>63</v>
      </c>
      <c r="O309" s="272"/>
      <c r="P309" s="272"/>
      <c r="Q309" s="37" t="s">
        <v>62</v>
      </c>
      <c r="R309" s="37" t="s">
        <v>62</v>
      </c>
      <c r="S309" s="37" t="s">
        <v>62</v>
      </c>
      <c r="T309" s="16" t="s">
        <v>62</v>
      </c>
      <c r="U309" s="37" t="s">
        <v>62</v>
      </c>
      <c r="V309" s="37" t="s">
        <v>62</v>
      </c>
      <c r="W309" s="271"/>
      <c r="X309" s="271"/>
      <c r="Y309" s="271"/>
      <c r="Z309" s="440"/>
      <c r="AA309" s="440"/>
      <c r="AB309" s="278"/>
      <c r="AC309" s="274"/>
      <c r="AD309" s="281" t="s">
        <v>62</v>
      </c>
      <c r="AE309" s="126"/>
      <c r="AF309" s="386">
        <v>45420</v>
      </c>
      <c r="AG309" s="343">
        <v>45493</v>
      </c>
      <c r="AH309" s="343">
        <v>45616</v>
      </c>
      <c r="AI309" s="143">
        <v>45180</v>
      </c>
      <c r="AJ309" s="126" t="s">
        <v>63</v>
      </c>
      <c r="AK309" s="126"/>
      <c r="AL309" s="386">
        <v>45492</v>
      </c>
      <c r="AM309" s="386">
        <v>45605</v>
      </c>
      <c r="AO309" s="120"/>
      <c r="AP309" s="120"/>
    </row>
    <row r="310" spans="1:42" ht="13.35" customHeight="1" x14ac:dyDescent="0.25">
      <c r="A310" s="28">
        <v>310</v>
      </c>
      <c r="B310" s="20">
        <v>30688</v>
      </c>
      <c r="C310" s="27" t="s">
        <v>64</v>
      </c>
      <c r="D310" s="264" t="s">
        <v>2558</v>
      </c>
      <c r="E310" s="20" t="s">
        <v>2458</v>
      </c>
      <c r="F310" s="3" t="s">
        <v>2241</v>
      </c>
      <c r="G310" s="29" t="s">
        <v>15</v>
      </c>
      <c r="H310" s="267">
        <v>44637</v>
      </c>
      <c r="I310" s="264"/>
      <c r="J310" s="264" t="s">
        <v>58</v>
      </c>
      <c r="K310" s="37" t="s">
        <v>59</v>
      </c>
      <c r="L310" s="33" t="s">
        <v>63</v>
      </c>
      <c r="M310" s="16" t="s">
        <v>60</v>
      </c>
      <c r="N310" s="272" t="s">
        <v>63</v>
      </c>
      <c r="O310" s="33">
        <v>44639</v>
      </c>
      <c r="P310" s="272"/>
      <c r="Q310" s="37" t="s">
        <v>68</v>
      </c>
      <c r="R310" s="37" t="s">
        <v>68</v>
      </c>
      <c r="S310" s="37" t="s">
        <v>68</v>
      </c>
      <c r="T310" s="37" t="s">
        <v>68</v>
      </c>
      <c r="U310" s="37" t="s">
        <v>68</v>
      </c>
      <c r="V310" s="16" t="s">
        <v>68</v>
      </c>
      <c r="W310" s="37" t="s">
        <v>68</v>
      </c>
      <c r="X310" s="271"/>
      <c r="Y310" s="271"/>
      <c r="Z310" s="440"/>
      <c r="AA310" s="440"/>
      <c r="AB310" s="278"/>
      <c r="AC310" s="274"/>
      <c r="AD310" s="281" t="s">
        <v>68</v>
      </c>
      <c r="AE310" s="126"/>
      <c r="AF310" s="386">
        <v>45466</v>
      </c>
      <c r="AG310" s="386">
        <v>45466</v>
      </c>
      <c r="AH310" s="392" t="s">
        <v>2559</v>
      </c>
      <c r="AI310" s="386">
        <v>45488</v>
      </c>
      <c r="AJ310" s="392" t="s">
        <v>63</v>
      </c>
      <c r="AK310" s="392"/>
      <c r="AL310" s="386">
        <v>45491</v>
      </c>
      <c r="AM310" s="126"/>
      <c r="AO310" s="120"/>
      <c r="AP310" s="120"/>
    </row>
    <row r="311" spans="1:42" ht="13.35" customHeight="1" x14ac:dyDescent="0.25">
      <c r="A311" s="28">
        <v>311</v>
      </c>
      <c r="B311" s="20">
        <v>30688</v>
      </c>
      <c r="C311" s="112" t="s">
        <v>54</v>
      </c>
      <c r="D311" s="907" t="s">
        <v>2560</v>
      </c>
      <c r="E311" s="111" t="s">
        <v>2458</v>
      </c>
      <c r="F311" s="115" t="s">
        <v>2241</v>
      </c>
      <c r="G311" s="110" t="s">
        <v>15</v>
      </c>
      <c r="H311" s="908">
        <v>44637</v>
      </c>
      <c r="I311" s="907"/>
      <c r="J311" s="907" t="s">
        <v>58</v>
      </c>
      <c r="K311" s="116" t="s">
        <v>59</v>
      </c>
      <c r="L311" s="406" t="s">
        <v>63</v>
      </c>
      <c r="M311" s="117" t="s">
        <v>60</v>
      </c>
      <c r="N311" s="909" t="s">
        <v>63</v>
      </c>
      <c r="O311" s="406">
        <v>44639</v>
      </c>
      <c r="P311" s="909"/>
      <c r="Q311" s="116" t="s">
        <v>62</v>
      </c>
      <c r="R311" s="116" t="s">
        <v>62</v>
      </c>
      <c r="S311" s="116" t="s">
        <v>62</v>
      </c>
      <c r="T311" s="116" t="s">
        <v>62</v>
      </c>
      <c r="U311" s="116" t="s">
        <v>62</v>
      </c>
      <c r="V311" s="16" t="s">
        <v>62</v>
      </c>
      <c r="W311" s="116" t="s">
        <v>62</v>
      </c>
      <c r="X311" s="910"/>
      <c r="Y311" s="910"/>
      <c r="Z311" s="911"/>
      <c r="AA311" s="911"/>
      <c r="AB311" s="912"/>
      <c r="AC311" s="913"/>
      <c r="AD311" s="914" t="s">
        <v>62</v>
      </c>
      <c r="AE311" s="126"/>
      <c r="AF311" s="386">
        <v>45466</v>
      </c>
      <c r="AG311" s="386">
        <v>45466</v>
      </c>
      <c r="AH311" s="386">
        <v>45466</v>
      </c>
      <c r="AI311" s="386">
        <v>45488</v>
      </c>
      <c r="AJ311" s="392" t="s">
        <v>63</v>
      </c>
      <c r="AK311" s="392"/>
      <c r="AL311" s="386">
        <v>45491</v>
      </c>
      <c r="AM311" s="126"/>
      <c r="AO311" s="120"/>
      <c r="AP311" s="120"/>
    </row>
    <row r="312" spans="1:42" x14ac:dyDescent="0.25">
      <c r="A312" s="28">
        <v>312</v>
      </c>
      <c r="B312" s="72">
        <v>39218</v>
      </c>
      <c r="C312" s="227" t="s">
        <v>64</v>
      </c>
      <c r="D312" s="103"/>
      <c r="E312" s="229" t="s">
        <v>2250</v>
      </c>
      <c r="F312" s="103" t="s">
        <v>2241</v>
      </c>
      <c r="G312" s="300" t="s">
        <v>15</v>
      </c>
      <c r="H312" s="230"/>
      <c r="I312" s="103"/>
      <c r="J312" s="103" t="s">
        <v>58</v>
      </c>
      <c r="K312" s="105"/>
      <c r="L312" s="106"/>
      <c r="M312" s="105"/>
      <c r="N312" s="106" t="s">
        <v>63</v>
      </c>
      <c r="O312" s="106"/>
      <c r="P312" s="106"/>
      <c r="Q312" s="105" t="s">
        <v>75</v>
      </c>
      <c r="R312" s="105" t="s">
        <v>75</v>
      </c>
      <c r="S312" s="105"/>
      <c r="T312" s="105"/>
      <c r="U312" s="105"/>
      <c r="V312" s="105"/>
      <c r="W312" s="105"/>
      <c r="X312" s="105"/>
      <c r="Y312" s="105"/>
      <c r="Z312" s="438"/>
      <c r="AA312" s="438"/>
      <c r="AB312" s="105"/>
      <c r="AC312" s="105"/>
      <c r="AD312" s="105"/>
      <c r="AE312" s="277" t="s">
        <v>91</v>
      </c>
      <c r="AF312" s="282">
        <v>45320</v>
      </c>
      <c r="AG312" s="282">
        <v>45607</v>
      </c>
      <c r="AH312" s="343">
        <v>45562</v>
      </c>
      <c r="AI312" s="952">
        <v>45225</v>
      </c>
      <c r="AJ312" s="282">
        <v>45607</v>
      </c>
      <c r="AM312" s="282">
        <v>45607</v>
      </c>
    </row>
    <row r="313" spans="1:42" x14ac:dyDescent="0.25">
      <c r="A313" s="28">
        <v>313</v>
      </c>
      <c r="B313" s="72">
        <v>39218</v>
      </c>
      <c r="C313" s="227" t="s">
        <v>54</v>
      </c>
      <c r="D313" s="103"/>
      <c r="E313" s="229" t="s">
        <v>2250</v>
      </c>
      <c r="F313" s="103" t="s">
        <v>2241</v>
      </c>
      <c r="G313" s="300" t="s">
        <v>15</v>
      </c>
      <c r="H313" s="230"/>
      <c r="I313" s="103"/>
      <c r="J313" s="103" t="s">
        <v>58</v>
      </c>
      <c r="K313" s="105"/>
      <c r="L313" s="106"/>
      <c r="M313" s="105"/>
      <c r="N313" s="106" t="s">
        <v>63</v>
      </c>
      <c r="O313" s="106"/>
      <c r="P313" s="106"/>
      <c r="Q313" s="105" t="s">
        <v>75</v>
      </c>
      <c r="R313" s="105" t="s">
        <v>75</v>
      </c>
      <c r="S313" s="105"/>
      <c r="T313" s="105"/>
      <c r="U313" s="105"/>
      <c r="V313" s="105"/>
      <c r="W313" s="105"/>
      <c r="X313" s="105"/>
      <c r="Y313" s="105"/>
      <c r="Z313" s="438"/>
      <c r="AA313" s="438"/>
      <c r="AB313" s="105"/>
      <c r="AC313" s="105"/>
      <c r="AD313" s="105"/>
      <c r="AE313" s="277" t="s">
        <v>91</v>
      </c>
      <c r="AF313" s="282">
        <v>45320</v>
      </c>
      <c r="AG313" s="282">
        <v>45607</v>
      </c>
      <c r="AH313" s="343">
        <v>45562</v>
      </c>
      <c r="AI313" s="952">
        <v>45225</v>
      </c>
      <c r="AJ313" s="282">
        <v>45607</v>
      </c>
      <c r="AM313" s="282">
        <v>45607</v>
      </c>
    </row>
    <row r="314" spans="1:42" x14ac:dyDescent="0.25">
      <c r="A314" s="28">
        <v>314</v>
      </c>
      <c r="B314" s="72">
        <v>39220</v>
      </c>
      <c r="C314" s="227" t="s">
        <v>64</v>
      </c>
      <c r="D314" s="103"/>
      <c r="E314" s="229" t="s">
        <v>2250</v>
      </c>
      <c r="F314" s="103" t="s">
        <v>2241</v>
      </c>
      <c r="G314" s="300" t="s">
        <v>15</v>
      </c>
      <c r="H314" s="230"/>
      <c r="I314" s="103"/>
      <c r="J314" s="103" t="s">
        <v>58</v>
      </c>
      <c r="K314" s="105"/>
      <c r="L314" s="106"/>
      <c r="M314" s="105"/>
      <c r="N314" s="106" t="s">
        <v>63</v>
      </c>
      <c r="O314" s="106"/>
      <c r="P314" s="106"/>
      <c r="Q314" s="105" t="s">
        <v>75</v>
      </c>
      <c r="R314" s="105" t="s">
        <v>75</v>
      </c>
      <c r="S314" s="105"/>
      <c r="T314" s="105"/>
      <c r="U314" s="105"/>
      <c r="V314" s="105"/>
      <c r="W314" s="105"/>
      <c r="X314" s="105"/>
      <c r="Y314" s="105"/>
      <c r="Z314" s="438"/>
      <c r="AA314" s="438"/>
      <c r="AB314" s="105"/>
      <c r="AC314" s="105"/>
      <c r="AD314" s="105"/>
      <c r="AE314" s="277" t="s">
        <v>91</v>
      </c>
      <c r="AF314" s="282">
        <v>45576</v>
      </c>
      <c r="AG314" s="282">
        <v>45478</v>
      </c>
      <c r="AH314" s="343">
        <v>45565</v>
      </c>
      <c r="AI314" s="952">
        <v>45576</v>
      </c>
      <c r="AJ314" s="282">
        <v>45576</v>
      </c>
      <c r="AM314" s="282">
        <v>45576</v>
      </c>
    </row>
    <row r="315" spans="1:42" x14ac:dyDescent="0.25">
      <c r="A315" s="28">
        <v>315</v>
      </c>
      <c r="B315" s="72">
        <v>39220</v>
      </c>
      <c r="C315" s="227" t="s">
        <v>54</v>
      </c>
      <c r="D315" s="103"/>
      <c r="E315" s="229" t="s">
        <v>2250</v>
      </c>
      <c r="F315" s="103" t="s">
        <v>2241</v>
      </c>
      <c r="G315" s="300" t="s">
        <v>15</v>
      </c>
      <c r="H315" s="230"/>
      <c r="I315" s="103"/>
      <c r="J315" s="103" t="s">
        <v>58</v>
      </c>
      <c r="K315" s="105"/>
      <c r="L315" s="106"/>
      <c r="M315" s="105"/>
      <c r="N315" s="106" t="s">
        <v>63</v>
      </c>
      <c r="O315" s="106"/>
      <c r="P315" s="106"/>
      <c r="Q315" s="105" t="s">
        <v>75</v>
      </c>
      <c r="R315" s="105" t="s">
        <v>75</v>
      </c>
      <c r="S315" s="105"/>
      <c r="T315" s="105"/>
      <c r="U315" s="105"/>
      <c r="V315" s="105"/>
      <c r="W315" s="105"/>
      <c r="X315" s="105"/>
      <c r="Y315" s="105"/>
      <c r="Z315" s="438"/>
      <c r="AA315" s="438"/>
      <c r="AB315" s="105"/>
      <c r="AC315" s="105"/>
      <c r="AD315" s="105"/>
      <c r="AE315" s="277" t="s">
        <v>91</v>
      </c>
      <c r="AF315" s="282">
        <v>45576</v>
      </c>
      <c r="AG315" s="282">
        <v>45478</v>
      </c>
      <c r="AH315" s="343">
        <v>45565</v>
      </c>
      <c r="AI315" s="952">
        <v>45576</v>
      </c>
      <c r="AJ315" s="282">
        <v>45576</v>
      </c>
      <c r="AM315" s="282">
        <v>45576</v>
      </c>
    </row>
    <row r="316" spans="1:42" x14ac:dyDescent="0.25">
      <c r="A316" s="28">
        <v>316</v>
      </c>
      <c r="B316" s="72">
        <v>39235</v>
      </c>
      <c r="C316" s="227" t="s">
        <v>64</v>
      </c>
      <c r="D316" s="103"/>
      <c r="E316" s="229" t="s">
        <v>2250</v>
      </c>
      <c r="F316" s="103" t="s">
        <v>2241</v>
      </c>
      <c r="G316" s="300" t="s">
        <v>15</v>
      </c>
      <c r="H316" s="230"/>
      <c r="I316" s="103"/>
      <c r="J316" s="103" t="s">
        <v>58</v>
      </c>
      <c r="K316" s="105"/>
      <c r="L316" s="106"/>
      <c r="M316" s="105"/>
      <c r="N316" s="106" t="s">
        <v>63</v>
      </c>
      <c r="O316" s="106"/>
      <c r="P316" s="106"/>
      <c r="Q316" s="105" t="s">
        <v>75</v>
      </c>
      <c r="R316" s="105" t="s">
        <v>75</v>
      </c>
      <c r="S316" s="105"/>
      <c r="T316" s="105"/>
      <c r="U316" s="105"/>
      <c r="V316" s="105"/>
      <c r="W316" s="105"/>
      <c r="X316" s="105"/>
      <c r="Y316" s="105"/>
      <c r="Z316" s="438"/>
      <c r="AA316" s="438"/>
      <c r="AB316" s="105"/>
      <c r="AC316" s="105"/>
      <c r="AD316" s="105"/>
      <c r="AE316" s="277" t="s">
        <v>91</v>
      </c>
      <c r="AF316" s="282">
        <v>45320</v>
      </c>
      <c r="AG316" s="282">
        <v>45501</v>
      </c>
      <c r="AH316" s="343">
        <v>45566</v>
      </c>
      <c r="AI316" s="952">
        <v>45320</v>
      </c>
      <c r="AJ316" s="282">
        <v>45691</v>
      </c>
      <c r="AK316" s="282">
        <v>45691</v>
      </c>
      <c r="AL316" s="282">
        <v>45691</v>
      </c>
      <c r="AM316" s="282">
        <v>45597</v>
      </c>
    </row>
    <row r="317" spans="1:42" x14ac:dyDescent="0.25">
      <c r="A317" s="28">
        <v>317</v>
      </c>
      <c r="B317" s="72">
        <v>39235</v>
      </c>
      <c r="C317" s="227" t="s">
        <v>54</v>
      </c>
      <c r="D317" s="103"/>
      <c r="E317" s="229" t="s">
        <v>2250</v>
      </c>
      <c r="F317" s="103" t="s">
        <v>2241</v>
      </c>
      <c r="G317" s="300" t="s">
        <v>15</v>
      </c>
      <c r="H317" s="230"/>
      <c r="I317" s="103"/>
      <c r="J317" s="103" t="s">
        <v>58</v>
      </c>
      <c r="K317" s="105"/>
      <c r="L317" s="106"/>
      <c r="M317" s="105"/>
      <c r="N317" s="106" t="s">
        <v>63</v>
      </c>
      <c r="O317" s="106"/>
      <c r="P317" s="106"/>
      <c r="Q317" s="105" t="s">
        <v>75</v>
      </c>
      <c r="R317" s="105" t="s">
        <v>75</v>
      </c>
      <c r="S317" s="105"/>
      <c r="T317" s="105"/>
      <c r="U317" s="105"/>
      <c r="V317" s="105"/>
      <c r="W317" s="105"/>
      <c r="X317" s="105"/>
      <c r="Y317" s="105"/>
      <c r="Z317" s="438"/>
      <c r="AA317" s="438"/>
      <c r="AB317" s="105"/>
      <c r="AC317" s="105"/>
      <c r="AD317" s="105"/>
      <c r="AE317" s="277" t="s">
        <v>91</v>
      </c>
      <c r="AF317" s="282">
        <v>45320</v>
      </c>
      <c r="AG317" s="282">
        <v>45501</v>
      </c>
      <c r="AH317" s="343">
        <v>45566</v>
      </c>
      <c r="AI317" s="952">
        <v>45320</v>
      </c>
      <c r="AJ317" s="282">
        <v>45691</v>
      </c>
      <c r="AK317" s="282">
        <v>45691</v>
      </c>
      <c r="AL317" s="282">
        <v>45691</v>
      </c>
      <c r="AM317" s="282">
        <v>45597</v>
      </c>
    </row>
    <row r="318" spans="1:42" x14ac:dyDescent="0.25">
      <c r="A318" s="28">
        <v>318</v>
      </c>
      <c r="B318" s="72">
        <v>39238</v>
      </c>
      <c r="C318" s="227" t="s">
        <v>64</v>
      </c>
      <c r="D318" s="103"/>
      <c r="E318" s="229" t="s">
        <v>2250</v>
      </c>
      <c r="F318" s="103" t="s">
        <v>2241</v>
      </c>
      <c r="G318" s="300" t="s">
        <v>15</v>
      </c>
      <c r="H318" s="230"/>
      <c r="I318" s="103"/>
      <c r="J318" s="103" t="s">
        <v>58</v>
      </c>
      <c r="K318" s="105"/>
      <c r="L318" s="106"/>
      <c r="M318" s="105"/>
      <c r="N318" s="106" t="s">
        <v>63</v>
      </c>
      <c r="O318" s="106"/>
      <c r="P318" s="106"/>
      <c r="Q318" s="105" t="s">
        <v>75</v>
      </c>
      <c r="R318" s="105" t="s">
        <v>75</v>
      </c>
      <c r="S318" s="105"/>
      <c r="T318" s="105"/>
      <c r="U318" s="105"/>
      <c r="V318" s="105"/>
      <c r="W318" s="105"/>
      <c r="X318" s="105"/>
      <c r="Y318" s="105"/>
      <c r="Z318" s="438"/>
      <c r="AA318" s="438"/>
      <c r="AB318" s="105"/>
      <c r="AC318" s="105"/>
      <c r="AD318" s="105"/>
      <c r="AE318" s="277" t="s">
        <v>91</v>
      </c>
      <c r="AF318" s="282">
        <v>45500</v>
      </c>
      <c r="AG318" s="282">
        <v>45498</v>
      </c>
      <c r="AH318" s="282">
        <v>45498</v>
      </c>
      <c r="AI318" s="952">
        <v>45500</v>
      </c>
      <c r="AJ318" s="282">
        <v>45591</v>
      </c>
      <c r="AM318" s="282">
        <v>45591</v>
      </c>
    </row>
    <row r="319" spans="1:42" x14ac:dyDescent="0.25">
      <c r="A319" s="28">
        <v>319</v>
      </c>
      <c r="B319" s="72">
        <v>39238</v>
      </c>
      <c r="C319" s="227" t="s">
        <v>54</v>
      </c>
      <c r="D319" s="103"/>
      <c r="E319" s="229" t="s">
        <v>2250</v>
      </c>
      <c r="F319" s="103" t="s">
        <v>2241</v>
      </c>
      <c r="G319" s="300" t="s">
        <v>15</v>
      </c>
      <c r="H319" s="230"/>
      <c r="I319" s="103"/>
      <c r="J319" s="103" t="s">
        <v>58</v>
      </c>
      <c r="K319" s="105"/>
      <c r="L319" s="106"/>
      <c r="M319" s="105"/>
      <c r="N319" s="106" t="s">
        <v>63</v>
      </c>
      <c r="O319" s="106"/>
      <c r="P319" s="106"/>
      <c r="Q319" s="105" t="s">
        <v>75</v>
      </c>
      <c r="R319" s="105" t="s">
        <v>75</v>
      </c>
      <c r="S319" s="105"/>
      <c r="T319" s="105"/>
      <c r="U319" s="105"/>
      <c r="V319" s="105"/>
      <c r="W319" s="105"/>
      <c r="X319" s="105"/>
      <c r="Y319" s="105"/>
      <c r="Z319" s="438"/>
      <c r="AA319" s="438"/>
      <c r="AB319" s="105"/>
      <c r="AC319" s="105"/>
      <c r="AD319" s="105"/>
      <c r="AE319" s="277" t="s">
        <v>91</v>
      </c>
      <c r="AF319" s="282">
        <v>45500</v>
      </c>
      <c r="AG319" s="282">
        <v>45498</v>
      </c>
      <c r="AH319" s="282">
        <v>45498</v>
      </c>
      <c r="AI319" s="952">
        <v>45500</v>
      </c>
      <c r="AJ319" s="282">
        <v>45591</v>
      </c>
      <c r="AM319" s="282">
        <v>45591</v>
      </c>
    </row>
    <row r="320" spans="1:42" x14ac:dyDescent="0.25">
      <c r="A320" s="28">
        <v>320</v>
      </c>
      <c r="B320" s="72">
        <v>39239</v>
      </c>
      <c r="C320" s="227" t="s">
        <v>64</v>
      </c>
      <c r="D320" s="103"/>
      <c r="E320" s="229" t="s">
        <v>2250</v>
      </c>
      <c r="F320" s="103" t="s">
        <v>2241</v>
      </c>
      <c r="G320" s="300" t="s">
        <v>15</v>
      </c>
      <c r="H320" s="230"/>
      <c r="I320" s="103"/>
      <c r="J320" s="103" t="s">
        <v>58</v>
      </c>
      <c r="K320" s="105"/>
      <c r="L320" s="106"/>
      <c r="M320" s="105"/>
      <c r="N320" s="106" t="s">
        <v>63</v>
      </c>
      <c r="O320" s="106"/>
      <c r="P320" s="106"/>
      <c r="Q320" s="105" t="s">
        <v>75</v>
      </c>
      <c r="R320" s="105" t="s">
        <v>75</v>
      </c>
      <c r="S320" s="105"/>
      <c r="T320" s="105"/>
      <c r="U320" s="105"/>
      <c r="V320" s="105"/>
      <c r="W320" s="105"/>
      <c r="X320" s="105"/>
      <c r="Y320" s="105"/>
      <c r="Z320" s="438"/>
      <c r="AA320" s="438"/>
      <c r="AB320" s="105"/>
      <c r="AC320" s="105"/>
      <c r="AD320" s="105"/>
      <c r="AE320" s="277" t="s">
        <v>91</v>
      </c>
      <c r="AF320" s="282">
        <v>45513</v>
      </c>
      <c r="AG320" s="282">
        <v>45514</v>
      </c>
      <c r="AH320" s="282">
        <v>45514</v>
      </c>
      <c r="AI320" s="952">
        <v>45607</v>
      </c>
      <c r="AJ320" s="282">
        <v>45607</v>
      </c>
      <c r="AM320" s="282">
        <v>45554</v>
      </c>
    </row>
    <row r="321" spans="1:39" x14ac:dyDescent="0.25">
      <c r="A321" s="28">
        <v>321</v>
      </c>
      <c r="B321" s="72">
        <v>39239</v>
      </c>
      <c r="C321" s="227" t="s">
        <v>54</v>
      </c>
      <c r="D321" s="103"/>
      <c r="E321" s="229" t="s">
        <v>2250</v>
      </c>
      <c r="F321" s="103" t="s">
        <v>2241</v>
      </c>
      <c r="G321" s="300" t="s">
        <v>15</v>
      </c>
      <c r="H321" s="230"/>
      <c r="I321" s="103"/>
      <c r="J321" s="103" t="s">
        <v>58</v>
      </c>
      <c r="K321" s="105"/>
      <c r="L321" s="106"/>
      <c r="M321" s="105"/>
      <c r="N321" s="106" t="s">
        <v>63</v>
      </c>
      <c r="O321" s="106"/>
      <c r="P321" s="106"/>
      <c r="Q321" s="105" t="s">
        <v>75</v>
      </c>
      <c r="R321" s="105" t="s">
        <v>75</v>
      </c>
      <c r="S321" s="105"/>
      <c r="T321" s="105"/>
      <c r="U321" s="105"/>
      <c r="V321" s="105"/>
      <c r="W321" s="105"/>
      <c r="X321" s="105"/>
      <c r="Y321" s="105"/>
      <c r="Z321" s="438"/>
      <c r="AA321" s="438"/>
      <c r="AB321" s="105"/>
      <c r="AC321" s="105"/>
      <c r="AD321" s="105"/>
      <c r="AE321" s="277" t="s">
        <v>91</v>
      </c>
      <c r="AF321" s="282">
        <v>45513</v>
      </c>
      <c r="AG321" s="282">
        <v>45514</v>
      </c>
      <c r="AH321" s="282">
        <v>45514</v>
      </c>
      <c r="AI321" s="952">
        <v>45607</v>
      </c>
      <c r="AJ321" s="282">
        <v>45607</v>
      </c>
      <c r="AM321" s="282">
        <v>45554</v>
      </c>
    </row>
    <row r="322" spans="1:39" x14ac:dyDescent="0.25">
      <c r="A322" s="28">
        <v>322</v>
      </c>
      <c r="B322" s="72">
        <v>39243</v>
      </c>
      <c r="C322" s="227" t="s">
        <v>64</v>
      </c>
      <c r="D322" s="103"/>
      <c r="E322" s="229" t="s">
        <v>2250</v>
      </c>
      <c r="F322" s="103" t="s">
        <v>2241</v>
      </c>
      <c r="G322" s="300" t="s">
        <v>15</v>
      </c>
      <c r="H322" s="230"/>
      <c r="I322" s="103"/>
      <c r="J322" s="103" t="s">
        <v>58</v>
      </c>
      <c r="K322" s="105"/>
      <c r="L322" s="106"/>
      <c r="M322" s="105"/>
      <c r="N322" s="106" t="s">
        <v>63</v>
      </c>
      <c r="O322" s="106"/>
      <c r="P322" s="106"/>
      <c r="Q322" s="105" t="s">
        <v>75</v>
      </c>
      <c r="R322" s="105" t="s">
        <v>75</v>
      </c>
      <c r="S322" s="105"/>
      <c r="T322" s="105"/>
      <c r="U322" s="105"/>
      <c r="V322" s="105"/>
      <c r="W322" s="105"/>
      <c r="X322" s="105"/>
      <c r="Y322" s="105"/>
      <c r="Z322" s="438"/>
      <c r="AA322" s="438"/>
      <c r="AB322" s="105"/>
      <c r="AC322" s="105"/>
      <c r="AD322" s="105"/>
      <c r="AE322" s="277" t="s">
        <v>91</v>
      </c>
      <c r="AF322" s="282">
        <v>45492</v>
      </c>
      <c r="AG322" s="282">
        <v>45492</v>
      </c>
      <c r="AH322" s="282">
        <v>45492</v>
      </c>
      <c r="AI322" s="952">
        <v>45097</v>
      </c>
      <c r="AJ322" s="282">
        <v>45631</v>
      </c>
      <c r="AM322" s="282">
        <v>45538</v>
      </c>
    </row>
    <row r="323" spans="1:39" x14ac:dyDescent="0.25">
      <c r="A323" s="28">
        <v>323</v>
      </c>
      <c r="B323" s="72">
        <v>39243</v>
      </c>
      <c r="C323" s="227" t="s">
        <v>54</v>
      </c>
      <c r="D323" s="103"/>
      <c r="E323" s="229" t="s">
        <v>2250</v>
      </c>
      <c r="F323" s="103" t="s">
        <v>2241</v>
      </c>
      <c r="G323" s="300" t="s">
        <v>15</v>
      </c>
      <c r="H323" s="230"/>
      <c r="I323" s="103"/>
      <c r="J323" s="103" t="s">
        <v>58</v>
      </c>
      <c r="K323" s="105"/>
      <c r="L323" s="106"/>
      <c r="M323" s="105"/>
      <c r="N323" s="106" t="s">
        <v>63</v>
      </c>
      <c r="O323" s="106"/>
      <c r="P323" s="106"/>
      <c r="Q323" s="105" t="s">
        <v>75</v>
      </c>
      <c r="R323" s="105" t="s">
        <v>75</v>
      </c>
      <c r="S323" s="105"/>
      <c r="T323" s="105"/>
      <c r="U323" s="105"/>
      <c r="V323" s="105"/>
      <c r="W323" s="105"/>
      <c r="X323" s="105"/>
      <c r="Y323" s="105"/>
      <c r="Z323" s="438"/>
      <c r="AA323" s="438"/>
      <c r="AB323" s="105"/>
      <c r="AC323" s="105"/>
      <c r="AD323" s="105"/>
      <c r="AE323" s="277" t="s">
        <v>91</v>
      </c>
      <c r="AF323" s="282">
        <v>45492</v>
      </c>
      <c r="AG323" s="282">
        <v>45492</v>
      </c>
      <c r="AH323" s="282">
        <v>45492</v>
      </c>
      <c r="AI323" s="952">
        <v>45097</v>
      </c>
      <c r="AJ323" s="282">
        <v>45631</v>
      </c>
      <c r="AM323" s="282">
        <v>45538</v>
      </c>
    </row>
    <row r="324" spans="1:39" x14ac:dyDescent="0.25">
      <c r="A324" s="28">
        <v>324</v>
      </c>
      <c r="B324" s="72">
        <v>39244</v>
      </c>
      <c r="C324" s="227" t="s">
        <v>64</v>
      </c>
      <c r="D324" s="103"/>
      <c r="E324" s="229" t="s">
        <v>2250</v>
      </c>
      <c r="F324" s="103" t="s">
        <v>2241</v>
      </c>
      <c r="G324" s="300" t="s">
        <v>15</v>
      </c>
      <c r="H324" s="230"/>
      <c r="I324" s="103"/>
      <c r="J324" s="103" t="s">
        <v>58</v>
      </c>
      <c r="K324" s="105"/>
      <c r="L324" s="106"/>
      <c r="M324" s="105"/>
      <c r="N324" s="106" t="s">
        <v>63</v>
      </c>
      <c r="O324" s="106"/>
      <c r="P324" s="106"/>
      <c r="Q324" s="105" t="s">
        <v>75</v>
      </c>
      <c r="R324" s="105" t="s">
        <v>75</v>
      </c>
      <c r="S324" s="105"/>
      <c r="T324" s="105"/>
      <c r="U324" s="105"/>
      <c r="V324" s="105"/>
      <c r="W324" s="105"/>
      <c r="X324" s="105"/>
      <c r="Y324" s="105"/>
      <c r="Z324" s="438"/>
      <c r="AA324" s="438"/>
      <c r="AB324" s="105"/>
      <c r="AC324" s="105"/>
      <c r="AD324" s="105"/>
      <c r="AE324" s="277" t="s">
        <v>91</v>
      </c>
      <c r="AF324" s="282">
        <v>45320</v>
      </c>
      <c r="AG324" s="282">
        <v>45516</v>
      </c>
      <c r="AH324" s="282">
        <v>45516</v>
      </c>
      <c r="AI324" s="952">
        <v>45239</v>
      </c>
      <c r="AJ324" s="282">
        <v>45614</v>
      </c>
      <c r="AM324" s="282">
        <v>45614</v>
      </c>
    </row>
    <row r="325" spans="1:39" x14ac:dyDescent="0.25">
      <c r="A325" s="28">
        <v>325</v>
      </c>
      <c r="B325" s="72">
        <v>39244</v>
      </c>
      <c r="C325" s="227" t="s">
        <v>54</v>
      </c>
      <c r="D325" s="103"/>
      <c r="E325" s="229" t="s">
        <v>2250</v>
      </c>
      <c r="F325" s="103" t="s">
        <v>2241</v>
      </c>
      <c r="G325" s="300" t="s">
        <v>15</v>
      </c>
      <c r="H325" s="230"/>
      <c r="I325" s="103"/>
      <c r="J325" s="103" t="s">
        <v>58</v>
      </c>
      <c r="K325" s="105"/>
      <c r="L325" s="106"/>
      <c r="M325" s="105"/>
      <c r="N325" s="106" t="s">
        <v>63</v>
      </c>
      <c r="O325" s="106"/>
      <c r="P325" s="106"/>
      <c r="Q325" s="105" t="s">
        <v>75</v>
      </c>
      <c r="R325" s="105" t="s">
        <v>75</v>
      </c>
      <c r="S325" s="105"/>
      <c r="T325" s="105"/>
      <c r="U325" s="105"/>
      <c r="V325" s="105"/>
      <c r="W325" s="105"/>
      <c r="X325" s="105"/>
      <c r="Y325" s="105"/>
      <c r="Z325" s="438"/>
      <c r="AA325" s="438"/>
      <c r="AB325" s="105"/>
      <c r="AC325" s="105"/>
      <c r="AD325" s="105"/>
      <c r="AE325" s="277" t="s">
        <v>91</v>
      </c>
      <c r="AF325" s="282">
        <v>45320</v>
      </c>
      <c r="AG325" s="282">
        <v>45516</v>
      </c>
      <c r="AH325" s="282">
        <v>45516</v>
      </c>
      <c r="AI325" s="952">
        <v>45239</v>
      </c>
      <c r="AJ325" s="282">
        <v>45614</v>
      </c>
      <c r="AM325" s="282">
        <v>45614</v>
      </c>
    </row>
    <row r="326" spans="1:39" x14ac:dyDescent="0.25">
      <c r="A326" s="28">
        <v>326</v>
      </c>
      <c r="B326" s="72">
        <v>39283</v>
      </c>
      <c r="C326" s="227" t="s">
        <v>64</v>
      </c>
      <c r="D326" s="103"/>
      <c r="E326" s="229" t="s">
        <v>2250</v>
      </c>
      <c r="F326" s="103" t="s">
        <v>2241</v>
      </c>
      <c r="G326" s="300" t="s">
        <v>15</v>
      </c>
      <c r="H326" s="230"/>
      <c r="I326" s="103"/>
      <c r="J326" s="103" t="s">
        <v>58</v>
      </c>
      <c r="K326" s="105"/>
      <c r="L326" s="106"/>
      <c r="M326" s="105"/>
      <c r="N326" s="106" t="s">
        <v>63</v>
      </c>
      <c r="O326" s="106"/>
      <c r="P326" s="106"/>
      <c r="Q326" s="105" t="s">
        <v>75</v>
      </c>
      <c r="R326" s="105" t="s">
        <v>75</v>
      </c>
      <c r="S326" s="105"/>
      <c r="T326" s="105"/>
      <c r="U326" s="105"/>
      <c r="V326" s="105"/>
      <c r="W326" s="105"/>
      <c r="X326" s="105"/>
      <c r="Y326" s="105"/>
      <c r="Z326" s="438"/>
      <c r="AA326" s="438"/>
      <c r="AB326" s="105"/>
      <c r="AC326" s="105"/>
      <c r="AD326" s="105"/>
      <c r="AE326" s="277" t="s">
        <v>91</v>
      </c>
      <c r="AF326" s="282">
        <v>45356</v>
      </c>
      <c r="AG326" s="282">
        <v>45474</v>
      </c>
      <c r="AH326" s="282">
        <v>45666</v>
      </c>
      <c r="AI326" s="952">
        <v>45315</v>
      </c>
      <c r="AJ326" s="282">
        <v>45666</v>
      </c>
      <c r="AK326" s="282">
        <v>45666</v>
      </c>
      <c r="AL326" s="282">
        <v>45666</v>
      </c>
      <c r="AM326" s="282">
        <v>45569</v>
      </c>
    </row>
    <row r="327" spans="1:39" x14ac:dyDescent="0.25">
      <c r="A327" s="28">
        <v>327</v>
      </c>
      <c r="B327" s="72">
        <v>39283</v>
      </c>
      <c r="C327" s="227" t="s">
        <v>54</v>
      </c>
      <c r="D327" s="103"/>
      <c r="E327" s="229" t="s">
        <v>2250</v>
      </c>
      <c r="F327" s="103" t="s">
        <v>2241</v>
      </c>
      <c r="G327" s="300" t="s">
        <v>15</v>
      </c>
      <c r="H327" s="230"/>
      <c r="I327" s="103"/>
      <c r="J327" s="103" t="s">
        <v>58</v>
      </c>
      <c r="K327" s="105"/>
      <c r="L327" s="106"/>
      <c r="M327" s="105"/>
      <c r="N327" s="106" t="s">
        <v>63</v>
      </c>
      <c r="O327" s="106"/>
      <c r="P327" s="106"/>
      <c r="Q327" s="105" t="s">
        <v>75</v>
      </c>
      <c r="R327" s="105" t="s">
        <v>75</v>
      </c>
      <c r="S327" s="105"/>
      <c r="T327" s="105"/>
      <c r="U327" s="105"/>
      <c r="V327" s="105"/>
      <c r="W327" s="105"/>
      <c r="X327" s="105"/>
      <c r="Y327" s="105"/>
      <c r="Z327" s="438"/>
      <c r="AA327" s="438"/>
      <c r="AB327" s="105"/>
      <c r="AC327" s="105"/>
      <c r="AD327" s="105"/>
      <c r="AE327" s="277" t="s">
        <v>91</v>
      </c>
      <c r="AF327" s="282">
        <v>45356</v>
      </c>
      <c r="AG327" s="282">
        <v>45474</v>
      </c>
      <c r="AH327" s="282">
        <v>45666</v>
      </c>
      <c r="AI327" s="952">
        <v>45315</v>
      </c>
      <c r="AJ327" s="282">
        <v>45666</v>
      </c>
      <c r="AK327" s="282">
        <v>45666</v>
      </c>
      <c r="AL327" s="282">
        <v>45666</v>
      </c>
      <c r="AM327" s="282">
        <v>45569</v>
      </c>
    </row>
    <row r="328" spans="1:39" x14ac:dyDescent="0.25">
      <c r="A328" s="28">
        <v>328</v>
      </c>
      <c r="B328" s="72">
        <v>39285</v>
      </c>
      <c r="C328" s="227" t="s">
        <v>64</v>
      </c>
      <c r="D328" s="103"/>
      <c r="E328" s="229" t="s">
        <v>2250</v>
      </c>
      <c r="F328" s="103" t="s">
        <v>2241</v>
      </c>
      <c r="G328" s="300" t="s">
        <v>15</v>
      </c>
      <c r="H328" s="230"/>
      <c r="I328" s="103"/>
      <c r="J328" s="103" t="s">
        <v>58</v>
      </c>
      <c r="K328" s="105"/>
      <c r="L328" s="106"/>
      <c r="M328" s="105"/>
      <c r="N328" s="106" t="s">
        <v>63</v>
      </c>
      <c r="O328" s="106"/>
      <c r="P328" s="106"/>
      <c r="Q328" s="105" t="s">
        <v>75</v>
      </c>
      <c r="R328" s="105" t="s">
        <v>75</v>
      </c>
      <c r="S328" s="105"/>
      <c r="T328" s="105"/>
      <c r="U328" s="105"/>
      <c r="V328" s="105"/>
      <c r="W328" s="105"/>
      <c r="X328" s="105"/>
      <c r="Y328" s="105"/>
      <c r="Z328" s="438"/>
      <c r="AA328" s="438"/>
      <c r="AB328" s="105"/>
      <c r="AC328" s="105"/>
      <c r="AD328" s="105"/>
      <c r="AE328" s="277" t="s">
        <v>91</v>
      </c>
      <c r="AF328" s="282">
        <v>45359</v>
      </c>
      <c r="AG328" s="282">
        <v>45536</v>
      </c>
      <c r="AH328" s="282">
        <v>45536</v>
      </c>
      <c r="AI328" s="952">
        <v>45408</v>
      </c>
      <c r="AJ328" s="282">
        <v>45650</v>
      </c>
      <c r="AM328" s="282">
        <v>45554</v>
      </c>
    </row>
    <row r="329" spans="1:39" x14ac:dyDescent="0.25">
      <c r="A329" s="28">
        <v>329</v>
      </c>
      <c r="B329" s="72">
        <v>39285</v>
      </c>
      <c r="C329" s="227" t="s">
        <v>54</v>
      </c>
      <c r="D329" s="103"/>
      <c r="E329" s="229" t="s">
        <v>2250</v>
      </c>
      <c r="F329" s="103" t="s">
        <v>2241</v>
      </c>
      <c r="G329" s="300" t="s">
        <v>15</v>
      </c>
      <c r="H329" s="230"/>
      <c r="I329" s="103"/>
      <c r="J329" s="103" t="s">
        <v>58</v>
      </c>
      <c r="K329" s="105"/>
      <c r="L329" s="106"/>
      <c r="M329" s="105"/>
      <c r="N329" s="106" t="s">
        <v>63</v>
      </c>
      <c r="O329" s="106"/>
      <c r="P329" s="106"/>
      <c r="Q329" s="105" t="s">
        <v>75</v>
      </c>
      <c r="R329" s="105" t="s">
        <v>75</v>
      </c>
      <c r="S329" s="105"/>
      <c r="T329" s="105"/>
      <c r="U329" s="105"/>
      <c r="V329" s="105"/>
      <c r="W329" s="105"/>
      <c r="X329" s="105"/>
      <c r="Y329" s="105"/>
      <c r="Z329" s="438"/>
      <c r="AA329" s="438"/>
      <c r="AB329" s="105"/>
      <c r="AC329" s="105"/>
      <c r="AD329" s="105"/>
      <c r="AE329" s="277" t="s">
        <v>91</v>
      </c>
      <c r="AF329" s="282">
        <v>45359</v>
      </c>
      <c r="AG329" s="282">
        <v>45536</v>
      </c>
      <c r="AH329" s="282">
        <v>45536</v>
      </c>
      <c r="AI329" s="952">
        <v>45408</v>
      </c>
      <c r="AJ329" s="282">
        <v>45650</v>
      </c>
      <c r="AM329" s="282">
        <v>45554</v>
      </c>
    </row>
    <row r="330" spans="1:39" x14ac:dyDescent="0.25">
      <c r="A330" s="28">
        <v>330</v>
      </c>
      <c r="B330" s="72">
        <v>39287</v>
      </c>
      <c r="C330" s="227" t="s">
        <v>64</v>
      </c>
      <c r="D330" s="103"/>
      <c r="E330" s="229" t="s">
        <v>2250</v>
      </c>
      <c r="F330" s="103" t="s">
        <v>2241</v>
      </c>
      <c r="G330" s="300" t="s">
        <v>15</v>
      </c>
      <c r="H330" s="230"/>
      <c r="I330" s="103"/>
      <c r="J330" s="103" t="s">
        <v>58</v>
      </c>
      <c r="K330" s="105"/>
      <c r="L330" s="106"/>
      <c r="M330" s="105"/>
      <c r="N330" s="106" t="s">
        <v>63</v>
      </c>
      <c r="O330" s="106"/>
      <c r="P330" s="106"/>
      <c r="Q330" s="105" t="s">
        <v>75</v>
      </c>
      <c r="R330" s="105" t="s">
        <v>75</v>
      </c>
      <c r="S330" s="105"/>
      <c r="T330" s="105"/>
      <c r="U330" s="105"/>
      <c r="V330" s="105"/>
      <c r="W330" s="105"/>
      <c r="X330" s="105"/>
      <c r="Y330" s="105"/>
      <c r="Z330" s="438"/>
      <c r="AA330" s="438"/>
      <c r="AB330" s="105"/>
      <c r="AC330" s="105"/>
      <c r="AD330" s="105"/>
      <c r="AE330" s="277" t="s">
        <v>91</v>
      </c>
      <c r="AF330" s="282">
        <v>45359</v>
      </c>
      <c r="AG330" s="282">
        <v>45529</v>
      </c>
      <c r="AH330" s="282">
        <v>45478</v>
      </c>
      <c r="AI330" s="952">
        <v>45315</v>
      </c>
      <c r="AJ330" s="282">
        <v>45590</v>
      </c>
      <c r="AM330" s="282">
        <v>45554</v>
      </c>
    </row>
    <row r="331" spans="1:39" x14ac:dyDescent="0.25">
      <c r="A331" s="28">
        <v>331</v>
      </c>
      <c r="B331" s="72">
        <v>39287</v>
      </c>
      <c r="C331" s="227" t="s">
        <v>54</v>
      </c>
      <c r="D331" s="103"/>
      <c r="E331" s="229" t="s">
        <v>2250</v>
      </c>
      <c r="F331" s="103" t="s">
        <v>2241</v>
      </c>
      <c r="G331" s="300" t="s">
        <v>15</v>
      </c>
      <c r="H331" s="230"/>
      <c r="I331" s="103"/>
      <c r="J331" s="103" t="s">
        <v>58</v>
      </c>
      <c r="K331" s="105"/>
      <c r="L331" s="106"/>
      <c r="M331" s="105"/>
      <c r="N331" s="106" t="s">
        <v>63</v>
      </c>
      <c r="O331" s="106"/>
      <c r="P331" s="106"/>
      <c r="Q331" s="105" t="s">
        <v>75</v>
      </c>
      <c r="R331" s="105" t="s">
        <v>75</v>
      </c>
      <c r="S331" s="105"/>
      <c r="T331" s="105"/>
      <c r="U331" s="105"/>
      <c r="V331" s="105"/>
      <c r="W331" s="105"/>
      <c r="X331" s="105"/>
      <c r="Y331" s="105"/>
      <c r="Z331" s="438"/>
      <c r="AA331" s="438"/>
      <c r="AB331" s="105"/>
      <c r="AC331" s="105"/>
      <c r="AD331" s="105"/>
      <c r="AE331" s="277" t="s">
        <v>91</v>
      </c>
      <c r="AF331" s="282">
        <v>45359</v>
      </c>
      <c r="AG331" s="282">
        <v>45529</v>
      </c>
      <c r="AH331" s="282">
        <v>45478</v>
      </c>
      <c r="AI331" s="952">
        <v>45315</v>
      </c>
      <c r="AJ331" s="282">
        <v>45590</v>
      </c>
      <c r="AM331" s="282">
        <v>45554</v>
      </c>
    </row>
    <row r="332" spans="1:39" x14ac:dyDescent="0.25">
      <c r="A332" s="28">
        <v>332</v>
      </c>
      <c r="B332" s="72">
        <v>39289</v>
      </c>
      <c r="C332" s="227" t="s">
        <v>64</v>
      </c>
      <c r="D332" s="103"/>
      <c r="E332" s="229" t="s">
        <v>2250</v>
      </c>
      <c r="F332" s="103" t="s">
        <v>2241</v>
      </c>
      <c r="G332" s="300" t="s">
        <v>15</v>
      </c>
      <c r="H332" s="230"/>
      <c r="I332" s="103"/>
      <c r="J332" s="103" t="s">
        <v>58</v>
      </c>
      <c r="K332" s="105"/>
      <c r="L332" s="106"/>
      <c r="M332" s="105"/>
      <c r="N332" s="106" t="s">
        <v>63</v>
      </c>
      <c r="O332" s="106"/>
      <c r="P332" s="106"/>
      <c r="Q332" s="105" t="s">
        <v>75</v>
      </c>
      <c r="R332" s="105" t="s">
        <v>75</v>
      </c>
      <c r="S332" s="105"/>
      <c r="T332" s="105"/>
      <c r="U332" s="105"/>
      <c r="V332" s="105"/>
      <c r="W332" s="105"/>
      <c r="X332" s="105"/>
      <c r="Y332" s="105"/>
      <c r="Z332" s="438"/>
      <c r="AA332" s="438"/>
      <c r="AB332" s="105"/>
      <c r="AC332" s="105"/>
      <c r="AD332" s="105"/>
      <c r="AE332" s="277" t="s">
        <v>91</v>
      </c>
      <c r="AF332" s="282">
        <v>45371</v>
      </c>
      <c r="AG332" s="282">
        <v>45472</v>
      </c>
      <c r="AH332" s="282">
        <v>45659</v>
      </c>
      <c r="AI332" s="952">
        <v>45316</v>
      </c>
      <c r="AJ332" s="282">
        <v>45659</v>
      </c>
      <c r="AM332" s="282">
        <v>45560</v>
      </c>
    </row>
    <row r="333" spans="1:39" x14ac:dyDescent="0.25">
      <c r="A333" s="28">
        <v>333</v>
      </c>
      <c r="B333" s="72">
        <v>39289</v>
      </c>
      <c r="C333" s="227" t="s">
        <v>54</v>
      </c>
      <c r="D333" s="103"/>
      <c r="E333" s="229" t="s">
        <v>2250</v>
      </c>
      <c r="F333" s="103" t="s">
        <v>2241</v>
      </c>
      <c r="G333" s="300" t="s">
        <v>15</v>
      </c>
      <c r="H333" s="230"/>
      <c r="I333" s="103"/>
      <c r="J333" s="103" t="s">
        <v>58</v>
      </c>
      <c r="K333" s="105"/>
      <c r="L333" s="106"/>
      <c r="M333" s="105"/>
      <c r="N333" s="106" t="s">
        <v>63</v>
      </c>
      <c r="O333" s="106"/>
      <c r="P333" s="106"/>
      <c r="Q333" s="105" t="s">
        <v>75</v>
      </c>
      <c r="R333" s="105" t="s">
        <v>75</v>
      </c>
      <c r="S333" s="105"/>
      <c r="T333" s="105"/>
      <c r="U333" s="105"/>
      <c r="V333" s="105"/>
      <c r="W333" s="105"/>
      <c r="X333" s="105"/>
      <c r="Y333" s="105"/>
      <c r="Z333" s="438"/>
      <c r="AA333" s="438"/>
      <c r="AB333" s="105" t="s">
        <v>2561</v>
      </c>
      <c r="AC333" s="105"/>
      <c r="AD333" s="105"/>
      <c r="AE333" s="277" t="s">
        <v>91</v>
      </c>
      <c r="AF333" s="282">
        <v>45371</v>
      </c>
      <c r="AG333" s="282">
        <v>45472</v>
      </c>
      <c r="AH333" s="282">
        <v>45659</v>
      </c>
      <c r="AI333" s="952">
        <v>45316</v>
      </c>
      <c r="AJ333" s="282">
        <v>45659</v>
      </c>
      <c r="AM333" s="282">
        <v>45560</v>
      </c>
    </row>
    <row r="334" spans="1:39" x14ac:dyDescent="0.25">
      <c r="A334" s="28">
        <v>334</v>
      </c>
      <c r="B334" s="906">
        <v>39305</v>
      </c>
      <c r="C334" s="227" t="s">
        <v>64</v>
      </c>
      <c r="D334" s="103"/>
      <c r="E334" s="229" t="s">
        <v>2250</v>
      </c>
      <c r="F334" s="103" t="s">
        <v>2241</v>
      </c>
      <c r="G334" s="300" t="s">
        <v>15</v>
      </c>
      <c r="H334" s="230"/>
      <c r="I334" s="103"/>
      <c r="J334" s="103" t="s">
        <v>58</v>
      </c>
      <c r="K334" s="105"/>
      <c r="L334" s="106"/>
      <c r="M334" s="105"/>
      <c r="N334" s="106" t="s">
        <v>63</v>
      </c>
      <c r="O334" s="106"/>
      <c r="P334" s="106"/>
      <c r="Q334" s="105" t="s">
        <v>75</v>
      </c>
      <c r="R334" s="105" t="s">
        <v>75</v>
      </c>
      <c r="S334" s="105"/>
      <c r="T334" s="105"/>
      <c r="U334" s="105"/>
      <c r="V334" s="105"/>
      <c r="W334" s="105"/>
      <c r="X334" s="105"/>
      <c r="Y334" s="105"/>
      <c r="Z334" s="438"/>
      <c r="AA334" s="438"/>
      <c r="AB334" s="105"/>
      <c r="AC334" s="105"/>
      <c r="AD334" s="105"/>
      <c r="AE334" s="277" t="s">
        <v>91</v>
      </c>
      <c r="AF334" s="282">
        <v>45468</v>
      </c>
      <c r="AG334" s="282">
        <v>45468</v>
      </c>
      <c r="AH334" s="282">
        <v>45617</v>
      </c>
      <c r="AI334" s="952">
        <v>45470</v>
      </c>
      <c r="AJ334" s="282">
        <v>45617</v>
      </c>
      <c r="AM334" s="282">
        <v>45617</v>
      </c>
    </row>
    <row r="335" spans="1:39" x14ac:dyDescent="0.25">
      <c r="A335" s="28">
        <v>335</v>
      </c>
      <c r="B335" s="906">
        <v>39305</v>
      </c>
      <c r="C335" s="227" t="s">
        <v>54</v>
      </c>
      <c r="D335" s="103"/>
      <c r="E335" s="229" t="s">
        <v>2250</v>
      </c>
      <c r="F335" s="103" t="s">
        <v>2241</v>
      </c>
      <c r="G335" s="300" t="s">
        <v>15</v>
      </c>
      <c r="H335" s="230"/>
      <c r="I335" s="103"/>
      <c r="J335" s="103" t="s">
        <v>58</v>
      </c>
      <c r="K335" s="105"/>
      <c r="L335" s="106"/>
      <c r="M335" s="105"/>
      <c r="N335" s="106" t="s">
        <v>63</v>
      </c>
      <c r="O335" s="106"/>
      <c r="P335" s="106"/>
      <c r="Q335" s="105" t="s">
        <v>75</v>
      </c>
      <c r="R335" s="105" t="s">
        <v>75</v>
      </c>
      <c r="S335" s="105"/>
      <c r="T335" s="105"/>
      <c r="U335" s="105"/>
      <c r="V335" s="105"/>
      <c r="W335" s="105"/>
      <c r="X335" s="105"/>
      <c r="Y335" s="105"/>
      <c r="Z335" s="438"/>
      <c r="AA335" s="438"/>
      <c r="AB335" s="105"/>
      <c r="AC335" s="105"/>
      <c r="AD335" s="105"/>
      <c r="AE335" s="277" t="s">
        <v>91</v>
      </c>
      <c r="AF335" s="282">
        <v>45468</v>
      </c>
      <c r="AG335" s="282">
        <v>45468</v>
      </c>
      <c r="AH335" s="282">
        <v>45617</v>
      </c>
      <c r="AI335" s="952">
        <v>45470</v>
      </c>
      <c r="AJ335" s="282">
        <v>45617</v>
      </c>
      <c r="AM335" s="282">
        <v>45617</v>
      </c>
    </row>
    <row r="336" spans="1:39" x14ac:dyDescent="0.25">
      <c r="A336" s="28">
        <v>336</v>
      </c>
      <c r="B336" s="906">
        <v>39308</v>
      </c>
      <c r="C336" s="227" t="s">
        <v>64</v>
      </c>
      <c r="D336" s="103"/>
      <c r="E336" s="229" t="s">
        <v>2250</v>
      </c>
      <c r="F336" s="103" t="s">
        <v>2241</v>
      </c>
      <c r="G336" s="300" t="s">
        <v>15</v>
      </c>
      <c r="H336" s="230"/>
      <c r="I336" s="103"/>
      <c r="J336" s="103" t="s">
        <v>58</v>
      </c>
      <c r="K336" s="105"/>
      <c r="L336" s="106"/>
      <c r="M336" s="105"/>
      <c r="N336" s="106" t="s">
        <v>63</v>
      </c>
      <c r="O336" s="106"/>
      <c r="P336" s="106"/>
      <c r="Q336" s="105" t="s">
        <v>75</v>
      </c>
      <c r="R336" s="105" t="s">
        <v>75</v>
      </c>
      <c r="S336" s="105"/>
      <c r="T336" s="105"/>
      <c r="U336" s="105"/>
      <c r="V336" s="105"/>
      <c r="W336" s="105"/>
      <c r="X336" s="105"/>
      <c r="Y336" s="105"/>
      <c r="Z336" s="438"/>
      <c r="AA336" s="438"/>
      <c r="AB336" s="105"/>
      <c r="AC336" s="105"/>
      <c r="AD336" s="105"/>
      <c r="AE336" s="277" t="s">
        <v>91</v>
      </c>
      <c r="AF336" s="282">
        <v>45512</v>
      </c>
      <c r="AG336" s="282">
        <v>45512</v>
      </c>
      <c r="AH336" s="282">
        <v>45512</v>
      </c>
      <c r="AI336" s="952">
        <v>45378</v>
      </c>
      <c r="AJ336" s="282">
        <v>45666</v>
      </c>
      <c r="AK336" s="282">
        <v>45666</v>
      </c>
      <c r="AL336" s="282">
        <v>45666</v>
      </c>
      <c r="AM336" s="282">
        <v>45603</v>
      </c>
    </row>
    <row r="337" spans="1:39" x14ac:dyDescent="0.25">
      <c r="A337" s="28">
        <v>337</v>
      </c>
      <c r="B337" s="906">
        <v>39308</v>
      </c>
      <c r="C337" s="227" t="s">
        <v>54</v>
      </c>
      <c r="D337" s="103"/>
      <c r="E337" s="229" t="s">
        <v>2250</v>
      </c>
      <c r="F337" s="103" t="s">
        <v>2241</v>
      </c>
      <c r="G337" s="300" t="s">
        <v>15</v>
      </c>
      <c r="H337" s="230"/>
      <c r="I337" s="103"/>
      <c r="J337" s="103" t="s">
        <v>58</v>
      </c>
      <c r="K337" s="105"/>
      <c r="L337" s="106"/>
      <c r="M337" s="105"/>
      <c r="N337" s="106" t="s">
        <v>63</v>
      </c>
      <c r="O337" s="106"/>
      <c r="P337" s="106"/>
      <c r="Q337" s="105" t="s">
        <v>75</v>
      </c>
      <c r="R337" s="105" t="s">
        <v>75</v>
      </c>
      <c r="S337" s="105"/>
      <c r="T337" s="105"/>
      <c r="U337" s="105"/>
      <c r="V337" s="105"/>
      <c r="W337" s="105"/>
      <c r="X337" s="105"/>
      <c r="Y337" s="105"/>
      <c r="Z337" s="438"/>
      <c r="AA337" s="438"/>
      <c r="AB337" s="105"/>
      <c r="AC337" s="105"/>
      <c r="AD337" s="105"/>
      <c r="AE337" s="277" t="s">
        <v>91</v>
      </c>
      <c r="AF337" s="282">
        <v>45512</v>
      </c>
      <c r="AG337" s="282">
        <v>45512</v>
      </c>
      <c r="AH337" s="282">
        <v>45512</v>
      </c>
      <c r="AI337" s="952">
        <v>45378</v>
      </c>
      <c r="AJ337" s="282">
        <v>45666</v>
      </c>
      <c r="AK337" s="282">
        <v>45666</v>
      </c>
      <c r="AL337" s="282">
        <v>45666</v>
      </c>
      <c r="AM337" s="282">
        <v>45603</v>
      </c>
    </row>
    <row r="338" spans="1:39" x14ac:dyDescent="0.25">
      <c r="A338" s="28">
        <v>338</v>
      </c>
      <c r="B338" s="906">
        <v>39311</v>
      </c>
      <c r="C338" s="227" t="s">
        <v>64</v>
      </c>
      <c r="D338" s="103"/>
      <c r="E338" s="229" t="s">
        <v>2250</v>
      </c>
      <c r="F338" s="103" t="s">
        <v>2241</v>
      </c>
      <c r="G338" s="300" t="s">
        <v>15</v>
      </c>
      <c r="H338" s="230"/>
      <c r="I338" s="103"/>
      <c r="J338" s="103" t="s">
        <v>58</v>
      </c>
      <c r="K338" s="105"/>
      <c r="L338" s="106"/>
      <c r="M338" s="105"/>
      <c r="N338" s="106" t="s">
        <v>63</v>
      </c>
      <c r="O338" s="106"/>
      <c r="P338" s="106"/>
      <c r="Q338" s="105" t="s">
        <v>75</v>
      </c>
      <c r="R338" s="105" t="s">
        <v>75</v>
      </c>
      <c r="S338" s="105"/>
      <c r="T338" s="105"/>
      <c r="U338" s="105"/>
      <c r="V338" s="105"/>
      <c r="W338" s="105"/>
      <c r="X338" s="105"/>
      <c r="Y338" s="105"/>
      <c r="Z338" s="438"/>
      <c r="AA338" s="438"/>
      <c r="AB338" s="105"/>
      <c r="AC338" s="105"/>
      <c r="AD338" s="105"/>
      <c r="AE338" s="277" t="s">
        <v>91</v>
      </c>
      <c r="AF338" s="282">
        <v>45409</v>
      </c>
      <c r="AG338" s="282">
        <v>45538</v>
      </c>
      <c r="AH338" s="282">
        <v>45642</v>
      </c>
      <c r="AI338" s="952">
        <v>45409</v>
      </c>
      <c r="AJ338" s="282">
        <v>45642</v>
      </c>
      <c r="AL338" s="126"/>
      <c r="AM338" s="282">
        <v>45538</v>
      </c>
    </row>
    <row r="339" spans="1:39" x14ac:dyDescent="0.25">
      <c r="A339" s="28">
        <v>339</v>
      </c>
      <c r="B339" s="906">
        <v>39311</v>
      </c>
      <c r="C339" s="227" t="s">
        <v>54</v>
      </c>
      <c r="D339" s="103"/>
      <c r="E339" s="229" t="s">
        <v>2250</v>
      </c>
      <c r="F339" s="103" t="s">
        <v>2241</v>
      </c>
      <c r="G339" s="300" t="s">
        <v>15</v>
      </c>
      <c r="H339" s="230"/>
      <c r="I339" s="103"/>
      <c r="J339" s="103" t="s">
        <v>58</v>
      </c>
      <c r="K339" s="105"/>
      <c r="L339" s="106"/>
      <c r="M339" s="105"/>
      <c r="N339" s="106" t="s">
        <v>63</v>
      </c>
      <c r="O339" s="106"/>
      <c r="P339" s="106"/>
      <c r="Q339" s="105" t="s">
        <v>75</v>
      </c>
      <c r="R339" s="105" t="s">
        <v>75</v>
      </c>
      <c r="S339" s="105"/>
      <c r="T339" s="105"/>
      <c r="U339" s="105"/>
      <c r="V339" s="105"/>
      <c r="W339" s="105"/>
      <c r="X339" s="105"/>
      <c r="Y339" s="105"/>
      <c r="Z339" s="438"/>
      <c r="AA339" s="438"/>
      <c r="AB339" s="105"/>
      <c r="AC339" s="105"/>
      <c r="AD339" s="105"/>
      <c r="AE339" s="277" t="s">
        <v>91</v>
      </c>
      <c r="AF339" s="282">
        <v>45409</v>
      </c>
      <c r="AG339" s="282">
        <v>45538</v>
      </c>
      <c r="AH339" s="282">
        <v>45642</v>
      </c>
      <c r="AI339" s="952">
        <v>45409</v>
      </c>
      <c r="AJ339" s="282">
        <v>45642</v>
      </c>
      <c r="AL339" s="126"/>
      <c r="AM339" s="282">
        <v>45538</v>
      </c>
    </row>
    <row r="340" spans="1:39" x14ac:dyDescent="0.25">
      <c r="A340" s="28">
        <v>340</v>
      </c>
      <c r="B340" s="906">
        <v>39314</v>
      </c>
      <c r="C340" s="227" t="s">
        <v>64</v>
      </c>
      <c r="D340" s="103"/>
      <c r="E340" s="229" t="s">
        <v>2250</v>
      </c>
      <c r="F340" s="103" t="s">
        <v>2241</v>
      </c>
      <c r="G340" s="300" t="s">
        <v>15</v>
      </c>
      <c r="H340" s="230"/>
      <c r="I340" s="103"/>
      <c r="J340" s="103" t="s">
        <v>58</v>
      </c>
      <c r="K340" s="105"/>
      <c r="L340" s="106"/>
      <c r="M340" s="105"/>
      <c r="N340" s="106" t="s">
        <v>63</v>
      </c>
      <c r="O340" s="106"/>
      <c r="P340" s="106"/>
      <c r="Q340" s="105" t="s">
        <v>75</v>
      </c>
      <c r="R340" s="105" t="s">
        <v>75</v>
      </c>
      <c r="S340" s="105"/>
      <c r="T340" s="105"/>
      <c r="U340" s="105"/>
      <c r="V340" s="105"/>
      <c r="W340" s="105"/>
      <c r="X340" s="105"/>
      <c r="Y340" s="105"/>
      <c r="Z340" s="438"/>
      <c r="AA340" s="438"/>
      <c r="AB340" s="105"/>
      <c r="AC340" s="105"/>
      <c r="AD340" s="105"/>
      <c r="AE340" s="277" t="s">
        <v>91</v>
      </c>
      <c r="AF340" s="282">
        <v>45477</v>
      </c>
      <c r="AG340" s="282">
        <v>45477</v>
      </c>
      <c r="AH340" s="282">
        <v>45477</v>
      </c>
      <c r="AI340" s="952">
        <v>45493</v>
      </c>
      <c r="AL340" s="126"/>
      <c r="AM340" s="282">
        <v>45561</v>
      </c>
    </row>
    <row r="341" spans="1:39" x14ac:dyDescent="0.25">
      <c r="A341" s="28">
        <v>341</v>
      </c>
      <c r="B341" s="906">
        <v>39314</v>
      </c>
      <c r="C341" s="227" t="s">
        <v>54</v>
      </c>
      <c r="D341" s="103"/>
      <c r="E341" s="229" t="s">
        <v>2250</v>
      </c>
      <c r="F341" s="103" t="s">
        <v>2241</v>
      </c>
      <c r="G341" s="300" t="s">
        <v>15</v>
      </c>
      <c r="H341" s="230"/>
      <c r="I341" s="103"/>
      <c r="J341" s="103" t="s">
        <v>58</v>
      </c>
      <c r="K341" s="105"/>
      <c r="L341" s="106"/>
      <c r="M341" s="105"/>
      <c r="N341" s="106" t="s">
        <v>63</v>
      </c>
      <c r="O341" s="106"/>
      <c r="P341" s="106"/>
      <c r="Q341" s="105" t="s">
        <v>75</v>
      </c>
      <c r="R341" s="105" t="s">
        <v>75</v>
      </c>
      <c r="S341" s="105"/>
      <c r="T341" s="105"/>
      <c r="U341" s="105"/>
      <c r="V341" s="105"/>
      <c r="W341" s="105"/>
      <c r="X341" s="105"/>
      <c r="Y341" s="105"/>
      <c r="Z341" s="438"/>
      <c r="AA341" s="438"/>
      <c r="AB341" s="105"/>
      <c r="AC341" s="105"/>
      <c r="AD341" s="105"/>
      <c r="AE341" s="277" t="s">
        <v>91</v>
      </c>
      <c r="AF341" s="282">
        <v>45477</v>
      </c>
      <c r="AG341" s="282">
        <v>45477</v>
      </c>
      <c r="AH341" s="282">
        <v>45477</v>
      </c>
      <c r="AI341" s="952">
        <v>45493</v>
      </c>
      <c r="AL341" s="126"/>
      <c r="AM341" s="282">
        <v>45561</v>
      </c>
    </row>
    <row r="342" spans="1:39" x14ac:dyDescent="0.25">
      <c r="A342" s="28">
        <v>342</v>
      </c>
      <c r="B342" s="906">
        <v>39328</v>
      </c>
      <c r="C342" s="227" t="s">
        <v>64</v>
      </c>
      <c r="D342" s="103"/>
      <c r="E342" s="229" t="s">
        <v>2250</v>
      </c>
      <c r="F342" s="103" t="s">
        <v>2241</v>
      </c>
      <c r="G342" s="300" t="s">
        <v>15</v>
      </c>
      <c r="H342" s="230"/>
      <c r="I342" s="103"/>
      <c r="J342" s="103" t="s">
        <v>58</v>
      </c>
      <c r="K342" s="105"/>
      <c r="L342" s="106"/>
      <c r="M342" s="105"/>
      <c r="N342" s="106" t="s">
        <v>63</v>
      </c>
      <c r="O342" s="106"/>
      <c r="P342" s="106"/>
      <c r="Q342" s="105" t="s">
        <v>75</v>
      </c>
      <c r="R342" s="105" t="s">
        <v>75</v>
      </c>
      <c r="S342" s="105"/>
      <c r="T342" s="105"/>
      <c r="U342" s="105"/>
      <c r="V342" s="105"/>
      <c r="W342" s="105"/>
      <c r="X342" s="105"/>
      <c r="Y342" s="105"/>
      <c r="Z342" s="438"/>
      <c r="AA342" s="438"/>
      <c r="AB342" s="105"/>
      <c r="AC342" s="105"/>
      <c r="AD342" s="105"/>
      <c r="AE342" s="277" t="s">
        <v>91</v>
      </c>
      <c r="AF342" s="282">
        <v>45364</v>
      </c>
      <c r="AG342" s="282">
        <v>45465</v>
      </c>
      <c r="AH342" s="282">
        <v>45465</v>
      </c>
      <c r="AI342" s="952">
        <v>45362</v>
      </c>
      <c r="AJ342" s="282">
        <v>45658</v>
      </c>
      <c r="AK342" s="282">
        <v>45658</v>
      </c>
      <c r="AL342" s="282">
        <v>45658</v>
      </c>
      <c r="AM342" s="282">
        <v>45560</v>
      </c>
    </row>
    <row r="343" spans="1:39" x14ac:dyDescent="0.25">
      <c r="A343" s="28">
        <v>343</v>
      </c>
      <c r="B343" s="906">
        <v>39328</v>
      </c>
      <c r="C343" s="227" t="s">
        <v>54</v>
      </c>
      <c r="D343" s="103"/>
      <c r="E343" s="229" t="s">
        <v>2250</v>
      </c>
      <c r="F343" s="103" t="s">
        <v>2241</v>
      </c>
      <c r="G343" s="300" t="s">
        <v>15</v>
      </c>
      <c r="H343" s="230"/>
      <c r="I343" s="103"/>
      <c r="J343" s="103" t="s">
        <v>58</v>
      </c>
      <c r="K343" s="105"/>
      <c r="L343" s="106"/>
      <c r="M343" s="105"/>
      <c r="N343" s="106" t="s">
        <v>63</v>
      </c>
      <c r="O343" s="106"/>
      <c r="P343" s="106"/>
      <c r="Q343" s="105" t="s">
        <v>75</v>
      </c>
      <c r="R343" s="105" t="s">
        <v>75</v>
      </c>
      <c r="S343" s="105"/>
      <c r="T343" s="105"/>
      <c r="U343" s="105"/>
      <c r="V343" s="105"/>
      <c r="W343" s="105"/>
      <c r="X343" s="105"/>
      <c r="Y343" s="105"/>
      <c r="Z343" s="438"/>
      <c r="AA343" s="438"/>
      <c r="AB343" s="105"/>
      <c r="AC343" s="105"/>
      <c r="AD343" s="105"/>
      <c r="AE343" s="277" t="s">
        <v>91</v>
      </c>
      <c r="AF343" s="282">
        <v>45364</v>
      </c>
      <c r="AG343" s="282">
        <v>45465</v>
      </c>
      <c r="AH343" s="282">
        <v>45465</v>
      </c>
      <c r="AI343" s="952">
        <v>45362</v>
      </c>
      <c r="AJ343" s="282">
        <v>45658</v>
      </c>
      <c r="AK343" s="282">
        <v>45658</v>
      </c>
      <c r="AL343" s="282">
        <v>45658</v>
      </c>
      <c r="AM343" s="282">
        <v>45560</v>
      </c>
    </row>
    <row r="344" spans="1:39" x14ac:dyDescent="0.25">
      <c r="A344" s="28">
        <v>344</v>
      </c>
      <c r="B344" s="906">
        <v>39331</v>
      </c>
      <c r="C344" s="227" t="s">
        <v>64</v>
      </c>
      <c r="D344" s="103"/>
      <c r="E344" s="229" t="s">
        <v>2250</v>
      </c>
      <c r="F344" s="103" t="s">
        <v>2241</v>
      </c>
      <c r="G344" s="300" t="s">
        <v>15</v>
      </c>
      <c r="H344" s="230"/>
      <c r="I344" s="103"/>
      <c r="J344" s="103" t="s">
        <v>58</v>
      </c>
      <c r="K344" s="105"/>
      <c r="L344" s="106"/>
      <c r="M344" s="105"/>
      <c r="N344" s="106" t="s">
        <v>63</v>
      </c>
      <c r="O344" s="106"/>
      <c r="P344" s="106"/>
      <c r="Q344" s="105" t="s">
        <v>75</v>
      </c>
      <c r="R344" s="105" t="s">
        <v>75</v>
      </c>
      <c r="S344" s="105"/>
      <c r="T344" s="105"/>
      <c r="U344" s="105"/>
      <c r="V344" s="105"/>
      <c r="W344" s="105"/>
      <c r="X344" s="105"/>
      <c r="Y344" s="105"/>
      <c r="Z344" s="438"/>
      <c r="AA344" s="438"/>
      <c r="AB344" s="105"/>
      <c r="AC344" s="105"/>
      <c r="AD344" s="105"/>
      <c r="AE344" s="277" t="s">
        <v>91</v>
      </c>
      <c r="AF344" s="282">
        <v>45359</v>
      </c>
      <c r="AG344" s="282">
        <v>45474</v>
      </c>
      <c r="AH344" s="282">
        <v>45474</v>
      </c>
      <c r="AI344" s="952">
        <v>45359</v>
      </c>
      <c r="AJ344" s="282">
        <v>45586</v>
      </c>
      <c r="AK344" s="282">
        <v>45801</v>
      </c>
      <c r="AL344" s="282">
        <v>45801</v>
      </c>
      <c r="AM344" s="282">
        <v>45586</v>
      </c>
    </row>
    <row r="345" spans="1:39" x14ac:dyDescent="0.25">
      <c r="A345" s="28">
        <v>345</v>
      </c>
      <c r="B345" s="906">
        <v>39331</v>
      </c>
      <c r="C345" s="227" t="s">
        <v>54</v>
      </c>
      <c r="D345" s="103"/>
      <c r="E345" s="229" t="s">
        <v>2250</v>
      </c>
      <c r="F345" s="103" t="s">
        <v>2241</v>
      </c>
      <c r="G345" s="300" t="s">
        <v>15</v>
      </c>
      <c r="H345" s="230"/>
      <c r="I345" s="103"/>
      <c r="J345" s="103" t="s">
        <v>58</v>
      </c>
      <c r="K345" s="105"/>
      <c r="L345" s="106"/>
      <c r="M345" s="105"/>
      <c r="N345" s="106" t="s">
        <v>63</v>
      </c>
      <c r="O345" s="106"/>
      <c r="P345" s="106"/>
      <c r="Q345" s="105" t="s">
        <v>75</v>
      </c>
      <c r="R345" s="105" t="s">
        <v>75</v>
      </c>
      <c r="S345" s="105"/>
      <c r="T345" s="105"/>
      <c r="U345" s="105"/>
      <c r="V345" s="105"/>
      <c r="W345" s="105"/>
      <c r="X345" s="105"/>
      <c r="Y345" s="105"/>
      <c r="Z345" s="438"/>
      <c r="AA345" s="438"/>
      <c r="AB345" s="105" t="s">
        <v>2562</v>
      </c>
      <c r="AC345" s="105"/>
      <c r="AD345" s="105"/>
      <c r="AE345" s="277" t="s">
        <v>91</v>
      </c>
      <c r="AF345" s="282">
        <v>45359</v>
      </c>
      <c r="AG345" s="282">
        <v>45474</v>
      </c>
      <c r="AH345" s="282">
        <v>45474</v>
      </c>
      <c r="AI345" s="952">
        <v>45359</v>
      </c>
      <c r="AJ345" s="282">
        <v>45586</v>
      </c>
      <c r="AK345" s="282">
        <v>45801</v>
      </c>
      <c r="AL345" s="282">
        <v>45801</v>
      </c>
      <c r="AM345" s="282">
        <v>45586</v>
      </c>
    </row>
    <row r="346" spans="1:39" x14ac:dyDescent="0.25">
      <c r="A346" s="28">
        <v>346</v>
      </c>
      <c r="B346" s="906">
        <v>39334</v>
      </c>
      <c r="C346" s="227" t="s">
        <v>64</v>
      </c>
      <c r="D346" s="103"/>
      <c r="E346" s="229" t="s">
        <v>2250</v>
      </c>
      <c r="F346" s="103" t="s">
        <v>2241</v>
      </c>
      <c r="G346" s="300" t="s">
        <v>15</v>
      </c>
      <c r="H346" s="230"/>
      <c r="I346" s="103"/>
      <c r="J346" s="103" t="s">
        <v>58</v>
      </c>
      <c r="K346" s="105"/>
      <c r="L346" s="106"/>
      <c r="M346" s="105"/>
      <c r="N346" s="106" t="s">
        <v>63</v>
      </c>
      <c r="O346" s="106"/>
      <c r="P346" s="106"/>
      <c r="Q346" s="105" t="s">
        <v>75</v>
      </c>
      <c r="R346" s="105" t="s">
        <v>75</v>
      </c>
      <c r="S346" s="105"/>
      <c r="T346" s="282">
        <v>45582</v>
      </c>
      <c r="U346" s="105"/>
      <c r="V346" s="105"/>
      <c r="W346" s="105"/>
      <c r="X346" s="105"/>
      <c r="Y346" s="105"/>
      <c r="Z346" s="438"/>
      <c r="AA346" s="438"/>
      <c r="AB346" s="105" t="s">
        <v>2563</v>
      </c>
      <c r="AC346" s="105"/>
      <c r="AD346" s="105"/>
      <c r="AE346" s="277" t="s">
        <v>91</v>
      </c>
      <c r="AF346" s="282">
        <v>45378</v>
      </c>
      <c r="AG346" s="282">
        <v>45489</v>
      </c>
      <c r="AH346" s="282">
        <v>45489</v>
      </c>
      <c r="AI346" s="952">
        <v>45378</v>
      </c>
      <c r="AJ346" s="282">
        <v>45582</v>
      </c>
      <c r="AK346" s="282">
        <v>45777</v>
      </c>
      <c r="AL346" s="126"/>
      <c r="AM346" s="282">
        <v>45582</v>
      </c>
    </row>
    <row r="347" spans="1:39" x14ac:dyDescent="0.25">
      <c r="A347" s="28">
        <v>347</v>
      </c>
      <c r="B347" s="906">
        <v>39334</v>
      </c>
      <c r="C347" s="227" t="s">
        <v>54</v>
      </c>
      <c r="D347" s="103"/>
      <c r="E347" s="229" t="s">
        <v>2250</v>
      </c>
      <c r="F347" s="103" t="s">
        <v>2241</v>
      </c>
      <c r="G347" s="300" t="s">
        <v>15</v>
      </c>
      <c r="H347" s="230"/>
      <c r="I347" s="103"/>
      <c r="J347" s="103" t="s">
        <v>58</v>
      </c>
      <c r="K347" s="105"/>
      <c r="L347" s="106"/>
      <c r="M347" s="105"/>
      <c r="N347" s="106" t="s">
        <v>63</v>
      </c>
      <c r="O347" s="106"/>
      <c r="P347" s="106"/>
      <c r="Q347" s="105" t="s">
        <v>75</v>
      </c>
      <c r="R347" s="105" t="s">
        <v>75</v>
      </c>
      <c r="S347" s="105"/>
      <c r="T347" s="282">
        <v>45582</v>
      </c>
      <c r="U347" s="105"/>
      <c r="V347" s="105"/>
      <c r="W347" s="105"/>
      <c r="X347" s="105"/>
      <c r="Y347" s="105"/>
      <c r="Z347" s="438"/>
      <c r="AA347" s="438"/>
      <c r="AB347" s="105"/>
      <c r="AC347" s="105"/>
      <c r="AD347" s="105"/>
      <c r="AE347" s="277" t="s">
        <v>91</v>
      </c>
      <c r="AF347" s="282">
        <v>45378</v>
      </c>
      <c r="AG347" s="282">
        <v>45489</v>
      </c>
      <c r="AH347" s="282">
        <v>45489</v>
      </c>
      <c r="AI347" s="952">
        <v>45378</v>
      </c>
      <c r="AJ347" s="282">
        <v>45582</v>
      </c>
      <c r="AK347" s="282">
        <v>45777</v>
      </c>
      <c r="AL347" s="126"/>
      <c r="AM347" s="282">
        <v>45582</v>
      </c>
    </row>
    <row r="348" spans="1:39" x14ac:dyDescent="0.25">
      <c r="A348" s="28">
        <v>348</v>
      </c>
      <c r="B348" s="906">
        <v>39336</v>
      </c>
      <c r="C348" s="227" t="s">
        <v>64</v>
      </c>
      <c r="D348" s="103"/>
      <c r="E348" s="229" t="s">
        <v>2250</v>
      </c>
      <c r="F348" s="103" t="s">
        <v>2241</v>
      </c>
      <c r="G348" s="300" t="s">
        <v>15</v>
      </c>
      <c r="H348" s="230"/>
      <c r="I348" s="103"/>
      <c r="J348" s="103" t="s">
        <v>58</v>
      </c>
      <c r="K348" s="105"/>
      <c r="L348" s="106"/>
      <c r="M348" s="105"/>
      <c r="N348" s="106" t="s">
        <v>63</v>
      </c>
      <c r="O348" s="106"/>
      <c r="P348" s="106"/>
      <c r="Q348" s="105" t="s">
        <v>75</v>
      </c>
      <c r="R348" s="105" t="s">
        <v>75</v>
      </c>
      <c r="S348" s="105"/>
      <c r="T348" s="282">
        <v>45674</v>
      </c>
      <c r="U348" s="105"/>
      <c r="V348" s="105"/>
      <c r="W348" s="105"/>
      <c r="X348" s="105"/>
      <c r="Y348" s="105"/>
      <c r="Z348" s="438"/>
      <c r="AA348" s="438"/>
      <c r="AB348" s="105"/>
      <c r="AC348" s="105"/>
      <c r="AD348" s="105"/>
      <c r="AE348" s="277" t="s">
        <v>91</v>
      </c>
      <c r="AF348" s="282">
        <v>45378</v>
      </c>
      <c r="AG348" s="282">
        <v>45475</v>
      </c>
      <c r="AH348" s="282">
        <v>45475</v>
      </c>
      <c r="AI348" s="952">
        <v>45471</v>
      </c>
      <c r="AJ348" s="282">
        <v>45674</v>
      </c>
      <c r="AK348" s="282">
        <v>45835</v>
      </c>
      <c r="AL348" s="126"/>
      <c r="AM348" s="282">
        <v>45569</v>
      </c>
    </row>
    <row r="349" spans="1:39" x14ac:dyDescent="0.25">
      <c r="A349" s="28">
        <v>349</v>
      </c>
      <c r="B349" s="906">
        <v>39336</v>
      </c>
      <c r="C349" s="227" t="s">
        <v>54</v>
      </c>
      <c r="D349" s="103"/>
      <c r="E349" s="229" t="s">
        <v>2250</v>
      </c>
      <c r="F349" s="103" t="s">
        <v>2241</v>
      </c>
      <c r="G349" s="300" t="s">
        <v>15</v>
      </c>
      <c r="H349" s="230"/>
      <c r="I349" s="103"/>
      <c r="J349" s="103" t="s">
        <v>58</v>
      </c>
      <c r="K349" s="105"/>
      <c r="L349" s="106"/>
      <c r="M349" s="105"/>
      <c r="N349" s="106" t="s">
        <v>63</v>
      </c>
      <c r="O349" s="106"/>
      <c r="P349" s="106"/>
      <c r="Q349" s="105" t="s">
        <v>75</v>
      </c>
      <c r="R349" s="105" t="s">
        <v>75</v>
      </c>
      <c r="S349" s="105"/>
      <c r="T349" s="282">
        <v>45674</v>
      </c>
      <c r="U349" s="105"/>
      <c r="V349" s="105"/>
      <c r="W349" s="105"/>
      <c r="X349" s="105"/>
      <c r="Y349" s="105"/>
      <c r="Z349" s="438"/>
      <c r="AA349" s="438"/>
      <c r="AB349" s="105"/>
      <c r="AC349" s="105"/>
      <c r="AD349" s="105"/>
      <c r="AE349" s="277" t="s">
        <v>91</v>
      </c>
      <c r="AF349" s="282">
        <v>45378</v>
      </c>
      <c r="AG349" s="282">
        <v>45475</v>
      </c>
      <c r="AH349" s="282">
        <v>45475</v>
      </c>
      <c r="AI349" s="952">
        <v>45471</v>
      </c>
      <c r="AJ349" s="282">
        <v>45674</v>
      </c>
      <c r="AK349" s="282">
        <v>45835</v>
      </c>
      <c r="AL349" s="126"/>
      <c r="AM349" s="282">
        <v>45569</v>
      </c>
    </row>
    <row r="350" spans="1:39" x14ac:dyDescent="0.25">
      <c r="A350" s="28">
        <v>350</v>
      </c>
      <c r="B350" s="72">
        <v>37684</v>
      </c>
      <c r="C350" s="227" t="s">
        <v>64</v>
      </c>
      <c r="D350" s="103"/>
      <c r="E350" s="229" t="s">
        <v>2498</v>
      </c>
      <c r="F350" s="103" t="s">
        <v>2241</v>
      </c>
      <c r="G350" s="300" t="s">
        <v>15</v>
      </c>
      <c r="H350" s="230"/>
      <c r="I350" s="103"/>
      <c r="J350" s="103" t="s">
        <v>58</v>
      </c>
      <c r="K350" s="105"/>
      <c r="L350" s="106"/>
      <c r="M350" s="105"/>
      <c r="N350" s="106" t="s">
        <v>63</v>
      </c>
      <c r="O350" s="106"/>
      <c r="P350" s="106"/>
      <c r="Q350" s="105" t="s">
        <v>75</v>
      </c>
      <c r="R350" s="105" t="s">
        <v>75</v>
      </c>
      <c r="S350" s="105"/>
      <c r="T350" s="105"/>
      <c r="U350" s="105"/>
      <c r="V350" s="105"/>
      <c r="W350" s="105"/>
      <c r="X350" s="105"/>
      <c r="Y350" s="105"/>
      <c r="Z350" s="438"/>
      <c r="AA350" s="438"/>
      <c r="AB350" s="105"/>
      <c r="AC350" s="105"/>
      <c r="AD350" s="105" t="s">
        <v>63</v>
      </c>
      <c r="AE350" s="277"/>
      <c r="AF350" s="282">
        <v>45399</v>
      </c>
      <c r="AG350" s="282">
        <v>45518</v>
      </c>
      <c r="AH350" s="282">
        <v>45690</v>
      </c>
      <c r="AI350" s="282">
        <v>45436</v>
      </c>
      <c r="AJ350" s="58" t="s">
        <v>63</v>
      </c>
      <c r="AL350" s="126"/>
      <c r="AM350" s="282">
        <v>45681</v>
      </c>
    </row>
    <row r="351" spans="1:39" x14ac:dyDescent="0.25">
      <c r="A351" s="28">
        <v>351</v>
      </c>
      <c r="B351" s="72">
        <v>37684</v>
      </c>
      <c r="C351" s="973" t="s">
        <v>54</v>
      </c>
      <c r="D351" s="134"/>
      <c r="E351" s="974" t="s">
        <v>2498</v>
      </c>
      <c r="F351" s="134" t="s">
        <v>2241</v>
      </c>
      <c r="G351" s="975" t="s">
        <v>15</v>
      </c>
      <c r="H351" s="976"/>
      <c r="I351" s="134"/>
      <c r="J351" s="134" t="s">
        <v>58</v>
      </c>
      <c r="K351" s="137"/>
      <c r="L351" s="138"/>
      <c r="M351" s="137"/>
      <c r="N351" s="138" t="s">
        <v>63</v>
      </c>
      <c r="O351" s="138"/>
      <c r="P351" s="138"/>
      <c r="Q351" s="137" t="s">
        <v>75</v>
      </c>
      <c r="R351" s="137" t="s">
        <v>75</v>
      </c>
      <c r="S351" s="137"/>
      <c r="T351" s="137"/>
      <c r="U351" s="137"/>
      <c r="V351" s="137"/>
      <c r="W351" s="137"/>
      <c r="X351" s="137"/>
      <c r="Y351" s="137"/>
      <c r="Z351" s="439"/>
      <c r="AA351" s="439"/>
      <c r="AB351" s="137"/>
      <c r="AC351" s="137"/>
      <c r="AD351" s="137" t="s">
        <v>63</v>
      </c>
      <c r="AE351" s="763"/>
      <c r="AF351" s="282">
        <v>45399</v>
      </c>
      <c r="AG351" s="282">
        <v>45518</v>
      </c>
      <c r="AH351" s="282">
        <v>45690</v>
      </c>
      <c r="AI351" s="282">
        <v>45436</v>
      </c>
      <c r="AJ351" s="511" t="s">
        <v>63</v>
      </c>
      <c r="AK351" s="511"/>
      <c r="AL351" s="977"/>
      <c r="AM351" s="282">
        <v>45681</v>
      </c>
    </row>
    <row r="352" spans="1:39" ht="14.4" x14ac:dyDescent="0.25">
      <c r="A352" s="28">
        <v>352</v>
      </c>
      <c r="B352" s="55">
        <v>30224</v>
      </c>
      <c r="C352" s="973" t="s">
        <v>64</v>
      </c>
      <c r="D352" s="3" t="s">
        <v>2564</v>
      </c>
      <c r="E352" s="20" t="s">
        <v>2458</v>
      </c>
      <c r="F352" s="3" t="s">
        <v>2093</v>
      </c>
      <c r="G352" s="3" t="s">
        <v>15</v>
      </c>
      <c r="H352" s="19">
        <v>44929</v>
      </c>
      <c r="I352" s="3">
        <v>1143</v>
      </c>
      <c r="J352" s="3"/>
      <c r="K352" s="16"/>
      <c r="L352" s="33"/>
      <c r="M352" s="16"/>
      <c r="N352" s="16"/>
      <c r="O352" s="33"/>
      <c r="P352" s="33"/>
      <c r="Q352" s="16"/>
      <c r="R352" s="37" t="s">
        <v>68</v>
      </c>
      <c r="S352" s="16"/>
      <c r="T352" s="37" t="s">
        <v>68</v>
      </c>
      <c r="U352" s="16"/>
      <c r="V352" s="16" t="s">
        <v>68</v>
      </c>
      <c r="W352" s="16"/>
      <c r="X352" s="16"/>
      <c r="Y352" s="16"/>
      <c r="Z352" s="432"/>
      <c r="AA352" s="432"/>
      <c r="AB352" s="16"/>
      <c r="AC352" s="16"/>
      <c r="AD352" s="276" t="s">
        <v>68</v>
      </c>
      <c r="AF352" s="16" t="s">
        <v>63</v>
      </c>
      <c r="AG352" s="343">
        <v>45562</v>
      </c>
      <c r="AH352" s="343">
        <v>45562</v>
      </c>
      <c r="AI352" s="386">
        <v>45498</v>
      </c>
      <c r="AJ352" s="3" t="s">
        <v>1116</v>
      </c>
      <c r="AL352" s="126"/>
      <c r="AM352" s="126"/>
    </row>
    <row r="353" spans="1:39" ht="14.4" x14ac:dyDescent="0.25">
      <c r="A353" s="28">
        <v>353</v>
      </c>
      <c r="B353" s="55">
        <v>30224</v>
      </c>
      <c r="C353" s="27" t="s">
        <v>54</v>
      </c>
      <c r="D353" s="3" t="s">
        <v>2565</v>
      </c>
      <c r="E353" s="20" t="s">
        <v>2458</v>
      </c>
      <c r="F353" s="3" t="s">
        <v>2093</v>
      </c>
      <c r="G353" s="3" t="s">
        <v>15</v>
      </c>
      <c r="H353" s="19">
        <v>44929</v>
      </c>
      <c r="I353" s="3">
        <v>1142</v>
      </c>
      <c r="J353" s="3"/>
      <c r="K353" s="16"/>
      <c r="L353" s="33"/>
      <c r="M353" s="16"/>
      <c r="N353" s="16"/>
      <c r="O353" s="33"/>
      <c r="P353" s="33"/>
      <c r="Q353" s="16"/>
      <c r="R353" s="37" t="s">
        <v>62</v>
      </c>
      <c r="S353" s="16"/>
      <c r="T353" s="116" t="s">
        <v>62</v>
      </c>
      <c r="U353" s="16"/>
      <c r="V353" s="16" t="s">
        <v>62</v>
      </c>
      <c r="W353" s="16"/>
      <c r="X353" s="16"/>
      <c r="Y353" s="16"/>
      <c r="Z353" s="432"/>
      <c r="AA353" s="432"/>
      <c r="AB353" s="16"/>
      <c r="AC353" s="16"/>
      <c r="AD353" s="276" t="s">
        <v>62</v>
      </c>
      <c r="AF353" s="16" t="s">
        <v>63</v>
      </c>
      <c r="AG353" s="343">
        <v>45562</v>
      </c>
      <c r="AH353" s="343">
        <v>45562</v>
      </c>
      <c r="AI353" s="386">
        <v>45498</v>
      </c>
      <c r="AJ353" s="3" t="s">
        <v>1116</v>
      </c>
      <c r="AL353" s="126"/>
      <c r="AM353" s="126"/>
    </row>
    <row r="354" spans="1:39" ht="14.4" x14ac:dyDescent="0.25">
      <c r="A354" s="2">
        <v>354</v>
      </c>
      <c r="B354" s="72">
        <v>30729</v>
      </c>
      <c r="C354" s="973" t="s">
        <v>64</v>
      </c>
      <c r="D354" s="2" t="s">
        <v>2566</v>
      </c>
      <c r="E354" s="20" t="s">
        <v>2458</v>
      </c>
      <c r="F354" s="3" t="s">
        <v>2093</v>
      </c>
      <c r="G354" s="3" t="s">
        <v>15</v>
      </c>
      <c r="H354" s="19">
        <v>44933</v>
      </c>
      <c r="R354" s="37" t="s">
        <v>68</v>
      </c>
      <c r="T354" s="37" t="s">
        <v>68</v>
      </c>
      <c r="V354" s="16" t="s">
        <v>68</v>
      </c>
      <c r="AD354" s="276" t="s">
        <v>68</v>
      </c>
      <c r="AE354" s="241"/>
      <c r="AF354" s="922" t="s">
        <v>63</v>
      </c>
      <c r="AG354" s="343">
        <v>45565</v>
      </c>
      <c r="AH354" s="343">
        <v>45565</v>
      </c>
      <c r="AI354" s="386">
        <v>45624</v>
      </c>
      <c r="AJ354" s="649" t="s">
        <v>63</v>
      </c>
      <c r="AK354" s="649"/>
      <c r="AL354" s="282"/>
      <c r="AM354" s="386">
        <v>45520</v>
      </c>
    </row>
    <row r="355" spans="1:39" ht="14.4" x14ac:dyDescent="0.25">
      <c r="A355" s="2">
        <v>355</v>
      </c>
      <c r="B355" s="72">
        <v>30729</v>
      </c>
      <c r="C355" s="27" t="s">
        <v>54</v>
      </c>
      <c r="D355" s="2" t="s">
        <v>2567</v>
      </c>
      <c r="E355" s="20" t="s">
        <v>2458</v>
      </c>
      <c r="F355" s="3" t="s">
        <v>2093</v>
      </c>
      <c r="G355" s="3" t="s">
        <v>15</v>
      </c>
      <c r="H355" s="19">
        <v>44933</v>
      </c>
      <c r="R355" s="37" t="s">
        <v>62</v>
      </c>
      <c r="T355" s="116" t="s">
        <v>62</v>
      </c>
      <c r="V355" s="16" t="s">
        <v>62</v>
      </c>
      <c r="AD355" s="276" t="s">
        <v>62</v>
      </c>
      <c r="AF355" s="343" t="s">
        <v>63</v>
      </c>
      <c r="AG355" s="343">
        <v>45565</v>
      </c>
      <c r="AH355" s="343">
        <v>45565</v>
      </c>
      <c r="AI355" s="386">
        <v>45624</v>
      </c>
      <c r="AJ355" s="58" t="s">
        <v>63</v>
      </c>
      <c r="AL355" s="126"/>
      <c r="AM355" s="386">
        <v>45520</v>
      </c>
    </row>
    <row r="356" spans="1:39" ht="14.4" x14ac:dyDescent="0.25">
      <c r="A356" s="2">
        <v>356</v>
      </c>
      <c r="B356" s="72">
        <v>37708</v>
      </c>
      <c r="C356" s="973" t="s">
        <v>64</v>
      </c>
      <c r="D356" s="2" t="s">
        <v>2568</v>
      </c>
      <c r="E356" s="20" t="s">
        <v>2458</v>
      </c>
      <c r="F356" s="3" t="s">
        <v>2093</v>
      </c>
      <c r="G356" s="3" t="s">
        <v>15</v>
      </c>
      <c r="H356" s="19">
        <v>45407</v>
      </c>
      <c r="R356" s="37" t="s">
        <v>68</v>
      </c>
      <c r="T356" s="37" t="s">
        <v>68</v>
      </c>
      <c r="V356" s="16" t="s">
        <v>68</v>
      </c>
      <c r="AD356" s="276" t="s">
        <v>68</v>
      </c>
      <c r="AF356" s="276" t="s">
        <v>63</v>
      </c>
      <c r="AG356" s="343">
        <v>45566</v>
      </c>
      <c r="AH356" s="343">
        <v>45566</v>
      </c>
      <c r="AI356" s="386">
        <v>45594</v>
      </c>
      <c r="AJ356" s="58" t="s">
        <v>63</v>
      </c>
      <c r="AL356" s="126"/>
      <c r="AM356" s="126"/>
    </row>
    <row r="357" spans="1:39" ht="14.4" x14ac:dyDescent="0.25">
      <c r="A357" s="2">
        <v>357</v>
      </c>
      <c r="B357" s="72">
        <v>37708</v>
      </c>
      <c r="C357" s="112" t="s">
        <v>54</v>
      </c>
      <c r="D357" s="2" t="s">
        <v>2569</v>
      </c>
      <c r="E357" s="111" t="s">
        <v>2458</v>
      </c>
      <c r="F357" s="115" t="s">
        <v>2093</v>
      </c>
      <c r="G357" s="115" t="s">
        <v>15</v>
      </c>
      <c r="H357" s="114">
        <v>45407</v>
      </c>
      <c r="R357" s="37" t="s">
        <v>62</v>
      </c>
      <c r="T357" s="116" t="s">
        <v>62</v>
      </c>
      <c r="V357" s="16" t="s">
        <v>62</v>
      </c>
      <c r="AD357" s="276" t="s">
        <v>62</v>
      </c>
      <c r="AF357" s="276" t="s">
        <v>63</v>
      </c>
      <c r="AG357" s="343">
        <v>45566</v>
      </c>
      <c r="AH357" s="343">
        <v>45566</v>
      </c>
      <c r="AI357" s="386">
        <v>45594</v>
      </c>
      <c r="AJ357" s="58" t="s">
        <v>63</v>
      </c>
      <c r="AL357" s="126"/>
      <c r="AM357" s="126"/>
    </row>
    <row r="358" spans="1:39" ht="14.4" x14ac:dyDescent="0.25">
      <c r="A358" s="103">
        <v>358</v>
      </c>
      <c r="B358" s="104">
        <v>30296</v>
      </c>
      <c r="C358" s="227" t="s">
        <v>64</v>
      </c>
      <c r="D358" s="103" t="s">
        <v>2570</v>
      </c>
      <c r="E358" s="229" t="s">
        <v>2092</v>
      </c>
      <c r="F358" s="103" t="s">
        <v>2093</v>
      </c>
      <c r="G358" s="103" t="s">
        <v>15</v>
      </c>
      <c r="H358" s="230">
        <v>44930</v>
      </c>
      <c r="I358" s="103"/>
      <c r="J358" s="103"/>
      <c r="K358" s="105"/>
      <c r="L358" s="106"/>
      <c r="M358" s="105"/>
      <c r="N358" s="105"/>
      <c r="O358" s="106"/>
      <c r="P358" s="106"/>
      <c r="Q358" s="37" t="s">
        <v>68</v>
      </c>
      <c r="R358" s="37" t="s">
        <v>68</v>
      </c>
      <c r="S358" s="105"/>
      <c r="T358" s="16" t="s">
        <v>68</v>
      </c>
      <c r="U358" s="105"/>
      <c r="V358" s="105"/>
      <c r="W358" s="105"/>
      <c r="X358" s="105"/>
      <c r="Y358" s="105"/>
      <c r="Z358" s="438"/>
      <c r="AA358" s="438"/>
      <c r="AB358" s="105"/>
      <c r="AC358" s="105"/>
      <c r="AD358" s="276" t="s">
        <v>68</v>
      </c>
      <c r="AE358" s="277" t="s">
        <v>63</v>
      </c>
      <c r="AF358" s="276" t="s">
        <v>63</v>
      </c>
      <c r="AG358" s="143">
        <v>45532</v>
      </c>
      <c r="AH358" s="343">
        <v>45637</v>
      </c>
      <c r="AI358" s="343">
        <v>45637</v>
      </c>
      <c r="AJ358" s="58" t="s">
        <v>63</v>
      </c>
      <c r="AK358" s="386">
        <v>45531</v>
      </c>
      <c r="AL358" s="126"/>
      <c r="AM358" s="386">
        <v>45531</v>
      </c>
    </row>
    <row r="359" spans="1:39" ht="14.4" x14ac:dyDescent="0.25">
      <c r="A359" s="103">
        <v>359</v>
      </c>
      <c r="B359" s="104">
        <v>30296</v>
      </c>
      <c r="C359" s="227" t="s">
        <v>54</v>
      </c>
      <c r="D359" s="103" t="s">
        <v>2571</v>
      </c>
      <c r="E359" s="229" t="s">
        <v>2092</v>
      </c>
      <c r="F359" s="103" t="s">
        <v>2093</v>
      </c>
      <c r="G359" s="103" t="s">
        <v>15</v>
      </c>
      <c r="H359" s="230">
        <v>44930</v>
      </c>
      <c r="I359" s="103"/>
      <c r="J359" s="103"/>
      <c r="K359" s="105"/>
      <c r="L359" s="106"/>
      <c r="M359" s="105"/>
      <c r="N359" s="105"/>
      <c r="O359" s="106"/>
      <c r="P359" s="106"/>
      <c r="Q359" s="37" t="s">
        <v>62</v>
      </c>
      <c r="R359" s="37" t="s">
        <v>62</v>
      </c>
      <c r="S359" s="105"/>
      <c r="T359" s="16" t="s">
        <v>62</v>
      </c>
      <c r="U359" s="105"/>
      <c r="V359" s="105"/>
      <c r="W359" s="105"/>
      <c r="X359" s="105"/>
      <c r="Y359" s="105"/>
      <c r="Z359" s="438"/>
      <c r="AA359" s="438"/>
      <c r="AB359" s="105"/>
      <c r="AC359" s="105"/>
      <c r="AD359" s="276" t="s">
        <v>62</v>
      </c>
      <c r="AE359" s="277" t="s">
        <v>63</v>
      </c>
      <c r="AF359" s="276" t="s">
        <v>63</v>
      </c>
      <c r="AG359" s="143">
        <v>45532</v>
      </c>
      <c r="AH359" s="343">
        <v>45637</v>
      </c>
      <c r="AI359" s="343">
        <v>45637</v>
      </c>
      <c r="AJ359" s="58" t="s">
        <v>63</v>
      </c>
      <c r="AK359" s="386">
        <v>45531</v>
      </c>
      <c r="AL359" s="126"/>
      <c r="AM359" s="386">
        <v>45531</v>
      </c>
    </row>
    <row r="360" spans="1:39" ht="14.4" x14ac:dyDescent="0.25">
      <c r="A360" s="103">
        <v>360</v>
      </c>
      <c r="B360" s="104">
        <v>30310</v>
      </c>
      <c r="C360" s="227" t="s">
        <v>64</v>
      </c>
      <c r="D360" s="103" t="s">
        <v>2572</v>
      </c>
      <c r="E360" s="229" t="s">
        <v>2092</v>
      </c>
      <c r="F360" s="103" t="s">
        <v>2093</v>
      </c>
      <c r="G360" s="103" t="s">
        <v>15</v>
      </c>
      <c r="H360" s="230">
        <v>44774</v>
      </c>
      <c r="I360" s="103"/>
      <c r="J360" s="103"/>
      <c r="K360" s="105"/>
      <c r="L360" s="106"/>
      <c r="M360" s="105"/>
      <c r="N360" s="105"/>
      <c r="O360" s="106"/>
      <c r="P360" s="106"/>
      <c r="Q360" s="37" t="s">
        <v>68</v>
      </c>
      <c r="R360" s="37" t="s">
        <v>68</v>
      </c>
      <c r="S360" s="105"/>
      <c r="T360" s="16" t="s">
        <v>68</v>
      </c>
      <c r="U360" s="105"/>
      <c r="V360" s="105"/>
      <c r="W360" s="105"/>
      <c r="X360" s="105"/>
      <c r="Y360" s="105"/>
      <c r="Z360" s="438"/>
      <c r="AA360" s="438"/>
      <c r="AB360" s="105"/>
      <c r="AC360" s="105"/>
      <c r="AD360" s="276" t="s">
        <v>68</v>
      </c>
      <c r="AE360" s="277" t="s">
        <v>63</v>
      </c>
      <c r="AF360" s="276" t="s">
        <v>63</v>
      </c>
      <c r="AG360" s="143">
        <v>45467</v>
      </c>
      <c r="AH360" s="343">
        <v>45693</v>
      </c>
      <c r="AI360" s="143">
        <v>45594</v>
      </c>
      <c r="AJ360" s="58" t="s">
        <v>63</v>
      </c>
      <c r="AL360" s="126"/>
      <c r="AM360" s="386">
        <v>45467</v>
      </c>
    </row>
    <row r="361" spans="1:39" ht="14.4" x14ac:dyDescent="0.25">
      <c r="A361" s="103">
        <v>361</v>
      </c>
      <c r="B361" s="104">
        <v>30310</v>
      </c>
      <c r="C361" s="227" t="s">
        <v>54</v>
      </c>
      <c r="D361" s="103" t="s">
        <v>2573</v>
      </c>
      <c r="E361" s="229" t="s">
        <v>2092</v>
      </c>
      <c r="F361" s="103" t="s">
        <v>2093</v>
      </c>
      <c r="G361" s="103" t="s">
        <v>15</v>
      </c>
      <c r="H361" s="230">
        <v>44774</v>
      </c>
      <c r="I361" s="103"/>
      <c r="J361" s="103"/>
      <c r="K361" s="105"/>
      <c r="L361" s="106"/>
      <c r="M361" s="105"/>
      <c r="N361" s="105"/>
      <c r="O361" s="106"/>
      <c r="P361" s="106"/>
      <c r="Q361" s="37" t="s">
        <v>62</v>
      </c>
      <c r="R361" s="37" t="s">
        <v>62</v>
      </c>
      <c r="S361" s="105"/>
      <c r="T361" s="16" t="s">
        <v>62</v>
      </c>
      <c r="U361" s="105"/>
      <c r="V361" s="105"/>
      <c r="W361" s="105"/>
      <c r="X361" s="105"/>
      <c r="Y361" s="105"/>
      <c r="Z361" s="438"/>
      <c r="AA361" s="438"/>
      <c r="AB361" s="105"/>
      <c r="AC361" s="105"/>
      <c r="AD361" s="276" t="s">
        <v>62</v>
      </c>
      <c r="AE361" s="277" t="s">
        <v>63</v>
      </c>
      <c r="AF361" s="276" t="s">
        <v>63</v>
      </c>
      <c r="AG361" s="143">
        <v>45467</v>
      </c>
      <c r="AH361" s="343">
        <v>45693</v>
      </c>
      <c r="AI361" s="143">
        <v>45594</v>
      </c>
      <c r="AJ361" s="58" t="s">
        <v>63</v>
      </c>
      <c r="AL361" s="126"/>
      <c r="AM361" s="386">
        <v>45467</v>
      </c>
    </row>
    <row r="362" spans="1:39" ht="14.4" x14ac:dyDescent="0.25">
      <c r="A362" s="103">
        <v>362</v>
      </c>
      <c r="B362" s="104">
        <v>30467</v>
      </c>
      <c r="C362" s="227" t="s">
        <v>64</v>
      </c>
      <c r="D362" s="103" t="s">
        <v>2574</v>
      </c>
      <c r="E362" s="229" t="s">
        <v>2092</v>
      </c>
      <c r="F362" s="103" t="s">
        <v>2093</v>
      </c>
      <c r="G362" s="103" t="s">
        <v>15</v>
      </c>
      <c r="H362" s="230">
        <v>45399</v>
      </c>
      <c r="I362" s="103"/>
      <c r="J362" s="103"/>
      <c r="K362" s="105"/>
      <c r="L362" s="106"/>
      <c r="M362" s="105"/>
      <c r="N362" s="105"/>
      <c r="O362" s="106"/>
      <c r="P362" s="106"/>
      <c r="Q362" s="37" t="s">
        <v>68</v>
      </c>
      <c r="R362" s="37" t="s">
        <v>68</v>
      </c>
      <c r="S362" s="105"/>
      <c r="T362" s="16" t="s">
        <v>68</v>
      </c>
      <c r="U362" s="105"/>
      <c r="V362" s="105"/>
      <c r="W362" s="105"/>
      <c r="X362" s="105"/>
      <c r="Y362" s="105"/>
      <c r="Z362" s="438"/>
      <c r="AA362" s="438"/>
      <c r="AB362" s="105"/>
      <c r="AC362" s="105"/>
      <c r="AD362" s="276" t="s">
        <v>68</v>
      </c>
      <c r="AE362" s="277" t="s">
        <v>63</v>
      </c>
      <c r="AF362" s="386">
        <v>45399</v>
      </c>
      <c r="AG362" s="143">
        <v>45463</v>
      </c>
      <c r="AH362" s="343">
        <v>45754</v>
      </c>
      <c r="AI362" s="143">
        <v>45470</v>
      </c>
      <c r="AJ362" s="143" t="s">
        <v>63</v>
      </c>
      <c r="AL362" s="126"/>
      <c r="AM362" s="143">
        <v>45664</v>
      </c>
    </row>
    <row r="363" spans="1:39" ht="14.4" x14ac:dyDescent="0.25">
      <c r="A363" s="103">
        <v>363</v>
      </c>
      <c r="B363" s="104">
        <v>30467</v>
      </c>
      <c r="C363" s="227" t="s">
        <v>54</v>
      </c>
      <c r="D363" s="103" t="s">
        <v>2575</v>
      </c>
      <c r="E363" s="229" t="s">
        <v>2092</v>
      </c>
      <c r="F363" s="103" t="s">
        <v>2093</v>
      </c>
      <c r="G363" s="103" t="s">
        <v>15</v>
      </c>
      <c r="H363" s="230">
        <v>45399</v>
      </c>
      <c r="I363" s="103"/>
      <c r="J363" s="103"/>
      <c r="K363" s="105"/>
      <c r="L363" s="106"/>
      <c r="M363" s="105"/>
      <c r="N363" s="105"/>
      <c r="O363" s="106"/>
      <c r="P363" s="106"/>
      <c r="Q363" s="37" t="s">
        <v>62</v>
      </c>
      <c r="R363" s="37" t="s">
        <v>62</v>
      </c>
      <c r="S363" s="105"/>
      <c r="T363" s="16" t="s">
        <v>62</v>
      </c>
      <c r="U363" s="105"/>
      <c r="V363" s="105"/>
      <c r="W363" s="105"/>
      <c r="X363" s="105"/>
      <c r="Y363" s="105"/>
      <c r="Z363" s="438"/>
      <c r="AA363" s="438"/>
      <c r="AB363" s="105"/>
      <c r="AC363" s="105"/>
      <c r="AD363" s="276" t="s">
        <v>62</v>
      </c>
      <c r="AE363" s="277" t="s">
        <v>63</v>
      </c>
      <c r="AF363" s="386">
        <v>45399</v>
      </c>
      <c r="AG363" s="143">
        <v>45463</v>
      </c>
      <c r="AH363" s="343">
        <v>45698</v>
      </c>
      <c r="AI363" s="143">
        <v>45470</v>
      </c>
      <c r="AL363" s="126"/>
      <c r="AM363" s="143">
        <v>45664</v>
      </c>
    </row>
    <row r="364" spans="1:39" ht="14.4" x14ac:dyDescent="0.25">
      <c r="A364" s="103">
        <v>364</v>
      </c>
      <c r="B364" s="104">
        <v>30489</v>
      </c>
      <c r="C364" s="227" t="s">
        <v>64</v>
      </c>
      <c r="D364" s="103" t="s">
        <v>2576</v>
      </c>
      <c r="E364" s="229" t="s">
        <v>2092</v>
      </c>
      <c r="F364" s="103" t="s">
        <v>2093</v>
      </c>
      <c r="G364" s="103" t="s">
        <v>15</v>
      </c>
      <c r="H364" s="230">
        <v>44964</v>
      </c>
      <c r="I364" s="103"/>
      <c r="J364" s="103"/>
      <c r="K364" s="105"/>
      <c r="L364" s="106"/>
      <c r="M364" s="105"/>
      <c r="N364" s="105"/>
      <c r="O364" s="106"/>
      <c r="P364" s="106"/>
      <c r="Q364" s="37" t="s">
        <v>68</v>
      </c>
      <c r="R364" s="37" t="s">
        <v>68</v>
      </c>
      <c r="S364" s="105"/>
      <c r="T364" s="16" t="s">
        <v>68</v>
      </c>
      <c r="U364" s="105"/>
      <c r="V364" s="105"/>
      <c r="W364" s="105"/>
      <c r="X364" s="105"/>
      <c r="Y364" s="105"/>
      <c r="Z364" s="438"/>
      <c r="AA364" s="438"/>
      <c r="AB364" s="105"/>
      <c r="AC364" s="105"/>
      <c r="AD364" s="276" t="s">
        <v>68</v>
      </c>
      <c r="AE364" s="277" t="s">
        <v>63</v>
      </c>
      <c r="AF364" s="386">
        <v>45082</v>
      </c>
      <c r="AG364" s="143">
        <v>45492</v>
      </c>
      <c r="AH364" s="343">
        <v>45668</v>
      </c>
      <c r="AI364" s="143">
        <v>45180</v>
      </c>
      <c r="AJ364" s="58" t="s">
        <v>63</v>
      </c>
      <c r="AL364" s="386">
        <v>45348</v>
      </c>
      <c r="AM364" s="386">
        <v>45609</v>
      </c>
    </row>
    <row r="365" spans="1:39" ht="14.4" x14ac:dyDescent="0.25">
      <c r="A365" s="103">
        <v>365</v>
      </c>
      <c r="B365" s="104">
        <v>30489</v>
      </c>
      <c r="C365" s="227" t="s">
        <v>54</v>
      </c>
      <c r="D365" s="103" t="s">
        <v>2577</v>
      </c>
      <c r="E365" s="229" t="s">
        <v>2092</v>
      </c>
      <c r="F365" s="103" t="s">
        <v>2093</v>
      </c>
      <c r="G365" s="103" t="s">
        <v>15</v>
      </c>
      <c r="H365" s="230">
        <v>44964</v>
      </c>
      <c r="I365" s="103"/>
      <c r="J365" s="103"/>
      <c r="K365" s="105"/>
      <c r="L365" s="106"/>
      <c r="M365" s="105"/>
      <c r="N365" s="105"/>
      <c r="O365" s="106"/>
      <c r="P365" s="106"/>
      <c r="Q365" s="37" t="s">
        <v>62</v>
      </c>
      <c r="R365" s="37" t="s">
        <v>62</v>
      </c>
      <c r="S365" s="105"/>
      <c r="T365" s="16" t="s">
        <v>62</v>
      </c>
      <c r="U365" s="105"/>
      <c r="V365" s="105"/>
      <c r="W365" s="105"/>
      <c r="X365" s="105"/>
      <c r="Y365" s="105"/>
      <c r="Z365" s="438"/>
      <c r="AA365" s="438"/>
      <c r="AB365" s="105"/>
      <c r="AC365" s="105"/>
      <c r="AD365" s="276" t="s">
        <v>62</v>
      </c>
      <c r="AE365" s="277"/>
      <c r="AF365" s="386">
        <v>45082</v>
      </c>
      <c r="AG365" s="143">
        <v>45492</v>
      </c>
      <c r="AH365" s="343">
        <v>45668</v>
      </c>
      <c r="AI365" s="143">
        <v>45180</v>
      </c>
      <c r="AJ365" s="58" t="s">
        <v>63</v>
      </c>
      <c r="AL365" s="386">
        <v>45348</v>
      </c>
      <c r="AM365" s="386">
        <v>45609</v>
      </c>
    </row>
    <row r="366" spans="1:39" ht="14.4" x14ac:dyDescent="0.25">
      <c r="A366" s="103">
        <v>366</v>
      </c>
      <c r="B366" s="104">
        <v>30499</v>
      </c>
      <c r="C366" s="227" t="s">
        <v>64</v>
      </c>
      <c r="D366" s="103" t="s">
        <v>2578</v>
      </c>
      <c r="E366" s="229" t="s">
        <v>2092</v>
      </c>
      <c r="F366" s="103" t="s">
        <v>2093</v>
      </c>
      <c r="G366" s="103" t="s">
        <v>15</v>
      </c>
      <c r="H366" s="230">
        <v>44874</v>
      </c>
      <c r="I366" s="103"/>
      <c r="J366" s="103"/>
      <c r="K366" s="105"/>
      <c r="L366" s="106"/>
      <c r="M366" s="105"/>
      <c r="N366" s="105"/>
      <c r="O366" s="106"/>
      <c r="P366" s="106"/>
      <c r="Q366" s="37" t="s">
        <v>68</v>
      </c>
      <c r="R366" s="37" t="s">
        <v>68</v>
      </c>
      <c r="S366" s="105"/>
      <c r="T366" s="16" t="s">
        <v>68</v>
      </c>
      <c r="U366" s="105"/>
      <c r="V366" s="105"/>
      <c r="W366" s="105"/>
      <c r="X366" s="105"/>
      <c r="Y366" s="105"/>
      <c r="Z366" s="438"/>
      <c r="AA366" s="438"/>
      <c r="AB366" s="105"/>
      <c r="AC366" s="105"/>
      <c r="AD366" s="276" t="s">
        <v>68</v>
      </c>
      <c r="AE366" s="277"/>
      <c r="AF366" s="276" t="s">
        <v>63</v>
      </c>
      <c r="AG366" s="143">
        <v>45503</v>
      </c>
      <c r="AH366" s="343">
        <v>45613</v>
      </c>
      <c r="AI366" s="343">
        <v>45613</v>
      </c>
      <c r="AJ366" s="58" t="s">
        <v>63</v>
      </c>
      <c r="AK366" s="343">
        <v>45613</v>
      </c>
      <c r="AL366" s="386">
        <v>45604</v>
      </c>
      <c r="AM366" s="386">
        <v>45502</v>
      </c>
    </row>
    <row r="367" spans="1:39" ht="14.4" x14ac:dyDescent="0.25">
      <c r="A367" s="103">
        <v>367</v>
      </c>
      <c r="B367" s="104">
        <v>30499</v>
      </c>
      <c r="C367" s="227" t="s">
        <v>54</v>
      </c>
      <c r="D367" s="103" t="s">
        <v>2579</v>
      </c>
      <c r="E367" s="229" t="s">
        <v>2092</v>
      </c>
      <c r="F367" s="103" t="s">
        <v>2093</v>
      </c>
      <c r="G367" s="103" t="s">
        <v>15</v>
      </c>
      <c r="H367" s="230">
        <v>44874</v>
      </c>
      <c r="I367" s="103"/>
      <c r="J367" s="103"/>
      <c r="K367" s="105"/>
      <c r="L367" s="106"/>
      <c r="M367" s="105"/>
      <c r="N367" s="105"/>
      <c r="O367" s="106"/>
      <c r="P367" s="106"/>
      <c r="Q367" s="37" t="s">
        <v>62</v>
      </c>
      <c r="R367" s="37" t="s">
        <v>62</v>
      </c>
      <c r="S367" s="105"/>
      <c r="T367" s="16" t="s">
        <v>62</v>
      </c>
      <c r="U367" s="105"/>
      <c r="V367" s="105"/>
      <c r="W367" s="105"/>
      <c r="X367" s="105"/>
      <c r="Y367" s="105"/>
      <c r="Z367" s="438"/>
      <c r="AA367" s="438"/>
      <c r="AB367" s="105"/>
      <c r="AC367" s="105"/>
      <c r="AD367" s="276" t="s">
        <v>62</v>
      </c>
      <c r="AE367" s="277"/>
      <c r="AF367" s="276" t="s">
        <v>63</v>
      </c>
      <c r="AG367" s="143">
        <v>45503</v>
      </c>
      <c r="AH367" s="343">
        <v>45613</v>
      </c>
      <c r="AI367" s="343">
        <v>45613</v>
      </c>
      <c r="AJ367" s="58" t="s">
        <v>63</v>
      </c>
      <c r="AK367" s="343">
        <v>45613</v>
      </c>
      <c r="AL367" s="386">
        <v>45604</v>
      </c>
      <c r="AM367" s="386">
        <v>45502</v>
      </c>
    </row>
    <row r="368" spans="1:39" ht="14.4" x14ac:dyDescent="0.25">
      <c r="A368" s="103">
        <v>368</v>
      </c>
      <c r="B368" s="104">
        <v>30514</v>
      </c>
      <c r="C368" s="227" t="s">
        <v>64</v>
      </c>
      <c r="D368" s="103" t="s">
        <v>2580</v>
      </c>
      <c r="E368" s="229" t="s">
        <v>2092</v>
      </c>
      <c r="F368" s="103" t="s">
        <v>2093</v>
      </c>
      <c r="G368" s="103" t="s">
        <v>15</v>
      </c>
      <c r="H368" s="230">
        <v>44847</v>
      </c>
      <c r="I368" s="103"/>
      <c r="J368" s="103"/>
      <c r="K368" s="105"/>
      <c r="L368" s="106"/>
      <c r="M368" s="105"/>
      <c r="N368" s="105"/>
      <c r="O368" s="106"/>
      <c r="P368" s="106"/>
      <c r="Q368" s="37" t="s">
        <v>68</v>
      </c>
      <c r="R368" s="37" t="s">
        <v>68</v>
      </c>
      <c r="S368" s="105"/>
      <c r="T368" s="16" t="s">
        <v>68</v>
      </c>
      <c r="U368" s="105"/>
      <c r="V368" s="105"/>
      <c r="W368" s="105"/>
      <c r="X368" s="105"/>
      <c r="Y368" s="105"/>
      <c r="Z368" s="438"/>
      <c r="AA368" s="438"/>
      <c r="AB368" s="105"/>
      <c r="AC368" s="105"/>
      <c r="AD368" s="276" t="s">
        <v>68</v>
      </c>
      <c r="AE368" s="277" t="s">
        <v>63</v>
      </c>
      <c r="AF368" s="276" t="s">
        <v>63</v>
      </c>
      <c r="AG368" s="143">
        <v>45493</v>
      </c>
      <c r="AH368" s="343">
        <v>45636</v>
      </c>
      <c r="AI368" s="386">
        <v>45604</v>
      </c>
      <c r="AJ368" s="58" t="s">
        <v>63</v>
      </c>
      <c r="AL368" s="126"/>
      <c r="AM368" s="386">
        <v>45609</v>
      </c>
    </row>
    <row r="369" spans="1:39" ht="14.4" x14ac:dyDescent="0.25">
      <c r="A369" s="103">
        <v>369</v>
      </c>
      <c r="B369" s="104">
        <v>30514</v>
      </c>
      <c r="C369" s="227" t="s">
        <v>54</v>
      </c>
      <c r="D369" s="103" t="s">
        <v>2581</v>
      </c>
      <c r="E369" s="229" t="s">
        <v>2092</v>
      </c>
      <c r="F369" s="103" t="s">
        <v>2093</v>
      </c>
      <c r="G369" s="103" t="s">
        <v>15</v>
      </c>
      <c r="H369" s="230">
        <v>44847</v>
      </c>
      <c r="I369" s="103"/>
      <c r="J369" s="103"/>
      <c r="K369" s="105"/>
      <c r="L369" s="106"/>
      <c r="M369" s="105"/>
      <c r="N369" s="105"/>
      <c r="O369" s="106"/>
      <c r="P369" s="106"/>
      <c r="Q369" s="37" t="s">
        <v>62</v>
      </c>
      <c r="R369" s="37" t="s">
        <v>62</v>
      </c>
      <c r="S369" s="105"/>
      <c r="T369" s="16" t="s">
        <v>62</v>
      </c>
      <c r="U369" s="105"/>
      <c r="V369" s="105"/>
      <c r="W369" s="105"/>
      <c r="X369" s="105"/>
      <c r="Y369" s="105"/>
      <c r="Z369" s="438"/>
      <c r="AA369" s="438"/>
      <c r="AB369" s="105"/>
      <c r="AC369" s="105"/>
      <c r="AD369" s="276" t="s">
        <v>62</v>
      </c>
      <c r="AE369" s="277" t="s">
        <v>63</v>
      </c>
      <c r="AF369" s="276" t="s">
        <v>63</v>
      </c>
      <c r="AG369" s="143">
        <v>45493</v>
      </c>
      <c r="AH369" s="343">
        <v>45636</v>
      </c>
      <c r="AI369" s="386">
        <v>45604</v>
      </c>
      <c r="AJ369" s="58" t="s">
        <v>63</v>
      </c>
      <c r="AL369" s="289"/>
      <c r="AM369" s="386">
        <v>45609</v>
      </c>
    </row>
    <row r="370" spans="1:39" ht="14.4" x14ac:dyDescent="0.25">
      <c r="A370" s="103">
        <v>370</v>
      </c>
      <c r="B370" s="104">
        <v>30735</v>
      </c>
      <c r="C370" s="227" t="s">
        <v>64</v>
      </c>
      <c r="D370" s="103" t="s">
        <v>2582</v>
      </c>
      <c r="E370" s="229" t="s">
        <v>2092</v>
      </c>
      <c r="F370" s="103" t="s">
        <v>2093</v>
      </c>
      <c r="G370" s="103" t="s">
        <v>15</v>
      </c>
      <c r="H370" s="230">
        <v>45490</v>
      </c>
      <c r="I370" s="103"/>
      <c r="J370" s="103"/>
      <c r="K370" s="105"/>
      <c r="L370" s="106"/>
      <c r="M370" s="105"/>
      <c r="N370" s="105"/>
      <c r="O370" s="106"/>
      <c r="P370" s="106"/>
      <c r="Q370" s="37" t="s">
        <v>68</v>
      </c>
      <c r="R370" s="37" t="s">
        <v>68</v>
      </c>
      <c r="S370" s="105"/>
      <c r="T370" s="16" t="s">
        <v>68</v>
      </c>
      <c r="U370" s="105"/>
      <c r="V370" s="105"/>
      <c r="W370" s="105"/>
      <c r="X370" s="105"/>
      <c r="Y370" s="105"/>
      <c r="Z370" s="438"/>
      <c r="AA370" s="438"/>
      <c r="AB370" s="105"/>
      <c r="AC370" s="105"/>
      <c r="AD370" s="276" t="s">
        <v>68</v>
      </c>
      <c r="AE370" s="277" t="s">
        <v>63</v>
      </c>
      <c r="AF370" s="276" t="s">
        <v>63</v>
      </c>
      <c r="AG370" s="143">
        <v>45496</v>
      </c>
      <c r="AH370" s="343">
        <v>45644</v>
      </c>
      <c r="AI370" s="143">
        <v>45546</v>
      </c>
      <c r="AJ370" s="58" t="s">
        <v>63</v>
      </c>
      <c r="AL370" s="386">
        <v>45489</v>
      </c>
      <c r="AM370" s="143">
        <v>45654</v>
      </c>
    </row>
    <row r="371" spans="1:39" ht="14.4" x14ac:dyDescent="0.25">
      <c r="A371" s="103">
        <v>371</v>
      </c>
      <c r="B371" s="104">
        <v>30735</v>
      </c>
      <c r="C371" s="227" t="s">
        <v>54</v>
      </c>
      <c r="D371" s="103" t="s">
        <v>2583</v>
      </c>
      <c r="E371" s="229" t="s">
        <v>2092</v>
      </c>
      <c r="F371" s="103" t="s">
        <v>2093</v>
      </c>
      <c r="G371" s="103" t="s">
        <v>15</v>
      </c>
      <c r="H371" s="230">
        <v>45490</v>
      </c>
      <c r="I371" s="103"/>
      <c r="J371" s="103"/>
      <c r="K371" s="105"/>
      <c r="L371" s="106"/>
      <c r="M371" s="105"/>
      <c r="N371" s="105"/>
      <c r="O371" s="106"/>
      <c r="P371" s="106"/>
      <c r="Q371" s="37" t="s">
        <v>62</v>
      </c>
      <c r="R371" s="37" t="s">
        <v>62</v>
      </c>
      <c r="S371" s="105"/>
      <c r="T371" s="16" t="s">
        <v>62</v>
      </c>
      <c r="U371" s="105"/>
      <c r="V371" s="105"/>
      <c r="W371" s="105"/>
      <c r="X371" s="105"/>
      <c r="Y371" s="105"/>
      <c r="Z371" s="438"/>
      <c r="AA371" s="438"/>
      <c r="AB371" s="105"/>
      <c r="AC371" s="105"/>
      <c r="AD371" s="276" t="s">
        <v>62</v>
      </c>
      <c r="AE371" s="277" t="s">
        <v>63</v>
      </c>
      <c r="AF371" s="276" t="s">
        <v>63</v>
      </c>
      <c r="AG371" s="143">
        <v>45496</v>
      </c>
      <c r="AH371" s="343">
        <v>45644</v>
      </c>
      <c r="AI371" s="143">
        <v>45546</v>
      </c>
      <c r="AJ371" s="58" t="s">
        <v>63</v>
      </c>
      <c r="AL371" s="386">
        <v>45489</v>
      </c>
      <c r="AM371" s="143">
        <v>45654</v>
      </c>
    </row>
    <row r="372" spans="1:39" ht="14.4" x14ac:dyDescent="0.25">
      <c r="A372" s="103">
        <v>372</v>
      </c>
      <c r="B372" s="104">
        <v>37599</v>
      </c>
      <c r="C372" s="227" t="s">
        <v>64</v>
      </c>
      <c r="D372" s="103" t="s">
        <v>2584</v>
      </c>
      <c r="E372" s="229" t="s">
        <v>2092</v>
      </c>
      <c r="F372" s="103" t="s">
        <v>2093</v>
      </c>
      <c r="G372" s="103" t="s">
        <v>15</v>
      </c>
      <c r="H372" s="230">
        <v>44945</v>
      </c>
      <c r="I372" s="103"/>
      <c r="J372" s="103"/>
      <c r="K372" s="105"/>
      <c r="L372" s="106"/>
      <c r="M372" s="105"/>
      <c r="N372" s="105"/>
      <c r="O372" s="106"/>
      <c r="P372" s="106"/>
      <c r="Q372" s="37" t="s">
        <v>68</v>
      </c>
      <c r="R372" s="37" t="s">
        <v>68</v>
      </c>
      <c r="S372" s="105"/>
      <c r="T372" s="16" t="s">
        <v>68</v>
      </c>
      <c r="U372" s="105"/>
      <c r="V372" s="105"/>
      <c r="W372" s="105"/>
      <c r="X372" s="105"/>
      <c r="Y372" s="105"/>
      <c r="Z372" s="438"/>
      <c r="AA372" s="438"/>
      <c r="AB372" s="105"/>
      <c r="AC372" s="105"/>
      <c r="AD372" s="276" t="s">
        <v>68</v>
      </c>
      <c r="AE372" s="277" t="s">
        <v>63</v>
      </c>
      <c r="AF372" s="386">
        <v>45261</v>
      </c>
      <c r="AG372" s="143">
        <v>45466</v>
      </c>
      <c r="AH372" s="343">
        <v>45577</v>
      </c>
      <c r="AI372" s="143">
        <v>45527</v>
      </c>
      <c r="AJ372" s="58" t="s">
        <v>63</v>
      </c>
      <c r="AL372" s="386">
        <v>45371</v>
      </c>
      <c r="AM372" s="386">
        <v>45537</v>
      </c>
    </row>
    <row r="373" spans="1:39" ht="14.4" x14ac:dyDescent="0.25">
      <c r="A373" s="103">
        <v>373</v>
      </c>
      <c r="B373" s="104">
        <v>37599</v>
      </c>
      <c r="C373" s="227" t="s">
        <v>54</v>
      </c>
      <c r="D373" s="103" t="s">
        <v>2585</v>
      </c>
      <c r="E373" s="229" t="s">
        <v>2092</v>
      </c>
      <c r="F373" s="103" t="s">
        <v>2093</v>
      </c>
      <c r="G373" s="103" t="s">
        <v>15</v>
      </c>
      <c r="H373" s="230">
        <v>44945</v>
      </c>
      <c r="I373" s="103"/>
      <c r="J373" s="103"/>
      <c r="K373" s="105"/>
      <c r="L373" s="106"/>
      <c r="M373" s="105"/>
      <c r="N373" s="105"/>
      <c r="O373" s="106"/>
      <c r="P373" s="106"/>
      <c r="Q373" s="37" t="s">
        <v>62</v>
      </c>
      <c r="R373" s="37" t="s">
        <v>62</v>
      </c>
      <c r="S373" s="105"/>
      <c r="T373" s="16" t="s">
        <v>62</v>
      </c>
      <c r="U373" s="105"/>
      <c r="V373" s="105"/>
      <c r="W373" s="105"/>
      <c r="X373" s="105"/>
      <c r="Y373" s="105"/>
      <c r="Z373" s="438"/>
      <c r="AA373" s="438"/>
      <c r="AB373" s="105"/>
      <c r="AC373" s="105"/>
      <c r="AD373" s="276" t="s">
        <v>62</v>
      </c>
      <c r="AE373" s="277" t="s">
        <v>63</v>
      </c>
      <c r="AF373" s="386">
        <v>45261</v>
      </c>
      <c r="AG373" s="143">
        <v>45466</v>
      </c>
      <c r="AH373" s="343">
        <v>45577</v>
      </c>
      <c r="AI373" s="143">
        <v>45527</v>
      </c>
      <c r="AJ373" s="58" t="s">
        <v>63</v>
      </c>
      <c r="AL373" s="386">
        <v>45371</v>
      </c>
      <c r="AM373" s="386">
        <v>45537</v>
      </c>
    </row>
    <row r="374" spans="1:39" ht="14.4" x14ac:dyDescent="0.25">
      <c r="A374" s="103">
        <v>374</v>
      </c>
      <c r="B374" s="104">
        <v>39310</v>
      </c>
      <c r="C374" s="227" t="s">
        <v>64</v>
      </c>
      <c r="D374" s="103" t="s">
        <v>2586</v>
      </c>
      <c r="E374" s="229" t="s">
        <v>2092</v>
      </c>
      <c r="F374" s="103" t="s">
        <v>2093</v>
      </c>
      <c r="G374" s="103" t="s">
        <v>15</v>
      </c>
      <c r="H374" s="230">
        <v>45309</v>
      </c>
      <c r="I374" s="103"/>
      <c r="J374" s="103"/>
      <c r="K374" s="105"/>
      <c r="L374" s="106"/>
      <c r="M374" s="105"/>
      <c r="N374" s="105"/>
      <c r="O374" s="106"/>
      <c r="P374" s="106"/>
      <c r="Q374" s="37" t="s">
        <v>68</v>
      </c>
      <c r="R374" s="37" t="s">
        <v>68</v>
      </c>
      <c r="S374" s="105"/>
      <c r="T374" s="16" t="s">
        <v>68</v>
      </c>
      <c r="U374" s="105"/>
      <c r="V374" s="105"/>
      <c r="W374" s="105"/>
      <c r="X374" s="105"/>
      <c r="Y374" s="105"/>
      <c r="Z374" s="438"/>
      <c r="AA374" s="438"/>
      <c r="AB374" s="105"/>
      <c r="AC374" s="105"/>
      <c r="AD374" s="276" t="s">
        <v>68</v>
      </c>
      <c r="AE374" s="277" t="s">
        <v>63</v>
      </c>
      <c r="AF374" s="276" t="s">
        <v>63</v>
      </c>
      <c r="AG374" s="143">
        <v>45466</v>
      </c>
      <c r="AH374" s="343">
        <v>45590</v>
      </c>
      <c r="AI374" s="143">
        <v>45470</v>
      </c>
      <c r="AJ374" s="58" t="s">
        <v>63</v>
      </c>
      <c r="AL374" s="289"/>
      <c r="AM374" s="386">
        <v>45605</v>
      </c>
    </row>
    <row r="375" spans="1:39" ht="14.4" x14ac:dyDescent="0.25">
      <c r="A375" s="103">
        <v>375</v>
      </c>
      <c r="B375" s="104">
        <v>39310</v>
      </c>
      <c r="C375" s="227" t="s">
        <v>54</v>
      </c>
      <c r="D375" s="103" t="s">
        <v>2587</v>
      </c>
      <c r="E375" s="229" t="s">
        <v>2092</v>
      </c>
      <c r="F375" s="103" t="s">
        <v>2093</v>
      </c>
      <c r="G375" s="103" t="s">
        <v>15</v>
      </c>
      <c r="H375" s="230">
        <v>45309</v>
      </c>
      <c r="I375" s="103"/>
      <c r="J375" s="103"/>
      <c r="K375" s="105"/>
      <c r="L375" s="106"/>
      <c r="M375" s="105"/>
      <c r="N375" s="105"/>
      <c r="O375" s="106"/>
      <c r="P375" s="106"/>
      <c r="Q375" s="37" t="s">
        <v>62</v>
      </c>
      <c r="R375" s="37" t="s">
        <v>62</v>
      </c>
      <c r="S375" s="105"/>
      <c r="T375" s="16" t="s">
        <v>62</v>
      </c>
      <c r="U375" s="105"/>
      <c r="V375" s="105"/>
      <c r="W375" s="105"/>
      <c r="X375" s="105"/>
      <c r="Y375" s="105"/>
      <c r="Z375" s="438"/>
      <c r="AA375" s="438"/>
      <c r="AB375" s="105"/>
      <c r="AC375" s="105"/>
      <c r="AD375" s="276" t="s">
        <v>62</v>
      </c>
      <c r="AE375" s="277" t="s">
        <v>63</v>
      </c>
      <c r="AF375" s="276" t="s">
        <v>63</v>
      </c>
      <c r="AG375" s="143">
        <v>45466</v>
      </c>
      <c r="AH375" s="343">
        <v>45590</v>
      </c>
      <c r="AI375" s="143">
        <v>45470</v>
      </c>
      <c r="AJ375" s="58" t="s">
        <v>63</v>
      </c>
      <c r="AL375" s="289"/>
      <c r="AM375" s="386">
        <v>45605</v>
      </c>
    </row>
    <row r="376" spans="1:39" ht="14.4" x14ac:dyDescent="0.25">
      <c r="A376" s="103">
        <v>376</v>
      </c>
      <c r="B376" s="104">
        <v>30266</v>
      </c>
      <c r="C376" s="227" t="s">
        <v>64</v>
      </c>
      <c r="D376" s="103" t="s">
        <v>2588</v>
      </c>
      <c r="E376" s="229" t="s">
        <v>2092</v>
      </c>
      <c r="F376" s="103" t="s">
        <v>2093</v>
      </c>
      <c r="G376" s="103" t="s">
        <v>15</v>
      </c>
      <c r="H376" s="230">
        <v>45530</v>
      </c>
      <c r="I376" s="103"/>
      <c r="J376" s="103"/>
      <c r="K376" s="105"/>
      <c r="L376" s="106"/>
      <c r="M376" s="105"/>
      <c r="N376" s="105"/>
      <c r="O376" s="106"/>
      <c r="P376" s="106"/>
      <c r="Q376" s="37" t="s">
        <v>68</v>
      </c>
      <c r="R376" s="37" t="s">
        <v>68</v>
      </c>
      <c r="S376" s="105"/>
      <c r="T376" s="16" t="s">
        <v>68</v>
      </c>
      <c r="U376" s="105"/>
      <c r="V376" s="105"/>
      <c r="W376" s="105"/>
      <c r="X376" s="105"/>
      <c r="Y376" s="105"/>
      <c r="Z376" s="438"/>
      <c r="AA376" s="438"/>
      <c r="AB376" s="105"/>
      <c r="AC376" s="105"/>
      <c r="AD376" s="276" t="s">
        <v>68</v>
      </c>
      <c r="AE376" s="277" t="s">
        <v>63</v>
      </c>
      <c r="AF376" s="276" t="s">
        <v>63</v>
      </c>
      <c r="AG376" s="143">
        <v>45530</v>
      </c>
      <c r="AH376" s="143">
        <v>45530</v>
      </c>
      <c r="AI376" s="143">
        <v>45534</v>
      </c>
      <c r="AJ376" s="58" t="s">
        <v>63</v>
      </c>
      <c r="AL376" s="386">
        <v>45499</v>
      </c>
      <c r="AM376" s="143">
        <v>45635</v>
      </c>
    </row>
    <row r="377" spans="1:39" ht="14.4" x14ac:dyDescent="0.25">
      <c r="A377" s="103">
        <v>377</v>
      </c>
      <c r="B377" s="104">
        <v>30266</v>
      </c>
      <c r="C377" s="227" t="s">
        <v>54</v>
      </c>
      <c r="D377" s="103" t="s">
        <v>2589</v>
      </c>
      <c r="E377" s="229" t="s">
        <v>2092</v>
      </c>
      <c r="F377" s="103" t="s">
        <v>2093</v>
      </c>
      <c r="G377" s="103" t="s">
        <v>15</v>
      </c>
      <c r="H377" s="230">
        <v>45530</v>
      </c>
      <c r="I377" s="103"/>
      <c r="J377" s="103"/>
      <c r="K377" s="105"/>
      <c r="L377" s="106"/>
      <c r="M377" s="105"/>
      <c r="N377" s="105"/>
      <c r="O377" s="106"/>
      <c r="P377" s="106"/>
      <c r="Q377" s="37" t="s">
        <v>62</v>
      </c>
      <c r="R377" s="37" t="s">
        <v>62</v>
      </c>
      <c r="S377" s="105"/>
      <c r="T377" s="16" t="s">
        <v>62</v>
      </c>
      <c r="U377" s="105"/>
      <c r="V377" s="105"/>
      <c r="W377" s="105"/>
      <c r="X377" s="105"/>
      <c r="Y377" s="105"/>
      <c r="Z377" s="438"/>
      <c r="AA377" s="438"/>
      <c r="AB377" s="105"/>
      <c r="AC377" s="105"/>
      <c r="AD377" s="276" t="s">
        <v>62</v>
      </c>
      <c r="AE377" s="277" t="s">
        <v>63</v>
      </c>
      <c r="AF377" s="276" t="s">
        <v>63</v>
      </c>
      <c r="AG377" s="143">
        <v>45530</v>
      </c>
      <c r="AH377" s="143">
        <v>45530</v>
      </c>
      <c r="AI377" s="143">
        <v>45534</v>
      </c>
      <c r="AJ377" s="58" t="s">
        <v>63</v>
      </c>
      <c r="AL377" s="386">
        <v>45499</v>
      </c>
      <c r="AM377" s="143">
        <v>45635</v>
      </c>
    </row>
    <row r="378" spans="1:39" x14ac:dyDescent="0.25">
      <c r="A378" s="2">
        <v>378</v>
      </c>
      <c r="B378" s="72">
        <v>30268</v>
      </c>
      <c r="C378" s="1307" t="s">
        <v>64</v>
      </c>
      <c r="E378" s="72" t="s">
        <v>1933</v>
      </c>
      <c r="F378" s="239" t="s">
        <v>2093</v>
      </c>
      <c r="G378" s="239" t="s">
        <v>15</v>
      </c>
      <c r="R378" s="16" t="s">
        <v>75</v>
      </c>
      <c r="T378" s="310" t="s">
        <v>68</v>
      </c>
      <c r="AD378" s="299" t="s">
        <v>616</v>
      </c>
      <c r="AE378" s="343">
        <v>45387</v>
      </c>
      <c r="AG378" s="343">
        <v>45489</v>
      </c>
      <c r="AH378" s="343">
        <v>45489</v>
      </c>
      <c r="AI378" s="343">
        <v>45489</v>
      </c>
      <c r="AJ378" s="58" t="s">
        <v>63</v>
      </c>
      <c r="AK378" s="58" t="s">
        <v>63</v>
      </c>
      <c r="AL378" s="343">
        <v>45489</v>
      </c>
      <c r="AM378" s="343">
        <v>45489</v>
      </c>
    </row>
    <row r="379" spans="1:39" x14ac:dyDescent="0.25">
      <c r="A379" s="2">
        <v>379</v>
      </c>
      <c r="B379" s="72">
        <v>30268</v>
      </c>
      <c r="C379" s="27" t="s">
        <v>54</v>
      </c>
      <c r="E379" s="72" t="s">
        <v>1933</v>
      </c>
      <c r="F379" s="3" t="s">
        <v>2093</v>
      </c>
      <c r="G379" s="3" t="s">
        <v>15</v>
      </c>
      <c r="R379" s="16" t="s">
        <v>75</v>
      </c>
      <c r="T379" s="310" t="s">
        <v>62</v>
      </c>
      <c r="AD379" s="299" t="s">
        <v>604</v>
      </c>
      <c r="AE379" s="343">
        <v>45387</v>
      </c>
      <c r="AF379" s="343"/>
      <c r="AG379" s="343">
        <v>45489</v>
      </c>
      <c r="AH379" s="343">
        <v>45489</v>
      </c>
      <c r="AI379" s="343">
        <v>45489</v>
      </c>
      <c r="AJ379" s="58" t="s">
        <v>63</v>
      </c>
      <c r="AK379" s="58" t="s">
        <v>63</v>
      </c>
      <c r="AL379" s="343">
        <v>45489</v>
      </c>
      <c r="AM379" s="343">
        <v>45489</v>
      </c>
    </row>
    <row r="380" spans="1:39" x14ac:dyDescent="0.25">
      <c r="A380" s="2">
        <v>380</v>
      </c>
      <c r="B380" s="72">
        <v>30235</v>
      </c>
      <c r="C380" s="973" t="s">
        <v>64</v>
      </c>
      <c r="E380" s="72" t="s">
        <v>1933</v>
      </c>
      <c r="F380" s="3" t="s">
        <v>2093</v>
      </c>
      <c r="G380" s="3" t="s">
        <v>15</v>
      </c>
      <c r="R380" s="16" t="s">
        <v>75</v>
      </c>
      <c r="T380" s="310" t="s">
        <v>68</v>
      </c>
      <c r="V380" s="310"/>
      <c r="AD380" s="299" t="s">
        <v>616</v>
      </c>
      <c r="AG380" s="343">
        <v>45514</v>
      </c>
      <c r="AH380" s="343">
        <v>45514</v>
      </c>
      <c r="AI380" s="343">
        <v>45514</v>
      </c>
      <c r="AJ380" s="58" t="s">
        <v>63</v>
      </c>
      <c r="AK380" s="58" t="s">
        <v>63</v>
      </c>
      <c r="AL380" s="289"/>
      <c r="AM380" s="289"/>
    </row>
    <row r="381" spans="1:39" x14ac:dyDescent="0.25">
      <c r="A381" s="2">
        <v>381</v>
      </c>
      <c r="B381" s="72">
        <v>30235</v>
      </c>
      <c r="C381" s="112" t="s">
        <v>54</v>
      </c>
      <c r="E381" s="72" t="s">
        <v>1933</v>
      </c>
      <c r="F381" s="115" t="s">
        <v>2093</v>
      </c>
      <c r="G381" s="115" t="s">
        <v>15</v>
      </c>
      <c r="R381" s="16" t="s">
        <v>75</v>
      </c>
      <c r="T381" s="310" t="s">
        <v>62</v>
      </c>
      <c r="V381" s="310"/>
      <c r="AD381" s="299" t="s">
        <v>604</v>
      </c>
      <c r="AG381" s="343">
        <v>45514</v>
      </c>
      <c r="AH381" s="343">
        <v>45514</v>
      </c>
      <c r="AI381" s="343">
        <v>45514</v>
      </c>
      <c r="AJ381" s="58" t="s">
        <v>63</v>
      </c>
      <c r="AK381" s="58" t="s">
        <v>63</v>
      </c>
      <c r="AL381" s="289"/>
      <c r="AM381" s="289"/>
    </row>
    <row r="382" spans="1:39" x14ac:dyDescent="0.25">
      <c r="A382" s="103">
        <v>382</v>
      </c>
      <c r="B382" s="104">
        <v>37257</v>
      </c>
      <c r="C382" s="227" t="s">
        <v>64</v>
      </c>
      <c r="D382" s="103" t="s">
        <v>952</v>
      </c>
      <c r="E382" s="229" t="s">
        <v>1932</v>
      </c>
      <c r="F382" s="103" t="s">
        <v>863</v>
      </c>
      <c r="G382" s="103" t="s">
        <v>15</v>
      </c>
      <c r="H382" s="230">
        <v>43734</v>
      </c>
      <c r="I382" s="103"/>
      <c r="J382" s="103"/>
      <c r="K382" s="105"/>
      <c r="L382" s="106"/>
      <c r="M382" s="105"/>
      <c r="N382" s="105"/>
      <c r="O382" s="106"/>
      <c r="P382" s="106"/>
      <c r="Q382" s="105"/>
      <c r="R382" s="105"/>
      <c r="S382" s="105"/>
      <c r="T382" s="105"/>
      <c r="U382" s="105"/>
      <c r="V382" s="310" t="s">
        <v>68</v>
      </c>
      <c r="W382" s="105"/>
      <c r="X382" s="105"/>
      <c r="Y382" s="105"/>
      <c r="Z382" s="438"/>
      <c r="AA382" s="438"/>
      <c r="AB382" s="105"/>
      <c r="AC382" s="105"/>
      <c r="AD382" s="276" t="s">
        <v>68</v>
      </c>
      <c r="AE382" s="277"/>
      <c r="AF382" s="343">
        <v>45834</v>
      </c>
      <c r="AG382" s="343">
        <v>45540</v>
      </c>
      <c r="AH382" s="343">
        <v>45544</v>
      </c>
      <c r="AI382" s="343">
        <v>45540</v>
      </c>
      <c r="AJ382" s="58" t="s">
        <v>63</v>
      </c>
      <c r="AK382" s="343">
        <v>45752</v>
      </c>
      <c r="AL382" s="289"/>
      <c r="AM382" s="343">
        <v>45555</v>
      </c>
    </row>
    <row r="383" spans="1:39" x14ac:dyDescent="0.25">
      <c r="A383" s="103">
        <v>383</v>
      </c>
      <c r="B383" s="104">
        <v>37257</v>
      </c>
      <c r="C383" s="227" t="s">
        <v>54</v>
      </c>
      <c r="D383" s="103" t="s">
        <v>953</v>
      </c>
      <c r="E383" s="229" t="s">
        <v>1932</v>
      </c>
      <c r="F383" s="103" t="s">
        <v>863</v>
      </c>
      <c r="G383" s="103" t="s">
        <v>15</v>
      </c>
      <c r="H383" s="230">
        <v>43734</v>
      </c>
      <c r="I383" s="230"/>
      <c r="J383" s="103"/>
      <c r="K383" s="105"/>
      <c r="L383" s="106"/>
      <c r="M383" s="105"/>
      <c r="N383" s="105"/>
      <c r="O383" s="106"/>
      <c r="P383" s="106"/>
      <c r="Q383" s="105"/>
      <c r="R383" s="105"/>
      <c r="S383" s="105"/>
      <c r="T383" s="105"/>
      <c r="U383" s="105"/>
      <c r="V383" s="310" t="s">
        <v>62</v>
      </c>
      <c r="W383" s="105"/>
      <c r="X383" s="105"/>
      <c r="Y383" s="105"/>
      <c r="Z383" s="438"/>
      <c r="AA383" s="438"/>
      <c r="AB383" s="105"/>
      <c r="AC383" s="105"/>
      <c r="AD383" s="276" t="s">
        <v>62</v>
      </c>
      <c r="AE383" s="277"/>
      <c r="AF383" s="343">
        <v>45834</v>
      </c>
      <c r="AG383" s="343">
        <v>45540</v>
      </c>
      <c r="AH383" s="343">
        <v>45644</v>
      </c>
      <c r="AI383" s="343">
        <v>45540</v>
      </c>
      <c r="AJ383" s="58" t="s">
        <v>63</v>
      </c>
      <c r="AK383" s="343">
        <v>45752</v>
      </c>
      <c r="AL383" s="289"/>
      <c r="AM383" s="343">
        <v>45555</v>
      </c>
    </row>
    <row r="384" spans="1:39" x14ac:dyDescent="0.25">
      <c r="A384" s="103">
        <v>384</v>
      </c>
      <c r="B384" s="104">
        <v>39085</v>
      </c>
      <c r="C384" s="227" t="s">
        <v>64</v>
      </c>
      <c r="D384" s="103" t="s">
        <v>973</v>
      </c>
      <c r="E384" s="229" t="s">
        <v>1932</v>
      </c>
      <c r="F384" s="103" t="s">
        <v>863</v>
      </c>
      <c r="G384" s="103" t="s">
        <v>15</v>
      </c>
      <c r="H384" s="230">
        <v>43697</v>
      </c>
      <c r="I384" s="103"/>
      <c r="J384" s="103"/>
      <c r="K384" s="105"/>
      <c r="L384" s="106"/>
      <c r="M384" s="105"/>
      <c r="N384" s="105"/>
      <c r="O384" s="106"/>
      <c r="P384" s="106"/>
      <c r="Q384" s="105"/>
      <c r="R384" s="105"/>
      <c r="S384" s="105"/>
      <c r="T384" s="105"/>
      <c r="U384" s="105"/>
      <c r="V384" s="310" t="s">
        <v>68</v>
      </c>
      <c r="W384" s="105"/>
      <c r="X384" s="105"/>
      <c r="Y384" s="105"/>
      <c r="Z384" s="438"/>
      <c r="AA384" s="438"/>
      <c r="AB384" s="105"/>
      <c r="AC384" s="105"/>
      <c r="AD384" s="276" t="s">
        <v>68</v>
      </c>
      <c r="AE384" s="277"/>
      <c r="AF384" s="281">
        <v>45657</v>
      </c>
      <c r="AG384" s="343">
        <v>45544</v>
      </c>
      <c r="AH384" s="343">
        <v>45644</v>
      </c>
      <c r="AI384" s="343">
        <v>45544</v>
      </c>
      <c r="AJ384" s="58" t="s">
        <v>63</v>
      </c>
      <c r="AK384" s="343">
        <v>45766</v>
      </c>
      <c r="AL384" s="289"/>
      <c r="AM384" s="343">
        <v>45766</v>
      </c>
    </row>
    <row r="385" spans="1:39" x14ac:dyDescent="0.25">
      <c r="A385" s="103">
        <v>385</v>
      </c>
      <c r="B385" s="104">
        <v>39085</v>
      </c>
      <c r="C385" s="227" t="s">
        <v>54</v>
      </c>
      <c r="D385" s="103" t="s">
        <v>974</v>
      </c>
      <c r="E385" s="229" t="s">
        <v>1932</v>
      </c>
      <c r="F385" s="103" t="s">
        <v>863</v>
      </c>
      <c r="G385" s="103" t="s">
        <v>15</v>
      </c>
      <c r="H385" s="230">
        <v>43697</v>
      </c>
      <c r="I385" s="103"/>
      <c r="J385" s="103"/>
      <c r="K385" s="105"/>
      <c r="L385" s="106"/>
      <c r="M385" s="105"/>
      <c r="N385" s="105"/>
      <c r="O385" s="106"/>
      <c r="P385" s="106"/>
      <c r="Q385" s="105"/>
      <c r="R385" s="105"/>
      <c r="S385" s="105"/>
      <c r="T385" s="105"/>
      <c r="U385" s="105"/>
      <c r="V385" s="310" t="s">
        <v>62</v>
      </c>
      <c r="W385" s="105"/>
      <c r="X385" s="105"/>
      <c r="Y385" s="105"/>
      <c r="Z385" s="438"/>
      <c r="AA385" s="438"/>
      <c r="AB385" s="105"/>
      <c r="AC385" s="105"/>
      <c r="AD385" s="276" t="s">
        <v>62</v>
      </c>
      <c r="AE385" s="277"/>
      <c r="AF385" s="281">
        <v>45657</v>
      </c>
      <c r="AG385" s="343">
        <v>45544</v>
      </c>
      <c r="AH385" s="343">
        <v>45644</v>
      </c>
      <c r="AI385" s="343">
        <v>45544</v>
      </c>
      <c r="AJ385" s="58" t="s">
        <v>63</v>
      </c>
      <c r="AK385" s="343">
        <v>45766</v>
      </c>
      <c r="AL385" s="289"/>
      <c r="AM385" s="343">
        <v>45766</v>
      </c>
    </row>
    <row r="386" spans="1:39" x14ac:dyDescent="0.25">
      <c r="A386" s="103">
        <v>386</v>
      </c>
      <c r="B386" s="104">
        <v>37218</v>
      </c>
      <c r="C386" s="227" t="s">
        <v>64</v>
      </c>
      <c r="D386" s="103" t="s">
        <v>861</v>
      </c>
      <c r="E386" s="229" t="s">
        <v>1932</v>
      </c>
      <c r="F386" s="103" t="s">
        <v>863</v>
      </c>
      <c r="G386" s="103" t="s">
        <v>15</v>
      </c>
      <c r="H386" s="230">
        <v>43672</v>
      </c>
      <c r="I386" s="103"/>
      <c r="J386" s="103"/>
      <c r="K386" s="105"/>
      <c r="L386" s="106"/>
      <c r="M386" s="105"/>
      <c r="N386" s="105"/>
      <c r="O386" s="106"/>
      <c r="P386" s="106"/>
      <c r="Q386" s="105"/>
      <c r="R386" s="105"/>
      <c r="S386" s="105"/>
      <c r="T386" s="105"/>
      <c r="U386" s="105"/>
      <c r="V386" s="42" t="s">
        <v>616</v>
      </c>
      <c r="W386" s="105"/>
      <c r="X386" s="105"/>
      <c r="Y386" s="105"/>
      <c r="Z386" s="438"/>
      <c r="AA386" s="438"/>
      <c r="AB386" s="105"/>
      <c r="AC386" s="105"/>
      <c r="AD386" s="276" t="s">
        <v>68</v>
      </c>
      <c r="AE386" s="277"/>
      <c r="AF386" s="281">
        <v>45632</v>
      </c>
      <c r="AG386" s="343">
        <v>45547</v>
      </c>
      <c r="AH386" s="343">
        <v>45547</v>
      </c>
      <c r="AI386" s="343">
        <v>45631</v>
      </c>
      <c r="AJ386" s="58" t="s">
        <v>63</v>
      </c>
      <c r="AK386" s="343">
        <v>45819</v>
      </c>
      <c r="AL386" s="289"/>
      <c r="AM386" s="343">
        <v>45534</v>
      </c>
    </row>
    <row r="387" spans="1:39" x14ac:dyDescent="0.25">
      <c r="A387" s="103">
        <v>387</v>
      </c>
      <c r="B387" s="104">
        <v>37218</v>
      </c>
      <c r="C387" s="227" t="s">
        <v>54</v>
      </c>
      <c r="D387" s="103" t="s">
        <v>864</v>
      </c>
      <c r="E387" s="229" t="s">
        <v>1932</v>
      </c>
      <c r="F387" s="103" t="s">
        <v>863</v>
      </c>
      <c r="G387" s="103" t="s">
        <v>15</v>
      </c>
      <c r="H387" s="230">
        <v>43672</v>
      </c>
      <c r="I387" s="103"/>
      <c r="J387" s="103"/>
      <c r="K387" s="105"/>
      <c r="L387" s="106"/>
      <c r="M387" s="105"/>
      <c r="N387" s="105"/>
      <c r="O387" s="106"/>
      <c r="P387" s="106"/>
      <c r="Q387" s="105"/>
      <c r="R387" s="105"/>
      <c r="S387" s="105"/>
      <c r="T387" s="105"/>
      <c r="U387" s="105"/>
      <c r="V387" s="42" t="s">
        <v>604</v>
      </c>
      <c r="W387" s="105"/>
      <c r="X387" s="105"/>
      <c r="Y387" s="105"/>
      <c r="Z387" s="438"/>
      <c r="AA387" s="438"/>
      <c r="AB387" s="105"/>
      <c r="AC387" s="105"/>
      <c r="AD387" s="276" t="s">
        <v>62</v>
      </c>
      <c r="AE387" s="277"/>
      <c r="AF387" s="281">
        <v>45632</v>
      </c>
      <c r="AG387" s="343">
        <v>45547</v>
      </c>
      <c r="AH387" s="343">
        <v>45547</v>
      </c>
      <c r="AI387" s="343">
        <v>45631</v>
      </c>
      <c r="AJ387" s="58" t="s">
        <v>63</v>
      </c>
      <c r="AK387" s="343">
        <v>45819</v>
      </c>
      <c r="AL387" s="289"/>
      <c r="AM387" s="343">
        <v>45534</v>
      </c>
    </row>
    <row r="388" spans="1:39" x14ac:dyDescent="0.25">
      <c r="A388" s="103">
        <v>388</v>
      </c>
      <c r="B388" s="104">
        <v>37186</v>
      </c>
      <c r="C388" s="227" t="s">
        <v>64</v>
      </c>
      <c r="D388" s="103" t="s">
        <v>984</v>
      </c>
      <c r="E388" s="229" t="s">
        <v>1932</v>
      </c>
      <c r="F388" s="103" t="s">
        <v>863</v>
      </c>
      <c r="G388" s="103" t="s">
        <v>15</v>
      </c>
      <c r="H388" s="230">
        <v>43611</v>
      </c>
      <c r="I388" s="103"/>
      <c r="J388" s="103"/>
      <c r="K388" s="105"/>
      <c r="L388" s="106"/>
      <c r="M388" s="105"/>
      <c r="N388" s="105"/>
      <c r="O388" s="106"/>
      <c r="P388" s="106"/>
      <c r="Q388" s="105"/>
      <c r="R388" s="105"/>
      <c r="S388" s="105"/>
      <c r="T388" s="105"/>
      <c r="U388" s="105"/>
      <c r="V388" s="42" t="s">
        <v>616</v>
      </c>
      <c r="W388" s="105"/>
      <c r="X388" s="105"/>
      <c r="Y388" s="105"/>
      <c r="Z388" s="438"/>
      <c r="AA388" s="438"/>
      <c r="AB388" s="105"/>
      <c r="AC388" s="105"/>
      <c r="AD388" s="276" t="s">
        <v>68</v>
      </c>
      <c r="AE388" s="277"/>
      <c r="AF388" s="276" t="s">
        <v>63</v>
      </c>
      <c r="AG388" s="343">
        <v>45553</v>
      </c>
      <c r="AH388" s="343">
        <v>45667</v>
      </c>
      <c r="AI388" s="343">
        <v>45553</v>
      </c>
      <c r="AJ388" s="58" t="s">
        <v>63</v>
      </c>
      <c r="AK388" s="343">
        <v>45493</v>
      </c>
      <c r="AL388" s="289"/>
      <c r="AM388" s="289"/>
    </row>
    <row r="389" spans="1:39" x14ac:dyDescent="0.25">
      <c r="A389" s="103">
        <v>389</v>
      </c>
      <c r="B389" s="104">
        <v>37186</v>
      </c>
      <c r="C389" s="227" t="s">
        <v>54</v>
      </c>
      <c r="D389" s="103" t="s">
        <v>986</v>
      </c>
      <c r="E389" s="229" t="s">
        <v>1932</v>
      </c>
      <c r="F389" s="103" t="s">
        <v>863</v>
      </c>
      <c r="G389" s="103" t="s">
        <v>15</v>
      </c>
      <c r="H389" s="230">
        <v>43611</v>
      </c>
      <c r="I389" s="103"/>
      <c r="J389" s="103"/>
      <c r="K389" s="105"/>
      <c r="L389" s="106"/>
      <c r="M389" s="105"/>
      <c r="N389" s="105"/>
      <c r="O389" s="106"/>
      <c r="P389" s="106"/>
      <c r="Q389" s="105"/>
      <c r="R389" s="105"/>
      <c r="S389" s="105"/>
      <c r="T389" s="105"/>
      <c r="U389" s="105"/>
      <c r="V389" s="42" t="s">
        <v>604</v>
      </c>
      <c r="W389" s="105"/>
      <c r="X389" s="105"/>
      <c r="Y389" s="105"/>
      <c r="Z389" s="438"/>
      <c r="AA389" s="438"/>
      <c r="AB389" s="105"/>
      <c r="AC389" s="105"/>
      <c r="AD389" s="276" t="s">
        <v>62</v>
      </c>
      <c r="AE389" s="277"/>
      <c r="AF389" s="276" t="s">
        <v>63</v>
      </c>
      <c r="AG389" s="343">
        <v>45553</v>
      </c>
      <c r="AH389" s="343">
        <v>45667</v>
      </c>
      <c r="AI389" s="343">
        <v>45553</v>
      </c>
      <c r="AJ389" s="58" t="s">
        <v>63</v>
      </c>
      <c r="AK389" s="343">
        <v>45493</v>
      </c>
      <c r="AL389" s="367"/>
      <c r="AM389" s="367"/>
    </row>
    <row r="390" spans="1:39" x14ac:dyDescent="0.25">
      <c r="A390" s="103">
        <v>390</v>
      </c>
      <c r="B390" s="104">
        <v>37219</v>
      </c>
      <c r="C390" s="227" t="s">
        <v>64</v>
      </c>
      <c r="D390" s="103" t="s">
        <v>866</v>
      </c>
      <c r="E390" s="229" t="s">
        <v>1932</v>
      </c>
      <c r="F390" s="103" t="s">
        <v>863</v>
      </c>
      <c r="G390" s="103" t="s">
        <v>15</v>
      </c>
      <c r="H390" s="230">
        <v>43674</v>
      </c>
      <c r="I390" s="103"/>
      <c r="J390" s="103"/>
      <c r="K390" s="105"/>
      <c r="L390" s="106"/>
      <c r="M390" s="105"/>
      <c r="N390" s="105"/>
      <c r="O390" s="106"/>
      <c r="P390" s="106"/>
      <c r="Q390" s="105"/>
      <c r="R390" s="105"/>
      <c r="S390" s="105"/>
      <c r="T390" s="105"/>
      <c r="U390" s="105"/>
      <c r="V390" s="42" t="s">
        <v>616</v>
      </c>
      <c r="W390" s="105"/>
      <c r="X390" s="105"/>
      <c r="Y390" s="105"/>
      <c r="Z390" s="438"/>
      <c r="AA390" s="438"/>
      <c r="AB390" s="105"/>
      <c r="AC390" s="105"/>
      <c r="AD390" s="276" t="s">
        <v>68</v>
      </c>
      <c r="AE390" s="277"/>
      <c r="AG390" s="343">
        <v>45548</v>
      </c>
      <c r="AH390" s="343">
        <v>45548</v>
      </c>
      <c r="AI390" s="343">
        <v>45548</v>
      </c>
      <c r="AJ390" s="58" t="s">
        <v>63</v>
      </c>
      <c r="AK390" s="343">
        <v>45505</v>
      </c>
      <c r="AL390" s="367"/>
      <c r="AM390" s="343">
        <v>45533</v>
      </c>
    </row>
    <row r="391" spans="1:39" x14ac:dyDescent="0.25">
      <c r="A391" s="103">
        <v>391</v>
      </c>
      <c r="B391" s="104">
        <v>37219</v>
      </c>
      <c r="C391" s="227" t="s">
        <v>54</v>
      </c>
      <c r="D391" s="103" t="s">
        <v>865</v>
      </c>
      <c r="E391" s="229" t="s">
        <v>1932</v>
      </c>
      <c r="F391" s="103" t="s">
        <v>863</v>
      </c>
      <c r="G391" s="103" t="s">
        <v>15</v>
      </c>
      <c r="H391" s="230">
        <v>43674</v>
      </c>
      <c r="I391" s="103"/>
      <c r="J391" s="103"/>
      <c r="K391" s="105"/>
      <c r="L391" s="106"/>
      <c r="M391" s="105"/>
      <c r="N391" s="105"/>
      <c r="O391" s="106"/>
      <c r="P391" s="106"/>
      <c r="Q391" s="105"/>
      <c r="R391" s="105"/>
      <c r="S391" s="105"/>
      <c r="T391" s="105"/>
      <c r="U391" s="105"/>
      <c r="V391" s="42" t="s">
        <v>604</v>
      </c>
      <c r="W391" s="105"/>
      <c r="X391" s="105"/>
      <c r="Y391" s="105"/>
      <c r="Z391" s="438"/>
      <c r="AA391" s="438"/>
      <c r="AB391" s="105"/>
      <c r="AC391" s="105"/>
      <c r="AD391" s="276" t="s">
        <v>62</v>
      </c>
      <c r="AE391" s="277"/>
      <c r="AG391" s="343">
        <v>45548</v>
      </c>
      <c r="AH391" s="343">
        <v>45548</v>
      </c>
      <c r="AI391" s="343">
        <v>45548</v>
      </c>
      <c r="AJ391" s="58" t="s">
        <v>63</v>
      </c>
      <c r="AK391" s="343">
        <v>45505</v>
      </c>
      <c r="AL391" s="367"/>
      <c r="AM391" s="343">
        <v>45533</v>
      </c>
    </row>
    <row r="392" spans="1:39" x14ac:dyDescent="0.25">
      <c r="A392" s="103">
        <v>392</v>
      </c>
      <c r="B392" s="104">
        <v>30753</v>
      </c>
      <c r="C392" s="227" t="s">
        <v>64</v>
      </c>
      <c r="D392" s="103" t="s">
        <v>949</v>
      </c>
      <c r="E392" s="229" t="s">
        <v>1932</v>
      </c>
      <c r="F392" s="103" t="s">
        <v>863</v>
      </c>
      <c r="G392" s="103" t="s">
        <v>15</v>
      </c>
      <c r="H392" s="230">
        <v>43693</v>
      </c>
      <c r="I392" s="103"/>
      <c r="J392" s="103"/>
      <c r="K392" s="105"/>
      <c r="L392" s="106"/>
      <c r="M392" s="105"/>
      <c r="N392" s="105"/>
      <c r="O392" s="106"/>
      <c r="P392" s="106"/>
      <c r="Q392" s="105"/>
      <c r="R392" s="105"/>
      <c r="S392" s="105"/>
      <c r="T392" s="105"/>
      <c r="U392" s="105"/>
      <c r="V392" s="105"/>
      <c r="W392" s="105"/>
      <c r="X392" s="105"/>
      <c r="Y392" s="105"/>
      <c r="Z392" s="438"/>
      <c r="AA392" s="438"/>
      <c r="AB392" s="105"/>
      <c r="AC392" s="105"/>
      <c r="AD392" s="276" t="s">
        <v>68</v>
      </c>
      <c r="AE392" s="277"/>
      <c r="AF392" s="281">
        <v>45631</v>
      </c>
      <c r="AG392" s="343">
        <v>45536</v>
      </c>
      <c r="AH392" s="343">
        <v>45536</v>
      </c>
      <c r="AI392" s="343">
        <v>45579</v>
      </c>
      <c r="AJ392" s="58" t="s">
        <v>63</v>
      </c>
      <c r="AK392" s="343">
        <v>45588</v>
      </c>
      <c r="AL392" s="343">
        <v>45588</v>
      </c>
      <c r="AM392" s="343">
        <v>45588</v>
      </c>
    </row>
    <row r="393" spans="1:39" x14ac:dyDescent="0.25">
      <c r="A393" s="103">
        <v>393</v>
      </c>
      <c r="B393" s="104">
        <v>30753</v>
      </c>
      <c r="C393" s="227" t="s">
        <v>54</v>
      </c>
      <c r="D393" s="103" t="s">
        <v>948</v>
      </c>
      <c r="E393" s="229" t="s">
        <v>1932</v>
      </c>
      <c r="F393" s="103" t="s">
        <v>863</v>
      </c>
      <c r="G393" s="103" t="s">
        <v>15</v>
      </c>
      <c r="H393" s="230">
        <v>43693</v>
      </c>
      <c r="I393" s="103"/>
      <c r="J393" s="103"/>
      <c r="K393" s="105"/>
      <c r="L393" s="106"/>
      <c r="M393" s="105"/>
      <c r="N393" s="105"/>
      <c r="O393" s="106"/>
      <c r="P393" s="106"/>
      <c r="Q393" s="105"/>
      <c r="R393" s="105"/>
      <c r="S393" s="105"/>
      <c r="T393" s="105"/>
      <c r="U393" s="105"/>
      <c r="V393" s="105"/>
      <c r="W393" s="105"/>
      <c r="X393" s="105"/>
      <c r="Y393" s="105"/>
      <c r="Z393" s="438"/>
      <c r="AA393" s="438"/>
      <c r="AB393" s="105"/>
      <c r="AC393" s="105"/>
      <c r="AD393" s="276" t="s">
        <v>62</v>
      </c>
      <c r="AE393" s="277"/>
      <c r="AF393" s="281">
        <v>45631</v>
      </c>
      <c r="AG393" s="343">
        <v>45536</v>
      </c>
      <c r="AH393" s="343">
        <v>45536</v>
      </c>
      <c r="AI393" s="343">
        <v>45579</v>
      </c>
      <c r="AJ393" s="58" t="s">
        <v>63</v>
      </c>
      <c r="AK393" s="343">
        <v>45588</v>
      </c>
      <c r="AL393" s="343">
        <v>45588</v>
      </c>
      <c r="AM393" s="343">
        <v>45588</v>
      </c>
    </row>
    <row r="394" spans="1:39" x14ac:dyDescent="0.25">
      <c r="A394" s="103">
        <v>394</v>
      </c>
      <c r="B394" s="104">
        <v>37378</v>
      </c>
      <c r="C394" s="227" t="s">
        <v>64</v>
      </c>
      <c r="D394" s="103" t="s">
        <v>887</v>
      </c>
      <c r="E394" s="229" t="s">
        <v>1932</v>
      </c>
      <c r="F394" s="103" t="s">
        <v>863</v>
      </c>
      <c r="G394" s="103" t="s">
        <v>15</v>
      </c>
      <c r="H394" s="230">
        <v>44008</v>
      </c>
      <c r="I394" s="103"/>
      <c r="J394" s="103"/>
      <c r="K394" s="105"/>
      <c r="L394" s="106"/>
      <c r="M394" s="105"/>
      <c r="N394" s="105"/>
      <c r="O394" s="106"/>
      <c r="P394" s="106"/>
      <c r="Q394" s="105"/>
      <c r="R394" s="105"/>
      <c r="S394" s="105"/>
      <c r="T394" s="105"/>
      <c r="U394" s="105"/>
      <c r="V394" s="42" t="s">
        <v>616</v>
      </c>
      <c r="W394" s="105"/>
      <c r="X394" s="105"/>
      <c r="Y394" s="105"/>
      <c r="Z394" s="438"/>
      <c r="AA394" s="438"/>
      <c r="AB394" s="105"/>
      <c r="AC394" s="105"/>
      <c r="AD394" s="276" t="s">
        <v>68</v>
      </c>
      <c r="AE394" s="277"/>
      <c r="AF394" s="343">
        <v>45785</v>
      </c>
      <c r="AG394" s="343">
        <v>45543</v>
      </c>
      <c r="AH394" s="343">
        <v>45543</v>
      </c>
      <c r="AI394" s="343">
        <v>45543</v>
      </c>
      <c r="AK394" s="343">
        <v>45592</v>
      </c>
      <c r="AL394" s="367"/>
      <c r="AM394" s="343">
        <v>45527</v>
      </c>
    </row>
    <row r="395" spans="1:39" x14ac:dyDescent="0.25">
      <c r="A395" s="103">
        <v>395</v>
      </c>
      <c r="B395" s="104">
        <v>37378</v>
      </c>
      <c r="C395" s="227" t="s">
        <v>54</v>
      </c>
      <c r="D395" s="103" t="s">
        <v>2590</v>
      </c>
      <c r="E395" s="229" t="s">
        <v>1932</v>
      </c>
      <c r="F395" s="103" t="s">
        <v>863</v>
      </c>
      <c r="G395" s="103" t="s">
        <v>15</v>
      </c>
      <c r="H395" s="230">
        <v>44008</v>
      </c>
      <c r="I395" s="103"/>
      <c r="J395" s="103"/>
      <c r="K395" s="105"/>
      <c r="L395" s="106"/>
      <c r="M395" s="105"/>
      <c r="N395" s="105"/>
      <c r="O395" s="106"/>
      <c r="P395" s="106"/>
      <c r="Q395" s="105"/>
      <c r="R395" s="105"/>
      <c r="S395" s="105"/>
      <c r="T395" s="105"/>
      <c r="U395" s="105"/>
      <c r="V395" s="42" t="s">
        <v>604</v>
      </c>
      <c r="W395" s="105"/>
      <c r="X395" s="105"/>
      <c r="Y395" s="105"/>
      <c r="Z395" s="438"/>
      <c r="AA395" s="438"/>
      <c r="AB395" s="105"/>
      <c r="AC395" s="105"/>
      <c r="AD395" s="276" t="s">
        <v>62</v>
      </c>
      <c r="AE395" s="277"/>
      <c r="AF395" s="343">
        <v>45785</v>
      </c>
      <c r="AG395" s="343">
        <v>45543</v>
      </c>
      <c r="AH395" s="343">
        <v>45543</v>
      </c>
      <c r="AI395" s="343">
        <v>45543</v>
      </c>
      <c r="AK395" s="343">
        <v>45592</v>
      </c>
      <c r="AL395" s="343"/>
      <c r="AM395" s="343">
        <v>45527</v>
      </c>
    </row>
    <row r="396" spans="1:39" x14ac:dyDescent="0.25">
      <c r="A396" s="103">
        <v>396</v>
      </c>
      <c r="B396" s="104">
        <v>37369</v>
      </c>
      <c r="C396" s="227" t="s">
        <v>64</v>
      </c>
      <c r="D396" s="103" t="s">
        <v>956</v>
      </c>
      <c r="E396" s="229" t="s">
        <v>1932</v>
      </c>
      <c r="F396" s="103" t="s">
        <v>863</v>
      </c>
      <c r="G396" s="103" t="s">
        <v>15</v>
      </c>
      <c r="H396" s="230">
        <v>43999</v>
      </c>
      <c r="I396" s="103"/>
      <c r="J396" s="103"/>
      <c r="K396" s="105"/>
      <c r="L396" s="106"/>
      <c r="M396" s="105"/>
      <c r="N396" s="105"/>
      <c r="O396" s="106"/>
      <c r="P396" s="106"/>
      <c r="Q396" s="105"/>
      <c r="R396" s="105"/>
      <c r="S396" s="105"/>
      <c r="T396" s="105"/>
      <c r="U396" s="105"/>
      <c r="V396" s="42" t="s">
        <v>616</v>
      </c>
      <c r="W396" s="105"/>
      <c r="X396" s="105"/>
      <c r="Y396" s="105"/>
      <c r="Z396" s="438"/>
      <c r="AA396" s="438"/>
      <c r="AB396" s="105"/>
      <c r="AC396" s="105"/>
      <c r="AD396" s="276" t="s">
        <v>68</v>
      </c>
      <c r="AE396" s="277"/>
      <c r="AG396" s="343">
        <v>45530</v>
      </c>
      <c r="AH396" s="343">
        <v>45530</v>
      </c>
      <c r="AI396" s="343">
        <v>45530</v>
      </c>
      <c r="AJ396" s="58" t="s">
        <v>63</v>
      </c>
      <c r="AK396" s="343">
        <v>45728</v>
      </c>
      <c r="AL396" s="289"/>
      <c r="AM396" s="343">
        <v>45727</v>
      </c>
    </row>
    <row r="397" spans="1:39" x14ac:dyDescent="0.25">
      <c r="A397" s="103">
        <v>397</v>
      </c>
      <c r="B397" s="104">
        <v>37369</v>
      </c>
      <c r="C397" s="227" t="s">
        <v>54</v>
      </c>
      <c r="D397" s="103" t="s">
        <v>954</v>
      </c>
      <c r="E397" s="229" t="s">
        <v>1932</v>
      </c>
      <c r="F397" s="103" t="s">
        <v>863</v>
      </c>
      <c r="G397" s="103" t="s">
        <v>15</v>
      </c>
      <c r="H397" s="230">
        <v>43999</v>
      </c>
      <c r="I397" s="103"/>
      <c r="J397" s="103"/>
      <c r="K397" s="105"/>
      <c r="L397" s="106"/>
      <c r="M397" s="105"/>
      <c r="N397" s="105"/>
      <c r="O397" s="106"/>
      <c r="P397" s="106"/>
      <c r="Q397" s="105"/>
      <c r="R397" s="105"/>
      <c r="S397" s="105"/>
      <c r="T397" s="105"/>
      <c r="U397" s="105"/>
      <c r="V397" s="42" t="s">
        <v>604</v>
      </c>
      <c r="W397" s="105"/>
      <c r="X397" s="105"/>
      <c r="Y397" s="105"/>
      <c r="Z397" s="438"/>
      <c r="AA397" s="438"/>
      <c r="AB397" s="105"/>
      <c r="AC397" s="105"/>
      <c r="AD397" s="276" t="s">
        <v>62</v>
      </c>
      <c r="AE397" s="277"/>
      <c r="AG397" s="343">
        <v>45530</v>
      </c>
      <c r="AH397" s="343">
        <v>45530</v>
      </c>
      <c r="AI397" s="343">
        <v>45530</v>
      </c>
      <c r="AJ397" s="58" t="s">
        <v>63</v>
      </c>
      <c r="AK397" s="343">
        <v>45728</v>
      </c>
      <c r="AM397" s="343">
        <v>45727</v>
      </c>
    </row>
    <row r="398" spans="1:39" x14ac:dyDescent="0.25">
      <c r="A398" s="103">
        <v>398</v>
      </c>
      <c r="B398" s="104">
        <v>39309</v>
      </c>
      <c r="C398" s="227" t="s">
        <v>64</v>
      </c>
      <c r="D398" s="103" t="s">
        <v>2591</v>
      </c>
      <c r="E398" s="229" t="s">
        <v>1932</v>
      </c>
      <c r="F398" s="103" t="s">
        <v>863</v>
      </c>
      <c r="G398" s="103" t="s">
        <v>15</v>
      </c>
      <c r="H398" s="103"/>
      <c r="I398" s="103"/>
      <c r="J398" s="103"/>
      <c r="K398" s="105"/>
      <c r="L398" s="106"/>
      <c r="M398" s="105"/>
      <c r="N398" s="105"/>
      <c r="O398" s="106"/>
      <c r="P398" s="106"/>
      <c r="Q398" s="105"/>
      <c r="R398" s="105"/>
      <c r="S398" s="105"/>
      <c r="T398" s="105"/>
      <c r="U398" s="105"/>
      <c r="V398" s="105"/>
      <c r="W398" s="105"/>
      <c r="X398" s="105"/>
      <c r="Y398" s="105"/>
      <c r="Z398" s="438"/>
      <c r="AA398" s="438"/>
      <c r="AB398" s="105"/>
      <c r="AC398" s="105"/>
      <c r="AD398" s="276" t="s">
        <v>68</v>
      </c>
      <c r="AE398" s="277"/>
      <c r="AF398" s="276" t="s">
        <v>63</v>
      </c>
      <c r="AG398" s="343">
        <v>45534</v>
      </c>
      <c r="AH398" s="343">
        <v>45534</v>
      </c>
      <c r="AI398" s="343">
        <v>45534</v>
      </c>
      <c r="AJ398" s="58" t="s">
        <v>63</v>
      </c>
      <c r="AK398" s="343">
        <v>45579</v>
      </c>
      <c r="AM398" s="343">
        <v>45579</v>
      </c>
    </row>
    <row r="399" spans="1:39" x14ac:dyDescent="0.25">
      <c r="A399" s="103">
        <v>399</v>
      </c>
      <c r="B399" s="104">
        <v>39309</v>
      </c>
      <c r="C399" s="227" t="s">
        <v>54</v>
      </c>
      <c r="D399" s="103" t="s">
        <v>2591</v>
      </c>
      <c r="E399" s="229" t="s">
        <v>1932</v>
      </c>
      <c r="F399" s="103" t="s">
        <v>863</v>
      </c>
      <c r="G399" s="103" t="s">
        <v>15</v>
      </c>
      <c r="H399" s="103"/>
      <c r="I399" s="103"/>
      <c r="J399" s="103"/>
      <c r="K399" s="105"/>
      <c r="L399" s="106"/>
      <c r="M399" s="105"/>
      <c r="N399" s="105"/>
      <c r="O399" s="106"/>
      <c r="P399" s="106"/>
      <c r="Q399" s="105"/>
      <c r="R399" s="105"/>
      <c r="S399" s="105"/>
      <c r="T399" s="105"/>
      <c r="U399" s="105"/>
      <c r="V399" s="105"/>
      <c r="W399" s="105"/>
      <c r="X399" s="105"/>
      <c r="Y399" s="105"/>
      <c r="Z399" s="438"/>
      <c r="AA399" s="438"/>
      <c r="AB399" s="105"/>
      <c r="AC399" s="105"/>
      <c r="AD399" s="276" t="s">
        <v>62</v>
      </c>
      <c r="AE399" s="277"/>
      <c r="AF399" s="276" t="s">
        <v>63</v>
      </c>
      <c r="AG399" s="343">
        <v>45534</v>
      </c>
      <c r="AH399" s="343">
        <v>45534</v>
      </c>
      <c r="AI399" s="343">
        <v>45534</v>
      </c>
      <c r="AJ399" s="58" t="s">
        <v>63</v>
      </c>
      <c r="AK399" s="343">
        <v>45579</v>
      </c>
      <c r="AM399" s="343">
        <v>45579</v>
      </c>
    </row>
    <row r="400" spans="1:39" x14ac:dyDescent="0.25">
      <c r="A400" s="103">
        <v>400</v>
      </c>
      <c r="B400" s="104">
        <v>39312</v>
      </c>
      <c r="C400" s="227" t="s">
        <v>64</v>
      </c>
      <c r="D400" s="103" t="s">
        <v>2592</v>
      </c>
      <c r="E400" s="229" t="s">
        <v>1932</v>
      </c>
      <c r="F400" s="103" t="s">
        <v>863</v>
      </c>
      <c r="G400" s="103" t="s">
        <v>15</v>
      </c>
      <c r="H400" s="103"/>
      <c r="I400" s="103"/>
      <c r="J400" s="103"/>
      <c r="K400" s="105"/>
      <c r="L400" s="106"/>
      <c r="M400" s="105"/>
      <c r="N400" s="105"/>
      <c r="O400" s="106"/>
      <c r="P400" s="106"/>
      <c r="Q400" s="105"/>
      <c r="R400" s="105"/>
      <c r="S400" s="105"/>
      <c r="T400" s="105"/>
      <c r="U400" s="105"/>
      <c r="V400" s="42" t="s">
        <v>616</v>
      </c>
      <c r="W400" s="105"/>
      <c r="X400" s="105"/>
      <c r="Y400" s="105"/>
      <c r="Z400" s="438"/>
      <c r="AA400" s="438"/>
      <c r="AB400" s="105"/>
      <c r="AC400" s="105"/>
      <c r="AD400" s="276" t="s">
        <v>68</v>
      </c>
      <c r="AE400" s="277"/>
      <c r="AF400" s="276" t="s">
        <v>63</v>
      </c>
      <c r="AG400" s="343">
        <v>45547</v>
      </c>
      <c r="AH400" s="343">
        <v>45547</v>
      </c>
      <c r="AI400" s="343">
        <v>45547</v>
      </c>
      <c r="AJ400" s="58" t="s">
        <v>63</v>
      </c>
      <c r="AK400" s="343">
        <v>45832</v>
      </c>
      <c r="AM400" s="343">
        <v>45832</v>
      </c>
    </row>
    <row r="401" spans="1:39" x14ac:dyDescent="0.25">
      <c r="A401" s="103">
        <v>401</v>
      </c>
      <c r="B401" s="104">
        <v>39312</v>
      </c>
      <c r="C401" s="227" t="s">
        <v>54</v>
      </c>
      <c r="D401" s="103" t="s">
        <v>2593</v>
      </c>
      <c r="E401" s="229" t="s">
        <v>1932</v>
      </c>
      <c r="F401" s="103" t="s">
        <v>863</v>
      </c>
      <c r="G401" s="103" t="s">
        <v>15</v>
      </c>
      <c r="H401" s="103"/>
      <c r="I401" s="103"/>
      <c r="J401" s="103"/>
      <c r="K401" s="105"/>
      <c r="L401" s="106"/>
      <c r="M401" s="105"/>
      <c r="N401" s="105"/>
      <c r="O401" s="106"/>
      <c r="P401" s="106"/>
      <c r="Q401" s="105"/>
      <c r="R401" s="105"/>
      <c r="S401" s="105"/>
      <c r="T401" s="105"/>
      <c r="U401" s="105"/>
      <c r="V401" s="42" t="s">
        <v>604</v>
      </c>
      <c r="W401" s="105"/>
      <c r="X401" s="105"/>
      <c r="Y401" s="105"/>
      <c r="Z401" s="438"/>
      <c r="AA401" s="438"/>
      <c r="AB401" s="105"/>
      <c r="AC401" s="105"/>
      <c r="AD401" s="276" t="s">
        <v>62</v>
      </c>
      <c r="AE401" s="277"/>
      <c r="AF401" s="276" t="s">
        <v>63</v>
      </c>
      <c r="AG401" s="343">
        <v>45547</v>
      </c>
      <c r="AH401" s="343">
        <v>45547</v>
      </c>
      <c r="AI401" s="343">
        <v>45547</v>
      </c>
      <c r="AJ401" s="58" t="s">
        <v>63</v>
      </c>
      <c r="AK401" s="343">
        <v>45832</v>
      </c>
      <c r="AM401" s="343">
        <v>45832</v>
      </c>
    </row>
    <row r="402" spans="1:39" x14ac:dyDescent="0.25">
      <c r="A402" s="103">
        <v>402</v>
      </c>
      <c r="B402" s="104">
        <v>30360</v>
      </c>
      <c r="C402" s="227" t="s">
        <v>64</v>
      </c>
      <c r="D402" s="103"/>
      <c r="E402" s="229" t="s">
        <v>1932</v>
      </c>
      <c r="F402" s="103" t="s">
        <v>863</v>
      </c>
      <c r="G402" s="103" t="s">
        <v>15</v>
      </c>
      <c r="H402" s="103"/>
      <c r="I402" s="103"/>
      <c r="J402" s="103"/>
      <c r="K402" s="105"/>
      <c r="L402" s="106"/>
      <c r="M402" s="105"/>
      <c r="N402" s="105"/>
      <c r="O402" s="106"/>
      <c r="P402" s="106"/>
      <c r="Q402" s="105"/>
      <c r="R402" s="105"/>
      <c r="S402" s="105"/>
      <c r="T402" s="105"/>
      <c r="U402" s="105"/>
      <c r="V402" s="42" t="s">
        <v>616</v>
      </c>
      <c r="W402" s="105"/>
      <c r="X402" s="105"/>
      <c r="Y402" s="105"/>
      <c r="Z402" s="438"/>
      <c r="AA402" s="438"/>
      <c r="AB402" s="105"/>
      <c r="AC402" s="105"/>
      <c r="AD402" s="276" t="s">
        <v>68</v>
      </c>
      <c r="AE402" s="277"/>
      <c r="AF402" s="276" t="s">
        <v>63</v>
      </c>
      <c r="AG402" s="343">
        <v>45545</v>
      </c>
      <c r="AH402" s="343">
        <v>45545</v>
      </c>
      <c r="AI402" s="343">
        <v>45545</v>
      </c>
      <c r="AJ402" s="58" t="s">
        <v>63</v>
      </c>
    </row>
    <row r="403" spans="1:39" x14ac:dyDescent="0.25">
      <c r="A403" s="103">
        <v>403</v>
      </c>
      <c r="B403" s="104">
        <v>30360</v>
      </c>
      <c r="C403" s="227" t="s">
        <v>54</v>
      </c>
      <c r="D403" s="103"/>
      <c r="E403" s="229" t="s">
        <v>1932</v>
      </c>
      <c r="F403" s="103" t="s">
        <v>863</v>
      </c>
      <c r="G403" s="103" t="s">
        <v>15</v>
      </c>
      <c r="H403" s="103"/>
      <c r="I403" s="103"/>
      <c r="J403" s="103"/>
      <c r="K403" s="105"/>
      <c r="L403" s="106"/>
      <c r="M403" s="105"/>
      <c r="N403" s="105"/>
      <c r="O403" s="106"/>
      <c r="P403" s="106"/>
      <c r="Q403" s="105"/>
      <c r="R403" s="105"/>
      <c r="S403" s="105"/>
      <c r="T403" s="105"/>
      <c r="U403" s="105"/>
      <c r="V403" s="42" t="s">
        <v>604</v>
      </c>
      <c r="W403" s="105"/>
      <c r="X403" s="105"/>
      <c r="Y403" s="105"/>
      <c r="Z403" s="438"/>
      <c r="AA403" s="438"/>
      <c r="AB403" s="105"/>
      <c r="AC403" s="105"/>
      <c r="AD403" s="276" t="s">
        <v>62</v>
      </c>
      <c r="AE403" s="277"/>
      <c r="AF403" s="276" t="s">
        <v>63</v>
      </c>
      <c r="AG403" s="343">
        <v>45545</v>
      </c>
      <c r="AH403" s="343">
        <v>45545</v>
      </c>
      <c r="AI403" s="343">
        <v>45545</v>
      </c>
      <c r="AJ403" s="58" t="s">
        <v>63</v>
      </c>
    </row>
    <row r="404" spans="1:39" x14ac:dyDescent="0.25">
      <c r="A404" s="103">
        <v>404</v>
      </c>
      <c r="B404" s="104">
        <v>37416</v>
      </c>
      <c r="C404" s="227" t="s">
        <v>64</v>
      </c>
      <c r="D404" s="103"/>
      <c r="E404" s="229" t="s">
        <v>1932</v>
      </c>
      <c r="F404" s="103" t="s">
        <v>863</v>
      </c>
      <c r="G404" s="103" t="s">
        <v>15</v>
      </c>
      <c r="H404" s="103"/>
      <c r="I404" s="103"/>
      <c r="J404" s="103"/>
      <c r="K404" s="105"/>
      <c r="L404" s="106"/>
      <c r="M404" s="105"/>
      <c r="N404" s="105"/>
      <c r="O404" s="106"/>
      <c r="P404" s="106"/>
      <c r="Q404" s="105"/>
      <c r="R404" s="105"/>
      <c r="S404" s="105"/>
      <c r="T404" s="105"/>
      <c r="U404" s="105"/>
      <c r="V404" s="42" t="s">
        <v>616</v>
      </c>
      <c r="W404" s="105"/>
      <c r="X404" s="105"/>
      <c r="Y404" s="105"/>
      <c r="Z404" s="438"/>
      <c r="AA404" s="438"/>
      <c r="AB404" s="105"/>
      <c r="AC404" s="105"/>
      <c r="AD404" s="276" t="s">
        <v>68</v>
      </c>
      <c r="AE404" s="277"/>
      <c r="AF404" s="343">
        <v>45665</v>
      </c>
      <c r="AG404" s="343">
        <v>45568</v>
      </c>
      <c r="AH404" s="343">
        <v>45568</v>
      </c>
      <c r="AI404" s="343">
        <v>45720</v>
      </c>
      <c r="AJ404" s="58" t="s">
        <v>63</v>
      </c>
      <c r="AK404" s="343">
        <v>45728</v>
      </c>
      <c r="AM404" s="343">
        <v>45569</v>
      </c>
    </row>
    <row r="405" spans="1:39" x14ac:dyDescent="0.25">
      <c r="A405" s="103">
        <v>405</v>
      </c>
      <c r="B405" s="104">
        <v>37416</v>
      </c>
      <c r="C405" s="227" t="s">
        <v>54</v>
      </c>
      <c r="D405" s="103"/>
      <c r="E405" s="229" t="s">
        <v>1932</v>
      </c>
      <c r="F405" s="103" t="s">
        <v>863</v>
      </c>
      <c r="G405" s="103" t="s">
        <v>15</v>
      </c>
      <c r="H405" s="103"/>
      <c r="I405" s="103"/>
      <c r="J405" s="103"/>
      <c r="K405" s="105"/>
      <c r="L405" s="106"/>
      <c r="M405" s="105"/>
      <c r="N405" s="105"/>
      <c r="O405" s="106"/>
      <c r="P405" s="106"/>
      <c r="Q405" s="105"/>
      <c r="R405" s="105"/>
      <c r="S405" s="105"/>
      <c r="T405" s="105"/>
      <c r="U405" s="105"/>
      <c r="V405" s="42" t="s">
        <v>604</v>
      </c>
      <c r="W405" s="105"/>
      <c r="X405" s="105"/>
      <c r="Y405" s="105"/>
      <c r="Z405" s="438"/>
      <c r="AA405" s="438"/>
      <c r="AB405" s="105" t="s">
        <v>2594</v>
      </c>
      <c r="AC405" s="105"/>
      <c r="AD405" s="276" t="s">
        <v>62</v>
      </c>
      <c r="AE405" s="277"/>
      <c r="AF405" s="343">
        <v>45665</v>
      </c>
      <c r="AG405" s="343">
        <v>45568</v>
      </c>
      <c r="AH405" s="343">
        <v>45568</v>
      </c>
      <c r="AI405" s="343">
        <v>45720</v>
      </c>
      <c r="AJ405" s="58" t="s">
        <v>63</v>
      </c>
      <c r="AK405" s="343">
        <v>45728</v>
      </c>
      <c r="AM405" s="343">
        <v>45569</v>
      </c>
    </row>
    <row r="406" spans="1:39" x14ac:dyDescent="0.25">
      <c r="A406" s="103">
        <v>406</v>
      </c>
      <c r="B406" s="104">
        <v>37030</v>
      </c>
      <c r="C406" s="227" t="s">
        <v>64</v>
      </c>
      <c r="D406" s="103"/>
      <c r="E406" s="229" t="s">
        <v>1932</v>
      </c>
      <c r="F406" s="103" t="s">
        <v>863</v>
      </c>
      <c r="G406" s="103" t="s">
        <v>15</v>
      </c>
      <c r="H406" s="103"/>
      <c r="I406" s="103"/>
      <c r="J406" s="103"/>
      <c r="K406" s="105"/>
      <c r="L406" s="106"/>
      <c r="M406" s="105"/>
      <c r="N406" s="105"/>
      <c r="O406" s="106"/>
      <c r="P406" s="106"/>
      <c r="Q406" s="105"/>
      <c r="R406" s="105"/>
      <c r="S406" s="105"/>
      <c r="T406" s="105"/>
      <c r="U406" s="105"/>
      <c r="V406" s="105"/>
      <c r="W406" s="105"/>
      <c r="X406" s="105"/>
      <c r="Y406" s="105"/>
      <c r="Z406" s="438"/>
      <c r="AA406" s="438"/>
      <c r="AB406" s="105"/>
      <c r="AC406" s="105"/>
      <c r="AD406" s="276" t="s">
        <v>68</v>
      </c>
      <c r="AE406" s="277"/>
      <c r="AF406" s="276" t="s">
        <v>63</v>
      </c>
      <c r="AG406" s="343">
        <v>45540</v>
      </c>
      <c r="AH406" s="343">
        <v>45701</v>
      </c>
      <c r="AI406" s="343">
        <v>45540</v>
      </c>
      <c r="AJ406" s="58" t="s">
        <v>63</v>
      </c>
      <c r="AK406" s="343">
        <v>45703</v>
      </c>
      <c r="AL406" s="343">
        <v>45540</v>
      </c>
    </row>
    <row r="407" spans="1:39" x14ac:dyDescent="0.25">
      <c r="A407" s="103">
        <v>407</v>
      </c>
      <c r="B407" s="104">
        <v>37030</v>
      </c>
      <c r="C407" s="227" t="s">
        <v>54</v>
      </c>
      <c r="D407" s="103"/>
      <c r="E407" s="229" t="s">
        <v>1932</v>
      </c>
      <c r="F407" s="103" t="s">
        <v>863</v>
      </c>
      <c r="G407" s="103" t="s">
        <v>15</v>
      </c>
      <c r="H407" s="103"/>
      <c r="I407" s="103"/>
      <c r="J407" s="103"/>
      <c r="K407" s="105"/>
      <c r="L407" s="106"/>
      <c r="M407" s="105"/>
      <c r="N407" s="105"/>
      <c r="O407" s="106"/>
      <c r="P407" s="106"/>
      <c r="Q407" s="105"/>
      <c r="R407" s="105"/>
      <c r="S407" s="105"/>
      <c r="T407" s="105"/>
      <c r="U407" s="105"/>
      <c r="V407" s="105"/>
      <c r="W407" s="105"/>
      <c r="X407" s="105"/>
      <c r="Y407" s="105"/>
      <c r="Z407" s="438"/>
      <c r="AA407" s="438"/>
      <c r="AB407" s="105"/>
      <c r="AC407" s="105"/>
      <c r="AD407" s="276" t="s">
        <v>62</v>
      </c>
      <c r="AE407" s="277"/>
      <c r="AF407" s="276" t="s">
        <v>63</v>
      </c>
      <c r="AG407" s="343">
        <v>45540</v>
      </c>
      <c r="AH407" s="343">
        <v>45701</v>
      </c>
      <c r="AI407" s="343">
        <v>45540</v>
      </c>
      <c r="AJ407" s="58" t="s">
        <v>63</v>
      </c>
      <c r="AK407" s="343">
        <v>45703</v>
      </c>
      <c r="AL407" s="343">
        <v>45540</v>
      </c>
    </row>
    <row r="408" spans="1:39" x14ac:dyDescent="0.25">
      <c r="A408" s="103">
        <v>408</v>
      </c>
      <c r="B408" s="104">
        <v>37261</v>
      </c>
      <c r="C408" s="227" t="s">
        <v>64</v>
      </c>
      <c r="D408" s="103"/>
      <c r="E408" s="229" t="s">
        <v>1932</v>
      </c>
      <c r="F408" s="103" t="s">
        <v>863</v>
      </c>
      <c r="G408" s="103" t="s">
        <v>15</v>
      </c>
      <c r="H408" s="103"/>
      <c r="I408" s="103"/>
      <c r="J408" s="103"/>
      <c r="K408" s="105"/>
      <c r="L408" s="106"/>
      <c r="M408" s="105"/>
      <c r="N408" s="105"/>
      <c r="O408" s="106"/>
      <c r="P408" s="106"/>
      <c r="Q408" s="105"/>
      <c r="R408" s="105"/>
      <c r="S408" s="105"/>
      <c r="T408" s="105"/>
      <c r="U408" s="105"/>
      <c r="V408" s="42" t="s">
        <v>616</v>
      </c>
      <c r="W408" s="105"/>
      <c r="X408" s="105"/>
      <c r="Y408" s="105"/>
      <c r="Z408" s="438"/>
      <c r="AA408" s="438"/>
      <c r="AB408" s="105"/>
      <c r="AC408" s="105"/>
      <c r="AD408" s="276" t="s">
        <v>68</v>
      </c>
      <c r="AE408" s="277"/>
      <c r="AF408" s="276" t="s">
        <v>63</v>
      </c>
      <c r="AG408" s="343">
        <v>45567</v>
      </c>
      <c r="AH408" s="343">
        <v>45567</v>
      </c>
      <c r="AI408" s="343">
        <v>45545</v>
      </c>
      <c r="AJ408" s="58" t="s">
        <v>63</v>
      </c>
      <c r="AK408" s="343">
        <v>45553</v>
      </c>
      <c r="AM408" s="343">
        <v>45563</v>
      </c>
    </row>
    <row r="409" spans="1:39" x14ac:dyDescent="0.25">
      <c r="A409" s="103">
        <v>409</v>
      </c>
      <c r="B409" s="104">
        <v>37261</v>
      </c>
      <c r="C409" s="227" t="s">
        <v>54</v>
      </c>
      <c r="D409" s="103"/>
      <c r="E409" s="229" t="s">
        <v>1932</v>
      </c>
      <c r="F409" s="103" t="s">
        <v>863</v>
      </c>
      <c r="G409" s="103" t="s">
        <v>15</v>
      </c>
      <c r="H409" s="103"/>
      <c r="I409" s="103"/>
      <c r="J409" s="103"/>
      <c r="K409" s="105"/>
      <c r="L409" s="106"/>
      <c r="M409" s="105"/>
      <c r="N409" s="105"/>
      <c r="O409" s="106"/>
      <c r="P409" s="106"/>
      <c r="Q409" s="105"/>
      <c r="R409" s="105"/>
      <c r="S409" s="105"/>
      <c r="T409" s="105"/>
      <c r="U409" s="105"/>
      <c r="V409" s="42" t="s">
        <v>604</v>
      </c>
      <c r="W409" s="105"/>
      <c r="X409" s="105"/>
      <c r="Y409" s="105"/>
      <c r="Z409" s="438"/>
      <c r="AA409" s="438"/>
      <c r="AB409" s="105"/>
      <c r="AC409" s="105"/>
      <c r="AD409" s="276" t="s">
        <v>62</v>
      </c>
      <c r="AE409" s="277"/>
      <c r="AF409" s="276" t="s">
        <v>63</v>
      </c>
      <c r="AG409" s="343">
        <v>45567</v>
      </c>
      <c r="AH409" s="343">
        <v>45567</v>
      </c>
      <c r="AI409" s="343">
        <v>45545</v>
      </c>
      <c r="AJ409" s="58" t="s">
        <v>63</v>
      </c>
      <c r="AK409" s="343">
        <v>45553</v>
      </c>
      <c r="AM409" s="343">
        <v>45563</v>
      </c>
    </row>
    <row r="410" spans="1:39" x14ac:dyDescent="0.25">
      <c r="A410" s="103">
        <v>410</v>
      </c>
      <c r="B410" s="104">
        <v>37264</v>
      </c>
      <c r="C410" s="227" t="s">
        <v>64</v>
      </c>
      <c r="D410" s="103"/>
      <c r="E410" s="229" t="s">
        <v>1932</v>
      </c>
      <c r="F410" s="103" t="s">
        <v>863</v>
      </c>
      <c r="G410" s="103" t="s">
        <v>15</v>
      </c>
      <c r="H410" s="103"/>
      <c r="I410" s="103"/>
      <c r="J410" s="103"/>
      <c r="K410" s="105"/>
      <c r="L410" s="106"/>
      <c r="M410" s="105"/>
      <c r="N410" s="105"/>
      <c r="O410" s="106"/>
      <c r="P410" s="106"/>
      <c r="Q410" s="105"/>
      <c r="R410" s="105"/>
      <c r="S410" s="105"/>
      <c r="T410" s="105"/>
      <c r="U410" s="105"/>
      <c r="V410" s="105"/>
      <c r="W410" s="105"/>
      <c r="X410" s="105"/>
      <c r="Y410" s="105"/>
      <c r="Z410" s="438"/>
      <c r="AA410" s="438"/>
      <c r="AB410" s="105"/>
      <c r="AC410" s="105"/>
      <c r="AD410" s="276" t="s">
        <v>68</v>
      </c>
      <c r="AE410" s="277"/>
      <c r="AF410" s="276" t="s">
        <v>63</v>
      </c>
      <c r="AG410" s="343">
        <v>45553</v>
      </c>
      <c r="AH410" s="343">
        <v>45553</v>
      </c>
      <c r="AI410" s="343">
        <v>45673</v>
      </c>
      <c r="AJ410" s="58" t="s">
        <v>63</v>
      </c>
      <c r="AK410" s="343">
        <v>45575</v>
      </c>
      <c r="AM410" s="343">
        <v>45565</v>
      </c>
    </row>
    <row r="411" spans="1:39" x14ac:dyDescent="0.25">
      <c r="A411" s="103">
        <v>411</v>
      </c>
      <c r="B411" s="104">
        <v>37264</v>
      </c>
      <c r="C411" s="227" t="s">
        <v>54</v>
      </c>
      <c r="D411" s="103"/>
      <c r="E411" s="229" t="s">
        <v>1932</v>
      </c>
      <c r="F411" s="103" t="s">
        <v>863</v>
      </c>
      <c r="G411" s="103" t="s">
        <v>15</v>
      </c>
      <c r="H411" s="103"/>
      <c r="I411" s="103"/>
      <c r="J411" s="103"/>
      <c r="K411" s="105"/>
      <c r="L411" s="106"/>
      <c r="M411" s="105"/>
      <c r="N411" s="105"/>
      <c r="O411" s="106"/>
      <c r="P411" s="106"/>
      <c r="Q411" s="105"/>
      <c r="R411" s="105"/>
      <c r="S411" s="105"/>
      <c r="T411" s="105"/>
      <c r="U411" s="105"/>
      <c r="V411" s="105"/>
      <c r="W411" s="105"/>
      <c r="X411" s="105"/>
      <c r="Y411" s="105"/>
      <c r="Z411" s="438"/>
      <c r="AA411" s="438"/>
      <c r="AB411" s="105"/>
      <c r="AC411" s="105"/>
      <c r="AD411" s="276" t="s">
        <v>62</v>
      </c>
      <c r="AE411" s="277"/>
      <c r="AF411" s="276" t="s">
        <v>63</v>
      </c>
      <c r="AG411" s="343">
        <v>45553</v>
      </c>
      <c r="AH411" s="343">
        <v>45553</v>
      </c>
      <c r="AI411" s="343">
        <v>45673</v>
      </c>
      <c r="AJ411" s="58" t="s">
        <v>63</v>
      </c>
      <c r="AK411" s="343">
        <v>45575</v>
      </c>
      <c r="AM411" s="343">
        <v>45565</v>
      </c>
    </row>
    <row r="412" spans="1:39" x14ac:dyDescent="0.25">
      <c r="A412" s="103">
        <v>412</v>
      </c>
      <c r="B412" s="104">
        <v>37377</v>
      </c>
      <c r="C412" s="227" t="s">
        <v>64</v>
      </c>
      <c r="D412" s="103"/>
      <c r="E412" s="229" t="s">
        <v>1932</v>
      </c>
      <c r="F412" s="103" t="s">
        <v>863</v>
      </c>
      <c r="G412" s="103" t="s">
        <v>15</v>
      </c>
      <c r="H412" s="103"/>
      <c r="I412" s="103"/>
      <c r="J412" s="103"/>
      <c r="K412" s="105"/>
      <c r="L412" s="106"/>
      <c r="M412" s="105"/>
      <c r="N412" s="105"/>
      <c r="O412" s="106"/>
      <c r="P412" s="106"/>
      <c r="Q412" s="105"/>
      <c r="R412" s="105"/>
      <c r="S412" s="105"/>
      <c r="T412" s="105"/>
      <c r="U412" s="105"/>
      <c r="V412" s="42" t="s">
        <v>616</v>
      </c>
      <c r="W412" s="105"/>
      <c r="X412" s="105"/>
      <c r="Y412" s="105"/>
      <c r="Z412" s="438"/>
      <c r="AA412" s="438"/>
      <c r="AB412" s="105"/>
      <c r="AC412" s="105"/>
      <c r="AD412" s="276" t="s">
        <v>68</v>
      </c>
      <c r="AE412" s="277"/>
      <c r="AF412" s="276" t="s">
        <v>63</v>
      </c>
      <c r="AG412" s="343">
        <v>45573</v>
      </c>
      <c r="AH412" s="343">
        <v>45736</v>
      </c>
      <c r="AI412" s="343">
        <v>45573</v>
      </c>
      <c r="AJ412" s="58" t="s">
        <v>63</v>
      </c>
      <c r="AK412" s="343">
        <v>45581</v>
      </c>
      <c r="AM412" s="343">
        <v>45573</v>
      </c>
    </row>
    <row r="413" spans="1:39" x14ac:dyDescent="0.25">
      <c r="A413" s="103">
        <v>413</v>
      </c>
      <c r="B413" s="104">
        <v>37377</v>
      </c>
      <c r="C413" s="227" t="s">
        <v>54</v>
      </c>
      <c r="D413" s="103"/>
      <c r="E413" s="229" t="s">
        <v>1932</v>
      </c>
      <c r="F413" s="103" t="s">
        <v>863</v>
      </c>
      <c r="G413" s="103" t="s">
        <v>15</v>
      </c>
      <c r="H413" s="103"/>
      <c r="I413" s="103"/>
      <c r="J413" s="103"/>
      <c r="K413" s="105"/>
      <c r="L413" s="106"/>
      <c r="M413" s="105"/>
      <c r="N413" s="105"/>
      <c r="O413" s="106"/>
      <c r="P413" s="106"/>
      <c r="Q413" s="105"/>
      <c r="R413" s="105"/>
      <c r="S413" s="105"/>
      <c r="T413" s="105"/>
      <c r="U413" s="105"/>
      <c r="V413" s="42" t="s">
        <v>604</v>
      </c>
      <c r="W413" s="105"/>
      <c r="X413" s="105"/>
      <c r="Y413" s="105"/>
      <c r="Z413" s="438"/>
      <c r="AA413" s="438"/>
      <c r="AB413" s="105"/>
      <c r="AC413" s="105"/>
      <c r="AD413" s="276" t="s">
        <v>62</v>
      </c>
      <c r="AE413" s="277"/>
      <c r="AF413" s="276" t="s">
        <v>63</v>
      </c>
      <c r="AG413" s="343">
        <v>45573</v>
      </c>
      <c r="AH413" s="343">
        <v>45736</v>
      </c>
      <c r="AI413" s="343">
        <v>45573</v>
      </c>
      <c r="AJ413" s="58" t="s">
        <v>63</v>
      </c>
      <c r="AK413" s="343">
        <v>45581</v>
      </c>
      <c r="AM413" s="343">
        <v>45573</v>
      </c>
    </row>
    <row r="414" spans="1:39" x14ac:dyDescent="0.25">
      <c r="A414" s="103">
        <v>414</v>
      </c>
      <c r="B414" s="104">
        <v>37418</v>
      </c>
      <c r="C414" s="227" t="s">
        <v>64</v>
      </c>
      <c r="D414" s="103"/>
      <c r="E414" s="229" t="s">
        <v>1932</v>
      </c>
      <c r="F414" s="103" t="s">
        <v>863</v>
      </c>
      <c r="G414" s="103" t="s">
        <v>15</v>
      </c>
      <c r="H414" s="103"/>
      <c r="I414" s="103"/>
      <c r="J414" s="103"/>
      <c r="K414" s="105"/>
      <c r="L414" s="106"/>
      <c r="M414" s="105"/>
      <c r="N414" s="105"/>
      <c r="O414" s="106"/>
      <c r="P414" s="106"/>
      <c r="Q414" s="105"/>
      <c r="R414" s="105"/>
      <c r="S414" s="105"/>
      <c r="T414" s="105"/>
      <c r="U414" s="105"/>
      <c r="V414" s="42" t="s">
        <v>616</v>
      </c>
      <c r="W414" s="105"/>
      <c r="X414" s="105"/>
      <c r="Y414" s="105"/>
      <c r="Z414" s="438"/>
      <c r="AA414" s="438"/>
      <c r="AB414" s="105"/>
      <c r="AC414" s="105"/>
      <c r="AD414" s="276" t="s">
        <v>68</v>
      </c>
      <c r="AE414" s="277"/>
      <c r="AF414" s="276" t="s">
        <v>63</v>
      </c>
      <c r="AG414" s="343">
        <v>45551</v>
      </c>
      <c r="AH414" s="343">
        <v>45698</v>
      </c>
      <c r="AI414" s="343">
        <v>45551</v>
      </c>
      <c r="AJ414" s="58" t="s">
        <v>63</v>
      </c>
      <c r="AK414" s="343">
        <v>45616</v>
      </c>
      <c r="AM414" s="343">
        <v>45616</v>
      </c>
    </row>
    <row r="415" spans="1:39" x14ac:dyDescent="0.25">
      <c r="A415" s="103">
        <v>415</v>
      </c>
      <c r="B415" s="104">
        <v>37418</v>
      </c>
      <c r="C415" s="227" t="s">
        <v>54</v>
      </c>
      <c r="D415" s="103"/>
      <c r="E415" s="229" t="s">
        <v>1932</v>
      </c>
      <c r="F415" s="103" t="s">
        <v>863</v>
      </c>
      <c r="G415" s="103" t="s">
        <v>15</v>
      </c>
      <c r="H415" s="103"/>
      <c r="I415" s="103"/>
      <c r="J415" s="103"/>
      <c r="K415" s="105"/>
      <c r="L415" s="106"/>
      <c r="M415" s="105"/>
      <c r="N415" s="105"/>
      <c r="O415" s="106"/>
      <c r="P415" s="106"/>
      <c r="Q415" s="105"/>
      <c r="R415" s="105"/>
      <c r="S415" s="105"/>
      <c r="T415" s="105"/>
      <c r="U415" s="105"/>
      <c r="V415" s="42" t="s">
        <v>604</v>
      </c>
      <c r="W415" s="105"/>
      <c r="X415" s="105"/>
      <c r="Y415" s="105"/>
      <c r="Z415" s="438"/>
      <c r="AA415" s="438"/>
      <c r="AB415" s="105"/>
      <c r="AC415" s="105"/>
      <c r="AD415" s="276" t="s">
        <v>62</v>
      </c>
      <c r="AE415" s="277"/>
      <c r="AF415" s="276" t="s">
        <v>63</v>
      </c>
      <c r="AG415" s="343">
        <v>45551</v>
      </c>
      <c r="AH415" s="343">
        <v>45698</v>
      </c>
      <c r="AI415" s="343">
        <v>45551</v>
      </c>
      <c r="AJ415" s="58" t="s">
        <v>63</v>
      </c>
      <c r="AK415" s="343">
        <v>45616</v>
      </c>
      <c r="AM415" s="343">
        <v>45616</v>
      </c>
    </row>
    <row r="416" spans="1:39" x14ac:dyDescent="0.25">
      <c r="A416" s="103">
        <v>416</v>
      </c>
      <c r="B416" s="104">
        <v>37438</v>
      </c>
      <c r="C416" s="227" t="s">
        <v>64</v>
      </c>
      <c r="D416" s="103"/>
      <c r="E416" s="229" t="s">
        <v>1932</v>
      </c>
      <c r="F416" s="103" t="s">
        <v>863</v>
      </c>
      <c r="G416" s="103" t="s">
        <v>15</v>
      </c>
      <c r="H416" s="103"/>
      <c r="I416" s="103"/>
      <c r="J416" s="103"/>
      <c r="K416" s="105"/>
      <c r="L416" s="106"/>
      <c r="M416" s="105"/>
      <c r="N416" s="105"/>
      <c r="O416" s="106"/>
      <c r="P416" s="106"/>
      <c r="Q416" s="105"/>
      <c r="R416" s="105"/>
      <c r="S416" s="105"/>
      <c r="T416" s="105"/>
      <c r="U416" s="105"/>
      <c r="V416" s="42" t="s">
        <v>616</v>
      </c>
      <c r="W416" s="105"/>
      <c r="X416" s="105"/>
      <c r="Y416" s="105"/>
      <c r="Z416" s="438"/>
      <c r="AA416" s="438"/>
      <c r="AB416" s="105"/>
      <c r="AC416" s="105"/>
      <c r="AD416" s="276" t="s">
        <v>68</v>
      </c>
      <c r="AE416" s="277"/>
      <c r="AF416" s="343">
        <v>45631</v>
      </c>
      <c r="AG416" s="343">
        <v>45539</v>
      </c>
      <c r="AH416" s="343">
        <v>45539</v>
      </c>
      <c r="AI416" s="343">
        <v>45539</v>
      </c>
      <c r="AJ416" s="58" t="s">
        <v>63</v>
      </c>
      <c r="AK416" s="343">
        <v>45737</v>
      </c>
      <c r="AM416" s="343">
        <v>45527</v>
      </c>
    </row>
    <row r="417" spans="1:39" x14ac:dyDescent="0.25">
      <c r="A417" s="103">
        <v>417</v>
      </c>
      <c r="B417" s="104">
        <v>37438</v>
      </c>
      <c r="C417" s="227" t="s">
        <v>54</v>
      </c>
      <c r="D417" s="103"/>
      <c r="E417" s="229" t="s">
        <v>1932</v>
      </c>
      <c r="F417" s="103" t="s">
        <v>863</v>
      </c>
      <c r="G417" s="103" t="s">
        <v>15</v>
      </c>
      <c r="H417" s="103"/>
      <c r="I417" s="103"/>
      <c r="J417" s="103"/>
      <c r="K417" s="105"/>
      <c r="L417" s="106"/>
      <c r="M417" s="105"/>
      <c r="N417" s="105"/>
      <c r="O417" s="106"/>
      <c r="P417" s="106"/>
      <c r="Q417" s="105"/>
      <c r="R417" s="105"/>
      <c r="S417" s="105"/>
      <c r="T417" s="105"/>
      <c r="U417" s="105"/>
      <c r="V417" s="42" t="s">
        <v>604</v>
      </c>
      <c r="W417" s="105"/>
      <c r="X417" s="105"/>
      <c r="Y417" s="105"/>
      <c r="Z417" s="438"/>
      <c r="AA417" s="438"/>
      <c r="AB417" s="105"/>
      <c r="AC417" s="105"/>
      <c r="AD417" s="276" t="s">
        <v>62</v>
      </c>
      <c r="AE417" s="277"/>
      <c r="AF417" s="343">
        <v>45631</v>
      </c>
      <c r="AG417" s="343">
        <v>45539</v>
      </c>
      <c r="AH417" s="343">
        <v>45539</v>
      </c>
      <c r="AI417" s="343">
        <v>45539</v>
      </c>
      <c r="AJ417" s="58" t="s">
        <v>63</v>
      </c>
      <c r="AK417" s="343">
        <v>45737</v>
      </c>
      <c r="AM417" s="343">
        <v>45527</v>
      </c>
    </row>
    <row r="418" spans="1:39" x14ac:dyDescent="0.25">
      <c r="A418" s="103">
        <v>418</v>
      </c>
      <c r="B418" s="104">
        <v>37450</v>
      </c>
      <c r="C418" s="227" t="s">
        <v>64</v>
      </c>
      <c r="D418" s="103"/>
      <c r="E418" s="229" t="s">
        <v>1932</v>
      </c>
      <c r="F418" s="103" t="s">
        <v>863</v>
      </c>
      <c r="G418" s="103" t="s">
        <v>15</v>
      </c>
      <c r="H418" s="103"/>
      <c r="I418" s="103"/>
      <c r="J418" s="103"/>
      <c r="K418" s="105"/>
      <c r="L418" s="106"/>
      <c r="M418" s="105"/>
      <c r="N418" s="105"/>
      <c r="O418" s="106"/>
      <c r="P418" s="106"/>
      <c r="Q418" s="105"/>
      <c r="R418" s="105"/>
      <c r="S418" s="105"/>
      <c r="T418" s="105"/>
      <c r="U418" s="105"/>
      <c r="V418" s="42" t="s">
        <v>616</v>
      </c>
      <c r="W418" s="105"/>
      <c r="X418" s="105"/>
      <c r="Y418" s="105"/>
      <c r="Z418" s="438"/>
      <c r="AA418" s="438"/>
      <c r="AB418" s="105"/>
      <c r="AC418" s="105"/>
      <c r="AD418" s="276" t="s">
        <v>68</v>
      </c>
      <c r="AE418" s="277"/>
      <c r="AG418" s="343">
        <v>45544</v>
      </c>
      <c r="AH418" s="343">
        <v>45544</v>
      </c>
      <c r="AI418" s="343">
        <v>45727</v>
      </c>
      <c r="AJ418" s="58" t="s">
        <v>63</v>
      </c>
      <c r="AK418" s="343">
        <v>45505</v>
      </c>
      <c r="AM418" s="343">
        <v>45727</v>
      </c>
    </row>
    <row r="419" spans="1:39" x14ac:dyDescent="0.25">
      <c r="A419" s="103">
        <v>419</v>
      </c>
      <c r="B419" s="104">
        <v>37450</v>
      </c>
      <c r="C419" s="227" t="s">
        <v>54</v>
      </c>
      <c r="D419" s="103"/>
      <c r="E419" s="229" t="s">
        <v>1932</v>
      </c>
      <c r="F419" s="103" t="s">
        <v>863</v>
      </c>
      <c r="G419" s="103" t="s">
        <v>15</v>
      </c>
      <c r="H419" s="103"/>
      <c r="I419" s="103"/>
      <c r="J419" s="103"/>
      <c r="K419" s="105"/>
      <c r="L419" s="106"/>
      <c r="M419" s="105"/>
      <c r="N419" s="105"/>
      <c r="O419" s="106"/>
      <c r="P419" s="106"/>
      <c r="Q419" s="105"/>
      <c r="R419" s="105"/>
      <c r="S419" s="105"/>
      <c r="T419" s="105"/>
      <c r="U419" s="105"/>
      <c r="V419" s="42" t="s">
        <v>604</v>
      </c>
      <c r="W419" s="105"/>
      <c r="X419" s="105"/>
      <c r="Y419" s="105"/>
      <c r="Z419" s="438"/>
      <c r="AA419" s="438"/>
      <c r="AB419" s="105"/>
      <c r="AC419" s="105"/>
      <c r="AD419" s="276" t="s">
        <v>62</v>
      </c>
      <c r="AE419" s="277"/>
      <c r="AG419" s="343">
        <v>45544</v>
      </c>
      <c r="AH419" s="343">
        <v>45544</v>
      </c>
      <c r="AI419" s="343">
        <v>45727</v>
      </c>
      <c r="AJ419" s="58" t="s">
        <v>63</v>
      </c>
      <c r="AK419" s="343">
        <v>45505</v>
      </c>
      <c r="AM419" s="343">
        <v>45727</v>
      </c>
    </row>
    <row r="420" spans="1:39" x14ac:dyDescent="0.25">
      <c r="A420" s="2">
        <v>382</v>
      </c>
      <c r="B420" s="72">
        <v>30281</v>
      </c>
      <c r="C420" s="973" t="s">
        <v>64</v>
      </c>
      <c r="D420" s="2" t="s">
        <v>2595</v>
      </c>
      <c r="E420" s="18" t="s">
        <v>1933</v>
      </c>
      <c r="F420" s="3" t="s">
        <v>2093</v>
      </c>
      <c r="G420" s="3" t="s">
        <v>15</v>
      </c>
      <c r="H420" s="52">
        <v>45591</v>
      </c>
      <c r="J420" s="310" t="s">
        <v>58</v>
      </c>
      <c r="R420" s="16" t="s">
        <v>75</v>
      </c>
      <c r="T420" s="310" t="s">
        <v>68</v>
      </c>
      <c r="AD420" s="299" t="s">
        <v>616</v>
      </c>
      <c r="AG420" s="58" t="s">
        <v>206</v>
      </c>
      <c r="AH420" s="58" t="s">
        <v>206</v>
      </c>
      <c r="AI420" s="58" t="s">
        <v>206</v>
      </c>
      <c r="AJ420" s="58" t="s">
        <v>63</v>
      </c>
      <c r="AK420" s="58" t="s">
        <v>63</v>
      </c>
    </row>
    <row r="421" spans="1:39" ht="14.4" x14ac:dyDescent="0.3">
      <c r="A421" s="2">
        <v>383</v>
      </c>
      <c r="B421" s="72">
        <v>30281</v>
      </c>
      <c r="C421" s="112" t="s">
        <v>54</v>
      </c>
      <c r="D421" s="903" t="s">
        <v>2596</v>
      </c>
      <c r="E421" s="18" t="s">
        <v>1933</v>
      </c>
      <c r="F421" s="115" t="s">
        <v>2093</v>
      </c>
      <c r="G421" s="115" t="s">
        <v>15</v>
      </c>
      <c r="H421" s="52">
        <v>45591</v>
      </c>
      <c r="J421" s="310" t="s">
        <v>58</v>
      </c>
      <c r="R421" s="16" t="s">
        <v>75</v>
      </c>
      <c r="T421" s="310" t="s">
        <v>62</v>
      </c>
      <c r="AD421" s="299" t="s">
        <v>604</v>
      </c>
      <c r="AG421" s="58" t="s">
        <v>206</v>
      </c>
      <c r="AH421" s="58" t="s">
        <v>206</v>
      </c>
      <c r="AI421" s="58" t="s">
        <v>206</v>
      </c>
      <c r="AJ421" s="58" t="s">
        <v>63</v>
      </c>
      <c r="AK421" s="58" t="s">
        <v>63</v>
      </c>
    </row>
    <row r="422" spans="1:39" x14ac:dyDescent="0.25">
      <c r="A422" s="2">
        <v>384</v>
      </c>
      <c r="B422" s="72">
        <v>30304</v>
      </c>
      <c r="C422" s="973" t="s">
        <v>64</v>
      </c>
      <c r="D422" s="2" t="s">
        <v>2597</v>
      </c>
      <c r="E422" s="18" t="s">
        <v>1933</v>
      </c>
      <c r="F422" s="3" t="s">
        <v>2093</v>
      </c>
      <c r="G422" s="3" t="s">
        <v>15</v>
      </c>
      <c r="H422" s="52">
        <v>45596</v>
      </c>
      <c r="J422" s="310" t="s">
        <v>58</v>
      </c>
      <c r="R422" s="16" t="s">
        <v>75</v>
      </c>
      <c r="T422" s="310" t="s">
        <v>68</v>
      </c>
      <c r="AD422" s="299" t="s">
        <v>616</v>
      </c>
      <c r="AG422" s="58" t="s">
        <v>206</v>
      </c>
      <c r="AH422" s="58" t="s">
        <v>206</v>
      </c>
      <c r="AI422" s="58" t="s">
        <v>206</v>
      </c>
      <c r="AJ422" s="58" t="s">
        <v>63</v>
      </c>
      <c r="AK422" s="58" t="s">
        <v>63</v>
      </c>
      <c r="AM422" s="343">
        <v>45813</v>
      </c>
    </row>
    <row r="423" spans="1:39" x14ac:dyDescent="0.25">
      <c r="A423" s="2">
        <v>385</v>
      </c>
      <c r="B423" s="72">
        <v>30304</v>
      </c>
      <c r="C423" s="112" t="s">
        <v>54</v>
      </c>
      <c r="D423" s="2" t="s">
        <v>2598</v>
      </c>
      <c r="E423" s="18" t="s">
        <v>1933</v>
      </c>
      <c r="F423" s="115" t="s">
        <v>2093</v>
      </c>
      <c r="G423" s="115" t="s">
        <v>15</v>
      </c>
      <c r="H423" s="52">
        <v>45596</v>
      </c>
      <c r="J423" s="310" t="s">
        <v>58</v>
      </c>
      <c r="R423" s="16" t="s">
        <v>75</v>
      </c>
      <c r="T423" s="310" t="s">
        <v>62</v>
      </c>
      <c r="AD423" s="299" t="s">
        <v>604</v>
      </c>
      <c r="AG423" s="58" t="s">
        <v>206</v>
      </c>
      <c r="AH423" s="58" t="s">
        <v>206</v>
      </c>
      <c r="AI423" s="58" t="s">
        <v>206</v>
      </c>
      <c r="AJ423" s="58" t="s">
        <v>63</v>
      </c>
      <c r="AK423" s="58" t="s">
        <v>63</v>
      </c>
      <c r="AM423" s="343">
        <v>45813</v>
      </c>
    </row>
    <row r="424" spans="1:39" x14ac:dyDescent="0.25">
      <c r="A424" s="2">
        <v>386</v>
      </c>
      <c r="B424" s="72">
        <v>39486</v>
      </c>
      <c r="C424" s="973" t="s">
        <v>64</v>
      </c>
      <c r="D424" s="2" t="s">
        <v>2599</v>
      </c>
      <c r="E424" s="229" t="s">
        <v>2250</v>
      </c>
      <c r="F424" s="103" t="s">
        <v>2241</v>
      </c>
      <c r="G424" s="300" t="s">
        <v>15</v>
      </c>
      <c r="H424" s="52">
        <v>45836</v>
      </c>
      <c r="I424" s="103"/>
      <c r="J424" s="103" t="s">
        <v>58</v>
      </c>
      <c r="K424" s="61" t="s">
        <v>2516</v>
      </c>
      <c r="L424" s="68" t="s">
        <v>2516</v>
      </c>
      <c r="M424" s="61" t="s">
        <v>2516</v>
      </c>
      <c r="N424" s="61" t="s">
        <v>2516</v>
      </c>
      <c r="Q424" s="61" t="s">
        <v>2516</v>
      </c>
      <c r="R424" s="16" t="s">
        <v>75</v>
      </c>
      <c r="T424" s="310" t="s">
        <v>68</v>
      </c>
      <c r="V424" s="310" t="s">
        <v>68</v>
      </c>
      <c r="W424" s="310" t="s">
        <v>68</v>
      </c>
      <c r="AD424" s="310" t="s">
        <v>68</v>
      </c>
      <c r="AF424" s="276" t="s">
        <v>63</v>
      </c>
      <c r="AG424" s="276" t="s">
        <v>63</v>
      </c>
      <c r="AH424" s="276" t="s">
        <v>63</v>
      </c>
      <c r="AI424" s="276" t="s">
        <v>63</v>
      </c>
      <c r="AJ424" s="276" t="s">
        <v>63</v>
      </c>
      <c r="AL424" s="276" t="s">
        <v>63</v>
      </c>
      <c r="AM424" s="276" t="s">
        <v>63</v>
      </c>
    </row>
    <row r="425" spans="1:39" x14ac:dyDescent="0.25">
      <c r="A425" s="2">
        <v>387</v>
      </c>
      <c r="B425" s="72">
        <v>39486</v>
      </c>
      <c r="C425" s="112" t="s">
        <v>54</v>
      </c>
      <c r="D425" s="2" t="s">
        <v>2600</v>
      </c>
      <c r="E425" s="229" t="s">
        <v>2250</v>
      </c>
      <c r="F425" s="103" t="s">
        <v>2241</v>
      </c>
      <c r="G425" s="300" t="s">
        <v>15</v>
      </c>
      <c r="H425" s="52">
        <v>45836</v>
      </c>
      <c r="I425" s="103"/>
      <c r="J425" s="103" t="s">
        <v>58</v>
      </c>
      <c r="K425" s="61" t="s">
        <v>2516</v>
      </c>
      <c r="L425" s="68" t="s">
        <v>2516</v>
      </c>
      <c r="M425" s="61" t="s">
        <v>2516</v>
      </c>
      <c r="N425" s="61" t="s">
        <v>2516</v>
      </c>
      <c r="Q425" s="61" t="s">
        <v>2516</v>
      </c>
      <c r="R425" s="16" t="s">
        <v>75</v>
      </c>
      <c r="T425" s="310" t="s">
        <v>62</v>
      </c>
      <c r="V425" s="310" t="s">
        <v>62</v>
      </c>
      <c r="W425" s="310" t="s">
        <v>62</v>
      </c>
      <c r="AD425" s="310" t="s">
        <v>62</v>
      </c>
      <c r="AF425" s="276" t="s">
        <v>63</v>
      </c>
      <c r="AG425" s="276" t="s">
        <v>63</v>
      </c>
      <c r="AH425" s="276" t="s">
        <v>63</v>
      </c>
      <c r="AI425" s="276" t="s">
        <v>63</v>
      </c>
      <c r="AJ425" s="276" t="s">
        <v>63</v>
      </c>
      <c r="AL425" s="276" t="s">
        <v>63</v>
      </c>
      <c r="AM425" s="276" t="s">
        <v>63</v>
      </c>
    </row>
    <row r="426" spans="1:39" x14ac:dyDescent="0.25">
      <c r="A426" s="2">
        <v>388</v>
      </c>
      <c r="B426" s="72">
        <v>39487</v>
      </c>
      <c r="C426" s="973" t="s">
        <v>64</v>
      </c>
      <c r="D426" s="2" t="s">
        <v>2601</v>
      </c>
      <c r="E426" s="229" t="s">
        <v>2250</v>
      </c>
      <c r="F426" s="103" t="s">
        <v>2241</v>
      </c>
      <c r="G426" s="300" t="s">
        <v>15</v>
      </c>
      <c r="H426" s="52">
        <v>45835</v>
      </c>
      <c r="I426" s="103"/>
      <c r="J426" s="103" t="s">
        <v>58</v>
      </c>
      <c r="K426" s="61" t="s">
        <v>2516</v>
      </c>
      <c r="L426" s="68" t="s">
        <v>2516</v>
      </c>
      <c r="M426" s="61" t="s">
        <v>2516</v>
      </c>
      <c r="N426" s="61" t="s">
        <v>2516</v>
      </c>
      <c r="Q426" s="61" t="s">
        <v>2516</v>
      </c>
      <c r="R426" s="16" t="s">
        <v>75</v>
      </c>
      <c r="T426" s="310" t="s">
        <v>68</v>
      </c>
      <c r="V426" s="310" t="s">
        <v>68</v>
      </c>
      <c r="W426" s="310" t="s">
        <v>68</v>
      </c>
      <c r="AD426" s="310" t="s">
        <v>68</v>
      </c>
      <c r="AF426" s="276" t="s">
        <v>63</v>
      </c>
      <c r="AG426" s="276" t="s">
        <v>63</v>
      </c>
      <c r="AH426" s="276" t="s">
        <v>63</v>
      </c>
      <c r="AI426" s="276" t="s">
        <v>63</v>
      </c>
      <c r="AJ426" s="276" t="s">
        <v>63</v>
      </c>
      <c r="AL426" s="276" t="s">
        <v>63</v>
      </c>
      <c r="AM426" s="276" t="s">
        <v>63</v>
      </c>
    </row>
    <row r="427" spans="1:39" x14ac:dyDescent="0.25">
      <c r="A427" s="2">
        <v>389</v>
      </c>
      <c r="B427" s="72">
        <v>39487</v>
      </c>
      <c r="C427" s="112" t="s">
        <v>54</v>
      </c>
      <c r="D427" s="2" t="s">
        <v>2602</v>
      </c>
      <c r="E427" s="229" t="s">
        <v>2250</v>
      </c>
      <c r="F427" s="103" t="s">
        <v>2241</v>
      </c>
      <c r="G427" s="300" t="s">
        <v>15</v>
      </c>
      <c r="H427" s="52">
        <v>45835</v>
      </c>
      <c r="I427" s="103"/>
      <c r="J427" s="103" t="s">
        <v>58</v>
      </c>
      <c r="K427" s="61" t="s">
        <v>2516</v>
      </c>
      <c r="L427" s="68" t="s">
        <v>2516</v>
      </c>
      <c r="M427" s="61" t="s">
        <v>2516</v>
      </c>
      <c r="N427" s="61" t="s">
        <v>2516</v>
      </c>
      <c r="Q427" s="61" t="s">
        <v>2516</v>
      </c>
      <c r="R427" s="16" t="s">
        <v>75</v>
      </c>
      <c r="T427" s="310" t="s">
        <v>62</v>
      </c>
      <c r="V427" s="310" t="s">
        <v>62</v>
      </c>
      <c r="W427" s="310" t="s">
        <v>62</v>
      </c>
      <c r="AD427" s="310" t="s">
        <v>62</v>
      </c>
      <c r="AF427" s="276" t="s">
        <v>63</v>
      </c>
      <c r="AG427" s="276" t="s">
        <v>63</v>
      </c>
      <c r="AH427" s="276" t="s">
        <v>63</v>
      </c>
      <c r="AI427" s="276" t="s">
        <v>63</v>
      </c>
      <c r="AJ427" s="276" t="s">
        <v>63</v>
      </c>
      <c r="AL427" s="276" t="s">
        <v>63</v>
      </c>
      <c r="AM427" s="276" t="s">
        <v>63</v>
      </c>
    </row>
  </sheetData>
  <autoFilter ref="A1:AN427" xr:uid="{9ADA52F2-3A86-42D3-B7B0-B56935C27939}"/>
  <conditionalFormatting sqref="B2:B49 B51:B63">
    <cfRule type="duplicateValues" dxfId="615" priority="239"/>
  </conditionalFormatting>
  <conditionalFormatting sqref="B50">
    <cfRule type="duplicateValues" dxfId="614" priority="234"/>
  </conditionalFormatting>
  <conditionalFormatting sqref="B64">
    <cfRule type="duplicateValues" dxfId="613" priority="232"/>
  </conditionalFormatting>
  <conditionalFormatting sqref="B65:B70 B72:B75">
    <cfRule type="duplicateValues" dxfId="612" priority="238"/>
  </conditionalFormatting>
  <conditionalFormatting sqref="B71">
    <cfRule type="duplicateValues" dxfId="611" priority="237"/>
  </conditionalFormatting>
  <conditionalFormatting sqref="B76:B80 B86:B104 B106:B177">
    <cfRule type="duplicateValues" dxfId="610" priority="236"/>
  </conditionalFormatting>
  <conditionalFormatting sqref="B81:B85">
    <cfRule type="duplicateValues" dxfId="609" priority="235"/>
  </conditionalFormatting>
  <conditionalFormatting sqref="B105">
    <cfRule type="duplicateValues" dxfId="608" priority="231"/>
  </conditionalFormatting>
  <conditionalFormatting sqref="B178:B200">
    <cfRule type="duplicateValues" dxfId="607" priority="233"/>
  </conditionalFormatting>
  <conditionalFormatting sqref="B201:B226 B228:B261">
    <cfRule type="duplicateValues" dxfId="606" priority="9540"/>
  </conditionalFormatting>
  <conditionalFormatting sqref="B228:B261 B2:B226">
    <cfRule type="duplicateValues" dxfId="605" priority="9537"/>
  </conditionalFormatting>
  <conditionalFormatting sqref="B262:B263">
    <cfRule type="duplicateValues" dxfId="604" priority="34"/>
    <cfRule type="duplicateValues" dxfId="603" priority="33"/>
  </conditionalFormatting>
  <conditionalFormatting sqref="B264:B265">
    <cfRule type="duplicateValues" dxfId="602" priority="28"/>
    <cfRule type="duplicateValues" dxfId="601" priority="26"/>
  </conditionalFormatting>
  <conditionalFormatting sqref="B266:B278">
    <cfRule type="duplicateValues" dxfId="600" priority="30"/>
  </conditionalFormatting>
  <conditionalFormatting sqref="B266:B287">
    <cfRule type="duplicateValues" dxfId="599" priority="32"/>
  </conditionalFormatting>
  <conditionalFormatting sqref="B279:B287">
    <cfRule type="duplicateValues" dxfId="598" priority="29"/>
  </conditionalFormatting>
  <conditionalFormatting sqref="B288:B289">
    <cfRule type="duplicateValues" dxfId="597" priority="24"/>
    <cfRule type="duplicateValues" dxfId="596" priority="25"/>
  </conditionalFormatting>
  <conditionalFormatting sqref="B290:B295">
    <cfRule type="duplicateValues" dxfId="595" priority="21"/>
    <cfRule type="duplicateValues" dxfId="594" priority="20"/>
  </conditionalFormatting>
  <conditionalFormatting sqref="B296:B301">
    <cfRule type="duplicateValues" dxfId="593" priority="17"/>
    <cfRule type="duplicateValues" dxfId="592" priority="16"/>
  </conditionalFormatting>
  <conditionalFormatting sqref="B302:B303">
    <cfRule type="duplicateValues" dxfId="591" priority="15"/>
    <cfRule type="duplicateValues" dxfId="590" priority="14"/>
  </conditionalFormatting>
  <conditionalFormatting sqref="B312:B333 B428:C1048576 B350:B427">
    <cfRule type="duplicateValues" dxfId="589" priority="395"/>
  </conditionalFormatting>
  <conditionalFormatting sqref="B334:B349">
    <cfRule type="duplicateValues" dxfId="588" priority="7"/>
    <cfRule type="duplicateValues" dxfId="587" priority="8"/>
    <cfRule type="duplicateValues" dxfId="586" priority="13"/>
    <cfRule type="duplicateValues" dxfId="585" priority="12"/>
    <cfRule type="duplicateValues" dxfId="584" priority="11"/>
    <cfRule type="duplicateValues" dxfId="583" priority="10"/>
    <cfRule type="duplicateValues" dxfId="582" priority="9"/>
  </conditionalFormatting>
  <conditionalFormatting sqref="D2:D3">
    <cfRule type="duplicateValues" dxfId="581" priority="329"/>
  </conditionalFormatting>
  <conditionalFormatting sqref="D4:D5">
    <cfRule type="duplicateValues" dxfId="580" priority="328"/>
  </conditionalFormatting>
  <conditionalFormatting sqref="D6:D7">
    <cfRule type="duplicateValues" dxfId="579" priority="327"/>
  </conditionalFormatting>
  <conditionalFormatting sqref="D8">
    <cfRule type="duplicateValues" dxfId="578" priority="326"/>
  </conditionalFormatting>
  <conditionalFormatting sqref="D9:D10">
    <cfRule type="duplicateValues" dxfId="577" priority="325"/>
  </conditionalFormatting>
  <conditionalFormatting sqref="D11">
    <cfRule type="duplicateValues" dxfId="576" priority="324"/>
  </conditionalFormatting>
  <conditionalFormatting sqref="D12:D13">
    <cfRule type="duplicateValues" dxfId="575" priority="36"/>
  </conditionalFormatting>
  <conditionalFormatting sqref="D14">
    <cfRule type="duplicateValues" dxfId="574" priority="323"/>
  </conditionalFormatting>
  <conditionalFormatting sqref="D15:D16">
    <cfRule type="duplicateValues" dxfId="573" priority="322"/>
  </conditionalFormatting>
  <conditionalFormatting sqref="D17:D18">
    <cfRule type="duplicateValues" dxfId="572" priority="321"/>
  </conditionalFormatting>
  <conditionalFormatting sqref="D19:D20">
    <cfRule type="duplicateValues" dxfId="571" priority="320"/>
  </conditionalFormatting>
  <conditionalFormatting sqref="D21:D22">
    <cfRule type="duplicateValues" dxfId="570" priority="319"/>
  </conditionalFormatting>
  <conditionalFormatting sqref="D23">
    <cfRule type="duplicateValues" dxfId="569" priority="318"/>
  </conditionalFormatting>
  <conditionalFormatting sqref="D24">
    <cfRule type="duplicateValues" dxfId="568" priority="317"/>
  </conditionalFormatting>
  <conditionalFormatting sqref="D25:D26">
    <cfRule type="duplicateValues" dxfId="567" priority="316"/>
  </conditionalFormatting>
  <conditionalFormatting sqref="D27:D28">
    <cfRule type="duplicateValues" dxfId="566" priority="315"/>
  </conditionalFormatting>
  <conditionalFormatting sqref="D30">
    <cfRule type="duplicateValues" dxfId="565" priority="393"/>
  </conditionalFormatting>
  <conditionalFormatting sqref="D30:D31">
    <cfRule type="duplicateValues" dxfId="564" priority="394"/>
  </conditionalFormatting>
  <conditionalFormatting sqref="D31">
    <cfRule type="duplicateValues" dxfId="563" priority="392"/>
  </conditionalFormatting>
  <conditionalFormatting sqref="D32">
    <cfRule type="duplicateValues" dxfId="562" priority="390"/>
  </conditionalFormatting>
  <conditionalFormatting sqref="D32:D33">
    <cfRule type="duplicateValues" dxfId="561" priority="391"/>
  </conditionalFormatting>
  <conditionalFormatting sqref="D33">
    <cfRule type="duplicateValues" dxfId="560" priority="389"/>
  </conditionalFormatting>
  <conditionalFormatting sqref="D34">
    <cfRule type="duplicateValues" dxfId="559" priority="387"/>
  </conditionalFormatting>
  <conditionalFormatting sqref="D34:D35">
    <cfRule type="duplicateValues" dxfId="558" priority="388"/>
  </conditionalFormatting>
  <conditionalFormatting sqref="D35">
    <cfRule type="duplicateValues" dxfId="557" priority="386"/>
  </conditionalFormatting>
  <conditionalFormatting sqref="D43">
    <cfRule type="duplicateValues" dxfId="556" priority="314"/>
  </conditionalFormatting>
  <conditionalFormatting sqref="D46">
    <cfRule type="duplicateValues" dxfId="555" priority="384"/>
  </conditionalFormatting>
  <conditionalFormatting sqref="D46:D47">
    <cfRule type="duplicateValues" dxfId="554" priority="385"/>
  </conditionalFormatting>
  <conditionalFormatting sqref="D47">
    <cfRule type="duplicateValues" dxfId="553" priority="383"/>
  </conditionalFormatting>
  <conditionalFormatting sqref="D48">
    <cfRule type="duplicateValues" dxfId="552" priority="381"/>
  </conditionalFormatting>
  <conditionalFormatting sqref="D48:D49">
    <cfRule type="duplicateValues" dxfId="551" priority="382"/>
  </conditionalFormatting>
  <conditionalFormatting sqref="D49">
    <cfRule type="duplicateValues" dxfId="550" priority="380"/>
  </conditionalFormatting>
  <conditionalFormatting sqref="D50">
    <cfRule type="duplicateValues" dxfId="549" priority="378"/>
  </conditionalFormatting>
  <conditionalFormatting sqref="D50:D51">
    <cfRule type="duplicateValues" dxfId="548" priority="379"/>
  </conditionalFormatting>
  <conditionalFormatting sqref="D51">
    <cfRule type="duplicateValues" dxfId="547" priority="377"/>
  </conditionalFormatting>
  <conditionalFormatting sqref="D62">
    <cfRule type="duplicateValues" dxfId="546" priority="375"/>
  </conditionalFormatting>
  <conditionalFormatting sqref="D62:D63">
    <cfRule type="duplicateValues" dxfId="545" priority="376"/>
  </conditionalFormatting>
  <conditionalFormatting sqref="D63">
    <cfRule type="duplicateValues" dxfId="544" priority="374"/>
  </conditionalFormatting>
  <conditionalFormatting sqref="D72">
    <cfRule type="duplicateValues" dxfId="543" priority="373"/>
  </conditionalFormatting>
  <conditionalFormatting sqref="D73">
    <cfRule type="duplicateValues" dxfId="542" priority="372"/>
  </conditionalFormatting>
  <conditionalFormatting sqref="D80">
    <cfRule type="duplicateValues" dxfId="541" priority="370"/>
  </conditionalFormatting>
  <conditionalFormatting sqref="D81">
    <cfRule type="duplicateValues" dxfId="540" priority="371"/>
  </conditionalFormatting>
  <conditionalFormatting sqref="D84:D85">
    <cfRule type="duplicateValues" dxfId="539" priority="313"/>
  </conditionalFormatting>
  <conditionalFormatting sqref="D87">
    <cfRule type="duplicateValues" dxfId="538" priority="312"/>
  </conditionalFormatting>
  <conditionalFormatting sqref="D88">
    <cfRule type="duplicateValues" dxfId="537" priority="311"/>
  </conditionalFormatting>
  <conditionalFormatting sqref="D102">
    <cfRule type="duplicateValues" dxfId="536" priority="310"/>
  </conditionalFormatting>
  <conditionalFormatting sqref="D103">
    <cfRule type="duplicateValues" dxfId="535" priority="309"/>
  </conditionalFormatting>
  <conditionalFormatting sqref="D108">
    <cfRule type="duplicateValues" dxfId="534" priority="306"/>
  </conditionalFormatting>
  <conditionalFormatting sqref="D113:D114">
    <cfRule type="duplicateValues" dxfId="533" priority="333"/>
  </conditionalFormatting>
  <conditionalFormatting sqref="D115 D117">
    <cfRule type="duplicateValues" dxfId="532" priority="332"/>
  </conditionalFormatting>
  <conditionalFormatting sqref="D116">
    <cfRule type="duplicateValues" dxfId="531" priority="305"/>
  </conditionalFormatting>
  <conditionalFormatting sqref="D132:D133">
    <cfRule type="duplicateValues" dxfId="530" priority="304"/>
  </conditionalFormatting>
  <conditionalFormatting sqref="D140">
    <cfRule type="duplicateValues" dxfId="529" priority="397"/>
  </conditionalFormatting>
  <conditionalFormatting sqref="D140:D141">
    <cfRule type="duplicateValues" dxfId="528" priority="396"/>
  </conditionalFormatting>
  <conditionalFormatting sqref="D141">
    <cfRule type="duplicateValues" dxfId="527" priority="398"/>
  </conditionalFormatting>
  <conditionalFormatting sqref="D145">
    <cfRule type="duplicateValues" dxfId="526" priority="303"/>
  </conditionalFormatting>
  <conditionalFormatting sqref="D157">
    <cfRule type="duplicateValues" dxfId="525" priority="302"/>
  </conditionalFormatting>
  <conditionalFormatting sqref="D159">
    <cfRule type="duplicateValues" dxfId="524" priority="301"/>
  </conditionalFormatting>
  <conditionalFormatting sqref="D168:D169">
    <cfRule type="duplicateValues" dxfId="523" priority="300"/>
  </conditionalFormatting>
  <conditionalFormatting sqref="D204:D206">
    <cfRule type="duplicateValues" dxfId="522" priority="401"/>
  </conditionalFormatting>
  <conditionalFormatting sqref="D207:D210">
    <cfRule type="duplicateValues" dxfId="521" priority="400"/>
  </conditionalFormatting>
  <conditionalFormatting sqref="D231">
    <cfRule type="duplicateValues" dxfId="520" priority="299"/>
  </conditionalFormatting>
  <conditionalFormatting sqref="D249">
    <cfRule type="duplicateValues" dxfId="519" priority="335"/>
  </conditionalFormatting>
  <conditionalFormatting sqref="D250:D251">
    <cfRule type="duplicateValues" dxfId="518" priority="334"/>
  </conditionalFormatting>
  <conditionalFormatting sqref="D262">
    <cfRule type="duplicateValues" dxfId="517" priority="35"/>
  </conditionalFormatting>
  <conditionalFormatting sqref="D264">
    <cfRule type="duplicateValues" dxfId="516" priority="27"/>
  </conditionalFormatting>
  <conditionalFormatting sqref="D269:D271">
    <cfRule type="duplicateValues" dxfId="515" priority="31"/>
  </conditionalFormatting>
  <conditionalFormatting sqref="D288">
    <cfRule type="duplicateValues" dxfId="514" priority="23"/>
    <cfRule type="duplicateValues" dxfId="513" priority="22"/>
  </conditionalFormatting>
  <conditionalFormatting sqref="D290">
    <cfRule type="duplicateValues" dxfId="512" priority="19"/>
    <cfRule type="duplicateValues" dxfId="511" priority="18"/>
  </conditionalFormatting>
  <conditionalFormatting sqref="E176">
    <cfRule type="duplicateValues" dxfId="510" priority="1"/>
    <cfRule type="duplicateValues" dxfId="509" priority="2"/>
  </conditionalFormatting>
  <conditionalFormatting sqref="E177">
    <cfRule type="duplicateValues" dxfId="508" priority="4"/>
    <cfRule type="duplicateValues" dxfId="507" priority="3"/>
  </conditionalFormatting>
  <dataValidations count="2">
    <dataValidation type="list" allowBlank="1" showInputMessage="1" showErrorMessage="1" sqref="T260:T261 V248:W248 AJ30:AJ31 R86:R89 X203:X210 Y218:AA243 Y204:AA210 Q218:Q239 R218:R240 S60:S67 V204:W205 AD230:AD243 V302:V303 R145:R146 I10:I11 V288:V291 AD222:AD227 W82:W85 AD420:AD423 V228:W231 AD245:AD253 AD255 W245 V252:W261 U262:Z262 X218:X239 AD218:AD219 V222:W223 V310:W311 AD206:AD209 U2:U53 T88:T89 AD258:AD267 S218:S237 Q304:R305 Q308:U311 U218:U221 V308:V309 R282:R283 U86:U89 Q143:AA143 R242:R263 AC262 V352:V357 U58:U69 T238:T240 T2:T59 W292:W293 AD308:AD311 Q312:R351 T218:T223 T210 AD143 T246:T255 U245:U261 V136:V139 X245:AA261 Q245:Q262 Q204:S210 U204:U210 T204:T207 T226:T233 R378:R381 V100:V101 V108:V109 V121:V122 AJ12:AJ17 AJ26:AJ28 AD2:AD49 AD294:AD295 AD352:AD381 AJ20:AJ23 AK14:AK15 Q358:R377 S245:S262 T352:T377 V124:V133 V70:V79 R352:R357 V294:V295 W2:AA71 V2:V49 V56:V59 Q2:R71 S2:S49 S56:S57 U224:U233 U236:U240 R420:R427 AJ44:AJ45" xr:uid="{FD4849F5-419B-4D75-A034-A703EDF6F208}">
      <formula1>"Conv-A DONE,Conv-B DONE"</formula1>
    </dataValidation>
    <dataValidation type="list" allowBlank="1" showInputMessage="1" showErrorMessage="1" sqref="J1:J307 J312:J1048576" xr:uid="{1D9A2C56-1FDD-430E-A9FF-D370029042CA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6233-3918-4FBE-BCD9-74D787E9D142}">
  <dimension ref="A3:U11"/>
  <sheetViews>
    <sheetView workbookViewId="0">
      <selection activeCell="G6" sqref="G6"/>
    </sheetView>
  </sheetViews>
  <sheetFormatPr defaultColWidth="20.5546875" defaultRowHeight="13.2" x14ac:dyDescent="0.25"/>
  <cols>
    <col min="1" max="1" width="15.5546875" style="653" bestFit="1" customWidth="1"/>
    <col min="2" max="2" width="4.33203125" style="653" bestFit="1" customWidth="1"/>
    <col min="3" max="3" width="7.44140625" style="653" bestFit="1" customWidth="1"/>
    <col min="4" max="4" width="9.6640625" style="653" bestFit="1" customWidth="1"/>
    <col min="5" max="5" width="23.88671875" style="653" bestFit="1" customWidth="1"/>
    <col min="6" max="6" width="21.5546875" style="653" bestFit="1" customWidth="1"/>
    <col min="7" max="7" width="9.88671875" style="653" bestFit="1" customWidth="1"/>
    <col min="8" max="8" width="8.21875" style="653" bestFit="1" customWidth="1"/>
    <col min="9" max="9" width="16.44140625" style="653" bestFit="1" customWidth="1"/>
    <col min="10" max="10" width="9.5546875" style="653" bestFit="1" customWidth="1"/>
    <col min="11" max="11" width="36.109375" style="653" bestFit="1" customWidth="1"/>
    <col min="12" max="12" width="5.44140625" style="653" bestFit="1" customWidth="1"/>
    <col min="13" max="13" width="7.21875" style="653" bestFit="1" customWidth="1"/>
    <col min="14" max="14" width="5.33203125" style="653" bestFit="1" customWidth="1"/>
    <col min="15" max="15" width="8.88671875" style="653" bestFit="1" customWidth="1"/>
    <col min="16" max="16" width="15.88671875" style="653" bestFit="1" customWidth="1"/>
    <col min="17" max="17" width="18.109375" style="653" bestFit="1" customWidth="1"/>
    <col min="18" max="18" width="24.21875" style="653" bestFit="1" customWidth="1"/>
    <col min="19" max="19" width="7.44140625" style="653" bestFit="1" customWidth="1"/>
    <col min="20" max="20" width="11.33203125" style="653" bestFit="1" customWidth="1"/>
    <col min="21" max="21" width="18.88671875" style="653" bestFit="1" customWidth="1"/>
    <col min="22" max="16384" width="20.5546875" style="653"/>
  </cols>
  <sheetData>
    <row r="3" spans="1:21" s="18" customFormat="1" ht="12.75" customHeight="1" x14ac:dyDescent="0.25">
      <c r="A3" s="643" t="s">
        <v>472</v>
      </c>
      <c r="B3" s="18" t="s">
        <v>473</v>
      </c>
      <c r="C3" s="18" t="s">
        <v>474</v>
      </c>
      <c r="D3" s="18" t="s">
        <v>475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487</v>
      </c>
      <c r="Q3" s="18" t="s">
        <v>488</v>
      </c>
      <c r="R3" s="18" t="s">
        <v>489</v>
      </c>
      <c r="S3" s="18" t="s">
        <v>490</v>
      </c>
      <c r="T3" s="18" t="s">
        <v>491</v>
      </c>
      <c r="U3" s="18" t="s">
        <v>1231</v>
      </c>
    </row>
    <row r="4" spans="1:21" s="18" customFormat="1" x14ac:dyDescent="0.25">
      <c r="A4" s="18" t="s">
        <v>2092</v>
      </c>
      <c r="B4" s="1449">
        <v>54</v>
      </c>
      <c r="C4" s="1449">
        <v>27</v>
      </c>
      <c r="D4" s="1449">
        <v>34</v>
      </c>
      <c r="E4" s="1449">
        <v>51</v>
      </c>
      <c r="F4" s="1449">
        <v>54</v>
      </c>
      <c r="G4" s="1449">
        <v>28</v>
      </c>
      <c r="H4" s="1449">
        <v>54</v>
      </c>
      <c r="I4" s="1449">
        <v>28</v>
      </c>
      <c r="J4" s="1449">
        <v>16</v>
      </c>
      <c r="K4" s="1449">
        <v>8</v>
      </c>
      <c r="L4" s="1449">
        <v>9</v>
      </c>
      <c r="M4" s="1449">
        <v>54</v>
      </c>
      <c r="N4" s="1449">
        <v>27</v>
      </c>
      <c r="O4" s="1449">
        <v>54</v>
      </c>
      <c r="P4" s="1449">
        <v>54</v>
      </c>
      <c r="Q4" s="1449">
        <v>54</v>
      </c>
      <c r="R4" s="1449">
        <v>54</v>
      </c>
      <c r="S4" s="1449">
        <v>26</v>
      </c>
      <c r="T4" s="1449">
        <v>24</v>
      </c>
      <c r="U4" s="1449">
        <v>54</v>
      </c>
    </row>
    <row r="5" spans="1:21" s="18" customFormat="1" x14ac:dyDescent="0.25">
      <c r="A5" s="18" t="s">
        <v>1932</v>
      </c>
      <c r="B5" s="1449">
        <v>92</v>
      </c>
      <c r="C5" s="1449">
        <v>51</v>
      </c>
      <c r="D5" s="1449">
        <v>52</v>
      </c>
      <c r="E5" s="1449">
        <v>16</v>
      </c>
      <c r="F5" s="1449">
        <v>54</v>
      </c>
      <c r="G5" s="1449">
        <v>20</v>
      </c>
      <c r="H5" s="1449">
        <v>40</v>
      </c>
      <c r="I5" s="1449">
        <v>32</v>
      </c>
      <c r="J5" s="1449">
        <v>56</v>
      </c>
      <c r="K5" s="1449">
        <v>12</v>
      </c>
      <c r="L5" s="1449">
        <v>20</v>
      </c>
      <c r="M5" s="1449">
        <v>92</v>
      </c>
      <c r="N5" s="1449">
        <v>17</v>
      </c>
      <c r="O5" s="1449">
        <v>59</v>
      </c>
      <c r="P5" s="1449">
        <v>92</v>
      </c>
      <c r="Q5" s="1449">
        <v>90</v>
      </c>
      <c r="R5" s="1449">
        <v>92</v>
      </c>
      <c r="S5" s="1449">
        <v>82</v>
      </c>
      <c r="T5" s="1449">
        <v>18</v>
      </c>
      <c r="U5" s="1449">
        <v>78</v>
      </c>
    </row>
    <row r="6" spans="1:21" s="18" customFormat="1" x14ac:dyDescent="0.25">
      <c r="A6" s="18" t="s">
        <v>1933</v>
      </c>
      <c r="B6" s="1449">
        <v>90</v>
      </c>
      <c r="C6" s="1449">
        <v>72</v>
      </c>
      <c r="D6" s="1449">
        <v>74</v>
      </c>
      <c r="E6" s="1449">
        <v>68</v>
      </c>
      <c r="F6" s="1449">
        <v>90</v>
      </c>
      <c r="G6" s="1449">
        <v>67</v>
      </c>
      <c r="H6" s="1449">
        <v>90</v>
      </c>
      <c r="I6" s="1449">
        <v>65</v>
      </c>
      <c r="J6" s="1449">
        <v>32</v>
      </c>
      <c r="K6" s="1449">
        <v>18</v>
      </c>
      <c r="L6" s="1449">
        <v>15</v>
      </c>
      <c r="M6" s="1449">
        <v>90</v>
      </c>
      <c r="N6" s="1449">
        <v>82</v>
      </c>
      <c r="O6" s="1449">
        <v>20</v>
      </c>
      <c r="P6" s="1449">
        <v>86</v>
      </c>
      <c r="Q6" s="1449">
        <v>90</v>
      </c>
      <c r="R6" s="1449">
        <v>90</v>
      </c>
      <c r="S6" s="1449">
        <v>88</v>
      </c>
      <c r="T6" s="1449">
        <v>84</v>
      </c>
      <c r="U6" s="1449">
        <v>71</v>
      </c>
    </row>
    <row r="7" spans="1:21" s="18" customFormat="1" x14ac:dyDescent="0.25">
      <c r="A7" s="18" t="s">
        <v>2458</v>
      </c>
      <c r="B7" s="1449">
        <v>36</v>
      </c>
      <c r="C7" s="1449">
        <v>30</v>
      </c>
      <c r="D7" s="1449">
        <v>30</v>
      </c>
      <c r="E7" s="1449">
        <v>25</v>
      </c>
      <c r="F7" s="1449">
        <v>36</v>
      </c>
      <c r="G7" s="1449">
        <v>22</v>
      </c>
      <c r="H7" s="1449">
        <v>36</v>
      </c>
      <c r="I7" s="1449">
        <v>23</v>
      </c>
      <c r="J7" s="1449">
        <v>22</v>
      </c>
      <c r="K7" s="1449">
        <v>22</v>
      </c>
      <c r="L7" s="1449">
        <v>11</v>
      </c>
      <c r="M7" s="1449">
        <v>36</v>
      </c>
      <c r="N7" s="1449">
        <v>5</v>
      </c>
      <c r="O7" s="1449">
        <v>36</v>
      </c>
      <c r="P7" s="1449">
        <v>36</v>
      </c>
      <c r="Q7" s="1449">
        <v>36</v>
      </c>
      <c r="R7" s="1449">
        <v>36</v>
      </c>
      <c r="S7" s="1449">
        <v>9</v>
      </c>
      <c r="T7" s="1449">
        <v>15</v>
      </c>
      <c r="U7" s="1449">
        <v>20</v>
      </c>
    </row>
    <row r="8" spans="1:21" s="681" customFormat="1" x14ac:dyDescent="0.25">
      <c r="A8" s="18" t="s">
        <v>2250</v>
      </c>
      <c r="B8" s="1449">
        <v>120</v>
      </c>
      <c r="C8" s="1449">
        <v>66</v>
      </c>
      <c r="D8" s="1449">
        <v>120</v>
      </c>
      <c r="E8" s="1449">
        <v>118</v>
      </c>
      <c r="F8" s="1449">
        <v>116</v>
      </c>
      <c r="G8" s="1449">
        <v>24</v>
      </c>
      <c r="H8" s="1449">
        <v>24</v>
      </c>
      <c r="I8" s="1449">
        <v>19</v>
      </c>
      <c r="J8" s="1449">
        <v>65</v>
      </c>
      <c r="K8" s="1449">
        <v>63</v>
      </c>
      <c r="L8" s="1449">
        <v>20</v>
      </c>
      <c r="M8" s="1449">
        <v>82</v>
      </c>
      <c r="N8" s="1449">
        <v>107</v>
      </c>
      <c r="O8" s="1449">
        <v>118</v>
      </c>
      <c r="P8" s="1449">
        <v>120</v>
      </c>
      <c r="Q8" s="1449">
        <v>120</v>
      </c>
      <c r="R8" s="1449">
        <v>120</v>
      </c>
      <c r="S8" s="1449">
        <v>88</v>
      </c>
      <c r="T8" s="1449">
        <v>66</v>
      </c>
      <c r="U8" s="1449">
        <v>120</v>
      </c>
    </row>
    <row r="9" spans="1:21" s="681" customFormat="1" x14ac:dyDescent="0.25">
      <c r="A9" s="18" t="s">
        <v>2498</v>
      </c>
      <c r="B9" s="1449">
        <v>28</v>
      </c>
      <c r="C9" s="1449">
        <v>24</v>
      </c>
      <c r="D9" s="1449">
        <v>28</v>
      </c>
      <c r="E9" s="1449">
        <v>26</v>
      </c>
      <c r="F9" s="1449">
        <v>27</v>
      </c>
      <c r="G9" s="1449">
        <v>11</v>
      </c>
      <c r="H9" s="1449">
        <v>19</v>
      </c>
      <c r="I9" s="1449">
        <v>15</v>
      </c>
      <c r="J9" s="1449">
        <v>24</v>
      </c>
      <c r="K9" s="1449">
        <v>24</v>
      </c>
      <c r="L9" s="1449">
        <v>14</v>
      </c>
      <c r="M9" s="1449">
        <v>28</v>
      </c>
      <c r="N9" s="1449">
        <v>23</v>
      </c>
      <c r="O9" s="1449">
        <v>12</v>
      </c>
      <c r="P9" s="1449">
        <v>28</v>
      </c>
      <c r="Q9" s="1449">
        <v>28</v>
      </c>
      <c r="R9" s="1449">
        <v>28</v>
      </c>
      <c r="S9" s="1449">
        <v>10</v>
      </c>
      <c r="T9" s="1449">
        <v>14</v>
      </c>
      <c r="U9" s="1449">
        <v>28</v>
      </c>
    </row>
    <row r="10" spans="1:21" s="681" customFormat="1" x14ac:dyDescent="0.25">
      <c r="A10" s="18" t="s">
        <v>493</v>
      </c>
      <c r="B10" s="1449">
        <v>6</v>
      </c>
      <c r="C10" s="1449">
        <v>4</v>
      </c>
      <c r="D10" s="1449">
        <v>6</v>
      </c>
      <c r="E10" s="1449">
        <v>4</v>
      </c>
      <c r="F10" s="1449">
        <v>3</v>
      </c>
      <c r="G10" s="1449"/>
      <c r="H10" s="1449"/>
      <c r="I10" s="1449"/>
      <c r="J10" s="1449">
        <v>6</v>
      </c>
      <c r="K10" s="1449">
        <v>6</v>
      </c>
      <c r="L10" s="1449"/>
      <c r="M10" s="1449">
        <v>6</v>
      </c>
      <c r="N10" s="1449"/>
      <c r="O10" s="1449"/>
      <c r="P10" s="1449"/>
      <c r="Q10" s="1449"/>
      <c r="R10" s="1449"/>
      <c r="S10" s="1449"/>
      <c r="T10" s="1449"/>
      <c r="U10" s="1449"/>
    </row>
    <row r="11" spans="1:21" x14ac:dyDescent="0.25">
      <c r="A11" s="18" t="s">
        <v>494</v>
      </c>
      <c r="B11" s="1449">
        <v>426</v>
      </c>
      <c r="C11" s="1449">
        <v>274</v>
      </c>
      <c r="D11" s="1449">
        <v>344</v>
      </c>
      <c r="E11" s="1449">
        <v>308</v>
      </c>
      <c r="F11" s="1449">
        <v>380</v>
      </c>
      <c r="G11" s="1449">
        <v>172</v>
      </c>
      <c r="H11" s="1449">
        <v>263</v>
      </c>
      <c r="I11" s="1449">
        <v>182</v>
      </c>
      <c r="J11" s="1449">
        <v>221</v>
      </c>
      <c r="K11" s="1449">
        <v>153</v>
      </c>
      <c r="L11" s="1449">
        <v>89</v>
      </c>
      <c r="M11" s="1449">
        <v>388</v>
      </c>
      <c r="N11" s="1449">
        <v>261</v>
      </c>
      <c r="O11" s="1449">
        <v>299</v>
      </c>
      <c r="P11" s="1449">
        <v>416</v>
      </c>
      <c r="Q11" s="1449">
        <v>418</v>
      </c>
      <c r="R11" s="1449">
        <v>420</v>
      </c>
      <c r="S11" s="1449">
        <v>303</v>
      </c>
      <c r="T11" s="1449">
        <v>221</v>
      </c>
      <c r="U11" s="1449">
        <v>371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5283-9F0E-4F3B-91F2-9BA9C5292A9B}">
  <dimension ref="A1:AQ1148"/>
  <sheetViews>
    <sheetView zoomScale="60" zoomScaleNormal="60" workbookViewId="0">
      <pane xSplit="2" ySplit="1" topLeftCell="AM2" activePane="bottomRight" state="frozen"/>
      <selection pane="topRight" activeCell="C1" sqref="C1"/>
      <selection pane="bottomLeft" activeCell="A2" sqref="A2"/>
      <selection pane="bottomRight" activeCell="AM1" sqref="AM1"/>
    </sheetView>
  </sheetViews>
  <sheetFormatPr defaultColWidth="8.5546875" defaultRowHeight="13.2" x14ac:dyDescent="0.25"/>
  <cols>
    <col min="1" max="1" width="5.5546875" style="2" customWidth="1"/>
    <col min="2" max="2" width="9.44140625" style="72" customWidth="1"/>
    <col min="3" max="3" width="8.44140625" style="72" customWidth="1"/>
    <col min="4" max="4" width="16.5546875" style="2" bestFit="1" customWidth="1"/>
    <col min="5" max="5" width="17.5546875" style="72" customWidth="1"/>
    <col min="6" max="9" width="11" style="2" customWidth="1"/>
    <col min="10" max="10" width="15.44140625" style="2" customWidth="1"/>
    <col min="11" max="11" width="20.44140625" style="441" hidden="1" customWidth="1"/>
    <col min="12" max="12" width="27.5546875" style="68" hidden="1" customWidth="1"/>
    <col min="13" max="13" width="13.44140625" style="441" hidden="1" customWidth="1"/>
    <col min="14" max="14" width="16.44140625" style="441" hidden="1" customWidth="1"/>
    <col min="15" max="16" width="14.44140625" style="68" customWidth="1"/>
    <col min="17" max="17" width="16" style="61" customWidth="1"/>
    <col min="18" max="18" width="19.5546875" style="61" customWidth="1"/>
    <col min="19" max="19" width="17.5546875" style="61" customWidth="1"/>
    <col min="20" max="20" width="16.44140625" style="61" customWidth="1"/>
    <col min="21" max="21" width="15.5546875" style="61" customWidth="1"/>
    <col min="22" max="22" width="13.5546875" style="61" customWidth="1"/>
    <col min="23" max="23" width="16.44140625" style="61" customWidth="1"/>
    <col min="24" max="24" width="16" style="61" customWidth="1"/>
    <col min="25" max="25" width="18.44140625" style="61" customWidth="1"/>
    <col min="26" max="27" width="15.5546875" style="441" hidden="1" customWidth="1"/>
    <col min="28" max="30" width="15.5546875" style="61" customWidth="1"/>
    <col min="31" max="32" width="15.5546875" style="16" customWidth="1"/>
    <col min="33" max="38" width="20" style="58" customWidth="1"/>
    <col min="39" max="39" width="20" style="1150" customWidth="1"/>
    <col min="40" max="40" width="20" style="58" customWidth="1"/>
    <col min="42" max="42" width="20.44140625" customWidth="1"/>
    <col min="43" max="43" width="13.5546875" bestFit="1" customWidth="1"/>
  </cols>
  <sheetData>
    <row r="1" spans="1:43" s="80" customFormat="1" ht="114.6" x14ac:dyDescent="0.3">
      <c r="A1" s="25" t="s">
        <v>18</v>
      </c>
      <c r="B1" s="26" t="s">
        <v>19</v>
      </c>
      <c r="C1" s="26" t="s">
        <v>20</v>
      </c>
      <c r="D1" s="25" t="s">
        <v>21</v>
      </c>
      <c r="E1" s="25" t="s">
        <v>22</v>
      </c>
      <c r="F1" s="25" t="s">
        <v>23</v>
      </c>
      <c r="G1" s="25" t="s">
        <v>0</v>
      </c>
      <c r="H1" s="25" t="s">
        <v>24</v>
      </c>
      <c r="I1" s="27" t="s">
        <v>25</v>
      </c>
      <c r="J1" s="13" t="s">
        <v>26</v>
      </c>
      <c r="K1" s="428" t="s">
        <v>27</v>
      </c>
      <c r="L1" s="14" t="s">
        <v>1941</v>
      </c>
      <c r="M1" s="428" t="s">
        <v>29</v>
      </c>
      <c r="N1" s="428" t="s">
        <v>2603</v>
      </c>
      <c r="O1" s="14" t="s">
        <v>518</v>
      </c>
      <c r="P1" s="14" t="s">
        <v>519</v>
      </c>
      <c r="Q1" s="13" t="s">
        <v>33</v>
      </c>
      <c r="R1" s="13" t="s">
        <v>34</v>
      </c>
      <c r="S1" s="13" t="s">
        <v>35</v>
      </c>
      <c r="T1" s="13" t="s">
        <v>36</v>
      </c>
      <c r="U1" s="15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428" t="s">
        <v>42</v>
      </c>
      <c r="AA1" s="428" t="s">
        <v>43</v>
      </c>
      <c r="AB1" s="13" t="s">
        <v>44</v>
      </c>
      <c r="AC1" s="13" t="s">
        <v>45</v>
      </c>
      <c r="AD1" s="280" t="s">
        <v>46</v>
      </c>
      <c r="AE1" s="13" t="s">
        <v>47</v>
      </c>
      <c r="AF1" s="13" t="s">
        <v>48</v>
      </c>
      <c r="AG1" s="331" t="s">
        <v>193</v>
      </c>
      <c r="AH1" s="13" t="s">
        <v>194</v>
      </c>
      <c r="AI1" s="13" t="s">
        <v>195</v>
      </c>
      <c r="AJ1" s="505" t="s">
        <v>196</v>
      </c>
      <c r="AK1" s="621" t="s">
        <v>53</v>
      </c>
      <c r="AL1" s="830" t="s">
        <v>197</v>
      </c>
      <c r="AM1" s="621" t="s">
        <v>198</v>
      </c>
      <c r="AN1" s="621" t="s">
        <v>199</v>
      </c>
      <c r="AP1" s="81" t="s">
        <v>200</v>
      </c>
      <c r="AQ1" s="82" t="s">
        <v>201</v>
      </c>
    </row>
    <row r="2" spans="1:43" ht="22.8" x14ac:dyDescent="0.25">
      <c r="A2" s="254">
        <v>1</v>
      </c>
      <c r="B2" s="20">
        <v>30622</v>
      </c>
      <c r="C2" s="27" t="s">
        <v>64</v>
      </c>
      <c r="D2" s="20" t="s">
        <v>1945</v>
      </c>
      <c r="E2" s="20" t="s">
        <v>1946</v>
      </c>
      <c r="F2" s="29" t="s">
        <v>1947</v>
      </c>
      <c r="G2" s="29" t="s">
        <v>10</v>
      </c>
      <c r="H2" s="19">
        <v>43138</v>
      </c>
      <c r="I2" s="3">
        <v>168</v>
      </c>
      <c r="J2" s="3" t="s">
        <v>58</v>
      </c>
      <c r="K2" s="429" t="s">
        <v>59</v>
      </c>
      <c r="L2" s="40">
        <v>44810</v>
      </c>
      <c r="M2" s="432" t="s">
        <v>60</v>
      </c>
      <c r="N2" s="442" t="s">
        <v>1948</v>
      </c>
      <c r="O2" s="33"/>
      <c r="P2" s="33" t="s">
        <v>2604</v>
      </c>
      <c r="Q2" s="42" t="s">
        <v>68</v>
      </c>
      <c r="R2" s="42" t="s">
        <v>68</v>
      </c>
      <c r="S2" s="42" t="s">
        <v>68</v>
      </c>
      <c r="T2" s="42" t="s">
        <v>68</v>
      </c>
      <c r="U2" s="42" t="s">
        <v>68</v>
      </c>
      <c r="V2" s="42" t="s">
        <v>68</v>
      </c>
      <c r="W2" s="42"/>
      <c r="X2" s="42"/>
      <c r="Y2" s="42" t="s">
        <v>68</v>
      </c>
      <c r="Z2" s="553" t="s">
        <v>68</v>
      </c>
      <c r="AA2" s="553"/>
      <c r="AB2" s="24"/>
      <c r="AC2" s="24"/>
      <c r="AD2" s="276" t="s">
        <v>68</v>
      </c>
      <c r="AE2" s="24"/>
      <c r="AF2" s="24" t="s">
        <v>68</v>
      </c>
      <c r="AG2" s="1109" t="s">
        <v>2605</v>
      </c>
      <c r="AH2" s="24" t="s">
        <v>68</v>
      </c>
      <c r="AI2" s="381">
        <v>45413</v>
      </c>
      <c r="AJ2" s="24" t="s">
        <v>68</v>
      </c>
      <c r="AK2" s="24" t="s">
        <v>2606</v>
      </c>
      <c r="AL2" s="24"/>
      <c r="AM2" s="3" t="s">
        <v>2607</v>
      </c>
      <c r="AN2" s="24"/>
      <c r="AP2" s="83" t="s">
        <v>1949</v>
      </c>
      <c r="AQ2" s="83" t="s">
        <v>1950</v>
      </c>
    </row>
    <row r="3" spans="1:43" ht="22.8" x14ac:dyDescent="0.25">
      <c r="A3" s="254">
        <v>2</v>
      </c>
      <c r="B3" s="20">
        <v>30622</v>
      </c>
      <c r="C3" s="27" t="s">
        <v>54</v>
      </c>
      <c r="D3" s="20" t="s">
        <v>1951</v>
      </c>
      <c r="E3" s="20" t="s">
        <v>1946</v>
      </c>
      <c r="F3" s="29" t="s">
        <v>1947</v>
      </c>
      <c r="G3" s="29" t="s">
        <v>10</v>
      </c>
      <c r="H3" s="19">
        <v>43138</v>
      </c>
      <c r="I3" s="3">
        <v>169</v>
      </c>
      <c r="J3" s="3" t="s">
        <v>58</v>
      </c>
      <c r="K3" s="429" t="s">
        <v>59</v>
      </c>
      <c r="L3" s="40">
        <v>44810</v>
      </c>
      <c r="M3" s="432" t="s">
        <v>60</v>
      </c>
      <c r="N3" s="442" t="s">
        <v>1948</v>
      </c>
      <c r="O3" s="33"/>
      <c r="P3" s="33" t="s">
        <v>2604</v>
      </c>
      <c r="Q3" s="42" t="s">
        <v>62</v>
      </c>
      <c r="R3" s="42" t="s">
        <v>62</v>
      </c>
      <c r="S3" s="42" t="s">
        <v>62</v>
      </c>
      <c r="T3" s="42" t="s">
        <v>62</v>
      </c>
      <c r="U3" s="42" t="s">
        <v>62</v>
      </c>
      <c r="V3" s="42" t="s">
        <v>62</v>
      </c>
      <c r="W3" s="42"/>
      <c r="X3" s="42"/>
      <c r="Y3" s="42" t="s">
        <v>62</v>
      </c>
      <c r="Z3" s="553" t="s">
        <v>62</v>
      </c>
      <c r="AA3" s="553"/>
      <c r="AB3" s="24" t="s">
        <v>2608</v>
      </c>
      <c r="AC3" s="24"/>
      <c r="AD3" s="283" t="s">
        <v>62</v>
      </c>
      <c r="AE3" s="24"/>
      <c r="AF3" s="24" t="s">
        <v>62</v>
      </c>
      <c r="AG3" s="1109" t="s">
        <v>2605</v>
      </c>
      <c r="AH3" s="379" t="s">
        <v>62</v>
      </c>
      <c r="AI3" s="381">
        <v>45413</v>
      </c>
      <c r="AJ3" s="24" t="s">
        <v>62</v>
      </c>
      <c r="AK3" s="24" t="s">
        <v>2606</v>
      </c>
      <c r="AL3" s="24"/>
      <c r="AM3" s="3" t="s">
        <v>2607</v>
      </c>
      <c r="AN3" s="24"/>
      <c r="AP3" s="83" t="s">
        <v>1952</v>
      </c>
      <c r="AQ3" s="83">
        <v>893</v>
      </c>
    </row>
    <row r="4" spans="1:43" ht="22.8" x14ac:dyDescent="0.25">
      <c r="A4" s="254">
        <v>3</v>
      </c>
      <c r="B4" s="20">
        <v>30631</v>
      </c>
      <c r="C4" s="27" t="s">
        <v>64</v>
      </c>
      <c r="D4" s="20" t="s">
        <v>1953</v>
      </c>
      <c r="E4" s="20" t="s">
        <v>1946</v>
      </c>
      <c r="F4" s="29" t="s">
        <v>1947</v>
      </c>
      <c r="G4" s="29" t="s">
        <v>10</v>
      </c>
      <c r="H4" s="19">
        <v>43123</v>
      </c>
      <c r="I4" s="3">
        <v>158</v>
      </c>
      <c r="J4" s="3" t="s">
        <v>58</v>
      </c>
      <c r="K4" s="429" t="s">
        <v>59</v>
      </c>
      <c r="L4" s="33">
        <v>44645</v>
      </c>
      <c r="M4" s="432" t="s">
        <v>60</v>
      </c>
      <c r="N4" s="443" t="s">
        <v>1954</v>
      </c>
      <c r="O4" s="33" t="s">
        <v>1955</v>
      </c>
      <c r="P4" s="33" t="s">
        <v>2609</v>
      </c>
      <c r="Q4" s="16" t="s">
        <v>68</v>
      </c>
      <c r="R4" s="37" t="s">
        <v>68</v>
      </c>
      <c r="S4" s="16" t="s">
        <v>68</v>
      </c>
      <c r="T4" s="16" t="s">
        <v>68</v>
      </c>
      <c r="U4" s="16" t="s">
        <v>68</v>
      </c>
      <c r="V4" s="16" t="s">
        <v>68</v>
      </c>
      <c r="W4" s="16"/>
      <c r="X4" s="16"/>
      <c r="Y4" s="16" t="s">
        <v>68</v>
      </c>
      <c r="Z4" s="432" t="s">
        <v>68</v>
      </c>
      <c r="AA4" s="432"/>
      <c r="AB4" s="24"/>
      <c r="AC4" s="24"/>
      <c r="AD4" s="276" t="s">
        <v>68</v>
      </c>
      <c r="AF4" s="24" t="s">
        <v>68</v>
      </c>
      <c r="AG4" s="1109" t="s">
        <v>2610</v>
      </c>
      <c r="AH4" s="58" t="s">
        <v>68</v>
      </c>
      <c r="AI4" s="58" t="s">
        <v>616</v>
      </c>
      <c r="AJ4" s="24" t="s">
        <v>68</v>
      </c>
      <c r="AK4" s="251">
        <v>45389</v>
      </c>
      <c r="AL4" s="24"/>
      <c r="AM4" s="3" t="s">
        <v>2611</v>
      </c>
      <c r="AN4" s="24"/>
      <c r="AP4" t="s">
        <v>1956</v>
      </c>
      <c r="AQ4">
        <v>504</v>
      </c>
    </row>
    <row r="5" spans="1:43" ht="22.8" x14ac:dyDescent="0.25">
      <c r="A5" s="254">
        <v>4</v>
      </c>
      <c r="B5" s="20">
        <v>30631</v>
      </c>
      <c r="C5" s="27" t="s">
        <v>54</v>
      </c>
      <c r="D5" s="20" t="s">
        <v>1957</v>
      </c>
      <c r="E5" s="20" t="s">
        <v>1946</v>
      </c>
      <c r="F5" s="29" t="s">
        <v>1947</v>
      </c>
      <c r="G5" s="29" t="s">
        <v>10</v>
      </c>
      <c r="H5" s="19">
        <v>43123</v>
      </c>
      <c r="I5" s="3">
        <v>116</v>
      </c>
      <c r="J5" s="3" t="s">
        <v>58</v>
      </c>
      <c r="K5" s="429" t="s">
        <v>59</v>
      </c>
      <c r="L5" s="33">
        <v>44645</v>
      </c>
      <c r="M5" s="432" t="s">
        <v>60</v>
      </c>
      <c r="N5" s="443" t="s">
        <v>1954</v>
      </c>
      <c r="O5" s="33" t="s">
        <v>1955</v>
      </c>
      <c r="P5" s="21" t="s">
        <v>2609</v>
      </c>
      <c r="Q5" s="42" t="s">
        <v>62</v>
      </c>
      <c r="R5" s="42" t="s">
        <v>62</v>
      </c>
      <c r="S5" s="42" t="s">
        <v>62</v>
      </c>
      <c r="T5" s="42" t="s">
        <v>62</v>
      </c>
      <c r="U5" s="42" t="s">
        <v>62</v>
      </c>
      <c r="V5" s="42" t="s">
        <v>62</v>
      </c>
      <c r="W5" s="42"/>
      <c r="X5" s="42"/>
      <c r="Y5" s="42" t="s">
        <v>62</v>
      </c>
      <c r="Z5" s="553" t="s">
        <v>62</v>
      </c>
      <c r="AA5" s="553"/>
      <c r="AB5" s="24"/>
      <c r="AC5" s="24"/>
      <c r="AD5" s="283" t="s">
        <v>62</v>
      </c>
      <c r="AE5" s="42"/>
      <c r="AF5" s="24" t="s">
        <v>62</v>
      </c>
      <c r="AG5" s="1109" t="s">
        <v>2610</v>
      </c>
      <c r="AH5" s="58" t="s">
        <v>62</v>
      </c>
      <c r="AI5" s="58" t="s">
        <v>604</v>
      </c>
      <c r="AJ5" s="24" t="s">
        <v>62</v>
      </c>
      <c r="AK5" s="251">
        <v>45419</v>
      </c>
      <c r="AL5" s="24"/>
      <c r="AM5" s="3" t="s">
        <v>2611</v>
      </c>
      <c r="AN5" s="24"/>
    </row>
    <row r="6" spans="1:43" ht="22.8" x14ac:dyDescent="0.25">
      <c r="A6" s="254">
        <v>5</v>
      </c>
      <c r="B6" s="20">
        <v>30773</v>
      </c>
      <c r="C6" s="27" t="s">
        <v>64</v>
      </c>
      <c r="D6" s="20" t="s">
        <v>1958</v>
      </c>
      <c r="E6" s="20" t="s">
        <v>1946</v>
      </c>
      <c r="F6" s="29" t="s">
        <v>1947</v>
      </c>
      <c r="G6" s="29" t="s">
        <v>10</v>
      </c>
      <c r="H6" s="19">
        <v>44253</v>
      </c>
      <c r="I6" s="3">
        <v>984</v>
      </c>
      <c r="J6" s="3" t="s">
        <v>58</v>
      </c>
      <c r="K6" s="429" t="s">
        <v>59</v>
      </c>
      <c r="L6" s="16" t="s">
        <v>75</v>
      </c>
      <c r="M6" s="432" t="s">
        <v>60</v>
      </c>
      <c r="N6" s="432" t="s">
        <v>1959</v>
      </c>
      <c r="O6" s="24"/>
      <c r="P6" s="251" t="s">
        <v>1960</v>
      </c>
      <c r="Q6" s="16" t="s">
        <v>75</v>
      </c>
      <c r="R6" s="16" t="s">
        <v>75</v>
      </c>
      <c r="S6" s="24" t="s">
        <v>68</v>
      </c>
      <c r="T6" s="24" t="s">
        <v>68</v>
      </c>
      <c r="U6" s="24" t="s">
        <v>68</v>
      </c>
      <c r="V6" s="24" t="s">
        <v>68</v>
      </c>
      <c r="W6" s="24"/>
      <c r="X6" s="16" t="s">
        <v>75</v>
      </c>
      <c r="Y6" s="16" t="s">
        <v>68</v>
      </c>
      <c r="Z6" s="435" t="s">
        <v>68</v>
      </c>
      <c r="AA6" s="435"/>
      <c r="AB6" s="24"/>
      <c r="AC6" s="24"/>
      <c r="AD6" s="79" t="s">
        <v>68</v>
      </c>
      <c r="AE6" s="58"/>
      <c r="AF6" s="58"/>
      <c r="AG6" s="606">
        <v>45572</v>
      </c>
      <c r="AH6" s="58" t="s">
        <v>68</v>
      </c>
      <c r="AI6" s="58" t="s">
        <v>616</v>
      </c>
      <c r="AJ6" s="24" t="s">
        <v>68</v>
      </c>
      <c r="AK6" s="58" t="s">
        <v>2612</v>
      </c>
      <c r="AM6" s="84">
        <v>45635</v>
      </c>
    </row>
    <row r="7" spans="1:43" ht="22.8" x14ac:dyDescent="0.25">
      <c r="A7" s="254">
        <v>6</v>
      </c>
      <c r="B7" s="20">
        <v>30773</v>
      </c>
      <c r="C7" s="27" t="s">
        <v>54</v>
      </c>
      <c r="D7" s="20" t="s">
        <v>1961</v>
      </c>
      <c r="E7" s="20" t="s">
        <v>1946</v>
      </c>
      <c r="F7" s="29" t="s">
        <v>1947</v>
      </c>
      <c r="G7" s="29" t="s">
        <v>10</v>
      </c>
      <c r="H7" s="19">
        <v>44253</v>
      </c>
      <c r="I7" s="3">
        <v>985</v>
      </c>
      <c r="J7" s="3" t="s">
        <v>58</v>
      </c>
      <c r="K7" s="429" t="s">
        <v>59</v>
      </c>
      <c r="L7" s="16" t="s">
        <v>75</v>
      </c>
      <c r="M7" s="432" t="s">
        <v>60</v>
      </c>
      <c r="N7" s="444" t="s">
        <v>1962</v>
      </c>
      <c r="O7" s="24"/>
      <c r="P7" s="251" t="s">
        <v>1960</v>
      </c>
      <c r="Q7" s="16" t="s">
        <v>75</v>
      </c>
      <c r="R7" s="16" t="s">
        <v>75</v>
      </c>
      <c r="S7" s="24" t="s">
        <v>62</v>
      </c>
      <c r="T7" s="24" t="s">
        <v>62</v>
      </c>
      <c r="U7" s="24" t="s">
        <v>62</v>
      </c>
      <c r="V7" s="24" t="s">
        <v>62</v>
      </c>
      <c r="W7" s="24"/>
      <c r="X7" s="16" t="s">
        <v>75</v>
      </c>
      <c r="Y7" s="42" t="s">
        <v>62</v>
      </c>
      <c r="Z7" s="435" t="s">
        <v>62</v>
      </c>
      <c r="AA7" s="435"/>
      <c r="AB7" s="24"/>
      <c r="AC7" s="24"/>
      <c r="AD7" s="79" t="s">
        <v>62</v>
      </c>
      <c r="AE7" s="58"/>
      <c r="AF7" s="58"/>
      <c r="AG7" s="606">
        <v>45572</v>
      </c>
      <c r="AH7" s="58" t="s">
        <v>62</v>
      </c>
      <c r="AI7" s="58" t="s">
        <v>604</v>
      </c>
      <c r="AJ7" s="24" t="s">
        <v>62</v>
      </c>
      <c r="AK7" s="58" t="s">
        <v>2612</v>
      </c>
      <c r="AM7" s="84">
        <v>45635</v>
      </c>
    </row>
    <row r="8" spans="1:43" ht="22.8" x14ac:dyDescent="0.25">
      <c r="A8" s="254">
        <v>7</v>
      </c>
      <c r="B8" s="20">
        <v>37368</v>
      </c>
      <c r="C8" s="27" t="s">
        <v>64</v>
      </c>
      <c r="D8" s="20" t="s">
        <v>1963</v>
      </c>
      <c r="E8" s="20" t="s">
        <v>1946</v>
      </c>
      <c r="F8" s="29" t="s">
        <v>1947</v>
      </c>
      <c r="G8" s="29" t="s">
        <v>10</v>
      </c>
      <c r="H8" s="19">
        <v>44040</v>
      </c>
      <c r="I8" s="3">
        <v>734</v>
      </c>
      <c r="J8" s="3" t="s">
        <v>58</v>
      </c>
      <c r="K8" s="429" t="s">
        <v>59</v>
      </c>
      <c r="L8" s="33">
        <v>44779</v>
      </c>
      <c r="M8" s="432" t="s">
        <v>60</v>
      </c>
      <c r="N8" s="443" t="s">
        <v>1964</v>
      </c>
      <c r="O8" s="33"/>
      <c r="P8" s="33" t="s">
        <v>2613</v>
      </c>
      <c r="Q8" s="16" t="s">
        <v>75</v>
      </c>
      <c r="R8" s="16" t="s">
        <v>75</v>
      </c>
      <c r="S8" s="16" t="s">
        <v>68</v>
      </c>
      <c r="T8" s="16" t="s">
        <v>68</v>
      </c>
      <c r="U8" s="16" t="s">
        <v>68</v>
      </c>
      <c r="V8" s="16" t="s">
        <v>75</v>
      </c>
      <c r="W8" s="16"/>
      <c r="X8" s="16"/>
      <c r="Y8" s="16" t="s">
        <v>68</v>
      </c>
      <c r="Z8" s="432" t="s">
        <v>68</v>
      </c>
      <c r="AA8" s="432"/>
      <c r="AB8" s="24"/>
      <c r="AC8" s="24"/>
      <c r="AD8" s="276" t="s">
        <v>68</v>
      </c>
      <c r="AE8" s="24"/>
      <c r="AF8" s="24"/>
      <c r="AG8" s="606">
        <v>45543</v>
      </c>
      <c r="AH8" s="58" t="s">
        <v>68</v>
      </c>
      <c r="AI8" s="381">
        <v>45635</v>
      </c>
      <c r="AJ8" s="24" t="s">
        <v>68</v>
      </c>
      <c r="AK8" s="381">
        <v>45299</v>
      </c>
      <c r="AM8" s="84">
        <v>45635</v>
      </c>
    </row>
    <row r="9" spans="1:43" ht="22.8" x14ac:dyDescent="0.25">
      <c r="A9" s="254">
        <v>8</v>
      </c>
      <c r="B9" s="20">
        <v>37368</v>
      </c>
      <c r="C9" s="27" t="s">
        <v>54</v>
      </c>
      <c r="D9" s="20" t="s">
        <v>1965</v>
      </c>
      <c r="E9" s="20" t="s">
        <v>1946</v>
      </c>
      <c r="F9" s="29" t="s">
        <v>1947</v>
      </c>
      <c r="G9" s="29" t="s">
        <v>10</v>
      </c>
      <c r="H9" s="19">
        <v>44040</v>
      </c>
      <c r="I9" s="3">
        <v>744</v>
      </c>
      <c r="J9" s="3" t="s">
        <v>58</v>
      </c>
      <c r="K9" s="429" t="s">
        <v>59</v>
      </c>
      <c r="L9" s="31">
        <v>44779</v>
      </c>
      <c r="M9" s="432" t="s">
        <v>60</v>
      </c>
      <c r="N9" s="443" t="s">
        <v>1964</v>
      </c>
      <c r="O9" s="48"/>
      <c r="P9" s="48" t="s">
        <v>2613</v>
      </c>
      <c r="Q9" s="16" t="s">
        <v>75</v>
      </c>
      <c r="R9" s="16" t="s">
        <v>75</v>
      </c>
      <c r="S9" s="30" t="s">
        <v>62</v>
      </c>
      <c r="T9" s="32" t="s">
        <v>62</v>
      </c>
      <c r="U9" s="32" t="s">
        <v>62</v>
      </c>
      <c r="V9" s="16" t="s">
        <v>75</v>
      </c>
      <c r="W9" s="30"/>
      <c r="X9" s="30"/>
      <c r="Y9" s="42" t="s">
        <v>62</v>
      </c>
      <c r="Z9" s="433" t="s">
        <v>62</v>
      </c>
      <c r="AA9" s="433"/>
      <c r="AB9" s="24"/>
      <c r="AC9" s="24"/>
      <c r="AD9" s="283" t="s">
        <v>62</v>
      </c>
      <c r="AE9" s="24"/>
      <c r="AF9" s="24"/>
      <c r="AG9" s="606">
        <v>45543</v>
      </c>
      <c r="AH9" s="58" t="s">
        <v>62</v>
      </c>
      <c r="AI9" s="381">
        <v>45635</v>
      </c>
      <c r="AJ9" s="24" t="s">
        <v>62</v>
      </c>
      <c r="AK9" s="381">
        <v>45299</v>
      </c>
      <c r="AM9" s="84">
        <v>45635</v>
      </c>
    </row>
    <row r="10" spans="1:43" ht="22.8" x14ac:dyDescent="0.25">
      <c r="A10" s="254">
        <v>9</v>
      </c>
      <c r="B10" s="20">
        <v>37386</v>
      </c>
      <c r="C10" s="27" t="s">
        <v>64</v>
      </c>
      <c r="D10" s="20" t="s">
        <v>1966</v>
      </c>
      <c r="E10" s="20" t="s">
        <v>1946</v>
      </c>
      <c r="F10" s="29" t="s">
        <v>1947</v>
      </c>
      <c r="G10" s="29" t="s">
        <v>10</v>
      </c>
      <c r="H10" s="19">
        <v>44124</v>
      </c>
      <c r="I10" s="3">
        <v>713</v>
      </c>
      <c r="J10" s="3" t="s">
        <v>58</v>
      </c>
      <c r="K10" s="429" t="s">
        <v>59</v>
      </c>
      <c r="L10" s="38">
        <v>44612</v>
      </c>
      <c r="M10" s="432" t="s">
        <v>60</v>
      </c>
      <c r="N10" s="443" t="s">
        <v>1967</v>
      </c>
      <c r="O10" s="33"/>
      <c r="P10" s="33" t="s">
        <v>2614</v>
      </c>
      <c r="Q10" s="16" t="s">
        <v>75</v>
      </c>
      <c r="R10" s="16" t="s">
        <v>75</v>
      </c>
      <c r="S10" s="16" t="s">
        <v>68</v>
      </c>
      <c r="T10" s="16" t="s">
        <v>68</v>
      </c>
      <c r="U10" s="16" t="s">
        <v>68</v>
      </c>
      <c r="V10" s="15" t="s">
        <v>68</v>
      </c>
      <c r="W10" s="16"/>
      <c r="X10" s="16"/>
      <c r="Y10" s="16" t="s">
        <v>68</v>
      </c>
      <c r="Z10" s="432" t="s">
        <v>68</v>
      </c>
      <c r="AA10" s="432"/>
      <c r="AB10" s="24"/>
      <c r="AC10" s="24"/>
      <c r="AD10" s="276" t="s">
        <v>68</v>
      </c>
      <c r="AE10" s="24"/>
      <c r="AF10" s="24"/>
      <c r="AG10" s="1109" t="s">
        <v>1697</v>
      </c>
      <c r="AH10" s="58" t="s">
        <v>68</v>
      </c>
      <c r="AI10" s="58" t="s">
        <v>2615</v>
      </c>
      <c r="AJ10" s="24" t="s">
        <v>68</v>
      </c>
      <c r="AK10" s="381" t="s">
        <v>2616</v>
      </c>
      <c r="AM10" s="84">
        <v>45514</v>
      </c>
      <c r="AN10" s="381"/>
    </row>
    <row r="11" spans="1:43" ht="22.8" x14ac:dyDescent="0.25">
      <c r="A11" s="254">
        <v>10</v>
      </c>
      <c r="B11" s="20">
        <v>37386</v>
      </c>
      <c r="C11" s="27" t="s">
        <v>54</v>
      </c>
      <c r="D11" s="20" t="s">
        <v>1968</v>
      </c>
      <c r="E11" s="20" t="s">
        <v>1946</v>
      </c>
      <c r="F11" s="29" t="s">
        <v>1947</v>
      </c>
      <c r="G11" s="29" t="s">
        <v>10</v>
      </c>
      <c r="H11" s="19">
        <v>44124</v>
      </c>
      <c r="I11" s="3">
        <v>751</v>
      </c>
      <c r="J11" s="3" t="s">
        <v>58</v>
      </c>
      <c r="K11" s="429" t="s">
        <v>59</v>
      </c>
      <c r="L11" s="38">
        <v>44612</v>
      </c>
      <c r="M11" s="432" t="s">
        <v>60</v>
      </c>
      <c r="N11" s="443" t="s">
        <v>1967</v>
      </c>
      <c r="O11" s="33"/>
      <c r="P11" s="33" t="s">
        <v>2614</v>
      </c>
      <c r="Q11" s="16" t="s">
        <v>75</v>
      </c>
      <c r="R11" s="16" t="s">
        <v>75</v>
      </c>
      <c r="S11" s="16" t="s">
        <v>62</v>
      </c>
      <c r="T11" s="16" t="s">
        <v>62</v>
      </c>
      <c r="U11" s="16" t="s">
        <v>62</v>
      </c>
      <c r="V11" s="16" t="s">
        <v>62</v>
      </c>
      <c r="W11" s="16"/>
      <c r="X11" s="16"/>
      <c r="Y11" s="42" t="s">
        <v>62</v>
      </c>
      <c r="Z11" s="432" t="s">
        <v>62</v>
      </c>
      <c r="AA11" s="432"/>
      <c r="AB11" s="24"/>
      <c r="AC11" s="24"/>
      <c r="AD11" s="283" t="s">
        <v>62</v>
      </c>
      <c r="AE11" s="24"/>
      <c r="AF11" s="24"/>
      <c r="AG11" s="1109" t="s">
        <v>1697</v>
      </c>
      <c r="AH11" s="58" t="s">
        <v>62</v>
      </c>
      <c r="AI11" s="58" t="s">
        <v>2615</v>
      </c>
      <c r="AJ11" s="24" t="s">
        <v>62</v>
      </c>
      <c r="AK11" s="381" t="s">
        <v>2616</v>
      </c>
      <c r="AM11" s="84">
        <v>45514</v>
      </c>
    </row>
    <row r="12" spans="1:43" ht="26.4" x14ac:dyDescent="0.25">
      <c r="A12" s="254">
        <v>11</v>
      </c>
      <c r="B12" s="20">
        <v>37526</v>
      </c>
      <c r="C12" s="27" t="s">
        <v>64</v>
      </c>
      <c r="D12" s="20" t="s">
        <v>1969</v>
      </c>
      <c r="E12" s="20" t="s">
        <v>1946</v>
      </c>
      <c r="F12" s="29" t="s">
        <v>1947</v>
      </c>
      <c r="G12" s="29" t="s">
        <v>10</v>
      </c>
      <c r="H12" s="19">
        <v>44298</v>
      </c>
      <c r="I12" s="3">
        <v>1002</v>
      </c>
      <c r="J12" s="3" t="s">
        <v>58</v>
      </c>
      <c r="K12" s="429" t="s">
        <v>59</v>
      </c>
      <c r="L12" s="16" t="s">
        <v>75</v>
      </c>
      <c r="M12" s="432" t="s">
        <v>60</v>
      </c>
      <c r="N12" s="432" t="s">
        <v>75</v>
      </c>
      <c r="O12" s="24" t="s">
        <v>2617</v>
      </c>
      <c r="P12" s="24" t="s">
        <v>2618</v>
      </c>
      <c r="Q12" s="16" t="s">
        <v>75</v>
      </c>
      <c r="R12" s="16" t="s">
        <v>75</v>
      </c>
      <c r="S12" s="16" t="s">
        <v>68</v>
      </c>
      <c r="T12" s="24" t="s">
        <v>68</v>
      </c>
      <c r="U12" s="16" t="s">
        <v>68</v>
      </c>
      <c r="V12" s="24" t="s">
        <v>68</v>
      </c>
      <c r="W12" s="24"/>
      <c r="X12" s="16" t="s">
        <v>75</v>
      </c>
      <c r="Y12" s="16" t="s">
        <v>68</v>
      </c>
      <c r="Z12" s="435" t="s">
        <v>68</v>
      </c>
      <c r="AA12" s="435"/>
      <c r="AB12" s="24"/>
      <c r="AC12" s="24"/>
      <c r="AD12" s="276" t="s">
        <v>68</v>
      </c>
      <c r="AE12" s="24"/>
      <c r="AF12" s="381">
        <v>45293</v>
      </c>
      <c r="AG12" s="606">
        <v>45636</v>
      </c>
      <c r="AH12" s="58" t="s">
        <v>68</v>
      </c>
      <c r="AI12" s="381" t="s">
        <v>2619</v>
      </c>
      <c r="AJ12" s="24" t="s">
        <v>68</v>
      </c>
      <c r="AK12" s="1289" t="s">
        <v>2620</v>
      </c>
      <c r="AM12" s="3" t="s">
        <v>2611</v>
      </c>
      <c r="AN12" s="381"/>
    </row>
    <row r="13" spans="1:43" ht="26.4" x14ac:dyDescent="0.25">
      <c r="A13" s="254">
        <v>12</v>
      </c>
      <c r="B13" s="20">
        <v>37526</v>
      </c>
      <c r="C13" s="27" t="s">
        <v>54</v>
      </c>
      <c r="D13" s="20" t="s">
        <v>1970</v>
      </c>
      <c r="E13" s="20" t="s">
        <v>1946</v>
      </c>
      <c r="F13" s="29" t="s">
        <v>1947</v>
      </c>
      <c r="G13" s="29" t="s">
        <v>10</v>
      </c>
      <c r="H13" s="19">
        <v>44298</v>
      </c>
      <c r="I13" s="3">
        <v>974</v>
      </c>
      <c r="J13" s="3" t="s">
        <v>58</v>
      </c>
      <c r="K13" s="429" t="s">
        <v>59</v>
      </c>
      <c r="L13" s="16" t="s">
        <v>75</v>
      </c>
      <c r="M13" s="432" t="s">
        <v>60</v>
      </c>
      <c r="N13" s="432" t="s">
        <v>75</v>
      </c>
      <c r="O13" s="24" t="s">
        <v>2617</v>
      </c>
      <c r="P13" s="24" t="s">
        <v>2618</v>
      </c>
      <c r="Q13" s="16" t="s">
        <v>75</v>
      </c>
      <c r="R13" s="16" t="s">
        <v>75</v>
      </c>
      <c r="S13" s="16" t="s">
        <v>62</v>
      </c>
      <c r="T13" s="24" t="s">
        <v>62</v>
      </c>
      <c r="U13" s="16" t="s">
        <v>62</v>
      </c>
      <c r="V13" s="24" t="s">
        <v>62</v>
      </c>
      <c r="W13" s="24"/>
      <c r="X13" s="16" t="s">
        <v>75</v>
      </c>
      <c r="Y13" s="42" t="s">
        <v>62</v>
      </c>
      <c r="Z13" s="435" t="s">
        <v>62</v>
      </c>
      <c r="AA13" s="435"/>
      <c r="AB13" s="24"/>
      <c r="AC13" s="24"/>
      <c r="AD13" s="283" t="s">
        <v>62</v>
      </c>
      <c r="AE13" s="24"/>
      <c r="AF13" s="381">
        <v>45293</v>
      </c>
      <c r="AG13" s="606">
        <v>45636</v>
      </c>
      <c r="AH13" s="58" t="s">
        <v>62</v>
      </c>
      <c r="AI13" s="381" t="s">
        <v>2619</v>
      </c>
      <c r="AJ13" s="24" t="s">
        <v>62</v>
      </c>
      <c r="AK13" s="1289" t="s">
        <v>2620</v>
      </c>
      <c r="AM13" s="3" t="s">
        <v>2611</v>
      </c>
    </row>
    <row r="14" spans="1:43" ht="22.8" x14ac:dyDescent="0.25">
      <c r="A14" s="254">
        <v>13</v>
      </c>
      <c r="B14" s="20">
        <v>37528</v>
      </c>
      <c r="C14" s="27" t="s">
        <v>64</v>
      </c>
      <c r="D14" s="20" t="s">
        <v>1971</v>
      </c>
      <c r="E14" s="20" t="s">
        <v>1946</v>
      </c>
      <c r="F14" s="29" t="s">
        <v>1947</v>
      </c>
      <c r="G14" s="29" t="s">
        <v>10</v>
      </c>
      <c r="H14" s="19">
        <v>44295</v>
      </c>
      <c r="I14" s="3">
        <v>966</v>
      </c>
      <c r="J14" s="3" t="s">
        <v>58</v>
      </c>
      <c r="K14" s="429" t="s">
        <v>59</v>
      </c>
      <c r="L14" s="16" t="s">
        <v>75</v>
      </c>
      <c r="M14" s="432" t="s">
        <v>60</v>
      </c>
      <c r="N14" s="432" t="s">
        <v>1972</v>
      </c>
      <c r="O14" s="24"/>
      <c r="P14" s="24" t="s">
        <v>2614</v>
      </c>
      <c r="Q14" s="16" t="s">
        <v>75</v>
      </c>
      <c r="R14" s="16" t="s">
        <v>75</v>
      </c>
      <c r="S14" s="16" t="s">
        <v>68</v>
      </c>
      <c r="T14" s="24" t="s">
        <v>68</v>
      </c>
      <c r="U14" s="16" t="s">
        <v>68</v>
      </c>
      <c r="V14" s="16" t="s">
        <v>75</v>
      </c>
      <c r="W14" s="24"/>
      <c r="X14" s="16" t="s">
        <v>75</v>
      </c>
      <c r="Y14" s="16" t="s">
        <v>68</v>
      </c>
      <c r="Z14" s="435" t="s">
        <v>68</v>
      </c>
      <c r="AA14" s="435"/>
      <c r="AB14" s="24"/>
      <c r="AC14" s="24"/>
      <c r="AD14" s="276" t="s">
        <v>68</v>
      </c>
      <c r="AE14" s="24"/>
      <c r="AF14" s="24"/>
      <c r="AG14" s="1109" t="s">
        <v>2621</v>
      </c>
      <c r="AH14" s="58" t="s">
        <v>68</v>
      </c>
      <c r="AI14" s="381">
        <v>45361</v>
      </c>
      <c r="AJ14" s="24" t="s">
        <v>68</v>
      </c>
      <c r="AK14" s="381">
        <v>45330</v>
      </c>
      <c r="AM14" s="3"/>
    </row>
    <row r="15" spans="1:43" ht="22.8" x14ac:dyDescent="0.25">
      <c r="A15" s="254">
        <v>14</v>
      </c>
      <c r="B15" s="20">
        <v>37528</v>
      </c>
      <c r="C15" s="27" t="s">
        <v>54</v>
      </c>
      <c r="D15" s="20" t="s">
        <v>1973</v>
      </c>
      <c r="E15" s="20" t="s">
        <v>1946</v>
      </c>
      <c r="F15" s="29" t="s">
        <v>1947</v>
      </c>
      <c r="G15" s="29" t="s">
        <v>10</v>
      </c>
      <c r="H15" s="19">
        <v>44295</v>
      </c>
      <c r="I15" s="3">
        <v>968</v>
      </c>
      <c r="J15" s="3" t="s">
        <v>58</v>
      </c>
      <c r="K15" s="429" t="s">
        <v>59</v>
      </c>
      <c r="L15" s="16" t="s">
        <v>75</v>
      </c>
      <c r="M15" s="432" t="s">
        <v>60</v>
      </c>
      <c r="N15" s="432" t="s">
        <v>1972</v>
      </c>
      <c r="O15" s="24"/>
      <c r="P15" s="24" t="s">
        <v>2614</v>
      </c>
      <c r="Q15" s="16" t="s">
        <v>75</v>
      </c>
      <c r="R15" s="16" t="s">
        <v>75</v>
      </c>
      <c r="S15" s="16" t="s">
        <v>62</v>
      </c>
      <c r="T15" s="24" t="s">
        <v>62</v>
      </c>
      <c r="U15" s="16" t="s">
        <v>62</v>
      </c>
      <c r="V15" s="16" t="s">
        <v>75</v>
      </c>
      <c r="W15" s="24"/>
      <c r="X15" s="16" t="s">
        <v>75</v>
      </c>
      <c r="Y15" s="42" t="s">
        <v>62</v>
      </c>
      <c r="Z15" s="435" t="s">
        <v>62</v>
      </c>
      <c r="AA15" s="435"/>
      <c r="AB15" s="24"/>
      <c r="AC15" s="24"/>
      <c r="AD15" s="283" t="s">
        <v>62</v>
      </c>
      <c r="AE15" s="24"/>
      <c r="AF15" s="24"/>
      <c r="AG15" s="1109" t="s">
        <v>2621</v>
      </c>
      <c r="AH15" s="58" t="s">
        <v>62</v>
      </c>
      <c r="AI15" s="381">
        <v>45361</v>
      </c>
      <c r="AJ15" s="24" t="s">
        <v>62</v>
      </c>
      <c r="AK15" s="381">
        <v>45330</v>
      </c>
      <c r="AM15" s="3"/>
    </row>
    <row r="16" spans="1:43" ht="22.8" x14ac:dyDescent="0.25">
      <c r="A16" s="254">
        <v>15</v>
      </c>
      <c r="B16" s="20">
        <v>37529</v>
      </c>
      <c r="C16" s="27" t="s">
        <v>64</v>
      </c>
      <c r="D16" s="20" t="s">
        <v>1974</v>
      </c>
      <c r="E16" s="20" t="s">
        <v>1946</v>
      </c>
      <c r="F16" s="29" t="s">
        <v>1947</v>
      </c>
      <c r="G16" s="29" t="s">
        <v>10</v>
      </c>
      <c r="H16" s="19">
        <v>44279</v>
      </c>
      <c r="I16" s="3">
        <v>1006</v>
      </c>
      <c r="J16" s="3" t="s">
        <v>58</v>
      </c>
      <c r="K16" s="429" t="s">
        <v>59</v>
      </c>
      <c r="L16" s="16" t="s">
        <v>75</v>
      </c>
      <c r="M16" s="432" t="s">
        <v>60</v>
      </c>
      <c r="N16" s="444" t="s">
        <v>1975</v>
      </c>
      <c r="O16" s="24"/>
      <c r="P16" s="24" t="s">
        <v>2622</v>
      </c>
      <c r="Q16" s="16" t="s">
        <v>75</v>
      </c>
      <c r="R16" s="16" t="s">
        <v>75</v>
      </c>
      <c r="S16" s="16" t="s">
        <v>68</v>
      </c>
      <c r="T16" s="24" t="s">
        <v>68</v>
      </c>
      <c r="U16" s="16" t="s">
        <v>68</v>
      </c>
      <c r="V16" s="16" t="s">
        <v>75</v>
      </c>
      <c r="W16" s="24"/>
      <c r="X16" s="16" t="s">
        <v>75</v>
      </c>
      <c r="Y16" s="16" t="s">
        <v>68</v>
      </c>
      <c r="Z16" s="435" t="s">
        <v>68</v>
      </c>
      <c r="AA16" s="435"/>
      <c r="AB16" s="24"/>
      <c r="AC16" s="24"/>
      <c r="AD16" s="276" t="s">
        <v>68</v>
      </c>
      <c r="AE16" s="24"/>
      <c r="AF16" s="24"/>
      <c r="AG16" s="606">
        <v>45454</v>
      </c>
      <c r="AH16" s="58" t="s">
        <v>68</v>
      </c>
      <c r="AI16" s="58" t="s">
        <v>2623</v>
      </c>
      <c r="AJ16" s="24" t="s">
        <v>68</v>
      </c>
      <c r="AK16" s="381">
        <v>45933</v>
      </c>
      <c r="AM16" s="84">
        <v>45300</v>
      </c>
    </row>
    <row r="17" spans="1:40" ht="22.8" x14ac:dyDescent="0.25">
      <c r="A17" s="254">
        <v>16</v>
      </c>
      <c r="B17" s="20">
        <v>37529</v>
      </c>
      <c r="C17" s="27" t="s">
        <v>54</v>
      </c>
      <c r="D17" s="20" t="s">
        <v>1976</v>
      </c>
      <c r="E17" s="20" t="s">
        <v>1946</v>
      </c>
      <c r="F17" s="29" t="s">
        <v>1947</v>
      </c>
      <c r="G17" s="29" t="s">
        <v>10</v>
      </c>
      <c r="H17" s="19">
        <v>44279</v>
      </c>
      <c r="I17" s="3">
        <v>1009</v>
      </c>
      <c r="J17" s="3" t="s">
        <v>58</v>
      </c>
      <c r="K17" s="429" t="s">
        <v>59</v>
      </c>
      <c r="L17" s="16" t="s">
        <v>75</v>
      </c>
      <c r="M17" s="432" t="s">
        <v>60</v>
      </c>
      <c r="N17" s="432" t="s">
        <v>1977</v>
      </c>
      <c r="O17" s="24"/>
      <c r="P17" s="24" t="s">
        <v>2622</v>
      </c>
      <c r="Q17" s="16" t="s">
        <v>75</v>
      </c>
      <c r="R17" s="16" t="s">
        <v>75</v>
      </c>
      <c r="S17" s="16" t="s">
        <v>62</v>
      </c>
      <c r="T17" s="24" t="s">
        <v>62</v>
      </c>
      <c r="U17" s="16" t="s">
        <v>62</v>
      </c>
      <c r="V17" s="16" t="s">
        <v>75</v>
      </c>
      <c r="W17" s="24"/>
      <c r="X17" s="16" t="s">
        <v>75</v>
      </c>
      <c r="Y17" s="42" t="s">
        <v>62</v>
      </c>
      <c r="Z17" s="435" t="s">
        <v>62</v>
      </c>
      <c r="AA17" s="435"/>
      <c r="AB17" s="24"/>
      <c r="AC17" s="24"/>
      <c r="AD17" s="283" t="s">
        <v>62</v>
      </c>
      <c r="AE17" s="24"/>
      <c r="AF17" s="24"/>
      <c r="AG17" s="606">
        <v>45454</v>
      </c>
      <c r="AH17" s="58" t="s">
        <v>62</v>
      </c>
      <c r="AI17" s="58" t="s">
        <v>2623</v>
      </c>
      <c r="AJ17" s="24" t="s">
        <v>62</v>
      </c>
      <c r="AK17" s="381">
        <v>45933</v>
      </c>
      <c r="AM17" s="84">
        <v>45300</v>
      </c>
    </row>
    <row r="18" spans="1:40" ht="22.8" x14ac:dyDescent="0.25">
      <c r="A18" s="254">
        <v>17</v>
      </c>
      <c r="B18" s="20">
        <v>37531</v>
      </c>
      <c r="C18" s="27" t="s">
        <v>64</v>
      </c>
      <c r="D18" s="20" t="s">
        <v>1978</v>
      </c>
      <c r="E18" s="20" t="s">
        <v>1946</v>
      </c>
      <c r="F18" s="29" t="s">
        <v>1947</v>
      </c>
      <c r="G18" s="19" t="s">
        <v>10</v>
      </c>
      <c r="H18" s="19">
        <v>44265</v>
      </c>
      <c r="I18" s="3" t="s">
        <v>1979</v>
      </c>
      <c r="J18" s="3" t="s">
        <v>58</v>
      </c>
      <c r="K18" s="429" t="s">
        <v>59</v>
      </c>
      <c r="L18" s="16" t="s">
        <v>75</v>
      </c>
      <c r="M18" s="432" t="s">
        <v>60</v>
      </c>
      <c r="N18" s="432" t="s">
        <v>75</v>
      </c>
      <c r="O18" s="33"/>
      <c r="P18" s="33" t="s">
        <v>1980</v>
      </c>
      <c r="Q18" s="16" t="s">
        <v>75</v>
      </c>
      <c r="R18" s="16" t="s">
        <v>75</v>
      </c>
      <c r="S18" s="16" t="s">
        <v>68</v>
      </c>
      <c r="T18" s="24" t="s">
        <v>68</v>
      </c>
      <c r="U18" s="16" t="s">
        <v>68</v>
      </c>
      <c r="V18" s="16" t="s">
        <v>75</v>
      </c>
      <c r="W18" s="24"/>
      <c r="X18" s="16" t="s">
        <v>75</v>
      </c>
      <c r="Y18" s="16" t="s">
        <v>68</v>
      </c>
      <c r="Z18" s="435" t="s">
        <v>68</v>
      </c>
      <c r="AA18" s="435"/>
      <c r="AB18" s="24"/>
      <c r="AC18" s="24"/>
      <c r="AD18" s="79" t="s">
        <v>68</v>
      </c>
      <c r="AE18" s="58"/>
      <c r="AF18" s="58"/>
      <c r="AG18" s="1109" t="s">
        <v>2624</v>
      </c>
      <c r="AH18" s="58" t="s">
        <v>68</v>
      </c>
      <c r="AI18" s="58" t="s">
        <v>2625</v>
      </c>
      <c r="AJ18" s="24" t="s">
        <v>68</v>
      </c>
      <c r="AK18" s="381" t="s">
        <v>2626</v>
      </c>
      <c r="AM18" s="3" t="s">
        <v>2625</v>
      </c>
      <c r="AN18" s="381"/>
    </row>
    <row r="19" spans="1:40" ht="22.8" x14ac:dyDescent="0.25">
      <c r="A19" s="254">
        <v>18</v>
      </c>
      <c r="B19" s="20">
        <v>37531</v>
      </c>
      <c r="C19" s="27" t="s">
        <v>54</v>
      </c>
      <c r="D19" s="20" t="s">
        <v>1981</v>
      </c>
      <c r="E19" s="20" t="s">
        <v>1946</v>
      </c>
      <c r="F19" s="29" t="s">
        <v>1947</v>
      </c>
      <c r="G19" s="29" t="s">
        <v>10</v>
      </c>
      <c r="H19" s="19">
        <v>44265</v>
      </c>
      <c r="I19" s="3">
        <v>992</v>
      </c>
      <c r="J19" s="3" t="s">
        <v>58</v>
      </c>
      <c r="K19" s="429" t="s">
        <v>59</v>
      </c>
      <c r="L19" s="16" t="s">
        <v>75</v>
      </c>
      <c r="M19" s="432" t="s">
        <v>60</v>
      </c>
      <c r="N19" s="444" t="s">
        <v>1982</v>
      </c>
      <c r="O19" s="24"/>
      <c r="P19" s="33" t="s">
        <v>1980</v>
      </c>
      <c r="Q19" s="16" t="s">
        <v>75</v>
      </c>
      <c r="R19" s="16" t="s">
        <v>75</v>
      </c>
      <c r="S19" s="16" t="s">
        <v>62</v>
      </c>
      <c r="T19" s="24" t="s">
        <v>62</v>
      </c>
      <c r="U19" s="16" t="s">
        <v>62</v>
      </c>
      <c r="V19" s="16" t="s">
        <v>75</v>
      </c>
      <c r="W19" s="24"/>
      <c r="X19" s="16" t="s">
        <v>75</v>
      </c>
      <c r="Y19" s="42" t="s">
        <v>62</v>
      </c>
      <c r="Z19" s="435" t="s">
        <v>62</v>
      </c>
      <c r="AA19" s="435"/>
      <c r="AB19" s="24"/>
      <c r="AC19" s="24"/>
      <c r="AD19" s="79" t="s">
        <v>62</v>
      </c>
      <c r="AE19" s="58"/>
      <c r="AF19" s="58"/>
      <c r="AG19" s="1109" t="s">
        <v>2624</v>
      </c>
      <c r="AH19" s="58" t="s">
        <v>62</v>
      </c>
      <c r="AI19" s="58" t="s">
        <v>2625</v>
      </c>
      <c r="AJ19" s="24" t="s">
        <v>62</v>
      </c>
      <c r="AK19" s="381" t="s">
        <v>2626</v>
      </c>
      <c r="AM19" s="3" t="s">
        <v>2625</v>
      </c>
    </row>
    <row r="20" spans="1:40" ht="22.8" x14ac:dyDescent="0.25">
      <c r="A20" s="254">
        <v>19</v>
      </c>
      <c r="B20" s="20">
        <v>37568</v>
      </c>
      <c r="C20" s="27" t="s">
        <v>64</v>
      </c>
      <c r="D20" s="20" t="s">
        <v>1983</v>
      </c>
      <c r="E20" s="20" t="s">
        <v>1946</v>
      </c>
      <c r="F20" s="3" t="s">
        <v>1947</v>
      </c>
      <c r="G20" s="3" t="s">
        <v>10</v>
      </c>
      <c r="H20" s="19">
        <v>44342</v>
      </c>
      <c r="I20" s="3">
        <v>1016</v>
      </c>
      <c r="J20" s="3" t="s">
        <v>58</v>
      </c>
      <c r="K20" s="429" t="s">
        <v>59</v>
      </c>
      <c r="L20" s="16" t="s">
        <v>75</v>
      </c>
      <c r="M20" s="432" t="s">
        <v>60</v>
      </c>
      <c r="N20" s="443" t="s">
        <v>1984</v>
      </c>
      <c r="O20" s="33" t="s">
        <v>2627</v>
      </c>
      <c r="P20" s="33" t="s">
        <v>2628</v>
      </c>
      <c r="Q20" s="16" t="s">
        <v>75</v>
      </c>
      <c r="R20" s="16" t="s">
        <v>75</v>
      </c>
      <c r="S20" s="16" t="s">
        <v>68</v>
      </c>
      <c r="T20" s="16" t="s">
        <v>68</v>
      </c>
      <c r="U20" s="16" t="s">
        <v>68</v>
      </c>
      <c r="V20" s="16" t="s">
        <v>68</v>
      </c>
      <c r="W20" s="16"/>
      <c r="X20" s="16" t="s">
        <v>75</v>
      </c>
      <c r="Y20" s="16" t="s">
        <v>68</v>
      </c>
      <c r="Z20" s="432" t="s">
        <v>68</v>
      </c>
      <c r="AA20" s="432"/>
      <c r="AB20" s="24"/>
      <c r="AC20" s="24"/>
      <c r="AD20" s="276" t="s">
        <v>68</v>
      </c>
      <c r="AE20" s="58"/>
      <c r="AF20" s="58" t="s">
        <v>68</v>
      </c>
      <c r="AG20" s="1109" t="s">
        <v>2629</v>
      </c>
      <c r="AH20" s="58" t="s">
        <v>68</v>
      </c>
      <c r="AI20" s="58" t="s">
        <v>2630</v>
      </c>
      <c r="AJ20" s="24" t="s">
        <v>68</v>
      </c>
      <c r="AK20" s="381">
        <v>45511</v>
      </c>
      <c r="AM20" s="3" t="s">
        <v>2631</v>
      </c>
      <c r="AN20" s="381"/>
    </row>
    <row r="21" spans="1:40" ht="22.8" x14ac:dyDescent="0.25">
      <c r="A21" s="254">
        <v>20</v>
      </c>
      <c r="B21" s="20">
        <v>37568</v>
      </c>
      <c r="C21" s="27" t="s">
        <v>54</v>
      </c>
      <c r="D21" s="20" t="s">
        <v>1985</v>
      </c>
      <c r="E21" s="20" t="s">
        <v>1946</v>
      </c>
      <c r="F21" s="3" t="s">
        <v>1947</v>
      </c>
      <c r="G21" s="3" t="s">
        <v>10</v>
      </c>
      <c r="H21" s="19">
        <v>44342</v>
      </c>
      <c r="I21" s="3">
        <v>1017</v>
      </c>
      <c r="J21" s="3" t="s">
        <v>58</v>
      </c>
      <c r="K21" s="429" t="s">
        <v>59</v>
      </c>
      <c r="L21" s="16" t="s">
        <v>75</v>
      </c>
      <c r="M21" s="432" t="s">
        <v>60</v>
      </c>
      <c r="N21" s="443" t="s">
        <v>1984</v>
      </c>
      <c r="O21" s="33" t="s">
        <v>2627</v>
      </c>
      <c r="P21" s="33" t="s">
        <v>2628</v>
      </c>
      <c r="Q21" s="16" t="s">
        <v>75</v>
      </c>
      <c r="R21" s="16" t="s">
        <v>75</v>
      </c>
      <c r="S21" s="16" t="s">
        <v>62</v>
      </c>
      <c r="T21" s="16" t="s">
        <v>62</v>
      </c>
      <c r="U21" s="16" t="s">
        <v>62</v>
      </c>
      <c r="V21" s="16" t="s">
        <v>62</v>
      </c>
      <c r="W21" s="16"/>
      <c r="X21" s="16" t="s">
        <v>75</v>
      </c>
      <c r="Y21" s="42" t="s">
        <v>62</v>
      </c>
      <c r="Z21" s="432" t="s">
        <v>62</v>
      </c>
      <c r="AA21" s="432"/>
      <c r="AB21" s="24"/>
      <c r="AC21" s="24"/>
      <c r="AD21" s="276" t="s">
        <v>62</v>
      </c>
      <c r="AE21" s="58"/>
      <c r="AF21" s="58" t="s">
        <v>62</v>
      </c>
      <c r="AG21" s="1109" t="s">
        <v>2629</v>
      </c>
      <c r="AH21" s="58" t="s">
        <v>62</v>
      </c>
      <c r="AI21" s="58" t="s">
        <v>2630</v>
      </c>
      <c r="AJ21" s="24" t="s">
        <v>62</v>
      </c>
      <c r="AK21" s="381">
        <v>45511</v>
      </c>
      <c r="AM21" s="3" t="s">
        <v>2631</v>
      </c>
    </row>
    <row r="22" spans="1:40" ht="22.8" x14ac:dyDescent="0.25">
      <c r="A22" s="254">
        <v>21</v>
      </c>
      <c r="B22" s="20">
        <v>39140</v>
      </c>
      <c r="C22" s="27" t="s">
        <v>64</v>
      </c>
      <c r="D22" s="20" t="s">
        <v>1986</v>
      </c>
      <c r="E22" s="20" t="s">
        <v>1946</v>
      </c>
      <c r="F22" s="29" t="s">
        <v>1947</v>
      </c>
      <c r="G22" s="29" t="s">
        <v>10</v>
      </c>
      <c r="H22" s="19">
        <v>44007</v>
      </c>
      <c r="I22" s="3">
        <v>773</v>
      </c>
      <c r="J22" s="3" t="s">
        <v>58</v>
      </c>
      <c r="K22" s="429" t="s">
        <v>59</v>
      </c>
      <c r="L22" s="33">
        <v>44750</v>
      </c>
      <c r="M22" s="432" t="s">
        <v>60</v>
      </c>
      <c r="N22" s="443" t="s">
        <v>1987</v>
      </c>
      <c r="O22" s="33" t="s">
        <v>2632</v>
      </c>
      <c r="P22" s="33" t="s">
        <v>1980</v>
      </c>
      <c r="Q22" s="16" t="s">
        <v>75</v>
      </c>
      <c r="R22" s="16" t="s">
        <v>75</v>
      </c>
      <c r="S22" s="16" t="s">
        <v>68</v>
      </c>
      <c r="T22" s="16" t="s">
        <v>68</v>
      </c>
      <c r="U22" s="16" t="s">
        <v>68</v>
      </c>
      <c r="V22" s="16" t="s">
        <v>75</v>
      </c>
      <c r="W22" s="16"/>
      <c r="X22" s="16" t="s">
        <v>75</v>
      </c>
      <c r="Y22" s="16" t="s">
        <v>68</v>
      </c>
      <c r="Z22" s="432" t="s">
        <v>68</v>
      </c>
      <c r="AA22" s="432"/>
      <c r="AB22" s="24"/>
      <c r="AC22" s="24"/>
      <c r="AD22" s="276" t="s">
        <v>68</v>
      </c>
      <c r="AG22" s="1109" t="s">
        <v>1277</v>
      </c>
      <c r="AH22" s="58" t="s">
        <v>68</v>
      </c>
      <c r="AI22" s="58" t="s">
        <v>2633</v>
      </c>
      <c r="AJ22" s="24" t="s">
        <v>68</v>
      </c>
      <c r="AK22" s="58" t="s">
        <v>2634</v>
      </c>
      <c r="AM22" s="3" t="s">
        <v>2635</v>
      </c>
      <c r="AN22" s="381"/>
    </row>
    <row r="23" spans="1:40" ht="22.8" x14ac:dyDescent="0.25">
      <c r="A23" s="254">
        <v>22</v>
      </c>
      <c r="B23" s="20">
        <v>39140</v>
      </c>
      <c r="C23" s="27" t="s">
        <v>54</v>
      </c>
      <c r="D23" s="20" t="s">
        <v>1988</v>
      </c>
      <c r="E23" s="20" t="s">
        <v>1946</v>
      </c>
      <c r="F23" s="29" t="s">
        <v>1947</v>
      </c>
      <c r="G23" s="29" t="s">
        <v>10</v>
      </c>
      <c r="H23" s="19">
        <v>44007</v>
      </c>
      <c r="I23" s="3">
        <v>671</v>
      </c>
      <c r="J23" s="3" t="s">
        <v>58</v>
      </c>
      <c r="K23" s="429" t="s">
        <v>59</v>
      </c>
      <c r="L23" s="33">
        <v>44750</v>
      </c>
      <c r="M23" s="432" t="s">
        <v>60</v>
      </c>
      <c r="N23" s="443" t="s">
        <v>1987</v>
      </c>
      <c r="O23" s="33" t="s">
        <v>2632</v>
      </c>
      <c r="P23" s="33" t="s">
        <v>1980</v>
      </c>
      <c r="Q23" s="16" t="s">
        <v>75</v>
      </c>
      <c r="R23" s="16" t="s">
        <v>75</v>
      </c>
      <c r="S23" s="16" t="s">
        <v>62</v>
      </c>
      <c r="T23" s="16" t="s">
        <v>62</v>
      </c>
      <c r="U23" s="16" t="s">
        <v>62</v>
      </c>
      <c r="V23" s="16" t="s">
        <v>75</v>
      </c>
      <c r="W23" s="16"/>
      <c r="X23" s="16" t="s">
        <v>75</v>
      </c>
      <c r="Y23" s="42" t="s">
        <v>62</v>
      </c>
      <c r="Z23" s="432" t="s">
        <v>62</v>
      </c>
      <c r="AA23" s="432"/>
      <c r="AB23" s="24"/>
      <c r="AC23" s="24"/>
      <c r="AD23" s="276" t="s">
        <v>62</v>
      </c>
      <c r="AG23" s="1109" t="s">
        <v>1277</v>
      </c>
      <c r="AH23" s="58" t="s">
        <v>62</v>
      </c>
      <c r="AI23" s="58" t="s">
        <v>2633</v>
      </c>
      <c r="AJ23" s="24" t="s">
        <v>62</v>
      </c>
      <c r="AK23" s="58" t="s">
        <v>2634</v>
      </c>
      <c r="AM23" s="3" t="s">
        <v>2635</v>
      </c>
      <c r="AN23" s="381"/>
    </row>
    <row r="24" spans="1:40" ht="22.8" x14ac:dyDescent="0.25">
      <c r="A24" s="254">
        <v>23</v>
      </c>
      <c r="B24" s="20">
        <v>39157</v>
      </c>
      <c r="C24" s="27" t="s">
        <v>64</v>
      </c>
      <c r="D24" s="20" t="s">
        <v>1989</v>
      </c>
      <c r="E24" s="20" t="s">
        <v>1946</v>
      </c>
      <c r="F24" s="29" t="s">
        <v>1947</v>
      </c>
      <c r="G24" s="29" t="s">
        <v>10</v>
      </c>
      <c r="H24" s="19">
        <v>44163</v>
      </c>
      <c r="I24" s="3">
        <v>877</v>
      </c>
      <c r="J24" s="3" t="s">
        <v>58</v>
      </c>
      <c r="K24" s="429" t="s">
        <v>59</v>
      </c>
      <c r="L24" s="33">
        <v>44653</v>
      </c>
      <c r="M24" s="432" t="s">
        <v>60</v>
      </c>
      <c r="N24" s="443" t="s">
        <v>1990</v>
      </c>
      <c r="O24" s="33"/>
      <c r="P24" s="33" t="s">
        <v>2636</v>
      </c>
      <c r="Q24" s="16" t="s">
        <v>75</v>
      </c>
      <c r="R24" s="16" t="s">
        <v>75</v>
      </c>
      <c r="S24" s="16" t="s">
        <v>68</v>
      </c>
      <c r="T24" s="16" t="s">
        <v>68</v>
      </c>
      <c r="U24" s="16" t="s">
        <v>68</v>
      </c>
      <c r="V24" s="16" t="s">
        <v>75</v>
      </c>
      <c r="W24" s="16"/>
      <c r="X24" s="16" t="s">
        <v>75</v>
      </c>
      <c r="Y24" s="16" t="s">
        <v>68</v>
      </c>
      <c r="Z24" s="432"/>
      <c r="AA24" s="432"/>
      <c r="AB24" s="24"/>
      <c r="AC24" s="24"/>
      <c r="AD24" s="276" t="s">
        <v>68</v>
      </c>
      <c r="AE24" s="24"/>
      <c r="AF24" s="24"/>
      <c r="AG24" s="606">
        <v>45299</v>
      </c>
      <c r="AH24" s="58" t="s">
        <v>68</v>
      </c>
      <c r="AI24" s="606">
        <v>45324</v>
      </c>
      <c r="AJ24" s="58" t="s">
        <v>68</v>
      </c>
      <c r="AK24" s="381" t="s">
        <v>2637</v>
      </c>
      <c r="AM24" s="84">
        <v>45299</v>
      </c>
    </row>
    <row r="25" spans="1:40" ht="22.8" x14ac:dyDescent="0.25">
      <c r="A25" s="254">
        <v>24</v>
      </c>
      <c r="B25" s="20">
        <v>39157</v>
      </c>
      <c r="C25" s="27" t="s">
        <v>54</v>
      </c>
      <c r="D25" s="20" t="s">
        <v>1991</v>
      </c>
      <c r="E25" s="20" t="s">
        <v>1946</v>
      </c>
      <c r="F25" s="29" t="s">
        <v>1947</v>
      </c>
      <c r="G25" s="29" t="s">
        <v>10</v>
      </c>
      <c r="H25" s="19">
        <v>44163</v>
      </c>
      <c r="I25" s="3">
        <v>876</v>
      </c>
      <c r="J25" s="3" t="s">
        <v>58</v>
      </c>
      <c r="K25" s="429" t="s">
        <v>59</v>
      </c>
      <c r="L25" s="33">
        <v>44653</v>
      </c>
      <c r="M25" s="432" t="s">
        <v>60</v>
      </c>
      <c r="N25" s="443" t="s">
        <v>1990</v>
      </c>
      <c r="O25" s="33"/>
      <c r="P25" s="33" t="s">
        <v>2636</v>
      </c>
      <c r="Q25" s="16" t="s">
        <v>75</v>
      </c>
      <c r="R25" s="16" t="s">
        <v>75</v>
      </c>
      <c r="S25" s="16" t="s">
        <v>62</v>
      </c>
      <c r="T25" s="16" t="s">
        <v>62</v>
      </c>
      <c r="U25" s="16" t="s">
        <v>62</v>
      </c>
      <c r="V25" s="16" t="s">
        <v>75</v>
      </c>
      <c r="W25" s="16"/>
      <c r="X25" s="16" t="s">
        <v>75</v>
      </c>
      <c r="Y25" s="42" t="s">
        <v>62</v>
      </c>
      <c r="Z25" s="432"/>
      <c r="AA25" s="432"/>
      <c r="AB25" s="24"/>
      <c r="AC25" s="24"/>
      <c r="AD25" s="283" t="s">
        <v>62</v>
      </c>
      <c r="AE25" s="24"/>
      <c r="AF25" s="24"/>
      <c r="AG25" s="606">
        <v>45299</v>
      </c>
      <c r="AH25" s="58" t="s">
        <v>62</v>
      </c>
      <c r="AI25" s="606">
        <v>45324</v>
      </c>
      <c r="AJ25" s="58" t="s">
        <v>62</v>
      </c>
      <c r="AK25" s="381" t="s">
        <v>2637</v>
      </c>
      <c r="AM25" s="84">
        <v>45299</v>
      </c>
    </row>
    <row r="26" spans="1:40" ht="22.8" x14ac:dyDescent="0.25">
      <c r="A26" s="254">
        <v>25</v>
      </c>
      <c r="B26" s="20">
        <v>39158</v>
      </c>
      <c r="C26" s="27" t="s">
        <v>64</v>
      </c>
      <c r="D26" s="20" t="s">
        <v>1992</v>
      </c>
      <c r="E26" s="20" t="s">
        <v>1946</v>
      </c>
      <c r="F26" s="29" t="s">
        <v>1947</v>
      </c>
      <c r="G26" s="29" t="s">
        <v>10</v>
      </c>
      <c r="H26" s="19">
        <v>44186</v>
      </c>
      <c r="I26" s="3">
        <v>879</v>
      </c>
      <c r="J26" s="3" t="s">
        <v>58</v>
      </c>
      <c r="K26" s="429" t="s">
        <v>59</v>
      </c>
      <c r="L26" s="33">
        <v>44620</v>
      </c>
      <c r="M26" s="432" t="s">
        <v>60</v>
      </c>
      <c r="N26" s="445" t="s">
        <v>1993</v>
      </c>
      <c r="O26" s="33"/>
      <c r="P26" s="33" t="s">
        <v>1980</v>
      </c>
      <c r="Q26" s="16" t="s">
        <v>75</v>
      </c>
      <c r="R26" s="16" t="s">
        <v>75</v>
      </c>
      <c r="S26" s="16" t="s">
        <v>68</v>
      </c>
      <c r="T26" s="16" t="s">
        <v>68</v>
      </c>
      <c r="U26" s="16" t="s">
        <v>68</v>
      </c>
      <c r="V26" s="16" t="s">
        <v>75</v>
      </c>
      <c r="W26" s="16"/>
      <c r="X26" s="16" t="s">
        <v>75</v>
      </c>
      <c r="Y26" s="16" t="s">
        <v>68</v>
      </c>
      <c r="Z26" s="432" t="s">
        <v>68</v>
      </c>
      <c r="AA26" s="432"/>
      <c r="AB26" s="24" t="s">
        <v>2638</v>
      </c>
      <c r="AC26" s="24"/>
      <c r="AD26" s="276" t="s">
        <v>68</v>
      </c>
      <c r="AE26" s="24"/>
      <c r="AF26" s="24"/>
      <c r="AG26" s="1109" t="s">
        <v>2639</v>
      </c>
      <c r="AH26" s="58" t="s">
        <v>68</v>
      </c>
      <c r="AI26" s="58" t="s">
        <v>2639</v>
      </c>
      <c r="AJ26" s="24" t="s">
        <v>68</v>
      </c>
      <c r="AK26" s="381">
        <v>45455</v>
      </c>
      <c r="AM26" s="3" t="s">
        <v>2639</v>
      </c>
    </row>
    <row r="27" spans="1:40" ht="22.8" x14ac:dyDescent="0.25">
      <c r="A27" s="254">
        <v>26</v>
      </c>
      <c r="B27" s="20">
        <v>39158</v>
      </c>
      <c r="C27" s="27" t="s">
        <v>54</v>
      </c>
      <c r="D27" s="20" t="s">
        <v>1994</v>
      </c>
      <c r="E27" s="20" t="s">
        <v>1946</v>
      </c>
      <c r="F27" s="29" t="s">
        <v>1947</v>
      </c>
      <c r="G27" s="29" t="s">
        <v>10</v>
      </c>
      <c r="H27" s="19">
        <v>44186</v>
      </c>
      <c r="I27" s="3">
        <v>885</v>
      </c>
      <c r="J27" s="3" t="s">
        <v>58</v>
      </c>
      <c r="K27" s="429" t="s">
        <v>59</v>
      </c>
      <c r="L27" s="33">
        <v>44620</v>
      </c>
      <c r="M27" s="432" t="s">
        <v>60</v>
      </c>
      <c r="N27" s="444" t="s">
        <v>1993</v>
      </c>
      <c r="O27" s="24"/>
      <c r="P27" s="24" t="s">
        <v>1980</v>
      </c>
      <c r="Q27" s="16" t="s">
        <v>75</v>
      </c>
      <c r="R27" s="16" t="s">
        <v>75</v>
      </c>
      <c r="S27" s="16" t="s">
        <v>62</v>
      </c>
      <c r="T27" s="24" t="s">
        <v>62</v>
      </c>
      <c r="U27" s="16" t="s">
        <v>62</v>
      </c>
      <c r="V27" s="16" t="s">
        <v>75</v>
      </c>
      <c r="W27" s="24"/>
      <c r="X27" s="16" t="s">
        <v>75</v>
      </c>
      <c r="Y27" s="42" t="s">
        <v>62</v>
      </c>
      <c r="Z27" s="435" t="s">
        <v>62</v>
      </c>
      <c r="AA27" s="435"/>
      <c r="AB27" s="24" t="s">
        <v>2640</v>
      </c>
      <c r="AC27" s="24"/>
      <c r="AD27" s="283" t="s">
        <v>62</v>
      </c>
      <c r="AE27" s="24"/>
      <c r="AF27" s="24"/>
      <c r="AG27" s="1109" t="s">
        <v>2639</v>
      </c>
      <c r="AH27" s="58" t="s">
        <v>62</v>
      </c>
      <c r="AI27" s="58" t="s">
        <v>2639</v>
      </c>
      <c r="AJ27" s="24" t="s">
        <v>62</v>
      </c>
      <c r="AK27" s="381">
        <v>45455</v>
      </c>
      <c r="AM27" s="3" t="s">
        <v>2639</v>
      </c>
    </row>
    <row r="28" spans="1:40" ht="22.8" x14ac:dyDescent="0.25">
      <c r="A28" s="254">
        <v>27</v>
      </c>
      <c r="B28" s="20">
        <v>39165</v>
      </c>
      <c r="C28" s="27" t="s">
        <v>64</v>
      </c>
      <c r="D28" s="20" t="s">
        <v>1995</v>
      </c>
      <c r="E28" s="20" t="s">
        <v>1946</v>
      </c>
      <c r="F28" s="29" t="s">
        <v>1947</v>
      </c>
      <c r="G28" s="29" t="s">
        <v>10</v>
      </c>
      <c r="H28" s="19">
        <v>44224</v>
      </c>
      <c r="I28" s="3">
        <v>981</v>
      </c>
      <c r="J28" s="3" t="s">
        <v>58</v>
      </c>
      <c r="K28" s="429" t="s">
        <v>59</v>
      </c>
      <c r="L28" s="16" t="s">
        <v>75</v>
      </c>
      <c r="M28" s="432" t="s">
        <v>60</v>
      </c>
      <c r="N28" s="444" t="s">
        <v>1987</v>
      </c>
      <c r="O28" s="24"/>
      <c r="P28" s="24" t="s">
        <v>2641</v>
      </c>
      <c r="Q28" s="16" t="s">
        <v>75</v>
      </c>
      <c r="R28" s="16" t="s">
        <v>75</v>
      </c>
      <c r="S28" s="16" t="s">
        <v>68</v>
      </c>
      <c r="T28" s="24" t="s">
        <v>68</v>
      </c>
      <c r="U28" s="16" t="s">
        <v>68</v>
      </c>
      <c r="V28" s="16" t="s">
        <v>75</v>
      </c>
      <c r="W28" s="24"/>
      <c r="X28" s="16" t="s">
        <v>75</v>
      </c>
      <c r="Y28" s="16" t="s">
        <v>68</v>
      </c>
      <c r="Z28" s="435" t="s">
        <v>68</v>
      </c>
      <c r="AA28" s="435"/>
      <c r="AB28" s="24"/>
      <c r="AC28" s="24"/>
      <c r="AD28" s="79" t="s">
        <v>68</v>
      </c>
      <c r="AF28" s="381" t="s">
        <v>2642</v>
      </c>
      <c r="AG28" s="1109" t="s">
        <v>2643</v>
      </c>
      <c r="AH28" s="58" t="s">
        <v>68</v>
      </c>
      <c r="AI28" s="381" t="s">
        <v>2642</v>
      </c>
      <c r="AJ28" s="24" t="s">
        <v>68</v>
      </c>
      <c r="AK28" s="1292" t="s">
        <v>2644</v>
      </c>
      <c r="AM28" s="3"/>
    </row>
    <row r="29" spans="1:40" ht="22.8" x14ac:dyDescent="0.25">
      <c r="A29" s="254">
        <v>28</v>
      </c>
      <c r="B29" s="20">
        <v>39165</v>
      </c>
      <c r="C29" s="27" t="s">
        <v>54</v>
      </c>
      <c r="D29" s="20" t="s">
        <v>1996</v>
      </c>
      <c r="E29" s="20" t="s">
        <v>1946</v>
      </c>
      <c r="F29" s="29" t="s">
        <v>1947</v>
      </c>
      <c r="G29" s="29" t="s">
        <v>10</v>
      </c>
      <c r="H29" s="19">
        <v>44224</v>
      </c>
      <c r="I29" s="3">
        <v>980</v>
      </c>
      <c r="J29" s="3" t="s">
        <v>58</v>
      </c>
      <c r="K29" s="429" t="s">
        <v>59</v>
      </c>
      <c r="L29" s="16" t="s">
        <v>75</v>
      </c>
      <c r="M29" s="432" t="s">
        <v>60</v>
      </c>
      <c r="N29" s="444" t="s">
        <v>1987</v>
      </c>
      <c r="O29" s="24"/>
      <c r="P29" s="24" t="s">
        <v>2641</v>
      </c>
      <c r="Q29" s="16" t="s">
        <v>75</v>
      </c>
      <c r="R29" s="16" t="s">
        <v>75</v>
      </c>
      <c r="S29" s="16" t="s">
        <v>62</v>
      </c>
      <c r="T29" s="24" t="s">
        <v>62</v>
      </c>
      <c r="U29" s="16" t="s">
        <v>62</v>
      </c>
      <c r="V29" s="16" t="s">
        <v>75</v>
      </c>
      <c r="W29" s="24"/>
      <c r="X29" s="16" t="s">
        <v>75</v>
      </c>
      <c r="Y29" s="42" t="s">
        <v>62</v>
      </c>
      <c r="Z29" s="435" t="s">
        <v>62</v>
      </c>
      <c r="AA29" s="435"/>
      <c r="AB29" s="24"/>
      <c r="AC29" s="24"/>
      <c r="AD29" s="79" t="s">
        <v>62</v>
      </c>
      <c r="AE29" s="58"/>
      <c r="AF29" s="381" t="s">
        <v>2642</v>
      </c>
      <c r="AG29" s="1109" t="s">
        <v>2643</v>
      </c>
      <c r="AH29" s="58" t="s">
        <v>62</v>
      </c>
      <c r="AI29" s="381" t="s">
        <v>2642</v>
      </c>
      <c r="AJ29" s="24" t="s">
        <v>62</v>
      </c>
      <c r="AK29" s="1292" t="s">
        <v>2644</v>
      </c>
      <c r="AM29" s="3"/>
    </row>
    <row r="30" spans="1:40" ht="22.8" x14ac:dyDescent="0.25">
      <c r="A30" s="254">
        <v>29</v>
      </c>
      <c r="B30" s="20">
        <v>39166</v>
      </c>
      <c r="C30" s="27" t="s">
        <v>64</v>
      </c>
      <c r="D30" s="20" t="s">
        <v>1997</v>
      </c>
      <c r="E30" s="20" t="s">
        <v>1946</v>
      </c>
      <c r="F30" s="29" t="s">
        <v>1947</v>
      </c>
      <c r="G30" s="29" t="s">
        <v>10</v>
      </c>
      <c r="H30" s="19">
        <v>44203</v>
      </c>
      <c r="I30" s="3">
        <v>881</v>
      </c>
      <c r="J30" s="3" t="s">
        <v>58</v>
      </c>
      <c r="K30" s="429" t="s">
        <v>59</v>
      </c>
      <c r="L30" s="33">
        <v>44610</v>
      </c>
      <c r="M30" s="432" t="s">
        <v>60</v>
      </c>
      <c r="N30" s="445" t="s">
        <v>1998</v>
      </c>
      <c r="O30" s="33"/>
      <c r="P30" s="33" t="s">
        <v>2645</v>
      </c>
      <c r="Q30" s="16" t="s">
        <v>75</v>
      </c>
      <c r="R30" s="16" t="s">
        <v>75</v>
      </c>
      <c r="S30" s="16" t="s">
        <v>68</v>
      </c>
      <c r="T30" s="16" t="s">
        <v>68</v>
      </c>
      <c r="U30" s="16" t="s">
        <v>68</v>
      </c>
      <c r="V30" s="16" t="s">
        <v>75</v>
      </c>
      <c r="W30" s="16"/>
      <c r="X30" s="16" t="s">
        <v>75</v>
      </c>
      <c r="Y30" s="16" t="s">
        <v>68</v>
      </c>
      <c r="Z30" s="432" t="s">
        <v>68</v>
      </c>
      <c r="AA30" s="432"/>
      <c r="AB30" s="24"/>
      <c r="AC30" s="24"/>
      <c r="AD30" s="276" t="s">
        <v>68</v>
      </c>
      <c r="AE30" s="24"/>
      <c r="AF30" s="381" t="s">
        <v>2646</v>
      </c>
      <c r="AG30" s="1109" t="s">
        <v>2647</v>
      </c>
      <c r="AH30" s="58" t="s">
        <v>68</v>
      </c>
      <c r="AI30" s="381" t="s">
        <v>2646</v>
      </c>
      <c r="AJ30" s="24" t="s">
        <v>68</v>
      </c>
      <c r="AK30" s="1292" t="s">
        <v>2648</v>
      </c>
      <c r="AM30" s="3" t="s">
        <v>2649</v>
      </c>
    </row>
    <row r="31" spans="1:40" ht="22.8" x14ac:dyDescent="0.25">
      <c r="A31" s="254">
        <v>30</v>
      </c>
      <c r="B31" s="20">
        <v>39166</v>
      </c>
      <c r="C31" s="27" t="s">
        <v>54</v>
      </c>
      <c r="D31" s="20" t="s">
        <v>1999</v>
      </c>
      <c r="E31" s="20" t="s">
        <v>1946</v>
      </c>
      <c r="F31" s="29" t="s">
        <v>1947</v>
      </c>
      <c r="G31" s="29" t="s">
        <v>10</v>
      </c>
      <c r="H31" s="19">
        <v>44203</v>
      </c>
      <c r="I31" s="3">
        <v>880</v>
      </c>
      <c r="J31" s="3" t="s">
        <v>58</v>
      </c>
      <c r="K31" s="429" t="s">
        <v>59</v>
      </c>
      <c r="L31" s="33">
        <v>44610</v>
      </c>
      <c r="M31" s="432" t="s">
        <v>60</v>
      </c>
      <c r="N31" s="445" t="s">
        <v>1998</v>
      </c>
      <c r="O31" s="33"/>
      <c r="P31" s="33" t="s">
        <v>2645</v>
      </c>
      <c r="Q31" s="16" t="s">
        <v>75</v>
      </c>
      <c r="R31" s="16" t="s">
        <v>75</v>
      </c>
      <c r="S31" s="16" t="s">
        <v>62</v>
      </c>
      <c r="T31" s="16" t="s">
        <v>62</v>
      </c>
      <c r="U31" s="16" t="s">
        <v>62</v>
      </c>
      <c r="V31" s="16" t="s">
        <v>75</v>
      </c>
      <c r="W31" s="16"/>
      <c r="X31" s="16" t="s">
        <v>75</v>
      </c>
      <c r="Y31" s="42" t="s">
        <v>62</v>
      </c>
      <c r="Z31" s="432" t="s">
        <v>62</v>
      </c>
      <c r="AA31" s="432"/>
      <c r="AB31" s="24" t="s">
        <v>2650</v>
      </c>
      <c r="AC31" s="24"/>
      <c r="AD31" s="283" t="s">
        <v>62</v>
      </c>
      <c r="AE31" s="24"/>
      <c r="AF31" s="381" t="s">
        <v>2646</v>
      </c>
      <c r="AG31" s="1109" t="s">
        <v>2647</v>
      </c>
      <c r="AH31" s="58" t="s">
        <v>62</v>
      </c>
      <c r="AI31" s="381" t="s">
        <v>2646</v>
      </c>
      <c r="AJ31" s="24" t="s">
        <v>62</v>
      </c>
      <c r="AK31" s="1292" t="s">
        <v>2648</v>
      </c>
      <c r="AM31" s="3" t="s">
        <v>2649</v>
      </c>
    </row>
    <row r="32" spans="1:40" ht="23.1" customHeight="1" x14ac:dyDescent="0.3">
      <c r="A32" s="254">
        <v>31</v>
      </c>
      <c r="B32" s="20">
        <v>30824</v>
      </c>
      <c r="C32" s="27" t="s">
        <v>64</v>
      </c>
      <c r="D32" s="20" t="s">
        <v>2429</v>
      </c>
      <c r="E32" s="20" t="s">
        <v>1946</v>
      </c>
      <c r="F32" s="29" t="s">
        <v>1947</v>
      </c>
      <c r="G32" s="29" t="s">
        <v>10</v>
      </c>
      <c r="H32" s="19">
        <v>44462</v>
      </c>
      <c r="I32" s="691">
        <v>98</v>
      </c>
      <c r="J32" s="3" t="s">
        <v>58</v>
      </c>
      <c r="K32" s="429" t="s">
        <v>59</v>
      </c>
      <c r="L32" s="16" t="s">
        <v>75</v>
      </c>
      <c r="M32" s="432" t="s">
        <v>60</v>
      </c>
      <c r="N32" s="432" t="s">
        <v>75</v>
      </c>
      <c r="O32" s="260"/>
      <c r="P32" s="265" t="s">
        <v>2651</v>
      </c>
      <c r="Q32" s="16" t="s">
        <v>75</v>
      </c>
      <c r="R32" s="294" t="s">
        <v>68</v>
      </c>
      <c r="S32" s="16" t="s">
        <v>68</v>
      </c>
      <c r="T32" s="16" t="s">
        <v>68</v>
      </c>
      <c r="U32" s="16" t="s">
        <v>68</v>
      </c>
      <c r="V32" s="16" t="s">
        <v>75</v>
      </c>
      <c r="W32" s="294"/>
      <c r="X32" s="16" t="s">
        <v>75</v>
      </c>
      <c r="Y32" s="16" t="s">
        <v>68</v>
      </c>
      <c r="Z32" s="432" t="s">
        <v>68</v>
      </c>
      <c r="AA32" s="556"/>
      <c r="AB32" s="294"/>
      <c r="AC32" s="294"/>
      <c r="AD32" s="79" t="s">
        <v>68</v>
      </c>
      <c r="AG32" s="1109" t="s">
        <v>2652</v>
      </c>
      <c r="AH32" s="58" t="s">
        <v>68</v>
      </c>
      <c r="AI32" s="606">
        <v>45325</v>
      </c>
      <c r="AJ32" s="24" t="s">
        <v>68</v>
      </c>
      <c r="AK32" s="58" t="s">
        <v>2624</v>
      </c>
      <c r="AM32" s="3" t="s">
        <v>2635</v>
      </c>
      <c r="AN32" s="381"/>
    </row>
    <row r="33" spans="1:40" ht="23.1" customHeight="1" x14ac:dyDescent="0.3">
      <c r="A33" s="254">
        <v>32</v>
      </c>
      <c r="B33" s="20">
        <v>30824</v>
      </c>
      <c r="C33" s="27" t="s">
        <v>54</v>
      </c>
      <c r="D33" s="20" t="s">
        <v>2430</v>
      </c>
      <c r="E33" s="20" t="s">
        <v>1946</v>
      </c>
      <c r="F33" s="252" t="s">
        <v>1947</v>
      </c>
      <c r="G33" s="29" t="s">
        <v>10</v>
      </c>
      <c r="H33" s="19">
        <v>44462</v>
      </c>
      <c r="I33" s="692">
        <v>99</v>
      </c>
      <c r="J33" s="3" t="s">
        <v>58</v>
      </c>
      <c r="K33" s="429" t="s">
        <v>59</v>
      </c>
      <c r="L33" s="16" t="s">
        <v>75</v>
      </c>
      <c r="M33" s="432" t="s">
        <v>60</v>
      </c>
      <c r="N33" s="432" t="s">
        <v>75</v>
      </c>
      <c r="O33" s="260"/>
      <c r="P33" s="265" t="s">
        <v>2651</v>
      </c>
      <c r="Q33" s="16" t="s">
        <v>75</v>
      </c>
      <c r="R33" s="294" t="s">
        <v>62</v>
      </c>
      <c r="S33" s="16" t="s">
        <v>62</v>
      </c>
      <c r="T33" s="16" t="s">
        <v>62</v>
      </c>
      <c r="U33" s="16" t="s">
        <v>62</v>
      </c>
      <c r="V33" s="16" t="s">
        <v>75</v>
      </c>
      <c r="W33" s="294"/>
      <c r="X33" s="16" t="s">
        <v>75</v>
      </c>
      <c r="Y33" s="42" t="s">
        <v>62</v>
      </c>
      <c r="Z33" s="432" t="s">
        <v>62</v>
      </c>
      <c r="AA33" s="556"/>
      <c r="AB33" s="297"/>
      <c r="AC33" s="294"/>
      <c r="AD33" s="79" t="s">
        <v>62</v>
      </c>
      <c r="AG33" s="1109" t="s">
        <v>2652</v>
      </c>
      <c r="AH33" s="58" t="s">
        <v>62</v>
      </c>
      <c r="AI33" s="606">
        <v>45325</v>
      </c>
      <c r="AJ33" s="24" t="s">
        <v>62</v>
      </c>
      <c r="AK33" s="58" t="s">
        <v>2624</v>
      </c>
      <c r="AM33" s="3" t="s">
        <v>2635</v>
      </c>
      <c r="AN33" s="381"/>
    </row>
    <row r="34" spans="1:40" ht="22.5" customHeight="1" x14ac:dyDescent="0.3">
      <c r="A34" s="427">
        <v>33</v>
      </c>
      <c r="B34" s="111">
        <v>39212</v>
      </c>
      <c r="C34" s="112" t="s">
        <v>64</v>
      </c>
      <c r="D34" s="111" t="s">
        <v>2653</v>
      </c>
      <c r="E34" s="111" t="s">
        <v>1946</v>
      </c>
      <c r="F34" s="115" t="s">
        <v>1947</v>
      </c>
      <c r="G34" s="115" t="s">
        <v>10</v>
      </c>
      <c r="H34" s="114">
        <v>44933</v>
      </c>
      <c r="I34" s="693">
        <v>211</v>
      </c>
      <c r="J34" s="115" t="s">
        <v>58</v>
      </c>
      <c r="K34" s="430" t="s">
        <v>59</v>
      </c>
      <c r="L34" s="33"/>
      <c r="M34" s="446" t="s">
        <v>60</v>
      </c>
      <c r="N34" s="447" t="s">
        <v>75</v>
      </c>
      <c r="O34" s="406"/>
      <c r="P34" s="406"/>
      <c r="Q34" s="117" t="s">
        <v>75</v>
      </c>
      <c r="R34" s="16" t="s">
        <v>75</v>
      </c>
      <c r="S34" s="16" t="s">
        <v>68</v>
      </c>
      <c r="T34" s="16" t="s">
        <v>68</v>
      </c>
      <c r="U34" s="16" t="s">
        <v>68</v>
      </c>
      <c r="V34" s="117" t="s">
        <v>75</v>
      </c>
      <c r="W34" s="16"/>
      <c r="X34" s="117" t="s">
        <v>75</v>
      </c>
      <c r="Y34" s="16" t="s">
        <v>68</v>
      </c>
      <c r="Z34" s="432" t="s">
        <v>68</v>
      </c>
      <c r="AA34" s="432"/>
      <c r="AB34" s="24"/>
      <c r="AC34" s="24"/>
      <c r="AD34" s="24" t="s">
        <v>68</v>
      </c>
      <c r="AE34" s="24"/>
      <c r="AF34" s="24" t="s">
        <v>75</v>
      </c>
      <c r="AG34" s="1109" t="s">
        <v>2654</v>
      </c>
      <c r="AH34" s="58" t="s">
        <v>68</v>
      </c>
      <c r="AI34" s="606">
        <v>45414</v>
      </c>
      <c r="AJ34" s="24" t="s">
        <v>68</v>
      </c>
      <c r="AM34" s="3"/>
    </row>
    <row r="35" spans="1:40" ht="22.5" customHeight="1" x14ac:dyDescent="0.3">
      <c r="A35" s="427">
        <v>34</v>
      </c>
      <c r="B35" s="111">
        <v>39212</v>
      </c>
      <c r="C35" s="112" t="s">
        <v>54</v>
      </c>
      <c r="D35" s="111" t="s">
        <v>2655</v>
      </c>
      <c r="E35" s="111" t="s">
        <v>1946</v>
      </c>
      <c r="F35" s="115" t="s">
        <v>1947</v>
      </c>
      <c r="G35" s="115" t="s">
        <v>10</v>
      </c>
      <c r="H35" s="114">
        <v>44933</v>
      </c>
      <c r="I35" s="693">
        <v>205</v>
      </c>
      <c r="J35" s="115" t="s">
        <v>58</v>
      </c>
      <c r="K35" s="430" t="s">
        <v>59</v>
      </c>
      <c r="L35" s="33"/>
      <c r="M35" s="446" t="s">
        <v>60</v>
      </c>
      <c r="N35" s="447" t="s">
        <v>75</v>
      </c>
      <c r="O35" s="406"/>
      <c r="P35" s="406"/>
      <c r="Q35" s="117" t="s">
        <v>75</v>
      </c>
      <c r="R35" s="16" t="s">
        <v>75</v>
      </c>
      <c r="S35" s="16" t="s">
        <v>62</v>
      </c>
      <c r="T35" s="16" t="s">
        <v>62</v>
      </c>
      <c r="U35" s="16" t="s">
        <v>62</v>
      </c>
      <c r="V35" s="117" t="s">
        <v>75</v>
      </c>
      <c r="W35" s="16"/>
      <c r="X35" s="117" t="s">
        <v>75</v>
      </c>
      <c r="Y35" s="16" t="s">
        <v>62</v>
      </c>
      <c r="Z35" s="432" t="s">
        <v>62</v>
      </c>
      <c r="AA35" s="432"/>
      <c r="AB35" s="24"/>
      <c r="AC35" s="24"/>
      <c r="AD35" s="24" t="s">
        <v>62</v>
      </c>
      <c r="AE35" s="24"/>
      <c r="AF35" s="24" t="s">
        <v>75</v>
      </c>
      <c r="AG35" s="1109" t="s">
        <v>2654</v>
      </c>
      <c r="AH35" s="58" t="s">
        <v>62</v>
      </c>
      <c r="AI35" s="606">
        <v>45414</v>
      </c>
      <c r="AJ35" s="24" t="s">
        <v>62</v>
      </c>
      <c r="AM35" s="3"/>
    </row>
    <row r="36" spans="1:40" ht="22.8" x14ac:dyDescent="0.3">
      <c r="A36" s="28">
        <v>35</v>
      </c>
      <c r="B36" s="20">
        <v>37607</v>
      </c>
      <c r="C36" s="27" t="s">
        <v>64</v>
      </c>
      <c r="D36" s="3" t="s">
        <v>2656</v>
      </c>
      <c r="E36" s="20" t="s">
        <v>1946</v>
      </c>
      <c r="F36" s="3" t="s">
        <v>1947</v>
      </c>
      <c r="G36" s="3" t="s">
        <v>10</v>
      </c>
      <c r="H36" s="19">
        <v>45094</v>
      </c>
      <c r="I36" s="691">
        <v>302</v>
      </c>
      <c r="J36" s="3" t="s">
        <v>58</v>
      </c>
      <c r="K36" s="430" t="s">
        <v>59</v>
      </c>
      <c r="L36" s="33"/>
      <c r="M36" s="446" t="s">
        <v>60</v>
      </c>
      <c r="N36" s="447" t="s">
        <v>75</v>
      </c>
      <c r="O36" s="33"/>
      <c r="P36" s="33"/>
      <c r="Q36" s="16" t="s">
        <v>68</v>
      </c>
      <c r="R36" s="16" t="s">
        <v>75</v>
      </c>
      <c r="S36" s="16" t="s">
        <v>68</v>
      </c>
      <c r="T36" s="16" t="s">
        <v>68</v>
      </c>
      <c r="U36" s="117" t="s">
        <v>75</v>
      </c>
      <c r="V36" s="117" t="s">
        <v>75</v>
      </c>
      <c r="W36" s="16"/>
      <c r="X36" s="117" t="s">
        <v>75</v>
      </c>
      <c r="Y36" s="16" t="s">
        <v>68</v>
      </c>
      <c r="Z36" s="432"/>
      <c r="AA36" s="432"/>
      <c r="AB36" s="24"/>
      <c r="AC36" s="24"/>
      <c r="AD36" s="24" t="s">
        <v>68</v>
      </c>
      <c r="AE36" s="24"/>
      <c r="AF36" s="381" t="s">
        <v>75</v>
      </c>
      <c r="AG36" s="1109" t="s">
        <v>2657</v>
      </c>
      <c r="AH36" s="58" t="s">
        <v>68</v>
      </c>
      <c r="AI36" s="606">
        <v>45599</v>
      </c>
      <c r="AJ36" s="24" t="s">
        <v>68</v>
      </c>
      <c r="AM36" s="3" t="s">
        <v>2657</v>
      </c>
    </row>
    <row r="37" spans="1:40" ht="22.8" x14ac:dyDescent="0.3">
      <c r="A37" s="28">
        <v>36</v>
      </c>
      <c r="B37" s="20">
        <v>37607</v>
      </c>
      <c r="C37" s="27" t="s">
        <v>54</v>
      </c>
      <c r="D37" s="3" t="s">
        <v>2658</v>
      </c>
      <c r="E37" s="20" t="s">
        <v>1946</v>
      </c>
      <c r="F37" s="3" t="s">
        <v>1947</v>
      </c>
      <c r="G37" s="3" t="s">
        <v>10</v>
      </c>
      <c r="H37" s="19">
        <v>45094</v>
      </c>
      <c r="I37" s="692">
        <v>303</v>
      </c>
      <c r="J37" s="3" t="s">
        <v>58</v>
      </c>
      <c r="K37" s="430" t="s">
        <v>59</v>
      </c>
      <c r="L37" s="33"/>
      <c r="M37" s="446" t="s">
        <v>60</v>
      </c>
      <c r="N37" s="447" t="s">
        <v>75</v>
      </c>
      <c r="O37" s="33"/>
      <c r="P37" s="33"/>
      <c r="Q37" s="16" t="s">
        <v>62</v>
      </c>
      <c r="R37" s="16" t="s">
        <v>75</v>
      </c>
      <c r="S37" s="16" t="s">
        <v>62</v>
      </c>
      <c r="T37" s="16" t="s">
        <v>62</v>
      </c>
      <c r="U37" s="117" t="s">
        <v>75</v>
      </c>
      <c r="V37" s="117" t="s">
        <v>75</v>
      </c>
      <c r="W37" s="16"/>
      <c r="X37" s="117" t="s">
        <v>75</v>
      </c>
      <c r="Y37" s="16" t="s">
        <v>62</v>
      </c>
      <c r="Z37" s="432"/>
      <c r="AA37" s="432"/>
      <c r="AB37" s="24"/>
      <c r="AC37" s="24"/>
      <c r="AD37" s="24" t="s">
        <v>62</v>
      </c>
      <c r="AE37" s="24"/>
      <c r="AF37" s="381" t="s">
        <v>75</v>
      </c>
      <c r="AG37" s="1109" t="s">
        <v>2657</v>
      </c>
      <c r="AH37" s="58" t="s">
        <v>62</v>
      </c>
      <c r="AI37" s="606">
        <v>45599</v>
      </c>
      <c r="AJ37" s="24" t="s">
        <v>62</v>
      </c>
      <c r="AM37" s="3" t="s">
        <v>2657</v>
      </c>
    </row>
    <row r="38" spans="1:40" ht="22.8" x14ac:dyDescent="0.3">
      <c r="A38" s="28">
        <v>37</v>
      </c>
      <c r="B38" s="17">
        <v>37608</v>
      </c>
      <c r="C38" s="17" t="s">
        <v>64</v>
      </c>
      <c r="D38" s="3" t="s">
        <v>2659</v>
      </c>
      <c r="E38" s="20" t="s">
        <v>1946</v>
      </c>
      <c r="F38" s="3" t="s">
        <v>1947</v>
      </c>
      <c r="G38" s="3" t="s">
        <v>10</v>
      </c>
      <c r="H38" s="52">
        <v>45085</v>
      </c>
      <c r="I38" s="694">
        <v>310</v>
      </c>
      <c r="J38" s="3" t="s">
        <v>58</v>
      </c>
      <c r="K38" s="430" t="s">
        <v>59</v>
      </c>
      <c r="L38" s="33"/>
      <c r="M38" s="446" t="s">
        <v>60</v>
      </c>
      <c r="N38" s="447" t="s">
        <v>75</v>
      </c>
      <c r="O38" s="33"/>
      <c r="P38" s="33"/>
      <c r="Q38" s="16" t="s">
        <v>68</v>
      </c>
      <c r="R38" s="16" t="s">
        <v>75</v>
      </c>
      <c r="S38" s="16" t="s">
        <v>68</v>
      </c>
      <c r="T38" s="16" t="s">
        <v>68</v>
      </c>
      <c r="U38" s="117" t="s">
        <v>75</v>
      </c>
      <c r="V38" s="117" t="s">
        <v>75</v>
      </c>
      <c r="W38" s="16"/>
      <c r="X38" s="117" t="s">
        <v>75</v>
      </c>
      <c r="Y38" s="16" t="s">
        <v>68</v>
      </c>
      <c r="Z38" s="444"/>
      <c r="AA38" s="444"/>
      <c r="AB38" s="24"/>
      <c r="AC38" s="24"/>
      <c r="AD38" s="24" t="s">
        <v>68</v>
      </c>
      <c r="AE38" s="24"/>
      <c r="AF38" s="24"/>
      <c r="AG38" s="1109" t="s">
        <v>1277</v>
      </c>
      <c r="AH38" s="58" t="s">
        <v>68</v>
      </c>
      <c r="AI38" s="58" t="s">
        <v>616</v>
      </c>
      <c r="AJ38" s="24" t="s">
        <v>68</v>
      </c>
      <c r="AM38" s="3" t="s">
        <v>1712</v>
      </c>
    </row>
    <row r="39" spans="1:40" ht="22.8" x14ac:dyDescent="0.3">
      <c r="A39" s="28">
        <v>38</v>
      </c>
      <c r="B39" s="17">
        <v>37608</v>
      </c>
      <c r="C39" s="17" t="s">
        <v>54</v>
      </c>
      <c r="D39" s="3" t="s">
        <v>2660</v>
      </c>
      <c r="E39" s="20" t="s">
        <v>1946</v>
      </c>
      <c r="F39" s="3" t="s">
        <v>1947</v>
      </c>
      <c r="G39" s="3" t="s">
        <v>10</v>
      </c>
      <c r="H39" s="52">
        <v>45085</v>
      </c>
      <c r="I39" s="695">
        <v>311</v>
      </c>
      <c r="J39" s="3" t="s">
        <v>58</v>
      </c>
      <c r="K39" s="430" t="s">
        <v>59</v>
      </c>
      <c r="L39" s="33"/>
      <c r="M39" s="446" t="s">
        <v>60</v>
      </c>
      <c r="N39" s="447" t="s">
        <v>75</v>
      </c>
      <c r="O39" s="33"/>
      <c r="P39" s="33"/>
      <c r="Q39" s="16" t="s">
        <v>62</v>
      </c>
      <c r="R39" s="16" t="s">
        <v>75</v>
      </c>
      <c r="S39" s="16" t="s">
        <v>62</v>
      </c>
      <c r="T39" s="16" t="s">
        <v>62</v>
      </c>
      <c r="U39" s="117" t="s">
        <v>75</v>
      </c>
      <c r="V39" s="117" t="s">
        <v>75</v>
      </c>
      <c r="W39" s="16"/>
      <c r="X39" s="117" t="s">
        <v>75</v>
      </c>
      <c r="Y39" s="16" t="s">
        <v>62</v>
      </c>
      <c r="Z39" s="444"/>
      <c r="AA39" s="444"/>
      <c r="AB39" s="24"/>
      <c r="AC39" s="24"/>
      <c r="AD39" s="24" t="s">
        <v>62</v>
      </c>
      <c r="AE39" s="24"/>
      <c r="AF39" s="24"/>
      <c r="AG39" s="1109" t="s">
        <v>1277</v>
      </c>
      <c r="AH39" s="58" t="s">
        <v>62</v>
      </c>
      <c r="AI39" s="58" t="s">
        <v>604</v>
      </c>
      <c r="AJ39" s="24" t="s">
        <v>62</v>
      </c>
      <c r="AM39" s="3" t="s">
        <v>1712</v>
      </c>
    </row>
    <row r="40" spans="1:40" ht="22.8" x14ac:dyDescent="0.3">
      <c r="A40" s="28">
        <v>39</v>
      </c>
      <c r="B40" s="682">
        <v>37614</v>
      </c>
      <c r="C40" s="683" t="s">
        <v>64</v>
      </c>
      <c r="D40" s="696" t="s">
        <v>2661</v>
      </c>
      <c r="E40" s="684" t="s">
        <v>1946</v>
      </c>
      <c r="F40" s="697" t="s">
        <v>1947</v>
      </c>
      <c r="G40" s="697" t="s">
        <v>10</v>
      </c>
      <c r="H40" s="698">
        <v>45239</v>
      </c>
      <c r="I40" s="699">
        <v>298</v>
      </c>
      <c r="J40" s="747" t="s">
        <v>58</v>
      </c>
      <c r="K40" s="430" t="s">
        <v>59</v>
      </c>
      <c r="L40" s="33"/>
      <c r="M40" s="446" t="s">
        <v>60</v>
      </c>
      <c r="N40" s="447" t="s">
        <v>75</v>
      </c>
      <c r="O40" s="33"/>
      <c r="P40" s="33"/>
      <c r="Q40" s="16" t="s">
        <v>68</v>
      </c>
      <c r="R40" s="16" t="s">
        <v>75</v>
      </c>
      <c r="S40" s="117" t="s">
        <v>75</v>
      </c>
      <c r="T40" s="117" t="s">
        <v>75</v>
      </c>
      <c r="U40" s="117" t="s">
        <v>75</v>
      </c>
      <c r="V40" s="700" t="s">
        <v>68</v>
      </c>
      <c r="W40" s="16"/>
      <c r="X40" s="16" t="s">
        <v>75</v>
      </c>
      <c r="Y40" s="16" t="s">
        <v>68</v>
      </c>
      <c r="Z40" s="432"/>
      <c r="AA40" s="432"/>
      <c r="AB40" s="24"/>
      <c r="AC40" s="24"/>
      <c r="AD40" s="24" t="s">
        <v>68</v>
      </c>
      <c r="AE40" s="24"/>
      <c r="AF40" s="24" t="s">
        <v>75</v>
      </c>
      <c r="AG40" s="606">
        <v>45572</v>
      </c>
      <c r="AH40" s="58" t="s">
        <v>68</v>
      </c>
      <c r="AI40" s="58" t="s">
        <v>616</v>
      </c>
      <c r="AJ40" s="24" t="s">
        <v>68</v>
      </c>
      <c r="AM40" s="3"/>
      <c r="AN40" s="381"/>
    </row>
    <row r="41" spans="1:40" ht="22.8" x14ac:dyDescent="0.3">
      <c r="A41" s="28">
        <v>40</v>
      </c>
      <c r="B41" s="682">
        <v>37614</v>
      </c>
      <c r="C41" s="683" t="s">
        <v>54</v>
      </c>
      <c r="D41" s="701" t="s">
        <v>2662</v>
      </c>
      <c r="E41" s="684" t="s">
        <v>1946</v>
      </c>
      <c r="F41" s="697" t="s">
        <v>1947</v>
      </c>
      <c r="G41" s="697" t="s">
        <v>10</v>
      </c>
      <c r="H41" s="702">
        <v>45239</v>
      </c>
      <c r="I41" s="703">
        <v>299</v>
      </c>
      <c r="J41" s="747" t="s">
        <v>58</v>
      </c>
      <c r="K41" s="430" t="s">
        <v>59</v>
      </c>
      <c r="L41" s="33"/>
      <c r="M41" s="446" t="s">
        <v>60</v>
      </c>
      <c r="N41" s="447" t="s">
        <v>75</v>
      </c>
      <c r="O41" s="33"/>
      <c r="P41" s="33"/>
      <c r="Q41" s="16" t="s">
        <v>62</v>
      </c>
      <c r="R41" s="16" t="s">
        <v>75</v>
      </c>
      <c r="S41" s="117" t="s">
        <v>75</v>
      </c>
      <c r="T41" s="117" t="s">
        <v>75</v>
      </c>
      <c r="U41" s="117" t="s">
        <v>75</v>
      </c>
      <c r="V41" s="704" t="s">
        <v>62</v>
      </c>
      <c r="W41" s="16"/>
      <c r="X41" s="16" t="s">
        <v>75</v>
      </c>
      <c r="Y41" s="16" t="s">
        <v>62</v>
      </c>
      <c r="Z41" s="432"/>
      <c r="AA41" s="432"/>
      <c r="AB41" s="24"/>
      <c r="AC41" s="24"/>
      <c r="AD41" s="24" t="s">
        <v>62</v>
      </c>
      <c r="AE41" s="24"/>
      <c r="AF41" s="24" t="s">
        <v>75</v>
      </c>
      <c r="AG41" s="606">
        <v>45572</v>
      </c>
      <c r="AH41" s="58" t="s">
        <v>62</v>
      </c>
      <c r="AI41" s="58" t="s">
        <v>604</v>
      </c>
      <c r="AJ41" s="24" t="s">
        <v>62</v>
      </c>
      <c r="AM41" s="3"/>
      <c r="AN41" s="381"/>
    </row>
    <row r="42" spans="1:40" ht="22.8" x14ac:dyDescent="0.3">
      <c r="A42" s="28">
        <v>41</v>
      </c>
      <c r="B42" s="682">
        <v>37615</v>
      </c>
      <c r="C42" s="683" t="s">
        <v>64</v>
      </c>
      <c r="D42" s="701" t="s">
        <v>2663</v>
      </c>
      <c r="E42" s="684" t="s">
        <v>1946</v>
      </c>
      <c r="F42" s="697" t="s">
        <v>1947</v>
      </c>
      <c r="G42" s="697" t="s">
        <v>10</v>
      </c>
      <c r="H42" s="702">
        <v>45234</v>
      </c>
      <c r="I42" s="703">
        <v>288</v>
      </c>
      <c r="J42" s="747" t="s">
        <v>58</v>
      </c>
      <c r="K42" s="430" t="s">
        <v>59</v>
      </c>
      <c r="L42" s="33"/>
      <c r="M42" s="446" t="s">
        <v>60</v>
      </c>
      <c r="N42" s="447" t="s">
        <v>75</v>
      </c>
      <c r="O42" s="33"/>
      <c r="P42" s="33"/>
      <c r="Q42" s="16" t="s">
        <v>68</v>
      </c>
      <c r="R42" s="16" t="s">
        <v>75</v>
      </c>
      <c r="S42" s="117" t="s">
        <v>75</v>
      </c>
      <c r="T42" s="117" t="s">
        <v>75</v>
      </c>
      <c r="U42" s="117" t="s">
        <v>75</v>
      </c>
      <c r="V42" s="700" t="s">
        <v>68</v>
      </c>
      <c r="W42" s="16"/>
      <c r="X42" s="16" t="s">
        <v>75</v>
      </c>
      <c r="Y42" s="16" t="s">
        <v>68</v>
      </c>
      <c r="Z42" s="432"/>
      <c r="AA42" s="432"/>
      <c r="AB42" s="24"/>
      <c r="AC42" s="24"/>
      <c r="AD42" s="24" t="s">
        <v>68</v>
      </c>
      <c r="AE42" s="24"/>
      <c r="AF42" s="689" t="s">
        <v>75</v>
      </c>
      <c r="AG42" s="1109" t="s">
        <v>2631</v>
      </c>
      <c r="AH42" s="58" t="s">
        <v>68</v>
      </c>
      <c r="AI42" s="58" t="s">
        <v>616</v>
      </c>
      <c r="AJ42" s="58" t="s">
        <v>68</v>
      </c>
      <c r="AM42" s="3" t="s">
        <v>2664</v>
      </c>
      <c r="AN42" s="381"/>
    </row>
    <row r="43" spans="1:40" ht="22.8" x14ac:dyDescent="0.3">
      <c r="A43" s="28">
        <v>42</v>
      </c>
      <c r="B43" s="682">
        <v>37615</v>
      </c>
      <c r="C43" s="683" t="s">
        <v>54</v>
      </c>
      <c r="D43" s="701" t="s">
        <v>2665</v>
      </c>
      <c r="E43" s="684" t="s">
        <v>1946</v>
      </c>
      <c r="F43" s="697" t="s">
        <v>1947</v>
      </c>
      <c r="G43" s="697" t="s">
        <v>10</v>
      </c>
      <c r="H43" s="702">
        <v>45234</v>
      </c>
      <c r="I43" s="703">
        <v>289</v>
      </c>
      <c r="J43" s="747" t="s">
        <v>58</v>
      </c>
      <c r="K43" s="430" t="s">
        <v>59</v>
      </c>
      <c r="L43" s="33"/>
      <c r="M43" s="446" t="s">
        <v>60</v>
      </c>
      <c r="N43" s="447" t="s">
        <v>75</v>
      </c>
      <c r="O43" s="33"/>
      <c r="P43" s="33"/>
      <c r="Q43" s="16" t="s">
        <v>62</v>
      </c>
      <c r="R43" s="16" t="s">
        <v>75</v>
      </c>
      <c r="S43" s="117" t="s">
        <v>75</v>
      </c>
      <c r="T43" s="117" t="s">
        <v>75</v>
      </c>
      <c r="U43" s="117" t="s">
        <v>75</v>
      </c>
      <c r="V43" s="704" t="s">
        <v>62</v>
      </c>
      <c r="W43" s="16"/>
      <c r="X43" s="16" t="s">
        <v>75</v>
      </c>
      <c r="Y43" s="16" t="s">
        <v>62</v>
      </c>
      <c r="Z43" s="432"/>
      <c r="AA43" s="432"/>
      <c r="AB43" s="24"/>
      <c r="AC43" s="24"/>
      <c r="AD43" s="24" t="s">
        <v>62</v>
      </c>
      <c r="AE43" s="24"/>
      <c r="AF43" s="689" t="s">
        <v>75</v>
      </c>
      <c r="AG43" s="1109" t="s">
        <v>2631</v>
      </c>
      <c r="AH43" s="58" t="s">
        <v>62</v>
      </c>
      <c r="AI43" s="58" t="s">
        <v>604</v>
      </c>
      <c r="AJ43" s="58" t="s">
        <v>62</v>
      </c>
      <c r="AM43" s="3" t="s">
        <v>2664</v>
      </c>
    </row>
    <row r="44" spans="1:40" ht="22.8" x14ac:dyDescent="0.3">
      <c r="A44" s="28">
        <v>43</v>
      </c>
      <c r="B44" s="682">
        <v>39298</v>
      </c>
      <c r="C44" s="683" t="s">
        <v>64</v>
      </c>
      <c r="D44" s="701" t="s">
        <v>2666</v>
      </c>
      <c r="E44" s="684" t="s">
        <v>1946</v>
      </c>
      <c r="F44" s="697" t="s">
        <v>1947</v>
      </c>
      <c r="G44" s="697" t="s">
        <v>10</v>
      </c>
      <c r="H44" s="702">
        <v>45302</v>
      </c>
      <c r="I44" s="703">
        <v>473</v>
      </c>
      <c r="J44" s="748" t="s">
        <v>58</v>
      </c>
      <c r="K44" s="430" t="s">
        <v>59</v>
      </c>
      <c r="L44" s="33"/>
      <c r="M44" s="446" t="s">
        <v>60</v>
      </c>
      <c r="N44" s="447" t="s">
        <v>75</v>
      </c>
      <c r="O44" s="33"/>
      <c r="P44" s="33"/>
      <c r="Q44" s="117" t="s">
        <v>75</v>
      </c>
      <c r="R44" s="117" t="s">
        <v>75</v>
      </c>
      <c r="S44" s="117" t="s">
        <v>75</v>
      </c>
      <c r="T44" s="117" t="s">
        <v>75</v>
      </c>
      <c r="U44" s="117" t="s">
        <v>75</v>
      </c>
      <c r="V44" s="700" t="s">
        <v>68</v>
      </c>
      <c r="W44" s="16"/>
      <c r="X44" s="16" t="s">
        <v>75</v>
      </c>
      <c r="Y44" s="16" t="s">
        <v>68</v>
      </c>
      <c r="Z44" s="432"/>
      <c r="AA44" s="432"/>
      <c r="AB44" s="24"/>
      <c r="AC44" s="24"/>
      <c r="AD44" s="689" t="s">
        <v>75</v>
      </c>
      <c r="AE44" s="24"/>
      <c r="AF44" s="689" t="s">
        <v>75</v>
      </c>
      <c r="AG44" s="606">
        <v>45390</v>
      </c>
      <c r="AH44" s="58" t="s">
        <v>68</v>
      </c>
      <c r="AI44" s="58" t="s">
        <v>616</v>
      </c>
      <c r="AJ44" s="58" t="s">
        <v>68</v>
      </c>
      <c r="AM44" s="84">
        <v>45422</v>
      </c>
      <c r="AN44" s="381"/>
    </row>
    <row r="45" spans="1:40" ht="22.8" x14ac:dyDescent="0.3">
      <c r="A45" s="28">
        <v>44</v>
      </c>
      <c r="B45" s="682">
        <v>39298</v>
      </c>
      <c r="C45" s="683" t="s">
        <v>54</v>
      </c>
      <c r="D45" s="701" t="s">
        <v>2667</v>
      </c>
      <c r="E45" s="684" t="s">
        <v>1946</v>
      </c>
      <c r="F45" s="697" t="s">
        <v>1947</v>
      </c>
      <c r="G45" s="697" t="s">
        <v>10</v>
      </c>
      <c r="H45" s="702">
        <v>45302</v>
      </c>
      <c r="I45" s="703">
        <v>472</v>
      </c>
      <c r="J45" s="748" t="s">
        <v>58</v>
      </c>
      <c r="K45" s="430" t="s">
        <v>59</v>
      </c>
      <c r="L45" s="33"/>
      <c r="M45" s="446" t="s">
        <v>60</v>
      </c>
      <c r="N45" s="447" t="s">
        <v>75</v>
      </c>
      <c r="O45" s="33"/>
      <c r="P45" s="33"/>
      <c r="Q45" s="117" t="s">
        <v>75</v>
      </c>
      <c r="R45" s="117" t="s">
        <v>75</v>
      </c>
      <c r="S45" s="117" t="s">
        <v>75</v>
      </c>
      <c r="T45" s="117" t="s">
        <v>75</v>
      </c>
      <c r="U45" s="117" t="s">
        <v>75</v>
      </c>
      <c r="V45" s="704" t="s">
        <v>62</v>
      </c>
      <c r="W45" s="16"/>
      <c r="X45" s="16" t="s">
        <v>75</v>
      </c>
      <c r="Y45" s="16" t="s">
        <v>62</v>
      </c>
      <c r="Z45" s="432"/>
      <c r="AA45" s="432"/>
      <c r="AB45" s="24"/>
      <c r="AC45" s="24"/>
      <c r="AD45" s="689" t="s">
        <v>75</v>
      </c>
      <c r="AE45" s="24"/>
      <c r="AF45" s="689" t="s">
        <v>75</v>
      </c>
      <c r="AG45" s="606">
        <v>45390</v>
      </c>
      <c r="AH45" s="58" t="s">
        <v>62</v>
      </c>
      <c r="AI45" s="58" t="s">
        <v>604</v>
      </c>
      <c r="AJ45" s="58" t="s">
        <v>62</v>
      </c>
      <c r="AM45" s="84">
        <v>45422</v>
      </c>
    </row>
    <row r="46" spans="1:40" ht="22.8" x14ac:dyDescent="0.3">
      <c r="A46" s="28">
        <v>45</v>
      </c>
      <c r="B46" s="682">
        <v>39304</v>
      </c>
      <c r="C46" s="683" t="s">
        <v>64</v>
      </c>
      <c r="D46" s="701" t="s">
        <v>2668</v>
      </c>
      <c r="E46" s="684" t="s">
        <v>1946</v>
      </c>
      <c r="F46" s="697" t="s">
        <v>1947</v>
      </c>
      <c r="G46" s="697" t="s">
        <v>10</v>
      </c>
      <c r="H46" s="685">
        <v>45309</v>
      </c>
      <c r="I46" s="703">
        <v>434</v>
      </c>
      <c r="J46" s="748" t="s">
        <v>58</v>
      </c>
      <c r="K46" s="430" t="s">
        <v>59</v>
      </c>
      <c r="L46" s="33"/>
      <c r="M46" s="446" t="s">
        <v>60</v>
      </c>
      <c r="N46" s="447" t="s">
        <v>75</v>
      </c>
      <c r="O46" s="33"/>
      <c r="P46" s="33"/>
      <c r="Q46" s="117" t="s">
        <v>75</v>
      </c>
      <c r="R46" s="117" t="s">
        <v>75</v>
      </c>
      <c r="S46" s="117" t="s">
        <v>75</v>
      </c>
      <c r="T46" s="117" t="s">
        <v>75</v>
      </c>
      <c r="U46" s="117" t="s">
        <v>75</v>
      </c>
      <c r="V46" s="700" t="s">
        <v>68</v>
      </c>
      <c r="W46" s="16"/>
      <c r="X46" s="16" t="s">
        <v>75</v>
      </c>
      <c r="Y46" s="16" t="s">
        <v>68</v>
      </c>
      <c r="Z46" s="432"/>
      <c r="AA46" s="432"/>
      <c r="AB46" s="24"/>
      <c r="AC46" s="24"/>
      <c r="AD46" s="689" t="s">
        <v>75</v>
      </c>
      <c r="AE46" s="24"/>
      <c r="AF46" s="689" t="s">
        <v>75</v>
      </c>
      <c r="AG46" s="1109" t="s">
        <v>2610</v>
      </c>
      <c r="AH46" s="58" t="s">
        <v>68</v>
      </c>
      <c r="AI46" s="58" t="s">
        <v>75</v>
      </c>
      <c r="AJ46" s="58" t="s">
        <v>68</v>
      </c>
      <c r="AM46" s="3" t="s">
        <v>2611</v>
      </c>
    </row>
    <row r="47" spans="1:40" ht="22.8" x14ac:dyDescent="0.3">
      <c r="A47" s="28">
        <v>46</v>
      </c>
      <c r="B47" s="682">
        <v>39304</v>
      </c>
      <c r="C47" s="683" t="s">
        <v>54</v>
      </c>
      <c r="D47" s="701" t="s">
        <v>2669</v>
      </c>
      <c r="E47" s="684" t="s">
        <v>1946</v>
      </c>
      <c r="F47" s="697" t="s">
        <v>1947</v>
      </c>
      <c r="G47" s="697" t="s">
        <v>10</v>
      </c>
      <c r="H47" s="685">
        <v>45309</v>
      </c>
      <c r="I47" s="703">
        <v>435</v>
      </c>
      <c r="J47" s="748" t="s">
        <v>58</v>
      </c>
      <c r="K47" s="430" t="s">
        <v>59</v>
      </c>
      <c r="L47" s="33"/>
      <c r="M47" s="446" t="s">
        <v>60</v>
      </c>
      <c r="N47" s="447" t="s">
        <v>75</v>
      </c>
      <c r="O47" s="33"/>
      <c r="P47" s="33"/>
      <c r="Q47" s="117" t="s">
        <v>75</v>
      </c>
      <c r="R47" s="117" t="s">
        <v>75</v>
      </c>
      <c r="S47" s="117" t="s">
        <v>75</v>
      </c>
      <c r="T47" s="117" t="s">
        <v>75</v>
      </c>
      <c r="U47" s="117" t="s">
        <v>75</v>
      </c>
      <c r="V47" s="704" t="s">
        <v>62</v>
      </c>
      <c r="W47" s="16"/>
      <c r="X47" s="16" t="s">
        <v>75</v>
      </c>
      <c r="Y47" s="16" t="s">
        <v>62</v>
      </c>
      <c r="Z47" s="432"/>
      <c r="AA47" s="432"/>
      <c r="AB47" s="24"/>
      <c r="AC47" s="24"/>
      <c r="AD47" s="689" t="s">
        <v>75</v>
      </c>
      <c r="AE47" s="24"/>
      <c r="AF47" s="689" t="s">
        <v>75</v>
      </c>
      <c r="AG47" s="1109" t="s">
        <v>2610</v>
      </c>
      <c r="AH47" s="58" t="s">
        <v>62</v>
      </c>
      <c r="AI47" s="58" t="s">
        <v>75</v>
      </c>
      <c r="AJ47" s="58" t="s">
        <v>62</v>
      </c>
      <c r="AM47" s="3" t="s">
        <v>2611</v>
      </c>
    </row>
    <row r="48" spans="1:40" ht="22.8" x14ac:dyDescent="0.3">
      <c r="A48" s="28">
        <v>47</v>
      </c>
      <c r="B48" s="682">
        <v>39294</v>
      </c>
      <c r="C48" s="686" t="s">
        <v>64</v>
      </c>
      <c r="D48" s="704" t="s">
        <v>2670</v>
      </c>
      <c r="E48" s="687" t="s">
        <v>1946</v>
      </c>
      <c r="F48" s="705" t="s">
        <v>1947</v>
      </c>
      <c r="G48" s="705" t="s">
        <v>10</v>
      </c>
      <c r="H48" s="688">
        <v>45312</v>
      </c>
      <c r="I48" s="706">
        <v>481</v>
      </c>
      <c r="J48" s="749" t="s">
        <v>58</v>
      </c>
      <c r="K48" s="430" t="s">
        <v>59</v>
      </c>
      <c r="L48" s="33"/>
      <c r="M48" s="446" t="s">
        <v>60</v>
      </c>
      <c r="N48" s="447" t="s">
        <v>75</v>
      </c>
      <c r="O48" s="33"/>
      <c r="P48" s="33"/>
      <c r="Q48" s="690" t="s">
        <v>75</v>
      </c>
      <c r="R48" s="690" t="s">
        <v>75</v>
      </c>
      <c r="S48" s="117" t="s">
        <v>75</v>
      </c>
      <c r="T48" s="117" t="s">
        <v>75</v>
      </c>
      <c r="U48" s="750" t="s">
        <v>75</v>
      </c>
      <c r="V48" s="700" t="s">
        <v>68</v>
      </c>
      <c r="W48" s="16"/>
      <c r="X48" s="752" t="s">
        <v>68</v>
      </c>
      <c r="Y48" s="753" t="s">
        <v>68</v>
      </c>
      <c r="Z48" s="707" t="s">
        <v>68</v>
      </c>
      <c r="AA48" s="432"/>
      <c r="AB48" s="24"/>
      <c r="AC48" s="24"/>
      <c r="AD48" s="689" t="s">
        <v>75</v>
      </c>
      <c r="AE48" s="24"/>
      <c r="AF48" s="689" t="s">
        <v>75</v>
      </c>
      <c r="AG48" s="1109" t="s">
        <v>2671</v>
      </c>
      <c r="AH48" s="58" t="s">
        <v>68</v>
      </c>
      <c r="AI48" s="689" t="s">
        <v>2630</v>
      </c>
      <c r="AJ48" s="58" t="s">
        <v>68</v>
      </c>
      <c r="AM48" s="3" t="s">
        <v>2664</v>
      </c>
      <c r="AN48" s="381"/>
    </row>
    <row r="49" spans="1:40" ht="22.8" x14ac:dyDescent="0.3">
      <c r="A49" s="28">
        <v>48</v>
      </c>
      <c r="B49" s="682">
        <v>39294</v>
      </c>
      <c r="C49" s="686" t="s">
        <v>54</v>
      </c>
      <c r="D49" s="704" t="s">
        <v>2672</v>
      </c>
      <c r="E49" s="687" t="s">
        <v>1946</v>
      </c>
      <c r="F49" s="705" t="s">
        <v>1947</v>
      </c>
      <c r="G49" s="705" t="s">
        <v>10</v>
      </c>
      <c r="H49" s="688">
        <v>45312</v>
      </c>
      <c r="I49" s="706">
        <v>480</v>
      </c>
      <c r="J49" s="749" t="s">
        <v>58</v>
      </c>
      <c r="K49" s="430" t="s">
        <v>59</v>
      </c>
      <c r="L49" s="33"/>
      <c r="M49" s="446" t="s">
        <v>60</v>
      </c>
      <c r="N49" s="447" t="s">
        <v>75</v>
      </c>
      <c r="O49" s="33"/>
      <c r="P49" s="33"/>
      <c r="Q49" s="690" t="s">
        <v>75</v>
      </c>
      <c r="R49" s="690" t="s">
        <v>75</v>
      </c>
      <c r="S49" s="117" t="s">
        <v>75</v>
      </c>
      <c r="T49" s="117" t="s">
        <v>75</v>
      </c>
      <c r="U49" s="751" t="s">
        <v>75</v>
      </c>
      <c r="V49" s="704" t="s">
        <v>62</v>
      </c>
      <c r="W49" s="16"/>
      <c r="X49" s="754" t="s">
        <v>62</v>
      </c>
      <c r="Y49" s="755" t="s">
        <v>62</v>
      </c>
      <c r="Z49" s="708" t="s">
        <v>62</v>
      </c>
      <c r="AA49" s="432"/>
      <c r="AB49" s="24"/>
      <c r="AC49" s="24"/>
      <c r="AD49" s="689" t="s">
        <v>75</v>
      </c>
      <c r="AE49" s="24"/>
      <c r="AF49" s="689" t="s">
        <v>75</v>
      </c>
      <c r="AG49" s="1109" t="s">
        <v>2671</v>
      </c>
      <c r="AH49" s="58" t="s">
        <v>62</v>
      </c>
      <c r="AI49" s="689" t="s">
        <v>2630</v>
      </c>
      <c r="AJ49" s="366" t="s">
        <v>68</v>
      </c>
      <c r="AM49" s="3" t="s">
        <v>2664</v>
      </c>
      <c r="AN49" s="381"/>
    </row>
    <row r="50" spans="1:40" ht="22.8" x14ac:dyDescent="0.3">
      <c r="A50" s="28">
        <v>49</v>
      </c>
      <c r="B50" s="682">
        <v>37651</v>
      </c>
      <c r="C50" s="686" t="s">
        <v>64</v>
      </c>
      <c r="D50" s="704" t="s">
        <v>2673</v>
      </c>
      <c r="E50" s="687" t="s">
        <v>1946</v>
      </c>
      <c r="F50" s="705" t="s">
        <v>1947</v>
      </c>
      <c r="G50" s="705" t="s">
        <v>10</v>
      </c>
      <c r="H50" s="745">
        <v>45332</v>
      </c>
      <c r="I50" s="706">
        <v>511</v>
      </c>
      <c r="J50" s="748" t="s">
        <v>58</v>
      </c>
      <c r="K50" s="430" t="s">
        <v>59</v>
      </c>
      <c r="L50" s="33"/>
      <c r="M50" s="446" t="s">
        <v>60</v>
      </c>
      <c r="N50" s="447" t="s">
        <v>75</v>
      </c>
      <c r="O50" s="33"/>
      <c r="P50" s="33"/>
      <c r="Q50" s="690" t="s">
        <v>75</v>
      </c>
      <c r="R50" s="690" t="s">
        <v>75</v>
      </c>
      <c r="S50" s="117" t="s">
        <v>75</v>
      </c>
      <c r="T50" s="117" t="s">
        <v>75</v>
      </c>
      <c r="U50" s="751" t="s">
        <v>75</v>
      </c>
      <c r="V50" s="700" t="s">
        <v>68</v>
      </c>
      <c r="W50" s="16"/>
      <c r="X50" s="754" t="s">
        <v>68</v>
      </c>
      <c r="Y50" s="755" t="s">
        <v>68</v>
      </c>
      <c r="Z50" s="708" t="s">
        <v>68</v>
      </c>
      <c r="AA50" s="432"/>
      <c r="AB50" s="24"/>
      <c r="AC50" s="24"/>
      <c r="AD50" s="689" t="s">
        <v>75</v>
      </c>
      <c r="AE50" s="24"/>
      <c r="AF50" s="689" t="s">
        <v>75</v>
      </c>
      <c r="AG50" s="606">
        <v>45299</v>
      </c>
      <c r="AH50" s="58" t="s">
        <v>68</v>
      </c>
      <c r="AI50" s="1108">
        <v>45567</v>
      </c>
      <c r="AJ50" s="756" t="s">
        <v>62</v>
      </c>
      <c r="AM50" s="3"/>
    </row>
    <row r="51" spans="1:40" ht="22.8" x14ac:dyDescent="0.3">
      <c r="A51" s="28">
        <v>50</v>
      </c>
      <c r="B51" s="682">
        <v>37651</v>
      </c>
      <c r="C51" s="686" t="s">
        <v>54</v>
      </c>
      <c r="D51" s="704" t="s">
        <v>2674</v>
      </c>
      <c r="E51" s="687" t="s">
        <v>1946</v>
      </c>
      <c r="F51" s="705" t="s">
        <v>1947</v>
      </c>
      <c r="G51" s="705" t="s">
        <v>10</v>
      </c>
      <c r="H51" s="746">
        <v>45332</v>
      </c>
      <c r="I51" s="703">
        <v>510</v>
      </c>
      <c r="J51" s="748" t="s">
        <v>58</v>
      </c>
      <c r="K51" s="430" t="s">
        <v>59</v>
      </c>
      <c r="L51" s="33"/>
      <c r="M51" s="446" t="s">
        <v>60</v>
      </c>
      <c r="N51" s="447" t="s">
        <v>75</v>
      </c>
      <c r="O51" s="33"/>
      <c r="P51" s="33"/>
      <c r="Q51" s="690" t="s">
        <v>75</v>
      </c>
      <c r="R51" s="690" t="s">
        <v>75</v>
      </c>
      <c r="S51" s="117" t="s">
        <v>75</v>
      </c>
      <c r="T51" s="117" t="s">
        <v>75</v>
      </c>
      <c r="U51" s="751" t="s">
        <v>75</v>
      </c>
      <c r="V51" s="704" t="s">
        <v>62</v>
      </c>
      <c r="W51" s="16"/>
      <c r="X51" s="754" t="s">
        <v>62</v>
      </c>
      <c r="Y51" s="755" t="s">
        <v>62</v>
      </c>
      <c r="Z51" s="708" t="s">
        <v>62</v>
      </c>
      <c r="AA51" s="432"/>
      <c r="AB51" s="24"/>
      <c r="AC51" s="24"/>
      <c r="AD51" s="689" t="s">
        <v>75</v>
      </c>
      <c r="AE51" s="24"/>
      <c r="AF51" s="689" t="s">
        <v>75</v>
      </c>
      <c r="AG51" s="606">
        <v>45299</v>
      </c>
      <c r="AH51" s="58" t="s">
        <v>62</v>
      </c>
      <c r="AI51" s="1108">
        <v>45567</v>
      </c>
      <c r="AJ51" s="757" t="s">
        <v>68</v>
      </c>
      <c r="AM51" s="3"/>
    </row>
    <row r="52" spans="1:40" ht="22.8" x14ac:dyDescent="0.3">
      <c r="A52" s="28">
        <v>51</v>
      </c>
      <c r="B52" s="682">
        <v>37650</v>
      </c>
      <c r="C52" s="744" t="s">
        <v>64</v>
      </c>
      <c r="D52" s="696" t="s">
        <v>2675</v>
      </c>
      <c r="E52" s="684" t="s">
        <v>1946</v>
      </c>
      <c r="F52" s="697" t="s">
        <v>1947</v>
      </c>
      <c r="G52" s="697" t="s">
        <v>10</v>
      </c>
      <c r="H52" s="745">
        <v>45338</v>
      </c>
      <c r="I52" s="699">
        <v>513</v>
      </c>
      <c r="J52" s="3" t="s">
        <v>58</v>
      </c>
      <c r="K52" s="430" t="s">
        <v>59</v>
      </c>
      <c r="L52" s="33"/>
      <c r="M52" s="446" t="s">
        <v>60</v>
      </c>
      <c r="N52" s="447" t="s">
        <v>75</v>
      </c>
      <c r="O52" s="33"/>
      <c r="P52" s="33"/>
      <c r="Q52" s="690" t="s">
        <v>75</v>
      </c>
      <c r="R52" s="690" t="s">
        <v>75</v>
      </c>
      <c r="S52" s="117" t="s">
        <v>75</v>
      </c>
      <c r="T52" s="117" t="s">
        <v>75</v>
      </c>
      <c r="U52" s="751" t="s">
        <v>75</v>
      </c>
      <c r="V52" s="700" t="s">
        <v>68</v>
      </c>
      <c r="W52" s="16"/>
      <c r="X52" s="752" t="s">
        <v>68</v>
      </c>
      <c r="Y52" s="753" t="s">
        <v>68</v>
      </c>
      <c r="Z52" s="432"/>
      <c r="AA52" s="432"/>
      <c r="AB52" s="24"/>
      <c r="AC52" s="24"/>
      <c r="AD52" s="689" t="s">
        <v>75</v>
      </c>
      <c r="AE52" s="24"/>
      <c r="AF52" s="689" t="s">
        <v>75</v>
      </c>
      <c r="AG52" s="1109" t="s">
        <v>2676</v>
      </c>
      <c r="AH52" s="58" t="s">
        <v>68</v>
      </c>
      <c r="AI52" s="756" t="s">
        <v>2677</v>
      </c>
      <c r="AJ52" s="756" t="s">
        <v>62</v>
      </c>
      <c r="AM52" s="3"/>
    </row>
    <row r="53" spans="1:40" ht="22.8" x14ac:dyDescent="0.3">
      <c r="A53" s="28">
        <v>52</v>
      </c>
      <c r="B53" s="682">
        <v>37650</v>
      </c>
      <c r="C53" s="744" t="s">
        <v>54</v>
      </c>
      <c r="D53" s="701" t="s">
        <v>2678</v>
      </c>
      <c r="E53" s="684" t="s">
        <v>1946</v>
      </c>
      <c r="F53" s="697" t="s">
        <v>1947</v>
      </c>
      <c r="G53" s="697" t="s">
        <v>10</v>
      </c>
      <c r="H53" s="746">
        <v>45338</v>
      </c>
      <c r="I53" s="703">
        <v>512</v>
      </c>
      <c r="J53" s="3" t="s">
        <v>58</v>
      </c>
      <c r="K53" s="430" t="s">
        <v>59</v>
      </c>
      <c r="L53" s="33"/>
      <c r="M53" s="446" t="s">
        <v>60</v>
      </c>
      <c r="N53" s="447" t="s">
        <v>75</v>
      </c>
      <c r="O53" s="33"/>
      <c r="P53" s="33"/>
      <c r="Q53" s="690" t="s">
        <v>75</v>
      </c>
      <c r="R53" s="690" t="s">
        <v>75</v>
      </c>
      <c r="S53" s="117" t="s">
        <v>75</v>
      </c>
      <c r="T53" s="117" t="s">
        <v>75</v>
      </c>
      <c r="U53" s="751" t="s">
        <v>75</v>
      </c>
      <c r="V53" s="704" t="s">
        <v>62</v>
      </c>
      <c r="W53" s="16"/>
      <c r="X53" s="754" t="s">
        <v>62</v>
      </c>
      <c r="Y53" s="755" t="s">
        <v>62</v>
      </c>
      <c r="Z53" s="432"/>
      <c r="AA53" s="432"/>
      <c r="AB53" s="24"/>
      <c r="AC53" s="24"/>
      <c r="AD53" s="689" t="s">
        <v>75</v>
      </c>
      <c r="AE53" s="24"/>
      <c r="AF53" s="689" t="s">
        <v>75</v>
      </c>
      <c r="AG53" s="1109" t="s">
        <v>2676</v>
      </c>
      <c r="AH53" s="58" t="s">
        <v>62</v>
      </c>
      <c r="AI53" s="756" t="s">
        <v>2677</v>
      </c>
      <c r="AJ53" s="757" t="s">
        <v>68</v>
      </c>
      <c r="AM53" s="3"/>
    </row>
    <row r="54" spans="1:40" ht="22.8" x14ac:dyDescent="0.3">
      <c r="A54" s="28">
        <v>53</v>
      </c>
      <c r="B54" s="682">
        <v>39315</v>
      </c>
      <c r="C54" s="744" t="s">
        <v>64</v>
      </c>
      <c r="D54" s="701" t="s">
        <v>2679</v>
      </c>
      <c r="E54" s="684" t="s">
        <v>1946</v>
      </c>
      <c r="F54" s="697" t="s">
        <v>1947</v>
      </c>
      <c r="G54" s="697" t="s">
        <v>10</v>
      </c>
      <c r="H54" s="19">
        <v>45349</v>
      </c>
      <c r="I54" s="3">
        <v>502</v>
      </c>
      <c r="J54" s="3" t="s">
        <v>58</v>
      </c>
      <c r="K54" s="430" t="s">
        <v>59</v>
      </c>
      <c r="L54" s="33"/>
      <c r="M54" s="446" t="s">
        <v>60</v>
      </c>
      <c r="N54" s="447" t="s">
        <v>75</v>
      </c>
      <c r="O54" s="33"/>
      <c r="P54" s="33"/>
      <c r="Q54" s="690" t="s">
        <v>75</v>
      </c>
      <c r="R54" s="690" t="s">
        <v>75</v>
      </c>
      <c r="S54" s="117" t="s">
        <v>75</v>
      </c>
      <c r="T54" s="117" t="s">
        <v>75</v>
      </c>
      <c r="U54" s="751" t="s">
        <v>75</v>
      </c>
      <c r="V54" s="700" t="s">
        <v>68</v>
      </c>
      <c r="W54" s="16"/>
      <c r="X54" s="754" t="s">
        <v>68</v>
      </c>
      <c r="Y54" s="755" t="s">
        <v>68</v>
      </c>
      <c r="Z54" s="432"/>
      <c r="AA54" s="432"/>
      <c r="AB54" s="24"/>
      <c r="AC54" s="24"/>
      <c r="AD54" s="689" t="s">
        <v>75</v>
      </c>
      <c r="AE54" s="24"/>
      <c r="AF54" s="689" t="s">
        <v>75</v>
      </c>
      <c r="AG54" s="1109" t="s">
        <v>2680</v>
      </c>
      <c r="AH54" s="58" t="s">
        <v>68</v>
      </c>
      <c r="AI54" s="756" t="s">
        <v>2681</v>
      </c>
      <c r="AJ54" s="756" t="s">
        <v>62</v>
      </c>
      <c r="AM54" s="3"/>
    </row>
    <row r="55" spans="1:40" ht="22.8" x14ac:dyDescent="0.3">
      <c r="A55" s="28">
        <v>54</v>
      </c>
      <c r="B55" s="682">
        <v>39315</v>
      </c>
      <c r="C55" s="744" t="s">
        <v>54</v>
      </c>
      <c r="D55" s="701" t="s">
        <v>2682</v>
      </c>
      <c r="E55" s="684" t="s">
        <v>1946</v>
      </c>
      <c r="F55" s="697" t="s">
        <v>1947</v>
      </c>
      <c r="G55" s="697" t="s">
        <v>10</v>
      </c>
      <c r="H55" s="19">
        <v>45349</v>
      </c>
      <c r="I55" s="3">
        <v>503</v>
      </c>
      <c r="J55" s="3" t="s">
        <v>58</v>
      </c>
      <c r="K55" s="430" t="s">
        <v>59</v>
      </c>
      <c r="L55" s="33"/>
      <c r="M55" s="446" t="s">
        <v>60</v>
      </c>
      <c r="N55" s="447" t="s">
        <v>75</v>
      </c>
      <c r="O55" s="33"/>
      <c r="P55" s="33"/>
      <c r="Q55" s="690" t="s">
        <v>75</v>
      </c>
      <c r="R55" s="690" t="s">
        <v>75</v>
      </c>
      <c r="S55" s="117" t="s">
        <v>75</v>
      </c>
      <c r="T55" s="117" t="s">
        <v>75</v>
      </c>
      <c r="U55" s="751" t="s">
        <v>75</v>
      </c>
      <c r="V55" s="704" t="s">
        <v>62</v>
      </c>
      <c r="W55" s="16"/>
      <c r="X55" s="754" t="s">
        <v>62</v>
      </c>
      <c r="Y55" s="755" t="s">
        <v>62</v>
      </c>
      <c r="Z55" s="432"/>
      <c r="AA55" s="432"/>
      <c r="AB55" s="24"/>
      <c r="AC55" s="24"/>
      <c r="AD55" s="689" t="s">
        <v>75</v>
      </c>
      <c r="AE55" s="24"/>
      <c r="AF55" s="689" t="s">
        <v>75</v>
      </c>
      <c r="AG55" s="1109" t="s">
        <v>2680</v>
      </c>
      <c r="AH55" s="58" t="s">
        <v>62</v>
      </c>
      <c r="AI55" s="756" t="s">
        <v>2681</v>
      </c>
      <c r="AJ55" s="377" t="s">
        <v>68</v>
      </c>
      <c r="AM55" s="3"/>
    </row>
    <row r="56" spans="1:40" ht="22.8" x14ac:dyDescent="0.3">
      <c r="A56" s="28">
        <v>55</v>
      </c>
      <c r="B56" s="682">
        <v>39318</v>
      </c>
      <c r="C56" s="744" t="s">
        <v>64</v>
      </c>
      <c r="D56" s="701" t="s">
        <v>2683</v>
      </c>
      <c r="E56" s="684" t="s">
        <v>1946</v>
      </c>
      <c r="F56" s="697" t="s">
        <v>1947</v>
      </c>
      <c r="G56" s="697" t="s">
        <v>10</v>
      </c>
      <c r="H56" s="19">
        <v>45342</v>
      </c>
      <c r="I56" s="3">
        <v>485</v>
      </c>
      <c r="J56" s="3" t="s">
        <v>58</v>
      </c>
      <c r="K56" s="430" t="s">
        <v>59</v>
      </c>
      <c r="L56" s="33"/>
      <c r="M56" s="446" t="s">
        <v>60</v>
      </c>
      <c r="N56" s="447" t="s">
        <v>75</v>
      </c>
      <c r="O56" s="33"/>
      <c r="P56" s="33"/>
      <c r="Q56" s="690" t="s">
        <v>75</v>
      </c>
      <c r="R56" s="690" t="s">
        <v>75</v>
      </c>
      <c r="S56" s="117" t="s">
        <v>75</v>
      </c>
      <c r="T56" s="117" t="s">
        <v>75</v>
      </c>
      <c r="U56" s="751" t="s">
        <v>75</v>
      </c>
      <c r="V56" s="700" t="s">
        <v>68</v>
      </c>
      <c r="W56" s="16"/>
      <c r="X56" s="752" t="s">
        <v>68</v>
      </c>
      <c r="Y56" s="753" t="s">
        <v>68</v>
      </c>
      <c r="Z56" s="432"/>
      <c r="AA56" s="432"/>
      <c r="AB56" s="24"/>
      <c r="AC56" s="24"/>
      <c r="AD56" s="689" t="s">
        <v>75</v>
      </c>
      <c r="AE56" s="24"/>
      <c r="AF56" s="689" t="s">
        <v>75</v>
      </c>
      <c r="AG56" s="1109"/>
      <c r="AH56" s="58" t="s">
        <v>68</v>
      </c>
      <c r="AI56" s="827" t="s">
        <v>2684</v>
      </c>
      <c r="AJ56" s="546" t="s">
        <v>62</v>
      </c>
      <c r="AM56" s="3"/>
    </row>
    <row r="57" spans="1:40" ht="22.8" x14ac:dyDescent="0.3">
      <c r="A57" s="28">
        <v>56</v>
      </c>
      <c r="B57" s="682">
        <v>39318</v>
      </c>
      <c r="C57" s="744" t="s">
        <v>54</v>
      </c>
      <c r="D57" s="701" t="s">
        <v>2685</v>
      </c>
      <c r="E57" s="684" t="s">
        <v>1946</v>
      </c>
      <c r="F57" s="697" t="s">
        <v>1947</v>
      </c>
      <c r="G57" s="697" t="s">
        <v>10</v>
      </c>
      <c r="H57" s="19">
        <v>45342</v>
      </c>
      <c r="I57" s="3">
        <v>484</v>
      </c>
      <c r="J57" s="3" t="s">
        <v>58</v>
      </c>
      <c r="K57" s="430" t="s">
        <v>59</v>
      </c>
      <c r="L57" s="33"/>
      <c r="M57" s="446" t="s">
        <v>60</v>
      </c>
      <c r="N57" s="447" t="s">
        <v>75</v>
      </c>
      <c r="O57" s="33"/>
      <c r="P57" s="33"/>
      <c r="Q57" s="690" t="s">
        <v>75</v>
      </c>
      <c r="R57" s="690" t="s">
        <v>75</v>
      </c>
      <c r="S57" s="117" t="s">
        <v>75</v>
      </c>
      <c r="T57" s="117" t="s">
        <v>75</v>
      </c>
      <c r="U57" s="751" t="s">
        <v>75</v>
      </c>
      <c r="V57" s="704" t="s">
        <v>62</v>
      </c>
      <c r="W57" s="16"/>
      <c r="X57" s="754" t="s">
        <v>62</v>
      </c>
      <c r="Y57" s="755" t="s">
        <v>62</v>
      </c>
      <c r="Z57" s="432"/>
      <c r="AA57" s="432"/>
      <c r="AB57" s="24"/>
      <c r="AC57" s="24"/>
      <c r="AD57" s="689" t="s">
        <v>75</v>
      </c>
      <c r="AE57" s="24"/>
      <c r="AF57" s="689" t="s">
        <v>75</v>
      </c>
      <c r="AG57" s="1109"/>
      <c r="AH57" s="58" t="s">
        <v>62</v>
      </c>
      <c r="AI57" s="827" t="s">
        <v>2684</v>
      </c>
      <c r="AJ57" s="757" t="s">
        <v>68</v>
      </c>
      <c r="AM57" s="3"/>
    </row>
    <row r="58" spans="1:40" ht="22.8" x14ac:dyDescent="0.3">
      <c r="A58" s="28">
        <v>57</v>
      </c>
      <c r="B58" s="682">
        <v>37679</v>
      </c>
      <c r="C58" s="744" t="s">
        <v>64</v>
      </c>
      <c r="D58" s="701" t="s">
        <v>2686</v>
      </c>
      <c r="E58" s="684" t="s">
        <v>1946</v>
      </c>
      <c r="F58" s="697" t="s">
        <v>1947</v>
      </c>
      <c r="G58" s="697" t="s">
        <v>10</v>
      </c>
      <c r="H58" s="19">
        <v>45379</v>
      </c>
      <c r="I58" s="3">
        <v>566</v>
      </c>
      <c r="J58" s="3" t="s">
        <v>58</v>
      </c>
      <c r="K58" s="430" t="s">
        <v>59</v>
      </c>
      <c r="L58" s="33"/>
      <c r="M58" s="446" t="s">
        <v>60</v>
      </c>
      <c r="N58" s="447" t="s">
        <v>75</v>
      </c>
      <c r="O58" s="33"/>
      <c r="P58" s="33"/>
      <c r="Q58" s="690" t="s">
        <v>75</v>
      </c>
      <c r="R58" s="690" t="s">
        <v>75</v>
      </c>
      <c r="S58" s="117" t="s">
        <v>75</v>
      </c>
      <c r="T58" s="117" t="s">
        <v>75</v>
      </c>
      <c r="U58" s="751" t="s">
        <v>75</v>
      </c>
      <c r="V58" s="700" t="s">
        <v>68</v>
      </c>
      <c r="W58" s="16"/>
      <c r="X58" s="754" t="s">
        <v>68</v>
      </c>
      <c r="Y58" s="755" t="s">
        <v>68</v>
      </c>
      <c r="Z58" s="432"/>
      <c r="AA58" s="432"/>
      <c r="AB58" s="24"/>
      <c r="AC58" s="24"/>
      <c r="AD58" s="689" t="s">
        <v>75</v>
      </c>
      <c r="AE58" s="24"/>
      <c r="AF58" s="689" t="s">
        <v>75</v>
      </c>
      <c r="AG58" s="1109" t="s">
        <v>2687</v>
      </c>
      <c r="AH58" s="58" t="s">
        <v>68</v>
      </c>
      <c r="AI58" s="756" t="s">
        <v>75</v>
      </c>
      <c r="AJ58" s="756" t="s">
        <v>62</v>
      </c>
      <c r="AM58" s="3" t="s">
        <v>2688</v>
      </c>
      <c r="AN58" s="381"/>
    </row>
    <row r="59" spans="1:40" ht="22.8" x14ac:dyDescent="0.3">
      <c r="A59" s="28">
        <v>58</v>
      </c>
      <c r="B59" s="682">
        <v>37679</v>
      </c>
      <c r="C59" s="744" t="s">
        <v>54</v>
      </c>
      <c r="D59" s="701" t="s">
        <v>2689</v>
      </c>
      <c r="E59" s="684" t="s">
        <v>1946</v>
      </c>
      <c r="F59" s="697" t="s">
        <v>1947</v>
      </c>
      <c r="G59" s="697" t="s">
        <v>10</v>
      </c>
      <c r="H59" s="19">
        <v>45379</v>
      </c>
      <c r="I59" s="3">
        <v>569</v>
      </c>
      <c r="J59" s="3" t="s">
        <v>58</v>
      </c>
      <c r="K59" s="430" t="s">
        <v>59</v>
      </c>
      <c r="L59" s="33"/>
      <c r="M59" s="446" t="s">
        <v>60</v>
      </c>
      <c r="N59" s="447" t="s">
        <v>75</v>
      </c>
      <c r="O59" s="33"/>
      <c r="P59" s="33"/>
      <c r="Q59" s="690" t="s">
        <v>75</v>
      </c>
      <c r="R59" s="690" t="s">
        <v>75</v>
      </c>
      <c r="S59" s="117" t="s">
        <v>75</v>
      </c>
      <c r="T59" s="117" t="s">
        <v>75</v>
      </c>
      <c r="U59" s="751" t="s">
        <v>75</v>
      </c>
      <c r="V59" s="704" t="s">
        <v>62</v>
      </c>
      <c r="W59" s="16"/>
      <c r="X59" s="754" t="s">
        <v>62</v>
      </c>
      <c r="Y59" s="755" t="s">
        <v>62</v>
      </c>
      <c r="Z59" s="432"/>
      <c r="AA59" s="432"/>
      <c r="AB59" s="24"/>
      <c r="AC59" s="24"/>
      <c r="AD59" s="689" t="s">
        <v>75</v>
      </c>
      <c r="AE59" s="24"/>
      <c r="AF59" s="689" t="s">
        <v>75</v>
      </c>
      <c r="AG59" s="1109" t="s">
        <v>2687</v>
      </c>
      <c r="AH59" s="58" t="s">
        <v>62</v>
      </c>
      <c r="AI59" s="549" t="s">
        <v>75</v>
      </c>
      <c r="AJ59" s="130" t="s">
        <v>75</v>
      </c>
      <c r="AM59" s="3" t="s">
        <v>2688</v>
      </c>
      <c r="AN59" s="381"/>
    </row>
    <row r="60" spans="1:40" ht="22.8" x14ac:dyDescent="0.3">
      <c r="A60" s="28">
        <v>59</v>
      </c>
      <c r="B60" s="682">
        <v>37681</v>
      </c>
      <c r="C60" s="744" t="s">
        <v>64</v>
      </c>
      <c r="D60" s="701" t="s">
        <v>2690</v>
      </c>
      <c r="E60" s="684" t="s">
        <v>1946</v>
      </c>
      <c r="F60" s="697" t="s">
        <v>1947</v>
      </c>
      <c r="G60" s="697" t="s">
        <v>10</v>
      </c>
      <c r="H60" s="19">
        <v>45410</v>
      </c>
      <c r="I60" s="3">
        <v>562</v>
      </c>
      <c r="J60" s="3" t="s">
        <v>58</v>
      </c>
      <c r="K60" s="430" t="s">
        <v>59</v>
      </c>
      <c r="L60" s="33"/>
      <c r="M60" s="446" t="s">
        <v>60</v>
      </c>
      <c r="N60" s="447" t="s">
        <v>75</v>
      </c>
      <c r="O60" s="33"/>
      <c r="P60" s="33"/>
      <c r="Q60" s="690" t="s">
        <v>75</v>
      </c>
      <c r="R60" s="690" t="s">
        <v>75</v>
      </c>
      <c r="S60" s="117" t="s">
        <v>75</v>
      </c>
      <c r="T60" s="117" t="s">
        <v>75</v>
      </c>
      <c r="U60" s="751" t="s">
        <v>75</v>
      </c>
      <c r="V60" s="700" t="s">
        <v>68</v>
      </c>
      <c r="W60" s="16"/>
      <c r="X60" s="754" t="s">
        <v>68</v>
      </c>
      <c r="Y60" s="755" t="s">
        <v>68</v>
      </c>
      <c r="Z60" s="432"/>
      <c r="AA60" s="432"/>
      <c r="AB60" s="24"/>
      <c r="AC60" s="24"/>
      <c r="AD60" s="689" t="s">
        <v>75</v>
      </c>
      <c r="AE60" s="24"/>
      <c r="AF60" s="689" t="s">
        <v>75</v>
      </c>
      <c r="AG60" s="606">
        <v>45633</v>
      </c>
      <c r="AH60" s="58" t="s">
        <v>68</v>
      </c>
      <c r="AI60" s="549" t="s">
        <v>75</v>
      </c>
      <c r="AJ60" s="130" t="s">
        <v>75</v>
      </c>
      <c r="AM60" s="3"/>
    </row>
    <row r="61" spans="1:40" ht="22.8" x14ac:dyDescent="0.3">
      <c r="A61" s="28">
        <v>60</v>
      </c>
      <c r="B61" s="682">
        <v>37681</v>
      </c>
      <c r="C61" s="744" t="s">
        <v>54</v>
      </c>
      <c r="D61" s="701" t="s">
        <v>2691</v>
      </c>
      <c r="E61" s="684" t="s">
        <v>1946</v>
      </c>
      <c r="F61" s="697" t="s">
        <v>1947</v>
      </c>
      <c r="G61" s="697" t="s">
        <v>10</v>
      </c>
      <c r="H61" s="19">
        <v>45410</v>
      </c>
      <c r="I61" s="3">
        <v>548</v>
      </c>
      <c r="J61" s="3" t="s">
        <v>58</v>
      </c>
      <c r="K61" s="430" t="s">
        <v>59</v>
      </c>
      <c r="L61" s="33"/>
      <c r="M61" s="446" t="s">
        <v>60</v>
      </c>
      <c r="N61" s="447" t="s">
        <v>75</v>
      </c>
      <c r="O61" s="33"/>
      <c r="P61" s="33"/>
      <c r="Q61" s="690" t="s">
        <v>75</v>
      </c>
      <c r="R61" s="690" t="s">
        <v>75</v>
      </c>
      <c r="S61" s="117" t="s">
        <v>75</v>
      </c>
      <c r="T61" s="117" t="s">
        <v>75</v>
      </c>
      <c r="U61" s="751" t="s">
        <v>75</v>
      </c>
      <c r="V61" s="704" t="s">
        <v>62</v>
      </c>
      <c r="W61" s="16"/>
      <c r="X61" s="754" t="s">
        <v>62</v>
      </c>
      <c r="Y61" s="755" t="s">
        <v>62</v>
      </c>
      <c r="Z61" s="432"/>
      <c r="AA61" s="432"/>
      <c r="AB61" s="24"/>
      <c r="AC61" s="24"/>
      <c r="AD61" s="689" t="s">
        <v>75</v>
      </c>
      <c r="AE61" s="24"/>
      <c r="AF61" s="942" t="s">
        <v>75</v>
      </c>
      <c r="AG61" s="606">
        <v>45633</v>
      </c>
      <c r="AH61" s="58" t="s">
        <v>62</v>
      </c>
      <c r="AI61" s="549" t="s">
        <v>75</v>
      </c>
      <c r="AJ61" s="130" t="s">
        <v>75</v>
      </c>
      <c r="AM61" s="3"/>
    </row>
    <row r="62" spans="1:40" x14ac:dyDescent="0.25">
      <c r="A62" s="28">
        <v>61</v>
      </c>
      <c r="B62" s="20">
        <v>37680</v>
      </c>
      <c r="C62" s="744" t="s">
        <v>64</v>
      </c>
      <c r="D62" s="3" t="s">
        <v>2692</v>
      </c>
      <c r="E62" s="20" t="s">
        <v>1946</v>
      </c>
      <c r="F62" s="3" t="s">
        <v>1947</v>
      </c>
      <c r="G62" s="3" t="s">
        <v>10</v>
      </c>
      <c r="H62" s="19">
        <v>45408</v>
      </c>
      <c r="I62" s="3">
        <v>568</v>
      </c>
      <c r="J62" s="3" t="s">
        <v>58</v>
      </c>
      <c r="K62" s="429"/>
      <c r="L62" s="33"/>
      <c r="M62" s="432"/>
      <c r="N62" s="443"/>
      <c r="O62" s="33"/>
      <c r="P62" s="33"/>
      <c r="Q62" s="16" t="s">
        <v>68</v>
      </c>
      <c r="R62" s="16" t="s">
        <v>68</v>
      </c>
      <c r="S62" s="16" t="s">
        <v>68</v>
      </c>
      <c r="T62" s="16" t="s">
        <v>68</v>
      </c>
      <c r="U62" s="16" t="s">
        <v>68</v>
      </c>
      <c r="V62" s="16" t="s">
        <v>68</v>
      </c>
      <c r="W62" s="16" t="s">
        <v>68</v>
      </c>
      <c r="X62" s="16"/>
      <c r="Y62" s="16"/>
      <c r="Z62" s="432"/>
      <c r="AA62" s="432"/>
      <c r="AB62" s="24"/>
      <c r="AC62" s="24"/>
      <c r="AD62" s="689" t="s">
        <v>75</v>
      </c>
      <c r="AE62" s="79"/>
      <c r="AF62" s="941" t="s">
        <v>75</v>
      </c>
      <c r="AG62" s="1107">
        <v>45512</v>
      </c>
      <c r="AH62" s="58" t="s">
        <v>68</v>
      </c>
      <c r="AI62" s="549" t="s">
        <v>75</v>
      </c>
      <c r="AJ62" s="130" t="s">
        <v>75</v>
      </c>
      <c r="AM62" s="3" t="s">
        <v>2688</v>
      </c>
      <c r="AN62" s="381"/>
    </row>
    <row r="63" spans="1:40" x14ac:dyDescent="0.25">
      <c r="A63" s="28">
        <v>62</v>
      </c>
      <c r="B63" s="20">
        <v>37680</v>
      </c>
      <c r="C63" s="744" t="s">
        <v>54</v>
      </c>
      <c r="D63" s="3" t="s">
        <v>2693</v>
      </c>
      <c r="E63" s="20" t="s">
        <v>1946</v>
      </c>
      <c r="F63" s="3" t="s">
        <v>1947</v>
      </c>
      <c r="G63" s="3" t="s">
        <v>10</v>
      </c>
      <c r="H63" s="19">
        <v>45408</v>
      </c>
      <c r="I63" s="3">
        <v>567</v>
      </c>
      <c r="J63" s="3" t="s">
        <v>58</v>
      </c>
      <c r="K63" s="429"/>
      <c r="L63" s="33"/>
      <c r="M63" s="432"/>
      <c r="N63" s="443"/>
      <c r="O63" s="33"/>
      <c r="P63" s="33"/>
      <c r="Q63" s="16" t="s">
        <v>62</v>
      </c>
      <c r="R63" s="16" t="s">
        <v>62</v>
      </c>
      <c r="S63" s="16" t="s">
        <v>62</v>
      </c>
      <c r="T63" s="16" t="s">
        <v>62</v>
      </c>
      <c r="U63" s="16" t="s">
        <v>62</v>
      </c>
      <c r="V63" s="16" t="s">
        <v>62</v>
      </c>
      <c r="W63" s="16" t="s">
        <v>62</v>
      </c>
      <c r="X63" s="16"/>
      <c r="Y63" s="16"/>
      <c r="Z63" s="432"/>
      <c r="AA63" s="432"/>
      <c r="AB63" s="24"/>
      <c r="AC63" s="24"/>
      <c r="AD63" s="689" t="s">
        <v>75</v>
      </c>
      <c r="AE63" s="79"/>
      <c r="AF63" s="941" t="s">
        <v>75</v>
      </c>
      <c r="AG63" s="1107">
        <v>45512</v>
      </c>
      <c r="AH63" s="58" t="s">
        <v>62</v>
      </c>
      <c r="AI63" s="58" t="s">
        <v>75</v>
      </c>
      <c r="AJ63" s="130" t="s">
        <v>75</v>
      </c>
      <c r="AM63" s="3" t="s">
        <v>2688</v>
      </c>
    </row>
    <row r="64" spans="1:40" x14ac:dyDescent="0.25">
      <c r="A64" s="28">
        <v>63</v>
      </c>
      <c r="B64" s="20">
        <v>37694</v>
      </c>
      <c r="C64" s="744" t="s">
        <v>64</v>
      </c>
      <c r="D64" s="3" t="s">
        <v>2694</v>
      </c>
      <c r="E64" s="20" t="s">
        <v>1946</v>
      </c>
      <c r="F64" s="3" t="s">
        <v>1947</v>
      </c>
      <c r="G64" s="3" t="s">
        <v>10</v>
      </c>
      <c r="H64" s="19">
        <v>45421</v>
      </c>
      <c r="I64" s="3">
        <v>515</v>
      </c>
      <c r="J64" s="3" t="s">
        <v>58</v>
      </c>
      <c r="K64" s="429"/>
      <c r="L64" s="33"/>
      <c r="M64" s="432"/>
      <c r="N64" s="443"/>
      <c r="O64" s="33"/>
      <c r="P64" s="33"/>
      <c r="Q64" s="16" t="s">
        <v>68</v>
      </c>
      <c r="R64" s="16" t="s">
        <v>68</v>
      </c>
      <c r="S64" s="16" t="s">
        <v>68</v>
      </c>
      <c r="T64" s="16" t="s">
        <v>68</v>
      </c>
      <c r="U64" s="16" t="s">
        <v>68</v>
      </c>
      <c r="V64" s="16" t="s">
        <v>68</v>
      </c>
      <c r="W64" s="16" t="s">
        <v>68</v>
      </c>
      <c r="X64" s="16"/>
      <c r="Y64" s="16"/>
      <c r="Z64" s="432"/>
      <c r="AA64" s="432"/>
      <c r="AB64" s="24"/>
      <c r="AC64" s="24"/>
      <c r="AD64" s="689" t="s">
        <v>75</v>
      </c>
      <c r="AE64" s="79"/>
      <c r="AF64" s="941" t="s">
        <v>75</v>
      </c>
      <c r="AG64" s="1110" t="s">
        <v>2621</v>
      </c>
      <c r="AH64" s="58" t="s">
        <v>68</v>
      </c>
      <c r="AI64" s="58" t="s">
        <v>75</v>
      </c>
      <c r="AJ64" s="130" t="s">
        <v>75</v>
      </c>
      <c r="AM64" s="3" t="s">
        <v>2695</v>
      </c>
      <c r="AN64" s="381"/>
    </row>
    <row r="65" spans="1:40" x14ac:dyDescent="0.25">
      <c r="A65" s="28">
        <v>64</v>
      </c>
      <c r="B65" s="20">
        <v>37694</v>
      </c>
      <c r="C65" s="744" t="s">
        <v>54</v>
      </c>
      <c r="D65" s="3" t="s">
        <v>2696</v>
      </c>
      <c r="E65" s="20" t="s">
        <v>1946</v>
      </c>
      <c r="F65" s="3" t="s">
        <v>1947</v>
      </c>
      <c r="G65" s="3" t="s">
        <v>10</v>
      </c>
      <c r="H65" s="19">
        <v>45421</v>
      </c>
      <c r="I65" s="3">
        <v>517</v>
      </c>
      <c r="J65" s="3" t="s">
        <v>58</v>
      </c>
      <c r="K65" s="429"/>
      <c r="L65" s="33"/>
      <c r="M65" s="432"/>
      <c r="N65" s="443"/>
      <c r="O65" s="33"/>
      <c r="P65" s="33"/>
      <c r="Q65" s="16" t="s">
        <v>62</v>
      </c>
      <c r="R65" s="16" t="s">
        <v>62</v>
      </c>
      <c r="S65" s="16" t="s">
        <v>62</v>
      </c>
      <c r="T65" s="16" t="s">
        <v>62</v>
      </c>
      <c r="U65" s="16" t="s">
        <v>62</v>
      </c>
      <c r="V65" s="16" t="s">
        <v>62</v>
      </c>
      <c r="W65" s="16" t="s">
        <v>62</v>
      </c>
      <c r="X65" s="16"/>
      <c r="Y65" s="16"/>
      <c r="Z65" s="432"/>
      <c r="AA65" s="432"/>
      <c r="AB65" s="24"/>
      <c r="AC65" s="24"/>
      <c r="AD65" s="689" t="s">
        <v>75</v>
      </c>
      <c r="AE65" s="79"/>
      <c r="AF65" s="941" t="s">
        <v>75</v>
      </c>
      <c r="AG65" s="1110" t="s">
        <v>2621</v>
      </c>
      <c r="AH65" s="58" t="s">
        <v>62</v>
      </c>
      <c r="AI65" s="58" t="s">
        <v>75</v>
      </c>
      <c r="AJ65" s="130" t="s">
        <v>75</v>
      </c>
      <c r="AM65" s="3" t="s">
        <v>2695</v>
      </c>
    </row>
    <row r="66" spans="1:40" x14ac:dyDescent="0.25">
      <c r="A66" s="28">
        <v>65</v>
      </c>
      <c r="B66" s="20">
        <v>37732</v>
      </c>
      <c r="C66" s="27" t="s">
        <v>64</v>
      </c>
      <c r="D66" s="3" t="s">
        <v>2697</v>
      </c>
      <c r="E66" s="20" t="s">
        <v>1946</v>
      </c>
      <c r="F66" s="3" t="s">
        <v>1947</v>
      </c>
      <c r="G66" s="3" t="s">
        <v>10</v>
      </c>
      <c r="H66" s="1288">
        <v>45521</v>
      </c>
      <c r="I66" s="3">
        <v>615</v>
      </c>
      <c r="J66" s="3" t="s">
        <v>58</v>
      </c>
      <c r="K66" s="429"/>
      <c r="L66" s="33"/>
      <c r="M66" s="432"/>
      <c r="N66" s="443"/>
      <c r="O66" s="33"/>
      <c r="P66" s="33"/>
      <c r="Q66" s="16" t="s">
        <v>68</v>
      </c>
      <c r="R66" s="16" t="s">
        <v>68</v>
      </c>
      <c r="S66" s="16" t="s">
        <v>68</v>
      </c>
      <c r="T66" s="16" t="s">
        <v>68</v>
      </c>
      <c r="U66" s="16" t="s">
        <v>68</v>
      </c>
      <c r="V66" s="16" t="s">
        <v>68</v>
      </c>
      <c r="W66" s="16" t="s">
        <v>68</v>
      </c>
      <c r="X66" s="16"/>
      <c r="Y66" s="16"/>
      <c r="Z66" s="432"/>
      <c r="AA66" s="432"/>
      <c r="AB66" s="24"/>
      <c r="AC66" s="24"/>
      <c r="AD66" s="24"/>
      <c r="AE66" s="24"/>
      <c r="AF66" s="941" t="s">
        <v>75</v>
      </c>
      <c r="AG66" s="1109" t="s">
        <v>2698</v>
      </c>
      <c r="AH66" s="58" t="s">
        <v>68</v>
      </c>
      <c r="AI66" s="58" t="s">
        <v>75</v>
      </c>
      <c r="AJ66" s="58" t="s">
        <v>75</v>
      </c>
      <c r="AM66" s="3"/>
    </row>
    <row r="67" spans="1:40" x14ac:dyDescent="0.25">
      <c r="A67" s="1251">
        <v>66</v>
      </c>
      <c r="B67" s="111">
        <v>37732</v>
      </c>
      <c r="C67" s="112" t="s">
        <v>54</v>
      </c>
      <c r="D67" s="115" t="s">
        <v>2699</v>
      </c>
      <c r="E67" s="111" t="s">
        <v>1946</v>
      </c>
      <c r="F67" s="115" t="s">
        <v>1947</v>
      </c>
      <c r="G67" s="115" t="s">
        <v>10</v>
      </c>
      <c r="H67" s="1296">
        <v>45521</v>
      </c>
      <c r="I67" s="115">
        <v>614</v>
      </c>
      <c r="J67" s="115" t="s">
        <v>58</v>
      </c>
      <c r="K67" s="430"/>
      <c r="L67" s="406"/>
      <c r="M67" s="446"/>
      <c r="N67" s="447"/>
      <c r="O67" s="406"/>
      <c r="P67" s="406"/>
      <c r="Q67" s="117" t="s">
        <v>62</v>
      </c>
      <c r="R67" s="117" t="s">
        <v>62</v>
      </c>
      <c r="S67" s="117" t="s">
        <v>62</v>
      </c>
      <c r="T67" s="117" t="s">
        <v>62</v>
      </c>
      <c r="U67" s="117" t="s">
        <v>62</v>
      </c>
      <c r="V67" s="117" t="s">
        <v>62</v>
      </c>
      <c r="W67" s="117" t="s">
        <v>62</v>
      </c>
      <c r="X67" s="117"/>
      <c r="Y67" s="117"/>
      <c r="Z67" s="446"/>
      <c r="AA67" s="446"/>
      <c r="AB67" s="186"/>
      <c r="AC67" s="186"/>
      <c r="AD67" s="186"/>
      <c r="AE67" s="186"/>
      <c r="AF67" s="1297" t="s">
        <v>75</v>
      </c>
      <c r="AG67" s="1298" t="s">
        <v>2698</v>
      </c>
      <c r="AH67" s="511" t="s">
        <v>62</v>
      </c>
      <c r="AI67" s="511" t="s">
        <v>75</v>
      </c>
      <c r="AJ67" s="511" t="s">
        <v>75</v>
      </c>
      <c r="AK67" s="511"/>
      <c r="AL67" s="511"/>
      <c r="AM67" s="115"/>
    </row>
    <row r="68" spans="1:40" x14ac:dyDescent="0.25">
      <c r="A68" s="103"/>
      <c r="B68" s="229">
        <v>37762</v>
      </c>
      <c r="C68" s="227" t="s">
        <v>64</v>
      </c>
      <c r="D68" s="103" t="s">
        <v>2700</v>
      </c>
      <c r="E68" s="229" t="s">
        <v>1946</v>
      </c>
      <c r="F68" s="103" t="s">
        <v>1947</v>
      </c>
      <c r="G68" s="103" t="s">
        <v>10</v>
      </c>
      <c r="H68" s="1294">
        <v>45613</v>
      </c>
      <c r="I68" s="103">
        <v>594</v>
      </c>
      <c r="J68" s="103" t="s">
        <v>58</v>
      </c>
      <c r="K68" s="438"/>
      <c r="L68" s="106"/>
      <c r="M68" s="438"/>
      <c r="N68" s="438"/>
      <c r="O68" s="106"/>
      <c r="P68" s="106"/>
      <c r="Q68" s="105" t="s">
        <v>2701</v>
      </c>
      <c r="R68" s="105" t="s">
        <v>2701</v>
      </c>
      <c r="S68" s="105" t="s">
        <v>2701</v>
      </c>
      <c r="T68" s="105" t="s">
        <v>2701</v>
      </c>
      <c r="U68" s="105" t="s">
        <v>2701</v>
      </c>
      <c r="V68" s="105" t="s">
        <v>2701</v>
      </c>
      <c r="W68" s="105" t="s">
        <v>2701</v>
      </c>
      <c r="X68" s="105"/>
      <c r="Y68" s="105"/>
      <c r="Z68" s="438"/>
      <c r="AA68" s="438"/>
      <c r="AB68" s="105"/>
      <c r="AC68" s="105"/>
      <c r="AD68" s="105"/>
      <c r="AE68" s="105"/>
      <c r="AF68" s="941" t="s">
        <v>75</v>
      </c>
      <c r="AG68" s="941" t="s">
        <v>75</v>
      </c>
      <c r="AH68" s="941" t="s">
        <v>75</v>
      </c>
      <c r="AI68" s="941" t="s">
        <v>75</v>
      </c>
      <c r="AJ68" s="941" t="s">
        <v>75</v>
      </c>
      <c r="AK68" s="507"/>
      <c r="AL68" s="507"/>
      <c r="AM68" s="1295"/>
    </row>
    <row r="69" spans="1:40" x14ac:dyDescent="0.25">
      <c r="A69" s="103"/>
      <c r="B69" s="229">
        <v>37762</v>
      </c>
      <c r="C69" s="227" t="s">
        <v>54</v>
      </c>
      <c r="D69" s="103" t="s">
        <v>2702</v>
      </c>
      <c r="E69" s="229" t="s">
        <v>1946</v>
      </c>
      <c r="F69" s="103" t="s">
        <v>1947</v>
      </c>
      <c r="G69" s="103" t="s">
        <v>10</v>
      </c>
      <c r="H69" s="1294">
        <v>45613</v>
      </c>
      <c r="I69" s="103">
        <v>595</v>
      </c>
      <c r="J69" s="103" t="s">
        <v>58</v>
      </c>
      <c r="K69" s="438"/>
      <c r="L69" s="106"/>
      <c r="M69" s="438"/>
      <c r="N69" s="438"/>
      <c r="O69" s="106"/>
      <c r="P69" s="106"/>
      <c r="Q69" s="105" t="s">
        <v>2701</v>
      </c>
      <c r="R69" s="105" t="s">
        <v>2701</v>
      </c>
      <c r="S69" s="105" t="s">
        <v>2701</v>
      </c>
      <c r="T69" s="105" t="s">
        <v>2701</v>
      </c>
      <c r="U69" s="105" t="s">
        <v>2701</v>
      </c>
      <c r="V69" s="105" t="s">
        <v>2701</v>
      </c>
      <c r="W69" s="105" t="s">
        <v>2701</v>
      </c>
      <c r="X69" s="105"/>
      <c r="Y69" s="105"/>
      <c r="Z69" s="438"/>
      <c r="AA69" s="438"/>
      <c r="AB69" s="105"/>
      <c r="AC69" s="105"/>
      <c r="AD69" s="105"/>
      <c r="AE69" s="105"/>
      <c r="AF69" s="941" t="s">
        <v>75</v>
      </c>
      <c r="AG69" s="941" t="s">
        <v>75</v>
      </c>
      <c r="AH69" s="941" t="s">
        <v>75</v>
      </c>
      <c r="AI69" s="941" t="s">
        <v>75</v>
      </c>
      <c r="AJ69" s="941" t="s">
        <v>75</v>
      </c>
      <c r="AK69" s="507"/>
      <c r="AL69" s="507"/>
      <c r="AM69" s="1295"/>
    </row>
    <row r="70" spans="1:40" x14ac:dyDescent="0.25">
      <c r="A70" s="103"/>
      <c r="B70" s="229">
        <v>37761</v>
      </c>
      <c r="C70" s="227" t="s">
        <v>64</v>
      </c>
      <c r="D70" s="103" t="s">
        <v>2703</v>
      </c>
      <c r="E70" s="229" t="s">
        <v>1946</v>
      </c>
      <c r="F70" s="103" t="s">
        <v>1947</v>
      </c>
      <c r="G70" s="103" t="s">
        <v>10</v>
      </c>
      <c r="H70" s="1294">
        <v>45617</v>
      </c>
      <c r="I70" s="103">
        <v>593</v>
      </c>
      <c r="J70" s="103" t="s">
        <v>58</v>
      </c>
      <c r="K70" s="438"/>
      <c r="L70" s="106"/>
      <c r="M70" s="438"/>
      <c r="N70" s="438"/>
      <c r="O70" s="106"/>
      <c r="P70" s="106"/>
      <c r="Q70" s="105" t="s">
        <v>2701</v>
      </c>
      <c r="R70" s="105" t="s">
        <v>2701</v>
      </c>
      <c r="S70" s="105" t="s">
        <v>2701</v>
      </c>
      <c r="T70" s="105" t="s">
        <v>2701</v>
      </c>
      <c r="U70" s="105" t="s">
        <v>2701</v>
      </c>
      <c r="V70" s="105" t="s">
        <v>2701</v>
      </c>
      <c r="W70" s="105" t="s">
        <v>2701</v>
      </c>
      <c r="X70" s="105"/>
      <c r="Y70" s="105"/>
      <c r="Z70" s="438"/>
      <c r="AA70" s="438"/>
      <c r="AB70" s="105"/>
      <c r="AC70" s="105"/>
      <c r="AD70" s="105"/>
      <c r="AE70" s="105"/>
      <c r="AF70" s="941" t="s">
        <v>75</v>
      </c>
      <c r="AG70" s="941" t="s">
        <v>75</v>
      </c>
      <c r="AH70" s="941" t="s">
        <v>75</v>
      </c>
      <c r="AI70" s="941" t="s">
        <v>75</v>
      </c>
      <c r="AJ70" s="941" t="s">
        <v>75</v>
      </c>
      <c r="AK70" s="507"/>
      <c r="AL70" s="507"/>
      <c r="AM70" s="1295"/>
    </row>
    <row r="71" spans="1:40" x14ac:dyDescent="0.25">
      <c r="A71" s="103"/>
      <c r="B71" s="229">
        <v>37761</v>
      </c>
      <c r="C71" s="227" t="s">
        <v>54</v>
      </c>
      <c r="D71" s="103" t="s">
        <v>2704</v>
      </c>
      <c r="E71" s="229" t="s">
        <v>1946</v>
      </c>
      <c r="F71" s="103" t="s">
        <v>1947</v>
      </c>
      <c r="G71" s="103" t="s">
        <v>10</v>
      </c>
      <c r="H71" s="1294">
        <v>45617</v>
      </c>
      <c r="I71" s="103">
        <v>592</v>
      </c>
      <c r="J71" s="103" t="s">
        <v>58</v>
      </c>
      <c r="K71" s="438"/>
      <c r="L71" s="106"/>
      <c r="M71" s="438"/>
      <c r="N71" s="438"/>
      <c r="O71" s="106"/>
      <c r="P71" s="106"/>
      <c r="Q71" s="105" t="s">
        <v>2701</v>
      </c>
      <c r="R71" s="105" t="s">
        <v>2701</v>
      </c>
      <c r="S71" s="105" t="s">
        <v>2701</v>
      </c>
      <c r="T71" s="105" t="s">
        <v>2701</v>
      </c>
      <c r="U71" s="105" t="s">
        <v>2701</v>
      </c>
      <c r="V71" s="105" t="s">
        <v>2701</v>
      </c>
      <c r="W71" s="105" t="s">
        <v>2701</v>
      </c>
      <c r="X71" s="105"/>
      <c r="Y71" s="105"/>
      <c r="Z71" s="438"/>
      <c r="AA71" s="438"/>
      <c r="AB71" s="105"/>
      <c r="AC71" s="105"/>
      <c r="AD71" s="105"/>
      <c r="AE71" s="105"/>
      <c r="AF71" s="941" t="s">
        <v>75</v>
      </c>
      <c r="AG71" s="941" t="s">
        <v>75</v>
      </c>
      <c r="AH71" s="941" t="s">
        <v>75</v>
      </c>
      <c r="AI71" s="941" t="s">
        <v>75</v>
      </c>
      <c r="AJ71" s="941" t="s">
        <v>75</v>
      </c>
      <c r="AK71" s="507"/>
      <c r="AL71" s="507"/>
      <c r="AM71" s="1295"/>
    </row>
    <row r="72" spans="1:40" x14ac:dyDescent="0.25">
      <c r="A72" s="103"/>
      <c r="B72" s="229">
        <v>39426</v>
      </c>
      <c r="C72" s="227" t="s">
        <v>64</v>
      </c>
      <c r="D72" s="103" t="s">
        <v>2705</v>
      </c>
      <c r="E72" s="229" t="s">
        <v>1946</v>
      </c>
      <c r="F72" s="103" t="s">
        <v>1947</v>
      </c>
      <c r="G72" s="103" t="s">
        <v>10</v>
      </c>
      <c r="H72" s="118">
        <v>45749</v>
      </c>
      <c r="I72" s="103">
        <v>604</v>
      </c>
      <c r="J72" s="103" t="s">
        <v>58</v>
      </c>
      <c r="K72" s="438"/>
      <c r="L72" s="106"/>
      <c r="M72" s="438"/>
      <c r="N72" s="438"/>
      <c r="O72" s="106"/>
      <c r="P72" s="106"/>
      <c r="Q72" s="105" t="s">
        <v>2701</v>
      </c>
      <c r="R72" s="105" t="s">
        <v>2701</v>
      </c>
      <c r="S72" s="105" t="s">
        <v>2701</v>
      </c>
      <c r="T72" s="105" t="s">
        <v>2701</v>
      </c>
      <c r="U72" s="105" t="s">
        <v>2701</v>
      </c>
      <c r="V72" s="105" t="s">
        <v>2701</v>
      </c>
      <c r="W72" s="105" t="s">
        <v>2701</v>
      </c>
      <c r="X72" s="105"/>
      <c r="Y72" s="105"/>
      <c r="Z72" s="438"/>
      <c r="AA72" s="438"/>
      <c r="AB72" s="105"/>
      <c r="AC72" s="105"/>
      <c r="AD72" s="105"/>
      <c r="AE72" s="105"/>
      <c r="AF72" s="941" t="s">
        <v>75</v>
      </c>
      <c r="AG72" s="941" t="s">
        <v>75</v>
      </c>
      <c r="AH72" s="941" t="s">
        <v>75</v>
      </c>
      <c r="AI72" s="941" t="s">
        <v>75</v>
      </c>
      <c r="AJ72" s="941" t="s">
        <v>75</v>
      </c>
      <c r="AK72" s="507"/>
      <c r="AL72" s="507"/>
      <c r="AM72" s="1295"/>
    </row>
    <row r="73" spans="1:40" x14ac:dyDescent="0.25">
      <c r="A73" s="103"/>
      <c r="B73" s="229">
        <v>39426</v>
      </c>
      <c r="C73" s="227" t="s">
        <v>54</v>
      </c>
      <c r="D73" s="103" t="s">
        <v>2706</v>
      </c>
      <c r="E73" s="229" t="s">
        <v>1946</v>
      </c>
      <c r="F73" s="103" t="s">
        <v>1947</v>
      </c>
      <c r="G73" s="103" t="s">
        <v>10</v>
      </c>
      <c r="H73" s="118">
        <v>45749</v>
      </c>
      <c r="I73" s="103">
        <v>605</v>
      </c>
      <c r="J73" s="103" t="s">
        <v>58</v>
      </c>
      <c r="K73" s="438"/>
      <c r="L73" s="106"/>
      <c r="M73" s="438"/>
      <c r="N73" s="438"/>
      <c r="O73" s="106"/>
      <c r="P73" s="106"/>
      <c r="Q73" s="105" t="s">
        <v>2701</v>
      </c>
      <c r="R73" s="105" t="s">
        <v>2701</v>
      </c>
      <c r="S73" s="105" t="s">
        <v>2701</v>
      </c>
      <c r="T73" s="105" t="s">
        <v>2701</v>
      </c>
      <c r="U73" s="105" t="s">
        <v>2701</v>
      </c>
      <c r="V73" s="105" t="s">
        <v>2701</v>
      </c>
      <c r="W73" s="105" t="s">
        <v>2701</v>
      </c>
      <c r="X73" s="105"/>
      <c r="Y73" s="105"/>
      <c r="Z73" s="438"/>
      <c r="AA73" s="438"/>
      <c r="AB73" s="105"/>
      <c r="AC73" s="105"/>
      <c r="AD73" s="105"/>
      <c r="AE73" s="105"/>
      <c r="AF73" s="941" t="s">
        <v>75</v>
      </c>
      <c r="AG73" s="941" t="s">
        <v>75</v>
      </c>
      <c r="AH73" s="941" t="s">
        <v>75</v>
      </c>
      <c r="AI73" s="941" t="s">
        <v>75</v>
      </c>
      <c r="AJ73" s="941" t="s">
        <v>75</v>
      </c>
      <c r="AK73" s="507"/>
      <c r="AL73" s="507"/>
      <c r="AM73" s="1295"/>
    </row>
    <row r="74" spans="1:40" x14ac:dyDescent="0.25">
      <c r="A74" s="103"/>
      <c r="B74" s="229"/>
      <c r="C74" s="104"/>
      <c r="D74" s="103"/>
      <c r="E74" s="104"/>
      <c r="F74" s="103"/>
      <c r="G74" s="103"/>
      <c r="H74" s="103"/>
      <c r="I74" s="103"/>
      <c r="J74" s="103"/>
      <c r="K74" s="438"/>
      <c r="L74" s="106"/>
      <c r="M74" s="438"/>
      <c r="N74" s="438"/>
      <c r="O74" s="106"/>
      <c r="P74" s="106"/>
      <c r="Q74" s="105"/>
      <c r="R74" s="105"/>
      <c r="S74" s="105"/>
      <c r="T74" s="105"/>
      <c r="U74" s="105"/>
      <c r="V74" s="105"/>
      <c r="W74" s="105"/>
      <c r="X74" s="105"/>
      <c r="Y74" s="105"/>
      <c r="Z74" s="438"/>
      <c r="AA74" s="438"/>
      <c r="AB74" s="105"/>
      <c r="AC74" s="105"/>
      <c r="AD74" s="105"/>
      <c r="AE74" s="105"/>
      <c r="AF74" s="105"/>
      <c r="AG74" s="507"/>
      <c r="AH74" s="507"/>
      <c r="AI74" s="507"/>
      <c r="AJ74" s="507"/>
      <c r="AK74" s="507"/>
      <c r="AL74" s="507"/>
      <c r="AM74" s="1295"/>
      <c r="AN74" s="381"/>
    </row>
    <row r="75" spans="1:40" x14ac:dyDescent="0.25">
      <c r="A75" s="103"/>
      <c r="B75" s="229"/>
      <c r="C75" s="104"/>
      <c r="D75" s="103"/>
      <c r="E75" s="104"/>
      <c r="F75" s="103"/>
      <c r="G75" s="103"/>
      <c r="H75" s="103"/>
      <c r="I75" s="103"/>
      <c r="J75" s="103"/>
      <c r="K75" s="438"/>
      <c r="L75" s="106"/>
      <c r="M75" s="438"/>
      <c r="N75" s="438"/>
      <c r="O75" s="106"/>
      <c r="P75" s="106"/>
      <c r="Q75" s="105"/>
      <c r="R75" s="105"/>
      <c r="S75" s="105"/>
      <c r="T75" s="105"/>
      <c r="U75" s="105"/>
      <c r="V75" s="105"/>
      <c r="W75" s="105"/>
      <c r="X75" s="105"/>
      <c r="Y75" s="105"/>
      <c r="Z75" s="438"/>
      <c r="AA75" s="438"/>
      <c r="AB75" s="105"/>
      <c r="AC75" s="105"/>
      <c r="AD75" s="105"/>
      <c r="AE75" s="105"/>
      <c r="AF75" s="105"/>
      <c r="AG75" s="507"/>
      <c r="AH75" s="507"/>
      <c r="AI75" s="507"/>
      <c r="AJ75" s="507"/>
      <c r="AK75" s="507"/>
      <c r="AL75" s="507"/>
      <c r="AM75" s="1295"/>
      <c r="AN75" s="381"/>
    </row>
    <row r="76" spans="1:40" x14ac:dyDescent="0.25">
      <c r="A76" s="103"/>
      <c r="B76" s="229"/>
      <c r="C76" s="104"/>
      <c r="D76" s="103"/>
      <c r="E76" s="104"/>
      <c r="F76" s="103"/>
      <c r="G76" s="103"/>
      <c r="H76" s="103"/>
      <c r="I76" s="103"/>
      <c r="J76" s="103"/>
      <c r="K76" s="438"/>
      <c r="L76" s="106"/>
      <c r="M76" s="438"/>
      <c r="N76" s="438"/>
      <c r="O76" s="106"/>
      <c r="P76" s="106"/>
      <c r="Q76" s="105"/>
      <c r="R76" s="105"/>
      <c r="S76" s="105"/>
      <c r="T76" s="105"/>
      <c r="U76" s="105"/>
      <c r="V76" s="105"/>
      <c r="W76" s="105"/>
      <c r="X76" s="105"/>
      <c r="Y76" s="105"/>
      <c r="Z76" s="438"/>
      <c r="AA76" s="438"/>
      <c r="AB76" s="105"/>
      <c r="AC76" s="105"/>
      <c r="AD76" s="105"/>
      <c r="AE76" s="105"/>
      <c r="AF76" s="105"/>
      <c r="AG76" s="507"/>
      <c r="AH76" s="507"/>
      <c r="AI76" s="507"/>
      <c r="AJ76" s="507"/>
      <c r="AK76" s="507"/>
      <c r="AL76" s="507"/>
      <c r="AM76" s="1295"/>
    </row>
    <row r="77" spans="1:40" x14ac:dyDescent="0.25">
      <c r="A77" s="103"/>
      <c r="B77" s="229"/>
      <c r="C77" s="104"/>
      <c r="D77" s="103"/>
      <c r="E77" s="104"/>
      <c r="F77" s="103"/>
      <c r="G77" s="103"/>
      <c r="H77" s="103"/>
      <c r="I77" s="103"/>
      <c r="J77" s="103"/>
      <c r="K77" s="438"/>
      <c r="L77" s="106"/>
      <c r="M77" s="438"/>
      <c r="N77" s="438"/>
      <c r="O77" s="106"/>
      <c r="P77" s="106"/>
      <c r="Q77" s="105"/>
      <c r="R77" s="105"/>
      <c r="S77" s="105"/>
      <c r="T77" s="105"/>
      <c r="U77" s="105"/>
      <c r="V77" s="105"/>
      <c r="W77" s="105"/>
      <c r="X77" s="105"/>
      <c r="Y77" s="105"/>
      <c r="Z77" s="438"/>
      <c r="AA77" s="438"/>
      <c r="AB77" s="105"/>
      <c r="AC77" s="105"/>
      <c r="AD77" s="105"/>
      <c r="AE77" s="105"/>
      <c r="AF77" s="105"/>
      <c r="AG77" s="507"/>
      <c r="AH77" s="507"/>
      <c r="AI77" s="507"/>
      <c r="AJ77" s="507"/>
      <c r="AK77" s="507"/>
      <c r="AL77" s="507"/>
      <c r="AM77" s="1295"/>
    </row>
    <row r="78" spans="1:40" x14ac:dyDescent="0.25">
      <c r="A78" s="103"/>
      <c r="B78" s="229"/>
      <c r="C78" s="104"/>
      <c r="D78" s="103"/>
      <c r="E78" s="104"/>
      <c r="F78" s="103"/>
      <c r="G78" s="103"/>
      <c r="H78" s="103"/>
      <c r="I78" s="103"/>
      <c r="J78" s="103"/>
      <c r="K78" s="438"/>
      <c r="L78" s="106"/>
      <c r="M78" s="438"/>
      <c r="N78" s="438"/>
      <c r="O78" s="106"/>
      <c r="P78" s="106"/>
      <c r="Q78" s="105"/>
      <c r="R78" s="105"/>
      <c r="S78" s="105"/>
      <c r="T78" s="105"/>
      <c r="U78" s="105"/>
      <c r="V78" s="105"/>
      <c r="W78" s="105"/>
      <c r="X78" s="105"/>
      <c r="Y78" s="105"/>
      <c r="Z78" s="438"/>
      <c r="AA78" s="438"/>
      <c r="AB78" s="105"/>
      <c r="AC78" s="105"/>
      <c r="AD78" s="105"/>
      <c r="AE78" s="105"/>
      <c r="AF78" s="105"/>
      <c r="AG78" s="507"/>
      <c r="AH78" s="507"/>
      <c r="AI78" s="507"/>
      <c r="AJ78" s="507"/>
      <c r="AK78" s="507"/>
      <c r="AL78" s="507"/>
      <c r="AM78" s="1295"/>
      <c r="AN78" s="381"/>
    </row>
    <row r="79" spans="1:40" x14ac:dyDescent="0.25">
      <c r="A79" s="103"/>
      <c r="B79" s="104"/>
      <c r="C79" s="104"/>
      <c r="D79" s="103"/>
      <c r="E79" s="104"/>
      <c r="F79" s="103"/>
      <c r="G79" s="103"/>
      <c r="H79" s="103"/>
      <c r="I79" s="103"/>
      <c r="J79" s="103"/>
      <c r="K79" s="438"/>
      <c r="L79" s="106"/>
      <c r="M79" s="438"/>
      <c r="N79" s="438"/>
      <c r="O79" s="106"/>
      <c r="P79" s="106"/>
      <c r="Q79" s="105"/>
      <c r="R79" s="105"/>
      <c r="S79" s="105"/>
      <c r="T79" s="105"/>
      <c r="U79" s="105"/>
      <c r="V79" s="105"/>
      <c r="W79" s="105"/>
      <c r="X79" s="105"/>
      <c r="Y79" s="105"/>
      <c r="Z79" s="438"/>
      <c r="AA79" s="438"/>
      <c r="AB79" s="105"/>
      <c r="AC79" s="105"/>
      <c r="AD79" s="105"/>
      <c r="AE79" s="105"/>
      <c r="AF79" s="105"/>
      <c r="AG79" s="507"/>
      <c r="AH79" s="507"/>
      <c r="AI79" s="507"/>
      <c r="AJ79" s="507"/>
      <c r="AK79" s="507"/>
      <c r="AL79" s="507"/>
      <c r="AM79" s="1295"/>
    </row>
    <row r="80" spans="1:40" x14ac:dyDescent="0.25">
      <c r="AE80" s="241"/>
      <c r="AF80" s="241"/>
      <c r="AG80" s="649"/>
      <c r="AH80" s="649"/>
      <c r="AI80" s="649"/>
      <c r="AJ80" s="649"/>
      <c r="AK80" s="649"/>
      <c r="AL80" s="649"/>
      <c r="AM80" s="1174"/>
      <c r="AN80" s="381"/>
    </row>
    <row r="84" spans="40:40" x14ac:dyDescent="0.25">
      <c r="AN84" s="381"/>
    </row>
    <row r="85" spans="40:40" x14ac:dyDescent="0.25">
      <c r="AN85" s="381"/>
    </row>
    <row r="94" spans="40:40" x14ac:dyDescent="0.25">
      <c r="AN94" s="381"/>
    </row>
    <row r="96" spans="40:40" x14ac:dyDescent="0.25">
      <c r="AN96" s="381"/>
    </row>
    <row r="100" spans="40:40" x14ac:dyDescent="0.25">
      <c r="AN100" s="381"/>
    </row>
    <row r="101" spans="40:40" x14ac:dyDescent="0.25">
      <c r="AN101" s="381"/>
    </row>
    <row r="110" spans="40:40" x14ac:dyDescent="0.25">
      <c r="AN110" s="381"/>
    </row>
    <row r="111" spans="40:40" x14ac:dyDescent="0.25">
      <c r="AN111" s="381"/>
    </row>
    <row r="112" spans="40:40" x14ac:dyDescent="0.25">
      <c r="AN112" s="381"/>
    </row>
    <row r="113" spans="40:40" x14ac:dyDescent="0.25">
      <c r="AN113" s="381"/>
    </row>
    <row r="114" spans="40:40" x14ac:dyDescent="0.25">
      <c r="AN114" s="381"/>
    </row>
    <row r="116" spans="40:40" x14ac:dyDescent="0.25">
      <c r="AN116" s="381"/>
    </row>
    <row r="142" spans="40:40" x14ac:dyDescent="0.25">
      <c r="AN142" s="381"/>
    </row>
    <row r="144" spans="40:40" x14ac:dyDescent="0.25">
      <c r="AN144" s="381"/>
    </row>
    <row r="146" spans="40:40" x14ac:dyDescent="0.25">
      <c r="AN146" s="381"/>
    </row>
    <row r="148" spans="40:40" x14ac:dyDescent="0.25">
      <c r="AN148" s="381"/>
    </row>
    <row r="150" spans="40:40" x14ac:dyDescent="0.25">
      <c r="AN150" s="381"/>
    </row>
    <row r="152" spans="40:40" x14ac:dyDescent="0.25">
      <c r="AN152" s="381"/>
    </row>
    <row r="166" spans="2:40" x14ac:dyDescent="0.25">
      <c r="AN166" s="381"/>
    </row>
    <row r="168" spans="2:40" x14ac:dyDescent="0.25">
      <c r="AN168" s="381"/>
    </row>
    <row r="170" spans="2:40" x14ac:dyDescent="0.25">
      <c r="AN170" s="381"/>
    </row>
    <row r="172" spans="2:40" x14ac:dyDescent="0.25">
      <c r="AN172" s="381"/>
    </row>
    <row r="196" spans="40:40" x14ac:dyDescent="0.25">
      <c r="AN196" s="381"/>
    </row>
    <row r="197" spans="40:40" x14ac:dyDescent="0.25">
      <c r="AN197" s="381"/>
    </row>
    <row r="200" spans="40:40" x14ac:dyDescent="0.25">
      <c r="AN200" s="381"/>
    </row>
    <row r="201" spans="40:40" x14ac:dyDescent="0.25">
      <c r="AN201" s="381"/>
    </row>
    <row r="206" spans="40:40" x14ac:dyDescent="0.25">
      <c r="AN206" s="381"/>
    </row>
    <row r="207" spans="40:40" x14ac:dyDescent="0.25">
      <c r="AN207" s="381"/>
    </row>
    <row r="208" spans="40:40" x14ac:dyDescent="0.25">
      <c r="AN208" s="381"/>
    </row>
    <row r="209" spans="2:40" x14ac:dyDescent="0.25">
      <c r="AN209" s="381"/>
    </row>
    <row r="214" spans="2:40" x14ac:dyDescent="0.25"/>
    <row r="254" spans="2:2" x14ac:dyDescent="0.25"/>
    <row r="256" spans="2:2" x14ac:dyDescent="0.25"/>
    <row r="472" spans="14:14" x14ac:dyDescent="0.25"/>
    <row r="933" spans="2:2" x14ac:dyDescent="0.25"/>
    <row r="937" spans="2:2" x14ac:dyDescent="0.25"/>
    <row r="939" spans="2:2" x14ac:dyDescent="0.25"/>
    <row r="1059" spans="2:2" x14ac:dyDescent="0.25"/>
    <row r="1144" spans="2:2" x14ac:dyDescent="0.25"/>
    <row r="1146" spans="2:2" x14ac:dyDescent="0.25"/>
    <row r="1148" spans="2:2" x14ac:dyDescent="0.25"/>
  </sheetData>
  <autoFilter ref="A1:AN67" xr:uid="{24D85283-9F0E-4F3B-91F2-9BA9C5292A9B}"/>
  <conditionalFormatting sqref="B2:B39">
    <cfRule type="duplicateValues" dxfId="506" priority="206"/>
  </conditionalFormatting>
  <conditionalFormatting sqref="B62:B71">
    <cfRule type="duplicateValues" dxfId="505" priority="205"/>
  </conditionalFormatting>
  <conditionalFormatting sqref="B67">
    <cfRule type="duplicateValues" dxfId="504" priority="204"/>
  </conditionalFormatting>
  <conditionalFormatting sqref="B72:B76 B82:B100 B102:B172">
    <cfRule type="duplicateValues" dxfId="503" priority="203"/>
  </conditionalFormatting>
  <conditionalFormatting sqref="B77:B81">
    <cfRule type="duplicateValues" dxfId="502" priority="202"/>
  </conditionalFormatting>
  <conditionalFormatting sqref="B101">
    <cfRule type="duplicateValues" dxfId="501" priority="198"/>
  </conditionalFormatting>
  <conditionalFormatting sqref="B173:B195">
    <cfRule type="duplicateValues" dxfId="500" priority="200"/>
  </conditionalFormatting>
  <conditionalFormatting sqref="B196:B221 B223:B267 B269:B287 B290:B339">
    <cfRule type="duplicateValues" dxfId="499" priority="208"/>
  </conditionalFormatting>
  <conditionalFormatting sqref="B223:B287 B290:B420 B2:B39 B62:B221">
    <cfRule type="duplicateValues" dxfId="498" priority="209"/>
  </conditionalFormatting>
  <conditionalFormatting sqref="B268">
    <cfRule type="duplicateValues" dxfId="497" priority="197"/>
  </conditionalFormatting>
  <conditionalFormatting sqref="B288">
    <cfRule type="duplicateValues" dxfId="496" priority="181"/>
  </conditionalFormatting>
  <conditionalFormatting sqref="B340:B399">
    <cfRule type="duplicateValues" dxfId="495" priority="207"/>
  </conditionalFormatting>
  <conditionalFormatting sqref="B738:B764 B766:B775 B778:B795 B803:B845">
    <cfRule type="duplicateValues" dxfId="494" priority="194"/>
  </conditionalFormatting>
  <conditionalFormatting sqref="B738:B775 B778:B795 B803:B866 B869:B884 B887:B934 B939:B972 B974:B975 B982 B984:B987 B990:B993 B999 B1003 B1005:B1008">
    <cfRule type="duplicateValues" dxfId="493" priority="196"/>
  </conditionalFormatting>
  <conditionalFormatting sqref="B765">
    <cfRule type="duplicateValues" dxfId="492" priority="193"/>
  </conditionalFormatting>
  <conditionalFormatting sqref="B776:B777">
    <cfRule type="duplicateValues" dxfId="491" priority="192"/>
    <cfRule type="duplicateValues" dxfId="490" priority="191"/>
  </conditionalFormatting>
  <conditionalFormatting sqref="B796:B802">
    <cfRule type="duplicateValues" dxfId="489" priority="140"/>
    <cfRule type="duplicateValues" dxfId="488" priority="139"/>
  </conditionalFormatting>
  <conditionalFormatting sqref="B846:B866 B869:B884 B887:B923">
    <cfRule type="duplicateValues" dxfId="487" priority="195"/>
  </conditionalFormatting>
  <conditionalFormatting sqref="B867:B868">
    <cfRule type="duplicateValues" dxfId="486" priority="190"/>
    <cfRule type="duplicateValues" dxfId="485" priority="189"/>
  </conditionalFormatting>
  <conditionalFormatting sqref="B885:B886">
    <cfRule type="duplicateValues" dxfId="484" priority="187"/>
    <cfRule type="duplicateValues" dxfId="483" priority="188"/>
  </conditionalFormatting>
  <conditionalFormatting sqref="B935:B936">
    <cfRule type="duplicateValues" dxfId="482" priority="185"/>
  </conditionalFormatting>
  <conditionalFormatting sqref="B937:B938">
    <cfRule type="duplicateValues" dxfId="481" priority="186"/>
  </conditionalFormatting>
  <conditionalFormatting sqref="B973">
    <cfRule type="duplicateValues" dxfId="480" priority="148"/>
  </conditionalFormatting>
  <conditionalFormatting sqref="B976">
    <cfRule type="duplicateValues" dxfId="479" priority="149"/>
  </conditionalFormatting>
  <conditionalFormatting sqref="B977">
    <cfRule type="duplicateValues" dxfId="478" priority="160"/>
    <cfRule type="duplicateValues" dxfId="477" priority="164"/>
    <cfRule type="duplicateValues" dxfId="476" priority="163"/>
    <cfRule type="duplicateValues" dxfId="475" priority="162"/>
    <cfRule type="duplicateValues" dxfId="474" priority="161"/>
  </conditionalFormatting>
  <conditionalFormatting sqref="B978">
    <cfRule type="duplicateValues" dxfId="473" priority="154"/>
  </conditionalFormatting>
  <conditionalFormatting sqref="B979">
    <cfRule type="duplicateValues" dxfId="472" priority="155"/>
    <cfRule type="duplicateValues" dxfId="471" priority="159"/>
    <cfRule type="duplicateValues" dxfId="470" priority="158"/>
    <cfRule type="duplicateValues" dxfId="469" priority="157"/>
    <cfRule type="duplicateValues" dxfId="468" priority="156"/>
  </conditionalFormatting>
  <conditionalFormatting sqref="B980">
    <cfRule type="duplicateValues" dxfId="467" priority="153"/>
  </conditionalFormatting>
  <conditionalFormatting sqref="B981">
    <cfRule type="duplicateValues" dxfId="466" priority="152"/>
  </conditionalFormatting>
  <conditionalFormatting sqref="B983">
    <cfRule type="duplicateValues" dxfId="465" priority="151"/>
  </conditionalFormatting>
  <conditionalFormatting sqref="B988">
    <cfRule type="duplicateValues" dxfId="464" priority="184"/>
  </conditionalFormatting>
  <conditionalFormatting sqref="B989">
    <cfRule type="duplicateValues" dxfId="463" priority="174"/>
  </conditionalFormatting>
  <conditionalFormatting sqref="B994">
    <cfRule type="duplicateValues" dxfId="462" priority="182"/>
  </conditionalFormatting>
  <conditionalFormatting sqref="B995:B996">
    <cfRule type="duplicateValues" dxfId="461" priority="183"/>
  </conditionalFormatting>
  <conditionalFormatting sqref="B997">
    <cfRule type="duplicateValues" dxfId="460" priority="116"/>
  </conditionalFormatting>
  <conditionalFormatting sqref="B998">
    <cfRule type="duplicateValues" dxfId="459" priority="115"/>
    <cfRule type="duplicateValues" dxfId="458" priority="107"/>
    <cfRule type="duplicateValues" dxfId="457" priority="108"/>
    <cfRule type="duplicateValues" dxfId="456" priority="109"/>
    <cfRule type="duplicateValues" dxfId="455" priority="110"/>
    <cfRule type="duplicateValues" dxfId="454" priority="112"/>
    <cfRule type="duplicateValues" dxfId="453" priority="111"/>
    <cfRule type="duplicateValues" dxfId="452" priority="114"/>
    <cfRule type="duplicateValues" dxfId="451" priority="113"/>
  </conditionalFormatting>
  <conditionalFormatting sqref="B1000">
    <cfRule type="duplicateValues" dxfId="450" priority="105"/>
    <cfRule type="duplicateValues" dxfId="449" priority="104"/>
    <cfRule type="duplicateValues" dxfId="448" priority="103"/>
    <cfRule type="duplicateValues" dxfId="447" priority="106"/>
    <cfRule type="duplicateValues" dxfId="446" priority="102"/>
    <cfRule type="duplicateValues" dxfId="445" priority="101"/>
    <cfRule type="duplicateValues" dxfId="444" priority="100"/>
    <cfRule type="duplicateValues" dxfId="443" priority="99"/>
    <cfRule type="duplicateValues" dxfId="442" priority="98"/>
  </conditionalFormatting>
  <conditionalFormatting sqref="B1001">
    <cfRule type="duplicateValues" dxfId="441" priority="97"/>
  </conditionalFormatting>
  <conditionalFormatting sqref="B1002">
    <cfRule type="duplicateValues" dxfId="440" priority="96"/>
  </conditionalFormatting>
  <conditionalFormatting sqref="B1004">
    <cfRule type="duplicateValues" dxfId="439" priority="91"/>
    <cfRule type="duplicateValues" dxfId="438" priority="89"/>
    <cfRule type="duplicateValues" dxfId="437" priority="94"/>
    <cfRule type="duplicateValues" dxfId="436" priority="93"/>
    <cfRule type="duplicateValues" dxfId="435" priority="92"/>
    <cfRule type="duplicateValues" dxfId="434" priority="90"/>
    <cfRule type="duplicateValues" dxfId="433" priority="88"/>
  </conditionalFormatting>
  <conditionalFormatting sqref="B1009">
    <cfRule type="duplicateValues" dxfId="432" priority="87"/>
  </conditionalFormatting>
  <conditionalFormatting sqref="B1010">
    <cfRule type="duplicateValues" dxfId="431" priority="86"/>
  </conditionalFormatting>
  <conditionalFormatting sqref="B1011">
    <cfRule type="duplicateValues" dxfId="430" priority="95"/>
  </conditionalFormatting>
  <conditionalFormatting sqref="B1012">
    <cfRule type="duplicateValues" dxfId="429" priority="85"/>
  </conditionalFormatting>
  <conditionalFormatting sqref="B1013">
    <cfRule type="duplicateValues" dxfId="428" priority="81"/>
    <cfRule type="duplicateValues" dxfId="427" priority="84"/>
    <cfRule type="duplicateValues" dxfId="426" priority="80"/>
    <cfRule type="duplicateValues" dxfId="425" priority="82"/>
    <cfRule type="duplicateValues" dxfId="424" priority="83"/>
  </conditionalFormatting>
  <conditionalFormatting sqref="B1014">
    <cfRule type="duplicateValues" dxfId="423" priority="79"/>
    <cfRule type="duplicateValues" dxfId="422" priority="78"/>
    <cfRule type="duplicateValues" dxfId="421" priority="77"/>
    <cfRule type="duplicateValues" dxfId="420" priority="76"/>
    <cfRule type="duplicateValues" dxfId="419" priority="75"/>
  </conditionalFormatting>
  <conditionalFormatting sqref="B1015">
    <cfRule type="duplicateValues" dxfId="418" priority="74"/>
  </conditionalFormatting>
  <conditionalFormatting sqref="B1016">
    <cfRule type="duplicateValues" dxfId="417" priority="73"/>
  </conditionalFormatting>
  <conditionalFormatting sqref="B1022">
    <cfRule type="duplicateValues" dxfId="416" priority="150"/>
  </conditionalFormatting>
  <conditionalFormatting sqref="B1023">
    <cfRule type="duplicateValues" dxfId="415" priority="72"/>
  </conditionalFormatting>
  <conditionalFormatting sqref="B1024">
    <cfRule type="duplicateValues" dxfId="414" priority="70"/>
  </conditionalFormatting>
  <conditionalFormatting sqref="B1025">
    <cfRule type="duplicateValues" dxfId="413" priority="69"/>
  </conditionalFormatting>
  <conditionalFormatting sqref="B1026">
    <cfRule type="duplicateValues" dxfId="412" priority="67"/>
  </conditionalFormatting>
  <conditionalFormatting sqref="B1029">
    <cfRule type="duplicateValues" dxfId="411" priority="65"/>
  </conditionalFormatting>
  <conditionalFormatting sqref="B1030">
    <cfRule type="duplicateValues" dxfId="410" priority="63"/>
  </conditionalFormatting>
  <conditionalFormatting sqref="B1031:B1032">
    <cfRule type="duplicateValues" dxfId="409" priority="62"/>
  </conditionalFormatting>
  <conditionalFormatting sqref="B1033">
    <cfRule type="duplicateValues" dxfId="408" priority="60"/>
  </conditionalFormatting>
  <conditionalFormatting sqref="B1034">
    <cfRule type="duplicateValues" dxfId="407" priority="58"/>
  </conditionalFormatting>
  <conditionalFormatting sqref="B1035">
    <cfRule type="duplicateValues" dxfId="406" priority="56"/>
  </conditionalFormatting>
  <conditionalFormatting sqref="B1036">
    <cfRule type="duplicateValues" dxfId="405" priority="54"/>
  </conditionalFormatting>
  <conditionalFormatting sqref="B1037">
    <cfRule type="duplicateValues" dxfId="404" priority="52"/>
  </conditionalFormatting>
  <conditionalFormatting sqref="B1038">
    <cfRule type="duplicateValues" dxfId="403" priority="141"/>
  </conditionalFormatting>
  <conditionalFormatting sqref="B1039">
    <cfRule type="duplicateValues" dxfId="402" priority="50"/>
  </conditionalFormatting>
  <conditionalFormatting sqref="B1040">
    <cfRule type="duplicateValues" dxfId="401" priority="48"/>
  </conditionalFormatting>
  <conditionalFormatting sqref="B1042 B1044 B1148:B1149 B1086:C1101 B1130:C1131 B1150:C1150 B1153:C1048576 C1038 C1042:C1045 C1049:C1055 C1069 C1080:C1085">
    <cfRule type="duplicateValues" dxfId="400" priority="362"/>
  </conditionalFormatting>
  <conditionalFormatting sqref="B1049">
    <cfRule type="duplicateValues" dxfId="399" priority="46"/>
  </conditionalFormatting>
  <conditionalFormatting sqref="B1050">
    <cfRule type="duplicateValues" dxfId="398" priority="45"/>
  </conditionalFormatting>
  <conditionalFormatting sqref="B1051">
    <cfRule type="duplicateValues" dxfId="397" priority="170"/>
    <cfRule type="duplicateValues" dxfId="396" priority="165"/>
    <cfRule type="duplicateValues" dxfId="395" priority="166"/>
    <cfRule type="duplicateValues" dxfId="394" priority="167"/>
    <cfRule type="duplicateValues" dxfId="393" priority="168"/>
    <cfRule type="duplicateValues" dxfId="392" priority="169"/>
    <cfRule type="duplicateValues" dxfId="391" priority="171"/>
    <cfRule type="duplicateValues" dxfId="390" priority="172"/>
    <cfRule type="duplicateValues" dxfId="389" priority="173"/>
  </conditionalFormatting>
  <conditionalFormatting sqref="B1052">
    <cfRule type="duplicateValues" dxfId="388" priority="147"/>
  </conditionalFormatting>
  <conditionalFormatting sqref="B1053">
    <cfRule type="duplicateValues" dxfId="387" priority="44"/>
  </conditionalFormatting>
  <conditionalFormatting sqref="B1054">
    <cfRule type="duplicateValues" dxfId="386" priority="43"/>
  </conditionalFormatting>
  <conditionalFormatting sqref="B1055">
    <cfRule type="duplicateValues" dxfId="385" priority="42"/>
  </conditionalFormatting>
  <conditionalFormatting sqref="B1056">
    <cfRule type="duplicateValues" dxfId="384" priority="176"/>
  </conditionalFormatting>
  <conditionalFormatting sqref="B1057">
    <cfRule type="duplicateValues" dxfId="383" priority="41"/>
    <cfRule type="duplicateValues" dxfId="382" priority="40"/>
  </conditionalFormatting>
  <conditionalFormatting sqref="B1058">
    <cfRule type="duplicateValues" dxfId="381" priority="37"/>
    <cfRule type="duplicateValues" dxfId="380" priority="36"/>
  </conditionalFormatting>
  <conditionalFormatting sqref="B1059">
    <cfRule type="duplicateValues" dxfId="379" priority="29"/>
    <cfRule type="duplicateValues" dxfId="378" priority="31"/>
    <cfRule type="duplicateValues" dxfId="377" priority="32"/>
    <cfRule type="duplicateValues" dxfId="376" priority="33"/>
    <cfRule type="duplicateValues" dxfId="375" priority="34"/>
    <cfRule type="duplicateValues" dxfId="374" priority="35"/>
    <cfRule type="duplicateValues" dxfId="373" priority="30"/>
  </conditionalFormatting>
  <conditionalFormatting sqref="B1060">
    <cfRule type="duplicateValues" dxfId="372" priority="127"/>
  </conditionalFormatting>
  <conditionalFormatting sqref="B1061">
    <cfRule type="duplicateValues" dxfId="371" priority="128"/>
  </conditionalFormatting>
  <conditionalFormatting sqref="B1062">
    <cfRule type="duplicateValues" dxfId="370" priority="27"/>
  </conditionalFormatting>
  <conditionalFormatting sqref="B1063">
    <cfRule type="duplicateValues" dxfId="369" priority="25"/>
  </conditionalFormatting>
  <conditionalFormatting sqref="B1064">
    <cfRule type="duplicateValues" dxfId="368" priority="129"/>
  </conditionalFormatting>
  <conditionalFormatting sqref="B1065">
    <cfRule type="duplicateValues" dxfId="367" priority="130"/>
  </conditionalFormatting>
  <conditionalFormatting sqref="B1066">
    <cfRule type="duplicateValues" dxfId="366" priority="23"/>
  </conditionalFormatting>
  <conditionalFormatting sqref="B1067">
    <cfRule type="duplicateValues" dxfId="365" priority="21"/>
  </conditionalFormatting>
  <conditionalFormatting sqref="B1068">
    <cfRule type="duplicateValues" dxfId="364" priority="19"/>
  </conditionalFormatting>
  <conditionalFormatting sqref="B1069 B1080">
    <cfRule type="duplicateValues" dxfId="363" priority="144"/>
  </conditionalFormatting>
  <conditionalFormatting sqref="B1070">
    <cfRule type="duplicateValues" dxfId="362" priority="121"/>
  </conditionalFormatting>
  <conditionalFormatting sqref="B1071">
    <cfRule type="duplicateValues" dxfId="361" priority="122"/>
  </conditionalFormatting>
  <conditionalFormatting sqref="B1072">
    <cfRule type="duplicateValues" dxfId="360" priority="117"/>
  </conditionalFormatting>
  <conditionalFormatting sqref="B1073">
    <cfRule type="duplicateValues" dxfId="359" priority="123"/>
  </conditionalFormatting>
  <conditionalFormatting sqref="B1074">
    <cfRule type="duplicateValues" dxfId="358" priority="124"/>
  </conditionalFormatting>
  <conditionalFormatting sqref="B1075">
    <cfRule type="duplicateValues" dxfId="357" priority="17"/>
  </conditionalFormatting>
  <conditionalFormatting sqref="B1076">
    <cfRule type="duplicateValues" dxfId="356" priority="125"/>
  </conditionalFormatting>
  <conditionalFormatting sqref="B1077:B1078">
    <cfRule type="duplicateValues" dxfId="355" priority="120"/>
  </conditionalFormatting>
  <conditionalFormatting sqref="B1079">
    <cfRule type="duplicateValues" dxfId="354" priority="126"/>
  </conditionalFormatting>
  <conditionalFormatting sqref="B1081:B1082">
    <cfRule type="duplicateValues" dxfId="353" priority="143"/>
  </conditionalFormatting>
  <conditionalFormatting sqref="B1083">
    <cfRule type="duplicateValues" dxfId="352" priority="146"/>
  </conditionalFormatting>
  <conditionalFormatting sqref="B1084">
    <cfRule type="duplicateValues" dxfId="351" priority="145"/>
  </conditionalFormatting>
  <conditionalFormatting sqref="B1151:B1152 F1152">
    <cfRule type="duplicateValues" dxfId="350" priority="5"/>
    <cfRule type="duplicateValues" dxfId="349" priority="4"/>
  </conditionalFormatting>
  <conditionalFormatting sqref="B1017:C1021 C1022:C1023 C1029">
    <cfRule type="duplicateValues" dxfId="348" priority="372"/>
  </conditionalFormatting>
  <conditionalFormatting sqref="B1027:C1027">
    <cfRule type="duplicateValues" dxfId="347" priority="137"/>
  </conditionalFormatting>
  <conditionalFormatting sqref="B1028:C1028">
    <cfRule type="duplicateValues" dxfId="346" priority="138"/>
  </conditionalFormatting>
  <conditionalFormatting sqref="B1041:C1041">
    <cfRule type="duplicateValues" dxfId="345" priority="119"/>
  </conditionalFormatting>
  <conditionalFormatting sqref="B1132:C1133">
    <cfRule type="duplicateValues" dxfId="344" priority="16"/>
  </conditionalFormatting>
  <conditionalFormatting sqref="B1134:C1135">
    <cfRule type="duplicateValues" dxfId="343" priority="15"/>
  </conditionalFormatting>
  <conditionalFormatting sqref="B1136:C1137">
    <cfRule type="duplicateValues" dxfId="342" priority="14"/>
  </conditionalFormatting>
  <conditionalFormatting sqref="B1138:C1139">
    <cfRule type="duplicateValues" dxfId="341" priority="13"/>
  </conditionalFormatting>
  <conditionalFormatting sqref="B1140:C1141">
    <cfRule type="duplicateValues" dxfId="340" priority="12"/>
  </conditionalFormatting>
  <conditionalFormatting sqref="B1142:C1143">
    <cfRule type="duplicateValues" dxfId="339" priority="11"/>
  </conditionalFormatting>
  <conditionalFormatting sqref="B1144:C1145">
    <cfRule type="duplicateValues" dxfId="338" priority="10"/>
  </conditionalFormatting>
  <conditionalFormatting sqref="B1146:C1147">
    <cfRule type="duplicateValues" dxfId="337" priority="9"/>
  </conditionalFormatting>
  <conditionalFormatting sqref="C288">
    <cfRule type="duplicateValues" dxfId="336" priority="180"/>
  </conditionalFormatting>
  <conditionalFormatting sqref="C289">
    <cfRule type="duplicateValues" dxfId="335" priority="179"/>
  </conditionalFormatting>
  <conditionalFormatting sqref="C1024">
    <cfRule type="duplicateValues" dxfId="334" priority="71"/>
  </conditionalFormatting>
  <conditionalFormatting sqref="C1025">
    <cfRule type="duplicateValues" dxfId="333" priority="68"/>
  </conditionalFormatting>
  <conditionalFormatting sqref="C1026">
    <cfRule type="duplicateValues" dxfId="332" priority="66"/>
  </conditionalFormatting>
  <conditionalFormatting sqref="C1030">
    <cfRule type="duplicateValues" dxfId="331" priority="64"/>
  </conditionalFormatting>
  <conditionalFormatting sqref="C1031:C1032">
    <cfRule type="duplicateValues" dxfId="330" priority="61"/>
  </conditionalFormatting>
  <conditionalFormatting sqref="C1033">
    <cfRule type="duplicateValues" dxfId="329" priority="59"/>
  </conditionalFormatting>
  <conditionalFormatting sqref="C1034">
    <cfRule type="duplicateValues" dxfId="328" priority="57"/>
  </conditionalFormatting>
  <conditionalFormatting sqref="C1035">
    <cfRule type="duplicateValues" dxfId="327" priority="55"/>
  </conditionalFormatting>
  <conditionalFormatting sqref="C1036">
    <cfRule type="duplicateValues" dxfId="326" priority="53"/>
  </conditionalFormatting>
  <conditionalFormatting sqref="C1037">
    <cfRule type="duplicateValues" dxfId="325" priority="51"/>
  </conditionalFormatting>
  <conditionalFormatting sqref="C1039">
    <cfRule type="duplicateValues" dxfId="324" priority="49"/>
  </conditionalFormatting>
  <conditionalFormatting sqref="C1040">
    <cfRule type="duplicateValues" dxfId="323" priority="47"/>
  </conditionalFormatting>
  <conditionalFormatting sqref="C1046">
    <cfRule type="duplicateValues" dxfId="322" priority="131"/>
  </conditionalFormatting>
  <conditionalFormatting sqref="C1047">
    <cfRule type="duplicateValues" dxfId="321" priority="132"/>
  </conditionalFormatting>
  <conditionalFormatting sqref="C1048">
    <cfRule type="duplicateValues" dxfId="320" priority="133"/>
  </conditionalFormatting>
  <conditionalFormatting sqref="C1057">
    <cfRule type="duplicateValues" dxfId="319" priority="39"/>
  </conditionalFormatting>
  <conditionalFormatting sqref="C1058">
    <cfRule type="duplicateValues" dxfId="318" priority="38"/>
  </conditionalFormatting>
  <conditionalFormatting sqref="C1059">
    <cfRule type="duplicateValues" dxfId="317" priority="28"/>
  </conditionalFormatting>
  <conditionalFormatting sqref="C1062">
    <cfRule type="duplicateValues" dxfId="316" priority="26"/>
  </conditionalFormatting>
  <conditionalFormatting sqref="C1063">
    <cfRule type="duplicateValues" dxfId="315" priority="24"/>
  </conditionalFormatting>
  <conditionalFormatting sqref="C1066">
    <cfRule type="duplicateValues" dxfId="314" priority="22"/>
  </conditionalFormatting>
  <conditionalFormatting sqref="C1067">
    <cfRule type="duplicateValues" dxfId="313" priority="20"/>
  </conditionalFormatting>
  <conditionalFormatting sqref="C1068">
    <cfRule type="duplicateValues" dxfId="312" priority="18"/>
  </conditionalFormatting>
  <conditionalFormatting sqref="C1148:C1149">
    <cfRule type="duplicateValues" dxfId="311" priority="8"/>
  </conditionalFormatting>
  <conditionalFormatting sqref="D2:D3">
    <cfRule type="duplicateValues" dxfId="310" priority="296"/>
  </conditionalFormatting>
  <conditionalFormatting sqref="D4:D5">
    <cfRule type="duplicateValues" dxfId="309" priority="295"/>
  </conditionalFormatting>
  <conditionalFormatting sqref="D6:D7">
    <cfRule type="duplicateValues" dxfId="308" priority="294"/>
  </conditionalFormatting>
  <conditionalFormatting sqref="D8">
    <cfRule type="duplicateValues" dxfId="307" priority="293"/>
  </conditionalFormatting>
  <conditionalFormatting sqref="D9:D10">
    <cfRule type="duplicateValues" dxfId="306" priority="292"/>
  </conditionalFormatting>
  <conditionalFormatting sqref="D11">
    <cfRule type="duplicateValues" dxfId="305" priority="291"/>
  </conditionalFormatting>
  <conditionalFormatting sqref="D12:D13">
    <cfRule type="duplicateValues" dxfId="304" priority="3"/>
  </conditionalFormatting>
  <conditionalFormatting sqref="D14">
    <cfRule type="duplicateValues" dxfId="303" priority="290"/>
  </conditionalFormatting>
  <conditionalFormatting sqref="D15:D16">
    <cfRule type="duplicateValues" dxfId="302" priority="289"/>
  </conditionalFormatting>
  <conditionalFormatting sqref="D17:D18">
    <cfRule type="duplicateValues" dxfId="301" priority="288"/>
  </conditionalFormatting>
  <conditionalFormatting sqref="D19:D20">
    <cfRule type="duplicateValues" dxfId="300" priority="287"/>
  </conditionalFormatting>
  <conditionalFormatting sqref="D21:D22">
    <cfRule type="duplicateValues" dxfId="299" priority="286"/>
  </conditionalFormatting>
  <conditionalFormatting sqref="D23">
    <cfRule type="duplicateValues" dxfId="298" priority="285"/>
  </conditionalFormatting>
  <conditionalFormatting sqref="D24">
    <cfRule type="duplicateValues" dxfId="297" priority="284"/>
  </conditionalFormatting>
  <conditionalFormatting sqref="D25:D26">
    <cfRule type="duplicateValues" dxfId="296" priority="283"/>
  </conditionalFormatting>
  <conditionalFormatting sqref="D27:D28">
    <cfRule type="duplicateValues" dxfId="295" priority="282"/>
  </conditionalFormatting>
  <conditionalFormatting sqref="D30">
    <cfRule type="duplicateValues" dxfId="294" priority="360"/>
  </conditionalFormatting>
  <conditionalFormatting sqref="D30:D31">
    <cfRule type="duplicateValues" dxfId="293" priority="361"/>
  </conditionalFormatting>
  <conditionalFormatting sqref="D31">
    <cfRule type="duplicateValues" dxfId="292" priority="359"/>
  </conditionalFormatting>
  <conditionalFormatting sqref="D32">
    <cfRule type="duplicateValues" dxfId="291" priority="357"/>
  </conditionalFormatting>
  <conditionalFormatting sqref="D32:D33">
    <cfRule type="duplicateValues" dxfId="290" priority="358"/>
  </conditionalFormatting>
  <conditionalFormatting sqref="D33">
    <cfRule type="duplicateValues" dxfId="289" priority="356"/>
  </conditionalFormatting>
  <conditionalFormatting sqref="D34:D35">
    <cfRule type="duplicateValues" dxfId="288" priority="1"/>
  </conditionalFormatting>
  <conditionalFormatting sqref="D35">
    <cfRule type="duplicateValues" dxfId="287" priority="2"/>
  </conditionalFormatting>
  <conditionalFormatting sqref="D39">
    <cfRule type="duplicateValues" dxfId="286" priority="281"/>
  </conditionalFormatting>
  <conditionalFormatting sqref="D68">
    <cfRule type="duplicateValues" dxfId="285" priority="340"/>
  </conditionalFormatting>
  <conditionalFormatting sqref="D69">
    <cfRule type="duplicateValues" dxfId="284" priority="339"/>
  </conditionalFormatting>
  <conditionalFormatting sqref="D76">
    <cfRule type="duplicateValues" dxfId="283" priority="337"/>
  </conditionalFormatting>
  <conditionalFormatting sqref="D77">
    <cfRule type="duplicateValues" dxfId="282" priority="338"/>
  </conditionalFormatting>
  <conditionalFormatting sqref="D80:D81">
    <cfRule type="duplicateValues" dxfId="281" priority="280"/>
  </conditionalFormatting>
  <conditionalFormatting sqref="D83">
    <cfRule type="duplicateValues" dxfId="280" priority="279"/>
  </conditionalFormatting>
  <conditionalFormatting sqref="D84">
    <cfRule type="duplicateValues" dxfId="279" priority="278"/>
  </conditionalFormatting>
  <conditionalFormatting sqref="D98">
    <cfRule type="duplicateValues" dxfId="278" priority="277"/>
  </conditionalFormatting>
  <conditionalFormatting sqref="D99">
    <cfRule type="duplicateValues" dxfId="277" priority="276"/>
  </conditionalFormatting>
  <conditionalFormatting sqref="D104">
    <cfRule type="duplicateValues" dxfId="276" priority="273"/>
  </conditionalFormatting>
  <conditionalFormatting sqref="D109:D110">
    <cfRule type="duplicateValues" dxfId="275" priority="300"/>
  </conditionalFormatting>
  <conditionalFormatting sqref="D111 D113">
    <cfRule type="duplicateValues" dxfId="274" priority="299"/>
  </conditionalFormatting>
  <conditionalFormatting sqref="D112">
    <cfRule type="duplicateValues" dxfId="273" priority="272"/>
  </conditionalFormatting>
  <conditionalFormatting sqref="D128:D129">
    <cfRule type="duplicateValues" dxfId="272" priority="271"/>
  </conditionalFormatting>
  <conditionalFormatting sqref="D136">
    <cfRule type="duplicateValues" dxfId="271" priority="364"/>
  </conditionalFormatting>
  <conditionalFormatting sqref="D136:D137">
    <cfRule type="duplicateValues" dxfId="270" priority="363"/>
  </conditionalFormatting>
  <conditionalFormatting sqref="D137">
    <cfRule type="duplicateValues" dxfId="269" priority="365"/>
  </conditionalFormatting>
  <conditionalFormatting sqref="D140">
    <cfRule type="duplicateValues" dxfId="268" priority="270"/>
  </conditionalFormatting>
  <conditionalFormatting sqref="D152">
    <cfRule type="duplicateValues" dxfId="267" priority="269"/>
  </conditionalFormatting>
  <conditionalFormatting sqref="D154">
    <cfRule type="duplicateValues" dxfId="266" priority="268"/>
  </conditionalFormatting>
  <conditionalFormatting sqref="D163:D165">
    <cfRule type="duplicateValues" dxfId="265" priority="267"/>
  </conditionalFormatting>
  <conditionalFormatting sqref="D199:D201">
    <cfRule type="duplicateValues" dxfId="264" priority="368"/>
  </conditionalFormatting>
  <conditionalFormatting sqref="D202:D205">
    <cfRule type="duplicateValues" dxfId="263" priority="367"/>
  </conditionalFormatting>
  <conditionalFormatting sqref="D226">
    <cfRule type="duplicateValues" dxfId="262" priority="266"/>
  </conditionalFormatting>
  <conditionalFormatting sqref="D243:D244">
    <cfRule type="duplicateValues" dxfId="261" priority="302"/>
  </conditionalFormatting>
  <conditionalFormatting sqref="D245:D246">
    <cfRule type="duplicateValues" dxfId="260" priority="301"/>
  </conditionalFormatting>
  <conditionalFormatting sqref="D267:D268">
    <cfRule type="duplicateValues" dxfId="259" priority="330"/>
  </conditionalFormatting>
  <conditionalFormatting sqref="D269:D270">
    <cfRule type="duplicateValues" dxfId="258" priority="329"/>
  </conditionalFormatting>
  <conditionalFormatting sqref="D271:D272">
    <cfRule type="duplicateValues" dxfId="257" priority="328"/>
  </conditionalFormatting>
  <conditionalFormatting sqref="D273:D274">
    <cfRule type="duplicateValues" dxfId="256" priority="327"/>
  </conditionalFormatting>
  <conditionalFormatting sqref="D275:D276">
    <cfRule type="duplicateValues" dxfId="255" priority="335"/>
  </conditionalFormatting>
  <conditionalFormatting sqref="D277:D278">
    <cfRule type="duplicateValues" dxfId="254" priority="334"/>
  </conditionalFormatting>
  <conditionalFormatting sqref="D279:D280">
    <cfRule type="duplicateValues" dxfId="253" priority="333"/>
  </conditionalFormatting>
  <conditionalFormatting sqref="D281:D282">
    <cfRule type="duplicateValues" dxfId="252" priority="332"/>
  </conditionalFormatting>
  <conditionalFormatting sqref="D283">
    <cfRule type="duplicateValues" dxfId="251" priority="264"/>
  </conditionalFormatting>
  <conditionalFormatting sqref="D284">
    <cfRule type="duplicateValues" dxfId="250" priority="331"/>
  </conditionalFormatting>
  <conditionalFormatting sqref="D285:D286 D288:D316">
    <cfRule type="duplicateValues" dxfId="249" priority="369"/>
  </conditionalFormatting>
  <conditionalFormatting sqref="D287">
    <cfRule type="duplicateValues" dxfId="248" priority="263"/>
  </conditionalFormatting>
  <conditionalFormatting sqref="D317:D318">
    <cfRule type="duplicateValues" dxfId="247" priority="321"/>
  </conditionalFormatting>
  <conditionalFormatting sqref="D319:D320">
    <cfRule type="duplicateValues" dxfId="246" priority="320"/>
  </conditionalFormatting>
  <conditionalFormatting sqref="D321:D322">
    <cfRule type="duplicateValues" dxfId="245" priority="326"/>
  </conditionalFormatting>
  <conditionalFormatting sqref="D323:D324">
    <cfRule type="duplicateValues" dxfId="244" priority="319"/>
  </conditionalFormatting>
  <conditionalFormatting sqref="D325:D326 D329:D330">
    <cfRule type="duplicateValues" dxfId="243" priority="325"/>
  </conditionalFormatting>
  <conditionalFormatting sqref="D327:D328">
    <cfRule type="duplicateValues" dxfId="242" priority="318"/>
  </conditionalFormatting>
  <conditionalFormatting sqref="D331:D332">
    <cfRule type="duplicateValues" dxfId="241" priority="317"/>
  </conditionalFormatting>
  <conditionalFormatting sqref="D333:D336">
    <cfRule type="duplicateValues" dxfId="240" priority="366"/>
  </conditionalFormatting>
  <conditionalFormatting sqref="D337 D339 D341:D342">
    <cfRule type="duplicateValues" dxfId="239" priority="316"/>
  </conditionalFormatting>
  <conditionalFormatting sqref="D338">
    <cfRule type="duplicateValues" dxfId="238" priority="262"/>
  </conditionalFormatting>
  <conditionalFormatting sqref="D340">
    <cfRule type="duplicateValues" dxfId="237" priority="265"/>
  </conditionalFormatting>
  <conditionalFormatting sqref="D343:D353 D356:D361 D364:D371 D373:D376 D390:D391">
    <cfRule type="duplicateValues" dxfId="236" priority="336"/>
  </conditionalFormatting>
  <conditionalFormatting sqref="D354:D355">
    <cfRule type="duplicateValues" dxfId="235" priority="298"/>
  </conditionalFormatting>
  <conditionalFormatting sqref="D362:D363">
    <cfRule type="duplicateValues" dxfId="234" priority="297"/>
  </conditionalFormatting>
  <conditionalFormatting sqref="D372">
    <cfRule type="duplicateValues" dxfId="233" priority="261"/>
  </conditionalFormatting>
  <conditionalFormatting sqref="D378">
    <cfRule type="duplicateValues" dxfId="232" priority="260"/>
  </conditionalFormatting>
  <conditionalFormatting sqref="D382:D385">
    <cfRule type="duplicateValues" dxfId="231" priority="315"/>
  </conditionalFormatting>
  <conditionalFormatting sqref="D384:D385">
    <cfRule type="duplicateValues" dxfId="230" priority="313"/>
  </conditionalFormatting>
  <conditionalFormatting sqref="D386:D387">
    <cfRule type="duplicateValues" dxfId="229" priority="314"/>
  </conditionalFormatting>
  <conditionalFormatting sqref="D388">
    <cfRule type="duplicateValues" dxfId="228" priority="312"/>
  </conditionalFormatting>
  <conditionalFormatting sqref="D389">
    <cfRule type="duplicateValues" dxfId="227" priority="259"/>
  </conditionalFormatting>
  <conditionalFormatting sqref="D392:D393">
    <cfRule type="duplicateValues" dxfId="226" priority="311"/>
  </conditionalFormatting>
  <conditionalFormatting sqref="D394:D395">
    <cfRule type="duplicateValues" dxfId="225" priority="306"/>
  </conditionalFormatting>
  <conditionalFormatting sqref="D396:D397">
    <cfRule type="duplicateValues" dxfId="224" priority="307"/>
  </conditionalFormatting>
  <conditionalFormatting sqref="D398:D399">
    <cfRule type="duplicateValues" dxfId="223" priority="310"/>
  </conditionalFormatting>
  <conditionalFormatting sqref="D400:D401">
    <cfRule type="duplicateValues" dxfId="222" priority="309"/>
  </conditionalFormatting>
  <conditionalFormatting sqref="D402">
    <cfRule type="duplicateValues" dxfId="221" priority="308"/>
  </conditionalFormatting>
  <conditionalFormatting sqref="D403">
    <cfRule type="duplicateValues" dxfId="220" priority="304"/>
  </conditionalFormatting>
  <conditionalFormatting sqref="D404">
    <cfRule type="duplicateValues" dxfId="219" priority="370"/>
  </conditionalFormatting>
  <conditionalFormatting sqref="D405:D406">
    <cfRule type="duplicateValues" dxfId="218" priority="305"/>
  </conditionalFormatting>
  <conditionalFormatting sqref="D407:D420">
    <cfRule type="duplicateValues" dxfId="217" priority="303"/>
  </conditionalFormatting>
  <conditionalFormatting sqref="D740">
    <cfRule type="duplicateValues" dxfId="216" priority="274"/>
  </conditionalFormatting>
  <conditionalFormatting sqref="D742">
    <cfRule type="duplicateValues" dxfId="215" priority="258"/>
  </conditionalFormatting>
  <conditionalFormatting sqref="D749:D750">
    <cfRule type="duplicateValues" dxfId="214" priority="257"/>
  </conditionalFormatting>
  <conditionalFormatting sqref="D752:D755">
    <cfRule type="duplicateValues" dxfId="213" priority="256"/>
  </conditionalFormatting>
  <conditionalFormatting sqref="D757:D759">
    <cfRule type="duplicateValues" dxfId="212" priority="255"/>
  </conditionalFormatting>
  <conditionalFormatting sqref="D763">
    <cfRule type="duplicateValues" dxfId="211" priority="254"/>
  </conditionalFormatting>
  <conditionalFormatting sqref="D769">
    <cfRule type="duplicateValues" dxfId="210" priority="275"/>
  </conditionalFormatting>
  <conditionalFormatting sqref="D771">
    <cfRule type="duplicateValues" dxfId="209" priority="253"/>
  </conditionalFormatting>
  <conditionalFormatting sqref="D776:D779">
    <cfRule type="duplicateValues" dxfId="208" priority="252"/>
  </conditionalFormatting>
  <conditionalFormatting sqref="D784:D785">
    <cfRule type="duplicateValues" dxfId="207" priority="251"/>
  </conditionalFormatting>
  <conditionalFormatting sqref="D787">
    <cfRule type="duplicateValues" dxfId="206" priority="250"/>
  </conditionalFormatting>
  <conditionalFormatting sqref="D796">
    <cfRule type="duplicateValues" dxfId="205" priority="249"/>
  </conditionalFormatting>
  <conditionalFormatting sqref="D797">
    <cfRule type="duplicateValues" dxfId="204" priority="248"/>
  </conditionalFormatting>
  <conditionalFormatting sqref="D798">
    <cfRule type="duplicateValues" dxfId="203" priority="247"/>
  </conditionalFormatting>
  <conditionalFormatting sqref="D799">
    <cfRule type="duplicateValues" dxfId="202" priority="246"/>
  </conditionalFormatting>
  <conditionalFormatting sqref="D800:D801">
    <cfRule type="duplicateValues" dxfId="201" priority="245"/>
  </conditionalFormatting>
  <conditionalFormatting sqref="D815 D824 D836:D844">
    <cfRule type="duplicateValues" dxfId="200" priority="371"/>
  </conditionalFormatting>
  <conditionalFormatting sqref="D816:D822">
    <cfRule type="duplicateValues" dxfId="199" priority="244"/>
  </conditionalFormatting>
  <conditionalFormatting sqref="D823">
    <cfRule type="duplicateValues" dxfId="198" priority="243"/>
  </conditionalFormatting>
  <conditionalFormatting sqref="D825:D826">
    <cfRule type="duplicateValues" dxfId="197" priority="242"/>
  </conditionalFormatting>
  <conditionalFormatting sqref="D827:D828">
    <cfRule type="duplicateValues" dxfId="196" priority="324"/>
  </conditionalFormatting>
  <conditionalFormatting sqref="D845:D846">
    <cfRule type="duplicateValues" dxfId="195" priority="323"/>
  </conditionalFormatting>
  <conditionalFormatting sqref="D847:D848 D851:D854 D857:D858">
    <cfRule type="duplicateValues" dxfId="194" priority="322"/>
  </conditionalFormatting>
  <conditionalFormatting sqref="D849:D850">
    <cfRule type="duplicateValues" dxfId="193" priority="241"/>
  </conditionalFormatting>
  <conditionalFormatting sqref="D855:D856">
    <cfRule type="duplicateValues" dxfId="192" priority="240"/>
  </conditionalFormatting>
  <conditionalFormatting sqref="D859:D860">
    <cfRule type="duplicateValues" dxfId="191" priority="239"/>
  </conditionalFormatting>
  <conditionalFormatting sqref="D863:D864">
    <cfRule type="duplicateValues" dxfId="190" priority="238"/>
  </conditionalFormatting>
  <conditionalFormatting sqref="D867:D870">
    <cfRule type="duplicateValues" dxfId="189" priority="237"/>
  </conditionalFormatting>
  <conditionalFormatting sqref="D875:D876">
    <cfRule type="duplicateValues" dxfId="188" priority="236"/>
  </conditionalFormatting>
  <conditionalFormatting sqref="D878:D880">
    <cfRule type="duplicateValues" dxfId="187" priority="235"/>
  </conditionalFormatting>
  <conditionalFormatting sqref="D884">
    <cfRule type="duplicateValues" dxfId="186" priority="234"/>
  </conditionalFormatting>
  <conditionalFormatting sqref="D885:D888">
    <cfRule type="duplicateValues" dxfId="185" priority="233"/>
  </conditionalFormatting>
  <conditionalFormatting sqref="D893:D894">
    <cfRule type="duplicateValues" dxfId="184" priority="232"/>
  </conditionalFormatting>
  <conditionalFormatting sqref="D897">
    <cfRule type="duplicateValues" dxfId="183" priority="231"/>
  </conditionalFormatting>
  <conditionalFormatting sqref="D907">
    <cfRule type="duplicateValues" dxfId="182" priority="230"/>
  </conditionalFormatting>
  <conditionalFormatting sqref="D913:D918">
    <cfRule type="duplicateValues" dxfId="181" priority="229"/>
  </conditionalFormatting>
  <conditionalFormatting sqref="D923:D925">
    <cfRule type="duplicateValues" dxfId="180" priority="228"/>
  </conditionalFormatting>
  <conditionalFormatting sqref="D927:D928">
    <cfRule type="duplicateValues" dxfId="179" priority="227"/>
  </conditionalFormatting>
  <conditionalFormatting sqref="D931:D933">
    <cfRule type="duplicateValues" dxfId="178" priority="226"/>
  </conditionalFormatting>
  <conditionalFormatting sqref="D935:D940">
    <cfRule type="duplicateValues" dxfId="177" priority="225"/>
  </conditionalFormatting>
  <conditionalFormatting sqref="D943">
    <cfRule type="duplicateValues" dxfId="176" priority="224"/>
  </conditionalFormatting>
  <conditionalFormatting sqref="D950">
    <cfRule type="duplicateValues" dxfId="175" priority="223"/>
  </conditionalFormatting>
  <conditionalFormatting sqref="D953:D954">
    <cfRule type="duplicateValues" dxfId="174" priority="222"/>
  </conditionalFormatting>
  <conditionalFormatting sqref="D965">
    <cfRule type="duplicateValues" dxfId="173" priority="221"/>
  </conditionalFormatting>
  <conditionalFormatting sqref="D967:D968">
    <cfRule type="duplicateValues" dxfId="172" priority="220"/>
  </conditionalFormatting>
  <conditionalFormatting sqref="D973:D974">
    <cfRule type="duplicateValues" dxfId="171" priority="219"/>
  </conditionalFormatting>
  <conditionalFormatting sqref="D978:D979 D981">
    <cfRule type="duplicateValues" dxfId="170" priority="218"/>
  </conditionalFormatting>
  <conditionalFormatting sqref="D984:D985">
    <cfRule type="duplicateValues" dxfId="169" priority="217"/>
  </conditionalFormatting>
  <conditionalFormatting sqref="D988:D991">
    <cfRule type="duplicateValues" dxfId="168" priority="215"/>
  </conditionalFormatting>
  <conditionalFormatting sqref="D992">
    <cfRule type="duplicateValues" dxfId="167" priority="216"/>
  </conditionalFormatting>
  <conditionalFormatting sqref="D994:D996">
    <cfRule type="duplicateValues" dxfId="166" priority="214"/>
  </conditionalFormatting>
  <conditionalFormatting sqref="D997">
    <cfRule type="duplicateValues" dxfId="165" priority="213"/>
  </conditionalFormatting>
  <conditionalFormatting sqref="D1002">
    <cfRule type="duplicateValues" dxfId="164" priority="212"/>
  </conditionalFormatting>
  <conditionalFormatting sqref="D1006">
    <cfRule type="duplicateValues" dxfId="163" priority="211"/>
  </conditionalFormatting>
  <conditionalFormatting sqref="D1009:D1012">
    <cfRule type="duplicateValues" dxfId="162" priority="210"/>
  </conditionalFormatting>
  <conditionalFormatting sqref="D1014:D1024 D1030">
    <cfRule type="duplicateValues" dxfId="161" priority="175"/>
  </conditionalFormatting>
  <conditionalFormatting sqref="D1025:D1029">
    <cfRule type="duplicateValues" dxfId="160" priority="136"/>
  </conditionalFormatting>
  <conditionalFormatting sqref="D1031">
    <cfRule type="duplicateValues" dxfId="159" priority="135"/>
  </conditionalFormatting>
  <conditionalFormatting sqref="D1032">
    <cfRule type="duplicateValues" dxfId="158" priority="142"/>
  </conditionalFormatting>
  <conditionalFormatting sqref="D1033:D1035">
    <cfRule type="duplicateValues" dxfId="157" priority="134"/>
  </conditionalFormatting>
  <conditionalFormatting sqref="D1040:D1041">
    <cfRule type="duplicateValues" dxfId="156" priority="118"/>
  </conditionalFormatting>
  <conditionalFormatting sqref="D1151:D1152">
    <cfRule type="duplicateValues" dxfId="155" priority="7"/>
    <cfRule type="duplicateValues" dxfId="154" priority="6"/>
  </conditionalFormatting>
  <conditionalFormatting sqref="H965:H967">
    <cfRule type="expression" dxfId="153" priority="178">
      <formula>IF(F965&gt;1,FALSE,TRUE)</formula>
    </cfRule>
  </conditionalFormatting>
  <conditionalFormatting sqref="H974:H975">
    <cfRule type="expression" dxfId="152" priority="177">
      <formula>IF(F974&gt;1,FALSE,TRUE)</formula>
    </cfRule>
  </conditionalFormatting>
  <dataValidations count="2">
    <dataValidation type="list" allowBlank="1" showInputMessage="1" showErrorMessage="1" sqref="S240:AA264 AD18:AF23 Q1151:Q1152 V375:V381 V390:V393 W743:W744 T213:U235 R82:R85 Y744:AA744 W833:W835 U789:U790 X198:X205 S766 AD1151:AD1152 Y213:AA238 Y199:AA205 S768 Q213:Q234 T909:T910 R213:R235 S213:S234 V213:X234 Q199:W205 R237:R264 T82:U85 R299 R140:R141 R380 R384 U906:U910 Q240:Q264 W909:W910 R286:R287 V283:V287 AF6:AF7 V411:V420 W78:W81 V290:V316 V396:V408 AD240:AD251 AD254:AD264 AE240:AF264 S1151:U1152 AD32:AF33 X1151:X1152 Z1151:Z1152 AD213:AF238 AD744:AF744 AD199:AF205 AD28:AE29 AD30:AD31 AD2:AD3 AD8:AD17 AD24:AD27 AD4:AE7 X2:Z47 W2:W67 X62:Y67 AA2:AA67 Q2:U47 V2:V39 S48:T61 Z52:Z67 Q62:V67" xr:uid="{68F56908-435A-425D-BA7D-AF675C38F908}">
      <formula1>"Conv-A DONE,Conv-B DONE"</formula1>
    </dataValidation>
    <dataValidation type="list" allowBlank="1" showInputMessage="1" showErrorMessage="1" sqref="J1130:J1048576 J738:J1101 J1:J39 J52:J420" xr:uid="{ACE7C238-0C8C-478F-8307-D83A946B13D0}">
      <formula1>"Imported, Nashik"</formula1>
    </dataValidation>
  </dataValidations>
  <pageMargins left="0.11" right="7158278.8300000001" top="0.5" bottom="0.26" header="0.05" footer="0.05"/>
  <pageSetup paperSize="9" orientation="portrait" r:id="rId1"/>
  <headerFooter>
    <oddFooter>&amp;LUnrestricted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DB6D-6A65-4548-BBE4-AE6D54D1AC9C}">
  <dimension ref="A3:U6"/>
  <sheetViews>
    <sheetView topLeftCell="G1" workbookViewId="0">
      <selection activeCell="N4" sqref="N4"/>
    </sheetView>
  </sheetViews>
  <sheetFormatPr defaultColWidth="21.5546875" defaultRowHeight="13.2" x14ac:dyDescent="0.25"/>
  <cols>
    <col min="1" max="1" width="15.5546875" style="2" bestFit="1" customWidth="1"/>
    <col min="2" max="2" width="4.33203125" style="2" bestFit="1" customWidth="1"/>
    <col min="3" max="3" width="7.44140625" style="2" bestFit="1" customWidth="1"/>
    <col min="4" max="4" width="9.6640625" style="2" bestFit="1" customWidth="1"/>
    <col min="5" max="5" width="23.88671875" style="2" bestFit="1" customWidth="1"/>
    <col min="6" max="6" width="21.5546875" style="2" bestFit="1" customWidth="1"/>
    <col min="7" max="7" width="9.88671875" style="2" bestFit="1" customWidth="1"/>
    <col min="8" max="8" width="8.21875" style="2" bestFit="1" customWidth="1"/>
    <col min="9" max="9" width="16.44140625" style="2" bestFit="1" customWidth="1"/>
    <col min="10" max="10" width="9.5546875" style="2" bestFit="1" customWidth="1"/>
    <col min="11" max="11" width="36.109375" style="2" bestFit="1" customWidth="1"/>
    <col min="12" max="12" width="6.33203125" style="2" bestFit="1" customWidth="1"/>
    <col min="13" max="13" width="7.5546875" style="2" bestFit="1" customWidth="1"/>
    <col min="14" max="14" width="5.33203125" style="2" bestFit="1" customWidth="1"/>
    <col min="15" max="15" width="8.88671875" style="2" bestFit="1" customWidth="1"/>
    <col min="16" max="16" width="20.88671875" style="2" bestFit="1" customWidth="1"/>
    <col min="17" max="17" width="32.44140625" style="2" bestFit="1" customWidth="1"/>
    <col min="18" max="18" width="24.21875" style="2" bestFit="1" customWidth="1"/>
    <col min="19" max="19" width="9.33203125" style="2" bestFit="1" customWidth="1"/>
    <col min="20" max="20" width="11.33203125" style="2" bestFit="1" customWidth="1"/>
    <col min="21" max="21" width="18.88671875" style="2" bestFit="1" customWidth="1"/>
    <col min="22" max="16384" width="21.5546875" style="2"/>
  </cols>
  <sheetData>
    <row r="3" spans="1:21" s="18" customFormat="1" ht="12.75" customHeight="1" x14ac:dyDescent="0.25">
      <c r="A3" s="643" t="s">
        <v>472</v>
      </c>
      <c r="B3" s="18" t="s">
        <v>473</v>
      </c>
      <c r="C3" s="18" t="s">
        <v>474</v>
      </c>
      <c r="D3" s="18" t="s">
        <v>2707</v>
      </c>
      <c r="E3" s="18" t="s">
        <v>476</v>
      </c>
      <c r="F3" s="18" t="s">
        <v>477</v>
      </c>
      <c r="G3" s="18" t="s">
        <v>478</v>
      </c>
      <c r="H3" s="18" t="s">
        <v>479</v>
      </c>
      <c r="I3" s="18" t="s">
        <v>480</v>
      </c>
      <c r="J3" s="18" t="s">
        <v>481</v>
      </c>
      <c r="K3" s="18" t="s">
        <v>482</v>
      </c>
      <c r="L3" s="18" t="s">
        <v>483</v>
      </c>
      <c r="M3" s="18" t="s">
        <v>484</v>
      </c>
      <c r="N3" s="18" t="s">
        <v>485</v>
      </c>
      <c r="O3" s="18" t="s">
        <v>486</v>
      </c>
      <c r="P3" s="18" t="s">
        <v>2708</v>
      </c>
      <c r="Q3" s="18" t="s">
        <v>2709</v>
      </c>
      <c r="R3" s="18" t="s">
        <v>489</v>
      </c>
      <c r="S3" s="18" t="s">
        <v>490</v>
      </c>
      <c r="T3" s="18" t="s">
        <v>491</v>
      </c>
      <c r="U3" s="18" t="s">
        <v>492</v>
      </c>
    </row>
    <row r="4" spans="1:21" s="3" customFormat="1" x14ac:dyDescent="0.25">
      <c r="A4" s="3" t="s">
        <v>1946</v>
      </c>
      <c r="B4" s="1448">
        <v>72</v>
      </c>
      <c r="C4" s="1448">
        <v>32</v>
      </c>
      <c r="D4" s="1448">
        <v>60</v>
      </c>
      <c r="E4" s="1448">
        <v>72</v>
      </c>
      <c r="F4" s="1448">
        <v>72</v>
      </c>
      <c r="G4" s="1448">
        <v>72</v>
      </c>
      <c r="H4" s="1448">
        <v>72</v>
      </c>
      <c r="I4" s="1448">
        <v>72</v>
      </c>
      <c r="J4" s="1448">
        <v>72</v>
      </c>
      <c r="K4" s="1448">
        <v>12</v>
      </c>
      <c r="L4" s="1448">
        <v>4</v>
      </c>
      <c r="M4" s="1448">
        <v>64</v>
      </c>
      <c r="N4" s="1448"/>
      <c r="O4" s="1448">
        <v>50</v>
      </c>
      <c r="P4" s="1448">
        <v>72</v>
      </c>
      <c r="Q4" s="1448">
        <v>72</v>
      </c>
      <c r="R4" s="1448">
        <v>70</v>
      </c>
      <c r="S4" s="1448">
        <v>32</v>
      </c>
      <c r="T4" s="1448"/>
      <c r="U4" s="1448">
        <v>46</v>
      </c>
    </row>
    <row r="5" spans="1:21" s="3" customFormat="1" x14ac:dyDescent="0.25">
      <c r="A5" s="3" t="s">
        <v>493</v>
      </c>
      <c r="B5" s="1448"/>
      <c r="C5" s="1448"/>
      <c r="D5" s="1448"/>
      <c r="E5" s="1448"/>
      <c r="F5" s="1448"/>
      <c r="G5" s="1448"/>
      <c r="H5" s="1448"/>
      <c r="I5" s="1448"/>
      <c r="J5" s="1448"/>
      <c r="K5" s="1448"/>
      <c r="L5" s="1448"/>
      <c r="M5" s="1448"/>
      <c r="N5" s="1448"/>
      <c r="O5" s="1448"/>
      <c r="P5" s="1448"/>
      <c r="Q5" s="1448"/>
      <c r="R5" s="1448"/>
      <c r="S5" s="1448"/>
      <c r="T5" s="1448"/>
      <c r="U5" s="1448"/>
    </row>
    <row r="6" spans="1:21" s="3" customFormat="1" x14ac:dyDescent="0.25">
      <c r="A6" s="3" t="s">
        <v>494</v>
      </c>
      <c r="B6" s="1448">
        <v>72</v>
      </c>
      <c r="C6" s="1448">
        <v>32</v>
      </c>
      <c r="D6" s="1448">
        <v>60</v>
      </c>
      <c r="E6" s="1448">
        <v>72</v>
      </c>
      <c r="F6" s="1448">
        <v>72</v>
      </c>
      <c r="G6" s="1448">
        <v>72</v>
      </c>
      <c r="H6" s="1448">
        <v>72</v>
      </c>
      <c r="I6" s="1448">
        <v>72</v>
      </c>
      <c r="J6" s="1448">
        <v>72</v>
      </c>
      <c r="K6" s="1448">
        <v>12</v>
      </c>
      <c r="L6" s="1448">
        <v>4</v>
      </c>
      <c r="M6" s="1448">
        <v>64</v>
      </c>
      <c r="N6" s="1448"/>
      <c r="O6" s="1448">
        <v>50</v>
      </c>
      <c r="P6" s="1448">
        <v>72</v>
      </c>
      <c r="Q6" s="1448">
        <v>72</v>
      </c>
      <c r="R6" s="1448">
        <v>70</v>
      </c>
      <c r="S6" s="1448">
        <v>32</v>
      </c>
      <c r="T6" s="1448"/>
      <c r="U6" s="1448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9421B-0E7D-4A83-AAA6-B97719CD290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59b6cd5-d141-4a33-8bf1-0ca04484304f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Updation Date</vt:lpstr>
      <vt:lpstr>Total summary</vt:lpstr>
      <vt:lpstr>Detail1</vt:lpstr>
      <vt:lpstr>Hyderabad</vt:lpstr>
      <vt:lpstr>Hyderabad Summary</vt:lpstr>
      <vt:lpstr>Detail2</vt:lpstr>
      <vt:lpstr>Chennai</vt:lpstr>
      <vt:lpstr>Chennai Summary</vt:lpstr>
      <vt:lpstr>Detail3</vt:lpstr>
      <vt:lpstr>Delhi</vt:lpstr>
      <vt:lpstr>Delhi Summary</vt:lpstr>
      <vt:lpstr>TKD</vt:lpstr>
      <vt:lpstr>Kolkatta</vt:lpstr>
      <vt:lpstr>Kolkata Summary</vt:lpstr>
      <vt:lpstr>summary for RDSO</vt:lpstr>
      <vt:lpstr>Modification sheet</vt:lpstr>
      <vt:lpstr>Sheet8</vt:lpstr>
      <vt:lpstr>Sheet5</vt:lpstr>
      <vt:lpstr>Mumbai</vt:lpstr>
      <vt:lpstr>Mumbai Summary</vt:lpstr>
      <vt:lpstr>Bangalore</vt:lpstr>
      <vt:lpstr>Bangalore Summary</vt:lpstr>
      <vt:lpstr>'Modification sheet'!Print_Area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in211259</dc:creator>
  <cp:keywords>C_Unrestricted</cp:keywords>
  <dc:description/>
  <cp:lastModifiedBy>Dutta, Anish (RC-IN SMO CS RS1)</cp:lastModifiedBy>
  <cp:revision/>
  <dcterms:created xsi:type="dcterms:W3CDTF">2017-01-17T03:35:48Z</dcterms:created>
  <dcterms:modified xsi:type="dcterms:W3CDTF">2025-07-25T11:10:11Z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MSIP_Label_a59b6cd5-d141-4a33-8bf1-0ca04484304f_Enabled">
    <vt:lpwstr>true</vt:lpwstr>
  </property>
  <property fmtid="{D5CDD505-2E9C-101B-9397-08002B2CF9AE}" pid="4" name="MSIP_Label_a59b6cd5-d141-4a33-8bf1-0ca04484304f_SetDate">
    <vt:lpwstr>2022-03-02T04:36:09Z</vt:lpwstr>
  </property>
  <property fmtid="{D5CDD505-2E9C-101B-9397-08002B2CF9AE}" pid="5" name="MSIP_Label_a59b6cd5-d141-4a33-8bf1-0ca04484304f_Method">
    <vt:lpwstr>Standard</vt:lpwstr>
  </property>
  <property fmtid="{D5CDD505-2E9C-101B-9397-08002B2CF9AE}" pid="6" name="MSIP_Label_a59b6cd5-d141-4a33-8bf1-0ca04484304f_Name">
    <vt:lpwstr>restricted-default</vt:lpwstr>
  </property>
  <property fmtid="{D5CDD505-2E9C-101B-9397-08002B2CF9AE}" pid="7" name="MSIP_Label_a59b6cd5-d141-4a33-8bf1-0ca04484304f_SiteId">
    <vt:lpwstr>38ae3bcd-9579-4fd4-adda-b42e1495d55a</vt:lpwstr>
  </property>
  <property fmtid="{D5CDD505-2E9C-101B-9397-08002B2CF9AE}" pid="8" name="MSIP_Label_a59b6cd5-d141-4a33-8bf1-0ca04484304f_ActionId">
    <vt:lpwstr>b51de4cc-3c1b-4cc6-9ea9-fa1fa9576761</vt:lpwstr>
  </property>
  <property fmtid="{D5CDD505-2E9C-101B-9397-08002B2CF9AE}" pid="9" name="MSIP_Label_a59b6cd5-d141-4a33-8bf1-0ca04484304f_ContentBits">
    <vt:lpwstr>0</vt:lpwstr>
  </property>
  <property fmtid="{D5CDD505-2E9C-101B-9397-08002B2CF9AE}" pid="10" name="Document_Confidentiality">
    <vt:lpwstr>Restricted</vt:lpwstr>
  </property>
</Properties>
</file>